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32ABDE3C-D2F3-4280-A783-86B41E05F47A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1" i="6180"/>
  <c r="O16" i="6176"/>
  <c r="O17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8" i="6190"/>
  <c r="O16" i="6178"/>
  <c r="O18" i="6186"/>
  <c r="O19" i="6190" l="1"/>
  <c r="O15" i="6178"/>
  <c r="O15" i="6190"/>
  <c r="O19" i="6176"/>
  <c r="O15" i="6184" l="1"/>
  <c r="O17" i="6178"/>
  <c r="O22" i="6180"/>
  <c r="O18" i="6184"/>
  <c r="O19" i="6174"/>
  <c r="O17" i="6190"/>
  <c r="O16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2" i="6190"/>
  <c r="H16" i="6190"/>
  <c r="C24" i="6190"/>
  <c r="H17" i="6190"/>
  <c r="H21" i="6190"/>
  <c r="H42" i="6190"/>
  <c r="H33" i="6190"/>
  <c r="H3" i="6190"/>
  <c r="H27" i="6190"/>
  <c r="C42" i="6190"/>
  <c r="H10" i="6190"/>
  <c r="C19" i="6190"/>
  <c r="C25" i="6190"/>
  <c r="H36" i="6190"/>
  <c r="H15" i="6190"/>
  <c r="C36" i="6190"/>
  <c r="H48" i="6190"/>
  <c r="C46" i="6190"/>
  <c r="H14" i="6190"/>
  <c r="H28" i="6190"/>
  <c r="H47" i="6190"/>
  <c r="H19" i="6190"/>
  <c r="H25" i="6190"/>
  <c r="C48" i="6190"/>
  <c r="H2" i="6190"/>
  <c r="H43" i="6190"/>
  <c r="H30" i="6190"/>
  <c r="H37" i="6190"/>
  <c r="H13" i="6190"/>
  <c r="H38" i="6190"/>
  <c r="H6" i="6190"/>
  <c r="H20" i="6190"/>
  <c r="H23" i="6190"/>
  <c r="C21" i="6190"/>
  <c r="H31" i="6190"/>
  <c r="H41" i="6190"/>
  <c r="H49" i="6190"/>
  <c r="C38" i="6190"/>
  <c r="H44" i="6190"/>
  <c r="H8" i="6190"/>
  <c r="H11" i="6190"/>
  <c r="B26" i="6190"/>
  <c r="H34" i="6190"/>
  <c r="H39" i="6190"/>
  <c r="C44" i="6190"/>
  <c r="H51" i="6190"/>
  <c r="H18" i="6190"/>
  <c r="H4" i="6190"/>
  <c r="H9" i="6190"/>
  <c r="H22" i="6190"/>
  <c r="H24" i="6190"/>
  <c r="C22" i="6190"/>
  <c r="B27" i="6190"/>
  <c r="H40" i="6190"/>
  <c r="H45" i="6190"/>
  <c r="H5" i="6190"/>
  <c r="C23" i="6190"/>
  <c r="H7" i="6190"/>
  <c r="H35" i="6190"/>
  <c r="C40" i="6190"/>
  <c r="H46" i="6190"/>
  <c r="H52" i="6190"/>
  <c r="C39" i="6190"/>
  <c r="C43" i="6190"/>
  <c r="C47" i="6190"/>
  <c r="H26" i="6190"/>
  <c r="H29" i="6190"/>
  <c r="H32" i="6190"/>
  <c r="C37" i="6190"/>
  <c r="C41" i="6190"/>
  <c r="C45" i="6190"/>
  <c r="O19" i="6180" l="1"/>
  <c r="O20" i="6186"/>
  <c r="O21" i="6176"/>
  <c r="O16" i="6186"/>
  <c r="O17" i="6180" l="1"/>
  <c r="O19" i="6182"/>
  <c r="O22" i="6176"/>
  <c r="O17" i="6176"/>
  <c r="O15" i="6182"/>
  <c r="O19" i="6184"/>
  <c r="O16" i="6188" l="1"/>
  <c r="O19" i="6188"/>
  <c r="O21" i="6184"/>
  <c r="O20" i="6184"/>
  <c r="O15" i="6180"/>
  <c r="O18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6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7" i="6184"/>
  <c r="O16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6" i="6174"/>
  <c r="O20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20" i="6174"/>
  <c r="O16" i="6180"/>
  <c r="O20" i="6180"/>
  <c r="C34" i="6180"/>
  <c r="B29" i="6180"/>
  <c r="C20" i="6180"/>
  <c r="B19" i="6180"/>
  <c r="H16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18" i="6174"/>
  <c r="O20" i="6176"/>
  <c r="O15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5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3" i="6182"/>
  <c r="H52" i="6182"/>
  <c r="H22" i="6182"/>
  <c r="C21" i="6182"/>
  <c r="H4" i="6182"/>
  <c r="H35" i="6182"/>
  <c r="H2" i="6182"/>
  <c r="H8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5" i="6182"/>
  <c r="H9" i="6182"/>
  <c r="H23" i="6182"/>
  <c r="B26" i="6182"/>
  <c r="H36" i="6182"/>
  <c r="H45" i="6182"/>
  <c r="H15" i="6182"/>
  <c r="H10" i="6182"/>
  <c r="H39" i="6182"/>
  <c r="C46" i="6182"/>
  <c r="H19" i="6182"/>
  <c r="H16" i="6182"/>
  <c r="H11" i="6182"/>
  <c r="H6" i="6182"/>
  <c r="H13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2" i="6182"/>
  <c r="H17" i="6182"/>
  <c r="C38" i="6182"/>
  <c r="C43" i="6182"/>
  <c r="C48" i="6182"/>
  <c r="H27" i="6176"/>
  <c r="H33" i="6176"/>
  <c r="H43" i="6176"/>
  <c r="H23" i="6176"/>
  <c r="H11" i="6176"/>
  <c r="C47" i="6176"/>
  <c r="H48" i="6176"/>
  <c r="H21" i="6176"/>
  <c r="H37" i="6176"/>
  <c r="H7" i="6176"/>
  <c r="C22" i="6176"/>
  <c r="C36" i="6176"/>
  <c r="H26" i="6176"/>
  <c r="H18" i="6176"/>
  <c r="H9" i="6176"/>
  <c r="H15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7" i="6184"/>
  <c r="H7" i="6184"/>
  <c r="H14" i="6184"/>
  <c r="H26" i="6184"/>
  <c r="H34" i="6184"/>
  <c r="H22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3" i="6186"/>
  <c r="H35" i="6186"/>
  <c r="H24" i="6186"/>
  <c r="H38" i="6186"/>
  <c r="H8" i="6186"/>
  <c r="H21" i="6186"/>
  <c r="H9" i="6186"/>
  <c r="C40" i="6186"/>
  <c r="H19" i="6186"/>
  <c r="C23" i="6186"/>
  <c r="H43" i="6186"/>
  <c r="H7" i="6186"/>
  <c r="H13" i="6186"/>
  <c r="H25" i="6186"/>
  <c r="H30" i="6186"/>
  <c r="C22" i="6186"/>
  <c r="B27" i="6186"/>
  <c r="H26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9" i="6186"/>
  <c r="H37" i="6186"/>
  <c r="C43" i="6186"/>
  <c r="C44" i="6186"/>
  <c r="H5" i="6186"/>
  <c r="B26" i="6186"/>
  <c r="H47" i="6186"/>
  <c r="H11" i="6186"/>
  <c r="H15" i="6186"/>
  <c r="H22" i="6186"/>
  <c r="C36" i="6186"/>
  <c r="H27" i="6186"/>
  <c r="H31" i="6186"/>
  <c r="H40" i="6186"/>
  <c r="H48" i="6186"/>
  <c r="H14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20" i="6186"/>
  <c r="C25" i="6186"/>
  <c r="H42" i="6186"/>
  <c r="H46" i="6186"/>
  <c r="H52" i="6186"/>
  <c r="B28" i="6186"/>
  <c r="H28" i="6186"/>
  <c r="H18" i="6186"/>
  <c r="H34" i="6186"/>
  <c r="C37" i="6186"/>
  <c r="C41" i="6186"/>
  <c r="C45" i="6186"/>
  <c r="H51" i="6186"/>
  <c r="H12" i="6186"/>
  <c r="H16" i="6186"/>
  <c r="H10" i="6186"/>
  <c r="H36" i="6186"/>
  <c r="C38" i="6186"/>
  <c r="C42" i="6186"/>
  <c r="C46" i="6186"/>
  <c r="H34" i="6174"/>
  <c r="H43" i="6184"/>
  <c r="H15" i="6184"/>
  <c r="H35" i="6184"/>
  <c r="C44" i="6184"/>
  <c r="H4" i="6184"/>
  <c r="H11" i="6184"/>
  <c r="H23" i="6184"/>
  <c r="C22" i="6184"/>
  <c r="H46" i="6184"/>
  <c r="H10" i="6184"/>
  <c r="H6" i="6184"/>
  <c r="C23" i="6184"/>
  <c r="C36" i="6184"/>
  <c r="H48" i="6184"/>
  <c r="H38" i="6184"/>
  <c r="H3" i="6184"/>
  <c r="H25" i="6184"/>
  <c r="H30" i="6184"/>
  <c r="H40" i="6184"/>
  <c r="H21" i="6184"/>
  <c r="H2" i="6184"/>
  <c r="C25" i="6184"/>
  <c r="H49" i="6184"/>
  <c r="H27" i="6184"/>
  <c r="H8" i="6184"/>
  <c r="H41" i="6184"/>
  <c r="H5" i="6184"/>
  <c r="H24" i="6184"/>
  <c r="C21" i="6184"/>
  <c r="B26" i="6184"/>
  <c r="C40" i="6184"/>
  <c r="H47" i="6184"/>
  <c r="H52" i="6184"/>
  <c r="H9" i="6184"/>
  <c r="H12" i="6184"/>
  <c r="B27" i="6184"/>
  <c r="H37" i="6184"/>
  <c r="H42" i="6184"/>
  <c r="C46" i="6184"/>
  <c r="H19" i="6184"/>
  <c r="H16" i="6184"/>
  <c r="H39" i="6184"/>
  <c r="H44" i="6184"/>
  <c r="C48" i="6184"/>
  <c r="C19" i="6184"/>
  <c r="C24" i="6184"/>
  <c r="H20" i="6184"/>
  <c r="C38" i="6184"/>
  <c r="H45" i="6184"/>
  <c r="H50" i="6184"/>
  <c r="H13" i="6184"/>
  <c r="H28" i="6184"/>
  <c r="H18" i="6184"/>
  <c r="H32" i="6184"/>
  <c r="H36" i="6184"/>
  <c r="C39" i="6184"/>
  <c r="C43" i="6184"/>
  <c r="C47" i="6184"/>
  <c r="H29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8" i="6180"/>
  <c r="C18" i="6180"/>
  <c r="H25" i="6180"/>
  <c r="C21" i="6180"/>
  <c r="H29" i="6180"/>
  <c r="H36" i="6180"/>
  <c r="H14" i="6180"/>
  <c r="C40" i="6180"/>
  <c r="H3" i="6180"/>
  <c r="H19" i="6180"/>
  <c r="C22" i="6180"/>
  <c r="H42" i="6180"/>
  <c r="H2" i="6180"/>
  <c r="H27" i="6180"/>
  <c r="H5" i="6180"/>
  <c r="C25" i="6180"/>
  <c r="C42" i="6180"/>
  <c r="H46" i="6180"/>
  <c r="H17" i="6180"/>
  <c r="C46" i="6180"/>
  <c r="B26" i="6180"/>
  <c r="H37" i="6180"/>
  <c r="H48" i="6180"/>
  <c r="H7" i="6180"/>
  <c r="H13" i="6180"/>
  <c r="H9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4" i="6180"/>
  <c r="H15" i="6180"/>
  <c r="H12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8" i="6180"/>
  <c r="C23" i="6180"/>
  <c r="B27" i="6180"/>
  <c r="H35" i="6180"/>
  <c r="H39" i="6180"/>
  <c r="H43" i="6180"/>
  <c r="H47" i="6180"/>
  <c r="C18" i="6174"/>
  <c r="H7" i="6174"/>
  <c r="C36" i="6174"/>
  <c r="H30" i="6174"/>
  <c r="H31" i="6174"/>
  <c r="H43" i="6174"/>
  <c r="H33" i="6174"/>
  <c r="H22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2" i="6176"/>
  <c r="H19" i="6176"/>
  <c r="H40" i="6176"/>
  <c r="H45" i="6176"/>
  <c r="H50" i="6176"/>
  <c r="H24" i="6176"/>
  <c r="H17" i="6176"/>
  <c r="H10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1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2" i="6174"/>
  <c r="H15" i="6174"/>
  <c r="H16" i="6174"/>
  <c r="H37" i="6174"/>
  <c r="C44" i="6174"/>
  <c r="H29" i="6174"/>
  <c r="H42" i="6174"/>
  <c r="H46" i="6174"/>
  <c r="H5" i="6174"/>
  <c r="H39" i="6174"/>
  <c r="H24" i="6174"/>
  <c r="H17" i="6174"/>
  <c r="H44" i="6174"/>
  <c r="H41" i="6174"/>
  <c r="H25" i="6174"/>
  <c r="H2" i="6174"/>
  <c r="H3" i="6174"/>
  <c r="H23" i="6174"/>
  <c r="C21" i="6174"/>
  <c r="B26" i="6174"/>
  <c r="C40" i="6174"/>
  <c r="H47" i="6174"/>
  <c r="H52" i="6174"/>
  <c r="H18" i="6174"/>
  <c r="H35" i="6174"/>
  <c r="H14" i="6174"/>
  <c r="H36" i="6174"/>
  <c r="H38" i="6174"/>
  <c r="C39" i="6174"/>
  <c r="C43" i="6174"/>
  <c r="C47" i="6174"/>
  <c r="H27" i="6174"/>
  <c r="H28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<sst xmlns="http://schemas.openxmlformats.org/spreadsheetml/2006/main" count="2670" uniqueCount="225">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</sst>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全体!$K$2:$K$233</c:f>
              <c:numCache>
                <c:formatCode>General</c:formatCode>
                <c:ptCount val="2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</c:numCache>
            </c:numRef>
          </c:xVal>
          <c:yVal>
            <c:numRef>
              <c:f>全体!$L$2:$L$233</c:f>
              <c:numCache>
                <c:formatCode>\+0.0;\-0.0;\±0</c:formatCode>
                <c:ptCount val="232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-8.7719298245614041</c:v>
                </c:pt>
                <c:pt idx="1">
                  <c:v>-9.0090090090090094</c:v>
                </c:pt>
                <c:pt idx="2">
                  <c:v>0</c:v>
                </c:pt>
                <c:pt idx="3">
                  <c:v>16.393442622950818</c:v>
                </c:pt>
                <c:pt idx="4">
                  <c:v>-56.60377358490566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43</c:v>
                </c:pt>
                <c:pt idx="1">
                  <c:v>90</c:v>
                </c:pt>
                <c:pt idx="2">
                  <c:v>87</c:v>
                </c:pt>
                <c:pt idx="3">
                  <c:v>97</c:v>
                </c:pt>
                <c:pt idx="4">
                  <c:v>77</c:v>
                </c:pt>
                <c:pt idx="5">
                  <c:v>48</c:v>
                </c:pt>
                <c:pt idx="6">
                  <c:v>33</c:v>
                </c:pt>
                <c:pt idx="7">
                  <c:v>13</c:v>
                </c:pt>
                <c:pt idx="8">
                  <c:v>10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れんたろう!$L$2:$L$44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-2697.560975609756</c:v>
                </c:pt>
                <c:pt idx="1">
                  <c:v>-1440</c:v>
                </c:pt>
                <c:pt idx="2">
                  <c:v>-83.78378378378379</c:v>
                </c:pt>
                <c:pt idx="3">
                  <c:v>-2078.787878787879</c:v>
                </c:pt>
                <c:pt idx="4">
                  <c:v>500</c:v>
                </c:pt>
                <c:pt idx="5">
                  <c:v>3239.1304347826085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7</c:v>
                </c:pt>
                <c:pt idx="3">
                  <c:v>24</c:v>
                </c:pt>
                <c:pt idx="4">
                  <c:v>17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だいち!$L$2:$L$56</c:f>
              <c:numCache>
                <c:formatCode>\+0.0;\-0.0;\±0</c:formatCode>
                <c:ptCount val="55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170.37037037037038</c:v>
                </c:pt>
                <c:pt idx="1">
                  <c:v>4455.7692307692305</c:v>
                </c:pt>
                <c:pt idx="2">
                  <c:v>4010.204081632653</c:v>
                </c:pt>
                <c:pt idx="3">
                  <c:v>2526.1904761904761</c:v>
                </c:pt>
                <c:pt idx="4">
                  <c:v>-1247.3684210526317</c:v>
                </c:pt>
                <c:pt idx="5">
                  <c:v>1416.6666666666667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19</c:v>
                </c:pt>
                <c:pt idx="3">
                  <c:v>29</c:v>
                </c:pt>
                <c:pt idx="4">
                  <c:v>27</c:v>
                </c:pt>
                <c:pt idx="5">
                  <c:v>10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りくと!$L$2:$L$26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-3575</c:v>
                </c:pt>
                <c:pt idx="1">
                  <c:v>1943.4782608695652</c:v>
                </c:pt>
                <c:pt idx="2">
                  <c:v>-3914.2857142857142</c:v>
                </c:pt>
                <c:pt idx="3">
                  <c:v>-229.41176470588235</c:v>
                </c:pt>
                <c:pt idx="4">
                  <c:v>1276.9230769230769</c:v>
                </c:pt>
                <c:pt idx="5">
                  <c:v>-4855.5555555555557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7</c:v>
                </c:pt>
                <c:pt idx="1">
                  <c:v>8</c:v>
                </c:pt>
                <c:pt idx="2">
                  <c:v>11</c:v>
                </c:pt>
                <c:pt idx="3">
                  <c:v>6</c:v>
                </c:pt>
                <c:pt idx="4">
                  <c:v>3</c:v>
                </c:pt>
                <c:pt idx="5">
                  <c:v>9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まっつん!$L$2:$L$44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914.63414634146341</c:v>
                </c:pt>
                <c:pt idx="1">
                  <c:v>-1029.2682926829268</c:v>
                </c:pt>
                <c:pt idx="2">
                  <c:v>-1580.4878048780488</c:v>
                </c:pt>
                <c:pt idx="3">
                  <c:v>1247.3684210526317</c:v>
                </c:pt>
                <c:pt idx="4">
                  <c:v>-1662.5</c:v>
                </c:pt>
                <c:pt idx="5">
                  <c:v>304.54545454545456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16</c:v>
                </c:pt>
                <c:pt idx="2">
                  <c:v>25</c:v>
                </c:pt>
                <c:pt idx="3">
                  <c:v>14</c:v>
                </c:pt>
                <c:pt idx="4">
                  <c:v>7</c:v>
                </c:pt>
                <c:pt idx="5">
                  <c:v>4</c:v>
                </c:pt>
                <c:pt idx="6">
                  <c:v>7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-1900</c:v>
                </c:pt>
                <c:pt idx="2">
                  <c:v>2950</c:v>
                </c:pt>
                <c:pt idx="3">
                  <c:v>-1273.6842105263158</c:v>
                </c:pt>
                <c:pt idx="4">
                  <c:v>4700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3011.7647058823532</c:v>
                </c:pt>
                <c:pt idx="1">
                  <c:v>-7362.5</c:v>
                </c:pt>
                <c:pt idx="2">
                  <c:v>-113.33333333333333</c:v>
                </c:pt>
                <c:pt idx="3">
                  <c:v>-2316.6666666666665</c:v>
                </c:pt>
                <c:pt idx="4">
                  <c:v>381.81818181818181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9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ただ2!$B$3:$B$20</c:f>
              <c:numCache>
                <c:formatCode>\+0.0;\-0.0;\±0</c:formatCode>
                <c:ptCount val="18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ただ2!$C$3:$C$20</c:f>
              <c:numCache>
                <c:formatCode>\+0.0;\-0.0;\±0</c:formatCode>
                <c:ptCount val="18"/>
                <c:pt idx="1">
                  <c:v>68.2</c:v>
                </c:pt>
                <c:pt idx="2">
                  <c:v>20.6</c:v>
                </c:pt>
                <c:pt idx="3">
                  <c:v>2.9666666666666686</c:v>
                </c:pt>
                <c:pt idx="4">
                  <c:v>-10.299999999999999</c:v>
                </c:pt>
                <c:pt idx="5">
                  <c:v>-14.579999999999998</c:v>
                </c:pt>
                <c:pt idx="6">
                  <c:v>-21.666666666666668</c:v>
                </c:pt>
                <c:pt idx="7">
                  <c:v>-26.142857142857142</c:v>
                </c:pt>
                <c:pt idx="8">
                  <c:v>-16.074999999999999</c:v>
                </c:pt>
                <c:pt idx="9">
                  <c:v>-13.333333333333334</c:v>
                </c:pt>
                <c:pt idx="10">
                  <c:v>-11.28</c:v>
                </c:pt>
                <c:pt idx="11">
                  <c:v>-11</c:v>
                </c:pt>
                <c:pt idx="12">
                  <c:v>-9.0416666666666661</c:v>
                </c:pt>
                <c:pt idx="13">
                  <c:v>-4.8769230769230765</c:v>
                </c:pt>
                <c:pt idx="14">
                  <c:v>-3.0285714285714285</c:v>
                </c:pt>
                <c:pt idx="15">
                  <c:v>-4.38</c:v>
                </c:pt>
                <c:pt idx="16">
                  <c:v>-6.5500000000000007</c:v>
                </c:pt>
                <c:pt idx="17">
                  <c:v>-3.1117647058823539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27827737144158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ただ2!$D$3:$D$20</c:f>
              <c:numCache>
                <c:formatCode>0.00\ "位"</c:formatCode>
                <c:ptCount val="18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2.7142857142857144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2.125</c:v>
                </c:pt>
                <c:pt idx="17">
                  <c:v>2.0588235294117645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ただ2!$E$3:$E$20</c:f>
              <c:numCache>
                <c:formatCode>0.0%</c:formatCode>
                <c:ptCount val="18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ただ2!$F$3:$F$20</c:f>
              <c:numCache>
                <c:formatCode>0.0%</c:formatCode>
                <c:ptCount val="18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0.8571428571428571</c:v>
                </c:pt>
                <c:pt idx="8">
                  <c:v>0.75</c:v>
                </c:pt>
                <c:pt idx="9">
                  <c:v>0.66666666666666663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ただ2!$G$3:$G$20</c:f>
              <c:numCache>
                <c:formatCode>0.0%</c:formatCode>
                <c:ptCount val="18"/>
                <c:pt idx="1">
                  <c:v>0.75</c:v>
                </c:pt>
                <c:pt idx="2">
                  <c:v>0.5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0.31578947368421051</c:v>
                </c:pt>
                <c:pt idx="6">
                  <c:v>0.2978723404255319</c:v>
                </c:pt>
                <c:pt idx="7">
                  <c:v>0.27450980392156865</c:v>
                </c:pt>
                <c:pt idx="8">
                  <c:v>0.32203389830508472</c:v>
                </c:pt>
                <c:pt idx="9">
                  <c:v>0.31818181818181818</c:v>
                </c:pt>
                <c:pt idx="10">
                  <c:v>0.32876712328767121</c:v>
                </c:pt>
                <c:pt idx="11">
                  <c:v>0.31707317073170732</c:v>
                </c:pt>
                <c:pt idx="12">
                  <c:v>0.32222222222222224</c:v>
                </c:pt>
                <c:pt idx="13">
                  <c:v>0.34375</c:v>
                </c:pt>
                <c:pt idx="14">
                  <c:v>0.35238095238095241</c:v>
                </c:pt>
                <c:pt idx="15">
                  <c:v>0.33913043478260868</c:v>
                </c:pt>
                <c:pt idx="16">
                  <c:v>0.32258064516129031</c:v>
                </c:pt>
                <c:pt idx="17">
                  <c:v>0.328125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98538504777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ただ2!$H$3:$H$20</c:f>
              <c:numCache>
                <c:formatCode>0.0%</c:formatCode>
                <c:ptCount val="18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0.23333333333333334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0.27450980392156865</c:v>
                </c:pt>
                <c:pt idx="8">
                  <c:v>0.2711864406779661</c:v>
                </c:pt>
                <c:pt idx="9">
                  <c:v>0.24242424242424243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0.24444444444444444</c:v>
                </c:pt>
                <c:pt idx="13">
                  <c:v>0.22916666666666666</c:v>
                </c:pt>
                <c:pt idx="14">
                  <c:v>0.21904761904761905</c:v>
                </c:pt>
                <c:pt idx="15">
                  <c:v>0.21739130434782608</c:v>
                </c:pt>
                <c:pt idx="16">
                  <c:v>0.22580645161290322</c:v>
                </c:pt>
                <c:pt idx="17">
                  <c:v>0.2265625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20236087689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ただ2!$I$3:$I$20</c:f>
              <c:numCache>
                <c:formatCode>0</c:formatCode>
                <c:ptCount val="18"/>
                <c:pt idx="1">
                  <c:v>10350</c:v>
                </c:pt>
                <c:pt idx="2">
                  <c:v>9442.8571428571431</c:v>
                </c:pt>
                <c:pt idx="3">
                  <c:v>7870</c:v>
                </c:pt>
                <c:pt idx="4">
                  <c:v>7870</c:v>
                </c:pt>
                <c:pt idx="5">
                  <c:v>7891.666666666667</c:v>
                </c:pt>
                <c:pt idx="6">
                  <c:v>8464.2857142857138</c:v>
                </c:pt>
                <c:pt idx="7">
                  <c:v>8464.2857142857138</c:v>
                </c:pt>
                <c:pt idx="8">
                  <c:v>9442.105263157895</c:v>
                </c:pt>
                <c:pt idx="9">
                  <c:v>9809.5238095238092</c:v>
                </c:pt>
                <c:pt idx="10">
                  <c:v>9712.5</c:v>
                </c:pt>
                <c:pt idx="11">
                  <c:v>9503.8461538461543</c:v>
                </c:pt>
                <c:pt idx="12">
                  <c:v>8979.310344827587</c:v>
                </c:pt>
                <c:pt idx="13">
                  <c:v>9090.9090909090901</c:v>
                </c:pt>
                <c:pt idx="14">
                  <c:v>9108.1081081081084</c:v>
                </c:pt>
                <c:pt idx="15">
                  <c:v>9082.0512820512813</c:v>
                </c:pt>
                <c:pt idx="16">
                  <c:v>8987.5</c:v>
                </c:pt>
                <c:pt idx="17">
                  <c:v>9978.5714285714294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134.79923518164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ただ2!$J$3:$J$20</c:f>
              <c:numCache>
                <c:formatCode>0</c:formatCode>
                <c:ptCount val="18"/>
                <c:pt idx="1">
                  <c:v>-1950</c:v>
                </c:pt>
                <c:pt idx="2">
                  <c:v>-5300</c:v>
                </c:pt>
                <c:pt idx="3">
                  <c:v>-8760</c:v>
                </c:pt>
                <c:pt idx="4">
                  <c:v>-9628.5714285714294</c:v>
                </c:pt>
                <c:pt idx="5">
                  <c:v>-8955.5555555555547</c:v>
                </c:pt>
                <c:pt idx="6">
                  <c:v>-11600</c:v>
                </c:pt>
                <c:pt idx="7">
                  <c:v>-11657.142857142857</c:v>
                </c:pt>
                <c:pt idx="8">
                  <c:v>-11700</c:v>
                </c:pt>
                <c:pt idx="9">
                  <c:v>-11700</c:v>
                </c:pt>
                <c:pt idx="10">
                  <c:v>-11227.777777777777</c:v>
                </c:pt>
                <c:pt idx="11">
                  <c:v>-10365</c:v>
                </c:pt>
                <c:pt idx="12">
                  <c:v>-9904.545454545454</c:v>
                </c:pt>
                <c:pt idx="13">
                  <c:v>-9904.545454545454</c:v>
                </c:pt>
                <c:pt idx="14">
                  <c:v>-9821.7391304347821</c:v>
                </c:pt>
                <c:pt idx="15">
                  <c:v>-9836</c:v>
                </c:pt>
                <c:pt idx="16">
                  <c:v>-9542.8571428571431</c:v>
                </c:pt>
                <c:pt idx="17">
                  <c:v>-9479.310344827587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49.47368421052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ただ2!$K$3:$K$20</c:f>
              <c:numCache>
                <c:formatCode>0.0%</c:formatCode>
                <c:ptCount val="1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8528138528138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ただ2!$L$3:$L$20</c:f>
              <c:numCache>
                <c:formatCode>0.0%</c:formatCode>
                <c:ptCount val="18"/>
                <c:pt idx="1">
                  <c:v>0.25</c:v>
                </c:pt>
                <c:pt idx="2">
                  <c:v>0.21428571428571427</c:v>
                </c:pt>
                <c:pt idx="3">
                  <c:v>0.2</c:v>
                </c:pt>
                <c:pt idx="4">
                  <c:v>0.16666666666666666</c:v>
                </c:pt>
                <c:pt idx="5">
                  <c:v>0.13157894736842105</c:v>
                </c:pt>
                <c:pt idx="6">
                  <c:v>0.1276595744680851</c:v>
                </c:pt>
                <c:pt idx="7">
                  <c:v>0.11764705882352941</c:v>
                </c:pt>
                <c:pt idx="8">
                  <c:v>0.15254237288135594</c:v>
                </c:pt>
                <c:pt idx="9">
                  <c:v>0.16666666666666666</c:v>
                </c:pt>
                <c:pt idx="10">
                  <c:v>0.16438356164383561</c:v>
                </c:pt>
                <c:pt idx="11">
                  <c:v>0.15853658536585366</c:v>
                </c:pt>
                <c:pt idx="12">
                  <c:v>0.14444444444444443</c:v>
                </c:pt>
                <c:pt idx="13">
                  <c:v>0.17708333333333334</c:v>
                </c:pt>
                <c:pt idx="14">
                  <c:v>0.18095238095238095</c:v>
                </c:pt>
                <c:pt idx="15">
                  <c:v>0.17391304347826086</c:v>
                </c:pt>
                <c:pt idx="16">
                  <c:v>0.19354838709677419</c:v>
                </c:pt>
                <c:pt idx="17">
                  <c:v>0.1953125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8454187745924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ただ2!$M$3:$M$20</c:f>
              <c:numCache>
                <c:formatCode>0.0%</c:formatCode>
                <c:ptCount val="18"/>
                <c:pt idx="1">
                  <c:v>0.125</c:v>
                </c:pt>
                <c:pt idx="2">
                  <c:v>0.14285714285714285</c:v>
                </c:pt>
                <c:pt idx="3">
                  <c:v>0.16</c:v>
                </c:pt>
                <c:pt idx="4">
                  <c:v>0.23333333333333334</c:v>
                </c:pt>
                <c:pt idx="5">
                  <c:v>0.34210526315789475</c:v>
                </c:pt>
                <c:pt idx="6">
                  <c:v>0.34042553191489361</c:v>
                </c:pt>
                <c:pt idx="7">
                  <c:v>0.35294117647058826</c:v>
                </c:pt>
                <c:pt idx="8">
                  <c:v>0.3728813559322034</c:v>
                </c:pt>
                <c:pt idx="9">
                  <c:v>0.34848484848484851</c:v>
                </c:pt>
                <c:pt idx="10">
                  <c:v>0.34246575342465752</c:v>
                </c:pt>
                <c:pt idx="11">
                  <c:v>0.32926829268292684</c:v>
                </c:pt>
                <c:pt idx="12">
                  <c:v>0.34444444444444444</c:v>
                </c:pt>
                <c:pt idx="13">
                  <c:v>0.33333333333333331</c:v>
                </c:pt>
                <c:pt idx="14">
                  <c:v>0.32380952380952382</c:v>
                </c:pt>
                <c:pt idx="15">
                  <c:v>0.31304347826086959</c:v>
                </c:pt>
                <c:pt idx="16">
                  <c:v>0.30645161290322581</c:v>
                </c:pt>
                <c:pt idx="17">
                  <c:v>0.3046875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5171444631815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ただ2!$N$3:$N$20</c:f>
              <c:numCache>
                <c:formatCode>0.0%</c:formatCode>
                <c:ptCount val="18"/>
                <c:pt idx="1">
                  <c:v>1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0.66666666666666663</c:v>
                </c:pt>
                <c:pt idx="7">
                  <c:v>0.66666666666666663</c:v>
                </c:pt>
                <c:pt idx="8">
                  <c:v>0.77777777777777779</c:v>
                </c:pt>
                <c:pt idx="9">
                  <c:v>0.72727272727272729</c:v>
                </c:pt>
                <c:pt idx="10">
                  <c:v>0.75</c:v>
                </c:pt>
                <c:pt idx="11">
                  <c:v>0.69230769230769229</c:v>
                </c:pt>
                <c:pt idx="12">
                  <c:v>0.69230769230769229</c:v>
                </c:pt>
                <c:pt idx="13">
                  <c:v>0.6470588235294118</c:v>
                </c:pt>
                <c:pt idx="14">
                  <c:v>0.68421052631578949</c:v>
                </c:pt>
                <c:pt idx="15">
                  <c:v>0.65</c:v>
                </c:pt>
                <c:pt idx="16">
                  <c:v>0.58333333333333337</c:v>
                </c:pt>
                <c:pt idx="17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298642533936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ただ2!$O$3:$O$20</c:f>
              <c:numCache>
                <c:formatCode>0.0%</c:formatCode>
                <c:ptCount val="18"/>
                <c:pt idx="1">
                  <c:v>1</c:v>
                </c:pt>
                <c:pt idx="2">
                  <c:v>0.5</c:v>
                </c:pt>
                <c:pt idx="3">
                  <c:v>0.25</c:v>
                </c:pt>
                <c:pt idx="4">
                  <c:v>0.14285714285714285</c:v>
                </c:pt>
                <c:pt idx="5">
                  <c:v>0.23076923076923078</c:v>
                </c:pt>
                <c:pt idx="6">
                  <c:v>0.25</c:v>
                </c:pt>
                <c:pt idx="7">
                  <c:v>0.22222222222222221</c:v>
                </c:pt>
                <c:pt idx="8">
                  <c:v>0.22727272727272727</c:v>
                </c:pt>
                <c:pt idx="9">
                  <c:v>0.2608695652173913</c:v>
                </c:pt>
                <c:pt idx="10">
                  <c:v>0.24</c:v>
                </c:pt>
                <c:pt idx="11">
                  <c:v>0.25925925925925924</c:v>
                </c:pt>
                <c:pt idx="12">
                  <c:v>0.25806451612903225</c:v>
                </c:pt>
                <c:pt idx="13">
                  <c:v>0.28125</c:v>
                </c:pt>
                <c:pt idx="14">
                  <c:v>0.29411764705882354</c:v>
                </c:pt>
                <c:pt idx="15">
                  <c:v>0.30555555555555558</c:v>
                </c:pt>
                <c:pt idx="16">
                  <c:v>0.28947368421052633</c:v>
                </c:pt>
                <c:pt idx="17">
                  <c:v>0.28205128205128205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438356164383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ただ2!$A$3:$A$20</c:f>
              <c:numCache>
                <c:formatCode>0\ "回"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ただ2!$P$3:$P$20</c:f>
              <c:numCache>
                <c:formatCode>0.0%</c:formatCode>
                <c:ptCount val="18"/>
                <c:pt idx="1">
                  <c:v>0.33333333333333331</c:v>
                </c:pt>
                <c:pt idx="2">
                  <c:v>0.42857142857142855</c:v>
                </c:pt>
                <c:pt idx="3">
                  <c:v>0.4</c:v>
                </c:pt>
                <c:pt idx="4">
                  <c:v>0.4</c:v>
                </c:pt>
                <c:pt idx="5">
                  <c:v>0.33333333333333331</c:v>
                </c:pt>
                <c:pt idx="6">
                  <c:v>0.35714285714285715</c:v>
                </c:pt>
                <c:pt idx="7">
                  <c:v>0.35714285714285715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0.375</c:v>
                </c:pt>
                <c:pt idx="11">
                  <c:v>0.34615384615384615</c:v>
                </c:pt>
                <c:pt idx="12">
                  <c:v>0.34482758620689657</c:v>
                </c:pt>
                <c:pt idx="13">
                  <c:v>0.33333333333333331</c:v>
                </c:pt>
                <c:pt idx="14">
                  <c:v>0.29729729729729731</c:v>
                </c:pt>
                <c:pt idx="15">
                  <c:v>0.30769230769230771</c:v>
                </c:pt>
                <c:pt idx="16">
                  <c:v>0.32500000000000001</c:v>
                </c:pt>
                <c:pt idx="17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3154875717017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0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  <row r="17" spans="1:5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5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  <row r="19" spans="1:5" x14ac:dyDescent="0.45">
      <c r="A19" s="2" t="s">
        <v>223</v>
      </c>
      <c r="B19" s="3">
        <v>43998.999363425923</v>
      </c>
      <c r="C19" s="2" t="s">
        <v>127</v>
      </c>
      <c r="D19" s="2" t="s">
        <v>191</v>
      </c>
    </row>
    <row r="20" spans="1:5" x14ac:dyDescent="0.45">
      <c r="A20" s="2" t="s">
        <v>224</v>
      </c>
      <c r="B20" s="3">
        <v>44000.055810185186</v>
      </c>
      <c r="C20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231</v>
      </c>
    </row>
    <row r="2" spans="1:2" x14ac:dyDescent="0.45">
      <c r="A2" t="s">
        <v>164</v>
      </c>
      <c r="B2">
        <v>42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54</v>
      </c>
    </row>
    <row r="5" spans="1:2" x14ac:dyDescent="0.45">
      <c r="A5" t="s">
        <v>194</v>
      </c>
      <c r="B5">
        <v>24</v>
      </c>
    </row>
    <row r="6" spans="1:2" x14ac:dyDescent="0.45">
      <c r="A6" t="s">
        <v>192</v>
      </c>
      <c r="B6">
        <v>42</v>
      </c>
    </row>
    <row r="7" spans="1:2" x14ac:dyDescent="0.45">
      <c r="A7" t="s">
        <v>193</v>
      </c>
      <c r="B7">
        <v>26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17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0.56545063535166562</v>
      </c>
      <c r="C2" s="140"/>
      <c r="D2" s="145"/>
      <c r="E2" s="146"/>
      <c r="F2" s="145"/>
      <c r="G2" s="146"/>
      <c r="H2" s="139">
        <v>0.35557918835806701</v>
      </c>
      <c r="I2" s="140"/>
      <c r="J2" s="139">
        <v>0.90304850404405002</v>
      </c>
      <c r="K2" s="140"/>
      <c r="L2" s="139">
        <v>0.72071606821863088</v>
      </c>
      <c r="M2" s="140"/>
      <c r="N2" s="139">
        <v>0.84633130661011358</v>
      </c>
      <c r="O2" s="140"/>
      <c r="P2" s="139">
        <v>0.73694081017502422</v>
      </c>
      <c r="Q2" s="140"/>
      <c r="R2" s="139">
        <v>0.31525968965784201</v>
      </c>
      <c r="S2" s="140"/>
      <c r="T2" s="139">
        <v>0.33540984818775282</v>
      </c>
      <c r="U2" s="140"/>
      <c r="V2" s="139">
        <v>-0.11774553035973827</v>
      </c>
      <c r="W2" s="140"/>
      <c r="X2" s="139">
        <v>0.69234454162615588</v>
      </c>
      <c r="Y2" s="140"/>
      <c r="Z2" s="139">
        <v>-1.5228887139196134E-2</v>
      </c>
      <c r="AA2" s="140"/>
      <c r="AB2" s="139">
        <v>-0.13643028943576385</v>
      </c>
      <c r="AC2" s="140"/>
      <c r="AD2" s="139">
        <v>0.6865215278418445</v>
      </c>
      <c r="AE2" s="140"/>
      <c r="AF2" s="139">
        <v>0.33904209284378251</v>
      </c>
      <c r="AG2" s="140"/>
      <c r="AH2" s="139">
        <v>0.85128160825934041</v>
      </c>
      <c r="AI2" s="140"/>
      <c r="AJ2" s="139">
        <v>-0.1537792655414687</v>
      </c>
      <c r="AK2" s="140"/>
    </row>
    <row r="3" spans="1:37" x14ac:dyDescent="0.45">
      <c r="A3" s="40">
        <v>1</v>
      </c>
      <c r="B3" s="43" t="s">
        <v>139</v>
      </c>
      <c r="C3" s="117">
        <v>77</v>
      </c>
      <c r="D3" s="41" t="s">
        <v>126</v>
      </c>
      <c r="E3" s="42">
        <v>598.90000000000009</v>
      </c>
      <c r="F3" s="43" t="s">
        <v>126</v>
      </c>
      <c r="G3" s="62">
        <v>11.090740740740742</v>
      </c>
      <c r="H3" s="43" t="s">
        <v>196</v>
      </c>
      <c r="I3" s="62">
        <v>7.6166666666666663</v>
      </c>
      <c r="J3" s="43" t="s">
        <v>126</v>
      </c>
      <c r="K3" s="44">
        <v>1.7777777777777777</v>
      </c>
      <c r="L3" s="43" t="s">
        <v>126</v>
      </c>
      <c r="M3" s="45">
        <v>0.42592592592592593</v>
      </c>
      <c r="N3" s="43" t="s">
        <v>196</v>
      </c>
      <c r="O3" s="45">
        <v>0.125</v>
      </c>
      <c r="P3" s="43" t="s">
        <v>126</v>
      </c>
      <c r="Q3" s="46">
        <v>0.33090024330900242</v>
      </c>
      <c r="R3" s="43" t="s">
        <v>196</v>
      </c>
      <c r="S3" s="46">
        <v>7.6923076923076927E-2</v>
      </c>
      <c r="T3" s="43" t="s">
        <v>164</v>
      </c>
      <c r="U3" s="47">
        <v>10435.632183908046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0.31413612565445026</v>
      </c>
      <c r="AD3" s="43" t="s">
        <v>213</v>
      </c>
      <c r="AE3" s="46">
        <v>0.70833333333333337</v>
      </c>
      <c r="AF3" s="43" t="s">
        <v>213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54</v>
      </c>
      <c r="D4" s="49" t="s">
        <v>193</v>
      </c>
      <c r="E4" s="50">
        <v>86.8</v>
      </c>
      <c r="F4" s="51" t="s">
        <v>193</v>
      </c>
      <c r="G4" s="63">
        <v>3.3384615384615381</v>
      </c>
      <c r="H4" s="51" t="s">
        <v>194</v>
      </c>
      <c r="I4" s="63">
        <v>2.7228787878787863</v>
      </c>
      <c r="J4" s="51" t="s">
        <v>196</v>
      </c>
      <c r="K4" s="52">
        <v>1.875</v>
      </c>
      <c r="L4" s="51" t="s">
        <v>193</v>
      </c>
      <c r="M4" s="53">
        <v>0.38461538461538464</v>
      </c>
      <c r="N4" s="51" t="s">
        <v>126</v>
      </c>
      <c r="O4" s="53">
        <v>0.20370370370370369</v>
      </c>
      <c r="P4" s="51" t="s">
        <v>205</v>
      </c>
      <c r="Q4" s="54">
        <v>0.328125</v>
      </c>
      <c r="R4" s="51" t="s">
        <v>192</v>
      </c>
      <c r="S4" s="54">
        <v>0.11377245508982035</v>
      </c>
      <c r="T4" s="51" t="s">
        <v>126</v>
      </c>
      <c r="U4" s="55">
        <v>10211.029411764706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164</v>
      </c>
      <c r="AA4" s="54">
        <v>0.29846153846153844</v>
      </c>
      <c r="AB4" s="51" t="s">
        <v>205</v>
      </c>
      <c r="AC4" s="54">
        <v>0.3046875</v>
      </c>
      <c r="AD4" s="51" t="s">
        <v>196</v>
      </c>
      <c r="AE4" s="54">
        <v>0.68421052631578949</v>
      </c>
      <c r="AF4" s="51" t="s">
        <v>194</v>
      </c>
      <c r="AG4" s="54">
        <v>0.52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42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193</v>
      </c>
      <c r="K5" s="52">
        <v>1.9615384615384615</v>
      </c>
      <c r="L5" s="51" t="s">
        <v>164</v>
      </c>
      <c r="M5" s="53">
        <v>0.35714285714285715</v>
      </c>
      <c r="N5" s="51" t="s">
        <v>192</v>
      </c>
      <c r="O5" s="53">
        <v>0.2857142857142857</v>
      </c>
      <c r="P5" s="51" t="s">
        <v>193</v>
      </c>
      <c r="Q5" s="54">
        <v>0.31413612565445026</v>
      </c>
      <c r="R5" s="51" t="s">
        <v>193</v>
      </c>
      <c r="S5" s="54">
        <v>0.14136125654450263</v>
      </c>
      <c r="T5" s="51" t="s">
        <v>205</v>
      </c>
      <c r="U5" s="55">
        <v>9978.5714285714294</v>
      </c>
      <c r="V5" s="51" t="s">
        <v>193</v>
      </c>
      <c r="W5" s="55">
        <v>-7514.8148148148148</v>
      </c>
      <c r="X5" s="51" t="s">
        <v>126</v>
      </c>
      <c r="Y5" s="53">
        <v>5.5555555555555552E-2</v>
      </c>
      <c r="Z5" s="51" t="s">
        <v>196</v>
      </c>
      <c r="AA5" s="54">
        <v>0.29230769230769232</v>
      </c>
      <c r="AB5" s="51" t="s">
        <v>192</v>
      </c>
      <c r="AC5" s="54">
        <v>0.24850299401197604</v>
      </c>
      <c r="AD5" s="51" t="s">
        <v>193</v>
      </c>
      <c r="AE5" s="54">
        <v>0.62962962962962965</v>
      </c>
      <c r="AF5" s="51" t="s">
        <v>126</v>
      </c>
      <c r="AG5" s="54">
        <v>0.5</v>
      </c>
      <c r="AH5" s="51" t="s">
        <v>126</v>
      </c>
      <c r="AI5" s="54">
        <v>0.5220588235294118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42</v>
      </c>
      <c r="D6" s="49" t="s">
        <v>139</v>
      </c>
      <c r="E6" s="50">
        <v>-2.1316282072803006E-14</v>
      </c>
      <c r="F6" s="51" t="s">
        <v>139</v>
      </c>
      <c r="G6" s="63">
        <v>-9.2278277371441589E-17</v>
      </c>
      <c r="H6" s="51" t="s">
        <v>193</v>
      </c>
      <c r="I6" s="63">
        <v>1.7602645502645515</v>
      </c>
      <c r="J6" s="51" t="s">
        <v>192</v>
      </c>
      <c r="K6" s="52">
        <v>2</v>
      </c>
      <c r="L6" s="51" t="s">
        <v>205</v>
      </c>
      <c r="M6" s="53">
        <v>0.35294117647058826</v>
      </c>
      <c r="N6" s="51" t="s">
        <v>139</v>
      </c>
      <c r="O6" s="53">
        <v>0.33333333333333331</v>
      </c>
      <c r="P6" s="51" t="s">
        <v>213</v>
      </c>
      <c r="Q6" s="54">
        <v>0.3108108108108108</v>
      </c>
      <c r="R6" s="51" t="s">
        <v>126</v>
      </c>
      <c r="S6" s="54">
        <v>0.14355231143552311</v>
      </c>
      <c r="T6" s="51" t="s">
        <v>139</v>
      </c>
      <c r="U6" s="55">
        <v>9134.7992351816447</v>
      </c>
      <c r="V6" s="51" t="s">
        <v>192</v>
      </c>
      <c r="W6" s="55">
        <v>-7850</v>
      </c>
      <c r="X6" s="51" t="s">
        <v>192</v>
      </c>
      <c r="Y6" s="53">
        <v>9.5238095238095233E-2</v>
      </c>
      <c r="Z6" s="51" t="s">
        <v>189</v>
      </c>
      <c r="AA6" s="54">
        <v>0.28378378378378377</v>
      </c>
      <c r="AB6" s="51" t="s">
        <v>164</v>
      </c>
      <c r="AC6" s="54">
        <v>0.20923076923076922</v>
      </c>
      <c r="AD6" s="51" t="s">
        <v>126</v>
      </c>
      <c r="AE6" s="54">
        <v>0.62616822429906538</v>
      </c>
      <c r="AF6" s="51" t="s">
        <v>189</v>
      </c>
      <c r="AG6" s="54">
        <v>0.5</v>
      </c>
      <c r="AH6" s="51" t="s">
        <v>213</v>
      </c>
      <c r="AI6" s="54">
        <v>0.52173913043478259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193</v>
      </c>
      <c r="C7" s="118">
        <v>26</v>
      </c>
      <c r="D7" s="49" t="s">
        <v>213</v>
      </c>
      <c r="E7" s="50">
        <v>-41.599999999999994</v>
      </c>
      <c r="F7" s="51" t="s">
        <v>192</v>
      </c>
      <c r="G7" s="63">
        <v>-2.1976190476190469</v>
      </c>
      <c r="H7" s="51" t="s">
        <v>126</v>
      </c>
      <c r="I7" s="63">
        <v>1.7119235836627122</v>
      </c>
      <c r="J7" s="51" t="s">
        <v>139</v>
      </c>
      <c r="K7" s="52">
        <v>2</v>
      </c>
      <c r="L7" s="51" t="s">
        <v>139</v>
      </c>
      <c r="M7" s="53">
        <v>0.33333333333333331</v>
      </c>
      <c r="N7" s="51" t="s">
        <v>213</v>
      </c>
      <c r="O7" s="53">
        <v>0.33333333333333331</v>
      </c>
      <c r="P7" s="51" t="s">
        <v>139</v>
      </c>
      <c r="Q7" s="54">
        <v>0.29398538504777966</v>
      </c>
      <c r="R7" s="51" t="s">
        <v>194</v>
      </c>
      <c r="S7" s="54">
        <v>0.15819209039548024</v>
      </c>
      <c r="T7" s="51" t="s">
        <v>189</v>
      </c>
      <c r="U7" s="55">
        <v>9062.5</v>
      </c>
      <c r="V7" s="51" t="s">
        <v>194</v>
      </c>
      <c r="W7" s="55">
        <v>-8075</v>
      </c>
      <c r="X7" s="51" t="s">
        <v>189</v>
      </c>
      <c r="Y7" s="53">
        <v>0.1111111111111111</v>
      </c>
      <c r="Z7" s="51" t="s">
        <v>126</v>
      </c>
      <c r="AA7" s="54">
        <v>0.26034063260340634</v>
      </c>
      <c r="AB7" s="51" t="s">
        <v>139</v>
      </c>
      <c r="AC7" s="54">
        <v>0.20517144463181564</v>
      </c>
      <c r="AD7" s="51" t="s">
        <v>205</v>
      </c>
      <c r="AE7" s="54">
        <v>0.6</v>
      </c>
      <c r="AF7" s="51" t="s">
        <v>193</v>
      </c>
      <c r="AG7" s="54">
        <v>0.43333333333333335</v>
      </c>
      <c r="AH7" s="51" t="s">
        <v>193</v>
      </c>
      <c r="AI7" s="54">
        <v>0.46666666666666667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194</v>
      </c>
      <c r="C8" s="118">
        <v>24</v>
      </c>
      <c r="D8" s="49" t="s">
        <v>205</v>
      </c>
      <c r="E8" s="50">
        <v>-52.900000000000013</v>
      </c>
      <c r="F8" s="51" t="s">
        <v>205</v>
      </c>
      <c r="G8" s="63">
        <v>-3.1117647058823539</v>
      </c>
      <c r="H8" s="51" t="s">
        <v>139</v>
      </c>
      <c r="I8" s="63">
        <v>0</v>
      </c>
      <c r="J8" s="51" t="s">
        <v>205</v>
      </c>
      <c r="K8" s="52">
        <v>2.0588235294117645</v>
      </c>
      <c r="L8" s="51" t="s">
        <v>192</v>
      </c>
      <c r="M8" s="53">
        <v>0.2857142857142857</v>
      </c>
      <c r="N8" s="51" t="s">
        <v>193</v>
      </c>
      <c r="O8" s="53">
        <v>0.34615384615384615</v>
      </c>
      <c r="P8" s="51" t="s">
        <v>192</v>
      </c>
      <c r="Q8" s="54">
        <v>0.27844311377245506</v>
      </c>
      <c r="R8" s="51" t="s">
        <v>139</v>
      </c>
      <c r="S8" s="54">
        <v>0.16020236087689713</v>
      </c>
      <c r="T8" s="51" t="s">
        <v>193</v>
      </c>
      <c r="U8" s="55">
        <v>8308.3333333333339</v>
      </c>
      <c r="V8" s="51" t="s">
        <v>139</v>
      </c>
      <c r="W8" s="55">
        <v>-8249.4736842105267</v>
      </c>
      <c r="X8" s="51" t="s">
        <v>139</v>
      </c>
      <c r="Y8" s="53">
        <v>0.13852813852813853</v>
      </c>
      <c r="Z8" s="51" t="s">
        <v>139</v>
      </c>
      <c r="AA8" s="54">
        <v>0.24845418774592468</v>
      </c>
      <c r="AB8" s="51" t="s">
        <v>126</v>
      </c>
      <c r="AC8" s="54">
        <v>0.16545012165450121</v>
      </c>
      <c r="AD8" s="51" t="s">
        <v>139</v>
      </c>
      <c r="AE8" s="54">
        <v>0.55429864253393668</v>
      </c>
      <c r="AF8" s="51" t="s">
        <v>139</v>
      </c>
      <c r="AG8" s="54">
        <v>0.41643835616438357</v>
      </c>
      <c r="AH8" s="51" t="s">
        <v>139</v>
      </c>
      <c r="AI8" s="54">
        <v>0.45315487571701724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205</v>
      </c>
      <c r="C9" s="118">
        <v>17</v>
      </c>
      <c r="D9" s="49" t="s">
        <v>192</v>
      </c>
      <c r="E9" s="50">
        <v>-92.299999999999969</v>
      </c>
      <c r="F9" s="51" t="s">
        <v>164</v>
      </c>
      <c r="G9" s="63">
        <v>-4.6142857142857157</v>
      </c>
      <c r="H9" s="51" t="s">
        <v>205</v>
      </c>
      <c r="I9" s="63">
        <v>-1.0710317460317473</v>
      </c>
      <c r="J9" s="51" t="s">
        <v>164</v>
      </c>
      <c r="K9" s="52">
        <v>2.0952380952380953</v>
      </c>
      <c r="L9" s="51" t="s">
        <v>196</v>
      </c>
      <c r="M9" s="53">
        <v>0.25</v>
      </c>
      <c r="N9" s="51" t="s">
        <v>205</v>
      </c>
      <c r="O9" s="53">
        <v>0.41176470588235292</v>
      </c>
      <c r="P9" s="51" t="s">
        <v>194</v>
      </c>
      <c r="Q9" s="54">
        <v>0.2768361581920904</v>
      </c>
      <c r="R9" s="51" t="s">
        <v>213</v>
      </c>
      <c r="S9" s="54">
        <v>0.1891891891891892</v>
      </c>
      <c r="T9" s="51" t="s">
        <v>194</v>
      </c>
      <c r="U9" s="55">
        <v>8167.3469387755104</v>
      </c>
      <c r="V9" s="51" t="s">
        <v>164</v>
      </c>
      <c r="W9" s="55">
        <v>-8425</v>
      </c>
      <c r="X9" s="51" t="s">
        <v>205</v>
      </c>
      <c r="Y9" s="53">
        <v>0.17647058823529413</v>
      </c>
      <c r="Z9" s="51" t="s">
        <v>192</v>
      </c>
      <c r="AA9" s="54">
        <v>0.24550898203592814</v>
      </c>
      <c r="AB9" s="51" t="s">
        <v>194</v>
      </c>
      <c r="AC9" s="54">
        <v>0.14124293785310735</v>
      </c>
      <c r="AD9" s="51" t="s">
        <v>192</v>
      </c>
      <c r="AE9" s="54">
        <v>0.54878048780487809</v>
      </c>
      <c r="AF9" s="51" t="s">
        <v>164</v>
      </c>
      <c r="AG9" s="54">
        <v>0.39705882352941174</v>
      </c>
      <c r="AH9" s="51" t="s">
        <v>192</v>
      </c>
      <c r="AI9" s="54">
        <v>0.40860215053763443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213</v>
      </c>
      <c r="G10" s="63">
        <v>-4.6222222222222218</v>
      </c>
      <c r="H10" s="51" t="s">
        <v>164</v>
      </c>
      <c r="I10" s="63">
        <v>-1.2958187134502854</v>
      </c>
      <c r="J10" s="51" t="s">
        <v>213</v>
      </c>
      <c r="K10" s="52">
        <v>2.1111111111111112</v>
      </c>
      <c r="L10" s="51" t="s">
        <v>189</v>
      </c>
      <c r="M10" s="53">
        <v>0.22222222222222221</v>
      </c>
      <c r="N10" s="51" t="s">
        <v>189</v>
      </c>
      <c r="O10" s="53">
        <v>0.44444444444444442</v>
      </c>
      <c r="P10" s="51" t="s">
        <v>164</v>
      </c>
      <c r="Q10" s="54">
        <v>0.26769230769230767</v>
      </c>
      <c r="R10" s="51" t="s">
        <v>164</v>
      </c>
      <c r="S10" s="54">
        <v>0.20923076923076922</v>
      </c>
      <c r="T10" s="51" t="s">
        <v>196</v>
      </c>
      <c r="U10" s="55">
        <v>7964.7058823529414</v>
      </c>
      <c r="V10" s="51" t="s">
        <v>126</v>
      </c>
      <c r="W10" s="55">
        <v>-8622.0338983050842</v>
      </c>
      <c r="X10" s="51" t="s">
        <v>164</v>
      </c>
      <c r="Y10" s="53">
        <v>0.21428571428571427</v>
      </c>
      <c r="Z10" s="51" t="s">
        <v>194</v>
      </c>
      <c r="AA10" s="54">
        <v>0.22598870056497175</v>
      </c>
      <c r="AB10" s="51" t="s">
        <v>196</v>
      </c>
      <c r="AC10" s="54">
        <v>0.13846153846153847</v>
      </c>
      <c r="AD10" s="51" t="s">
        <v>194</v>
      </c>
      <c r="AE10" s="54">
        <v>0.5</v>
      </c>
      <c r="AF10" s="51" t="s">
        <v>192</v>
      </c>
      <c r="AG10" s="54">
        <v>0.37349397590361444</v>
      </c>
      <c r="AH10" s="51" t="s">
        <v>194</v>
      </c>
      <c r="AI10" s="54">
        <v>0.40816326530612246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164</v>
      </c>
      <c r="E11" s="50">
        <v>-193.80000000000004</v>
      </c>
      <c r="F11" s="51" t="s">
        <v>194</v>
      </c>
      <c r="G11" s="63">
        <v>-8.6291666666666647</v>
      </c>
      <c r="H11" s="51" t="s">
        <v>192</v>
      </c>
      <c r="I11" s="63">
        <v>-1.9231481481481485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164</v>
      </c>
      <c r="O11" s="53">
        <v>0.45238095238095238</v>
      </c>
      <c r="P11" s="51" t="s">
        <v>196</v>
      </c>
      <c r="Q11" s="54">
        <v>0.26153846153846155</v>
      </c>
      <c r="R11" s="51" t="s">
        <v>205</v>
      </c>
      <c r="S11" s="54">
        <v>0.2265625</v>
      </c>
      <c r="T11" s="51" t="s">
        <v>192</v>
      </c>
      <c r="U11" s="55">
        <v>7629.0322580645161</v>
      </c>
      <c r="V11" s="51" t="s">
        <v>213</v>
      </c>
      <c r="W11" s="55">
        <v>-8671.4285714285706</v>
      </c>
      <c r="X11" s="51" t="s">
        <v>193</v>
      </c>
      <c r="Y11" s="53">
        <v>0.23076923076923078</v>
      </c>
      <c r="Z11" s="51" t="s">
        <v>205</v>
      </c>
      <c r="AA11" s="54">
        <v>0.1953125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164</v>
      </c>
      <c r="AI11" s="54">
        <v>0.40229885057471265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-207.09999999999994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2.25</v>
      </c>
      <c r="L12" s="51" t="s">
        <v>194</v>
      </c>
      <c r="M12" s="53">
        <v>0.20833333333333334</v>
      </c>
      <c r="N12" s="51" t="s">
        <v>194</v>
      </c>
      <c r="O12" s="53">
        <v>0.45833333333333331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-9479.310344827587</v>
      </c>
      <c r="X12" s="51" t="s">
        <v>194</v>
      </c>
      <c r="Y12" s="53">
        <v>0.25</v>
      </c>
      <c r="Z12" s="51" t="s">
        <v>193</v>
      </c>
      <c r="AA12" s="54">
        <v>0.14136125654450263</v>
      </c>
      <c r="AB12" s="51" t="s">
        <v>189</v>
      </c>
      <c r="AC12" s="54">
        <v>8.1081081081081086E-2</v>
      </c>
      <c r="AD12" s="51" t="s">
        <v>164</v>
      </c>
      <c r="AE12" s="54">
        <v>0.42268041237113402</v>
      </c>
      <c r="AF12" s="51" t="s">
        <v>205</v>
      </c>
      <c r="AG12" s="54">
        <v>0.28205128205128205</v>
      </c>
      <c r="AH12" s="51" t="s">
        <v>205</v>
      </c>
      <c r="AI12" s="54">
        <v>0.35714285714285715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3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231</v>
      </c>
      <c r="C2" s="132"/>
      <c r="E2" s="28" t="s">
        <v>66</v>
      </c>
      <c r="F2" s="25" t="s">
        <v>22</v>
      </c>
      <c r="G2" s="13">
        <v>379</v>
      </c>
      <c r="H2" s="91">
        <f>IF(B$19=0,0,G2/B$19)</f>
        <v>0.72466539196940727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-8.7719298245614041</v>
      </c>
      <c r="P2" s="80">
        <v>228</v>
      </c>
      <c r="Q2" s="67">
        <v>-2000</v>
      </c>
    </row>
    <row r="3" spans="1:17" x14ac:dyDescent="0.45">
      <c r="A3" s="21" t="s">
        <v>8</v>
      </c>
      <c r="B3" s="133">
        <v>1779</v>
      </c>
      <c r="C3" s="134"/>
      <c r="E3" s="29" t="s">
        <v>72</v>
      </c>
      <c r="F3" s="26" t="s">
        <v>27</v>
      </c>
      <c r="G3" s="14">
        <v>295</v>
      </c>
      <c r="H3" s="92">
        <f>IF(B$19=0,0,G3/B$19)</f>
        <v>0.56405353728489482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-9.0090090090090094</v>
      </c>
      <c r="P3" s="81">
        <v>222</v>
      </c>
      <c r="Q3" s="68">
        <v>-2000</v>
      </c>
    </row>
    <row r="4" spans="1:17" x14ac:dyDescent="0.45">
      <c r="A4" s="21" t="s">
        <v>6</v>
      </c>
      <c r="B4" s="135">
        <v>-2.1316282072803006E-14</v>
      </c>
      <c r="C4" s="136"/>
      <c r="E4" s="29" t="s">
        <v>64</v>
      </c>
      <c r="F4" s="26" t="s">
        <v>20</v>
      </c>
      <c r="G4" s="14">
        <v>237</v>
      </c>
      <c r="H4" s="92">
        <f>IF(B$19=0,0,G4/B$19)</f>
        <v>0.45315487571701724</v>
      </c>
      <c r="I4" s="60">
        <v>5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210</v>
      </c>
      <c r="Q4" s="68">
        <v>0</v>
      </c>
    </row>
    <row r="5" spans="1:17" x14ac:dyDescent="0.45">
      <c r="A5" s="21" t="s">
        <v>7</v>
      </c>
      <c r="B5" s="123">
        <f>IF(B$2=0,0,B$4/B$2)</f>
        <v>-9.2278277371441589E-17</v>
      </c>
      <c r="C5" s="124"/>
      <c r="E5" s="29" t="s">
        <v>160</v>
      </c>
      <c r="F5" s="26" t="s">
        <v>161</v>
      </c>
      <c r="G5" s="14">
        <v>216</v>
      </c>
      <c r="H5" s="92">
        <f>IF(B$19=0,0,G5/B$19)</f>
        <v>0.4130019120458891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16.393442622950818</v>
      </c>
      <c r="P5" s="81">
        <v>183</v>
      </c>
      <c r="Q5" s="68">
        <v>3000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160</v>
      </c>
      <c r="H6" s="92">
        <f>IF(B$19=0,0,G6/B$19)</f>
        <v>0.30592734225621415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-56.60377358490566</v>
      </c>
      <c r="P6" s="81">
        <v>159</v>
      </c>
      <c r="Q6" s="68">
        <v>-9000</v>
      </c>
    </row>
    <row r="7" spans="1:17" x14ac:dyDescent="0.45">
      <c r="A7" s="21" t="s">
        <v>2</v>
      </c>
      <c r="B7" s="14">
        <v>77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123</v>
      </c>
      <c r="H7" s="92">
        <f>IF(B$19=0,0,G7/B$19)</f>
        <v>0.23518164435946462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75</v>
      </c>
      <c r="P7" s="82">
        <v>120</v>
      </c>
      <c r="Q7" s="69">
        <v>9000</v>
      </c>
    </row>
    <row r="8" spans="1:17" x14ac:dyDescent="0.45">
      <c r="A8" s="21" t="s">
        <v>3</v>
      </c>
      <c r="B8" s="14">
        <v>77</v>
      </c>
      <c r="C8" s="8">
        <f t="shared" si="1"/>
        <v>0.33333333333333331</v>
      </c>
      <c r="E8" s="29" t="s">
        <v>89</v>
      </c>
      <c r="F8" s="26" t="s">
        <v>44</v>
      </c>
      <c r="G8" s="14">
        <v>75</v>
      </c>
      <c r="H8" s="92">
        <f>IF(B$19=0,0,G8/B$19)</f>
        <v>0.14340344168260039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77</v>
      </c>
      <c r="C9" s="9">
        <f t="shared" si="1"/>
        <v>0.33333333333333331</v>
      </c>
      <c r="E9" s="29" t="s">
        <v>69</v>
      </c>
      <c r="F9" s="26" t="s">
        <v>24</v>
      </c>
      <c r="G9" s="14">
        <v>69</v>
      </c>
      <c r="H9" s="92">
        <f>IF(B$19=0,0,G9/B$19)</f>
        <v>0.13193116634799235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43.031168831168827</v>
      </c>
      <c r="C10" s="114">
        <v>3313.3999999999996</v>
      </c>
      <c r="E10" s="29" t="s">
        <v>65</v>
      </c>
      <c r="F10" s="26" t="s">
        <v>21</v>
      </c>
      <c r="G10" s="14">
        <v>50</v>
      </c>
      <c r="H10" s="92">
        <f>IF(B$19=0,0,G10/B$19)</f>
        <v>9.5602294455066919E-2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-6.7480519480519456</v>
      </c>
      <c r="P10" s="80">
        <v>77</v>
      </c>
      <c r="Q10" s="71">
        <v>-519.5999999999998</v>
      </c>
    </row>
    <row r="11" spans="1:17" x14ac:dyDescent="0.45">
      <c r="A11" s="22" t="s">
        <v>186</v>
      </c>
      <c r="B11" s="113">
        <f>IF(B8=0,0,C11/B8)</f>
        <v>-3.8571428571428594</v>
      </c>
      <c r="C11" s="114">
        <v>-297.00000000000017</v>
      </c>
      <c r="E11" s="29" t="s">
        <v>70</v>
      </c>
      <c r="F11" s="26" t="s">
        <v>25</v>
      </c>
      <c r="G11" s="14">
        <v>44</v>
      </c>
      <c r="H11" s="92">
        <f>IF(B$19=0,0,G11/B$19)</f>
        <v>8.4130019120458893E-2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0.54935064935064881</v>
      </c>
      <c r="P11" s="81">
        <v>77</v>
      </c>
      <c r="Q11" s="72">
        <v>42.299999999999955</v>
      </c>
    </row>
    <row r="12" spans="1:17" x14ac:dyDescent="0.45">
      <c r="A12" s="22" t="s">
        <v>187</v>
      </c>
      <c r="B12" s="113">
        <f>IF(B9=0,0,C12/B9)</f>
        <v>-39.174025974025966</v>
      </c>
      <c r="C12" s="114">
        <v>-3016.3999999999996</v>
      </c>
      <c r="E12" s="29" t="s">
        <v>71</v>
      </c>
      <c r="F12" s="26" t="s">
        <v>26</v>
      </c>
      <c r="G12" s="14">
        <v>36</v>
      </c>
      <c r="H12" s="92">
        <f>IF(B$19=0,0,G12/B$19)</f>
        <v>6.8833652007648183E-2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6.1987012987012964</v>
      </c>
      <c r="P12" s="82">
        <v>77</v>
      </c>
      <c r="Q12" s="73">
        <v>477.29999999999984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31</v>
      </c>
      <c r="H13" s="92">
        <f>IF(B$19=0,0,G13/B$19)</f>
        <v>5.9273422562141492E-2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32</v>
      </c>
      <c r="C14" s="11">
        <f t="shared" si="1"/>
        <v>0.13852813852813853</v>
      </c>
      <c r="E14" s="29" t="s">
        <v>86</v>
      </c>
      <c r="F14" s="26" t="s">
        <v>41</v>
      </c>
      <c r="G14" s="14">
        <v>28</v>
      </c>
      <c r="H14" s="92">
        <f>IF(B$19=0,0,G14/B$19)</f>
        <v>5.3537284894837479E-2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442</v>
      </c>
      <c r="C15" s="12">
        <f>IF(B$3=0,0,B15/B$3)</f>
        <v>0.24845418774592468</v>
      </c>
      <c r="E15" s="29" t="s">
        <v>78</v>
      </c>
      <c r="F15" s="26" t="s">
        <v>33</v>
      </c>
      <c r="G15" s="14">
        <v>15</v>
      </c>
      <c r="H15" s="92">
        <f>IF(B$19=0,0,G15/B$19)</f>
        <v>2.8680688336520075E-2</v>
      </c>
      <c r="I15" s="60">
        <v>5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365</v>
      </c>
      <c r="C16" s="8">
        <f>IF(B$3=0,0,B16/B$3)</f>
        <v>0.20517144463181564</v>
      </c>
      <c r="E16" s="29" t="s">
        <v>81</v>
      </c>
      <c r="F16" s="26" t="s">
        <v>36</v>
      </c>
      <c r="G16" s="14">
        <v>15</v>
      </c>
      <c r="H16" s="92">
        <f>IF(B$19=0,0,G16/B$19)</f>
        <v>2.8680688336520075E-2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12.943749999999996</v>
      </c>
      <c r="P16" s="81">
        <v>48</v>
      </c>
      <c r="Q16" s="72">
        <v>621.29999999999984</v>
      </c>
    </row>
    <row r="17" spans="1:17" x14ac:dyDescent="0.45">
      <c r="A17" s="20" t="s">
        <v>123</v>
      </c>
      <c r="B17" s="13">
        <f>B23</f>
        <v>245</v>
      </c>
      <c r="C17" s="6">
        <f>IF(B$15=0,0,B17/B$15)</f>
        <v>0.55429864253393668</v>
      </c>
      <c r="E17" s="29" t="s">
        <v>91</v>
      </c>
      <c r="F17" s="26" t="s">
        <v>46</v>
      </c>
      <c r="G17" s="14">
        <v>13</v>
      </c>
      <c r="H17" s="92">
        <f>IF(B$19=0,0,G17/B$19)</f>
        <v>2.4856596558317401E-2</v>
      </c>
      <c r="I17" s="60">
        <v>3</v>
      </c>
      <c r="K17" s="7">
        <v>15</v>
      </c>
      <c r="L17" s="65">
        <v>1.7763568394002505E-15</v>
      </c>
      <c r="N17" s="78" t="s">
        <v>213</v>
      </c>
      <c r="O17" s="87">
        <f>IF(P17=0,0,Q17/P17)</f>
        <v>6.9333333333333345</v>
      </c>
      <c r="P17" s="81">
        <v>18</v>
      </c>
      <c r="Q17" s="72">
        <v>124.80000000000003</v>
      </c>
    </row>
    <row r="18" spans="1:17" x14ac:dyDescent="0.45">
      <c r="A18" s="20" t="s">
        <v>124</v>
      </c>
      <c r="B18" s="13">
        <f>B24</f>
        <v>152</v>
      </c>
      <c r="C18" s="6">
        <f>IF(B$16=0,0,B18/B$16)</f>
        <v>0.41643835616438357</v>
      </c>
      <c r="E18" s="29" t="s">
        <v>79</v>
      </c>
      <c r="F18" s="26" t="s">
        <v>34</v>
      </c>
      <c r="G18" s="14">
        <v>12</v>
      </c>
      <c r="H18" s="92">
        <f>IF(B$19=0,0,G18/B$19)</f>
        <v>2.2944550669216062E-2</v>
      </c>
      <c r="I18" s="60">
        <v>4</v>
      </c>
      <c r="K18" s="7">
        <v>16</v>
      </c>
      <c r="L18" s="65">
        <v>3.4000000000000017</v>
      </c>
      <c r="N18" s="78" t="s">
        <v>164</v>
      </c>
      <c r="O18" s="87">
        <f>IF(P18=0,0,Q18/P18)</f>
        <v>6.9214285714285699</v>
      </c>
      <c r="P18" s="81">
        <v>84</v>
      </c>
      <c r="Q18" s="72">
        <v>581.39999999999986</v>
      </c>
    </row>
    <row r="19" spans="1:17" x14ac:dyDescent="0.45">
      <c r="A19" s="20" t="s">
        <v>10</v>
      </c>
      <c r="B19" s="13">
        <f>B22+B21</f>
        <v>523</v>
      </c>
      <c r="C19" s="6">
        <f>IF(B$3=0,0,B19/B$3)</f>
        <v>0.29398538504777966</v>
      </c>
      <c r="E19" s="29" t="s">
        <v>92</v>
      </c>
      <c r="F19" s="26" t="s">
        <v>47</v>
      </c>
      <c r="G19" s="14">
        <v>8</v>
      </c>
      <c r="H19" s="92">
        <f>IF(B$19=0,0,G19/B$19)</f>
        <v>1.5296367112810707E-2</v>
      </c>
      <c r="I19" s="60">
        <v>5</v>
      </c>
      <c r="K19" s="7">
        <v>17</v>
      </c>
      <c r="L19" s="65">
        <v>-35.800000000000004</v>
      </c>
      <c r="N19" s="78" t="s">
        <v>205</v>
      </c>
      <c r="O19" s="87">
        <f>IF(P19=0,0,Q19/P19)</f>
        <v>4.6676470588235306</v>
      </c>
      <c r="P19" s="81">
        <v>34</v>
      </c>
      <c r="Q19" s="72">
        <v>158.70000000000005</v>
      </c>
    </row>
    <row r="20" spans="1:17" x14ac:dyDescent="0.45">
      <c r="A20" s="21" t="s">
        <v>13</v>
      </c>
      <c r="B20" s="14">
        <v>285</v>
      </c>
      <c r="C20" s="8">
        <f>IF(B$3=0,0,B20/B$3)</f>
        <v>0.16020236087689713</v>
      </c>
      <c r="E20" s="29" t="s">
        <v>156</v>
      </c>
      <c r="F20" s="26" t="s">
        <v>157</v>
      </c>
      <c r="G20" s="14">
        <v>7</v>
      </c>
      <c r="H20" s="92">
        <f>IF(B$19=0,0,G20/B$19)</f>
        <v>1.338432122370937E-2</v>
      </c>
      <c r="I20" s="60">
        <v>3</v>
      </c>
      <c r="K20" s="7">
        <v>18</v>
      </c>
      <c r="L20" s="65">
        <v>-7.1054273576010019E-15</v>
      </c>
      <c r="N20" s="78" t="s">
        <v>192</v>
      </c>
      <c r="O20" s="87">
        <f>IF(P20=0,0,Q20/P20)</f>
        <v>3.2964285714285757</v>
      </c>
      <c r="P20" s="81">
        <v>84</v>
      </c>
      <c r="Q20" s="72">
        <v>276.90000000000038</v>
      </c>
    </row>
    <row r="21" spans="1:17" x14ac:dyDescent="0.45">
      <c r="A21" s="21" t="s">
        <v>12</v>
      </c>
      <c r="B21" s="14">
        <v>237</v>
      </c>
      <c r="C21" s="8">
        <f>IF(B$19=0,0,B21/B$19)</f>
        <v>0.45315487571701724</v>
      </c>
      <c r="E21" s="29" t="s">
        <v>85</v>
      </c>
      <c r="F21" s="26" t="s">
        <v>40</v>
      </c>
      <c r="G21" s="14">
        <v>3</v>
      </c>
      <c r="H21" s="92">
        <f>IF(B$19=0,0,G21/B$19)</f>
        <v>5.7361376673040155E-3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286</v>
      </c>
      <c r="C22" s="8">
        <f>IF(B$19=0,0,B22/B$19)</f>
        <v>0.54684512428298282</v>
      </c>
      <c r="E22" s="29" t="s">
        <v>73</v>
      </c>
      <c r="F22" s="26" t="s">
        <v>28</v>
      </c>
      <c r="G22" s="14">
        <v>2</v>
      </c>
      <c r="H22" s="92">
        <f>IF(B$19=0,0,G22/B$19)</f>
        <v>3.8240917782026767E-3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-5.0076923076923077</v>
      </c>
      <c r="P22" s="81">
        <v>52</v>
      </c>
      <c r="Q22" s="72">
        <v>-260.39999999999998</v>
      </c>
    </row>
    <row r="23" spans="1:17" x14ac:dyDescent="0.45">
      <c r="A23" s="21" t="s">
        <v>184</v>
      </c>
      <c r="B23" s="14">
        <v>245</v>
      </c>
      <c r="C23" s="8">
        <f>IF(B$19=0,0,B23/B$19)</f>
        <v>0.46845124282982792</v>
      </c>
      <c r="E23" s="29" t="s">
        <v>75</v>
      </c>
      <c r="F23" s="26" t="s">
        <v>30</v>
      </c>
      <c r="G23" s="14">
        <v>2</v>
      </c>
      <c r="H23" s="92">
        <f>IF(B$19=0,0,G23/B$19)</f>
        <v>3.8240917782026767E-3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-16.636111111111095</v>
      </c>
      <c r="P23" s="81">
        <v>108</v>
      </c>
      <c r="Q23" s="72">
        <v>-1796.6999999999985</v>
      </c>
    </row>
    <row r="24" spans="1:17" x14ac:dyDescent="0.45">
      <c r="A24" s="21" t="s">
        <v>182</v>
      </c>
      <c r="B24" s="14">
        <v>152</v>
      </c>
      <c r="C24" s="8">
        <f>IF(B$19=0,0,B24/B$19)</f>
        <v>0.29063097514340347</v>
      </c>
      <c r="E24" s="29" t="s">
        <v>77</v>
      </c>
      <c r="F24" s="26" t="s">
        <v>32</v>
      </c>
      <c r="G24" s="14">
        <v>2</v>
      </c>
      <c r="H24" s="92">
        <f>IF(B$19=0,0,G24/B$19)</f>
        <v>3.8240917782026767E-3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126</v>
      </c>
      <c r="C25" s="8">
        <f>IF(B$19=0,0,B25/B$19)</f>
        <v>0.24091778202676864</v>
      </c>
      <c r="E25" s="29" t="s">
        <v>87</v>
      </c>
      <c r="F25" s="26" t="s">
        <v>42</v>
      </c>
      <c r="G25" s="14">
        <v>2</v>
      </c>
      <c r="H25" s="92">
        <f>IF(B$19=0,0,G25/B$19)</f>
        <v>3.8240917782026767E-3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9134.7992351816447</v>
      </c>
      <c r="C26" s="10">
        <v>4777500</v>
      </c>
      <c r="E26" s="29" t="s">
        <v>93</v>
      </c>
      <c r="F26" s="26" t="s">
        <v>48</v>
      </c>
      <c r="G26" s="14">
        <v>2</v>
      </c>
      <c r="H26" s="92">
        <f>IF(B$19=0,0,G26/B$19)</f>
        <v>3.8240917782026767E-3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9566.8463611859843</v>
      </c>
      <c r="C27" s="100">
        <v>3549300</v>
      </c>
      <c r="E27" s="29" t="s">
        <v>84</v>
      </c>
      <c r="F27" s="26" t="s">
        <v>39</v>
      </c>
      <c r="G27" s="14">
        <v>1</v>
      </c>
      <c r="H27" s="92">
        <f>IF(B$19=0,0,G27/B$19)</f>
        <v>1.9120458891013384E-3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8080.2631578947367</v>
      </c>
      <c r="C28" s="100">
        <v>1228200</v>
      </c>
      <c r="E28" s="29" t="s">
        <v>88</v>
      </c>
      <c r="F28" s="26" t="s">
        <v>43</v>
      </c>
      <c r="G28" s="14">
        <v>1</v>
      </c>
      <c r="H28" s="92">
        <f>IF(B$19=0,0,G28/B$19)</f>
        <v>1.9120458891013384E-3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-8249.4736842105267</v>
      </c>
      <c r="C29" s="100">
        <v>-2351100</v>
      </c>
      <c r="E29" s="29" t="s">
        <v>95</v>
      </c>
      <c r="F29" s="26" t="s">
        <v>50</v>
      </c>
      <c r="G29" s="14">
        <v>1</v>
      </c>
      <c r="H29" s="92">
        <f>IF(B$19=0,0,G29/B$19)</f>
        <v>1.9120458891013384E-3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1.9120458891013384E-3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6</v>
      </c>
      <c r="E31" s="29" t="s">
        <v>102</v>
      </c>
      <c r="F31" s="26" t="s">
        <v>57</v>
      </c>
      <c r="G31" s="14">
        <v>1</v>
      </c>
      <c r="H31" s="92">
        <f>IF(B$19=0,0,G31/B$19)</f>
        <v>1.9120458891013384E-3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74</v>
      </c>
      <c r="F32" s="26" t="s">
        <v>29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76</v>
      </c>
      <c r="F33" s="26" t="s">
        <v>31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4</v>
      </c>
      <c r="C34" s="11">
        <f>IF(B$3=0,0,B34/B$3)</f>
        <v>2.2484541877459247E-3</v>
      </c>
      <c r="E34" s="29" t="s">
        <v>80</v>
      </c>
      <c r="F34" s="26" t="s">
        <v>35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82</v>
      </c>
      <c r="F35" s="26" t="s">
        <v>37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43</v>
      </c>
      <c r="C36" s="102">
        <f t="shared" ref="C36:C48" si="2">IF(B$19=0,0,B36/B$19)</f>
        <v>8.2217973231357558E-2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90</v>
      </c>
      <c r="C37" s="8">
        <f t="shared" si="2"/>
        <v>0.17208413001912046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87</v>
      </c>
      <c r="C38" s="8">
        <f t="shared" si="2"/>
        <v>0.16634799235181644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97</v>
      </c>
      <c r="C39" s="8">
        <f t="shared" si="2"/>
        <v>0.18546845124282982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77</v>
      </c>
      <c r="C40" s="8">
        <f t="shared" si="2"/>
        <v>0.14722753346080306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48</v>
      </c>
      <c r="C41" s="8">
        <f t="shared" si="2"/>
        <v>9.1778202676864248E-2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33</v>
      </c>
      <c r="C42" s="8">
        <f t="shared" si="2"/>
        <v>6.3097514340344163E-2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13</v>
      </c>
      <c r="C43" s="8">
        <f t="shared" si="2"/>
        <v>2.4856596558317401E-2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10</v>
      </c>
      <c r="C44" s="8">
        <f t="shared" si="2"/>
        <v>1.9120458891013385E-2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7</v>
      </c>
      <c r="C45" s="8">
        <f t="shared" si="2"/>
        <v>1.338432122370937E-2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7.6481835564053535E-3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1.9120458891013384E-3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13</v>
      </c>
      <c r="C48" s="11">
        <f t="shared" si="2"/>
        <v>2.4856596558317401E-2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42</v>
      </c>
      <c r="C2" s="132"/>
      <c r="E2" s="28" t="s">
        <v>66</v>
      </c>
      <c r="F2" s="25" t="s">
        <v>22</v>
      </c>
      <c r="G2" s="13">
        <v>73</v>
      </c>
      <c r="H2" s="91">
        <f>IF(B$19=0,0,G2/B$19)</f>
        <v>0.83908045977011492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-2697.560975609756</v>
      </c>
      <c r="P2" s="80">
        <v>41</v>
      </c>
      <c r="Q2" s="67">
        <v>-110600</v>
      </c>
    </row>
    <row r="3" spans="1:17" x14ac:dyDescent="0.45">
      <c r="A3" s="21" t="s">
        <v>8</v>
      </c>
      <c r="B3" s="133">
        <v>325</v>
      </c>
      <c r="C3" s="134"/>
      <c r="E3" s="29" t="s">
        <v>72</v>
      </c>
      <c r="F3" s="26" t="s">
        <v>27</v>
      </c>
      <c r="G3" s="14">
        <v>45</v>
      </c>
      <c r="H3" s="92">
        <f>IF(B$19=0,0,G3/B$19)</f>
        <v>0.51724137931034486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-1440</v>
      </c>
      <c r="P3" s="81">
        <v>40</v>
      </c>
      <c r="Q3" s="68">
        <v>-57600</v>
      </c>
    </row>
    <row r="4" spans="1:17" x14ac:dyDescent="0.45">
      <c r="A4" s="21" t="s">
        <v>6</v>
      </c>
      <c r="B4" s="135">
        <v>-193.80000000000004</v>
      </c>
      <c r="C4" s="136"/>
      <c r="E4" s="29" t="s">
        <v>160</v>
      </c>
      <c r="F4" s="26" t="s">
        <v>161</v>
      </c>
      <c r="G4" s="14">
        <v>44</v>
      </c>
      <c r="H4" s="92">
        <f>IF(B$19=0,0,G4/B$19)</f>
        <v>0.50574712643678166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-83.78378378378379</v>
      </c>
      <c r="P4" s="81">
        <v>37</v>
      </c>
      <c r="Q4" s="68">
        <v>-3100</v>
      </c>
    </row>
    <row r="5" spans="1:17" x14ac:dyDescent="0.45">
      <c r="A5" s="21" t="s">
        <v>7</v>
      </c>
      <c r="B5" s="123">
        <f>IF(B$2=0,0,B$4/B$2)</f>
        <v>-4.6142857142857157</v>
      </c>
      <c r="C5" s="124"/>
      <c r="E5" s="29" t="s">
        <v>64</v>
      </c>
      <c r="F5" s="26" t="s">
        <v>20</v>
      </c>
      <c r="G5" s="14">
        <v>42</v>
      </c>
      <c r="H5" s="92">
        <f>IF(B$19=0,0,G5/B$19)</f>
        <v>0.48275862068965519</v>
      </c>
      <c r="I5" s="60">
        <v>4</v>
      </c>
      <c r="K5" s="7">
        <v>3</v>
      </c>
      <c r="L5" s="65">
        <v>61.5</v>
      </c>
      <c r="N5" s="78" t="s">
        <v>131</v>
      </c>
      <c r="O5" s="84">
        <f t="shared" si="0"/>
        <v>-2078.787878787879</v>
      </c>
      <c r="P5" s="81">
        <v>33</v>
      </c>
      <c r="Q5" s="68">
        <v>-68600</v>
      </c>
    </row>
    <row r="6" spans="1:17" x14ac:dyDescent="0.45">
      <c r="A6" s="21" t="s">
        <v>1</v>
      </c>
      <c r="B6" s="137">
        <f>IF(B$2=0,0,(B$7*1+B$8*2+B$9*3)/B$2)</f>
        <v>2.0952380952380953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0.2413793103448276</v>
      </c>
      <c r="I6" s="60">
        <v>9</v>
      </c>
      <c r="K6" s="7">
        <v>4</v>
      </c>
      <c r="L6" s="65">
        <v>27.4</v>
      </c>
      <c r="N6" s="78" t="s">
        <v>132</v>
      </c>
      <c r="O6" s="84">
        <f t="shared" si="0"/>
        <v>500</v>
      </c>
      <c r="P6" s="81">
        <v>31</v>
      </c>
      <c r="Q6" s="68">
        <v>15500</v>
      </c>
    </row>
    <row r="7" spans="1:17" x14ac:dyDescent="0.45">
      <c r="A7" s="21" t="s">
        <v>2</v>
      </c>
      <c r="B7" s="14">
        <v>15</v>
      </c>
      <c r="C7" s="8">
        <f t="shared" ref="C7:C14" si="1">IF(B$2=0,0,B7/B$2)</f>
        <v>0.35714285714285715</v>
      </c>
      <c r="E7" s="29" t="s">
        <v>67</v>
      </c>
      <c r="F7" s="26" t="s">
        <v>23</v>
      </c>
      <c r="G7" s="14">
        <v>19</v>
      </c>
      <c r="H7" s="92">
        <f>IF(B$19=0,0,G7/B$19)</f>
        <v>0.21839080459770116</v>
      </c>
      <c r="I7" s="60">
        <v>6</v>
      </c>
      <c r="K7" s="7">
        <v>5</v>
      </c>
      <c r="L7" s="65">
        <v>18</v>
      </c>
      <c r="N7" s="79" t="s">
        <v>133</v>
      </c>
      <c r="O7" s="85">
        <f t="shared" si="0"/>
        <v>3239.1304347826085</v>
      </c>
      <c r="P7" s="82">
        <v>23</v>
      </c>
      <c r="Q7" s="69">
        <v>74500</v>
      </c>
    </row>
    <row r="8" spans="1:17" x14ac:dyDescent="0.45">
      <c r="A8" s="21" t="s">
        <v>3</v>
      </c>
      <c r="B8" s="14">
        <v>8</v>
      </c>
      <c r="C8" s="8">
        <f t="shared" si="1"/>
        <v>0.19047619047619047</v>
      </c>
      <c r="E8" s="29" t="s">
        <v>89</v>
      </c>
      <c r="F8" s="26" t="s">
        <v>44</v>
      </c>
      <c r="G8" s="14">
        <v>13</v>
      </c>
      <c r="H8" s="92">
        <f>IF(B$19=0,0,G8/B$19)</f>
        <v>0.14942528735632185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19</v>
      </c>
      <c r="C9" s="9">
        <f t="shared" si="1"/>
        <v>0.45238095238095238</v>
      </c>
      <c r="E9" s="29" t="s">
        <v>70</v>
      </c>
      <c r="F9" s="26" t="s">
        <v>25</v>
      </c>
      <c r="G9" s="14">
        <v>11</v>
      </c>
      <c r="H9" s="92">
        <f>IF(B$19=0,0,G9/B$19)</f>
        <v>0.12643678160919541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41.053333333333349</v>
      </c>
      <c r="C10" s="114">
        <v>615.80000000000018</v>
      </c>
      <c r="E10" s="29" t="s">
        <v>65</v>
      </c>
      <c r="F10" s="26" t="s">
        <v>21</v>
      </c>
      <c r="G10" s="14">
        <v>10</v>
      </c>
      <c r="H10" s="92">
        <f>IF(B$19=0,0,G10/B$19)</f>
        <v>0.11494252873563218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-11.82666666666667</v>
      </c>
      <c r="P10" s="80">
        <v>15</v>
      </c>
      <c r="Q10" s="71">
        <v>-177.40000000000003</v>
      </c>
    </row>
    <row r="11" spans="1:17" x14ac:dyDescent="0.45">
      <c r="A11" s="22" t="s">
        <v>186</v>
      </c>
      <c r="B11" s="113">
        <f>IF(B8=0,0,C11/B8)</f>
        <v>-4.0250000000000004</v>
      </c>
      <c r="C11" s="114">
        <v>-32.200000000000003</v>
      </c>
      <c r="E11" s="29" t="s">
        <v>69</v>
      </c>
      <c r="F11" s="26" t="s">
        <v>24</v>
      </c>
      <c r="G11" s="14">
        <v>8</v>
      </c>
      <c r="H11" s="92">
        <f>IF(B$19=0,0,G11/B$19)</f>
        <v>9.1954022988505746E-2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7.5399999999999974</v>
      </c>
      <c r="P11" s="81">
        <v>10</v>
      </c>
      <c r="Q11" s="72">
        <v>75.399999999999977</v>
      </c>
    </row>
    <row r="12" spans="1:17" x14ac:dyDescent="0.45">
      <c r="A12" s="22" t="s">
        <v>187</v>
      </c>
      <c r="B12" s="113">
        <f>IF(B9=0,0,C12/B9)</f>
        <v>-40.915789473684207</v>
      </c>
      <c r="C12" s="114">
        <v>-777.39999999999986</v>
      </c>
      <c r="E12" s="29" t="s">
        <v>86</v>
      </c>
      <c r="F12" s="26" t="s">
        <v>41</v>
      </c>
      <c r="G12" s="14">
        <v>8</v>
      </c>
      <c r="H12" s="92">
        <f>IF(B$19=0,0,G12/B$19)</f>
        <v>9.1954022988505746E-2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-5.3999999999999986</v>
      </c>
      <c r="P12" s="82">
        <v>17</v>
      </c>
      <c r="Q12" s="73">
        <v>-91.799999999999983</v>
      </c>
    </row>
    <row r="13" spans="1:17" x14ac:dyDescent="0.45">
      <c r="A13" s="22" t="s">
        <v>188</v>
      </c>
      <c r="B13" s="123">
        <f>AVERAGE(B10:B12)</f>
        <v>-1.2958187134502854</v>
      </c>
      <c r="C13" s="124"/>
      <c r="E13" s="29" t="s">
        <v>91</v>
      </c>
      <c r="F13" s="26" t="s">
        <v>46</v>
      </c>
      <c r="G13" s="14">
        <v>7</v>
      </c>
      <c r="H13" s="92">
        <f>IF(B$19=0,0,G13/B$19)</f>
        <v>8.0459770114942528E-2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0.21428571428571427</v>
      </c>
      <c r="E14" s="29" t="s">
        <v>71</v>
      </c>
      <c r="F14" s="26" t="s">
        <v>26</v>
      </c>
      <c r="G14" s="14">
        <v>5</v>
      </c>
      <c r="H14" s="92">
        <f>IF(B$19=0,0,G14/B$19)</f>
        <v>5.7471264367816091E-2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97</v>
      </c>
      <c r="C15" s="12">
        <f>IF(B$3=0,0,B15/B$3)</f>
        <v>0.29846153846153844</v>
      </c>
      <c r="E15" s="29" t="s">
        <v>79</v>
      </c>
      <c r="F15" s="26" t="s">
        <v>34</v>
      </c>
      <c r="G15" s="14">
        <v>3</v>
      </c>
      <c r="H15" s="92">
        <f>IF(B$19=0,0,G15/B$19)</f>
        <v>3.4482758620689655E-2</v>
      </c>
      <c r="I15" s="60">
        <v>3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68</v>
      </c>
      <c r="C16" s="8">
        <f>IF(B$3=0,0,B16/B$3)</f>
        <v>0.20923076923076922</v>
      </c>
      <c r="E16" s="29" t="s">
        <v>81</v>
      </c>
      <c r="F16" s="26" t="s">
        <v>36</v>
      </c>
      <c r="G16" s="14">
        <v>3</v>
      </c>
      <c r="H16" s="92">
        <f>IF(B$19=0,0,G16/B$19)</f>
        <v>3.4482758620689655E-2</v>
      </c>
      <c r="I16" s="60">
        <v>2</v>
      </c>
      <c r="K16" s="7">
        <v>14</v>
      </c>
      <c r="L16" s="65">
        <v>15.100000000000001</v>
      </c>
      <c r="N16" s="78" t="s">
        <v>213</v>
      </c>
      <c r="O16" s="87">
        <f>IF(P16=0,0,Q16/P16)</f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41</v>
      </c>
      <c r="C17" s="6">
        <f>IF(B$15=0,0,B17/B$15)</f>
        <v>0.42268041237113402</v>
      </c>
      <c r="E17" s="29" t="s">
        <v>78</v>
      </c>
      <c r="F17" s="26" t="s">
        <v>33</v>
      </c>
      <c r="G17" s="14">
        <v>2</v>
      </c>
      <c r="H17" s="92">
        <f>IF(B$19=0,0,G17/B$19)</f>
        <v>2.2988505747126436E-2</v>
      </c>
      <c r="I17" s="60">
        <v>6</v>
      </c>
      <c r="K17" s="7">
        <v>15</v>
      </c>
      <c r="L17" s="65">
        <v>-33.1</v>
      </c>
      <c r="N17" s="78" t="s">
        <v>192</v>
      </c>
      <c r="O17" s="87">
        <f>IF(P17=0,0,Q17/P17)</f>
        <v>6.9411764705882337</v>
      </c>
      <c r="P17" s="81">
        <v>17</v>
      </c>
      <c r="Q17" s="72">
        <v>117.99999999999997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0.39705882352941174</v>
      </c>
      <c r="E18" s="29" t="s">
        <v>83</v>
      </c>
      <c r="F18" s="26" t="s">
        <v>38</v>
      </c>
      <c r="G18" s="14">
        <v>2</v>
      </c>
      <c r="H18" s="92">
        <f>IF(B$19=0,0,G18/B$19)</f>
        <v>2.2988505747126436E-2</v>
      </c>
      <c r="I18" s="60">
        <v>7</v>
      </c>
      <c r="K18" s="7">
        <v>16</v>
      </c>
      <c r="L18" s="65">
        <v>-10.8</v>
      </c>
      <c r="N18" s="78" t="s">
        <v>196</v>
      </c>
      <c r="O18" s="87">
        <f>IF(P18=0,0,Q18/P18)</f>
        <v>-0.29999999999999244</v>
      </c>
      <c r="P18" s="81">
        <v>3</v>
      </c>
      <c r="Q18" s="72">
        <v>-0.89999999999997726</v>
      </c>
    </row>
    <row r="19" spans="1:17" x14ac:dyDescent="0.45">
      <c r="A19" s="20" t="s">
        <v>10</v>
      </c>
      <c r="B19" s="13">
        <f>B22+B21</f>
        <v>87</v>
      </c>
      <c r="C19" s="6">
        <f>IF(B$3=0,0,B19/B$3)</f>
        <v>0.26769230769230767</v>
      </c>
      <c r="E19" s="29" t="s">
        <v>92</v>
      </c>
      <c r="F19" s="26" t="s">
        <v>47</v>
      </c>
      <c r="G19" s="14">
        <v>2</v>
      </c>
      <c r="H19" s="92">
        <f>IF(B$19=0,0,G19/B$19)</f>
        <v>2.2988505747126436E-2</v>
      </c>
      <c r="I19" s="60">
        <v>2</v>
      </c>
      <c r="K19" s="7">
        <v>17</v>
      </c>
      <c r="L19" s="65">
        <v>-32.900000000000006</v>
      </c>
      <c r="N19" s="78" t="s">
        <v>205</v>
      </c>
      <c r="O19" s="87">
        <f>IF(P19=0,0,Q19/P19)</f>
        <v>-9.1857142857142868</v>
      </c>
      <c r="P19" s="81">
        <v>7</v>
      </c>
      <c r="Q19" s="72">
        <v>-64.300000000000011</v>
      </c>
    </row>
    <row r="20" spans="1:17" x14ac:dyDescent="0.45">
      <c r="A20" s="21" t="s">
        <v>13</v>
      </c>
      <c r="B20" s="14">
        <v>68</v>
      </c>
      <c r="C20" s="8">
        <f>IF(B$3=0,0,B20/B$3)</f>
        <v>0.20923076923076922</v>
      </c>
      <c r="E20" s="29" t="s">
        <v>75</v>
      </c>
      <c r="F20" s="26" t="s">
        <v>30</v>
      </c>
      <c r="G20" s="14">
        <v>1</v>
      </c>
      <c r="H20" s="92">
        <f>IF(B$19=0,0,G20/B$19)</f>
        <v>1.1494252873563218E-2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>IF(P20=0,0,Q20/P20)</f>
        <v>-11.878124999999992</v>
      </c>
      <c r="P20" s="81">
        <v>32</v>
      </c>
      <c r="Q20" s="72">
        <v>-380.09999999999974</v>
      </c>
    </row>
    <row r="21" spans="1:17" x14ac:dyDescent="0.45">
      <c r="A21" s="21" t="s">
        <v>12</v>
      </c>
      <c r="B21" s="14">
        <v>35</v>
      </c>
      <c r="C21" s="8">
        <f>IF(B$19=0,0,B21/B$19)</f>
        <v>0.40229885057471265</v>
      </c>
      <c r="E21" s="29" t="s">
        <v>97</v>
      </c>
      <c r="F21" s="26" t="s">
        <v>52</v>
      </c>
      <c r="G21" s="14">
        <v>1</v>
      </c>
      <c r="H21" s="92">
        <f>IF(B$19=0,0,G21/B$19)</f>
        <v>1.1494252873563218E-2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>IF(P21=0,0,Q21/P21)</f>
        <v>-33.971428571428568</v>
      </c>
      <c r="P21" s="81">
        <v>7</v>
      </c>
      <c r="Q21" s="72">
        <v>-237.79999999999998</v>
      </c>
    </row>
    <row r="22" spans="1:17" x14ac:dyDescent="0.45">
      <c r="A22" s="21" t="s">
        <v>11</v>
      </c>
      <c r="B22" s="14">
        <v>52</v>
      </c>
      <c r="C22" s="8">
        <f>IF(B$19=0,0,B22/B$19)</f>
        <v>0.5977011494252874</v>
      </c>
      <c r="E22" s="29" t="s">
        <v>156</v>
      </c>
      <c r="F22" s="26" t="s">
        <v>157</v>
      </c>
      <c r="G22" s="14">
        <v>1</v>
      </c>
      <c r="H22" s="92">
        <f>IF(B$19=0,0,G22/B$19)</f>
        <v>1.1494252873563218E-2</v>
      </c>
      <c r="I22" s="60">
        <v>4</v>
      </c>
      <c r="K22" s="7">
        <v>20</v>
      </c>
      <c r="L22" s="65">
        <v>-72.000000000000014</v>
      </c>
      <c r="N22" s="78" t="s">
        <v>194</v>
      </c>
      <c r="O22" s="87">
        <f>IF(P22=0,0,Q22/P22)</f>
        <v>-41.02</v>
      </c>
      <c r="P22" s="81">
        <v>5</v>
      </c>
      <c r="Q22" s="72">
        <v>-205.10000000000002</v>
      </c>
    </row>
    <row r="23" spans="1:17" x14ac:dyDescent="0.45">
      <c r="A23" s="21" t="s">
        <v>184</v>
      </c>
      <c r="B23" s="14">
        <v>41</v>
      </c>
      <c r="C23" s="8">
        <f>IF(B$19=0,0,B23/B$19)</f>
        <v>0.47126436781609193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27</v>
      </c>
      <c r="C24" s="8">
        <f>IF(B$19=0,0,B24/B$19)</f>
        <v>0.31034482758620691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19</v>
      </c>
      <c r="C25" s="8">
        <f>IF(B$19=0,0,B25/B$19)</f>
        <v>0.21839080459770116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10435.632183908046</v>
      </c>
      <c r="C26" s="10">
        <v>907900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11265</v>
      </c>
      <c r="C27" s="100">
        <v>675900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8592.5925925925931</v>
      </c>
      <c r="C28" s="100">
        <v>232000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-8425</v>
      </c>
      <c r="C29" s="100">
        <v>-572900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7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6.1538461538461538E-3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2">IF(B$19=0,0,B36/B$19)</f>
        <v>2.2988505747126436E-2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12</v>
      </c>
      <c r="C37" s="8">
        <f t="shared" si="2"/>
        <v>0.13793103448275862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7</v>
      </c>
      <c r="C38" s="8">
        <f t="shared" si="2"/>
        <v>8.0459770114942528E-2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24</v>
      </c>
      <c r="C39" s="8">
        <f t="shared" si="2"/>
        <v>0.27586206896551724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17</v>
      </c>
      <c r="C40" s="8">
        <f t="shared" si="2"/>
        <v>0.19540229885057472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8</v>
      </c>
      <c r="C41" s="8">
        <f t="shared" si="2"/>
        <v>9.1954022988505746E-2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8</v>
      </c>
      <c r="C42" s="8">
        <f t="shared" si="2"/>
        <v>9.1954022988505746E-2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4</v>
      </c>
      <c r="C43" s="8">
        <f t="shared" si="2"/>
        <v>4.5977011494252873E-2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1</v>
      </c>
      <c r="C44" s="8">
        <f t="shared" si="2"/>
        <v>1.1494252873563218E-2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2"/>
        <v>1.1494252873563218E-2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2"/>
        <v>3.4482758620689655E-2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8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54</v>
      </c>
      <c r="C2" s="132"/>
      <c r="E2" s="28" t="s">
        <v>66</v>
      </c>
      <c r="F2" s="25" t="s">
        <v>22</v>
      </c>
      <c r="G2" s="13">
        <v>95</v>
      </c>
      <c r="H2" s="91">
        <f>IF(B$19=0,0,G2/B$19)</f>
        <v>0.69852941176470584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170.37037037037038</v>
      </c>
      <c r="P2" s="80">
        <v>54</v>
      </c>
      <c r="Q2" s="67">
        <v>9200</v>
      </c>
    </row>
    <row r="3" spans="1:17" x14ac:dyDescent="0.45">
      <c r="A3" s="21" t="s">
        <v>8</v>
      </c>
      <c r="B3" s="133">
        <v>411</v>
      </c>
      <c r="C3" s="134"/>
      <c r="E3" s="29" t="s">
        <v>72</v>
      </c>
      <c r="F3" s="26" t="s">
        <v>27</v>
      </c>
      <c r="G3" s="14">
        <v>64</v>
      </c>
      <c r="H3" s="92">
        <f>IF(B$19=0,0,G3/B$19)</f>
        <v>0.47058823529411764</v>
      </c>
      <c r="I3" s="60">
        <v>9</v>
      </c>
      <c r="K3" s="7">
        <v>1</v>
      </c>
      <c r="L3" s="65">
        <v>39.200000000000003</v>
      </c>
      <c r="N3" s="78" t="s">
        <v>129</v>
      </c>
      <c r="O3" s="84">
        <f t="shared" si="0"/>
        <v>4455.7692307692305</v>
      </c>
      <c r="P3" s="81">
        <v>52</v>
      </c>
      <c r="Q3" s="68">
        <v>231700</v>
      </c>
    </row>
    <row r="4" spans="1:17" x14ac:dyDescent="0.45">
      <c r="A4" s="21" t="s">
        <v>6</v>
      </c>
      <c r="B4" s="135">
        <v>598.90000000000009</v>
      </c>
      <c r="C4" s="136"/>
      <c r="E4" s="29" t="s">
        <v>160</v>
      </c>
      <c r="F4" s="26" t="s">
        <v>161</v>
      </c>
      <c r="G4" s="14">
        <v>62</v>
      </c>
      <c r="H4" s="92">
        <f>IF(B$19=0,0,G4/B$19)</f>
        <v>0.45588235294117646</v>
      </c>
      <c r="I4" s="60">
        <v>3</v>
      </c>
      <c r="K4" s="7">
        <v>2</v>
      </c>
      <c r="L4" s="65">
        <v>99.6</v>
      </c>
      <c r="N4" s="78" t="s">
        <v>130</v>
      </c>
      <c r="O4" s="84">
        <f t="shared" si="0"/>
        <v>4010.204081632653</v>
      </c>
      <c r="P4" s="81">
        <v>49</v>
      </c>
      <c r="Q4" s="68">
        <v>196500</v>
      </c>
    </row>
    <row r="5" spans="1:17" x14ac:dyDescent="0.45">
      <c r="A5" s="21" t="s">
        <v>7</v>
      </c>
      <c r="B5" s="123">
        <f>IF(B$2=0,0,B$4/B$2)</f>
        <v>11.090740740740742</v>
      </c>
      <c r="C5" s="124"/>
      <c r="E5" s="29" t="s">
        <v>64</v>
      </c>
      <c r="F5" s="26" t="s">
        <v>20</v>
      </c>
      <c r="G5" s="14">
        <v>61</v>
      </c>
      <c r="H5" s="92">
        <f>IF(B$19=0,0,G5/B$19)</f>
        <v>0.4485294117647059</v>
      </c>
      <c r="I5" s="60">
        <v>7</v>
      </c>
      <c r="K5" s="7">
        <v>3</v>
      </c>
      <c r="L5" s="65">
        <v>98.1</v>
      </c>
      <c r="N5" s="78" t="s">
        <v>131</v>
      </c>
      <c r="O5" s="84">
        <f t="shared" si="0"/>
        <v>2526.1904761904761</v>
      </c>
      <c r="P5" s="81">
        <v>42</v>
      </c>
      <c r="Q5" s="68">
        <v>106100</v>
      </c>
    </row>
    <row r="6" spans="1:17" x14ac:dyDescent="0.45">
      <c r="A6" s="21" t="s">
        <v>1</v>
      </c>
      <c r="B6" s="137">
        <f>IF(B$2=0,0,(B$7*1+B$8*2+B$9*3)/B$2)</f>
        <v>1.7777777777777777</v>
      </c>
      <c r="C6" s="138"/>
      <c r="E6" s="29" t="s">
        <v>68</v>
      </c>
      <c r="F6" s="26" t="s">
        <v>12</v>
      </c>
      <c r="G6" s="14">
        <v>54</v>
      </c>
      <c r="H6" s="92">
        <f>IF(B$19=0,0,G6/B$19)</f>
        <v>0.39705882352941174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-1247.3684210526317</v>
      </c>
      <c r="P6" s="81">
        <v>38</v>
      </c>
      <c r="Q6" s="68">
        <v>-47400</v>
      </c>
    </row>
    <row r="7" spans="1:17" x14ac:dyDescent="0.45">
      <c r="A7" s="21" t="s">
        <v>2</v>
      </c>
      <c r="B7" s="14">
        <v>23</v>
      </c>
      <c r="C7" s="8">
        <f t="shared" ref="C7:C14" si="1">IF(B$2=0,0,B7/B$2)</f>
        <v>0.42592592592592593</v>
      </c>
      <c r="E7" s="29" t="s">
        <v>67</v>
      </c>
      <c r="F7" s="26" t="s">
        <v>23</v>
      </c>
      <c r="G7" s="14">
        <v>35</v>
      </c>
      <c r="H7" s="92">
        <f>IF(B$19=0,0,G7/B$19)</f>
        <v>0.25735294117647056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1416.6666666666667</v>
      </c>
      <c r="P7" s="82">
        <v>30</v>
      </c>
      <c r="Q7" s="69">
        <v>42500</v>
      </c>
    </row>
    <row r="8" spans="1:17" x14ac:dyDescent="0.45">
      <c r="A8" s="21" t="s">
        <v>3</v>
      </c>
      <c r="B8" s="14">
        <v>20</v>
      </c>
      <c r="C8" s="8">
        <f t="shared" si="1"/>
        <v>0.37037037037037035</v>
      </c>
      <c r="E8" s="29" t="s">
        <v>69</v>
      </c>
      <c r="F8" s="26" t="s">
        <v>24</v>
      </c>
      <c r="G8" s="14">
        <v>25</v>
      </c>
      <c r="H8" s="92">
        <f>IF(B$19=0,0,G8/B$19)</f>
        <v>0.18382352941176472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0.20370370370370369</v>
      </c>
      <c r="E9" s="29" t="s">
        <v>89</v>
      </c>
      <c r="F9" s="26" t="s">
        <v>44</v>
      </c>
      <c r="G9" s="14">
        <v>23</v>
      </c>
      <c r="H9" s="92">
        <f>IF(B$19=0,0,G9/B$19)</f>
        <v>0.16911764705882354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45.013043478260869</v>
      </c>
      <c r="C10" s="114">
        <v>1035.3</v>
      </c>
      <c r="E10" s="29" t="s">
        <v>65</v>
      </c>
      <c r="F10" s="26" t="s">
        <v>21</v>
      </c>
      <c r="G10" s="14">
        <v>14</v>
      </c>
      <c r="H10" s="92">
        <f>IF(B$19=0,0,G10/B$19)</f>
        <v>0.10294117647058823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-0.66874999999999996</v>
      </c>
      <c r="P10" s="80">
        <v>16</v>
      </c>
      <c r="Q10" s="71">
        <v>-10.7</v>
      </c>
    </row>
    <row r="11" spans="1:17" x14ac:dyDescent="0.45">
      <c r="A11" s="22" t="s">
        <v>186</v>
      </c>
      <c r="B11" s="113">
        <f>IF(B8=0,0,C11/B8)</f>
        <v>0.25000000000000006</v>
      </c>
      <c r="C11" s="114">
        <v>5.0000000000000009</v>
      </c>
      <c r="E11" s="29" t="s">
        <v>71</v>
      </c>
      <c r="F11" s="26" t="s">
        <v>26</v>
      </c>
      <c r="G11" s="14">
        <v>13</v>
      </c>
      <c r="H11" s="92">
        <f>IF(B$19=0,0,G11/B$19)</f>
        <v>9.5588235294117641E-2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11.644999999999996</v>
      </c>
      <c r="P11" s="81">
        <v>20</v>
      </c>
      <c r="Q11" s="72">
        <v>232.89999999999992</v>
      </c>
    </row>
    <row r="12" spans="1:17" x14ac:dyDescent="0.45">
      <c r="A12" s="22" t="s">
        <v>187</v>
      </c>
      <c r="B12" s="113">
        <f>IF(B9=0,0,C12/B9)</f>
        <v>-40.127272727272732</v>
      </c>
      <c r="C12" s="114">
        <v>-441.40000000000003</v>
      </c>
      <c r="E12" s="29" t="s">
        <v>86</v>
      </c>
      <c r="F12" s="26" t="s">
        <v>41</v>
      </c>
      <c r="G12" s="14">
        <v>11</v>
      </c>
      <c r="H12" s="92">
        <f>IF(B$19=0,0,G12/B$19)</f>
        <v>8.0882352941176475E-2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20.927777777777784</v>
      </c>
      <c r="P12" s="82">
        <v>18</v>
      </c>
      <c r="Q12" s="73">
        <v>376.7000000000001</v>
      </c>
    </row>
    <row r="13" spans="1:17" x14ac:dyDescent="0.45">
      <c r="A13" s="22" t="s">
        <v>188</v>
      </c>
      <c r="B13" s="123">
        <f>AVERAGE(B10:B12)</f>
        <v>1.7119235836627122</v>
      </c>
      <c r="C13" s="124"/>
      <c r="E13" s="29" t="s">
        <v>70</v>
      </c>
      <c r="F13" s="26" t="s">
        <v>25</v>
      </c>
      <c r="G13" s="14">
        <v>10</v>
      </c>
      <c r="H13" s="92">
        <f>IF(B$19=0,0,G13/B$19)</f>
        <v>7.3529411764705885E-2</v>
      </c>
      <c r="I13" s="60">
        <v>6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5.5555555555555552E-2</v>
      </c>
      <c r="E14" s="29" t="s">
        <v>83</v>
      </c>
      <c r="F14" s="26" t="s">
        <v>38</v>
      </c>
      <c r="G14" s="14">
        <v>7</v>
      </c>
      <c r="H14" s="92">
        <f>IF(B$19=0,0,G14/B$19)</f>
        <v>5.1470588235294115E-2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107</v>
      </c>
      <c r="C15" s="12">
        <f>IF(B$3=0,0,B15/B$3)</f>
        <v>0.26034063260340634</v>
      </c>
      <c r="E15" s="29" t="s">
        <v>81</v>
      </c>
      <c r="F15" s="26" t="s">
        <v>36</v>
      </c>
      <c r="G15" s="14">
        <v>4</v>
      </c>
      <c r="H15" s="92">
        <f>IF(B$19=0,0,G15/B$19)</f>
        <v>2.9411764705882353E-2</v>
      </c>
      <c r="I15" s="60">
        <v>3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68</v>
      </c>
      <c r="C16" s="8">
        <f>IF(B$3=0,0,B16/B$3)</f>
        <v>0.16545012165450121</v>
      </c>
      <c r="E16" s="29" t="s">
        <v>156</v>
      </c>
      <c r="F16" s="26" t="s">
        <v>157</v>
      </c>
      <c r="G16" s="14">
        <v>4</v>
      </c>
      <c r="H16" s="92">
        <f>IF(B$19=0,0,G16/B$19)</f>
        <v>2.9411764705882353E-2</v>
      </c>
      <c r="I16" s="60">
        <v>1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67</v>
      </c>
      <c r="C17" s="6">
        <f>IF(B$15=0,0,B17/B$15)</f>
        <v>0.62616822429906538</v>
      </c>
      <c r="E17" s="29" t="s">
        <v>92</v>
      </c>
      <c r="F17" s="26" t="s">
        <v>47</v>
      </c>
      <c r="G17" s="14">
        <v>3</v>
      </c>
      <c r="H17" s="92">
        <f>IF(B$19=0,0,G17/B$19)</f>
        <v>2.2058823529411766E-2</v>
      </c>
      <c r="I17" s="60">
        <v>3</v>
      </c>
      <c r="K17" s="7">
        <v>15</v>
      </c>
      <c r="L17" s="65">
        <v>213.5</v>
      </c>
      <c r="N17" s="78" t="s">
        <v>194</v>
      </c>
      <c r="O17" s="87">
        <f>IF(P17=0,0,Q17/P17)</f>
        <v>28.627272727272736</v>
      </c>
      <c r="P17" s="81">
        <v>11</v>
      </c>
      <c r="Q17" s="72">
        <v>314.90000000000009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0.5</v>
      </c>
      <c r="E18" s="29" t="s">
        <v>78</v>
      </c>
      <c r="F18" s="26" t="s">
        <v>33</v>
      </c>
      <c r="G18" s="14">
        <v>2</v>
      </c>
      <c r="H18" s="92">
        <f>IF(B$19=0,0,G18/B$19)</f>
        <v>1.4705882352941176E-2</v>
      </c>
      <c r="I18" s="60">
        <v>8</v>
      </c>
      <c r="K18" s="7">
        <v>16</v>
      </c>
      <c r="L18" s="65">
        <v>273.8</v>
      </c>
      <c r="N18" s="78" t="s">
        <v>192</v>
      </c>
      <c r="O18" s="87">
        <f>IF(P18=0,0,Q18/P18)</f>
        <v>22.24545454545455</v>
      </c>
      <c r="P18" s="81">
        <v>22</v>
      </c>
      <c r="Q18" s="72">
        <v>489.40000000000009</v>
      </c>
    </row>
    <row r="19" spans="1:17" x14ac:dyDescent="0.45">
      <c r="A19" s="20" t="s">
        <v>10</v>
      </c>
      <c r="B19" s="13">
        <f>B22+B21</f>
        <v>136</v>
      </c>
      <c r="C19" s="6">
        <f>IF(B$3=0,0,B19/B$3)</f>
        <v>0.33090024330900242</v>
      </c>
      <c r="E19" s="29" t="s">
        <v>79</v>
      </c>
      <c r="F19" s="26" t="s">
        <v>34</v>
      </c>
      <c r="G19" s="14">
        <v>2</v>
      </c>
      <c r="H19" s="92">
        <f>IF(B$19=0,0,G19/B$19)</f>
        <v>1.4705882352941176E-2</v>
      </c>
      <c r="I19" s="60">
        <v>5</v>
      </c>
      <c r="K19" s="7">
        <v>17</v>
      </c>
      <c r="L19" s="65">
        <v>242.8</v>
      </c>
      <c r="N19" s="78" t="s">
        <v>193</v>
      </c>
      <c r="O19" s="87">
        <f>IF(P19=0,0,Q19/P19)</f>
        <v>21.374999999999996</v>
      </c>
      <c r="P19" s="81">
        <v>12</v>
      </c>
      <c r="Q19" s="72">
        <v>256.49999999999994</v>
      </c>
    </row>
    <row r="20" spans="1:17" x14ac:dyDescent="0.45">
      <c r="A20" s="21" t="s">
        <v>13</v>
      </c>
      <c r="B20" s="14">
        <v>59</v>
      </c>
      <c r="C20" s="8">
        <f>IF(B$3=0,0,B20/B$3)</f>
        <v>0.14355231143552311</v>
      </c>
      <c r="E20" s="29" t="s">
        <v>91</v>
      </c>
      <c r="F20" s="26" t="s">
        <v>46</v>
      </c>
      <c r="G20" s="14">
        <v>2</v>
      </c>
      <c r="H20" s="92">
        <f>IF(B$19=0,0,G20/B$19)</f>
        <v>1.4705882352941176E-2</v>
      </c>
      <c r="I20" s="60">
        <v>5</v>
      </c>
      <c r="K20" s="7">
        <v>18</v>
      </c>
      <c r="L20" s="65">
        <v>280</v>
      </c>
      <c r="N20" s="78" t="s">
        <v>164</v>
      </c>
      <c r="O20" s="87">
        <f>IF(P20=0,0,Q20/P20)</f>
        <v>11.878124999999995</v>
      </c>
      <c r="P20" s="81">
        <v>32</v>
      </c>
      <c r="Q20" s="72">
        <v>380.09999999999985</v>
      </c>
    </row>
    <row r="21" spans="1:17" x14ac:dyDescent="0.45">
      <c r="A21" s="21" t="s">
        <v>12</v>
      </c>
      <c r="B21" s="14">
        <v>71</v>
      </c>
      <c r="C21" s="8">
        <f>IF(B$19=0,0,B21/B$19)</f>
        <v>0.5220588235294118</v>
      </c>
      <c r="E21" s="29" t="s">
        <v>93</v>
      </c>
      <c r="F21" s="26" t="s">
        <v>48</v>
      </c>
      <c r="G21" s="14">
        <v>2</v>
      </c>
      <c r="H21" s="92">
        <f>IF(B$19=0,0,G21/B$19)</f>
        <v>1.4705882352941176E-2</v>
      </c>
      <c r="I21" s="60">
        <v>1</v>
      </c>
      <c r="K21" s="7">
        <v>19</v>
      </c>
      <c r="L21" s="65">
        <v>281.5</v>
      </c>
      <c r="N21" s="78" t="s">
        <v>213</v>
      </c>
      <c r="O21" s="87">
        <f>IF(P21=0,0,Q21/P21)</f>
        <v>4.7444444444444436</v>
      </c>
      <c r="P21" s="81">
        <v>9</v>
      </c>
      <c r="Q21" s="72">
        <v>42.699999999999989</v>
      </c>
    </row>
    <row r="22" spans="1:17" x14ac:dyDescent="0.45">
      <c r="A22" s="21" t="s">
        <v>11</v>
      </c>
      <c r="B22" s="14">
        <v>65</v>
      </c>
      <c r="C22" s="8">
        <f>IF(B$19=0,0,B22/B$19)</f>
        <v>0.47794117647058826</v>
      </c>
      <c r="E22" s="29" t="s">
        <v>73</v>
      </c>
      <c r="F22" s="26" t="s">
        <v>28</v>
      </c>
      <c r="G22" s="14">
        <v>1</v>
      </c>
      <c r="H22" s="92">
        <f>IF(B$19=0,0,G22/B$19)</f>
        <v>7.3529411764705881E-3</v>
      </c>
      <c r="I22" s="60">
        <v>2</v>
      </c>
      <c r="K22" s="7">
        <v>20</v>
      </c>
      <c r="L22" s="65">
        <v>287.2</v>
      </c>
      <c r="N22" s="78" t="s">
        <v>205</v>
      </c>
      <c r="O22" s="87">
        <f>IF(P22=0,0,Q22/P22)</f>
        <v>4.5285714285714285</v>
      </c>
      <c r="P22" s="81">
        <v>14</v>
      </c>
      <c r="Q22" s="72">
        <v>63.4</v>
      </c>
    </row>
    <row r="23" spans="1:17" x14ac:dyDescent="0.45">
      <c r="A23" s="21" t="s">
        <v>184</v>
      </c>
      <c r="B23" s="14">
        <v>67</v>
      </c>
      <c r="C23" s="8">
        <f>IF(B$19=0,0,B23/B$19)</f>
        <v>0.49264705882352944</v>
      </c>
      <c r="E23" s="29" t="s">
        <v>84</v>
      </c>
      <c r="F23" s="26" t="s">
        <v>39</v>
      </c>
      <c r="G23" s="14">
        <v>1</v>
      </c>
      <c r="H23" s="92">
        <f>IF(B$19=0,0,G23/B$19)</f>
        <v>7.3529411764705881E-3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34</v>
      </c>
      <c r="C24" s="8">
        <f>IF(B$19=0,0,B24/B$19)</f>
        <v>0.25</v>
      </c>
      <c r="E24" s="29" t="s">
        <v>87</v>
      </c>
      <c r="F24" s="26" t="s">
        <v>42</v>
      </c>
      <c r="G24" s="14">
        <v>1</v>
      </c>
      <c r="H24" s="92">
        <f>IF(B$19=0,0,G24/B$19)</f>
        <v>7.3529411764705881E-3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35</v>
      </c>
      <c r="C25" s="8">
        <f>IF(B$19=0,0,B25/B$19)</f>
        <v>0.25735294117647056</v>
      </c>
      <c r="E25" s="29" t="s">
        <v>95</v>
      </c>
      <c r="F25" s="26" t="s">
        <v>50</v>
      </c>
      <c r="G25" s="14">
        <v>1</v>
      </c>
      <c r="H25" s="92">
        <f>IF(B$19=0,0,G25/B$19)</f>
        <v>7.3529411764705881E-3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10211.029411764706</v>
      </c>
      <c r="C26" s="10">
        <v>1388700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10537.254901960785</v>
      </c>
      <c r="C27" s="100">
        <v>1074800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9232.3529411764703</v>
      </c>
      <c r="C28" s="100">
        <v>313900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-8622.0338983050842</v>
      </c>
      <c r="C29" s="100">
        <v>-508700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4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4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5.1470588235294115E-2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20</v>
      </c>
      <c r="C37" s="8">
        <f t="shared" si="2"/>
        <v>0.14705882352941177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19</v>
      </c>
      <c r="C38" s="8">
        <f t="shared" si="2"/>
        <v>0.13970588235294118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29</v>
      </c>
      <c r="C39" s="8">
        <f t="shared" si="2"/>
        <v>0.21323529411764705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2"/>
        <v>0.19852941176470587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10</v>
      </c>
      <c r="C41" s="8">
        <f t="shared" si="2"/>
        <v>7.3529411764705885E-2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7</v>
      </c>
      <c r="C42" s="8">
        <f t="shared" si="2"/>
        <v>5.1470588235294115E-2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3</v>
      </c>
      <c r="C43" s="8">
        <f t="shared" si="2"/>
        <v>2.2058823529411766E-2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2.9411764705882353E-2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2.2058823529411766E-2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7.3529411764705881E-3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4.4117647058823532E-2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24</v>
      </c>
      <c r="C2" s="132"/>
      <c r="E2" s="28" t="s">
        <v>66</v>
      </c>
      <c r="F2" s="25" t="s">
        <v>22</v>
      </c>
      <c r="G2" s="13">
        <v>40</v>
      </c>
      <c r="H2" s="91">
        <f>IF(B$19=0,0,G2/B$19)</f>
        <v>0.81632653061224492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-3575</v>
      </c>
      <c r="P2" s="80">
        <v>24</v>
      </c>
      <c r="Q2" s="67">
        <v>-85800</v>
      </c>
    </row>
    <row r="3" spans="1:17" x14ac:dyDescent="0.45">
      <c r="A3" s="21" t="s">
        <v>8</v>
      </c>
      <c r="B3" s="133">
        <v>177</v>
      </c>
      <c r="C3" s="134"/>
      <c r="E3" s="29" t="s">
        <v>72</v>
      </c>
      <c r="F3" s="26" t="s">
        <v>27</v>
      </c>
      <c r="G3" s="14">
        <v>25</v>
      </c>
      <c r="H3" s="92">
        <f>IF(B$19=0,0,G3/B$19)</f>
        <v>0.51020408163265307</v>
      </c>
      <c r="I3" s="60">
        <v>7</v>
      </c>
      <c r="K3" s="7">
        <v>1</v>
      </c>
      <c r="L3" s="65">
        <v>-55.5</v>
      </c>
      <c r="N3" s="78" t="s">
        <v>129</v>
      </c>
      <c r="O3" s="84">
        <f t="shared" si="0"/>
        <v>1943.4782608695652</v>
      </c>
      <c r="P3" s="81">
        <v>23</v>
      </c>
      <c r="Q3" s="68">
        <v>44700</v>
      </c>
    </row>
    <row r="4" spans="1:17" x14ac:dyDescent="0.45">
      <c r="A4" s="21" t="s">
        <v>6</v>
      </c>
      <c r="B4" s="135">
        <v>-207.09999999999994</v>
      </c>
      <c r="C4" s="136"/>
      <c r="E4" s="29" t="s">
        <v>160</v>
      </c>
      <c r="F4" s="26" t="s">
        <v>161</v>
      </c>
      <c r="G4" s="14">
        <v>22</v>
      </c>
      <c r="H4" s="92">
        <f>IF(B$19=0,0,G4/B$19)</f>
        <v>0.44897959183673469</v>
      </c>
      <c r="I4" s="60">
        <v>4</v>
      </c>
      <c r="K4" s="7">
        <v>2</v>
      </c>
      <c r="L4" s="65">
        <v>-106.5</v>
      </c>
      <c r="N4" s="78" t="s">
        <v>130</v>
      </c>
      <c r="O4" s="84">
        <f t="shared" si="0"/>
        <v>-3914.2857142857142</v>
      </c>
      <c r="P4" s="81">
        <v>21</v>
      </c>
      <c r="Q4" s="68">
        <v>-82200</v>
      </c>
    </row>
    <row r="5" spans="1:17" x14ac:dyDescent="0.45">
      <c r="A5" s="21" t="s">
        <v>7</v>
      </c>
      <c r="B5" s="123">
        <f>IF(B$2=0,0,B$4/B$2)</f>
        <v>-8.6291666666666647</v>
      </c>
      <c r="C5" s="124"/>
      <c r="E5" s="29" t="s">
        <v>64</v>
      </c>
      <c r="F5" s="26" t="s">
        <v>20</v>
      </c>
      <c r="G5" s="14">
        <v>21</v>
      </c>
      <c r="H5" s="92">
        <f>IF(B$19=0,0,G5/B$19)</f>
        <v>0.42857142857142855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-229.41176470588235</v>
      </c>
      <c r="P5" s="81">
        <v>17</v>
      </c>
      <c r="Q5" s="68">
        <v>-3900</v>
      </c>
    </row>
    <row r="6" spans="1:17" x14ac:dyDescent="0.45">
      <c r="A6" s="21" t="s">
        <v>1</v>
      </c>
      <c r="B6" s="137">
        <f>IF(B$2=0,0,(B$7*1+B$8*2+B$9*3)/B$2)</f>
        <v>2.25</v>
      </c>
      <c r="C6" s="138"/>
      <c r="E6" s="29" t="s">
        <v>68</v>
      </c>
      <c r="F6" s="26" t="s">
        <v>12</v>
      </c>
      <c r="G6" s="14">
        <v>14</v>
      </c>
      <c r="H6" s="92">
        <f>IF(B$19=0,0,G6/B$19)</f>
        <v>0.2857142857142857</v>
      </c>
      <c r="I6" s="60">
        <v>5</v>
      </c>
      <c r="K6" s="7">
        <v>4</v>
      </c>
      <c r="L6" s="65">
        <v>-115.5</v>
      </c>
      <c r="N6" s="78" t="s">
        <v>132</v>
      </c>
      <c r="O6" s="84">
        <f t="shared" si="0"/>
        <v>1276.9230769230769</v>
      </c>
      <c r="P6" s="81">
        <v>13</v>
      </c>
      <c r="Q6" s="68">
        <v>16600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0.20833333333333334</v>
      </c>
      <c r="E7" s="29" t="s">
        <v>67</v>
      </c>
      <c r="F7" s="26" t="s">
        <v>23</v>
      </c>
      <c r="G7" s="14">
        <v>9</v>
      </c>
      <c r="H7" s="92">
        <f>IF(B$19=0,0,G7/B$19)</f>
        <v>0.18367346938775511</v>
      </c>
      <c r="I7" s="60">
        <v>9</v>
      </c>
      <c r="K7" s="7">
        <v>5</v>
      </c>
      <c r="L7" s="65">
        <v>-116</v>
      </c>
      <c r="N7" s="79" t="s">
        <v>133</v>
      </c>
      <c r="O7" s="85">
        <f t="shared" si="0"/>
        <v>-4855.5555555555557</v>
      </c>
      <c r="P7" s="82">
        <v>9</v>
      </c>
      <c r="Q7" s="69">
        <v>-43700</v>
      </c>
    </row>
    <row r="8" spans="1:17" x14ac:dyDescent="0.45">
      <c r="A8" s="21" t="s">
        <v>3</v>
      </c>
      <c r="B8" s="14">
        <v>8</v>
      </c>
      <c r="C8" s="8">
        <f t="shared" si="1"/>
        <v>0.33333333333333331</v>
      </c>
      <c r="E8" s="29" t="s">
        <v>69</v>
      </c>
      <c r="F8" s="26" t="s">
        <v>24</v>
      </c>
      <c r="G8" s="14">
        <v>6</v>
      </c>
      <c r="H8" s="92">
        <f>IF(B$19=0,0,G8/B$19)</f>
        <v>0.12244897959183673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0.45833333333333331</v>
      </c>
      <c r="E9" s="29" t="s">
        <v>70</v>
      </c>
      <c r="F9" s="26" t="s">
        <v>25</v>
      </c>
      <c r="G9" s="14">
        <v>6</v>
      </c>
      <c r="H9" s="92">
        <f>IF(B$19=0,0,G9/B$19)</f>
        <v>0.12244897959183673</v>
      </c>
      <c r="I9" s="60">
        <v>4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51.679999999999993</v>
      </c>
      <c r="C10" s="114">
        <v>258.39999999999998</v>
      </c>
      <c r="E10" s="29" t="s">
        <v>89</v>
      </c>
      <c r="F10" s="26" t="s">
        <v>44</v>
      </c>
      <c r="G10" s="14">
        <v>6</v>
      </c>
      <c r="H10" s="92">
        <f>IF(B$19=0,0,G10/B$19)</f>
        <v>0.12244897959183673</v>
      </c>
      <c r="I10" s="60">
        <v>7</v>
      </c>
      <c r="K10" s="7">
        <v>8</v>
      </c>
      <c r="L10" s="65">
        <v>-157.19999999999999</v>
      </c>
      <c r="N10" s="77" t="s">
        <v>152</v>
      </c>
      <c r="O10" s="86">
        <f>IF(P10=0,0,Q10/P10)</f>
        <v>-36.949999999999996</v>
      </c>
      <c r="P10" s="80">
        <v>6</v>
      </c>
      <c r="Q10" s="71">
        <v>-221.7</v>
      </c>
    </row>
    <row r="11" spans="1:17" x14ac:dyDescent="0.45">
      <c r="A11" s="22" t="s">
        <v>186</v>
      </c>
      <c r="B11" s="113">
        <f>IF(B8=0,0,C11/B8)</f>
        <v>-4.375</v>
      </c>
      <c r="C11" s="114">
        <v>-35</v>
      </c>
      <c r="E11" s="29" t="s">
        <v>65</v>
      </c>
      <c r="F11" s="26" t="s">
        <v>21</v>
      </c>
      <c r="G11" s="14">
        <v>4</v>
      </c>
      <c r="H11" s="92">
        <f>IF(B$19=0,0,G11/B$19)</f>
        <v>8.1632653061224483E-2</v>
      </c>
      <c r="I11" s="60">
        <v>8</v>
      </c>
      <c r="K11" s="7">
        <v>9</v>
      </c>
      <c r="L11" s="65">
        <v>-172.39999999999998</v>
      </c>
      <c r="N11" s="78" t="s">
        <v>153</v>
      </c>
      <c r="O11" s="87">
        <f>IF(P11=0,0,Q11/P11)</f>
        <v>-9.15</v>
      </c>
      <c r="P11" s="81">
        <v>10</v>
      </c>
      <c r="Q11" s="72">
        <v>-91.5</v>
      </c>
    </row>
    <row r="12" spans="1:17" x14ac:dyDescent="0.45">
      <c r="A12" s="22" t="s">
        <v>187</v>
      </c>
      <c r="B12" s="113">
        <f>IF(B9=0,0,C12/B9)</f>
        <v>-39.136363636363633</v>
      </c>
      <c r="C12" s="114">
        <v>-430.5</v>
      </c>
      <c r="E12" s="29" t="s">
        <v>86</v>
      </c>
      <c r="F12" s="26" t="s">
        <v>41</v>
      </c>
      <c r="G12" s="14">
        <v>3</v>
      </c>
      <c r="H12" s="92">
        <f>IF(B$19=0,0,G12/B$19)</f>
        <v>6.1224489795918366E-2</v>
      </c>
      <c r="I12" s="60">
        <v>4</v>
      </c>
      <c r="K12" s="7">
        <v>10</v>
      </c>
      <c r="L12" s="65">
        <v>-217.59999999999997</v>
      </c>
      <c r="N12" s="79" t="s">
        <v>154</v>
      </c>
      <c r="O12" s="88">
        <f>IF(P12=0,0,Q12/P12)</f>
        <v>13.262499999999999</v>
      </c>
      <c r="P12" s="82">
        <v>8</v>
      </c>
      <c r="Q12" s="73">
        <v>106.1</v>
      </c>
    </row>
    <row r="13" spans="1:17" x14ac:dyDescent="0.45">
      <c r="A13" s="22" t="s">
        <v>188</v>
      </c>
      <c r="B13" s="123">
        <f>AVERAGE(B10:B12)</f>
        <v>2.7228787878787863</v>
      </c>
      <c r="C13" s="124"/>
      <c r="E13" s="29" t="s">
        <v>71</v>
      </c>
      <c r="F13" s="26" t="s">
        <v>26</v>
      </c>
      <c r="G13" s="14">
        <v>2</v>
      </c>
      <c r="H13" s="92">
        <f>IF(B$19=0,0,G13/B$19)</f>
        <v>4.0816326530612242E-2</v>
      </c>
      <c r="I13" s="60">
        <v>8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0.25</v>
      </c>
      <c r="E14" s="29" t="s">
        <v>78</v>
      </c>
      <c r="F14" s="26" t="s">
        <v>33</v>
      </c>
      <c r="G14" s="14">
        <v>1</v>
      </c>
      <c r="H14" s="92">
        <f>IF(B$19=0,0,G14/B$19)</f>
        <v>2.0408163265306121E-2</v>
      </c>
      <c r="I14" s="60">
        <v>7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40</v>
      </c>
      <c r="C15" s="12">
        <f>IF(B$3=0,0,B15/B$3)</f>
        <v>0.22598870056497175</v>
      </c>
      <c r="E15" s="29" t="s">
        <v>81</v>
      </c>
      <c r="F15" s="26" t="s">
        <v>36</v>
      </c>
      <c r="G15" s="14">
        <v>1</v>
      </c>
      <c r="H15" s="92">
        <f>IF(B$19=0,0,G15/B$19)</f>
        <v>2.0408163265306121E-2</v>
      </c>
      <c r="I15" s="60">
        <v>7</v>
      </c>
      <c r="K15" s="7">
        <v>13</v>
      </c>
      <c r="L15" s="65">
        <v>-280.59999999999997</v>
      </c>
      <c r="N15" s="77" t="s">
        <v>164</v>
      </c>
      <c r="O15" s="86">
        <f t="shared" ref="O15:O20" si="2">IF(P15=0,0,Q15/P15)</f>
        <v>41.02</v>
      </c>
      <c r="P15" s="80">
        <v>5</v>
      </c>
      <c r="Q15" s="71">
        <v>205.10000000000002</v>
      </c>
    </row>
    <row r="16" spans="1:17" x14ac:dyDescent="0.45">
      <c r="A16" s="21" t="s">
        <v>118</v>
      </c>
      <c r="B16" s="14">
        <v>25</v>
      </c>
      <c r="C16" s="8">
        <f>IF(B$3=0,0,B16/B$3)</f>
        <v>0.14124293785310735</v>
      </c>
      <c r="E16" s="29" t="s">
        <v>87</v>
      </c>
      <c r="F16" s="26" t="s">
        <v>42</v>
      </c>
      <c r="G16" s="14">
        <v>1</v>
      </c>
      <c r="H16" s="92">
        <f>IF(B$19=0,0,G16/B$19)</f>
        <v>2.0408163265306121E-2</v>
      </c>
      <c r="I16" s="60">
        <v>1</v>
      </c>
      <c r="K16" s="7">
        <v>14</v>
      </c>
      <c r="L16" s="65">
        <v>-330.7</v>
      </c>
      <c r="N16" s="78" t="s">
        <v>205</v>
      </c>
      <c r="O16" s="87">
        <f t="shared" si="2"/>
        <v>18.3</v>
      </c>
      <c r="P16" s="81">
        <v>6</v>
      </c>
      <c r="Q16" s="72">
        <v>109.80000000000001</v>
      </c>
    </row>
    <row r="17" spans="1:17" x14ac:dyDescent="0.45">
      <c r="A17" s="20" t="s">
        <v>123</v>
      </c>
      <c r="B17" s="13">
        <f>B23</f>
        <v>20</v>
      </c>
      <c r="C17" s="6">
        <f>IF(B$15=0,0,B17/B$15)</f>
        <v>0.5</v>
      </c>
      <c r="E17" s="29" t="s">
        <v>91</v>
      </c>
      <c r="F17" s="26" t="s">
        <v>46</v>
      </c>
      <c r="G17" s="14">
        <v>1</v>
      </c>
      <c r="H17" s="92">
        <f>IF(B$19=0,0,G17/B$19)</f>
        <v>2.0408163265306121E-2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 t="shared" si="2"/>
        <v>-9.4571428571428573</v>
      </c>
      <c r="P17" s="81">
        <v>14</v>
      </c>
      <c r="Q17" s="72">
        <v>-132.4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0.52</v>
      </c>
      <c r="E18" s="29" t="s">
        <v>92</v>
      </c>
      <c r="F18" s="26" t="s">
        <v>47</v>
      </c>
      <c r="G18" s="14">
        <v>1</v>
      </c>
      <c r="H18" s="92">
        <f>IF(B$19=0,0,G18/B$19)</f>
        <v>2.0408163265306121E-2</v>
      </c>
      <c r="I18" s="60">
        <v>4</v>
      </c>
      <c r="K18" s="7">
        <v>16</v>
      </c>
      <c r="L18" s="65">
        <v>-234.59999999999997</v>
      </c>
      <c r="N18" s="78" t="s">
        <v>196</v>
      </c>
      <c r="O18" s="87">
        <f t="shared" si="2"/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49</v>
      </c>
      <c r="C19" s="6">
        <f>IF(B$3=0,0,B19/B$3)</f>
        <v>0.2768361581920904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 t="shared" si="2"/>
        <v>-28.627272727272736</v>
      </c>
      <c r="P19" s="81">
        <v>11</v>
      </c>
      <c r="Q19" s="72">
        <v>-314.90000000000009</v>
      </c>
    </row>
    <row r="20" spans="1:17" x14ac:dyDescent="0.45">
      <c r="A20" s="21" t="s">
        <v>13</v>
      </c>
      <c r="B20" s="14">
        <v>28</v>
      </c>
      <c r="C20" s="8">
        <f>IF(B$3=0,0,B20/B$3)</f>
        <v>0.15819209039548024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 t="shared" si="2"/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20</v>
      </c>
      <c r="C21" s="8">
        <f>IF(B$19=0,0,B21/B$19)</f>
        <v>0.40816326530612246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29</v>
      </c>
      <c r="C22" s="8">
        <f>IF(B$19=0,0,B22/B$19)</f>
        <v>0.59183673469387754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20</v>
      </c>
      <c r="C23" s="8">
        <f>IF(B$19=0,0,B23/B$19)</f>
        <v>0.40816326530612246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13</v>
      </c>
      <c r="C24" s="8">
        <f>IF(B$19=0,0,B24/B$19)</f>
        <v>0.26530612244897961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16</v>
      </c>
      <c r="C25" s="8">
        <f>IF(B$19=0,0,B25/B$19)</f>
        <v>0.32653061224489793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8167.3469387755104</v>
      </c>
      <c r="C26" s="10">
        <v>400200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9297.2222222222226</v>
      </c>
      <c r="C27" s="100">
        <v>334700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5038.4615384615381</v>
      </c>
      <c r="C28" s="100">
        <v>65500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-8075</v>
      </c>
      <c r="C29" s="100">
        <v>-226100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</row>
    <row r="30" spans="1:17" x14ac:dyDescent="0.45">
      <c r="A30" s="21" t="s">
        <v>158</v>
      </c>
      <c r="B30" s="14">
        <v>5</v>
      </c>
      <c r="C30" s="94">
        <v>2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26</v>
      </c>
      <c r="C31" s="94">
        <v>2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7</v>
      </c>
      <c r="C36" s="102">
        <f t="shared" ref="C36:C48" si="3">IF(B$19=0,0,B36/B$19)</f>
        <v>0.14285714285714285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8</v>
      </c>
      <c r="C37" s="8">
        <f t="shared" si="3"/>
        <v>0.16326530612244897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11</v>
      </c>
      <c r="C38" s="8">
        <f t="shared" si="3"/>
        <v>0.22448979591836735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6</v>
      </c>
      <c r="C39" s="8">
        <f t="shared" si="3"/>
        <v>0.12244897959183673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3"/>
        <v>6.1224489795918366E-2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9</v>
      </c>
      <c r="C41" s="8">
        <f t="shared" si="3"/>
        <v>0.18367346938775511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3"/>
        <v>4.0816326530612242E-2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3"/>
        <v>2.0408163265306121E-2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2.0408163265306121E-2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2.0408163265306121E-2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42</v>
      </c>
      <c r="C2" s="132"/>
      <c r="E2" s="28" t="s">
        <v>72</v>
      </c>
      <c r="F2" s="25" t="s">
        <v>27</v>
      </c>
      <c r="G2" s="13">
        <v>63</v>
      </c>
      <c r="H2" s="91">
        <f>IF(B$19=0,0,G2/B$19)</f>
        <v>0.67741935483870963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914.63414634146341</v>
      </c>
      <c r="P2" s="80">
        <v>41</v>
      </c>
      <c r="Q2" s="67">
        <v>37500</v>
      </c>
    </row>
    <row r="3" spans="1:17" x14ac:dyDescent="0.45">
      <c r="A3" s="21" t="s">
        <v>8</v>
      </c>
      <c r="B3" s="133">
        <v>334</v>
      </c>
      <c r="C3" s="134"/>
      <c r="E3" s="29" t="s">
        <v>66</v>
      </c>
      <c r="F3" s="26" t="s">
        <v>22</v>
      </c>
      <c r="G3" s="14">
        <v>52</v>
      </c>
      <c r="H3" s="92">
        <f>IF(B$19=0,0,G3/B$19)</f>
        <v>0.55913978494623651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-1029.2682926829268</v>
      </c>
      <c r="P3" s="81">
        <v>41</v>
      </c>
      <c r="Q3" s="68">
        <v>-42200</v>
      </c>
    </row>
    <row r="4" spans="1:17" x14ac:dyDescent="0.45">
      <c r="A4" s="21" t="s">
        <v>6</v>
      </c>
      <c r="B4" s="135">
        <v>-92.299999999999969</v>
      </c>
      <c r="C4" s="136"/>
      <c r="E4" s="29" t="s">
        <v>64</v>
      </c>
      <c r="F4" s="26" t="s">
        <v>20</v>
      </c>
      <c r="G4" s="14">
        <v>42</v>
      </c>
      <c r="H4" s="92">
        <f>IF(B$19=0,0,G4/B$19)</f>
        <v>0.45161290322580644</v>
      </c>
      <c r="I4" s="60">
        <v>6</v>
      </c>
      <c r="K4" s="7">
        <v>2</v>
      </c>
      <c r="L4" s="65">
        <v>-62.8</v>
      </c>
      <c r="N4" s="78" t="s">
        <v>130</v>
      </c>
      <c r="O4" s="84">
        <f t="shared" si="0"/>
        <v>-1580.4878048780488</v>
      </c>
      <c r="P4" s="81">
        <v>41</v>
      </c>
      <c r="Q4" s="68">
        <v>-64800</v>
      </c>
    </row>
    <row r="5" spans="1:17" x14ac:dyDescent="0.45">
      <c r="A5" s="21" t="s">
        <v>7</v>
      </c>
      <c r="B5" s="123">
        <f>IF(B$2=0,0,B$4/B$2)</f>
        <v>-2.1976190476190469</v>
      </c>
      <c r="C5" s="124"/>
      <c r="E5" s="29" t="s">
        <v>160</v>
      </c>
      <c r="F5" s="26" t="s">
        <v>161</v>
      </c>
      <c r="G5" s="14">
        <v>36</v>
      </c>
      <c r="H5" s="92">
        <f>IF(B$19=0,0,G5/B$19)</f>
        <v>0.38709677419354838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1247.3684210526317</v>
      </c>
      <c r="P5" s="81">
        <v>38</v>
      </c>
      <c r="Q5" s="68">
        <v>47400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24</v>
      </c>
      <c r="H6" s="92">
        <f>IF(B$19=0,0,G6/B$19)</f>
        <v>0.25806451612903225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-1662.5</v>
      </c>
      <c r="P6" s="81">
        <v>32</v>
      </c>
      <c r="Q6" s="68">
        <v>-53200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22</v>
      </c>
      <c r="H7" s="92">
        <f>IF(B$19=0,0,G7/B$19)</f>
        <v>0.23655913978494625</v>
      </c>
      <c r="I7" s="60">
        <v>4</v>
      </c>
      <c r="K7" s="7">
        <v>5</v>
      </c>
      <c r="L7" s="65">
        <v>-96.5</v>
      </c>
      <c r="N7" s="79" t="s">
        <v>133</v>
      </c>
      <c r="O7" s="85">
        <f t="shared" si="0"/>
        <v>304.54545454545456</v>
      </c>
      <c r="P7" s="82">
        <v>22</v>
      </c>
      <c r="Q7" s="69">
        <v>6700</v>
      </c>
    </row>
    <row r="8" spans="1:17" x14ac:dyDescent="0.45">
      <c r="A8" s="21" t="s">
        <v>3</v>
      </c>
      <c r="B8" s="14">
        <v>18</v>
      </c>
      <c r="C8" s="8">
        <f t="shared" si="1"/>
        <v>0.42857142857142855</v>
      </c>
      <c r="E8" s="29" t="s">
        <v>89</v>
      </c>
      <c r="F8" s="26" t="s">
        <v>44</v>
      </c>
      <c r="G8" s="14">
        <v>13</v>
      </c>
      <c r="H8" s="92">
        <f>IF(B$19=0,0,G8/B$19)</f>
        <v>0.13978494623655913</v>
      </c>
      <c r="I8" s="60">
        <v>6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12</v>
      </c>
      <c r="C9" s="9">
        <f t="shared" si="1"/>
        <v>0.2857142857142857</v>
      </c>
      <c r="E9" s="29" t="s">
        <v>69</v>
      </c>
      <c r="F9" s="26" t="s">
        <v>24</v>
      </c>
      <c r="G9" s="14">
        <v>10</v>
      </c>
      <c r="H9" s="92">
        <f>IF(B$19=0,0,G9/B$19)</f>
        <v>0.10752688172043011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37.875</v>
      </c>
      <c r="C10" s="114">
        <v>454.5</v>
      </c>
      <c r="E10" s="29" t="s">
        <v>65</v>
      </c>
      <c r="F10" s="26" t="s">
        <v>21</v>
      </c>
      <c r="G10" s="14">
        <v>7</v>
      </c>
      <c r="H10" s="92">
        <f>IF(B$19=0,0,G10/B$19)</f>
        <v>7.5268817204301078E-2</v>
      </c>
      <c r="I10" s="60">
        <v>9</v>
      </c>
      <c r="K10" s="7">
        <v>8</v>
      </c>
      <c r="L10" s="65">
        <v>-28.3</v>
      </c>
      <c r="N10" s="77" t="s">
        <v>152</v>
      </c>
      <c r="O10" s="86">
        <f>IF(P10=0,0,Q10/P10)</f>
        <v>-5.9384615384615387</v>
      </c>
      <c r="P10" s="80">
        <v>13</v>
      </c>
      <c r="Q10" s="71">
        <v>-77.2</v>
      </c>
    </row>
    <row r="11" spans="1:17" x14ac:dyDescent="0.45">
      <c r="A11" s="22" t="s">
        <v>186</v>
      </c>
      <c r="B11" s="113">
        <f>IF(B8=0,0,C11/B8)</f>
        <v>-3.8444444444444446</v>
      </c>
      <c r="C11" s="114">
        <v>-69.2</v>
      </c>
      <c r="E11" s="29" t="s">
        <v>71</v>
      </c>
      <c r="F11" s="26" t="s">
        <v>26</v>
      </c>
      <c r="G11" s="14">
        <v>7</v>
      </c>
      <c r="H11" s="92">
        <f>IF(B$19=0,0,G11/B$19)</f>
        <v>7.5268817204301078E-2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-6.246666666666667</v>
      </c>
      <c r="P11" s="81">
        <v>15</v>
      </c>
      <c r="Q11" s="72">
        <v>-93.7</v>
      </c>
    </row>
    <row r="12" spans="1:17" x14ac:dyDescent="0.45">
      <c r="A12" s="22" t="s">
        <v>187</v>
      </c>
      <c r="B12" s="113">
        <f>IF(B9=0,0,C12/B9)</f>
        <v>-39.800000000000004</v>
      </c>
      <c r="C12" s="114">
        <v>-477.6</v>
      </c>
      <c r="E12" s="29" t="s">
        <v>83</v>
      </c>
      <c r="F12" s="26" t="s">
        <v>38</v>
      </c>
      <c r="G12" s="14">
        <v>7</v>
      </c>
      <c r="H12" s="92">
        <f>IF(B$19=0,0,G12/B$19)</f>
        <v>7.5268817204301078E-2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-1.9231481481481485</v>
      </c>
      <c r="C13" s="124"/>
      <c r="E13" s="29" t="s">
        <v>79</v>
      </c>
      <c r="F13" s="26" t="s">
        <v>34</v>
      </c>
      <c r="G13" s="14">
        <v>5</v>
      </c>
      <c r="H13" s="92">
        <f>IF(B$19=0,0,G13/B$19)</f>
        <v>5.3763440860215055E-2</v>
      </c>
      <c r="I13" s="60">
        <v>2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9.5238095238095233E-2</v>
      </c>
      <c r="E14" s="29" t="s">
        <v>70</v>
      </c>
      <c r="F14" s="26" t="s">
        <v>25</v>
      </c>
      <c r="G14" s="14">
        <v>4</v>
      </c>
      <c r="H14" s="92">
        <f>IF(B$19=0,0,G14/B$19)</f>
        <v>4.3010752688172046E-2</v>
      </c>
      <c r="I14" s="60">
        <v>8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82</v>
      </c>
      <c r="C15" s="12">
        <f>IF(B$3=0,0,B15/B$3)</f>
        <v>0.24550898203592814</v>
      </c>
      <c r="E15" s="29" t="s">
        <v>78</v>
      </c>
      <c r="F15" s="26" t="s">
        <v>33</v>
      </c>
      <c r="G15" s="14">
        <v>3</v>
      </c>
      <c r="H15" s="92">
        <f>IF(B$19=0,0,G15/B$19)</f>
        <v>3.2258064516129031E-2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 t="shared" ref="O15:O21" si="2"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83</v>
      </c>
      <c r="C16" s="8">
        <f>IF(B$3=0,0,B16/B$3)</f>
        <v>0.24850299401197604</v>
      </c>
      <c r="E16" s="29" t="s">
        <v>91</v>
      </c>
      <c r="F16" s="26" t="s">
        <v>46</v>
      </c>
      <c r="G16" s="14">
        <v>3</v>
      </c>
      <c r="H16" s="92">
        <f>IF(B$19=0,0,G16/B$19)</f>
        <v>3.2258064516129031E-2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 t="shared" si="2"/>
        <v>18.040000000000003</v>
      </c>
      <c r="P16" s="81">
        <v>15</v>
      </c>
      <c r="Q16" s="72">
        <v>270.60000000000002</v>
      </c>
    </row>
    <row r="17" spans="1:17" x14ac:dyDescent="0.45">
      <c r="A17" s="20" t="s">
        <v>123</v>
      </c>
      <c r="B17" s="13">
        <f>B23</f>
        <v>45</v>
      </c>
      <c r="C17" s="6">
        <f>IF(B$15=0,0,B17/B$15)</f>
        <v>0.54878048780487809</v>
      </c>
      <c r="E17" s="29" t="s">
        <v>81</v>
      </c>
      <c r="F17" s="26" t="s">
        <v>36</v>
      </c>
      <c r="G17" s="14">
        <v>2</v>
      </c>
      <c r="H17" s="92">
        <f>IF(B$19=0,0,G17/B$19)</f>
        <v>2.1505376344086023E-2</v>
      </c>
      <c r="I17" s="60">
        <v>6</v>
      </c>
      <c r="K17" s="7">
        <v>15</v>
      </c>
      <c r="L17" s="65">
        <v>-121.39999999999998</v>
      </c>
      <c r="N17" s="78" t="s">
        <v>194</v>
      </c>
      <c r="O17" s="87">
        <f t="shared" si="2"/>
        <v>9.4571428571428591</v>
      </c>
      <c r="P17" s="81">
        <v>14</v>
      </c>
      <c r="Q17" s="72">
        <v>132.40000000000003</v>
      </c>
    </row>
    <row r="18" spans="1:17" x14ac:dyDescent="0.45">
      <c r="A18" s="20" t="s">
        <v>124</v>
      </c>
      <c r="B18" s="13">
        <f>B24</f>
        <v>31</v>
      </c>
      <c r="C18" s="6">
        <f>IF(B$16=0,0,B18/B$16)</f>
        <v>0.37349397590361444</v>
      </c>
      <c r="E18" s="29" t="s">
        <v>86</v>
      </c>
      <c r="F18" s="26" t="s">
        <v>41</v>
      </c>
      <c r="G18" s="14">
        <v>2</v>
      </c>
      <c r="H18" s="92">
        <f>IF(B$19=0,0,G18/B$19)</f>
        <v>2.1505376344086023E-2</v>
      </c>
      <c r="I18" s="60">
        <v>8</v>
      </c>
      <c r="K18" s="7">
        <v>16</v>
      </c>
      <c r="L18" s="65">
        <v>-141.29999999999998</v>
      </c>
      <c r="N18" s="78" t="s">
        <v>205</v>
      </c>
      <c r="O18" s="87">
        <f t="shared" si="2"/>
        <v>-1.3166666666666664</v>
      </c>
      <c r="P18" s="81">
        <v>6</v>
      </c>
      <c r="Q18" s="72">
        <v>-7.8999999999999986</v>
      </c>
    </row>
    <row r="19" spans="1:17" x14ac:dyDescent="0.45">
      <c r="A19" s="20" t="s">
        <v>10</v>
      </c>
      <c r="B19" s="13">
        <f>B22+B21</f>
        <v>93</v>
      </c>
      <c r="C19" s="6">
        <f>IF(B$3=0,0,B19/B$3)</f>
        <v>0.27844311377245506</v>
      </c>
      <c r="E19" s="29" t="s">
        <v>85</v>
      </c>
      <c r="F19" s="26" t="s">
        <v>40</v>
      </c>
      <c r="G19" s="14">
        <v>1</v>
      </c>
      <c r="H19" s="92">
        <f>IF(B$19=0,0,G19/B$19)</f>
        <v>1.0752688172043012E-2</v>
      </c>
      <c r="I19" s="60">
        <v>2</v>
      </c>
      <c r="K19" s="7">
        <v>17</v>
      </c>
      <c r="L19" s="65">
        <v>-149.1</v>
      </c>
      <c r="N19" s="78" t="s">
        <v>164</v>
      </c>
      <c r="O19" s="87">
        <f t="shared" si="2"/>
        <v>-6.9411764705882337</v>
      </c>
      <c r="P19" s="81">
        <v>17</v>
      </c>
      <c r="Q19" s="72">
        <v>-117.99999999999997</v>
      </c>
    </row>
    <row r="20" spans="1:17" x14ac:dyDescent="0.45">
      <c r="A20" s="21" t="s">
        <v>13</v>
      </c>
      <c r="B20" s="14">
        <v>38</v>
      </c>
      <c r="C20" s="8">
        <f>IF(B$3=0,0,B20/B$3)</f>
        <v>0.11377245508982035</v>
      </c>
      <c r="E20" s="29" t="s">
        <v>92</v>
      </c>
      <c r="F20" s="26" t="s">
        <v>47</v>
      </c>
      <c r="G20" s="14">
        <v>1</v>
      </c>
      <c r="H20" s="92">
        <f>IF(B$19=0,0,G20/B$19)</f>
        <v>1.0752688172043012E-2</v>
      </c>
      <c r="I20" s="60">
        <v>6</v>
      </c>
      <c r="K20" s="7">
        <v>18</v>
      </c>
      <c r="L20" s="65">
        <v>-201.89999999999998</v>
      </c>
      <c r="N20" s="78" t="s">
        <v>196</v>
      </c>
      <c r="O20" s="87">
        <f t="shared" si="2"/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38</v>
      </c>
      <c r="C21" s="8">
        <f>IF(B$19=0,0,B21/B$19)</f>
        <v>0.40860215053763443</v>
      </c>
      <c r="E21" s="29" t="s">
        <v>156</v>
      </c>
      <c r="F21" s="26" t="s">
        <v>157</v>
      </c>
      <c r="G21" s="14">
        <v>1</v>
      </c>
      <c r="H21" s="92">
        <f>IF(B$19=0,0,G21/B$19)</f>
        <v>1.0752688172043012E-2</v>
      </c>
      <c r="I21" s="60">
        <v>5</v>
      </c>
      <c r="K21" s="7">
        <v>19</v>
      </c>
      <c r="L21" s="65">
        <v>-152.39999999999998</v>
      </c>
      <c r="N21" s="78" t="s">
        <v>126</v>
      </c>
      <c r="O21" s="87">
        <f t="shared" si="2"/>
        <v>-22.24545454545455</v>
      </c>
      <c r="P21" s="81">
        <v>22</v>
      </c>
      <c r="Q21" s="72">
        <v>-489.40000000000009</v>
      </c>
    </row>
    <row r="22" spans="1:17" x14ac:dyDescent="0.45">
      <c r="A22" s="21" t="s">
        <v>11</v>
      </c>
      <c r="B22" s="14">
        <v>55</v>
      </c>
      <c r="C22" s="8">
        <f>IF(B$19=0,0,B22/B$19)</f>
        <v>0.59139784946236562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45</v>
      </c>
      <c r="C23" s="8">
        <f>IF(B$19=0,0,B23/B$19)</f>
        <v>0.4838709677419355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31</v>
      </c>
      <c r="C24" s="8">
        <f>IF(B$19=0,0,B24/B$19)</f>
        <v>0.33333333333333331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17</v>
      </c>
      <c r="C25" s="8">
        <f>IF(B$19=0,0,B25/B$19)</f>
        <v>0.18279569892473119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7629.0322580645161</v>
      </c>
      <c r="C26" s="10">
        <v>709500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7908.0645161290322</v>
      </c>
      <c r="C27" s="100">
        <v>490300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7070.9677419354839</v>
      </c>
      <c r="C28" s="100">
        <v>219200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-7850</v>
      </c>
      <c r="C29" s="100">
        <v>-298300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8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3">IF(B$19=0,0,B36/B$19)</f>
        <v>0.11827956989247312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16</v>
      </c>
      <c r="C37" s="8">
        <f t="shared" si="3"/>
        <v>0.17204301075268819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25</v>
      </c>
      <c r="C38" s="8">
        <f t="shared" si="3"/>
        <v>0.26881720430107525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14</v>
      </c>
      <c r="C39" s="8">
        <f t="shared" si="3"/>
        <v>0.15053763440860216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7</v>
      </c>
      <c r="C40" s="8">
        <f t="shared" si="3"/>
        <v>7.5268817204301078E-2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4</v>
      </c>
      <c r="C41" s="8">
        <f t="shared" si="3"/>
        <v>4.3010752688172046E-2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7</v>
      </c>
      <c r="C42" s="8">
        <f t="shared" si="3"/>
        <v>7.5268817204301078E-2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3"/>
        <v>3.2258064516129031E-2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3"/>
        <v>2.1505376344086023E-2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2</v>
      </c>
      <c r="C45" s="8">
        <f t="shared" si="3"/>
        <v>2.1505376344086023E-2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3"/>
        <v>1.0752688172043012E-2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1.0752688172043012E-2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72</v>
      </c>
      <c r="F2" s="25" t="s">
        <v>27</v>
      </c>
      <c r="G2" s="13">
        <v>43</v>
      </c>
      <c r="H2" s="91">
        <f>IF(B$19=0,0,G2/B$19)</f>
        <v>0.71666666666666667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-900</v>
      </c>
      <c r="P2" s="80">
        <v>26</v>
      </c>
      <c r="Q2" s="67">
        <v>-23400</v>
      </c>
    </row>
    <row r="3" spans="1:17" x14ac:dyDescent="0.45">
      <c r="A3" s="21" t="s">
        <v>8</v>
      </c>
      <c r="B3" s="133">
        <v>191</v>
      </c>
      <c r="C3" s="134"/>
      <c r="E3" s="29" t="s">
        <v>66</v>
      </c>
      <c r="F3" s="26" t="s">
        <v>22</v>
      </c>
      <c r="G3" s="14">
        <v>40</v>
      </c>
      <c r="H3" s="92">
        <f>IF(B$19=0,0,G3/B$19)</f>
        <v>0.66666666666666663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-1900</v>
      </c>
      <c r="P3" s="81">
        <v>25</v>
      </c>
      <c r="Q3" s="68">
        <v>-47500</v>
      </c>
    </row>
    <row r="4" spans="1:17" x14ac:dyDescent="0.45">
      <c r="A4" s="21" t="s">
        <v>6</v>
      </c>
      <c r="B4" s="135">
        <v>86.8</v>
      </c>
      <c r="C4" s="136"/>
      <c r="E4" s="29" t="s">
        <v>64</v>
      </c>
      <c r="F4" s="26" t="s">
        <v>20</v>
      </c>
      <c r="G4" s="14">
        <v>17</v>
      </c>
      <c r="H4" s="92">
        <f>IF(B$19=0,0,G4/B$19)</f>
        <v>0.28333333333333333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2950</v>
      </c>
      <c r="P4" s="81">
        <v>22</v>
      </c>
      <c r="Q4" s="68">
        <v>64900</v>
      </c>
    </row>
    <row r="5" spans="1:17" x14ac:dyDescent="0.45">
      <c r="A5" s="21" t="s">
        <v>7</v>
      </c>
      <c r="B5" s="123">
        <f>IF(B$2=0,0,B$4/B$2)</f>
        <v>3.3384615384615381</v>
      </c>
      <c r="C5" s="124"/>
      <c r="E5" s="29" t="s">
        <v>68</v>
      </c>
      <c r="F5" s="26" t="s">
        <v>12</v>
      </c>
      <c r="G5" s="14">
        <v>15</v>
      </c>
      <c r="H5" s="92">
        <f>IF(B$19=0,0,G5/B$19)</f>
        <v>0.25</v>
      </c>
      <c r="I5" s="60">
        <v>7</v>
      </c>
      <c r="K5" s="7">
        <v>3</v>
      </c>
      <c r="L5" s="65">
        <v>159</v>
      </c>
      <c r="N5" s="78" t="s">
        <v>131</v>
      </c>
      <c r="O5" s="84">
        <f t="shared" si="0"/>
        <v>-1273.6842105263158</v>
      </c>
      <c r="P5" s="81">
        <v>19</v>
      </c>
      <c r="Q5" s="68">
        <v>-24200</v>
      </c>
    </row>
    <row r="6" spans="1:17" x14ac:dyDescent="0.45">
      <c r="A6" s="21" t="s">
        <v>1</v>
      </c>
      <c r="B6" s="137">
        <f>IF(B$2=0,0,(B$7*1+B$8*2+B$9*3)/B$2)</f>
        <v>1.9615384615384615</v>
      </c>
      <c r="C6" s="138"/>
      <c r="E6" s="29" t="s">
        <v>160</v>
      </c>
      <c r="F6" s="26" t="s">
        <v>161</v>
      </c>
      <c r="G6" s="14">
        <v>15</v>
      </c>
      <c r="H6" s="92">
        <f>IF(B$19=0,0,G6/B$19)</f>
        <v>0.25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4700</v>
      </c>
      <c r="P6" s="81">
        <v>14</v>
      </c>
      <c r="Q6" s="68">
        <v>65800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0.38461538461538464</v>
      </c>
      <c r="E7" s="29" t="s">
        <v>67</v>
      </c>
      <c r="F7" s="26" t="s">
        <v>23</v>
      </c>
      <c r="G7" s="14">
        <v>12</v>
      </c>
      <c r="H7" s="92">
        <f>IF(B$19=0,0,G7/B$19)</f>
        <v>0.2</v>
      </c>
      <c r="I7" s="60">
        <v>7</v>
      </c>
      <c r="K7" s="7">
        <v>5</v>
      </c>
      <c r="L7" s="65">
        <v>140.30000000000001</v>
      </c>
      <c r="N7" s="79" t="s">
        <v>133</v>
      </c>
      <c r="O7" s="85">
        <f t="shared" si="0"/>
        <v>-800</v>
      </c>
      <c r="P7" s="82">
        <v>11</v>
      </c>
      <c r="Q7" s="69">
        <v>-8800</v>
      </c>
    </row>
    <row r="8" spans="1:17" x14ac:dyDescent="0.45">
      <c r="A8" s="21" t="s">
        <v>3</v>
      </c>
      <c r="B8" s="14">
        <v>7</v>
      </c>
      <c r="C8" s="8">
        <f t="shared" si="1"/>
        <v>0.26923076923076922</v>
      </c>
      <c r="E8" s="29" t="s">
        <v>69</v>
      </c>
      <c r="F8" s="26" t="s">
        <v>24</v>
      </c>
      <c r="G8" s="14">
        <v>9</v>
      </c>
      <c r="H8" s="92">
        <f>IF(B$19=0,0,G8/B$19)</f>
        <v>0.15</v>
      </c>
      <c r="I8" s="60">
        <v>2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0.34615384615384615</v>
      </c>
      <c r="E9" s="29" t="s">
        <v>83</v>
      </c>
      <c r="F9" s="26" t="s">
        <v>38</v>
      </c>
      <c r="G9" s="14">
        <v>9</v>
      </c>
      <c r="H9" s="92">
        <f>IF(B$19=0,0,G9/B$19)</f>
        <v>0.15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43.13</v>
      </c>
      <c r="C10" s="114">
        <v>431.3</v>
      </c>
      <c r="E10" s="29" t="s">
        <v>89</v>
      </c>
      <c r="F10" s="26" t="s">
        <v>44</v>
      </c>
      <c r="G10" s="14">
        <v>6</v>
      </c>
      <c r="H10" s="92">
        <f>IF(B$19=0,0,G10/B$19)</f>
        <v>0.1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1.9285714285714282</v>
      </c>
      <c r="C11" s="114">
        <v>13.499999999999996</v>
      </c>
      <c r="E11" s="29" t="s">
        <v>65</v>
      </c>
      <c r="F11" s="26" t="s">
        <v>21</v>
      </c>
      <c r="G11" s="14">
        <v>5</v>
      </c>
      <c r="H11" s="92">
        <f>IF(B$19=0,0,G11/B$19)</f>
        <v>8.3333333333333329E-2</v>
      </c>
      <c r="I11" s="60">
        <v>7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-39.777777777777779</v>
      </c>
      <c r="C12" s="114">
        <v>-358</v>
      </c>
      <c r="E12" s="29" t="s">
        <v>81</v>
      </c>
      <c r="F12" s="26" t="s">
        <v>36</v>
      </c>
      <c r="G12" s="14">
        <v>4</v>
      </c>
      <c r="H12" s="92">
        <f>IF(B$19=0,0,G12/B$19)</f>
        <v>6.6666666666666666E-2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11.98</v>
      </c>
      <c r="P12" s="82">
        <v>10</v>
      </c>
      <c r="Q12" s="73">
        <v>119.8</v>
      </c>
    </row>
    <row r="13" spans="1:17" x14ac:dyDescent="0.45">
      <c r="A13" s="22" t="s">
        <v>188</v>
      </c>
      <c r="B13" s="123">
        <f>AVERAGE(B10:B12)</f>
        <v>1.7602645502645515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0.05</v>
      </c>
      <c r="I13" s="60">
        <v>7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0.23076923076923078</v>
      </c>
      <c r="E14" s="29" t="s">
        <v>78</v>
      </c>
      <c r="F14" s="26" t="s">
        <v>33</v>
      </c>
      <c r="G14" s="14">
        <v>3</v>
      </c>
      <c r="H14" s="92">
        <f>IF(B$19=0,0,G14/B$19)</f>
        <v>0.05</v>
      </c>
      <c r="I14" s="60">
        <v>2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</v>
      </c>
      <c r="C15" s="12">
        <f>IF(B$3=0,0,B15/B$3)</f>
        <v>0.14136125654450263</v>
      </c>
      <c r="E15" s="29" t="s">
        <v>71</v>
      </c>
      <c r="F15" s="26" t="s">
        <v>26</v>
      </c>
      <c r="G15" s="14">
        <v>2</v>
      </c>
      <c r="H15" s="92">
        <f>IF(B$19=0,0,G15/B$19)</f>
        <v>3.3333333333333333E-2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0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60</v>
      </c>
      <c r="C16" s="8">
        <f>IF(B$3=0,0,B16/B$3)</f>
        <v>0.31413612565445026</v>
      </c>
      <c r="E16" s="29" t="s">
        <v>85</v>
      </c>
      <c r="F16" s="26" t="s">
        <v>40</v>
      </c>
      <c r="G16" s="14">
        <v>2</v>
      </c>
      <c r="H16" s="92">
        <f>IF(B$19=0,0,G16/B$19)</f>
        <v>3.3333333333333333E-2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 t="shared" si="2"/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0.62962962962962965</v>
      </c>
      <c r="E17" s="29" t="s">
        <v>75</v>
      </c>
      <c r="F17" s="26" t="s">
        <v>30</v>
      </c>
      <c r="G17" s="14">
        <v>1</v>
      </c>
      <c r="H17" s="92">
        <f>IF(B$19=0,0,G17/B$19)</f>
        <v>1.6666666666666666E-2</v>
      </c>
      <c r="I17" s="60">
        <v>1</v>
      </c>
      <c r="K17" s="7">
        <v>15</v>
      </c>
      <c r="L17" s="65">
        <v>112.6</v>
      </c>
      <c r="N17" s="78" t="s">
        <v>196</v>
      </c>
      <c r="O17" s="87">
        <f t="shared" si="2"/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0.43333333333333335</v>
      </c>
      <c r="E18" s="29" t="s">
        <v>88</v>
      </c>
      <c r="F18" s="26" t="s">
        <v>43</v>
      </c>
      <c r="G18" s="14">
        <v>1</v>
      </c>
      <c r="H18" s="92">
        <f>IF(B$19=0,0,G18/B$19)</f>
        <v>1.6666666666666666E-2</v>
      </c>
      <c r="I18" s="60">
        <v>1</v>
      </c>
      <c r="K18" s="7">
        <v>16</v>
      </c>
      <c r="L18" s="65">
        <v>119.3</v>
      </c>
      <c r="N18" s="78" t="s">
        <v>189</v>
      </c>
      <c r="O18" s="87">
        <f t="shared" si="2"/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60</v>
      </c>
      <c r="C19" s="6">
        <f>IF(B$3=0,0,B19/B$3)</f>
        <v>0.31413612565445026</v>
      </c>
      <c r="E19" s="29" t="s">
        <v>102</v>
      </c>
      <c r="F19" s="26" t="s">
        <v>57</v>
      </c>
      <c r="G19" s="14">
        <v>1</v>
      </c>
      <c r="H19" s="92">
        <f>IF(B$19=0,0,G19/B$19)</f>
        <v>1.6666666666666666E-2</v>
      </c>
      <c r="I19" s="60">
        <v>1</v>
      </c>
      <c r="K19" s="7">
        <v>17</v>
      </c>
      <c r="L19" s="65">
        <v>71.699999999999989</v>
      </c>
      <c r="N19" s="78" t="s">
        <v>192</v>
      </c>
      <c r="O19" s="87">
        <f t="shared" si="2"/>
        <v>-18.040000000000003</v>
      </c>
      <c r="P19" s="81">
        <v>15</v>
      </c>
      <c r="Q19" s="72">
        <v>-270.60000000000002</v>
      </c>
    </row>
    <row r="20" spans="1:17" x14ac:dyDescent="0.45">
      <c r="A20" s="21" t="s">
        <v>13</v>
      </c>
      <c r="B20" s="14">
        <v>27</v>
      </c>
      <c r="C20" s="8">
        <f>IF(B$3=0,0,B20/B$3)</f>
        <v>0.14136125654450263</v>
      </c>
      <c r="E20" s="29" t="s">
        <v>156</v>
      </c>
      <c r="F20" s="26" t="s">
        <v>157</v>
      </c>
      <c r="G20" s="14">
        <v>1</v>
      </c>
      <c r="H20" s="92">
        <f>IF(B$19=0,0,G20/B$19)</f>
        <v>1.6666666666666666E-2</v>
      </c>
      <c r="I20" s="60">
        <v>2</v>
      </c>
      <c r="K20" s="7">
        <v>18</v>
      </c>
      <c r="L20" s="65">
        <v>45.399999999999991</v>
      </c>
      <c r="N20" s="78" t="s">
        <v>126</v>
      </c>
      <c r="O20" s="87">
        <f t="shared" si="2"/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28</v>
      </c>
      <c r="C21" s="8">
        <f>IF(B$19=0,0,B21/B$19)</f>
        <v>0.46666666666666667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32</v>
      </c>
      <c r="C22" s="8">
        <f>IF(B$19=0,0,B22/B$19)</f>
        <v>0.53333333333333333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17</v>
      </c>
      <c r="C23" s="8">
        <f>IF(B$19=0,0,B23/B$19)</f>
        <v>0.28333333333333333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0.43333333333333335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17</v>
      </c>
      <c r="C25" s="8">
        <f>IF(B$19=0,0,B25/B$19)</f>
        <v>0.28333333333333333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8308.3333333333339</v>
      </c>
      <c r="C26" s="10">
        <v>498500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9094.1176470588234</v>
      </c>
      <c r="C27" s="100">
        <v>309200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-7514.8148148148148</v>
      </c>
      <c r="C29" s="100">
        <v>-202900</v>
      </c>
      <c r="E29" s="29" t="s">
        <v>86</v>
      </c>
      <c r="F29" s="26" t="s">
        <v>41</v>
      </c>
      <c r="G29" s="14">
        <v>0</v>
      </c>
      <c r="H29" s="92">
        <f>IF(B$19=0,0,G29/B$19)</f>
        <v>0</v>
      </c>
      <c r="I29" s="60">
        <v>9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27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7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3">IF(B$19=0,0,B36/B$19)</f>
        <v>0.1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3"/>
        <v>0.21666666666666667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12</v>
      </c>
      <c r="C38" s="8">
        <f t="shared" si="3"/>
        <v>0.2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3"/>
        <v>0.15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3"/>
        <v>0.18333333333333332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3"/>
        <v>0.05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0.05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3"/>
        <v>1.6666666666666666E-2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3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1.6666666666666666E-2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1.6666666666666666E-2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17</v>
      </c>
      <c r="C2" s="132"/>
      <c r="E2" s="28" t="s">
        <v>66</v>
      </c>
      <c r="F2" s="25" t="s">
        <v>22</v>
      </c>
      <c r="G2" s="13">
        <v>44</v>
      </c>
      <c r="H2" s="91">
        <f>IF(B$19=0,0,G2/B$19)</f>
        <v>1.0476190476190477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3011.7647058823532</v>
      </c>
      <c r="P2" s="80">
        <v>17</v>
      </c>
      <c r="Q2" s="67">
        <v>51200</v>
      </c>
    </row>
    <row r="3" spans="1:17" x14ac:dyDescent="0.45">
      <c r="A3" s="21" t="s">
        <v>8</v>
      </c>
      <c r="B3" s="133">
        <v>128</v>
      </c>
      <c r="C3" s="134"/>
      <c r="E3" s="29" t="s">
        <v>72</v>
      </c>
      <c r="F3" s="26" t="s">
        <v>27</v>
      </c>
      <c r="G3" s="14">
        <v>27</v>
      </c>
      <c r="H3" s="92">
        <f>IF(B$19=0,0,G3/B$19)</f>
        <v>0.6428571428571429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-7362.5</v>
      </c>
      <c r="P3" s="81">
        <v>16</v>
      </c>
      <c r="Q3" s="68">
        <v>-117800</v>
      </c>
    </row>
    <row r="4" spans="1:17" x14ac:dyDescent="0.45">
      <c r="A4" s="21" t="s">
        <v>6</v>
      </c>
      <c r="B4" s="135">
        <v>-52.900000000000013</v>
      </c>
      <c r="C4" s="136"/>
      <c r="E4" s="29" t="s">
        <v>64</v>
      </c>
      <c r="F4" s="26" t="s">
        <v>20</v>
      </c>
      <c r="G4" s="14">
        <v>14</v>
      </c>
      <c r="H4" s="92">
        <f>IF(B$19=0,0,G4/B$19)</f>
        <v>0.33333333333333331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-113.33333333333333</v>
      </c>
      <c r="P4" s="81">
        <v>15</v>
      </c>
      <c r="Q4" s="68">
        <v>-1700</v>
      </c>
    </row>
    <row r="5" spans="1:17" x14ac:dyDescent="0.45">
      <c r="A5" s="21" t="s">
        <v>7</v>
      </c>
      <c r="B5" s="123">
        <f>IF(B$2=0,0,B$4/B$2)</f>
        <v>-3.1117647058823539</v>
      </c>
      <c r="C5" s="124"/>
      <c r="E5" s="29" t="s">
        <v>160</v>
      </c>
      <c r="F5" s="26" t="s">
        <v>161</v>
      </c>
      <c r="G5" s="14">
        <v>11</v>
      </c>
      <c r="H5" s="92">
        <f>IF(B$19=0,0,G5/B$19)</f>
        <v>0.26190476190476192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-2316.6666666666665</v>
      </c>
      <c r="P5" s="81">
        <v>12</v>
      </c>
      <c r="Q5" s="68">
        <v>-27800</v>
      </c>
    </row>
    <row r="6" spans="1:17" x14ac:dyDescent="0.45">
      <c r="A6" s="21" t="s">
        <v>1</v>
      </c>
      <c r="B6" s="137">
        <f>IF(B$2=0,0,(B$7*1+B$8*2+B$9*3)/B$2)</f>
        <v>2.0588235294117645</v>
      </c>
      <c r="C6" s="138"/>
      <c r="E6" s="29" t="s">
        <v>68</v>
      </c>
      <c r="F6" s="26" t="s">
        <v>12</v>
      </c>
      <c r="G6" s="14">
        <v>9</v>
      </c>
      <c r="H6" s="92">
        <f>IF(B$19=0,0,G6/B$19)</f>
        <v>0.21428571428571427</v>
      </c>
      <c r="I6" s="60">
        <v>10</v>
      </c>
      <c r="K6" s="7">
        <v>4</v>
      </c>
      <c r="L6" s="65">
        <v>-41.199999999999996</v>
      </c>
      <c r="N6" s="78" t="s">
        <v>132</v>
      </c>
      <c r="O6" s="84">
        <f t="shared" si="0"/>
        <v>381.81818181818181</v>
      </c>
      <c r="P6" s="81">
        <v>11</v>
      </c>
      <c r="Q6" s="68">
        <v>4200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0.35294117647058826</v>
      </c>
      <c r="E7" s="29" t="s">
        <v>89</v>
      </c>
      <c r="F7" s="26" t="s">
        <v>44</v>
      </c>
      <c r="G7" s="14">
        <v>9</v>
      </c>
      <c r="H7" s="92">
        <f>IF(B$19=0,0,G7/B$19)</f>
        <v>0.21428571428571427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-1200</v>
      </c>
      <c r="P7" s="82">
        <v>8</v>
      </c>
      <c r="Q7" s="69">
        <v>-9600</v>
      </c>
    </row>
    <row r="8" spans="1:17" x14ac:dyDescent="0.45">
      <c r="A8" s="21" t="s">
        <v>3</v>
      </c>
      <c r="B8" s="14">
        <v>4</v>
      </c>
      <c r="C8" s="8">
        <f t="shared" si="1"/>
        <v>0.23529411764705882</v>
      </c>
      <c r="E8" s="29" t="s">
        <v>67</v>
      </c>
      <c r="F8" s="26" t="s">
        <v>23</v>
      </c>
      <c r="G8" s="14">
        <v>7</v>
      </c>
      <c r="H8" s="92">
        <f>IF(B$19=0,0,G8/B$19)</f>
        <v>0.16666666666666666</v>
      </c>
      <c r="I8" s="60">
        <v>10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0.41176470588235292</v>
      </c>
      <c r="E9" s="29" t="s">
        <v>70</v>
      </c>
      <c r="F9" s="26" t="s">
        <v>25</v>
      </c>
      <c r="G9" s="14">
        <v>7</v>
      </c>
      <c r="H9" s="92">
        <f>IF(B$19=0,0,G9/B$19)</f>
        <v>0.16666666666666666</v>
      </c>
      <c r="I9" s="60">
        <v>1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42.18333333333333</v>
      </c>
      <c r="C10" s="114">
        <v>253.1</v>
      </c>
      <c r="E10" s="29" t="s">
        <v>69</v>
      </c>
      <c r="F10" s="26" t="s">
        <v>24</v>
      </c>
      <c r="G10" s="14">
        <v>6</v>
      </c>
      <c r="H10" s="92">
        <f>IF(B$19=0,0,G10/B$19)</f>
        <v>0.14285714285714285</v>
      </c>
      <c r="I10" s="60">
        <v>3</v>
      </c>
      <c r="K10" s="7">
        <v>8</v>
      </c>
      <c r="L10" s="65">
        <v>-128.6</v>
      </c>
      <c r="N10" s="77" t="s">
        <v>152</v>
      </c>
      <c r="O10" s="86">
        <f>IF(P10=0,0,Q10/P10)</f>
        <v>-1.0124999999999997</v>
      </c>
      <c r="P10" s="80">
        <v>8</v>
      </c>
      <c r="Q10" s="71">
        <v>-8.0999999999999979</v>
      </c>
    </row>
    <row r="11" spans="1:17" x14ac:dyDescent="0.45">
      <c r="A11" s="22" t="s">
        <v>186</v>
      </c>
      <c r="B11" s="113">
        <f>IF(B8=0,0,C11/B8)</f>
        <v>-3.9249999999999998</v>
      </c>
      <c r="C11" s="114">
        <v>-15.7</v>
      </c>
      <c r="E11" s="29" t="s">
        <v>83</v>
      </c>
      <c r="F11" s="26" t="s">
        <v>38</v>
      </c>
      <c r="G11" s="14">
        <v>5</v>
      </c>
      <c r="H11" s="92">
        <f>IF(B$19=0,0,G11/B$19)</f>
        <v>0.11904761904761904</v>
      </c>
      <c r="I11" s="60">
        <v>2</v>
      </c>
      <c r="K11" s="7">
        <v>9</v>
      </c>
      <c r="L11" s="65">
        <v>-120</v>
      </c>
      <c r="N11" s="78" t="s">
        <v>153</v>
      </c>
      <c r="O11" s="87">
        <f>IF(P11=0,0,Q11/P11)</f>
        <v>4.7999999999999989</v>
      </c>
      <c r="P11" s="81">
        <v>4</v>
      </c>
      <c r="Q11" s="72">
        <v>19.199999999999996</v>
      </c>
    </row>
    <row r="12" spans="1:17" x14ac:dyDescent="0.45">
      <c r="A12" s="22" t="s">
        <v>187</v>
      </c>
      <c r="B12" s="113">
        <f>IF(B9=0,0,C12/B9)</f>
        <v>-41.471428571428575</v>
      </c>
      <c r="C12" s="114">
        <v>-290.3</v>
      </c>
      <c r="E12" s="29" t="s">
        <v>65</v>
      </c>
      <c r="F12" s="26" t="s">
        <v>21</v>
      </c>
      <c r="G12" s="14">
        <v>3</v>
      </c>
      <c r="H12" s="92">
        <f>IF(B$19=0,0,G12/B$19)</f>
        <v>7.1428571428571425E-2</v>
      </c>
      <c r="I12" s="60">
        <v>10</v>
      </c>
      <c r="K12" s="7">
        <v>10</v>
      </c>
      <c r="L12" s="65">
        <v>-112.8</v>
      </c>
      <c r="N12" s="79" t="s">
        <v>154</v>
      </c>
      <c r="O12" s="88">
        <f>IF(P12=0,0,Q12/P12)</f>
        <v>-12.8</v>
      </c>
      <c r="P12" s="82">
        <v>5</v>
      </c>
      <c r="Q12" s="73">
        <v>-64</v>
      </c>
    </row>
    <row r="13" spans="1:17" x14ac:dyDescent="0.45">
      <c r="A13" s="22" t="s">
        <v>188</v>
      </c>
      <c r="B13" s="123">
        <f>AVERAGE(B10:B12)</f>
        <v>-1.0710317460317473</v>
      </c>
      <c r="C13" s="124"/>
      <c r="E13" s="29" t="s">
        <v>71</v>
      </c>
      <c r="F13" s="26" t="s">
        <v>26</v>
      </c>
      <c r="G13" s="14">
        <v>3</v>
      </c>
      <c r="H13" s="92">
        <f>IF(B$19=0,0,G13/B$19)</f>
        <v>7.1428571428571425E-2</v>
      </c>
      <c r="I13" s="60">
        <v>5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0.17647058823529413</v>
      </c>
      <c r="E14" s="29" t="s">
        <v>78</v>
      </c>
      <c r="F14" s="26" t="s">
        <v>33</v>
      </c>
      <c r="G14" s="14">
        <v>3</v>
      </c>
      <c r="H14" s="92">
        <f>IF(B$19=0,0,G14/B$19)</f>
        <v>7.1428571428571425E-2</v>
      </c>
      <c r="I14" s="60">
        <v>1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25</v>
      </c>
      <c r="C15" s="12">
        <f>IF(B$3=0,0,B15/B$3)</f>
        <v>0.1953125</v>
      </c>
      <c r="E15" s="29" t="s">
        <v>81</v>
      </c>
      <c r="F15" s="26" t="s">
        <v>36</v>
      </c>
      <c r="G15" s="14">
        <v>1</v>
      </c>
      <c r="H15" s="92">
        <f>IF(B$19=0,0,G15/B$19)</f>
        <v>2.3809523809523808E-2</v>
      </c>
      <c r="I15" s="60">
        <v>5</v>
      </c>
      <c r="K15" s="7">
        <v>13</v>
      </c>
      <c r="L15" s="65">
        <v>-63.4</v>
      </c>
      <c r="N15" s="77" t="s">
        <v>164</v>
      </c>
      <c r="O15" s="86">
        <f>IF(P15=0,0,Q15/P15)</f>
        <v>9.1857142857142833</v>
      </c>
      <c r="P15" s="80">
        <v>7</v>
      </c>
      <c r="Q15" s="71">
        <v>64.299999999999983</v>
      </c>
    </row>
    <row r="16" spans="1:17" x14ac:dyDescent="0.45">
      <c r="A16" s="21" t="s">
        <v>118</v>
      </c>
      <c r="B16" s="14">
        <v>39</v>
      </c>
      <c r="C16" s="8">
        <f>IF(B$3=0,0,B16/B$3)</f>
        <v>0.3046875</v>
      </c>
      <c r="E16" s="29" t="s">
        <v>86</v>
      </c>
      <c r="F16" s="26" t="s">
        <v>41</v>
      </c>
      <c r="G16" s="14">
        <v>1</v>
      </c>
      <c r="H16" s="92">
        <f>IF(B$19=0,0,G16/B$19)</f>
        <v>2.3809523809523808E-2</v>
      </c>
      <c r="I16" s="60">
        <v>7</v>
      </c>
      <c r="K16" s="7">
        <v>14</v>
      </c>
      <c r="L16" s="65">
        <v>-42.4</v>
      </c>
      <c r="N16" s="78" t="s">
        <v>192</v>
      </c>
      <c r="O16" s="87">
        <f>IF(P16=0,0,Q16/P16)</f>
        <v>1.3166666666666658</v>
      </c>
      <c r="P16" s="81">
        <v>6</v>
      </c>
      <c r="Q16" s="72">
        <v>7.899999999999995</v>
      </c>
    </row>
    <row r="17" spans="1:17" x14ac:dyDescent="0.45">
      <c r="A17" s="20" t="s">
        <v>123</v>
      </c>
      <c r="B17" s="13">
        <f>B23</f>
        <v>15</v>
      </c>
      <c r="C17" s="6">
        <f>IF(B$15=0,0,B17/B$15)</f>
        <v>0.6</v>
      </c>
      <c r="E17" s="29" t="s">
        <v>92</v>
      </c>
      <c r="F17" s="26" t="s">
        <v>47</v>
      </c>
      <c r="G17" s="14">
        <v>1</v>
      </c>
      <c r="H17" s="92">
        <f>IF(B$19=0,0,G17/B$19)</f>
        <v>2.3809523809523808E-2</v>
      </c>
      <c r="I17" s="60">
        <v>1</v>
      </c>
      <c r="K17" s="7">
        <v>15</v>
      </c>
      <c r="L17" s="65">
        <v>-65.7</v>
      </c>
      <c r="N17" s="78" t="s">
        <v>126</v>
      </c>
      <c r="O17" s="87">
        <f>IF(P17=0,0,Q17/P17)</f>
        <v>-4.528571428571432</v>
      </c>
      <c r="P17" s="81">
        <v>14</v>
      </c>
      <c r="Q17" s="72">
        <v>-63.400000000000048</v>
      </c>
    </row>
    <row r="18" spans="1:17" x14ac:dyDescent="0.45">
      <c r="A18" s="20" t="s">
        <v>124</v>
      </c>
      <c r="B18" s="13">
        <f>B24</f>
        <v>11</v>
      </c>
      <c r="C18" s="6">
        <f>IF(B$16=0,0,B18/B$16)</f>
        <v>0.28205128205128205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194</v>
      </c>
      <c r="O18" s="87">
        <f>IF(P18=0,0,Q18/P18)</f>
        <v>-18.3</v>
      </c>
      <c r="P18" s="81">
        <v>6</v>
      </c>
      <c r="Q18" s="72">
        <v>-109.8</v>
      </c>
    </row>
    <row r="19" spans="1:17" x14ac:dyDescent="0.45">
      <c r="A19" s="20" t="s">
        <v>10</v>
      </c>
      <c r="B19" s="13">
        <f>B22+B21</f>
        <v>42</v>
      </c>
      <c r="C19" s="6">
        <f>IF(B$3=0,0,B19/B$3)</f>
        <v>0.328125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-52.900000000000013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29</v>
      </c>
      <c r="C20" s="8">
        <f>IF(B$3=0,0,B20/B$3)</f>
        <v>0.2265625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</row>
    <row r="21" spans="1:17" x14ac:dyDescent="0.45">
      <c r="A21" s="21" t="s">
        <v>12</v>
      </c>
      <c r="B21" s="14">
        <v>15</v>
      </c>
      <c r="C21" s="8">
        <f>IF(B$19=0,0,B21/B$19)</f>
        <v>0.35714285714285715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27</v>
      </c>
      <c r="C22" s="8">
        <f>IF(B$19=0,0,B22/B$19)</f>
        <v>0.6428571428571429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4</v>
      </c>
    </row>
    <row r="23" spans="1:17" x14ac:dyDescent="0.45">
      <c r="A23" s="21" t="s">
        <v>184</v>
      </c>
      <c r="B23" s="14">
        <v>15</v>
      </c>
      <c r="C23" s="8">
        <f>IF(B$19=0,0,B23/B$19)</f>
        <v>0.35714285714285715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11</v>
      </c>
      <c r="C24" s="8">
        <f>IF(B$19=0,0,B24/B$19)</f>
        <v>0.26190476190476192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16</v>
      </c>
      <c r="C25" s="8">
        <f>IF(B$19=0,0,B25/B$19)</f>
        <v>0.38095238095238093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9978.5714285714294</v>
      </c>
      <c r="C26" s="10">
        <v>419100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9961.2903225806458</v>
      </c>
      <c r="C27" s="100">
        <v>308800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10027.272727272728</v>
      </c>
      <c r="C28" s="100">
        <v>110300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</row>
    <row r="29" spans="1:17" x14ac:dyDescent="0.45">
      <c r="A29" s="22" t="s">
        <v>165</v>
      </c>
      <c r="B29" s="99">
        <f>IF(B$20=0,0,C29/B$20)</f>
        <v>-9479.310344827587</v>
      </c>
      <c r="C29" s="100">
        <v>-274900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4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10</v>
      </c>
      <c r="C31" s="94">
        <v>2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0.11904761904761904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9</v>
      </c>
      <c r="C37" s="8">
        <f t="shared" si="2"/>
        <v>0.21428571428571427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9.5238095238095233E-2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7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5</v>
      </c>
      <c r="C40" s="8">
        <f t="shared" si="2"/>
        <v>0.11904761904761904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7.1428571428571425E-2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7.1428571428571425E-2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4.7619047619047616E-2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2.3809523809523808E-2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4.7619047619047616E-2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2.3809523809523808E-2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8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2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2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5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4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8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2020-06-17T16:20:51Z</dcterms:modified>
</cp:coreProperties>
</file>