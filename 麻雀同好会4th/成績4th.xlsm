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A924CC6E-5066-4B52-9570-BFA4B5FA0DC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7" i="6176"/>
  <c r="O19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7" i="6182" l="1"/>
  <c r="O16" i="6190"/>
  <c r="O16" i="6178"/>
  <c r="O18" i="6186"/>
  <c r="O19" i="6190" l="1"/>
  <c r="O15" i="6178"/>
  <c r="O18" i="6190"/>
  <c r="O15" i="6176"/>
  <c r="O15" i="6184" l="1"/>
  <c r="O17" i="6178"/>
  <c r="O19" i="6180"/>
  <c r="O19" i="6184"/>
  <c r="O16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26" i="6190"/>
  <c r="C24" i="6190"/>
  <c r="H31" i="6190"/>
  <c r="H18" i="6190"/>
  <c r="H42" i="6190"/>
  <c r="H33" i="6190"/>
  <c r="H3" i="6190"/>
  <c r="H25" i="6190"/>
  <c r="C42" i="6190"/>
  <c r="H9" i="6190"/>
  <c r="C19" i="6190"/>
  <c r="C25" i="6190"/>
  <c r="H36" i="6190"/>
  <c r="H22" i="6190"/>
  <c r="C36" i="6190"/>
  <c r="H48" i="6190"/>
  <c r="C46" i="6190"/>
  <c r="H12" i="6190"/>
  <c r="H27" i="6190"/>
  <c r="H47" i="6190"/>
  <c r="H16" i="6190"/>
  <c r="H23" i="6190"/>
  <c r="C48" i="6190"/>
  <c r="H2" i="6190"/>
  <c r="H43" i="6190"/>
  <c r="H29" i="6190"/>
  <c r="H37" i="6190"/>
  <c r="H14" i="6190"/>
  <c r="H38" i="6190"/>
  <c r="H6" i="6190"/>
  <c r="H17" i="6190"/>
  <c r="H20" i="6190"/>
  <c r="C21" i="6190"/>
  <c r="H30" i="6190"/>
  <c r="H41" i="6190"/>
  <c r="H49" i="6190"/>
  <c r="C38" i="6190"/>
  <c r="H44" i="6190"/>
  <c r="H11" i="6190"/>
  <c r="H13" i="6190"/>
  <c r="B26" i="6190"/>
  <c r="H34" i="6190"/>
  <c r="H39" i="6190"/>
  <c r="C44" i="6190"/>
  <c r="H51" i="6190"/>
  <c r="H15" i="6190"/>
  <c r="H4" i="6190"/>
  <c r="H8" i="6190"/>
  <c r="H19" i="6190"/>
  <c r="H21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20" i="6180" l="1"/>
  <c r="O20" i="6186"/>
  <c r="O21" i="6176"/>
  <c r="O16" i="6186"/>
  <c r="O16" i="6180" l="1"/>
  <c r="O19" i="6182"/>
  <c r="O22" i="6176"/>
  <c r="O18" i="6176"/>
  <c r="O15" i="6182"/>
  <c r="O18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7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7" i="6174"/>
  <c r="O20" i="6182"/>
  <c r="O16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17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5" i="6182"/>
  <c r="H52" i="6182"/>
  <c r="H22" i="6182"/>
  <c r="C21" i="6182"/>
  <c r="H4" i="6182"/>
  <c r="H35" i="6182"/>
  <c r="H2" i="6182"/>
  <c r="H10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3" i="6182"/>
  <c r="H12" i="6182"/>
  <c r="H23" i="6182"/>
  <c r="B26" i="6182"/>
  <c r="H36" i="6182"/>
  <c r="H45" i="6182"/>
  <c r="H15" i="6182"/>
  <c r="H9" i="6182"/>
  <c r="H39" i="6182"/>
  <c r="C46" i="6182"/>
  <c r="H19" i="6182"/>
  <c r="H16" i="6182"/>
  <c r="H8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1" i="6182"/>
  <c r="H17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8" i="6186"/>
  <c r="H19" i="6186"/>
  <c r="H9" i="6186"/>
  <c r="C40" i="6186"/>
  <c r="H17" i="6186"/>
  <c r="C23" i="6186"/>
  <c r="H42" i="6186"/>
  <c r="H6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1" i="6186"/>
  <c r="H14" i="6186"/>
  <c r="H20" i="6186"/>
  <c r="C36" i="6186"/>
  <c r="H25" i="6186"/>
  <c r="H30" i="6186"/>
  <c r="H39" i="6186"/>
  <c r="H47" i="6186"/>
  <c r="H12" i="6186"/>
  <c r="H3" i="6186"/>
  <c r="H2" i="6186"/>
  <c r="H16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5" i="6186"/>
  <c r="H10" i="6186"/>
  <c r="H35" i="6186"/>
  <c r="C38" i="6186"/>
  <c r="C42" i="6186"/>
  <c r="C46" i="6186"/>
  <c r="H33" i="6174"/>
  <c r="H43" i="6184"/>
  <c r="H15" i="6184"/>
  <c r="H35" i="6184"/>
  <c r="C44" i="6184"/>
  <c r="H4" i="6184"/>
  <c r="H11" i="6184"/>
  <c r="H22" i="6184"/>
  <c r="C22" i="6184"/>
  <c r="H46" i="6184"/>
  <c r="H10" i="6184"/>
  <c r="H6" i="6184"/>
  <c r="C23" i="6184"/>
  <c r="C36" i="6184"/>
  <c r="H48" i="6184"/>
  <c r="H38" i="6184"/>
  <c r="H3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4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1" i="6180"/>
  <c r="H8" i="6180"/>
  <c r="C18" i="6180"/>
  <c r="H25" i="6180"/>
  <c r="C21" i="6180"/>
  <c r="H29" i="6180"/>
  <c r="H36" i="6180"/>
  <c r="H14" i="6180"/>
  <c r="C40" i="6180"/>
  <c r="H4" i="6180"/>
  <c r="H17" i="6180"/>
  <c r="C22" i="6180"/>
  <c r="H42" i="6180"/>
  <c r="H2" i="6180"/>
  <c r="H27" i="6180"/>
  <c r="H5" i="6180"/>
  <c r="C25" i="6180"/>
  <c r="C42" i="6180"/>
  <c r="H46" i="6180"/>
  <c r="H16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8" i="6180"/>
  <c r="H12" i="6180"/>
  <c r="H19" i="6180"/>
  <c r="C38" i="6180"/>
  <c r="C44" i="6180"/>
  <c r="H52" i="6180"/>
  <c r="C39" i="6180"/>
  <c r="C43" i="6180"/>
  <c r="C47" i="6180"/>
  <c r="H23" i="6180"/>
  <c r="H33" i="6180"/>
  <c r="H20" i="6180"/>
  <c r="C37" i="6180"/>
  <c r="C41" i="6180"/>
  <c r="C45" i="6180"/>
  <c r="H51" i="6180"/>
  <c r="H22" i="6180"/>
  <c r="C23" i="6180"/>
  <c r="B27" i="6180"/>
  <c r="H35" i="6180"/>
  <c r="H39" i="6180"/>
  <c r="H43" i="6180"/>
  <c r="H47" i="6180"/>
  <c r="C18" i="6174"/>
  <c r="H7" i="6174"/>
  <c r="C36" i="6174"/>
  <c r="H29" i="6174"/>
  <c r="H30" i="6174"/>
  <c r="H43" i="6174"/>
  <c r="H32" i="6174"/>
  <c r="H21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2" i="6174"/>
  <c r="H24" i="6174"/>
  <c r="H40" i="6174"/>
  <c r="C19" i="6174"/>
  <c r="C24" i="6174"/>
  <c r="H19" i="6174"/>
  <c r="H45" i="6174"/>
  <c r="H10" i="6174"/>
  <c r="H11" i="6174"/>
  <c r="C25" i="6174"/>
  <c r="H20" i="6174"/>
  <c r="H4" i="6174"/>
  <c r="H50" i="6174"/>
  <c r="H6" i="6174"/>
  <c r="H31" i="6174"/>
  <c r="H15" i="6174"/>
  <c r="H17" i="6174"/>
  <c r="H37" i="6174"/>
  <c r="C44" i="6174"/>
  <c r="H28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4" i="6174"/>
  <c r="H13" i="6174"/>
  <c r="H36" i="6174"/>
  <c r="H38" i="6174"/>
  <c r="C39" i="6174"/>
  <c r="C43" i="6174"/>
  <c r="C47" i="6174"/>
  <c r="H27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<sst xmlns="http://schemas.openxmlformats.org/spreadsheetml/2006/main" count="2653" uniqueCount="219">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</sst>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xVal>
          <c:yVal>
            <c:numRef>
              <c:f>全体!$L$2:$L$200</c:f>
              <c:numCache>
                <c:formatCode>\+0.0;\-0.0;\±0</c:formatCode>
                <c:ptCount val="199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-10.256410256410257</c:v>
                </c:pt>
                <c:pt idx="1">
                  <c:v>-10.416666666666666</c:v>
                </c:pt>
                <c:pt idx="2">
                  <c:v>0</c:v>
                </c:pt>
                <c:pt idx="3">
                  <c:v>19.23076923076923</c:v>
                </c:pt>
                <c:pt idx="4">
                  <c:v>-59.25925925925926</c:v>
                </c:pt>
                <c:pt idx="5">
                  <c:v>74.074074074074076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35</c:v>
                </c:pt>
                <c:pt idx="1">
                  <c:v>80</c:v>
                </c:pt>
                <c:pt idx="2">
                  <c:v>69</c:v>
                </c:pt>
                <c:pt idx="3">
                  <c:v>79</c:v>
                </c:pt>
                <c:pt idx="4">
                  <c:v>70</c:v>
                </c:pt>
                <c:pt idx="5">
                  <c:v>40</c:v>
                </c:pt>
                <c:pt idx="6">
                  <c:v>28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れんたろう!$L$2:$L$39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-3169.4444444444443</c:v>
                </c:pt>
                <c:pt idx="1">
                  <c:v>-586.11111111111109</c:v>
                </c:pt>
                <c:pt idx="2">
                  <c:v>-245.45454545454547</c:v>
                </c:pt>
                <c:pt idx="3">
                  <c:v>-2680</c:v>
                </c:pt>
                <c:pt idx="4">
                  <c:v>1660.7142857142858</c:v>
                </c:pt>
                <c:pt idx="5">
                  <c:v>3923.8095238095239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4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だいち!$L$2:$L$50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147.91666666666666</c:v>
                </c:pt>
                <c:pt idx="1">
                  <c:v>4206.3829787234044</c:v>
                </c:pt>
                <c:pt idx="2">
                  <c:v>5000</c:v>
                </c:pt>
                <c:pt idx="3">
                  <c:v>3455.2631578947367</c:v>
                </c:pt>
                <c:pt idx="4">
                  <c:v>-1894.1176470588234</c:v>
                </c:pt>
                <c:pt idx="5">
                  <c:v>1092.5925925925926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18</c:v>
                </c:pt>
                <c:pt idx="3">
                  <c:v>25</c:v>
                </c:pt>
                <c:pt idx="4">
                  <c:v>27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りくと!$L$2:$L$20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-3638.8888888888887</c:v>
                </c:pt>
                <c:pt idx="1">
                  <c:v>100</c:v>
                </c:pt>
                <c:pt idx="2">
                  <c:v>-4433.333333333333</c:v>
                </c:pt>
                <c:pt idx="3">
                  <c:v>3881.818181818182</c:v>
                </c:pt>
                <c:pt idx="4">
                  <c:v>-250</c:v>
                </c:pt>
                <c:pt idx="5">
                  <c:v>-4228.5714285714284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397.14285714285717</c:v>
                </c:pt>
                <c:pt idx="1">
                  <c:v>-942.85714285714289</c:v>
                </c:pt>
                <c:pt idx="2">
                  <c:v>-1728.5714285714287</c:v>
                </c:pt>
                <c:pt idx="3">
                  <c:v>-1115.625</c:v>
                </c:pt>
                <c:pt idx="4">
                  <c:v>-2696.2962962962961</c:v>
                </c:pt>
                <c:pt idx="5">
                  <c:v>-190.47619047619048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19</c:v>
                </c:pt>
                <c:pt idx="3">
                  <c:v>11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-477.27272727272725</c:v>
                </c:pt>
                <c:pt idx="1">
                  <c:v>-1314.2857142857142</c:v>
                </c:pt>
                <c:pt idx="2">
                  <c:v>2544.4444444444443</c:v>
                </c:pt>
                <c:pt idx="3">
                  <c:v>373.33333333333331</c:v>
                </c:pt>
                <c:pt idx="4">
                  <c:v>4945.454545454545</c:v>
                </c:pt>
                <c:pt idx="5">
                  <c:v>-1188.8888888888889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4290.909090909091</c:v>
                </c:pt>
                <c:pt idx="1">
                  <c:v>-9672.7272727272721</c:v>
                </c:pt>
                <c:pt idx="2">
                  <c:v>-2110</c:v>
                </c:pt>
                <c:pt idx="3">
                  <c:v>-4312.5</c:v>
                </c:pt>
                <c:pt idx="4">
                  <c:v>5828.5714285714284</c:v>
                </c:pt>
                <c:pt idx="5">
                  <c:v>-1166.6666666666667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まっつん2!$B$3:$B$39</c:f>
              <c:numCache>
                <c:formatCode>\+0.0;\-0.0;\±0</c:formatCode>
                <c:ptCount val="3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まっつん2!$C$3:$C$39</c:f>
              <c:numCache>
                <c:formatCode>\+0.0;\-0.0;\±0</c:formatCode>
                <c:ptCount val="37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  <c:pt idx="10">
                  <c:v>-1.49</c:v>
                </c:pt>
                <c:pt idx="11">
                  <c:v>-4.1818181818181817</c:v>
                </c:pt>
                <c:pt idx="12">
                  <c:v>-7.3</c:v>
                </c:pt>
                <c:pt idx="13">
                  <c:v>-9.684615384615384</c:v>
                </c:pt>
                <c:pt idx="14">
                  <c:v>-10.671428571428569</c:v>
                </c:pt>
                <c:pt idx="15">
                  <c:v>-8.0933333333333319</c:v>
                </c:pt>
                <c:pt idx="16">
                  <c:v>-8.8312499999999989</c:v>
                </c:pt>
                <c:pt idx="17">
                  <c:v>-8.7705882352941167</c:v>
                </c:pt>
                <c:pt idx="18">
                  <c:v>-11.216666666666665</c:v>
                </c:pt>
                <c:pt idx="19">
                  <c:v>-8.0210526315789465</c:v>
                </c:pt>
                <c:pt idx="20">
                  <c:v>-7.01</c:v>
                </c:pt>
                <c:pt idx="21">
                  <c:v>-3.6523809523809518</c:v>
                </c:pt>
                <c:pt idx="22">
                  <c:v>-2.1227272727272721</c:v>
                </c:pt>
                <c:pt idx="23">
                  <c:v>-1.878260869565217</c:v>
                </c:pt>
                <c:pt idx="24">
                  <c:v>-0.38333333333333286</c:v>
                </c:pt>
                <c:pt idx="25">
                  <c:v>-0.52799999999999958</c:v>
                </c:pt>
                <c:pt idx="26">
                  <c:v>-0.94999999999999951</c:v>
                </c:pt>
                <c:pt idx="27">
                  <c:v>-2.1518518518518515</c:v>
                </c:pt>
                <c:pt idx="28">
                  <c:v>-4.1321428571428571</c:v>
                </c:pt>
                <c:pt idx="29">
                  <c:v>-5.6482758620689646</c:v>
                </c:pt>
                <c:pt idx="30">
                  <c:v>-6.7</c:v>
                </c:pt>
                <c:pt idx="31">
                  <c:v>-5.8677419354838714</c:v>
                </c:pt>
                <c:pt idx="32">
                  <c:v>-4.296875</c:v>
                </c:pt>
                <c:pt idx="33">
                  <c:v>-4.3090909090909086</c:v>
                </c:pt>
                <c:pt idx="34">
                  <c:v>-4.670588235294117</c:v>
                </c:pt>
                <c:pt idx="35">
                  <c:v>-5.2142857142857135</c:v>
                </c:pt>
                <c:pt idx="36">
                  <c:v>-5.8666666666666654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7719935111212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まっつん2!$D$3:$D$39</c:f>
              <c:numCache>
                <c:formatCode>0.00\ "位"</c:formatCode>
                <c:ptCount val="37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2.0526315789473686</c:v>
                </c:pt>
                <c:pt idx="20">
                  <c:v>2.0499999999999998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1.9166666666666667</c:v>
                </c:pt>
                <c:pt idx="25">
                  <c:v>1.92</c:v>
                </c:pt>
                <c:pt idx="26">
                  <c:v>1.9230769230769231</c:v>
                </c:pt>
                <c:pt idx="27">
                  <c:v>1.962962962962963</c:v>
                </c:pt>
                <c:pt idx="28">
                  <c:v>2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2.0285714285714285</c:v>
                </c:pt>
                <c:pt idx="36">
                  <c:v>2.0277777777777777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まっつん2!$E$3:$E$39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0.29032258064516131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まっつん2!$F$3:$F$39</c:f>
              <c:numCache>
                <c:formatCode>0.0%</c:formatCode>
                <c:ptCount val="3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0.31428571428571428</c:v>
                </c:pt>
                <c:pt idx="36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まっつん2!$G$3:$G$39</c:f>
              <c:numCache>
                <c:formatCode>0.0%</c:formatCode>
                <c:ptCount val="37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  <c:pt idx="10">
                  <c:v>0.30263157894736842</c:v>
                </c:pt>
                <c:pt idx="11">
                  <c:v>0.28915662650602408</c:v>
                </c:pt>
                <c:pt idx="12">
                  <c:v>0.26881720430107525</c:v>
                </c:pt>
                <c:pt idx="13">
                  <c:v>0.25252525252525254</c:v>
                </c:pt>
                <c:pt idx="14">
                  <c:v>0.24299065420560748</c:v>
                </c:pt>
                <c:pt idx="15">
                  <c:v>0.25663716814159293</c:v>
                </c:pt>
                <c:pt idx="16">
                  <c:v>0.24193548387096775</c:v>
                </c:pt>
                <c:pt idx="17">
                  <c:v>0.23846153846153847</c:v>
                </c:pt>
                <c:pt idx="18">
                  <c:v>0.22794117647058823</c:v>
                </c:pt>
                <c:pt idx="19">
                  <c:v>0.23943661971830985</c:v>
                </c:pt>
                <c:pt idx="20">
                  <c:v>0.23841059602649006</c:v>
                </c:pt>
                <c:pt idx="21">
                  <c:v>0.26114649681528662</c:v>
                </c:pt>
                <c:pt idx="22">
                  <c:v>0.27272727272727271</c:v>
                </c:pt>
                <c:pt idx="23">
                  <c:v>0.27218934911242604</c:v>
                </c:pt>
                <c:pt idx="24">
                  <c:v>0.2824858757062147</c:v>
                </c:pt>
                <c:pt idx="25">
                  <c:v>0.27624309392265195</c:v>
                </c:pt>
                <c:pt idx="26">
                  <c:v>0.27419354838709675</c:v>
                </c:pt>
                <c:pt idx="27">
                  <c:v>0.27179487179487177</c:v>
                </c:pt>
                <c:pt idx="28">
                  <c:v>0.26829268292682928</c:v>
                </c:pt>
                <c:pt idx="29">
                  <c:v>0.26511627906976742</c:v>
                </c:pt>
                <c:pt idx="30">
                  <c:v>0.26106194690265488</c:v>
                </c:pt>
                <c:pt idx="31">
                  <c:v>0.26495726495726496</c:v>
                </c:pt>
                <c:pt idx="32">
                  <c:v>0.27459016393442626</c:v>
                </c:pt>
                <c:pt idx="33">
                  <c:v>0.26984126984126983</c:v>
                </c:pt>
                <c:pt idx="34">
                  <c:v>0.26848249027237353</c:v>
                </c:pt>
                <c:pt idx="35">
                  <c:v>0.26865671641791045</c:v>
                </c:pt>
                <c:pt idx="36">
                  <c:v>0.26353790613718414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583830351225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まっつん2!$H$3:$H$39</c:f>
              <c:numCache>
                <c:formatCode>0.0%</c:formatCode>
                <c:ptCount val="37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  <c:pt idx="10">
                  <c:v>0.11842105263157894</c:v>
                </c:pt>
                <c:pt idx="11">
                  <c:v>0.10843373493975904</c:v>
                </c:pt>
                <c:pt idx="12">
                  <c:v>0.13978494623655913</c:v>
                </c:pt>
                <c:pt idx="13">
                  <c:v>0.15151515151515152</c:v>
                </c:pt>
                <c:pt idx="14">
                  <c:v>0.14953271028037382</c:v>
                </c:pt>
                <c:pt idx="15">
                  <c:v>0.1415929203539823</c:v>
                </c:pt>
                <c:pt idx="16">
                  <c:v>0.15322580645161291</c:v>
                </c:pt>
                <c:pt idx="17">
                  <c:v>0.14615384615384616</c:v>
                </c:pt>
                <c:pt idx="18">
                  <c:v>0.15441176470588236</c:v>
                </c:pt>
                <c:pt idx="19">
                  <c:v>0.14788732394366197</c:v>
                </c:pt>
                <c:pt idx="20">
                  <c:v>0.13907284768211919</c:v>
                </c:pt>
                <c:pt idx="21">
                  <c:v>0.14012738853503184</c:v>
                </c:pt>
                <c:pt idx="22">
                  <c:v>0.1393939393939394</c:v>
                </c:pt>
                <c:pt idx="23">
                  <c:v>0.13609467455621302</c:v>
                </c:pt>
                <c:pt idx="24">
                  <c:v>0.13559322033898305</c:v>
                </c:pt>
                <c:pt idx="25">
                  <c:v>0.13259668508287292</c:v>
                </c:pt>
                <c:pt idx="26">
                  <c:v>0.12903225806451613</c:v>
                </c:pt>
                <c:pt idx="27">
                  <c:v>0.13333333333333333</c:v>
                </c:pt>
                <c:pt idx="28">
                  <c:v>0.13658536585365855</c:v>
                </c:pt>
                <c:pt idx="29">
                  <c:v>0.13488372093023257</c:v>
                </c:pt>
                <c:pt idx="30">
                  <c:v>0.13716814159292035</c:v>
                </c:pt>
                <c:pt idx="31">
                  <c:v>0.13247863247863248</c:v>
                </c:pt>
                <c:pt idx="32">
                  <c:v>0.12704918032786885</c:v>
                </c:pt>
                <c:pt idx="33">
                  <c:v>0.12301587301587301</c:v>
                </c:pt>
                <c:pt idx="34">
                  <c:v>0.12062256809338522</c:v>
                </c:pt>
                <c:pt idx="35">
                  <c:v>0.12686567164179105</c:v>
                </c:pt>
                <c:pt idx="36">
                  <c:v>0.1263537906137184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06958250497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まっつん2!$I$3:$I$39</c:f>
              <c:numCache>
                <c:formatCode>0</c:formatCode>
                <c:ptCount val="37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  <c:pt idx="10">
                  <c:v>8526.0869565217399</c:v>
                </c:pt>
                <c:pt idx="11">
                  <c:v>8225</c:v>
                </c:pt>
                <c:pt idx="12">
                  <c:v>7960</c:v>
                </c:pt>
                <c:pt idx="13">
                  <c:v>7960</c:v>
                </c:pt>
                <c:pt idx="14">
                  <c:v>7753.8461538461543</c:v>
                </c:pt>
                <c:pt idx="15">
                  <c:v>7813.7931034482763</c:v>
                </c:pt>
                <c:pt idx="16">
                  <c:v>7683.333333333333</c:v>
                </c:pt>
                <c:pt idx="17">
                  <c:v>7564.5161290322585</c:v>
                </c:pt>
                <c:pt idx="18">
                  <c:v>7564.5161290322585</c:v>
                </c:pt>
                <c:pt idx="19">
                  <c:v>7994.1176470588234</c:v>
                </c:pt>
                <c:pt idx="20">
                  <c:v>7994.4444444444443</c:v>
                </c:pt>
                <c:pt idx="21">
                  <c:v>8363.414634146342</c:v>
                </c:pt>
                <c:pt idx="22">
                  <c:v>8211.1111111111113</c:v>
                </c:pt>
                <c:pt idx="23">
                  <c:v>8206.5217391304341</c:v>
                </c:pt>
                <c:pt idx="24">
                  <c:v>8070</c:v>
                </c:pt>
                <c:pt idx="25">
                  <c:v>8070</c:v>
                </c:pt>
                <c:pt idx="26">
                  <c:v>8147.0588235294117</c:v>
                </c:pt>
                <c:pt idx="27">
                  <c:v>8015.0943396226412</c:v>
                </c:pt>
                <c:pt idx="28">
                  <c:v>7890.909090909091</c:v>
                </c:pt>
                <c:pt idx="29">
                  <c:v>7773.6842105263158</c:v>
                </c:pt>
                <c:pt idx="30">
                  <c:v>7681.3559322033898</c:v>
                </c:pt>
                <c:pt idx="31">
                  <c:v>7474.1935483870966</c:v>
                </c:pt>
                <c:pt idx="32">
                  <c:v>7502.9850746268658</c:v>
                </c:pt>
                <c:pt idx="33">
                  <c:v>7411.7647058823532</c:v>
                </c:pt>
                <c:pt idx="34">
                  <c:v>7360.869565217391</c:v>
                </c:pt>
                <c:pt idx="35">
                  <c:v>7419.4444444444443</c:v>
                </c:pt>
                <c:pt idx="36">
                  <c:v>7353.4246575342468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07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まっつん2!$J$3:$J$39</c:f>
              <c:numCache>
                <c:formatCode>0</c:formatCode>
                <c:ptCount val="37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  <c:pt idx="10">
                  <c:v>-11088.888888888889</c:v>
                </c:pt>
                <c:pt idx="11">
                  <c:v>-11088.888888888889</c:v>
                </c:pt>
                <c:pt idx="12">
                  <c:v>-9323.0769230769238</c:v>
                </c:pt>
                <c:pt idx="13">
                  <c:v>-8700</c:v>
                </c:pt>
                <c:pt idx="14">
                  <c:v>-8881.25</c:v>
                </c:pt>
                <c:pt idx="15">
                  <c:v>-8881.25</c:v>
                </c:pt>
                <c:pt idx="16">
                  <c:v>-8157.894736842105</c:v>
                </c:pt>
                <c:pt idx="17">
                  <c:v>-8157.894736842105</c:v>
                </c:pt>
                <c:pt idx="18">
                  <c:v>-8300</c:v>
                </c:pt>
                <c:pt idx="19">
                  <c:v>-8300</c:v>
                </c:pt>
                <c:pt idx="20">
                  <c:v>-8300</c:v>
                </c:pt>
                <c:pt idx="21">
                  <c:v>-8040.909090909091</c:v>
                </c:pt>
                <c:pt idx="22">
                  <c:v>-7804.347826086957</c:v>
                </c:pt>
                <c:pt idx="23">
                  <c:v>-7804.347826086957</c:v>
                </c:pt>
                <c:pt idx="24">
                  <c:v>-7541.666666666667</c:v>
                </c:pt>
                <c:pt idx="25">
                  <c:v>-7541.666666666667</c:v>
                </c:pt>
                <c:pt idx="26">
                  <c:v>-7541.666666666667</c:v>
                </c:pt>
                <c:pt idx="27">
                  <c:v>-7623.0769230769229</c:v>
                </c:pt>
                <c:pt idx="28">
                  <c:v>-7782.1428571428569</c:v>
                </c:pt>
                <c:pt idx="29">
                  <c:v>-7779.3103448275861</c:v>
                </c:pt>
                <c:pt idx="30">
                  <c:v>-7790.322580645161</c:v>
                </c:pt>
                <c:pt idx="31">
                  <c:v>-7790.322580645161</c:v>
                </c:pt>
                <c:pt idx="32">
                  <c:v>-7790.322580645161</c:v>
                </c:pt>
                <c:pt idx="33">
                  <c:v>-7790.322580645161</c:v>
                </c:pt>
                <c:pt idx="34">
                  <c:v>-7790.322580645161</c:v>
                </c:pt>
                <c:pt idx="35">
                  <c:v>-7879.411764705882</c:v>
                </c:pt>
                <c:pt idx="36">
                  <c:v>-7997.1428571428569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51.2820512820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まっつん2!$K$3:$K$39</c:f>
              <c:numCache>
                <c:formatCode>0.0%</c:formatCode>
                <c:ptCount val="3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141414141414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まっつん2!$L$3:$L$39</c:f>
              <c:numCache>
                <c:formatCode>0.0%</c:formatCode>
                <c:ptCount val="37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  <c:pt idx="10">
                  <c:v>0.31578947368421051</c:v>
                </c:pt>
                <c:pt idx="11">
                  <c:v>0.3253012048192771</c:v>
                </c:pt>
                <c:pt idx="12">
                  <c:v>0.30107526881720431</c:v>
                </c:pt>
                <c:pt idx="13">
                  <c:v>0.30303030303030304</c:v>
                </c:pt>
                <c:pt idx="14">
                  <c:v>0.29906542056074764</c:v>
                </c:pt>
                <c:pt idx="15">
                  <c:v>0.29203539823008851</c:v>
                </c:pt>
                <c:pt idx="16">
                  <c:v>0.2661290322580645</c:v>
                </c:pt>
                <c:pt idx="17">
                  <c:v>0.26923076923076922</c:v>
                </c:pt>
                <c:pt idx="18">
                  <c:v>0.26470588235294118</c:v>
                </c:pt>
                <c:pt idx="19">
                  <c:v>0.26760563380281688</c:v>
                </c:pt>
                <c:pt idx="20">
                  <c:v>0.27152317880794702</c:v>
                </c:pt>
                <c:pt idx="21">
                  <c:v>0.28662420382165604</c:v>
                </c:pt>
                <c:pt idx="22">
                  <c:v>0.28484848484848485</c:v>
                </c:pt>
                <c:pt idx="23">
                  <c:v>0.28402366863905326</c:v>
                </c:pt>
                <c:pt idx="24">
                  <c:v>0.2768361581920904</c:v>
                </c:pt>
                <c:pt idx="25">
                  <c:v>0.27071823204419887</c:v>
                </c:pt>
                <c:pt idx="26">
                  <c:v>0.27419354838709675</c:v>
                </c:pt>
                <c:pt idx="27">
                  <c:v>0.28205128205128205</c:v>
                </c:pt>
                <c:pt idx="28">
                  <c:v>0.27317073170731709</c:v>
                </c:pt>
                <c:pt idx="29">
                  <c:v>0.26511627906976742</c:v>
                </c:pt>
                <c:pt idx="30">
                  <c:v>0.26991150442477874</c:v>
                </c:pt>
                <c:pt idx="31">
                  <c:v>0.26923076923076922</c:v>
                </c:pt>
                <c:pt idx="32">
                  <c:v>0.27049180327868855</c:v>
                </c:pt>
                <c:pt idx="33">
                  <c:v>0.26190476190476192</c:v>
                </c:pt>
                <c:pt idx="34">
                  <c:v>0.26070038910505838</c:v>
                </c:pt>
                <c:pt idx="35">
                  <c:v>0.2574626865671642</c:v>
                </c:pt>
                <c:pt idx="36">
                  <c:v>0.2563176895306859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461232604373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まっつん2!$M$3:$M$39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  <c:pt idx="10">
                  <c:v>0.17105263157894737</c:v>
                </c:pt>
                <c:pt idx="11">
                  <c:v>0.18072289156626506</c:v>
                </c:pt>
                <c:pt idx="12">
                  <c:v>0.19354838709677419</c:v>
                </c:pt>
                <c:pt idx="13">
                  <c:v>0.19191919191919191</c:v>
                </c:pt>
                <c:pt idx="14">
                  <c:v>0.18691588785046728</c:v>
                </c:pt>
                <c:pt idx="15">
                  <c:v>0.21238938053097345</c:v>
                </c:pt>
                <c:pt idx="16">
                  <c:v>0.22580645161290322</c:v>
                </c:pt>
                <c:pt idx="17">
                  <c:v>0.23076923076923078</c:v>
                </c:pt>
                <c:pt idx="18">
                  <c:v>0.22794117647058823</c:v>
                </c:pt>
                <c:pt idx="19">
                  <c:v>0.23239436619718309</c:v>
                </c:pt>
                <c:pt idx="20">
                  <c:v>0.23178807947019867</c:v>
                </c:pt>
                <c:pt idx="21">
                  <c:v>0.22929936305732485</c:v>
                </c:pt>
                <c:pt idx="22">
                  <c:v>0.21818181818181817</c:v>
                </c:pt>
                <c:pt idx="23">
                  <c:v>0.21301775147928995</c:v>
                </c:pt>
                <c:pt idx="24">
                  <c:v>0.22033898305084745</c:v>
                </c:pt>
                <c:pt idx="25">
                  <c:v>0.22099447513812154</c:v>
                </c:pt>
                <c:pt idx="26">
                  <c:v>0.22043010752688172</c:v>
                </c:pt>
                <c:pt idx="27">
                  <c:v>0.22051282051282051</c:v>
                </c:pt>
                <c:pt idx="28">
                  <c:v>0.22439024390243903</c:v>
                </c:pt>
                <c:pt idx="29">
                  <c:v>0.22790697674418606</c:v>
                </c:pt>
                <c:pt idx="30">
                  <c:v>0.22566371681415928</c:v>
                </c:pt>
                <c:pt idx="31">
                  <c:v>0.22222222222222221</c:v>
                </c:pt>
                <c:pt idx="32">
                  <c:v>0.22540983606557377</c:v>
                </c:pt>
                <c:pt idx="33">
                  <c:v>0.23015873015873015</c:v>
                </c:pt>
                <c:pt idx="34">
                  <c:v>0.22957198443579765</c:v>
                </c:pt>
                <c:pt idx="35">
                  <c:v>0.23134328358208955</c:v>
                </c:pt>
                <c:pt idx="36">
                  <c:v>0.23104693140794225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3445990722332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まっつん2!$N$3:$N$39</c:f>
              <c:numCache>
                <c:formatCode>0.0%</c:formatCode>
                <c:ptCount val="37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  <c:pt idx="10">
                  <c:v>0.54166666666666663</c:v>
                </c:pt>
                <c:pt idx="11">
                  <c:v>0.51851851851851849</c:v>
                </c:pt>
                <c:pt idx="12">
                  <c:v>0.5</c:v>
                </c:pt>
                <c:pt idx="13">
                  <c:v>0.46666666666666667</c:v>
                </c:pt>
                <c:pt idx="14">
                  <c:v>0.46875</c:v>
                </c:pt>
                <c:pt idx="15">
                  <c:v>0.48484848484848486</c:v>
                </c:pt>
                <c:pt idx="16">
                  <c:v>0.48484848484848486</c:v>
                </c:pt>
                <c:pt idx="17">
                  <c:v>0.48571428571428571</c:v>
                </c:pt>
                <c:pt idx="18">
                  <c:v>0.47222222222222221</c:v>
                </c:pt>
                <c:pt idx="19">
                  <c:v>0.5</c:v>
                </c:pt>
                <c:pt idx="20">
                  <c:v>0.48780487804878048</c:v>
                </c:pt>
                <c:pt idx="21">
                  <c:v>0.53333333333333333</c:v>
                </c:pt>
                <c:pt idx="22">
                  <c:v>0.53191489361702127</c:v>
                </c:pt>
                <c:pt idx="23">
                  <c:v>0.54166666666666663</c:v>
                </c:pt>
                <c:pt idx="24">
                  <c:v>0.55102040816326525</c:v>
                </c:pt>
                <c:pt idx="25">
                  <c:v>0.55102040816326525</c:v>
                </c:pt>
                <c:pt idx="26">
                  <c:v>0.5490196078431373</c:v>
                </c:pt>
                <c:pt idx="27">
                  <c:v>0.54545454545454541</c:v>
                </c:pt>
                <c:pt idx="28">
                  <c:v>0.5357142857142857</c:v>
                </c:pt>
                <c:pt idx="29">
                  <c:v>0.54385964912280704</c:v>
                </c:pt>
                <c:pt idx="30">
                  <c:v>0.52459016393442626</c:v>
                </c:pt>
                <c:pt idx="31">
                  <c:v>0.53968253968253965</c:v>
                </c:pt>
                <c:pt idx="32">
                  <c:v>0.56060606060606055</c:v>
                </c:pt>
                <c:pt idx="33">
                  <c:v>0.56060606060606055</c:v>
                </c:pt>
                <c:pt idx="34">
                  <c:v>0.55223880597014929</c:v>
                </c:pt>
                <c:pt idx="35">
                  <c:v>0.53623188405797106</c:v>
                </c:pt>
                <c:pt idx="36">
                  <c:v>0.53521126760563376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2196382428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まっつん2!$O$3:$O$39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  <c:pt idx="10">
                  <c:v>0.53846153846153844</c:v>
                </c:pt>
                <c:pt idx="11">
                  <c:v>0.46666666666666667</c:v>
                </c:pt>
                <c:pt idx="12">
                  <c:v>0.3888888888888889</c:v>
                </c:pt>
                <c:pt idx="13">
                  <c:v>0.36842105263157893</c:v>
                </c:pt>
                <c:pt idx="14">
                  <c:v>0.35</c:v>
                </c:pt>
                <c:pt idx="15">
                  <c:v>0.375</c:v>
                </c:pt>
                <c:pt idx="16">
                  <c:v>0.35714285714285715</c:v>
                </c:pt>
                <c:pt idx="17">
                  <c:v>0.33333333333333331</c:v>
                </c:pt>
                <c:pt idx="18">
                  <c:v>0.32258064516129031</c:v>
                </c:pt>
                <c:pt idx="19">
                  <c:v>0.33333333333333331</c:v>
                </c:pt>
                <c:pt idx="20">
                  <c:v>0.34285714285714286</c:v>
                </c:pt>
                <c:pt idx="21">
                  <c:v>0.33333333333333331</c:v>
                </c:pt>
                <c:pt idx="22">
                  <c:v>0.33333333333333331</c:v>
                </c:pt>
                <c:pt idx="23">
                  <c:v>0.33333333333333331</c:v>
                </c:pt>
                <c:pt idx="24">
                  <c:v>0.33333333333333331</c:v>
                </c:pt>
                <c:pt idx="25">
                  <c:v>0.32500000000000001</c:v>
                </c:pt>
                <c:pt idx="26">
                  <c:v>0.31707317073170732</c:v>
                </c:pt>
                <c:pt idx="27">
                  <c:v>0.30232558139534882</c:v>
                </c:pt>
                <c:pt idx="28">
                  <c:v>0.30434782608695654</c:v>
                </c:pt>
                <c:pt idx="29">
                  <c:v>0.30612244897959184</c:v>
                </c:pt>
                <c:pt idx="30">
                  <c:v>0.29411764705882354</c:v>
                </c:pt>
                <c:pt idx="31">
                  <c:v>0.30769230769230771</c:v>
                </c:pt>
                <c:pt idx="32">
                  <c:v>0.30909090909090908</c:v>
                </c:pt>
                <c:pt idx="33">
                  <c:v>0.29310344827586204</c:v>
                </c:pt>
                <c:pt idx="34">
                  <c:v>0.30508474576271188</c:v>
                </c:pt>
                <c:pt idx="35">
                  <c:v>0.32258064516129031</c:v>
                </c:pt>
                <c:pt idx="36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16612377850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まっつん2!$P$3:$P$39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  <c:pt idx="10">
                  <c:v>0.30434782608695654</c:v>
                </c:pt>
                <c:pt idx="11">
                  <c:v>0.29166666666666669</c:v>
                </c:pt>
                <c:pt idx="12">
                  <c:v>0.32</c:v>
                </c:pt>
                <c:pt idx="13">
                  <c:v>0.32</c:v>
                </c:pt>
                <c:pt idx="14">
                  <c:v>0.30769230769230771</c:v>
                </c:pt>
                <c:pt idx="15">
                  <c:v>0.31034482758620691</c:v>
                </c:pt>
                <c:pt idx="16">
                  <c:v>0.3</c:v>
                </c:pt>
                <c:pt idx="17">
                  <c:v>0.32258064516129031</c:v>
                </c:pt>
                <c:pt idx="18">
                  <c:v>0.32258064516129031</c:v>
                </c:pt>
                <c:pt idx="19">
                  <c:v>0.35294117647058826</c:v>
                </c:pt>
                <c:pt idx="20">
                  <c:v>0.3611111111111111</c:v>
                </c:pt>
                <c:pt idx="21">
                  <c:v>0.34146341463414637</c:v>
                </c:pt>
                <c:pt idx="22">
                  <c:v>0.4</c:v>
                </c:pt>
                <c:pt idx="23">
                  <c:v>0.39130434782608697</c:v>
                </c:pt>
                <c:pt idx="24">
                  <c:v>0.4</c:v>
                </c:pt>
                <c:pt idx="25">
                  <c:v>0.4</c:v>
                </c:pt>
                <c:pt idx="26">
                  <c:v>0.39215686274509803</c:v>
                </c:pt>
                <c:pt idx="27">
                  <c:v>0.37735849056603776</c:v>
                </c:pt>
                <c:pt idx="28">
                  <c:v>0.4</c:v>
                </c:pt>
                <c:pt idx="29">
                  <c:v>0.38596491228070173</c:v>
                </c:pt>
                <c:pt idx="30">
                  <c:v>0.38983050847457629</c:v>
                </c:pt>
                <c:pt idx="31">
                  <c:v>0.38709677419354838</c:v>
                </c:pt>
                <c:pt idx="32">
                  <c:v>0.38805970149253732</c:v>
                </c:pt>
                <c:pt idx="33">
                  <c:v>0.38235294117647056</c:v>
                </c:pt>
                <c:pt idx="34">
                  <c:v>0.37681159420289856</c:v>
                </c:pt>
                <c:pt idx="35">
                  <c:v>0.3888888888888889</c:v>
                </c:pt>
                <c:pt idx="36">
                  <c:v>0.38356164383561642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90909090909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4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198</v>
      </c>
    </row>
    <row r="2" spans="1:2" x14ac:dyDescent="0.45">
      <c r="A2" t="s">
        <v>164</v>
      </c>
      <c r="B2">
        <v>37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48</v>
      </c>
    </row>
    <row r="5" spans="1:2" x14ac:dyDescent="0.45">
      <c r="A5" t="s">
        <v>194</v>
      </c>
      <c r="B5">
        <v>18</v>
      </c>
    </row>
    <row r="6" spans="1:2" x14ac:dyDescent="0.45">
      <c r="A6" t="s">
        <v>192</v>
      </c>
      <c r="B6">
        <v>36</v>
      </c>
    </row>
    <row r="7" spans="1:2" x14ac:dyDescent="0.45">
      <c r="A7" t="s">
        <v>193</v>
      </c>
      <c r="B7">
        <v>22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11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0.58473568587273761</v>
      </c>
      <c r="C2" s="140"/>
      <c r="D2" s="145"/>
      <c r="E2" s="146"/>
      <c r="F2" s="145"/>
      <c r="G2" s="146"/>
      <c r="H2" s="139">
        <v>0.1229313624091963</v>
      </c>
      <c r="I2" s="140"/>
      <c r="J2" s="139">
        <v>0.77798177705089122</v>
      </c>
      <c r="K2" s="140"/>
      <c r="L2" s="139">
        <v>0.711121701114239</v>
      </c>
      <c r="M2" s="140"/>
      <c r="N2" s="139">
        <v>0.73195948643638464</v>
      </c>
      <c r="O2" s="140"/>
      <c r="P2" s="139">
        <v>0.77270241701876308</v>
      </c>
      <c r="Q2" s="140"/>
      <c r="R2" s="139">
        <v>0.33541660396536588</v>
      </c>
      <c r="S2" s="140"/>
      <c r="T2" s="139">
        <v>0.37009012611523323</v>
      </c>
      <c r="U2" s="140"/>
      <c r="V2" s="139">
        <v>0.10888849205917647</v>
      </c>
      <c r="W2" s="140"/>
      <c r="X2" s="139">
        <v>0.67418791915408249</v>
      </c>
      <c r="Y2" s="140"/>
      <c r="Z2" s="139">
        <v>1.8691293979383208E-2</v>
      </c>
      <c r="AA2" s="140"/>
      <c r="AB2" s="139">
        <v>-0.19235319802863457</v>
      </c>
      <c r="AC2" s="140"/>
      <c r="AD2" s="139">
        <v>0.36518103728950546</v>
      </c>
      <c r="AE2" s="140"/>
      <c r="AF2" s="139">
        <v>0.78122608035053387</v>
      </c>
      <c r="AG2" s="140"/>
      <c r="AH2" s="139">
        <v>0.83954434265911426</v>
      </c>
      <c r="AI2" s="140"/>
      <c r="AJ2" s="139">
        <v>0.17046483362174228</v>
      </c>
      <c r="AK2" s="140"/>
    </row>
    <row r="3" spans="1:37" x14ac:dyDescent="0.45">
      <c r="A3" s="40">
        <v>1</v>
      </c>
      <c r="B3" s="43" t="s">
        <v>139</v>
      </c>
      <c r="C3" s="117">
        <v>66</v>
      </c>
      <c r="D3" s="41" t="s">
        <v>126</v>
      </c>
      <c r="E3" s="42">
        <v>659.80000000000007</v>
      </c>
      <c r="F3" s="43" t="s">
        <v>126</v>
      </c>
      <c r="G3" s="62">
        <v>13.745833333333335</v>
      </c>
      <c r="H3" s="43" t="s">
        <v>196</v>
      </c>
      <c r="I3" s="62">
        <v>7.6166666666666663</v>
      </c>
      <c r="J3" s="43" t="s">
        <v>126</v>
      </c>
      <c r="K3" s="44">
        <v>1.7291666666666667</v>
      </c>
      <c r="L3" s="43" t="s">
        <v>126</v>
      </c>
      <c r="M3" s="45">
        <v>0.45833333333333331</v>
      </c>
      <c r="N3" s="43" t="s">
        <v>196</v>
      </c>
      <c r="O3" s="45">
        <v>0.125</v>
      </c>
      <c r="P3" s="43" t="s">
        <v>126</v>
      </c>
      <c r="Q3" s="46">
        <v>0.34239130434782611</v>
      </c>
      <c r="R3" s="43" t="s">
        <v>196</v>
      </c>
      <c r="S3" s="46">
        <v>7.6923076923076927E-2</v>
      </c>
      <c r="T3" s="43" t="s">
        <v>164</v>
      </c>
      <c r="U3" s="47">
        <v>10564.935064935065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0.33121019108280253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48</v>
      </c>
      <c r="D4" s="49" t="s">
        <v>193</v>
      </c>
      <c r="E4" s="50">
        <v>90.5</v>
      </c>
      <c r="F4" s="51" t="s">
        <v>193</v>
      </c>
      <c r="G4" s="63">
        <v>4.1136363636363633</v>
      </c>
      <c r="H4" s="51" t="s">
        <v>205</v>
      </c>
      <c r="I4" s="63">
        <v>7.3222222222222202</v>
      </c>
      <c r="J4" s="51" t="s">
        <v>196</v>
      </c>
      <c r="K4" s="52">
        <v>1.875</v>
      </c>
      <c r="L4" s="51" t="s">
        <v>193</v>
      </c>
      <c r="M4" s="53">
        <v>0.40909090909090912</v>
      </c>
      <c r="N4" s="51" t="s">
        <v>126</v>
      </c>
      <c r="O4" s="53">
        <v>0.1875</v>
      </c>
      <c r="P4" s="51" t="s">
        <v>193</v>
      </c>
      <c r="Q4" s="54">
        <v>0.32484076433121017</v>
      </c>
      <c r="R4" s="51" t="s">
        <v>194</v>
      </c>
      <c r="S4" s="54">
        <v>0.12295081967213115</v>
      </c>
      <c r="T4" s="51" t="s">
        <v>126</v>
      </c>
      <c r="U4" s="55">
        <v>10099.20634920635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0.29310344827586204</v>
      </c>
      <c r="AB4" s="51" t="s">
        <v>205</v>
      </c>
      <c r="AC4" s="54">
        <v>0.32926829268292684</v>
      </c>
      <c r="AD4" s="51" t="s">
        <v>205</v>
      </c>
      <c r="AE4" s="54">
        <v>0.69230769230769229</v>
      </c>
      <c r="AF4" s="51" t="s">
        <v>126</v>
      </c>
      <c r="AG4" s="54">
        <v>0.53968253968253965</v>
      </c>
      <c r="AH4" s="51" t="s">
        <v>126</v>
      </c>
      <c r="AI4" s="54">
        <v>0.53174603174603174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37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194</v>
      </c>
      <c r="I5" s="63">
        <v>5.6714285714285708</v>
      </c>
      <c r="J5" s="51" t="s">
        <v>193</v>
      </c>
      <c r="K5" s="52">
        <v>1.9545454545454546</v>
      </c>
      <c r="L5" s="51" t="s">
        <v>164</v>
      </c>
      <c r="M5" s="53">
        <v>0.3783783783783784</v>
      </c>
      <c r="N5" s="51" t="s">
        <v>192</v>
      </c>
      <c r="O5" s="53">
        <v>0.30555555555555558</v>
      </c>
      <c r="P5" s="51" t="s">
        <v>205</v>
      </c>
      <c r="Q5" s="54">
        <v>0.31707317073170732</v>
      </c>
      <c r="R5" s="51" t="s">
        <v>126</v>
      </c>
      <c r="S5" s="54">
        <v>0.125</v>
      </c>
      <c r="T5" s="51" t="s">
        <v>205</v>
      </c>
      <c r="U5" s="55">
        <v>9503.8461538461543</v>
      </c>
      <c r="V5" s="51" t="s">
        <v>193</v>
      </c>
      <c r="W5" s="55">
        <v>-7785.7142857142853</v>
      </c>
      <c r="X5" s="51" t="s">
        <v>126</v>
      </c>
      <c r="Y5" s="53">
        <v>4.1666666666666664E-2</v>
      </c>
      <c r="Z5" s="51" t="s">
        <v>196</v>
      </c>
      <c r="AA5" s="54">
        <v>0.29230769230769232</v>
      </c>
      <c r="AB5" s="51" t="s">
        <v>192</v>
      </c>
      <c r="AC5" s="54">
        <v>0.23104693140794225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196</v>
      </c>
      <c r="AI5" s="54">
        <v>0.52941176470588236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36</v>
      </c>
      <c r="D6" s="49" t="s">
        <v>139</v>
      </c>
      <c r="E6" s="50">
        <v>-1.4210854715202004E-14</v>
      </c>
      <c r="F6" s="51" t="s">
        <v>139</v>
      </c>
      <c r="G6" s="63">
        <v>-7.1771993511121237E-17</v>
      </c>
      <c r="H6" s="51" t="s">
        <v>126</v>
      </c>
      <c r="I6" s="63">
        <v>2.3230441671618132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192</v>
      </c>
      <c r="S6" s="54">
        <v>0.1263537906137184</v>
      </c>
      <c r="T6" s="51" t="s">
        <v>139</v>
      </c>
      <c r="U6" s="55">
        <v>9107.5</v>
      </c>
      <c r="V6" s="51" t="s">
        <v>192</v>
      </c>
      <c r="W6" s="55">
        <v>-7997.1428571428569</v>
      </c>
      <c r="X6" s="51" t="s">
        <v>192</v>
      </c>
      <c r="Y6" s="53">
        <v>0.1111111111111111</v>
      </c>
      <c r="Z6" s="51" t="s">
        <v>189</v>
      </c>
      <c r="AA6" s="54">
        <v>0.28378378378378377</v>
      </c>
      <c r="AB6" s="51" t="s">
        <v>164</v>
      </c>
      <c r="AC6" s="54">
        <v>0.21724137931034482</v>
      </c>
      <c r="AD6" s="51" t="s">
        <v>193</v>
      </c>
      <c r="AE6" s="54">
        <v>0.60869565217391308</v>
      </c>
      <c r="AF6" s="51" t="s">
        <v>193</v>
      </c>
      <c r="AG6" s="54">
        <v>0.44230769230769229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22</v>
      </c>
      <c r="D7" s="49" t="s">
        <v>213</v>
      </c>
      <c r="E7" s="50">
        <v>-41.599999999999994</v>
      </c>
      <c r="F7" s="51" t="s">
        <v>164</v>
      </c>
      <c r="G7" s="63">
        <v>-3.3621621621621629</v>
      </c>
      <c r="H7" s="51" t="s">
        <v>193</v>
      </c>
      <c r="I7" s="63">
        <v>2.2811111111111111</v>
      </c>
      <c r="J7" s="51" t="s">
        <v>192</v>
      </c>
      <c r="K7" s="52">
        <v>2.0277777777777777</v>
      </c>
      <c r="L7" s="51" t="s">
        <v>192</v>
      </c>
      <c r="M7" s="53">
        <v>0.27777777777777779</v>
      </c>
      <c r="N7" s="51" t="s">
        <v>213</v>
      </c>
      <c r="O7" s="53">
        <v>0.33333333333333331</v>
      </c>
      <c r="P7" s="51" t="s">
        <v>139</v>
      </c>
      <c r="Q7" s="54">
        <v>0.29158383035122598</v>
      </c>
      <c r="R7" s="51" t="s">
        <v>193</v>
      </c>
      <c r="S7" s="54">
        <v>0.13375796178343949</v>
      </c>
      <c r="T7" s="51" t="s">
        <v>189</v>
      </c>
      <c r="U7" s="55">
        <v>9062.5</v>
      </c>
      <c r="V7" s="51" t="s">
        <v>164</v>
      </c>
      <c r="W7" s="55">
        <v>-8347.5409836065573</v>
      </c>
      <c r="X7" s="51" t="s">
        <v>189</v>
      </c>
      <c r="Y7" s="53">
        <v>0.1111111111111111</v>
      </c>
      <c r="Z7" s="51" t="s">
        <v>194</v>
      </c>
      <c r="AA7" s="54">
        <v>0.27868852459016391</v>
      </c>
      <c r="AB7" s="51" t="s">
        <v>139</v>
      </c>
      <c r="AC7" s="54">
        <v>0.20344599072233266</v>
      </c>
      <c r="AD7" s="51" t="s">
        <v>126</v>
      </c>
      <c r="AE7" s="54">
        <v>0.60824742268041232</v>
      </c>
      <c r="AF7" s="51" t="s">
        <v>194</v>
      </c>
      <c r="AG7" s="54">
        <v>0.4375</v>
      </c>
      <c r="AH7" s="51" t="s">
        <v>193</v>
      </c>
      <c r="AI7" s="54">
        <v>0.49019607843137253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18</v>
      </c>
      <c r="D8" s="49" t="s">
        <v>189</v>
      </c>
      <c r="E8" s="50">
        <v>-105.5</v>
      </c>
      <c r="F8" s="51" t="s">
        <v>213</v>
      </c>
      <c r="G8" s="63">
        <v>-4.6222222222222218</v>
      </c>
      <c r="H8" s="51" t="s">
        <v>213</v>
      </c>
      <c r="I8" s="63">
        <v>2.1361111111111115</v>
      </c>
      <c r="J8" s="51" t="s">
        <v>164</v>
      </c>
      <c r="K8" s="52">
        <v>2.0540540540540539</v>
      </c>
      <c r="L8" s="51" t="s">
        <v>196</v>
      </c>
      <c r="M8" s="53">
        <v>0.25</v>
      </c>
      <c r="N8" s="51" t="s">
        <v>193</v>
      </c>
      <c r="O8" s="53">
        <v>0.36363636363636365</v>
      </c>
      <c r="P8" s="51" t="s">
        <v>164</v>
      </c>
      <c r="Q8" s="54">
        <v>0.26551724137931032</v>
      </c>
      <c r="R8" s="51" t="s">
        <v>139</v>
      </c>
      <c r="S8" s="54">
        <v>0.15506958250497019</v>
      </c>
      <c r="T8" s="51" t="s">
        <v>194</v>
      </c>
      <c r="U8" s="55">
        <v>8835.4838709677424</v>
      </c>
      <c r="V8" s="51" t="s">
        <v>139</v>
      </c>
      <c r="W8" s="55">
        <v>-8351.2820512820508</v>
      </c>
      <c r="X8" s="51" t="s">
        <v>139</v>
      </c>
      <c r="Y8" s="53">
        <v>0.14141414141414141</v>
      </c>
      <c r="Z8" s="51" t="s">
        <v>126</v>
      </c>
      <c r="AA8" s="54">
        <v>0.26358695652173914</v>
      </c>
      <c r="AB8" s="51" t="s">
        <v>126</v>
      </c>
      <c r="AC8" s="54">
        <v>0.17119565217391305</v>
      </c>
      <c r="AD8" s="51" t="s">
        <v>139</v>
      </c>
      <c r="AE8" s="54">
        <v>0.5452196382428941</v>
      </c>
      <c r="AF8" s="51" t="s">
        <v>139</v>
      </c>
      <c r="AG8" s="54">
        <v>0.40716612377850164</v>
      </c>
      <c r="AH8" s="51" t="s">
        <v>139</v>
      </c>
      <c r="AI8" s="54">
        <v>0.46590909090909088</v>
      </c>
      <c r="AJ8" s="51" t="s">
        <v>213</v>
      </c>
      <c r="AK8" s="58">
        <v>95000</v>
      </c>
    </row>
    <row r="9" spans="1:37" x14ac:dyDescent="0.45">
      <c r="A9" s="48">
        <v>7</v>
      </c>
      <c r="B9" s="51" t="s">
        <v>205</v>
      </c>
      <c r="C9" s="118">
        <v>11</v>
      </c>
      <c r="D9" s="49" t="s">
        <v>205</v>
      </c>
      <c r="E9" s="50">
        <v>-121</v>
      </c>
      <c r="F9" s="51" t="s">
        <v>192</v>
      </c>
      <c r="G9" s="63">
        <v>-5.8666666666666654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0.43243243243243246</v>
      </c>
      <c r="P9" s="51" t="s">
        <v>192</v>
      </c>
      <c r="Q9" s="54">
        <v>0.26353790613718414</v>
      </c>
      <c r="R9" s="51" t="s">
        <v>213</v>
      </c>
      <c r="S9" s="54">
        <v>0.1891891891891892</v>
      </c>
      <c r="T9" s="51" t="s">
        <v>193</v>
      </c>
      <c r="U9" s="55">
        <v>8037.2549019607841</v>
      </c>
      <c r="V9" s="51" t="s">
        <v>126</v>
      </c>
      <c r="W9" s="55">
        <v>-8595.652173913044</v>
      </c>
      <c r="X9" s="51" t="s">
        <v>164</v>
      </c>
      <c r="Y9" s="53">
        <v>0.21621621621621623</v>
      </c>
      <c r="Z9" s="51" t="s">
        <v>139</v>
      </c>
      <c r="AA9" s="54">
        <v>0.25646123260437376</v>
      </c>
      <c r="AB9" s="51" t="s">
        <v>196</v>
      </c>
      <c r="AC9" s="54">
        <v>0.13846153846153847</v>
      </c>
      <c r="AD9" s="51" t="s">
        <v>192</v>
      </c>
      <c r="AE9" s="54">
        <v>0.53521126760563376</v>
      </c>
      <c r="AF9" s="51" t="s">
        <v>164</v>
      </c>
      <c r="AG9" s="54">
        <v>0.38095238095238093</v>
      </c>
      <c r="AH9" s="51" t="s">
        <v>164</v>
      </c>
      <c r="AI9" s="54">
        <v>0.44155844155844154</v>
      </c>
      <c r="AJ9" s="51" t="s">
        <v>205</v>
      </c>
      <c r="AK9" s="58">
        <v>93200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-124.40000000000003</v>
      </c>
      <c r="F10" s="51" t="s">
        <v>194</v>
      </c>
      <c r="G10" s="63">
        <v>-8.56111111111111</v>
      </c>
      <c r="H10" s="51" t="s">
        <v>164</v>
      </c>
      <c r="I10" s="63">
        <v>-1.8654761904761845</v>
      </c>
      <c r="J10" s="51" t="s">
        <v>189</v>
      </c>
      <c r="K10" s="52">
        <v>2.2222222222222223</v>
      </c>
      <c r="L10" s="51" t="s">
        <v>213</v>
      </c>
      <c r="M10" s="53">
        <v>0.22222222222222221</v>
      </c>
      <c r="N10" s="51" t="s">
        <v>194</v>
      </c>
      <c r="O10" s="53">
        <v>0.44444444444444442</v>
      </c>
      <c r="P10" s="51" t="s">
        <v>196</v>
      </c>
      <c r="Q10" s="54">
        <v>0.26153846153846155</v>
      </c>
      <c r="R10" s="51" t="s">
        <v>164</v>
      </c>
      <c r="S10" s="54">
        <v>0.2103448275862069</v>
      </c>
      <c r="T10" s="51" t="s">
        <v>196</v>
      </c>
      <c r="U10" s="55">
        <v>7964.7058823529414</v>
      </c>
      <c r="V10" s="51" t="s">
        <v>213</v>
      </c>
      <c r="W10" s="55">
        <v>-8671.4285714285706</v>
      </c>
      <c r="X10" s="51" t="s">
        <v>193</v>
      </c>
      <c r="Y10" s="53">
        <v>0.22727272727272727</v>
      </c>
      <c r="Z10" s="51" t="s">
        <v>192</v>
      </c>
      <c r="AA10" s="54">
        <v>0.2563176895306859</v>
      </c>
      <c r="AB10" s="51" t="s">
        <v>194</v>
      </c>
      <c r="AC10" s="54">
        <v>0.13114754098360656</v>
      </c>
      <c r="AD10" s="51" t="s">
        <v>189</v>
      </c>
      <c r="AE10" s="54">
        <v>0.47619047619047616</v>
      </c>
      <c r="AF10" s="51" t="s">
        <v>196</v>
      </c>
      <c r="AG10" s="54">
        <v>0.33333333333333331</v>
      </c>
      <c r="AH10" s="51" t="s">
        <v>194</v>
      </c>
      <c r="AI10" s="54">
        <v>0.38709677419354838</v>
      </c>
      <c r="AJ10" s="51" t="s">
        <v>196</v>
      </c>
      <c r="AK10" s="58">
        <v>89000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194</v>
      </c>
      <c r="E11" s="50">
        <v>-154.09999999999997</v>
      </c>
      <c r="F11" s="51" t="s">
        <v>205</v>
      </c>
      <c r="G11" s="63">
        <v>-11</v>
      </c>
      <c r="H11" s="51" t="s">
        <v>189</v>
      </c>
      <c r="I11" s="63">
        <v>-3.6805555555555549</v>
      </c>
      <c r="J11" s="51" t="s">
        <v>194</v>
      </c>
      <c r="K11" s="52">
        <v>2.2777777777777777</v>
      </c>
      <c r="L11" s="51" t="s">
        <v>205</v>
      </c>
      <c r="M11" s="53">
        <v>0.18181818181818182</v>
      </c>
      <c r="N11" s="51" t="s">
        <v>189</v>
      </c>
      <c r="O11" s="53">
        <v>0.44444444444444442</v>
      </c>
      <c r="P11" s="51" t="s">
        <v>194</v>
      </c>
      <c r="Q11" s="54">
        <v>0.25409836065573771</v>
      </c>
      <c r="R11" s="51" t="s">
        <v>189</v>
      </c>
      <c r="S11" s="54">
        <v>0.22972972972972974</v>
      </c>
      <c r="T11" s="51" t="s">
        <v>213</v>
      </c>
      <c r="U11" s="55">
        <v>7530.434782608696</v>
      </c>
      <c r="V11" s="51" t="s">
        <v>194</v>
      </c>
      <c r="W11" s="55">
        <v>-8773.3333333333339</v>
      </c>
      <c r="X11" s="51" t="s">
        <v>205</v>
      </c>
      <c r="Y11" s="53">
        <v>0.27272727272727271</v>
      </c>
      <c r="Z11" s="51" t="s">
        <v>205</v>
      </c>
      <c r="AA11" s="54">
        <v>0.15853658536585366</v>
      </c>
      <c r="AB11" s="51" t="s">
        <v>213</v>
      </c>
      <c r="AC11" s="54">
        <v>9.45945945945946E-2</v>
      </c>
      <c r="AD11" s="51" t="s">
        <v>164</v>
      </c>
      <c r="AE11" s="54">
        <v>0.43529411764705883</v>
      </c>
      <c r="AF11" s="51" t="s">
        <v>192</v>
      </c>
      <c r="AG11" s="54">
        <v>0.3125</v>
      </c>
      <c r="AH11" s="51" t="s">
        <v>192</v>
      </c>
      <c r="AI11" s="54">
        <v>0.38356164383561642</v>
      </c>
      <c r="AJ11" s="51" t="s">
        <v>192</v>
      </c>
      <c r="AK11" s="58">
        <v>88500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192</v>
      </c>
      <c r="E12" s="50">
        <v>-211.19999999999996</v>
      </c>
      <c r="F12" s="51" t="s">
        <v>189</v>
      </c>
      <c r="G12" s="63">
        <v>-11.722222222222221</v>
      </c>
      <c r="H12" s="51" t="s">
        <v>192</v>
      </c>
      <c r="I12" s="63">
        <v>-4.4875757575757573</v>
      </c>
      <c r="J12" s="51" t="s">
        <v>205</v>
      </c>
      <c r="K12" s="52">
        <v>2.3636363636363638</v>
      </c>
      <c r="L12" s="51" t="s">
        <v>194</v>
      </c>
      <c r="M12" s="53">
        <v>0.16666666666666666</v>
      </c>
      <c r="N12" s="51" t="s">
        <v>205</v>
      </c>
      <c r="O12" s="53">
        <v>0.54545454545454541</v>
      </c>
      <c r="P12" s="51" t="s">
        <v>189</v>
      </c>
      <c r="Q12" s="54">
        <v>0.21621621621621623</v>
      </c>
      <c r="R12" s="51" t="s">
        <v>205</v>
      </c>
      <c r="S12" s="54">
        <v>0.24390243902439024</v>
      </c>
      <c r="T12" s="51" t="s">
        <v>192</v>
      </c>
      <c r="U12" s="55">
        <v>7353.4246575342468</v>
      </c>
      <c r="V12" s="51" t="s">
        <v>205</v>
      </c>
      <c r="W12" s="55">
        <v>-10365</v>
      </c>
      <c r="X12" s="51" t="s">
        <v>194</v>
      </c>
      <c r="Y12" s="53">
        <v>0.27777777777777779</v>
      </c>
      <c r="Z12" s="51" t="s">
        <v>193</v>
      </c>
      <c r="AA12" s="54">
        <v>0.1464968152866242</v>
      </c>
      <c r="AB12" s="51" t="s">
        <v>189</v>
      </c>
      <c r="AC12" s="54">
        <v>8.1081081081081086E-2</v>
      </c>
      <c r="AD12" s="51" t="s">
        <v>194</v>
      </c>
      <c r="AE12" s="54">
        <v>0.41176470588235292</v>
      </c>
      <c r="AF12" s="51" t="s">
        <v>205</v>
      </c>
      <c r="AG12" s="54">
        <v>0.25925925925925924</v>
      </c>
      <c r="AH12" s="51" t="s">
        <v>205</v>
      </c>
      <c r="AI12" s="54">
        <v>0.34615384615384615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0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198</v>
      </c>
      <c r="C2" s="132"/>
      <c r="E2" s="28" t="s">
        <v>66</v>
      </c>
      <c r="F2" s="25" t="s">
        <v>22</v>
      </c>
      <c r="G2" s="13">
        <v>316</v>
      </c>
      <c r="H2" s="91">
        <f>IF(B$19=0,0,G2/B$19)</f>
        <v>0.71818181818181814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-10.256410256410257</v>
      </c>
      <c r="P2" s="80">
        <v>195</v>
      </c>
      <c r="Q2" s="67">
        <v>-2000</v>
      </c>
    </row>
    <row r="3" spans="1:17" x14ac:dyDescent="0.45">
      <c r="A3" s="21" t="s">
        <v>8</v>
      </c>
      <c r="B3" s="133">
        <v>1509</v>
      </c>
      <c r="C3" s="134"/>
      <c r="E3" s="29" t="s">
        <v>72</v>
      </c>
      <c r="F3" s="26" t="s">
        <v>27</v>
      </c>
      <c r="G3" s="14">
        <v>238</v>
      </c>
      <c r="H3" s="92">
        <f>IF(B$19=0,0,G3/B$19)</f>
        <v>0.54090909090909089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-10.416666666666666</v>
      </c>
      <c r="P3" s="81">
        <v>192</v>
      </c>
      <c r="Q3" s="68">
        <v>-2000</v>
      </c>
    </row>
    <row r="4" spans="1:17" x14ac:dyDescent="0.45">
      <c r="A4" s="21" t="s">
        <v>6</v>
      </c>
      <c r="B4" s="135">
        <v>-1.4210854715202004E-14</v>
      </c>
      <c r="C4" s="136"/>
      <c r="E4" s="29" t="s">
        <v>64</v>
      </c>
      <c r="F4" s="26" t="s">
        <v>20</v>
      </c>
      <c r="G4" s="14">
        <v>202</v>
      </c>
      <c r="H4" s="92">
        <f>IF(B$19=0,0,G4/B$19)</f>
        <v>0.45909090909090911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180</v>
      </c>
      <c r="Q4" s="68">
        <v>0</v>
      </c>
    </row>
    <row r="5" spans="1:17" x14ac:dyDescent="0.45">
      <c r="A5" s="21" t="s">
        <v>7</v>
      </c>
      <c r="B5" s="123">
        <f>IF(B$2=0,0,B$4/B$2)</f>
        <v>-7.1771993511121237E-17</v>
      </c>
      <c r="C5" s="124"/>
      <c r="E5" s="29" t="s">
        <v>160</v>
      </c>
      <c r="F5" s="26" t="s">
        <v>161</v>
      </c>
      <c r="G5" s="14">
        <v>190</v>
      </c>
      <c r="H5" s="92">
        <f>IF(B$19=0,0,G5/B$19)</f>
        <v>0.43181818181818182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19.23076923076923</v>
      </c>
      <c r="P5" s="81">
        <v>156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143</v>
      </c>
      <c r="H6" s="92">
        <f>IF(B$19=0,0,G6/B$19)</f>
        <v>0.32500000000000001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-59.25925925925926</v>
      </c>
      <c r="P6" s="81">
        <v>135</v>
      </c>
      <c r="Q6" s="68">
        <v>-8000</v>
      </c>
    </row>
    <row r="7" spans="1:17" x14ac:dyDescent="0.45">
      <c r="A7" s="21" t="s">
        <v>2</v>
      </c>
      <c r="B7" s="14">
        <v>66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105</v>
      </c>
      <c r="H7" s="92">
        <f>IF(B$19=0,0,G7/B$19)</f>
        <v>0.23863636363636365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74.074074074074076</v>
      </c>
      <c r="P7" s="82">
        <v>108</v>
      </c>
      <c r="Q7" s="69">
        <v>8000</v>
      </c>
    </row>
    <row r="8" spans="1:17" x14ac:dyDescent="0.45">
      <c r="A8" s="21" t="s">
        <v>3</v>
      </c>
      <c r="B8" s="14">
        <v>66</v>
      </c>
      <c r="C8" s="8">
        <f t="shared" si="1"/>
        <v>0.33333333333333331</v>
      </c>
      <c r="E8" s="29" t="s">
        <v>89</v>
      </c>
      <c r="F8" s="26" t="s">
        <v>44</v>
      </c>
      <c r="G8" s="14">
        <v>63</v>
      </c>
      <c r="H8" s="92">
        <f>IF(B$19=0,0,G8/B$19)</f>
        <v>0.14318181818181819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66</v>
      </c>
      <c r="C9" s="9">
        <f t="shared" si="1"/>
        <v>0.33333333333333331</v>
      </c>
      <c r="E9" s="29" t="s">
        <v>69</v>
      </c>
      <c r="F9" s="26" t="s">
        <v>24</v>
      </c>
      <c r="G9" s="14">
        <v>54</v>
      </c>
      <c r="H9" s="92">
        <f>IF(B$19=0,0,G9/B$19)</f>
        <v>0.12272727272727273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43.609090909090902</v>
      </c>
      <c r="C10" s="114">
        <v>2878.1999999999994</v>
      </c>
      <c r="E10" s="29" t="s">
        <v>65</v>
      </c>
      <c r="F10" s="26" t="s">
        <v>21</v>
      </c>
      <c r="G10" s="14">
        <v>46</v>
      </c>
      <c r="H10" s="92">
        <f>IF(B$19=0,0,G10/B$19)</f>
        <v>0.10454545454545454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-7.9924242424242404</v>
      </c>
      <c r="P10" s="80">
        <v>66</v>
      </c>
      <c r="Q10" s="71">
        <v>-527.49999999999989</v>
      </c>
    </row>
    <row r="11" spans="1:17" x14ac:dyDescent="0.45">
      <c r="A11" s="22" t="s">
        <v>186</v>
      </c>
      <c r="B11" s="113">
        <f>IF(B8=0,0,C11/B8)</f>
        <v>-4.5060606060606077</v>
      </c>
      <c r="C11" s="114">
        <v>-297.40000000000009</v>
      </c>
      <c r="E11" s="29" t="s">
        <v>71</v>
      </c>
      <c r="F11" s="26" t="s">
        <v>26</v>
      </c>
      <c r="G11" s="14">
        <v>31</v>
      </c>
      <c r="H11" s="92">
        <f>IF(B$19=0,0,G11/B$19)</f>
        <v>7.045454545454545E-2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2.5681818181818179</v>
      </c>
      <c r="P11" s="81">
        <v>66</v>
      </c>
      <c r="Q11" s="72">
        <v>169.49999999999997</v>
      </c>
    </row>
    <row r="12" spans="1:17" x14ac:dyDescent="0.45">
      <c r="A12" s="22" t="s">
        <v>187</v>
      </c>
      <c r="B12" s="113">
        <f>IF(B9=0,0,C12/B9)</f>
        <v>-39.103030303030309</v>
      </c>
      <c r="C12" s="114">
        <v>-2580.8000000000002</v>
      </c>
      <c r="E12" s="29" t="s">
        <v>70</v>
      </c>
      <c r="F12" s="26" t="s">
        <v>25</v>
      </c>
      <c r="G12" s="14">
        <v>30</v>
      </c>
      <c r="H12" s="92">
        <f>IF(B$19=0,0,G12/B$19)</f>
        <v>6.8181818181818177E-2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5.4242424242424221</v>
      </c>
      <c r="P12" s="82">
        <v>66</v>
      </c>
      <c r="Q12" s="73">
        <v>357.99999999999989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25</v>
      </c>
      <c r="H13" s="92">
        <f>IF(B$19=0,0,G13/B$19)</f>
        <v>5.6818181818181816E-2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28</v>
      </c>
      <c r="C14" s="11">
        <f t="shared" si="1"/>
        <v>0.14141414141414141</v>
      </c>
      <c r="E14" s="29" t="s">
        <v>83</v>
      </c>
      <c r="F14" s="26" t="s">
        <v>38</v>
      </c>
      <c r="G14" s="14">
        <v>24</v>
      </c>
      <c r="H14" s="92">
        <f>IF(B$19=0,0,G14/B$19)</f>
        <v>5.4545454545454543E-2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387</v>
      </c>
      <c r="C15" s="12">
        <f>IF(B$3=0,0,B15/B$3)</f>
        <v>0.25646123260437376</v>
      </c>
      <c r="E15" s="29" t="s">
        <v>78</v>
      </c>
      <c r="F15" s="26" t="s">
        <v>33</v>
      </c>
      <c r="G15" s="14">
        <v>14</v>
      </c>
      <c r="H15" s="92">
        <f>IF(B$19=0,0,G15/B$19)</f>
        <v>3.1818181818181815E-2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307</v>
      </c>
      <c r="C16" s="8">
        <f>IF(B$3=0,0,B16/B$3)</f>
        <v>0.20344599072233266</v>
      </c>
      <c r="E16" s="29" t="s">
        <v>79</v>
      </c>
      <c r="F16" s="26" t="s">
        <v>34</v>
      </c>
      <c r="G16" s="14">
        <v>11</v>
      </c>
      <c r="H16" s="92">
        <f>IF(B$19=0,0,G16/B$19)</f>
        <v>2.5000000000000001E-2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16.5</v>
      </c>
      <c r="P16" s="81">
        <v>22</v>
      </c>
      <c r="Q16" s="72">
        <v>363</v>
      </c>
    </row>
    <row r="17" spans="1:17" x14ac:dyDescent="0.45">
      <c r="A17" s="20" t="s">
        <v>123</v>
      </c>
      <c r="B17" s="13">
        <f>B23</f>
        <v>211</v>
      </c>
      <c r="C17" s="6">
        <f>IF(B$15=0,0,B17/B$15)</f>
        <v>0.5452196382428941</v>
      </c>
      <c r="E17" s="29" t="s">
        <v>81</v>
      </c>
      <c r="F17" s="26" t="s">
        <v>36</v>
      </c>
      <c r="G17" s="14">
        <v>10</v>
      </c>
      <c r="H17" s="92">
        <f>IF(B$19=0,0,G17/B$19)</f>
        <v>2.2727272727272728E-2</v>
      </c>
      <c r="I17" s="60">
        <v>4</v>
      </c>
      <c r="K17" s="7">
        <v>15</v>
      </c>
      <c r="L17" s="65">
        <v>1.7763568394002505E-15</v>
      </c>
      <c r="N17" s="78" t="s">
        <v>194</v>
      </c>
      <c r="O17" s="87">
        <f>IF(P17=0,0,Q17/P17)</f>
        <v>12.841666666666661</v>
      </c>
      <c r="P17" s="81">
        <v>36</v>
      </c>
      <c r="Q17" s="72">
        <v>462.29999999999984</v>
      </c>
    </row>
    <row r="18" spans="1:17" x14ac:dyDescent="0.45">
      <c r="A18" s="20" t="s">
        <v>124</v>
      </c>
      <c r="B18" s="13">
        <f>B24</f>
        <v>125</v>
      </c>
      <c r="C18" s="6">
        <f>IF(B$16=0,0,B18/B$16)</f>
        <v>0.40716612377850164</v>
      </c>
      <c r="E18" s="29" t="s">
        <v>91</v>
      </c>
      <c r="F18" s="26" t="s">
        <v>46</v>
      </c>
      <c r="G18" s="14">
        <v>9</v>
      </c>
      <c r="H18" s="92">
        <f>IF(B$19=0,0,G18/B$19)</f>
        <v>2.0454545454545454E-2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8.8000000000000043</v>
      </c>
      <c r="P18" s="81">
        <v>72</v>
      </c>
      <c r="Q18" s="72">
        <v>633.60000000000036</v>
      </c>
    </row>
    <row r="19" spans="1:17" x14ac:dyDescent="0.45">
      <c r="A19" s="20" t="s">
        <v>10</v>
      </c>
      <c r="B19" s="13">
        <f>B22+B21</f>
        <v>440</v>
      </c>
      <c r="C19" s="6">
        <f>IF(B$3=0,0,B19/B$3)</f>
        <v>0.29158383035122598</v>
      </c>
      <c r="E19" s="29" t="s">
        <v>92</v>
      </c>
      <c r="F19" s="26" t="s">
        <v>47</v>
      </c>
      <c r="G19" s="14">
        <v>7</v>
      </c>
      <c r="H19" s="92">
        <f>IF(B$19=0,0,G19/B$19)</f>
        <v>1.5909090909090907E-2</v>
      </c>
      <c r="I19" s="60">
        <v>4</v>
      </c>
      <c r="K19" s="7">
        <v>17</v>
      </c>
      <c r="L19" s="65">
        <v>-35.800000000000004</v>
      </c>
      <c r="N19" s="78" t="s">
        <v>213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234</v>
      </c>
      <c r="C20" s="8">
        <f>IF(B$3=0,0,B20/B$3)</f>
        <v>0.15506958250497019</v>
      </c>
      <c r="E20" s="29" t="s">
        <v>156</v>
      </c>
      <c r="F20" s="26" t="s">
        <v>157</v>
      </c>
      <c r="G20" s="14">
        <v>6</v>
      </c>
      <c r="H20" s="92">
        <f>IF(B$19=0,0,G20/B$19)</f>
        <v>1.3636363636363636E-2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5.0432432432432419</v>
      </c>
      <c r="P20" s="81">
        <v>74</v>
      </c>
      <c r="Q20" s="72">
        <v>373.19999999999987</v>
      </c>
    </row>
    <row r="21" spans="1:17" x14ac:dyDescent="0.45">
      <c r="A21" s="21" t="s">
        <v>12</v>
      </c>
      <c r="B21" s="14">
        <v>205</v>
      </c>
      <c r="C21" s="8">
        <f>IF(B$19=0,0,B21/B$19)</f>
        <v>0.46590909090909088</v>
      </c>
      <c r="E21" s="29" t="s">
        <v>73</v>
      </c>
      <c r="F21" s="26" t="s">
        <v>28</v>
      </c>
      <c r="G21" s="14">
        <v>2</v>
      </c>
      <c r="H21" s="92">
        <f>IF(B$19=0,0,G21/B$19)</f>
        <v>4.5454545454545452E-3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235</v>
      </c>
      <c r="C22" s="8">
        <f>IF(B$19=0,0,B22/B$19)</f>
        <v>0.53409090909090906</v>
      </c>
      <c r="E22" s="29" t="s">
        <v>75</v>
      </c>
      <c r="F22" s="26" t="s">
        <v>30</v>
      </c>
      <c r="G22" s="14">
        <v>2</v>
      </c>
      <c r="H22" s="92">
        <f>IF(B$19=0,0,G22/B$19)</f>
        <v>4.5454545454545452E-3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-6.1704545454545459</v>
      </c>
      <c r="P22" s="81">
        <v>44</v>
      </c>
      <c r="Q22" s="72">
        <v>-271.5</v>
      </c>
    </row>
    <row r="23" spans="1:17" x14ac:dyDescent="0.45">
      <c r="A23" s="21" t="s">
        <v>184</v>
      </c>
      <c r="B23" s="14">
        <v>211</v>
      </c>
      <c r="C23" s="8">
        <f>IF(B$19=0,0,B23/B$19)</f>
        <v>0.47954545454545455</v>
      </c>
      <c r="E23" s="29" t="s">
        <v>77</v>
      </c>
      <c r="F23" s="26" t="s">
        <v>32</v>
      </c>
      <c r="G23" s="14">
        <v>2</v>
      </c>
      <c r="H23" s="92">
        <f>IF(B$19=0,0,G23/B$19)</f>
        <v>4.5454545454545452E-3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-20.618749999999981</v>
      </c>
      <c r="P23" s="81">
        <v>96</v>
      </c>
      <c r="Q23" s="72">
        <v>-1979.3999999999983</v>
      </c>
    </row>
    <row r="24" spans="1:17" x14ac:dyDescent="0.45">
      <c r="A24" s="21" t="s">
        <v>182</v>
      </c>
      <c r="B24" s="14">
        <v>125</v>
      </c>
      <c r="C24" s="8">
        <f>IF(B$19=0,0,B24/B$19)</f>
        <v>0.28409090909090912</v>
      </c>
      <c r="E24" s="29" t="s">
        <v>85</v>
      </c>
      <c r="F24" s="26" t="s">
        <v>40</v>
      </c>
      <c r="G24" s="14">
        <v>2</v>
      </c>
      <c r="H24" s="92">
        <f>IF(B$19=0,0,G24/B$19)</f>
        <v>4.5454545454545452E-3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104</v>
      </c>
      <c r="C25" s="8">
        <f>IF(B$19=0,0,B25/B$19)</f>
        <v>0.23636363636363636</v>
      </c>
      <c r="E25" s="29" t="s">
        <v>87</v>
      </c>
      <c r="F25" s="26" t="s">
        <v>42</v>
      </c>
      <c r="G25" s="14">
        <v>2</v>
      </c>
      <c r="H25" s="92">
        <f>IF(B$19=0,0,G25/B$19)</f>
        <v>4.5454545454545452E-3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9107.5</v>
      </c>
      <c r="C26" s="10">
        <v>4007300</v>
      </c>
      <c r="E26" s="29" t="s">
        <v>93</v>
      </c>
      <c r="F26" s="26" t="s">
        <v>48</v>
      </c>
      <c r="G26" s="14">
        <v>2</v>
      </c>
      <c r="H26" s="92">
        <f>IF(B$19=0,0,G26/B$19)</f>
        <v>4.5454545454545452E-3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9455.2380952380954</v>
      </c>
      <c r="C27" s="100">
        <v>2978400</v>
      </c>
      <c r="E27" s="29" t="s">
        <v>84</v>
      </c>
      <c r="F27" s="26" t="s">
        <v>39</v>
      </c>
      <c r="G27" s="14">
        <v>1</v>
      </c>
      <c r="H27" s="92">
        <f>IF(B$19=0,0,G27/B$19)</f>
        <v>2.2727272727272726E-3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8231.2000000000007</v>
      </c>
      <c r="C28" s="100">
        <v>1028900</v>
      </c>
      <c r="E28" s="29" t="s">
        <v>95</v>
      </c>
      <c r="F28" s="26" t="s">
        <v>50</v>
      </c>
      <c r="G28" s="14">
        <v>1</v>
      </c>
      <c r="H28" s="92">
        <f>IF(B$19=0,0,G28/B$19)</f>
        <v>2.2727272727272726E-3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-8351.2820512820508</v>
      </c>
      <c r="C29" s="100">
        <v>-1954200</v>
      </c>
      <c r="E29" s="29" t="s">
        <v>97</v>
      </c>
      <c r="F29" s="26" t="s">
        <v>52</v>
      </c>
      <c r="G29" s="14">
        <v>1</v>
      </c>
      <c r="H29" s="92">
        <f>IF(B$19=0,0,G29/B$19)</f>
        <v>2.2727272727272726E-3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102</v>
      </c>
      <c r="F30" s="26" t="s">
        <v>57</v>
      </c>
      <c r="G30" s="14">
        <v>1</v>
      </c>
      <c r="H30" s="92">
        <f>IF(B$19=0,0,G30/B$19)</f>
        <v>2.2727272727272726E-3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15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1.9880715705765406E-3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35</v>
      </c>
      <c r="C36" s="102">
        <f t="shared" ref="C36:C48" si="2">IF(B$19=0,0,B36/B$19)</f>
        <v>7.9545454545454544E-2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80</v>
      </c>
      <c r="C37" s="8">
        <f t="shared" si="2"/>
        <v>0.18181818181818182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69</v>
      </c>
      <c r="C38" s="8">
        <f t="shared" si="2"/>
        <v>0.15681818181818183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79</v>
      </c>
      <c r="C39" s="8">
        <f t="shared" si="2"/>
        <v>0.17954545454545454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70</v>
      </c>
      <c r="C40" s="8">
        <f t="shared" si="2"/>
        <v>0.15909090909090909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40</v>
      </c>
      <c r="C41" s="8">
        <f t="shared" si="2"/>
        <v>9.0909090909090912E-2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28</v>
      </c>
      <c r="C42" s="8">
        <f t="shared" si="2"/>
        <v>6.363636363636363E-2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10</v>
      </c>
      <c r="C43" s="8">
        <f t="shared" si="2"/>
        <v>2.2727272727272728E-2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8</v>
      </c>
      <c r="C44" s="8">
        <f t="shared" si="2"/>
        <v>1.8181818181818181E-2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1.1363636363636364E-2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6.8181818181818179E-3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2.2727272727272726E-3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2.7272727272727271E-2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37</v>
      </c>
      <c r="C2" s="132"/>
      <c r="E2" s="28" t="s">
        <v>66</v>
      </c>
      <c r="F2" s="25" t="s">
        <v>22</v>
      </c>
      <c r="G2" s="13">
        <v>69</v>
      </c>
      <c r="H2" s="91">
        <f>IF(B$19=0,0,G2/B$19)</f>
        <v>0.89610389610389607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-3169.4444444444443</v>
      </c>
      <c r="P2" s="80">
        <v>36</v>
      </c>
      <c r="Q2" s="67">
        <v>-114100</v>
      </c>
    </row>
    <row r="3" spans="1:17" x14ac:dyDescent="0.45">
      <c r="A3" s="21" t="s">
        <v>8</v>
      </c>
      <c r="B3" s="133">
        <v>290</v>
      </c>
      <c r="C3" s="134"/>
      <c r="E3" s="29" t="s">
        <v>72</v>
      </c>
      <c r="F3" s="26" t="s">
        <v>27</v>
      </c>
      <c r="G3" s="14">
        <v>40</v>
      </c>
      <c r="H3" s="92">
        <f>IF(B$19=0,0,G3/B$19)</f>
        <v>0.51948051948051943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-586.11111111111109</v>
      </c>
      <c r="P3" s="81">
        <v>36</v>
      </c>
      <c r="Q3" s="68">
        <v>-21100</v>
      </c>
    </row>
    <row r="4" spans="1:17" x14ac:dyDescent="0.45">
      <c r="A4" s="21" t="s">
        <v>6</v>
      </c>
      <c r="B4" s="135">
        <v>-124.40000000000003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0.51948051948051943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-245.45454545454547</v>
      </c>
      <c r="P4" s="81">
        <v>33</v>
      </c>
      <c r="Q4" s="68">
        <v>-8100</v>
      </c>
    </row>
    <row r="5" spans="1:17" x14ac:dyDescent="0.45">
      <c r="A5" s="21" t="s">
        <v>7</v>
      </c>
      <c r="B5" s="123">
        <f>IF(B$2=0,0,B$4/B$2)</f>
        <v>-3.3621621621621629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0.4935064935064935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-2680</v>
      </c>
      <c r="P5" s="81">
        <v>30</v>
      </c>
      <c r="Q5" s="68">
        <v>-80400</v>
      </c>
    </row>
    <row r="6" spans="1:17" x14ac:dyDescent="0.45">
      <c r="A6" s="21" t="s">
        <v>1</v>
      </c>
      <c r="B6" s="137">
        <f>IF(B$2=0,0,(B$7*1+B$8*2+B$9*3)/B$2)</f>
        <v>2.0540540540540539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0.27272727272727271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1660.7142857142858</v>
      </c>
      <c r="P6" s="81">
        <v>28</v>
      </c>
      <c r="Q6" s="68">
        <v>46500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0.3783783783783784</v>
      </c>
      <c r="E7" s="29" t="s">
        <v>67</v>
      </c>
      <c r="F7" s="26" t="s">
        <v>23</v>
      </c>
      <c r="G7" s="14">
        <v>18</v>
      </c>
      <c r="H7" s="92">
        <f>IF(B$19=0,0,G7/B$19)</f>
        <v>0.23376623376623376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3923.8095238095239</v>
      </c>
      <c r="P7" s="82">
        <v>21</v>
      </c>
      <c r="Q7" s="69">
        <v>82400</v>
      </c>
    </row>
    <row r="8" spans="1:17" x14ac:dyDescent="0.45">
      <c r="A8" s="21" t="s">
        <v>3</v>
      </c>
      <c r="B8" s="14">
        <v>7</v>
      </c>
      <c r="C8" s="8">
        <f t="shared" si="1"/>
        <v>0.1891891891891892</v>
      </c>
      <c r="E8" s="29" t="s">
        <v>89</v>
      </c>
      <c r="F8" s="26" t="s">
        <v>44</v>
      </c>
      <c r="G8" s="14">
        <v>11</v>
      </c>
      <c r="H8" s="92">
        <f>IF(B$19=0,0,G8/B$19)</f>
        <v>0.14285714285714285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0.43243243243243246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5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-12.076923076923078</v>
      </c>
      <c r="P10" s="80">
        <v>13</v>
      </c>
      <c r="Q10" s="71">
        <v>-157.00000000000003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9.0909090909090912E-2</v>
      </c>
      <c r="I11" s="60">
        <v>3</v>
      </c>
      <c r="K11" s="7">
        <v>9</v>
      </c>
      <c r="L11" s="65">
        <v>33.5</v>
      </c>
      <c r="N11" s="78" t="s">
        <v>153</v>
      </c>
      <c r="O11" s="87">
        <f>IF(P11=0,0,Q11/P11)</f>
        <v>12.366666666666665</v>
      </c>
      <c r="P11" s="81">
        <v>9</v>
      </c>
      <c r="Q11" s="72">
        <v>111.29999999999998</v>
      </c>
    </row>
    <row r="12" spans="1:17" x14ac:dyDescent="0.45">
      <c r="A12" s="22" t="s">
        <v>187</v>
      </c>
      <c r="B12" s="113">
        <f>IF(B9=0,0,C12/B9)</f>
        <v>-41.874999999999993</v>
      </c>
      <c r="C12" s="114">
        <v>-669.99999999999989</v>
      </c>
      <c r="E12" s="29" t="s">
        <v>69</v>
      </c>
      <c r="F12" s="26" t="s">
        <v>24</v>
      </c>
      <c r="G12" s="14">
        <v>5</v>
      </c>
      <c r="H12" s="92">
        <f>IF(B$19=0,0,G12/B$19)</f>
        <v>6.4935064935064929E-2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-5.2466666666666661</v>
      </c>
      <c r="P12" s="82">
        <v>15</v>
      </c>
      <c r="Q12" s="73">
        <v>-78.699999999999989</v>
      </c>
    </row>
    <row r="13" spans="1:17" x14ac:dyDescent="0.45">
      <c r="A13" s="22" t="s">
        <v>188</v>
      </c>
      <c r="B13" s="123">
        <f>AVERAGE(B10:B12)</f>
        <v>-1.8654761904761845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6.4935064935064929E-2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0.21621621621621623</v>
      </c>
      <c r="E14" s="29" t="s">
        <v>71</v>
      </c>
      <c r="F14" s="26" t="s">
        <v>26</v>
      </c>
      <c r="G14" s="14">
        <v>4</v>
      </c>
      <c r="H14" s="92">
        <f>IF(B$19=0,0,G14/B$19)</f>
        <v>5.1948051948051951E-2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85</v>
      </c>
      <c r="C15" s="12">
        <f>IF(B$3=0,0,B15/B$3)</f>
        <v>0.29310344827586204</v>
      </c>
      <c r="E15" s="29" t="s">
        <v>79</v>
      </c>
      <c r="F15" s="26" t="s">
        <v>34</v>
      </c>
      <c r="G15" s="14">
        <v>3</v>
      </c>
      <c r="H15" s="92">
        <f>IF(B$19=0,0,G15/B$19)</f>
        <v>3.896103896103896E-2</v>
      </c>
      <c r="I15" s="60">
        <v>3</v>
      </c>
      <c r="K15" s="7">
        <v>13</v>
      </c>
      <c r="L15" s="65">
        <v>-33.5</v>
      </c>
      <c r="N15" s="77" t="s">
        <v>205</v>
      </c>
      <c r="O15" s="86">
        <f t="shared" ref="O15:O22" si="2"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63</v>
      </c>
      <c r="C16" s="8">
        <f>IF(B$3=0,0,B16/B$3)</f>
        <v>0.21724137931034482</v>
      </c>
      <c r="E16" s="29" t="s">
        <v>81</v>
      </c>
      <c r="F16" s="26" t="s">
        <v>36</v>
      </c>
      <c r="G16" s="14">
        <v>3</v>
      </c>
      <c r="H16" s="92">
        <f>IF(B$19=0,0,G16/B$19)</f>
        <v>3.896103896103896E-2</v>
      </c>
      <c r="I16" s="60">
        <v>2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0.43529411764705883</v>
      </c>
      <c r="E17" s="29" t="s">
        <v>78</v>
      </c>
      <c r="F17" s="26" t="s">
        <v>33</v>
      </c>
      <c r="G17" s="14">
        <v>2</v>
      </c>
      <c r="H17" s="92">
        <f>IF(B$19=0,0,G17/B$19)</f>
        <v>2.5974025974025976E-2</v>
      </c>
      <c r="I17" s="60">
        <v>7</v>
      </c>
      <c r="K17" s="7">
        <v>15</v>
      </c>
      <c r="L17" s="65">
        <v>-33.1</v>
      </c>
      <c r="N17" s="78" t="s">
        <v>213</v>
      </c>
      <c r="O17" s="87">
        <f t="shared" si="2"/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24</v>
      </c>
      <c r="C18" s="6">
        <f>IF(B$16=0,0,B18/B$16)</f>
        <v>0.38095238095238093</v>
      </c>
      <c r="E18" s="29" t="s">
        <v>83</v>
      </c>
      <c r="F18" s="26" t="s">
        <v>38</v>
      </c>
      <c r="G18" s="14">
        <v>2</v>
      </c>
      <c r="H18" s="92">
        <f>IF(B$19=0,0,G18/B$19)</f>
        <v>2.5974025974025976E-2</v>
      </c>
      <c r="I18" s="60">
        <v>7</v>
      </c>
      <c r="K18" s="7">
        <v>16</v>
      </c>
      <c r="L18" s="65">
        <v>-10.8</v>
      </c>
      <c r="N18" s="78" t="s">
        <v>192</v>
      </c>
      <c r="O18" s="87">
        <f t="shared" si="2"/>
        <v>5.7499999999999982</v>
      </c>
      <c r="P18" s="81">
        <v>16</v>
      </c>
      <c r="Q18" s="72">
        <v>91.999999999999972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0.26551724137931032</v>
      </c>
      <c r="E19" s="29" t="s">
        <v>92</v>
      </c>
      <c r="F19" s="26" t="s">
        <v>47</v>
      </c>
      <c r="G19" s="14">
        <v>2</v>
      </c>
      <c r="H19" s="92">
        <f>IF(B$19=0,0,G19/B$19)</f>
        <v>2.5974025974025976E-2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61</v>
      </c>
      <c r="C20" s="8">
        <f>IF(B$3=0,0,B20/B$3)</f>
        <v>0.2103448275862069</v>
      </c>
      <c r="E20" s="29" t="s">
        <v>75</v>
      </c>
      <c r="F20" s="26" t="s">
        <v>30</v>
      </c>
      <c r="G20" s="14">
        <v>1</v>
      </c>
      <c r="H20" s="92">
        <f>IF(B$19=0,0,G20/B$19)</f>
        <v>1.2987012987012988E-2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-13.788888888888883</v>
      </c>
      <c r="P20" s="81">
        <v>27</v>
      </c>
      <c r="Q20" s="72">
        <v>-372.29999999999984</v>
      </c>
    </row>
    <row r="21" spans="1:17" x14ac:dyDescent="0.45">
      <c r="A21" s="21" t="s">
        <v>12</v>
      </c>
      <c r="B21" s="14">
        <v>34</v>
      </c>
      <c r="C21" s="8">
        <f>IF(B$19=0,0,B21/B$19)</f>
        <v>0.44155844155844154</v>
      </c>
      <c r="E21" s="29" t="s">
        <v>97</v>
      </c>
      <c r="F21" s="26" t="s">
        <v>52</v>
      </c>
      <c r="G21" s="14">
        <v>1</v>
      </c>
      <c r="H21" s="92">
        <f>IF(B$19=0,0,G21/B$19)</f>
        <v>1.2987012987012988E-2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2"/>
        <v>-32.566666666666663</v>
      </c>
      <c r="P21" s="81">
        <v>6</v>
      </c>
      <c r="Q21" s="72">
        <v>-195.39999999999998</v>
      </c>
    </row>
    <row r="22" spans="1:17" x14ac:dyDescent="0.45">
      <c r="A22" s="21" t="s">
        <v>11</v>
      </c>
      <c r="B22" s="14">
        <v>43</v>
      </c>
      <c r="C22" s="8">
        <f>IF(B$19=0,0,B22/B$19)</f>
        <v>0.55844155844155841</v>
      </c>
      <c r="E22" s="29" t="s">
        <v>156</v>
      </c>
      <c r="F22" s="26" t="s">
        <v>157</v>
      </c>
      <c r="G22" s="14">
        <v>1</v>
      </c>
      <c r="H22" s="92">
        <f>IF(B$19=0,0,G22/B$19)</f>
        <v>1.2987012987012988E-2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 t="shared" si="2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0.48051948051948051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24</v>
      </c>
      <c r="C24" s="8">
        <f>IF(B$19=0,0,B24/B$19)</f>
        <v>0.31168831168831168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16</v>
      </c>
      <c r="C25" s="8">
        <f>IF(B$19=0,0,B25/B$19)</f>
        <v>0.20779220779220781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10564.935064935065</v>
      </c>
      <c r="C26" s="10">
        <v>813500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11422.641509433963</v>
      </c>
      <c r="C27" s="100">
        <v>605400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8670.8333333333339</v>
      </c>
      <c r="C28" s="100">
        <v>208100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-8347.5409836065573</v>
      </c>
      <c r="C29" s="100">
        <v>-509200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3.4482758620689655E-3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2.5974025974025976E-2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0.15584415584415584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4</v>
      </c>
      <c r="C38" s="8">
        <f t="shared" si="3"/>
        <v>5.1948051948051951E-2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20</v>
      </c>
      <c r="C39" s="8">
        <f t="shared" si="3"/>
        <v>0.25974025974025972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16</v>
      </c>
      <c r="C40" s="8">
        <f t="shared" si="3"/>
        <v>0.20779220779220781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3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3"/>
        <v>0.1038961038961039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3"/>
        <v>3.896103896103896E-2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1.2987012987012988E-2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1.2987012987012988E-2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3.896103896103896E-2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3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5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48</v>
      </c>
      <c r="C2" s="132"/>
      <c r="E2" s="28" t="s">
        <v>66</v>
      </c>
      <c r="F2" s="25" t="s">
        <v>22</v>
      </c>
      <c r="G2" s="13">
        <v>89</v>
      </c>
      <c r="H2" s="91">
        <f>IF(B$19=0,0,G2/B$19)</f>
        <v>0.70634920634920639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147.91666666666666</v>
      </c>
      <c r="P2" s="80">
        <v>48</v>
      </c>
      <c r="Q2" s="67">
        <v>7100</v>
      </c>
    </row>
    <row r="3" spans="1:17" x14ac:dyDescent="0.45">
      <c r="A3" s="21" t="s">
        <v>8</v>
      </c>
      <c r="B3" s="133">
        <v>368</v>
      </c>
      <c r="C3" s="134"/>
      <c r="E3" s="29" t="s">
        <v>160</v>
      </c>
      <c r="F3" s="26" t="s">
        <v>161</v>
      </c>
      <c r="G3" s="14">
        <v>59</v>
      </c>
      <c r="H3" s="92">
        <f>IF(B$19=0,0,G3/B$19)</f>
        <v>0.46825396825396826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4206.3829787234044</v>
      </c>
      <c r="P3" s="81">
        <v>47</v>
      </c>
      <c r="Q3" s="68">
        <v>197700</v>
      </c>
    </row>
    <row r="4" spans="1:17" x14ac:dyDescent="0.45">
      <c r="A4" s="21" t="s">
        <v>6</v>
      </c>
      <c r="B4" s="135">
        <v>659.80000000000007</v>
      </c>
      <c r="C4" s="136"/>
      <c r="E4" s="29" t="s">
        <v>72</v>
      </c>
      <c r="F4" s="26" t="s">
        <v>27</v>
      </c>
      <c r="G4" s="14">
        <v>58</v>
      </c>
      <c r="H4" s="92">
        <f>IF(B$19=0,0,G4/B$19)</f>
        <v>0.46031746031746029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5000</v>
      </c>
      <c r="P4" s="81">
        <v>44</v>
      </c>
      <c r="Q4" s="68">
        <v>220000</v>
      </c>
    </row>
    <row r="5" spans="1:17" x14ac:dyDescent="0.45">
      <c r="A5" s="21" t="s">
        <v>7</v>
      </c>
      <c r="B5" s="123">
        <f>IF(B$2=0,0,B$4/B$2)</f>
        <v>13.745833333333335</v>
      </c>
      <c r="C5" s="124"/>
      <c r="E5" s="29" t="s">
        <v>64</v>
      </c>
      <c r="F5" s="26" t="s">
        <v>20</v>
      </c>
      <c r="G5" s="14">
        <v>53</v>
      </c>
      <c r="H5" s="92">
        <f>IF(B$19=0,0,G5/B$19)</f>
        <v>0.42063492063492064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3455.2631578947367</v>
      </c>
      <c r="P5" s="81">
        <v>38</v>
      </c>
      <c r="Q5" s="68">
        <v>131300</v>
      </c>
    </row>
    <row r="6" spans="1:17" x14ac:dyDescent="0.45">
      <c r="A6" s="21" t="s">
        <v>1</v>
      </c>
      <c r="B6" s="137">
        <f>IF(B$2=0,0,(B$7*1+B$8*2+B$9*3)/B$2)</f>
        <v>1.7291666666666667</v>
      </c>
      <c r="C6" s="138"/>
      <c r="E6" s="29" t="s">
        <v>68</v>
      </c>
      <c r="F6" s="26" t="s">
        <v>12</v>
      </c>
      <c r="G6" s="14">
        <v>50</v>
      </c>
      <c r="H6" s="92">
        <f>IF(B$19=0,0,G6/B$19)</f>
        <v>0.3968253968253968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-1894.1176470588234</v>
      </c>
      <c r="P6" s="81">
        <v>34</v>
      </c>
      <c r="Q6" s="68">
        <v>-64400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0.45833333333333331</v>
      </c>
      <c r="E7" s="29" t="s">
        <v>67</v>
      </c>
      <c r="F7" s="26" t="s">
        <v>23</v>
      </c>
      <c r="G7" s="14">
        <v>28</v>
      </c>
      <c r="H7" s="92">
        <f>IF(B$19=0,0,G7/B$19)</f>
        <v>0.22222222222222221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1092.5925925925926</v>
      </c>
      <c r="P7" s="82">
        <v>27</v>
      </c>
      <c r="Q7" s="69">
        <v>29500</v>
      </c>
    </row>
    <row r="8" spans="1:17" x14ac:dyDescent="0.45">
      <c r="A8" s="21" t="s">
        <v>3</v>
      </c>
      <c r="B8" s="14">
        <v>17</v>
      </c>
      <c r="C8" s="8">
        <f t="shared" si="1"/>
        <v>0.35416666666666669</v>
      </c>
      <c r="E8" s="29" t="s">
        <v>69</v>
      </c>
      <c r="F8" s="26" t="s">
        <v>24</v>
      </c>
      <c r="G8" s="14">
        <v>22</v>
      </c>
      <c r="H8" s="92">
        <f>IF(B$19=0,0,G8/B$19)</f>
        <v>0.17460317460317459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0.1875</v>
      </c>
      <c r="E9" s="29" t="s">
        <v>89</v>
      </c>
      <c r="F9" s="26" t="s">
        <v>44</v>
      </c>
      <c r="G9" s="14">
        <v>22</v>
      </c>
      <c r="H9" s="92">
        <f>IF(B$19=0,0,G9/B$19)</f>
        <v>0.17460317460317459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45.722727272727269</v>
      </c>
      <c r="C10" s="114">
        <v>1005.8999999999999</v>
      </c>
      <c r="E10" s="29" t="s">
        <v>65</v>
      </c>
      <c r="F10" s="26" t="s">
        <v>21</v>
      </c>
      <c r="G10" s="14">
        <v>13</v>
      </c>
      <c r="H10" s="92">
        <f>IF(B$19=0,0,G10/B$19)</f>
        <v>0.10317460317460317</v>
      </c>
      <c r="I10" s="60">
        <v>8</v>
      </c>
      <c r="K10" s="7">
        <v>8</v>
      </c>
      <c r="L10" s="65">
        <v>132.6</v>
      </c>
      <c r="N10" s="77" t="s">
        <v>152</v>
      </c>
      <c r="O10" s="86">
        <f>IF(P10=0,0,Q10/P10)</f>
        <v>-2.4142857142857141</v>
      </c>
      <c r="P10" s="80">
        <v>14</v>
      </c>
      <c r="Q10" s="71">
        <v>-33.799999999999997</v>
      </c>
    </row>
    <row r="11" spans="1:17" x14ac:dyDescent="0.45">
      <c r="A11" s="22" t="s">
        <v>186</v>
      </c>
      <c r="B11" s="113">
        <f>IF(B8=0,0,C11/B8)</f>
        <v>0.33529411764705891</v>
      </c>
      <c r="C11" s="114">
        <v>5.7000000000000011</v>
      </c>
      <c r="E11" s="29" t="s">
        <v>71</v>
      </c>
      <c r="F11" s="26" t="s">
        <v>26</v>
      </c>
      <c r="G11" s="14">
        <v>12</v>
      </c>
      <c r="H11" s="92">
        <f>IF(B$19=0,0,G11/B$19)</f>
        <v>9.5238095238095233E-2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19.806249999999999</v>
      </c>
      <c r="P11" s="81">
        <v>16</v>
      </c>
      <c r="Q11" s="72">
        <v>316.89999999999998</v>
      </c>
    </row>
    <row r="12" spans="1:17" x14ac:dyDescent="0.45">
      <c r="A12" s="22" t="s">
        <v>187</v>
      </c>
      <c r="B12" s="113">
        <f>IF(B9=0,0,C12/B9)</f>
        <v>-39.088888888888889</v>
      </c>
      <c r="C12" s="114">
        <v>-351.8</v>
      </c>
      <c r="E12" s="29" t="s">
        <v>86</v>
      </c>
      <c r="F12" s="26" t="s">
        <v>41</v>
      </c>
      <c r="G12" s="14">
        <v>10</v>
      </c>
      <c r="H12" s="92">
        <f>IF(B$19=0,0,G12/B$19)</f>
        <v>7.9365079365079361E-2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2.3230441671618132</v>
      </c>
      <c r="C13" s="124"/>
      <c r="E13" s="29" t="s">
        <v>70</v>
      </c>
      <c r="F13" s="26" t="s">
        <v>25</v>
      </c>
      <c r="G13" s="14">
        <v>9</v>
      </c>
      <c r="H13" s="92">
        <f>IF(B$19=0,0,G13/B$19)</f>
        <v>7.1428571428571425E-2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4.1666666666666664E-2</v>
      </c>
      <c r="E14" s="29" t="s">
        <v>83</v>
      </c>
      <c r="F14" s="26" t="s">
        <v>38</v>
      </c>
      <c r="G14" s="14">
        <v>7</v>
      </c>
      <c r="H14" s="92">
        <f>IF(B$19=0,0,G14/B$19)</f>
        <v>5.5555555555555552E-2</v>
      </c>
      <c r="I14" s="60">
        <v>4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0.26358695652173914</v>
      </c>
      <c r="E15" s="29" t="s">
        <v>156</v>
      </c>
      <c r="F15" s="26" t="s">
        <v>157</v>
      </c>
      <c r="G15" s="14">
        <v>4</v>
      </c>
      <c r="H15" s="92">
        <f>IF(B$19=0,0,G15/B$19)</f>
        <v>3.1746031746031744E-2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63</v>
      </c>
      <c r="C16" s="8">
        <f>IF(B$3=0,0,B16/B$3)</f>
        <v>0.17119565217391305</v>
      </c>
      <c r="E16" s="29" t="s">
        <v>92</v>
      </c>
      <c r="F16" s="26" t="s">
        <v>47</v>
      </c>
      <c r="G16" s="14">
        <v>3</v>
      </c>
      <c r="H16" s="92">
        <f>IF(B$19=0,0,G16/B$19)</f>
        <v>2.3809523809523808E-2</v>
      </c>
      <c r="I16" s="60">
        <v>3</v>
      </c>
      <c r="K16" s="7">
        <v>14</v>
      </c>
      <c r="L16" s="65">
        <v>249.2</v>
      </c>
      <c r="N16" s="78" t="s">
        <v>194</v>
      </c>
      <c r="O16" s="87">
        <f>IF(P16=0,0,Q16/P16)</f>
        <v>30.100000000000012</v>
      </c>
      <c r="P16" s="81">
        <v>10</v>
      </c>
      <c r="Q16" s="72">
        <v>301.00000000000011</v>
      </c>
    </row>
    <row r="17" spans="1:17" x14ac:dyDescent="0.45">
      <c r="A17" s="20" t="s">
        <v>123</v>
      </c>
      <c r="B17" s="13">
        <f>B23</f>
        <v>59</v>
      </c>
      <c r="C17" s="6">
        <f>IF(B$15=0,0,B17/B$15)</f>
        <v>0.60824742268041232</v>
      </c>
      <c r="E17" s="29" t="s">
        <v>79</v>
      </c>
      <c r="F17" s="26" t="s">
        <v>34</v>
      </c>
      <c r="G17" s="14">
        <v>2</v>
      </c>
      <c r="H17" s="92">
        <f>IF(B$19=0,0,G17/B$19)</f>
        <v>1.5873015873015872E-2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0.53968253968253965</v>
      </c>
      <c r="E18" s="29" t="s">
        <v>81</v>
      </c>
      <c r="F18" s="26" t="s">
        <v>36</v>
      </c>
      <c r="G18" s="14">
        <v>2</v>
      </c>
      <c r="H18" s="92">
        <f>IF(B$19=0,0,G18/B$19)</f>
        <v>1.5873015873015872E-2</v>
      </c>
      <c r="I18" s="60">
        <v>5</v>
      </c>
      <c r="K18" s="7">
        <v>16</v>
      </c>
      <c r="L18" s="65">
        <v>273.8</v>
      </c>
      <c r="N18" s="78" t="s">
        <v>192</v>
      </c>
      <c r="O18" s="87">
        <f>IF(P18=0,0,Q18/P18)</f>
        <v>25.471428571428575</v>
      </c>
      <c r="P18" s="81">
        <v>21</v>
      </c>
      <c r="Q18" s="72">
        <v>534.90000000000009</v>
      </c>
    </row>
    <row r="19" spans="1:17" x14ac:dyDescent="0.45">
      <c r="A19" s="20" t="s">
        <v>10</v>
      </c>
      <c r="B19" s="13">
        <f>B22+B21</f>
        <v>126</v>
      </c>
      <c r="C19" s="6">
        <f>IF(B$3=0,0,B19/B$3)</f>
        <v>0.34239130434782611</v>
      </c>
      <c r="E19" s="29" t="s">
        <v>91</v>
      </c>
      <c r="F19" s="26" t="s">
        <v>46</v>
      </c>
      <c r="G19" s="14">
        <v>2</v>
      </c>
      <c r="H19" s="92">
        <f>IF(B$19=0,0,G19/B$19)</f>
        <v>1.5873015873015872E-2</v>
      </c>
      <c r="I19" s="60">
        <v>4</v>
      </c>
      <c r="K19" s="7">
        <v>17</v>
      </c>
      <c r="L19" s="65">
        <v>242.8</v>
      </c>
      <c r="N19" s="78" t="s">
        <v>205</v>
      </c>
      <c r="O19" s="87">
        <f>IF(P19=0,0,Q19/P19)</f>
        <v>24.52</v>
      </c>
      <c r="P19" s="81">
        <v>10</v>
      </c>
      <c r="Q19" s="72">
        <v>245.2</v>
      </c>
    </row>
    <row r="20" spans="1:17" x14ac:dyDescent="0.45">
      <c r="A20" s="21" t="s">
        <v>13</v>
      </c>
      <c r="B20" s="14">
        <v>46</v>
      </c>
      <c r="C20" s="8">
        <f>IF(B$3=0,0,B20/B$3)</f>
        <v>0.125</v>
      </c>
      <c r="E20" s="29" t="s">
        <v>93</v>
      </c>
      <c r="F20" s="26" t="s">
        <v>48</v>
      </c>
      <c r="G20" s="14">
        <v>2</v>
      </c>
      <c r="H20" s="92">
        <f>IF(B$19=0,0,G20/B$19)</f>
        <v>1.5873015873015872E-2</v>
      </c>
      <c r="I20" s="60">
        <v>1</v>
      </c>
      <c r="K20" s="7">
        <v>18</v>
      </c>
      <c r="L20" s="65">
        <v>280</v>
      </c>
      <c r="N20" s="78" t="s">
        <v>193</v>
      </c>
      <c r="O20" s="87">
        <f>IF(P20=0,0,Q20/P20)</f>
        <v>21.236363636363635</v>
      </c>
      <c r="P20" s="81">
        <v>11</v>
      </c>
      <c r="Q20" s="72">
        <v>233.59999999999997</v>
      </c>
    </row>
    <row r="21" spans="1:17" x14ac:dyDescent="0.45">
      <c r="A21" s="21" t="s">
        <v>12</v>
      </c>
      <c r="B21" s="14">
        <v>67</v>
      </c>
      <c r="C21" s="8">
        <f>IF(B$19=0,0,B21/B$19)</f>
        <v>0.53174603174603174</v>
      </c>
      <c r="E21" s="29" t="s">
        <v>73</v>
      </c>
      <c r="F21" s="26" t="s">
        <v>28</v>
      </c>
      <c r="G21" s="14">
        <v>1</v>
      </c>
      <c r="H21" s="92">
        <f>IF(B$19=0,0,G21/B$19)</f>
        <v>7.9365079365079361E-3</v>
      </c>
      <c r="I21" s="60">
        <v>2</v>
      </c>
      <c r="K21" s="7">
        <v>19</v>
      </c>
      <c r="L21" s="65">
        <v>281.5</v>
      </c>
      <c r="N21" s="78" t="s">
        <v>164</v>
      </c>
      <c r="O21" s="87">
        <f>IF(P21=0,0,Q21/P21)</f>
        <v>13.788888888888888</v>
      </c>
      <c r="P21" s="81">
        <v>27</v>
      </c>
      <c r="Q21" s="72">
        <v>372.29999999999995</v>
      </c>
    </row>
    <row r="22" spans="1:17" x14ac:dyDescent="0.45">
      <c r="A22" s="21" t="s">
        <v>11</v>
      </c>
      <c r="B22" s="14">
        <v>59</v>
      </c>
      <c r="C22" s="8">
        <f>IF(B$19=0,0,B22/B$19)</f>
        <v>0.46825396825396826</v>
      </c>
      <c r="E22" s="29" t="s">
        <v>78</v>
      </c>
      <c r="F22" s="26" t="s">
        <v>33</v>
      </c>
      <c r="G22" s="14">
        <v>1</v>
      </c>
      <c r="H22" s="92">
        <f>IF(B$19=0,0,G22/B$19)</f>
        <v>7.9365079365079361E-3</v>
      </c>
      <c r="I22" s="60">
        <v>8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59</v>
      </c>
      <c r="C23" s="8">
        <f>IF(B$19=0,0,B23/B$19)</f>
        <v>0.46825396825396826</v>
      </c>
      <c r="E23" s="29" t="s">
        <v>84</v>
      </c>
      <c r="F23" s="26" t="s">
        <v>39</v>
      </c>
      <c r="G23" s="14">
        <v>1</v>
      </c>
      <c r="H23" s="92">
        <f>IF(B$19=0,0,G23/B$19)</f>
        <v>7.9365079365079361E-3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0.26984126984126983</v>
      </c>
      <c r="E24" s="29" t="s">
        <v>87</v>
      </c>
      <c r="F24" s="26" t="s">
        <v>42</v>
      </c>
      <c r="G24" s="14">
        <v>1</v>
      </c>
      <c r="H24" s="92">
        <f>IF(B$19=0,0,G24/B$19)</f>
        <v>7.9365079365079361E-3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33</v>
      </c>
      <c r="C25" s="8">
        <f>IF(B$19=0,0,B25/B$19)</f>
        <v>0.26190476190476192</v>
      </c>
      <c r="E25" s="29" t="s">
        <v>95</v>
      </c>
      <c r="F25" s="26" t="s">
        <v>50</v>
      </c>
      <c r="G25" s="14">
        <v>1</v>
      </c>
      <c r="H25" s="92">
        <f>IF(B$19=0,0,G25/B$19)</f>
        <v>7.9365079365079361E-3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10099.20634920635</v>
      </c>
      <c r="C26" s="10">
        <v>1272500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10419.565217391304</v>
      </c>
      <c r="C27" s="100">
        <v>958600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-8595.652173913044</v>
      </c>
      <c r="C29" s="100">
        <v>-395400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2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5.5555555555555552E-2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18</v>
      </c>
      <c r="C37" s="8">
        <f t="shared" si="2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18</v>
      </c>
      <c r="C38" s="8">
        <f t="shared" si="2"/>
        <v>0.14285714285714285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25</v>
      </c>
      <c r="C39" s="8">
        <f t="shared" si="2"/>
        <v>0.1984126984126984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0.21428571428571427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7.9365079365079361E-2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6</v>
      </c>
      <c r="C42" s="8">
        <f t="shared" si="2"/>
        <v>4.7619047619047616E-2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2.3809523809523808E-2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3.1746031746031744E-2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1.5873015873015872E-2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4.7619047619047616E-2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18</v>
      </c>
      <c r="C2" s="132"/>
      <c r="E2" s="28" t="s">
        <v>66</v>
      </c>
      <c r="F2" s="25" t="s">
        <v>22</v>
      </c>
      <c r="G2" s="13">
        <v>22</v>
      </c>
      <c r="H2" s="91">
        <f>IF(B$19=0,0,G2/B$19)</f>
        <v>0.70967741935483875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-3638.8888888888887</v>
      </c>
      <c r="P2" s="80">
        <v>18</v>
      </c>
      <c r="Q2" s="67">
        <v>-65500</v>
      </c>
    </row>
    <row r="3" spans="1:17" x14ac:dyDescent="0.45">
      <c r="A3" s="21" t="s">
        <v>8</v>
      </c>
      <c r="B3" s="133">
        <v>122</v>
      </c>
      <c r="C3" s="134"/>
      <c r="E3" s="29" t="s">
        <v>64</v>
      </c>
      <c r="F3" s="26" t="s">
        <v>20</v>
      </c>
      <c r="G3" s="14">
        <v>14</v>
      </c>
      <c r="H3" s="92">
        <f>IF(B$19=0,0,G3/B$19)</f>
        <v>0.45161290322580644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100</v>
      </c>
      <c r="P3" s="81">
        <v>17</v>
      </c>
      <c r="Q3" s="68">
        <v>1700</v>
      </c>
    </row>
    <row r="4" spans="1:17" x14ac:dyDescent="0.45">
      <c r="A4" s="21" t="s">
        <v>6</v>
      </c>
      <c r="B4" s="135">
        <v>-154.09999999999997</v>
      </c>
      <c r="C4" s="136"/>
      <c r="E4" s="29" t="s">
        <v>160</v>
      </c>
      <c r="F4" s="26" t="s">
        <v>161</v>
      </c>
      <c r="G4" s="14">
        <v>14</v>
      </c>
      <c r="H4" s="92">
        <f>IF(B$19=0,0,G4/B$19)</f>
        <v>0.45161290322580644</v>
      </c>
      <c r="I4" s="60">
        <v>4</v>
      </c>
      <c r="K4" s="7">
        <v>2</v>
      </c>
      <c r="L4" s="65">
        <v>-106.5</v>
      </c>
      <c r="N4" s="78" t="s">
        <v>130</v>
      </c>
      <c r="O4" s="84">
        <f t="shared" si="0"/>
        <v>-4433.333333333333</v>
      </c>
      <c r="P4" s="81">
        <v>15</v>
      </c>
      <c r="Q4" s="68">
        <v>-66500</v>
      </c>
    </row>
    <row r="5" spans="1:17" x14ac:dyDescent="0.45">
      <c r="A5" s="21" t="s">
        <v>7</v>
      </c>
      <c r="B5" s="123">
        <f>IF(B$2=0,0,B$4/B$2)</f>
        <v>-8.56111111111111</v>
      </c>
      <c r="C5" s="124"/>
      <c r="E5" s="29" t="s">
        <v>72</v>
      </c>
      <c r="F5" s="26" t="s">
        <v>27</v>
      </c>
      <c r="G5" s="14">
        <v>13</v>
      </c>
      <c r="H5" s="92">
        <f>IF(B$19=0,0,G5/B$19)</f>
        <v>0.41935483870967744</v>
      </c>
      <c r="I5" s="60">
        <v>9</v>
      </c>
      <c r="K5" s="7">
        <v>3</v>
      </c>
      <c r="L5" s="65">
        <v>-108</v>
      </c>
      <c r="N5" s="78" t="s">
        <v>131</v>
      </c>
      <c r="O5" s="84">
        <f t="shared" si="0"/>
        <v>3881.818181818182</v>
      </c>
      <c r="P5" s="81">
        <v>11</v>
      </c>
      <c r="Q5" s="68">
        <v>42700</v>
      </c>
    </row>
    <row r="6" spans="1:17" x14ac:dyDescent="0.45">
      <c r="A6" s="21" t="s">
        <v>1</v>
      </c>
      <c r="B6" s="137">
        <f>IF(B$2=0,0,(B$7*1+B$8*2+B$9*3)/B$2)</f>
        <v>2.2777777777777777</v>
      </c>
      <c r="C6" s="138"/>
      <c r="E6" s="29" t="s">
        <v>68</v>
      </c>
      <c r="F6" s="26" t="s">
        <v>12</v>
      </c>
      <c r="G6" s="14">
        <v>9</v>
      </c>
      <c r="H6" s="92">
        <f>IF(B$19=0,0,G6/B$19)</f>
        <v>0.29032258064516131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-250</v>
      </c>
      <c r="P6" s="81">
        <v>8</v>
      </c>
      <c r="Q6" s="68">
        <v>-2000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0.16666666666666666</v>
      </c>
      <c r="E7" s="29" t="s">
        <v>67</v>
      </c>
      <c r="F7" s="26" t="s">
        <v>23</v>
      </c>
      <c r="G7" s="14">
        <v>7</v>
      </c>
      <c r="H7" s="92">
        <f>IF(B$19=0,0,G7/B$19)</f>
        <v>0.22580645161290322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-4228.5714285714284</v>
      </c>
      <c r="P7" s="82">
        <v>7</v>
      </c>
      <c r="Q7" s="69">
        <v>-29600</v>
      </c>
    </row>
    <row r="8" spans="1:17" x14ac:dyDescent="0.45">
      <c r="A8" s="21" t="s">
        <v>3</v>
      </c>
      <c r="B8" s="14">
        <v>7</v>
      </c>
      <c r="C8" s="8">
        <f t="shared" si="1"/>
        <v>0.3888888888888889</v>
      </c>
      <c r="E8" s="29" t="s">
        <v>65</v>
      </c>
      <c r="F8" s="26" t="s">
        <v>21</v>
      </c>
      <c r="G8" s="14">
        <v>4</v>
      </c>
      <c r="H8" s="92">
        <f>IF(B$19=0,0,G8/B$19)</f>
        <v>0.12903225806451613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0.44444444444444442</v>
      </c>
      <c r="E9" s="29" t="s">
        <v>89</v>
      </c>
      <c r="F9" s="26" t="s">
        <v>44</v>
      </c>
      <c r="G9" s="14">
        <v>4</v>
      </c>
      <c r="H9" s="92">
        <f>IF(B$19=0,0,G9/B$19)</f>
        <v>0.12903225806451613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58.4</v>
      </c>
      <c r="C10" s="114">
        <v>175.2</v>
      </c>
      <c r="E10" s="29" t="s">
        <v>69</v>
      </c>
      <c r="F10" s="26" t="s">
        <v>24</v>
      </c>
      <c r="G10" s="14">
        <v>3</v>
      </c>
      <c r="H10" s="92">
        <f>IF(B$19=0,0,G10/B$19)</f>
        <v>9.6774193548387094E-2</v>
      </c>
      <c r="I10" s="60">
        <v>8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-1.7857142857142854</v>
      </c>
      <c r="C11" s="114">
        <v>-12.499999999999998</v>
      </c>
      <c r="E11" s="29" t="s">
        <v>86</v>
      </c>
      <c r="F11" s="26" t="s">
        <v>41</v>
      </c>
      <c r="G11" s="14">
        <v>3</v>
      </c>
      <c r="H11" s="92">
        <f>IF(B$19=0,0,G11/B$19)</f>
        <v>9.6774193548387094E-2</v>
      </c>
      <c r="I11" s="60">
        <v>2</v>
      </c>
      <c r="K11" s="7">
        <v>9</v>
      </c>
      <c r="L11" s="65">
        <v>-172.39999999999998</v>
      </c>
      <c r="N11" s="78" t="s">
        <v>153</v>
      </c>
      <c r="O11" s="87">
        <f>IF(P11=0,0,Q11/P11)</f>
        <v>-4.2125000000000004</v>
      </c>
      <c r="P11" s="81">
        <v>8</v>
      </c>
      <c r="Q11" s="72">
        <v>-33.700000000000003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70</v>
      </c>
      <c r="F12" s="26" t="s">
        <v>25</v>
      </c>
      <c r="G12" s="14">
        <v>1</v>
      </c>
      <c r="H12" s="92">
        <f>IF(B$19=0,0,G12/B$19)</f>
        <v>3.2258064516129031E-2</v>
      </c>
      <c r="I12" s="60">
        <v>7</v>
      </c>
      <c r="K12" s="7">
        <v>10</v>
      </c>
      <c r="L12" s="65">
        <v>-217.59999999999997</v>
      </c>
      <c r="N12" s="79" t="s">
        <v>154</v>
      </c>
      <c r="O12" s="88">
        <f>IF(P12=0,0,Q12/P12)</f>
        <v>7.2199999999999989</v>
      </c>
      <c r="P12" s="82">
        <v>5</v>
      </c>
      <c r="Q12" s="73">
        <v>36.099999999999994</v>
      </c>
    </row>
    <row r="13" spans="1:17" x14ac:dyDescent="0.45">
      <c r="A13" s="22" t="s">
        <v>188</v>
      </c>
      <c r="B13" s="123">
        <f>AVERAGE(B10:B12)</f>
        <v>5.6714285714285708</v>
      </c>
      <c r="C13" s="124"/>
      <c r="E13" s="29" t="s">
        <v>71</v>
      </c>
      <c r="F13" s="26" t="s">
        <v>26</v>
      </c>
      <c r="G13" s="14">
        <v>1</v>
      </c>
      <c r="H13" s="92">
        <f>IF(B$19=0,0,G13/B$19)</f>
        <v>3.2258064516129031E-2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0.27777777777777779</v>
      </c>
      <c r="E14" s="29" t="s">
        <v>78</v>
      </c>
      <c r="F14" s="26" t="s">
        <v>33</v>
      </c>
      <c r="G14" s="14">
        <v>1</v>
      </c>
      <c r="H14" s="92">
        <f>IF(B$19=0,0,G14/B$19)</f>
        <v>3.2258064516129031E-2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</v>
      </c>
      <c r="C15" s="12">
        <f>IF(B$3=0,0,B15/B$3)</f>
        <v>0.27868852459016391</v>
      </c>
      <c r="E15" s="29" t="s">
        <v>81</v>
      </c>
      <c r="F15" s="26" t="s">
        <v>36</v>
      </c>
      <c r="G15" s="14">
        <v>1</v>
      </c>
      <c r="H15" s="92">
        <f>IF(B$19=0,0,G15/B$19)</f>
        <v>3.2258064516129031E-2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16</v>
      </c>
      <c r="C16" s="8">
        <f>IF(B$3=0,0,B16/B$3)</f>
        <v>0.13114754098360656</v>
      </c>
      <c r="E16" s="29" t="s">
        <v>87</v>
      </c>
      <c r="F16" s="26" t="s">
        <v>42</v>
      </c>
      <c r="G16" s="14">
        <v>1</v>
      </c>
      <c r="H16" s="92">
        <f>IF(B$19=0,0,G16/B$19)</f>
        <v>3.2258064516129031E-2</v>
      </c>
      <c r="I16" s="60">
        <v>1</v>
      </c>
      <c r="K16" s="7">
        <v>14</v>
      </c>
      <c r="L16" s="65">
        <v>-330.7</v>
      </c>
      <c r="N16" s="78" t="s">
        <v>192</v>
      </c>
      <c r="O16" s="87">
        <f>IF(P16=0,0,Q16/P16)</f>
        <v>2.1999999999999993</v>
      </c>
      <c r="P16" s="81">
        <v>9</v>
      </c>
      <c r="Q16" s="72">
        <v>19.799999999999994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0.41176470588235292</v>
      </c>
      <c r="E17" s="29" t="s">
        <v>91</v>
      </c>
      <c r="F17" s="26" t="s">
        <v>46</v>
      </c>
      <c r="G17" s="14">
        <v>1</v>
      </c>
      <c r="H17" s="92">
        <f>IF(B$19=0,0,G17/B$19)</f>
        <v>3.2258064516129031E-2</v>
      </c>
      <c r="I17" s="60">
        <v>2</v>
      </c>
      <c r="K17" s="7">
        <v>15</v>
      </c>
      <c r="L17" s="65">
        <v>-284.09999999999997</v>
      </c>
      <c r="N17" s="78" t="s">
        <v>205</v>
      </c>
      <c r="O17" s="87">
        <f>IF(P17=0,0,Q17/P17)</f>
        <v>-3.3666666666666649</v>
      </c>
      <c r="P17" s="81">
        <v>3</v>
      </c>
      <c r="Q17" s="72">
        <v>-10.099999999999994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0.4375</v>
      </c>
      <c r="E18" s="29" t="s">
        <v>92</v>
      </c>
      <c r="F18" s="26" t="s">
        <v>47</v>
      </c>
      <c r="G18" s="14">
        <v>1</v>
      </c>
      <c r="H18" s="92">
        <f>IF(B$19=0,0,G18/B$19)</f>
        <v>3.2258064516129031E-2</v>
      </c>
      <c r="I18" s="60">
        <v>1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0.25409836065573771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-30.100000000000012</v>
      </c>
      <c r="P19" s="81">
        <v>10</v>
      </c>
      <c r="Q19" s="72">
        <v>-301.00000000000011</v>
      </c>
    </row>
    <row r="20" spans="1:17" x14ac:dyDescent="0.45">
      <c r="A20" s="21" t="s">
        <v>13</v>
      </c>
      <c r="B20" s="14">
        <v>15</v>
      </c>
      <c r="C20" s="8">
        <f>IF(B$3=0,0,B20/B$3)</f>
        <v>0.12295081967213115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-44.449999999999996</v>
      </c>
      <c r="P20" s="81">
        <v>8</v>
      </c>
      <c r="Q20" s="72">
        <v>-355.59999999999997</v>
      </c>
    </row>
    <row r="21" spans="1:17" x14ac:dyDescent="0.45">
      <c r="A21" s="21" t="s">
        <v>12</v>
      </c>
      <c r="B21" s="14">
        <v>12</v>
      </c>
      <c r="C21" s="8">
        <f>IF(B$19=0,0,B21/B$19)</f>
        <v>0.38709677419354838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19</v>
      </c>
      <c r="C22" s="8">
        <f>IF(B$19=0,0,B22/B$19)</f>
        <v>0.61290322580645162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14</v>
      </c>
      <c r="C23" s="8">
        <f>IF(B$19=0,0,B23/B$19)</f>
        <v>0.45161290322580644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7</v>
      </c>
      <c r="C24" s="8">
        <f>IF(B$19=0,0,B24/B$19)</f>
        <v>0.22580645161290322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10</v>
      </c>
      <c r="C25" s="8">
        <f>IF(B$19=0,0,B25/B$19)</f>
        <v>0.32258064516129031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8835.4838709677424</v>
      </c>
      <c r="C26" s="10">
        <v>273900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10279.166666666666</v>
      </c>
      <c r="C27" s="100">
        <v>246700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3885.7142857142858</v>
      </c>
      <c r="C28" s="100">
        <v>27200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-8773.3333333333339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26</v>
      </c>
      <c r="C31" s="94">
        <v>26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9.6774193548387094E-2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7</v>
      </c>
      <c r="C37" s="8">
        <f t="shared" si="2"/>
        <v>0.22580645161290322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2"/>
        <v>0.22580645161290322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9.6774193548387094E-2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3.2258064516129031E-2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0.19354838709677419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3.2258064516129031E-2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3.2258064516129031E-2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72</v>
      </c>
      <c r="F2" s="25" t="s">
        <v>27</v>
      </c>
      <c r="G2" s="13">
        <v>45</v>
      </c>
      <c r="H2" s="91">
        <f>IF(B$19=0,0,G2/B$19)</f>
        <v>0.61643835616438358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397.14285714285717</v>
      </c>
      <c r="P2" s="80">
        <v>35</v>
      </c>
      <c r="Q2" s="67">
        <v>13900</v>
      </c>
    </row>
    <row r="3" spans="1:17" x14ac:dyDescent="0.45">
      <c r="A3" s="21" t="s">
        <v>8</v>
      </c>
      <c r="B3" s="133">
        <v>277</v>
      </c>
      <c r="C3" s="134"/>
      <c r="E3" s="29" t="s">
        <v>66</v>
      </c>
      <c r="F3" s="26" t="s">
        <v>22</v>
      </c>
      <c r="G3" s="14">
        <v>39</v>
      </c>
      <c r="H3" s="92">
        <f>IF(B$19=0,0,G3/B$19)</f>
        <v>0.53424657534246578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-942.85714285714289</v>
      </c>
      <c r="P3" s="81">
        <v>35</v>
      </c>
      <c r="Q3" s="68">
        <v>-33000</v>
      </c>
    </row>
    <row r="4" spans="1:17" x14ac:dyDescent="0.45">
      <c r="A4" s="21" t="s">
        <v>6</v>
      </c>
      <c r="B4" s="135">
        <v>-211.19999999999996</v>
      </c>
      <c r="C4" s="136"/>
      <c r="E4" s="29" t="s">
        <v>64</v>
      </c>
      <c r="F4" s="26" t="s">
        <v>20</v>
      </c>
      <c r="G4" s="14">
        <v>35</v>
      </c>
      <c r="H4" s="92">
        <f>IF(B$19=0,0,G4/B$19)</f>
        <v>0.47945205479452052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-1728.5714285714287</v>
      </c>
      <c r="P4" s="81">
        <v>35</v>
      </c>
      <c r="Q4" s="68">
        <v>-60500</v>
      </c>
    </row>
    <row r="5" spans="1:17" x14ac:dyDescent="0.45">
      <c r="A5" s="21" t="s">
        <v>7</v>
      </c>
      <c r="B5" s="123">
        <f>IF(B$2=0,0,B$4/B$2)</f>
        <v>-5.8666666666666654</v>
      </c>
      <c r="C5" s="124"/>
      <c r="E5" s="29" t="s">
        <v>160</v>
      </c>
      <c r="F5" s="26" t="s">
        <v>161</v>
      </c>
      <c r="G5" s="14">
        <v>32</v>
      </c>
      <c r="H5" s="92">
        <f>IF(B$19=0,0,G5/B$19)</f>
        <v>0.43835616438356162</v>
      </c>
      <c r="I5" s="60">
        <v>5</v>
      </c>
      <c r="K5" s="7">
        <v>3</v>
      </c>
      <c r="L5" s="65">
        <v>-48.5</v>
      </c>
      <c r="N5" s="78" t="s">
        <v>131</v>
      </c>
      <c r="O5" s="84">
        <f t="shared" si="0"/>
        <v>-1115.625</v>
      </c>
      <c r="P5" s="81">
        <v>32</v>
      </c>
      <c r="Q5" s="68">
        <v>-35700</v>
      </c>
    </row>
    <row r="6" spans="1:17" x14ac:dyDescent="0.45">
      <c r="A6" s="21" t="s">
        <v>1</v>
      </c>
      <c r="B6" s="137">
        <f>IF(B$2=0,0,(B$7*1+B$8*2+B$9*3)/B$2)</f>
        <v>2.0277777777777777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0.27397260273972601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-2696.2962962962961</v>
      </c>
      <c r="P6" s="81">
        <v>27</v>
      </c>
      <c r="Q6" s="68">
        <v>-72800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0.27777777777777779</v>
      </c>
      <c r="E7" s="29" t="s">
        <v>67</v>
      </c>
      <c r="F7" s="26" t="s">
        <v>23</v>
      </c>
      <c r="G7" s="14">
        <v>19</v>
      </c>
      <c r="H7" s="92">
        <f>IF(B$19=0,0,G7/B$19)</f>
        <v>0.26027397260273971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-190.47619047619048</v>
      </c>
      <c r="P7" s="82">
        <v>21</v>
      </c>
      <c r="Q7" s="69">
        <v>-4000</v>
      </c>
    </row>
    <row r="8" spans="1:17" x14ac:dyDescent="0.45">
      <c r="A8" s="21" t="s">
        <v>3</v>
      </c>
      <c r="B8" s="14">
        <v>15</v>
      </c>
      <c r="C8" s="8">
        <f t="shared" si="1"/>
        <v>0.41666666666666669</v>
      </c>
      <c r="E8" s="29" t="s">
        <v>89</v>
      </c>
      <c r="F8" s="26" t="s">
        <v>44</v>
      </c>
      <c r="G8" s="14">
        <v>9</v>
      </c>
      <c r="H8" s="92">
        <f>IF(B$19=0,0,G8/B$19)</f>
        <v>0.12328767123287671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0.30555555555555558</v>
      </c>
      <c r="E9" s="29" t="s">
        <v>69</v>
      </c>
      <c r="F9" s="26" t="s">
        <v>24</v>
      </c>
      <c r="G9" s="14">
        <v>8</v>
      </c>
      <c r="H9" s="92">
        <f>IF(B$19=0,0,G9/B$19)</f>
        <v>0.1095890410958904</v>
      </c>
      <c r="I9" s="60">
        <v>7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8.2191780821917804E-2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-19.75</v>
      </c>
      <c r="P10" s="80">
        <v>10</v>
      </c>
      <c r="Q10" s="71">
        <v>-197.5</v>
      </c>
    </row>
    <row r="11" spans="1:17" x14ac:dyDescent="0.45">
      <c r="A11" s="22" t="s">
        <v>186</v>
      </c>
      <c r="B11" s="113">
        <f>IF(B8=0,0,C11/B8)</f>
        <v>-7.26</v>
      </c>
      <c r="C11" s="114">
        <v>-108.89999999999999</v>
      </c>
      <c r="E11" s="29" t="s">
        <v>71</v>
      </c>
      <c r="F11" s="26" t="s">
        <v>26</v>
      </c>
      <c r="G11" s="14">
        <v>6</v>
      </c>
      <c r="H11" s="92">
        <f>IF(B$19=0,0,G11/B$19)</f>
        <v>8.2191780821917804E-2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-7.6916666666666673</v>
      </c>
      <c r="P11" s="81">
        <v>12</v>
      </c>
      <c r="Q11" s="72">
        <v>-92.300000000000011</v>
      </c>
    </row>
    <row r="12" spans="1:17" x14ac:dyDescent="0.45">
      <c r="A12" s="22" t="s">
        <v>187</v>
      </c>
      <c r="B12" s="113">
        <f>IF(B9=0,0,C12/B9)</f>
        <v>-40.272727272727273</v>
      </c>
      <c r="C12" s="114">
        <v>-443</v>
      </c>
      <c r="E12" s="29" t="s">
        <v>70</v>
      </c>
      <c r="F12" s="26" t="s">
        <v>25</v>
      </c>
      <c r="G12" s="14">
        <v>4</v>
      </c>
      <c r="H12" s="92">
        <f>IF(B$19=0,0,G12/B$19)</f>
        <v>5.4794520547945202E-2</v>
      </c>
      <c r="I12" s="60">
        <v>6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-4.4875757575757573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5.4794520547945202E-2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0.1111111111111111</v>
      </c>
      <c r="E14" s="29" t="s">
        <v>83</v>
      </c>
      <c r="F14" s="26" t="s">
        <v>38</v>
      </c>
      <c r="G14" s="14">
        <v>4</v>
      </c>
      <c r="H14" s="92">
        <f>IF(B$19=0,0,G14/B$19)</f>
        <v>5.4794520547945202E-2</v>
      </c>
      <c r="I14" s="60">
        <v>5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71</v>
      </c>
      <c r="C15" s="12">
        <f>IF(B$3=0,0,B15/B$3)</f>
        <v>0.2563176895306859</v>
      </c>
      <c r="E15" s="29" t="s">
        <v>78</v>
      </c>
      <c r="F15" s="26" t="s">
        <v>33</v>
      </c>
      <c r="G15" s="14">
        <v>3</v>
      </c>
      <c r="H15" s="92">
        <f>IF(B$19=0,0,G15/B$19)</f>
        <v>4.1095890410958902E-2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64</v>
      </c>
      <c r="C16" s="8">
        <f>IF(B$3=0,0,B16/B$3)</f>
        <v>0.23104693140794225</v>
      </c>
      <c r="E16" s="29" t="s">
        <v>86</v>
      </c>
      <c r="F16" s="26" t="s">
        <v>41</v>
      </c>
      <c r="G16" s="14">
        <v>2</v>
      </c>
      <c r="H16" s="92">
        <f>IF(B$19=0,0,G16/B$19)</f>
        <v>2.7397260273972601E-2</v>
      </c>
      <c r="I16" s="60">
        <v>7</v>
      </c>
      <c r="K16" s="7">
        <v>14</v>
      </c>
      <c r="L16" s="65">
        <v>-149.39999999999998</v>
      </c>
      <c r="N16" s="78" t="s">
        <v>193</v>
      </c>
      <c r="O16" s="87">
        <f>IF(P16=0,0,Q16/P16)</f>
        <v>10.600000000000003</v>
      </c>
      <c r="P16" s="81">
        <v>12</v>
      </c>
      <c r="Q16" s="72">
        <v>127.20000000000005</v>
      </c>
    </row>
    <row r="17" spans="1:17" x14ac:dyDescent="0.45">
      <c r="A17" s="20" t="s">
        <v>123</v>
      </c>
      <c r="B17" s="13">
        <f>B23</f>
        <v>38</v>
      </c>
      <c r="C17" s="6">
        <f>IF(B$15=0,0,B17/B$15)</f>
        <v>0.53521126760563376</v>
      </c>
      <c r="E17" s="29" t="s">
        <v>81</v>
      </c>
      <c r="F17" s="26" t="s">
        <v>36</v>
      </c>
      <c r="G17" s="14">
        <v>1</v>
      </c>
      <c r="H17" s="92">
        <f>IF(B$19=0,0,G17/B$19)</f>
        <v>1.3698630136986301E-2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>IF(P17=0,0,Q17/P17)</f>
        <v>-2.1999999999999997</v>
      </c>
      <c r="P17" s="81">
        <v>9</v>
      </c>
      <c r="Q17" s="72">
        <v>-19.799999999999997</v>
      </c>
    </row>
    <row r="18" spans="1:17" x14ac:dyDescent="0.45">
      <c r="A18" s="20" t="s">
        <v>124</v>
      </c>
      <c r="B18" s="13">
        <f>B24</f>
        <v>20</v>
      </c>
      <c r="C18" s="6">
        <f>IF(B$16=0,0,B18/B$16)</f>
        <v>0.3125</v>
      </c>
      <c r="E18" s="29" t="s">
        <v>91</v>
      </c>
      <c r="F18" s="26" t="s">
        <v>46</v>
      </c>
      <c r="G18" s="14">
        <v>1</v>
      </c>
      <c r="H18" s="92">
        <f>IF(B$19=0,0,G18/B$19)</f>
        <v>1.3698630136986301E-2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>IF(P18=0,0,Q18/P18)</f>
        <v>-5.7499999999999982</v>
      </c>
      <c r="P18" s="81">
        <v>16</v>
      </c>
      <c r="Q18" s="72">
        <v>-91.999999999999972</v>
      </c>
    </row>
    <row r="19" spans="1:17" x14ac:dyDescent="0.45">
      <c r="A19" s="20" t="s">
        <v>10</v>
      </c>
      <c r="B19" s="13">
        <f>B22+B21</f>
        <v>73</v>
      </c>
      <c r="C19" s="6">
        <f>IF(B$3=0,0,B19/B$3)</f>
        <v>0.26353790613718414</v>
      </c>
      <c r="E19" s="29" t="s">
        <v>92</v>
      </c>
      <c r="F19" s="26" t="s">
        <v>47</v>
      </c>
      <c r="G19" s="14">
        <v>1</v>
      </c>
      <c r="H19" s="92">
        <f>IF(B$19=0,0,G19/B$19)</f>
        <v>1.3698630136986301E-2</v>
      </c>
      <c r="I19" s="60">
        <v>5</v>
      </c>
      <c r="K19" s="7">
        <v>17</v>
      </c>
      <c r="L19" s="65">
        <v>-149.1</v>
      </c>
      <c r="N19" s="78" t="s">
        <v>205</v>
      </c>
      <c r="O19" s="87">
        <f>IF(P19=0,0,Q19/P19)</f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35</v>
      </c>
      <c r="C20" s="8">
        <f>IF(B$3=0,0,B20/B$3)</f>
        <v>0.1263537906137184</v>
      </c>
      <c r="E20" s="29" t="s">
        <v>156</v>
      </c>
      <c r="F20" s="26" t="s">
        <v>157</v>
      </c>
      <c r="G20" s="14">
        <v>1</v>
      </c>
      <c r="H20" s="92">
        <f>IF(B$19=0,0,G20/B$19)</f>
        <v>1.3698630136986301E-2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28</v>
      </c>
      <c r="C21" s="8">
        <f>IF(B$19=0,0,B21/B$19)</f>
        <v>0.38356164383561642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-25.471428571428575</v>
      </c>
      <c r="P21" s="81">
        <v>21</v>
      </c>
      <c r="Q21" s="72">
        <v>-534.90000000000009</v>
      </c>
    </row>
    <row r="22" spans="1:17" x14ac:dyDescent="0.45">
      <c r="A22" s="21" t="s">
        <v>11</v>
      </c>
      <c r="B22" s="14">
        <v>45</v>
      </c>
      <c r="C22" s="8">
        <f>IF(B$19=0,0,B22/B$19)</f>
        <v>0.61643835616438358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38</v>
      </c>
      <c r="C23" s="8">
        <f>IF(B$19=0,0,B23/B$19)</f>
        <v>0.52054794520547942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20</v>
      </c>
      <c r="C24" s="8">
        <f>IF(B$19=0,0,B24/B$19)</f>
        <v>0.27397260273972601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15</v>
      </c>
      <c r="C25" s="8">
        <f>IF(B$19=0,0,B25/B$19)</f>
        <v>0.20547945205479451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7353.4246575342468</v>
      </c>
      <c r="C26" s="10">
        <v>536800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7486.7924528301883</v>
      </c>
      <c r="C27" s="100">
        <v>396800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7000</v>
      </c>
      <c r="C28" s="100">
        <v>140000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-7997.1428571428569</v>
      </c>
      <c r="C29" s="100">
        <v>-279900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0.12328767123287671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13</v>
      </c>
      <c r="C37" s="8">
        <f t="shared" si="2"/>
        <v>0.17808219178082191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19</v>
      </c>
      <c r="C38" s="8">
        <f t="shared" si="2"/>
        <v>0.26027397260273971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11</v>
      </c>
      <c r="C39" s="8">
        <f t="shared" si="2"/>
        <v>0.15068493150684931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2"/>
        <v>9.5890410958904104E-2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2"/>
        <v>2.7397260273972601E-2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2"/>
        <v>8.2191780821917804E-2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2</v>
      </c>
      <c r="C43" s="8">
        <f t="shared" si="2"/>
        <v>2.7397260273972601E-2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1.3698630136986301E-2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1.3698630136986301E-2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1.3698630136986301E-2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1.3698630136986301E-2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</v>
      </c>
      <c r="C2" s="132"/>
      <c r="E2" s="28" t="s">
        <v>72</v>
      </c>
      <c r="F2" s="25" t="s">
        <v>27</v>
      </c>
      <c r="G2" s="13">
        <v>37</v>
      </c>
      <c r="H2" s="91">
        <f>IF(B$19=0,0,G2/B$19)</f>
        <v>0.72549019607843135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-477.27272727272725</v>
      </c>
      <c r="P2" s="80">
        <v>22</v>
      </c>
      <c r="Q2" s="67">
        <v>-10500</v>
      </c>
    </row>
    <row r="3" spans="1:17" x14ac:dyDescent="0.45">
      <c r="A3" s="21" t="s">
        <v>8</v>
      </c>
      <c r="B3" s="133">
        <v>157</v>
      </c>
      <c r="C3" s="134"/>
      <c r="E3" s="29" t="s">
        <v>66</v>
      </c>
      <c r="F3" s="26" t="s">
        <v>22</v>
      </c>
      <c r="G3" s="14">
        <v>34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-1314.2857142857142</v>
      </c>
      <c r="P3" s="81">
        <v>21</v>
      </c>
      <c r="Q3" s="68">
        <v>-27600</v>
      </c>
    </row>
    <row r="4" spans="1:17" x14ac:dyDescent="0.45">
      <c r="A4" s="21" t="s">
        <v>6</v>
      </c>
      <c r="B4" s="135">
        <v>90.5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0.27450980392156865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2544.4444444444443</v>
      </c>
      <c r="P4" s="81">
        <v>18</v>
      </c>
      <c r="Q4" s="68">
        <v>45800</v>
      </c>
    </row>
    <row r="5" spans="1:17" x14ac:dyDescent="0.45">
      <c r="A5" s="21" t="s">
        <v>7</v>
      </c>
      <c r="B5" s="123">
        <f>IF(B$2=0,0,B$4/B$2)</f>
        <v>4.1136363636363633</v>
      </c>
      <c r="C5" s="124"/>
      <c r="E5" s="29" t="s">
        <v>68</v>
      </c>
      <c r="F5" s="26" t="s">
        <v>12</v>
      </c>
      <c r="G5" s="14">
        <v>13</v>
      </c>
      <c r="H5" s="92">
        <f>IF(B$19=0,0,G5/B$19)</f>
        <v>0.25490196078431371</v>
      </c>
      <c r="I5" s="60">
        <v>9</v>
      </c>
      <c r="K5" s="7">
        <v>3</v>
      </c>
      <c r="L5" s="65">
        <v>159</v>
      </c>
      <c r="N5" s="78" t="s">
        <v>131</v>
      </c>
      <c r="O5" s="84">
        <f t="shared" si="0"/>
        <v>373.33333333333331</v>
      </c>
      <c r="P5" s="81">
        <v>15</v>
      </c>
      <c r="Q5" s="68">
        <v>5600</v>
      </c>
    </row>
    <row r="6" spans="1:17" x14ac:dyDescent="0.45">
      <c r="A6" s="21" t="s">
        <v>1</v>
      </c>
      <c r="B6" s="137">
        <f>IF(B$2=0,0,(B$7*1+B$8*2+B$9*3)/B$2)</f>
        <v>1.9545454545454546</v>
      </c>
      <c r="C6" s="138"/>
      <c r="E6" s="29" t="s">
        <v>67</v>
      </c>
      <c r="F6" s="26" t="s">
        <v>23</v>
      </c>
      <c r="G6" s="14">
        <v>11</v>
      </c>
      <c r="H6" s="92">
        <f>IF(B$19=0,0,G6/B$19)</f>
        <v>0.21568627450980393</v>
      </c>
      <c r="I6" s="60">
        <v>8</v>
      </c>
      <c r="K6" s="7">
        <v>4</v>
      </c>
      <c r="L6" s="65">
        <v>112.4</v>
      </c>
      <c r="N6" s="78" t="s">
        <v>132</v>
      </c>
      <c r="O6" s="84">
        <f t="shared" si="0"/>
        <v>4945.454545454545</v>
      </c>
      <c r="P6" s="81">
        <v>11</v>
      </c>
      <c r="Q6" s="68">
        <v>54400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0.40909090909090912</v>
      </c>
      <c r="E7" s="29" t="s">
        <v>160</v>
      </c>
      <c r="F7" s="26" t="s">
        <v>161</v>
      </c>
      <c r="G7" s="14">
        <v>11</v>
      </c>
      <c r="H7" s="92">
        <f>IF(B$19=0,0,G7/B$19)</f>
        <v>0.21568627450980393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-1188.8888888888889</v>
      </c>
      <c r="P7" s="82">
        <v>9</v>
      </c>
      <c r="Q7" s="69">
        <v>-10700</v>
      </c>
    </row>
    <row r="8" spans="1:17" x14ac:dyDescent="0.45">
      <c r="A8" s="21" t="s">
        <v>3</v>
      </c>
      <c r="B8" s="14">
        <v>5</v>
      </c>
      <c r="C8" s="8">
        <f t="shared" si="1"/>
        <v>0.22727272727272727</v>
      </c>
      <c r="E8" s="29" t="s">
        <v>69</v>
      </c>
      <c r="F8" s="26" t="s">
        <v>24</v>
      </c>
      <c r="G8" s="14">
        <v>7</v>
      </c>
      <c r="H8" s="92">
        <f>IF(B$19=0,0,G8/B$19)</f>
        <v>0.13725490196078433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0.36363636363636365</v>
      </c>
      <c r="E9" s="29" t="s">
        <v>83</v>
      </c>
      <c r="F9" s="26" t="s">
        <v>38</v>
      </c>
      <c r="G9" s="14">
        <v>7</v>
      </c>
      <c r="H9" s="92">
        <f>IF(B$19=0,0,G9/B$19)</f>
        <v>0.13725490196078433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>IF(B$19=0,0,G10/B$19)</f>
        <v>0.11764705882352941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2.3599999999999994</v>
      </c>
      <c r="C11" s="114">
        <v>11.799999999999997</v>
      </c>
      <c r="E11" s="29" t="s">
        <v>65</v>
      </c>
      <c r="F11" s="26" t="s">
        <v>21</v>
      </c>
      <c r="G11" s="14">
        <v>4</v>
      </c>
      <c r="H11" s="92">
        <f>IF(B$19=0,0,G11/B$19)</f>
        <v>7.8431372549019607E-2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5.8823529411764705E-2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20.583333333333336</v>
      </c>
      <c r="P12" s="82">
        <v>6</v>
      </c>
      <c r="Q12" s="73">
        <v>123.50000000000001</v>
      </c>
    </row>
    <row r="13" spans="1:17" x14ac:dyDescent="0.45">
      <c r="A13" s="22" t="s">
        <v>188</v>
      </c>
      <c r="B13" s="123">
        <f>AVERAGE(B10:B12)</f>
        <v>2.2811111111111111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5.8823529411764705E-2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0.22727272727272727</v>
      </c>
      <c r="E14" s="29" t="s">
        <v>71</v>
      </c>
      <c r="F14" s="26" t="s">
        <v>26</v>
      </c>
      <c r="G14" s="14">
        <v>2</v>
      </c>
      <c r="H14" s="92">
        <f>IF(B$19=0,0,G14/B$19)</f>
        <v>3.9215686274509803E-2</v>
      </c>
      <c r="I14" s="60">
        <v>8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0.1464968152866242</v>
      </c>
      <c r="E15" s="29" t="s">
        <v>85</v>
      </c>
      <c r="F15" s="26" t="s">
        <v>40</v>
      </c>
      <c r="G15" s="14">
        <v>2</v>
      </c>
      <c r="H15" s="92">
        <f>IF(B$19=0,0,G15/B$19)</f>
        <v>3.9215686274509803E-2</v>
      </c>
      <c r="I15" s="60">
        <v>1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44.449999999999996</v>
      </c>
      <c r="P15" s="80">
        <v>8</v>
      </c>
      <c r="Q15" s="71">
        <v>355.59999999999997</v>
      </c>
    </row>
    <row r="16" spans="1:17" x14ac:dyDescent="0.45">
      <c r="A16" s="21" t="s">
        <v>118</v>
      </c>
      <c r="B16" s="14">
        <v>52</v>
      </c>
      <c r="C16" s="8">
        <f>IF(B$3=0,0,B16/B$3)</f>
        <v>0.33121019108280253</v>
      </c>
      <c r="E16" s="29" t="s">
        <v>75</v>
      </c>
      <c r="F16" s="26" t="s">
        <v>30</v>
      </c>
      <c r="G16" s="14">
        <v>1</v>
      </c>
      <c r="H16" s="92">
        <f>IF(B$19=0,0,G16/B$19)</f>
        <v>1.9607843137254902E-2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32.566666666666663</v>
      </c>
      <c r="P16" s="81">
        <v>6</v>
      </c>
      <c r="Q16" s="72">
        <v>195.39999999999998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0.60869565217391308</v>
      </c>
      <c r="E17" s="29" t="s">
        <v>102</v>
      </c>
      <c r="F17" s="26" t="s">
        <v>57</v>
      </c>
      <c r="G17" s="14">
        <v>1</v>
      </c>
      <c r="H17" s="92">
        <f>IF(B$19=0,0,G17/B$19)</f>
        <v>1.9607843137254902E-2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0.44230769230769229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8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0.32484076433121017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192</v>
      </c>
      <c r="O19" s="87">
        <f t="shared" si="2"/>
        <v>-10.600000000000003</v>
      </c>
      <c r="P19" s="81">
        <v>12</v>
      </c>
      <c r="Q19" s="72">
        <v>-127.20000000000005</v>
      </c>
    </row>
    <row r="20" spans="1:17" x14ac:dyDescent="0.45">
      <c r="A20" s="21" t="s">
        <v>13</v>
      </c>
      <c r="B20" s="14">
        <v>21</v>
      </c>
      <c r="C20" s="8">
        <f>IF(B$3=0,0,B20/B$3)</f>
        <v>0.13375796178343949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45.399999999999991</v>
      </c>
      <c r="N20" s="78" t="s">
        <v>126</v>
      </c>
      <c r="O20" s="87">
        <f t="shared" si="2"/>
        <v>-21.236363636363631</v>
      </c>
      <c r="P20" s="81">
        <v>11</v>
      </c>
      <c r="Q20" s="72">
        <v>-233.59999999999994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0.49019607843137253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26</v>
      </c>
      <c r="C22" s="8">
        <f>IF(B$19=0,0,B22/B$19)</f>
        <v>0.50980392156862742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14</v>
      </c>
      <c r="C23" s="8">
        <f>IF(B$19=0,0,B23/B$19)</f>
        <v>0.27450980392156865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23</v>
      </c>
      <c r="C24" s="8">
        <f>IF(B$19=0,0,B24/B$19)</f>
        <v>0.45098039215686275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14</v>
      </c>
      <c r="C25" s="8">
        <f>IF(B$19=0,0,B25/B$19)</f>
        <v>0.27450980392156865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8037.2549019607841</v>
      </c>
      <c r="C26" s="10">
        <v>409900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8732.1428571428569</v>
      </c>
      <c r="C27" s="100">
        <v>244500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7191.304347826087</v>
      </c>
      <c r="C28" s="100">
        <v>165400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-7785.7142857142853</v>
      </c>
      <c r="C29" s="100">
        <v>-163500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13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0.11764705882352941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12</v>
      </c>
      <c r="C37" s="8">
        <f t="shared" si="3"/>
        <v>0.23529411764705882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9</v>
      </c>
      <c r="C38" s="8">
        <f t="shared" si="3"/>
        <v>0.17647058823529413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8</v>
      </c>
      <c r="C39" s="8">
        <f t="shared" si="3"/>
        <v>0.15686274509803921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3"/>
        <v>0.17647058823529413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3"/>
        <v>3.9215686274509803E-2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5.8823529411764705E-2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1.9607843137254902E-2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1.9607843137254902E-2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8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1.0769230769230769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4290.909090909091</v>
      </c>
      <c r="P2" s="80">
        <v>11</v>
      </c>
      <c r="Q2" s="67">
        <v>47200</v>
      </c>
    </row>
    <row r="3" spans="1:17" x14ac:dyDescent="0.45">
      <c r="A3" s="21" t="s">
        <v>8</v>
      </c>
      <c r="B3" s="133">
        <v>82</v>
      </c>
      <c r="C3" s="134"/>
      <c r="E3" s="29" t="s">
        <v>72</v>
      </c>
      <c r="F3" s="26" t="s">
        <v>27</v>
      </c>
      <c r="G3" s="14">
        <v>17</v>
      </c>
      <c r="H3" s="92">
        <f>IF(B$19=0,0,G3/B$19)</f>
        <v>0.65384615384615385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-9672.7272727272721</v>
      </c>
      <c r="P3" s="81">
        <v>11</v>
      </c>
      <c r="Q3" s="68">
        <v>-106400</v>
      </c>
    </row>
    <row r="4" spans="1:17" x14ac:dyDescent="0.45">
      <c r="A4" s="21" t="s">
        <v>6</v>
      </c>
      <c r="B4" s="135">
        <v>-121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0.30769230769230771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-2110</v>
      </c>
      <c r="P4" s="81">
        <v>10</v>
      </c>
      <c r="Q4" s="68">
        <v>-21100</v>
      </c>
    </row>
    <row r="5" spans="1:17" x14ac:dyDescent="0.45">
      <c r="A5" s="21" t="s">
        <v>7</v>
      </c>
      <c r="B5" s="123">
        <f>IF(B$2=0,0,B$4/B$2)</f>
        <v>-11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0.30769230769230771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-4312.5</v>
      </c>
      <c r="P5" s="81">
        <v>8</v>
      </c>
      <c r="Q5" s="68">
        <v>-34500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0.26923076923076922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5828.5714285714284</v>
      </c>
      <c r="P6" s="81">
        <v>7</v>
      </c>
      <c r="Q6" s="68">
        <v>40800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0.18181818181818182</v>
      </c>
      <c r="E7" s="29" t="s">
        <v>89</v>
      </c>
      <c r="F7" s="26" t="s">
        <v>44</v>
      </c>
      <c r="G7" s="14">
        <v>6</v>
      </c>
      <c r="H7" s="92">
        <f>IF(B$19=0,0,G7/B$19)</f>
        <v>0.23076923076923078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-1166.6666666666667</v>
      </c>
      <c r="P7" s="82">
        <v>6</v>
      </c>
      <c r="Q7" s="69">
        <v>-7000</v>
      </c>
    </row>
    <row r="8" spans="1:17" x14ac:dyDescent="0.45">
      <c r="A8" s="21" t="s">
        <v>3</v>
      </c>
      <c r="B8" s="14">
        <v>3</v>
      </c>
      <c r="C8" s="8">
        <f t="shared" si="1"/>
        <v>0.27272727272727271</v>
      </c>
      <c r="E8" s="29" t="s">
        <v>70</v>
      </c>
      <c r="F8" s="26" t="s">
        <v>25</v>
      </c>
      <c r="G8" s="14">
        <v>5</v>
      </c>
      <c r="H8" s="92">
        <f>IF(B$19=0,0,G8/B$19)</f>
        <v>0.19230769230769232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0.54545454545454541</v>
      </c>
      <c r="E9" s="29" t="s">
        <v>69</v>
      </c>
      <c r="F9" s="26" t="s">
        <v>24</v>
      </c>
      <c r="G9" s="14">
        <v>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65</v>
      </c>
      <c r="F10" s="26" t="s">
        <v>21</v>
      </c>
      <c r="G10" s="14">
        <v>3</v>
      </c>
      <c r="H10" s="92">
        <f>IF(B$19=0,0,G10/B$19)</f>
        <v>0.11538461538461539</v>
      </c>
      <c r="I10" s="60">
        <v>6</v>
      </c>
      <c r="K10" s="7">
        <v>8</v>
      </c>
      <c r="L10" s="65">
        <v>-128.6</v>
      </c>
      <c r="N10" s="77" t="s">
        <v>152</v>
      </c>
      <c r="O10" s="86">
        <f>IF(P10=0,0,Q10/P10)</f>
        <v>8.3600000000000012</v>
      </c>
      <c r="P10" s="80">
        <v>5</v>
      </c>
      <c r="Q10" s="71">
        <v>41.800000000000004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0.11538461538461539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78</v>
      </c>
      <c r="F12" s="26" t="s">
        <v>33</v>
      </c>
      <c r="G12" s="14">
        <v>3</v>
      </c>
      <c r="H12" s="92">
        <f>IF(B$19=0,0,G12/B$19)</f>
        <v>0.11538461538461539</v>
      </c>
      <c r="I12" s="60">
        <v>1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7.3222222222222202</v>
      </c>
      <c r="C13" s="124"/>
      <c r="E13" s="29" t="s">
        <v>83</v>
      </c>
      <c r="F13" s="26" t="s">
        <v>38</v>
      </c>
      <c r="G13" s="14">
        <v>3</v>
      </c>
      <c r="H13" s="92">
        <f>IF(B$19=0,0,G13/B$19)</f>
        <v>0.11538461538461539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0.27272727272727271</v>
      </c>
      <c r="E14" s="29" t="s">
        <v>71</v>
      </c>
      <c r="F14" s="26" t="s">
        <v>26</v>
      </c>
      <c r="G14" s="14">
        <v>2</v>
      </c>
      <c r="H14" s="92">
        <f>IF(B$19=0,0,G14/B$19)</f>
        <v>7.6923076923076927E-2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0.15853658536585366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27</v>
      </c>
      <c r="C16" s="8">
        <f>IF(B$3=0,0,B16/B$3)</f>
        <v>0.32926829268292684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-24.520000000000003</v>
      </c>
      <c r="P17" s="81">
        <v>10</v>
      </c>
      <c r="Q17" s="72">
        <v>-245.20000000000005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0.25925925925925924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0.31707317073170732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20</v>
      </c>
      <c r="C20" s="8">
        <f>IF(B$3=0,0,B20/B$3)</f>
        <v>0.24390243902439024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0.34615384615384615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17</v>
      </c>
      <c r="C22" s="8">
        <f>IF(B$19=0,0,B22/B$19)</f>
        <v>0.65384615384615385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9</v>
      </c>
      <c r="C23" s="8">
        <f>IF(B$19=0,0,B23/B$19)</f>
        <v>0.34615384615384615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10</v>
      </c>
      <c r="C25" s="8">
        <f>IF(B$19=0,0,B25/B$19)</f>
        <v>0.38461538461538464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9503.8461538461543</v>
      </c>
      <c r="C26" s="10">
        <v>247100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8989.4736842105267</v>
      </c>
      <c r="C27" s="100">
        <v>170800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10900</v>
      </c>
      <c r="C28" s="100">
        <v>76300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-10365</v>
      </c>
      <c r="C29" s="100">
        <v>-207300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0.11538461538461539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0.11538461538461539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0.15384615384615385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0.11538461538461539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7.6923076923076927E-2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7.6923076923076927E-2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6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2020-06-09T14:27:54Z</dcterms:modified>
</cp:coreProperties>
</file>