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4B774A6-EA53-4B0F-B81A-42D7B6F78997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6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7" i="6182" l="1"/>
  <c r="O16" i="6190"/>
  <c r="O16" i="6178"/>
  <c r="O18" i="6186"/>
  <c r="O19" i="6190" l="1"/>
  <c r="O15" i="6178"/>
  <c r="O17" i="6190"/>
  <c r="O18" i="6176"/>
  <c r="O15" i="6184" l="1"/>
  <c r="O17" i="6178"/>
  <c r="O21" i="6180"/>
  <c r="O19" i="6184"/>
  <c r="O20" i="6174"/>
  <c r="O18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6" i="6190"/>
  <c r="C24" i="6190"/>
  <c r="H31" i="6190"/>
  <c r="H20" i="6190"/>
  <c r="H42" i="6190"/>
  <c r="H33" i="6190"/>
  <c r="H3" i="6190"/>
  <c r="H26" i="6190"/>
  <c r="C42" i="6190"/>
  <c r="H10" i="6190"/>
  <c r="C19" i="6190"/>
  <c r="C25" i="6190"/>
  <c r="H36" i="6190"/>
  <c r="H15" i="6190"/>
  <c r="C36" i="6190"/>
  <c r="H48" i="6190"/>
  <c r="C46" i="6190"/>
  <c r="H14" i="6190"/>
  <c r="H27" i="6190"/>
  <c r="H47" i="6190"/>
  <c r="H18" i="6190"/>
  <c r="H24" i="6190"/>
  <c r="C48" i="6190"/>
  <c r="H2" i="6190"/>
  <c r="H43" i="6190"/>
  <c r="H29" i="6190"/>
  <c r="H37" i="6190"/>
  <c r="H13" i="6190"/>
  <c r="H38" i="6190"/>
  <c r="H7" i="6190"/>
  <c r="H19" i="6190"/>
  <c r="H22" i="6190"/>
  <c r="C21" i="6190"/>
  <c r="H30" i="6190"/>
  <c r="H41" i="6190"/>
  <c r="H49" i="6190"/>
  <c r="C38" i="6190"/>
  <c r="H44" i="6190"/>
  <c r="H6" i="6190"/>
  <c r="H11" i="6190"/>
  <c r="B26" i="6190"/>
  <c r="H34" i="6190"/>
  <c r="H39" i="6190"/>
  <c r="C44" i="6190"/>
  <c r="H51" i="6190"/>
  <c r="H17" i="6190"/>
  <c r="H4" i="6190"/>
  <c r="H8" i="6190"/>
  <c r="H21" i="6190"/>
  <c r="H23" i="6190"/>
  <c r="C22" i="6190"/>
  <c r="B27" i="6190"/>
  <c r="H40" i="6190"/>
  <c r="H45" i="6190"/>
  <c r="H5" i="6190"/>
  <c r="C23" i="6190"/>
  <c r="H9" i="6190"/>
  <c r="H35" i="6190"/>
  <c r="C40" i="6190"/>
  <c r="H46" i="6190"/>
  <c r="H52" i="6190"/>
  <c r="C39" i="6190"/>
  <c r="C43" i="6190"/>
  <c r="C47" i="6190"/>
  <c r="H25" i="6190"/>
  <c r="H28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7" i="6176"/>
  <c r="O15" i="6182"/>
  <c r="O18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5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6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7" i="6174"/>
  <c r="O16" i="6180"/>
  <c r="O20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9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4" i="6182"/>
  <c r="H52" i="6182"/>
  <c r="H22" i="6182"/>
  <c r="C21" i="6182"/>
  <c r="H5" i="6182"/>
  <c r="H35" i="6182"/>
  <c r="H2" i="6182"/>
  <c r="H8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3" i="6182"/>
  <c r="H12" i="6182"/>
  <c r="H23" i="6182"/>
  <c r="B26" i="6182"/>
  <c r="H36" i="6182"/>
  <c r="H45" i="6182"/>
  <c r="H15" i="6182"/>
  <c r="H10" i="6182"/>
  <c r="H39" i="6182"/>
  <c r="C46" i="6182"/>
  <c r="H19" i="6182"/>
  <c r="H16" i="6182"/>
  <c r="H9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1" i="6182"/>
  <c r="H17" i="6182"/>
  <c r="C38" i="6182"/>
  <c r="C43" i="6182"/>
  <c r="C48" i="6182"/>
  <c r="H27" i="6176"/>
  <c r="H33" i="6176"/>
  <c r="H43" i="6176"/>
  <c r="H23" i="6176"/>
  <c r="H13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4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2" i="6186"/>
  <c r="H35" i="6186"/>
  <c r="H23" i="6186"/>
  <c r="H38" i="6186"/>
  <c r="H9" i="6186"/>
  <c r="H20" i="6186"/>
  <c r="H8" i="6186"/>
  <c r="C40" i="6186"/>
  <c r="H18" i="6186"/>
  <c r="C23" i="6186"/>
  <c r="H43" i="6186"/>
  <c r="H7" i="6186"/>
  <c r="H16" i="6186"/>
  <c r="H24" i="6186"/>
  <c r="H29" i="6186"/>
  <c r="C22" i="6186"/>
  <c r="B27" i="6186"/>
  <c r="H25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8" i="6186"/>
  <c r="H37" i="6186"/>
  <c r="C43" i="6186"/>
  <c r="C44" i="6186"/>
  <c r="H6" i="6186"/>
  <c r="B26" i="6186"/>
  <c r="H47" i="6186"/>
  <c r="H11" i="6186"/>
  <c r="H14" i="6186"/>
  <c r="H21" i="6186"/>
  <c r="C36" i="6186"/>
  <c r="H26" i="6186"/>
  <c r="H31" i="6186"/>
  <c r="H40" i="6186"/>
  <c r="H48" i="6186"/>
  <c r="H12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19" i="6186"/>
  <c r="C25" i="6186"/>
  <c r="H42" i="6186"/>
  <c r="H46" i="6186"/>
  <c r="H52" i="6186"/>
  <c r="B28" i="6186"/>
  <c r="H27" i="6186"/>
  <c r="H30" i="6186"/>
  <c r="H34" i="6186"/>
  <c r="C37" i="6186"/>
  <c r="C41" i="6186"/>
  <c r="C45" i="6186"/>
  <c r="H51" i="6186"/>
  <c r="H13" i="6186"/>
  <c r="H15" i="6186"/>
  <c r="H10" i="6186"/>
  <c r="H36" i="6186"/>
  <c r="C38" i="6186"/>
  <c r="C42" i="6186"/>
  <c r="C46" i="6186"/>
  <c r="H33" i="6174"/>
  <c r="H43" i="6184"/>
  <c r="H15" i="6184"/>
  <c r="H35" i="6184"/>
  <c r="C44" i="6184"/>
  <c r="H4" i="6184"/>
  <c r="H11" i="6184"/>
  <c r="H22" i="6184"/>
  <c r="C22" i="6184"/>
  <c r="H46" i="6184"/>
  <c r="H10" i="6184"/>
  <c r="H7" i="6184"/>
  <c r="C23" i="6184"/>
  <c r="C36" i="6184"/>
  <c r="H48" i="6184"/>
  <c r="H38" i="6184"/>
  <c r="H3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3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2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4" i="6180"/>
  <c r="H19" i="6180"/>
  <c r="C22" i="6180"/>
  <c r="H42" i="6180"/>
  <c r="H2" i="6180"/>
  <c r="H27" i="6180"/>
  <c r="H5" i="6180"/>
  <c r="C25" i="6180"/>
  <c r="C42" i="6180"/>
  <c r="H46" i="6180"/>
  <c r="H17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6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8" i="6180"/>
  <c r="C23" i="6180"/>
  <c r="B27" i="6180"/>
  <c r="H35" i="6180"/>
  <c r="H39" i="6180"/>
  <c r="H43" i="6180"/>
  <c r="H47" i="6180"/>
  <c r="C18" i="6174"/>
  <c r="H7" i="6174"/>
  <c r="C36" i="6174"/>
  <c r="H29" i="6174"/>
  <c r="H30" i="6174"/>
  <c r="H43" i="6174"/>
  <c r="H32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2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4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1" i="6174"/>
  <c r="H15" i="6174"/>
  <c r="H17" i="6174"/>
  <c r="H37" i="6174"/>
  <c r="C44" i="6174"/>
  <c r="H28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4" i="6174"/>
  <c r="H14" i="6174"/>
  <c r="H36" i="6174"/>
  <c r="H38" i="6174"/>
  <c r="C39" i="6174"/>
  <c r="C43" i="6174"/>
  <c r="C47" i="6174"/>
  <c r="H27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<sst xmlns="http://schemas.openxmlformats.org/spreadsheetml/2006/main" count="2661" uniqueCount="222">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</sst>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-9.5238095238095237</c:v>
                </c:pt>
                <c:pt idx="1">
                  <c:v>-9.6618357487922708</c:v>
                </c:pt>
                <c:pt idx="2">
                  <c:v>0</c:v>
                </c:pt>
                <c:pt idx="3">
                  <c:v>17.857142857142858</c:v>
                </c:pt>
                <c:pt idx="4">
                  <c:v>-61.224489795918366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38</c:v>
                </c:pt>
                <c:pt idx="1">
                  <c:v>86</c:v>
                </c:pt>
                <c:pt idx="2">
                  <c:v>76</c:v>
                </c:pt>
                <c:pt idx="3">
                  <c:v>88</c:v>
                </c:pt>
                <c:pt idx="4">
                  <c:v>73</c:v>
                </c:pt>
                <c:pt idx="5">
                  <c:v>43</c:v>
                </c:pt>
                <c:pt idx="6">
                  <c:v>30</c:v>
                </c:pt>
                <c:pt idx="7">
                  <c:v>10</c:v>
                </c:pt>
                <c:pt idx="8">
                  <c:v>9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れんたろう!$L$2:$L$42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-2825.6410256410259</c:v>
                </c:pt>
                <c:pt idx="1">
                  <c:v>-1558.9743589743589</c:v>
                </c:pt>
                <c:pt idx="2">
                  <c:v>-36.111111111111114</c:v>
                </c:pt>
                <c:pt idx="3">
                  <c:v>-2212.5</c:v>
                </c:pt>
                <c:pt idx="4">
                  <c:v>1250</c:v>
                </c:pt>
                <c:pt idx="5">
                  <c:v>3239.1304347826085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5</c:v>
                </c:pt>
                <c:pt idx="3">
                  <c:v>22</c:v>
                </c:pt>
                <c:pt idx="4">
                  <c:v>16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だいち!$L$2:$L$54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-228.84615384615384</c:v>
                </c:pt>
                <c:pt idx="1">
                  <c:v>4605.8823529411766</c:v>
                </c:pt>
                <c:pt idx="2">
                  <c:v>3972.9166666666665</c:v>
                </c:pt>
                <c:pt idx="3">
                  <c:v>2800</c:v>
                </c:pt>
                <c:pt idx="4">
                  <c:v>-1767.5675675675675</c:v>
                </c:pt>
                <c:pt idx="5">
                  <c:v>1416.6666666666667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28</c:v>
                </c:pt>
                <c:pt idx="4">
                  <c:v>27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-4610</c:v>
                </c:pt>
                <c:pt idx="1">
                  <c:v>757.89473684210532</c:v>
                </c:pt>
                <c:pt idx="2">
                  <c:v>-4517.6470588235297</c:v>
                </c:pt>
                <c:pt idx="3">
                  <c:v>2546.1538461538462</c:v>
                </c:pt>
                <c:pt idx="4">
                  <c:v>1750</c:v>
                </c:pt>
                <c:pt idx="5">
                  <c:v>-4855.5555555555557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1052.7777777777778</c:v>
                </c:pt>
                <c:pt idx="1">
                  <c:v>-916.66666666666663</c:v>
                </c:pt>
                <c:pt idx="2">
                  <c:v>-1572.2222222222222</c:v>
                </c:pt>
                <c:pt idx="3">
                  <c:v>-1081.8181818181818</c:v>
                </c:pt>
                <c:pt idx="4">
                  <c:v>-2903.5714285714284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21</c:v>
                </c:pt>
                <c:pt idx="3">
                  <c:v>12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-558.33333333333337</c:v>
                </c:pt>
                <c:pt idx="1">
                  <c:v>-1582.608695652174</c:v>
                </c:pt>
                <c:pt idx="2">
                  <c:v>2290</c:v>
                </c:pt>
                <c:pt idx="3">
                  <c:v>711.76470588235293</c:v>
                </c:pt>
                <c:pt idx="4">
                  <c:v>4569.2307692307695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11</c:v>
                </c:pt>
                <c:pt idx="3">
                  <c:v>9</c:v>
                </c:pt>
                <c:pt idx="4">
                  <c:v>9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4850</c:v>
                </c:pt>
                <c:pt idx="1">
                  <c:v>-7700</c:v>
                </c:pt>
                <c:pt idx="2">
                  <c:v>600</c:v>
                </c:pt>
                <c:pt idx="3">
                  <c:v>-2450</c:v>
                </c:pt>
                <c:pt idx="4">
                  <c:v>3755.5555555555557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ただ2!$C$3:$C$17</c:f>
              <c:numCache>
                <c:formatCode>\+0.0;\-0.0;\±0</c:formatCode>
                <c:ptCount val="15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335881388545071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ただ2!$F$3:$F$17</c:f>
              <c:numCache>
                <c:formatCode>0.0%</c:formatCode>
                <c:ptCount val="15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ただ2!$G$3:$G$17</c:f>
              <c:numCache>
                <c:formatCode>0.0%</c:formatCode>
                <c:ptCount val="15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74292742927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ただ2!$H$3:$H$17</c:f>
              <c:numCache>
                <c:formatCode>0.0%</c:formatCode>
                <c:ptCount val="15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901599015990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ただ2!$I$3:$I$17</c:f>
              <c:numCache>
                <c:formatCode>0</c:formatCode>
                <c:ptCount val="15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51.6806722689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ただ2!$J$3:$J$17</c:f>
              <c:numCache>
                <c:formatCode>0</c:formatCode>
                <c:ptCount val="15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91.5384615384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615023474178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ただ2!$L$3:$L$17</c:f>
              <c:numCache>
                <c:formatCode>0.0%</c:formatCode>
                <c:ptCount val="15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152521525215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ただ2!$M$3:$M$17</c:f>
              <c:numCache>
                <c:formatCode>0.0%</c:formatCode>
                <c:ptCount val="15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182041820418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ただ2!$N$3:$N$17</c:f>
              <c:numCache>
                <c:formatCode>0.0%</c:formatCode>
                <c:ptCount val="15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78048780487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ただ2!$O$3:$O$17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66265060240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ただ2!$P$3:$P$17</c:f>
              <c:numCache>
                <c:formatCode>0.0%</c:formatCode>
                <c:ptCount val="15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680672268907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7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4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213</v>
      </c>
    </row>
    <row r="2" spans="1:2" x14ac:dyDescent="0.45">
      <c r="A2" t="s">
        <v>164</v>
      </c>
      <c r="B2">
        <v>40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52</v>
      </c>
    </row>
    <row r="5" spans="1:2" x14ac:dyDescent="0.45">
      <c r="A5" t="s">
        <v>194</v>
      </c>
      <c r="B5">
        <v>20</v>
      </c>
    </row>
    <row r="6" spans="1:2" x14ac:dyDescent="0.45">
      <c r="A6" t="s">
        <v>192</v>
      </c>
      <c r="B6">
        <v>37</v>
      </c>
    </row>
    <row r="7" spans="1:2" x14ac:dyDescent="0.45">
      <c r="A7" t="s">
        <v>193</v>
      </c>
      <c r="B7">
        <v>24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14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0.56939375917254942</v>
      </c>
      <c r="C2" s="142"/>
      <c r="D2" s="145"/>
      <c r="E2" s="146"/>
      <c r="F2" s="145"/>
      <c r="G2" s="146"/>
      <c r="H2" s="141">
        <v>0.1295451367274208</v>
      </c>
      <c r="I2" s="142"/>
      <c r="J2" s="141">
        <v>0.82375525792950555</v>
      </c>
      <c r="K2" s="142"/>
      <c r="L2" s="141">
        <v>0.70899783786174686</v>
      </c>
      <c r="M2" s="142"/>
      <c r="N2" s="141">
        <v>0.80330508754460483</v>
      </c>
      <c r="O2" s="142"/>
      <c r="P2" s="141">
        <v>0.64010525652224726</v>
      </c>
      <c r="Q2" s="142"/>
      <c r="R2" s="141">
        <v>0.34316019993001384</v>
      </c>
      <c r="S2" s="142"/>
      <c r="T2" s="141">
        <v>0.36014765229740187</v>
      </c>
      <c r="U2" s="142"/>
      <c r="V2" s="141">
        <v>-8.8725833201842269E-2</v>
      </c>
      <c r="W2" s="142"/>
      <c r="X2" s="141">
        <v>0.68856584736264692</v>
      </c>
      <c r="Y2" s="142"/>
      <c r="Z2" s="141">
        <v>-9.3052186069363788E-2</v>
      </c>
      <c r="AA2" s="142"/>
      <c r="AB2" s="141">
        <v>-8.9870516842818507E-2</v>
      </c>
      <c r="AC2" s="142"/>
      <c r="AD2" s="141">
        <v>0.55126290142927092</v>
      </c>
      <c r="AE2" s="142"/>
      <c r="AF2" s="141">
        <v>0.57784537353750343</v>
      </c>
      <c r="AG2" s="142"/>
      <c r="AH2" s="141">
        <v>0.63895654565346638</v>
      </c>
      <c r="AI2" s="142"/>
      <c r="AJ2" s="141">
        <v>3.8827882826986015E-2</v>
      </c>
      <c r="AK2" s="142"/>
    </row>
    <row r="3" spans="1:37" x14ac:dyDescent="0.45">
      <c r="A3" s="40">
        <v>1</v>
      </c>
      <c r="B3" s="43" t="s">
        <v>139</v>
      </c>
      <c r="C3" s="117">
        <v>71</v>
      </c>
      <c r="D3" s="41" t="s">
        <v>126</v>
      </c>
      <c r="E3" s="42">
        <v>644.20000000000005</v>
      </c>
      <c r="F3" s="43" t="s">
        <v>126</v>
      </c>
      <c r="G3" s="62">
        <v>12.38846153846154</v>
      </c>
      <c r="H3" s="43" t="s">
        <v>196</v>
      </c>
      <c r="I3" s="62">
        <v>7.6166666666666663</v>
      </c>
      <c r="J3" s="43" t="s">
        <v>126</v>
      </c>
      <c r="K3" s="44">
        <v>1.75</v>
      </c>
      <c r="L3" s="43" t="s">
        <v>126</v>
      </c>
      <c r="M3" s="45">
        <v>0.44230769230769229</v>
      </c>
      <c r="N3" s="43" t="s">
        <v>196</v>
      </c>
      <c r="O3" s="45">
        <v>0.125</v>
      </c>
      <c r="P3" s="43" t="s">
        <v>205</v>
      </c>
      <c r="Q3" s="46">
        <v>0.35238095238095241</v>
      </c>
      <c r="R3" s="43" t="s">
        <v>196</v>
      </c>
      <c r="S3" s="46">
        <v>7.6923076923076927E-2</v>
      </c>
      <c r="T3" s="43" t="s">
        <v>164</v>
      </c>
      <c r="U3" s="47">
        <v>10486.41975308642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0.33526011560693642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52</v>
      </c>
      <c r="D4" s="49" t="s">
        <v>193</v>
      </c>
      <c r="E4" s="50">
        <v>92.2</v>
      </c>
      <c r="F4" s="51" t="s">
        <v>193</v>
      </c>
      <c r="G4" s="63">
        <v>3.8416666666666668</v>
      </c>
      <c r="H4" s="51" t="s">
        <v>194</v>
      </c>
      <c r="I4" s="63">
        <v>6.6947619047619042</v>
      </c>
      <c r="J4" s="51" t="s">
        <v>196</v>
      </c>
      <c r="K4" s="52">
        <v>1.875</v>
      </c>
      <c r="L4" s="51" t="s">
        <v>193</v>
      </c>
      <c r="M4" s="53">
        <v>0.375</v>
      </c>
      <c r="N4" s="51" t="s">
        <v>126</v>
      </c>
      <c r="O4" s="53">
        <v>0.19230769230769232</v>
      </c>
      <c r="P4" s="51" t="s">
        <v>126</v>
      </c>
      <c r="Q4" s="54">
        <v>0.33501259445843828</v>
      </c>
      <c r="R4" s="51" t="s">
        <v>192</v>
      </c>
      <c r="S4" s="54">
        <v>0.12195121951219512</v>
      </c>
      <c r="T4" s="51" t="s">
        <v>126</v>
      </c>
      <c r="U4" s="55">
        <v>10085.714285714286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205</v>
      </c>
      <c r="AC4" s="54">
        <v>0.32380952380952382</v>
      </c>
      <c r="AD4" s="51" t="s">
        <v>205</v>
      </c>
      <c r="AE4" s="54">
        <v>0.68421052631578949</v>
      </c>
      <c r="AF4" s="51" t="s">
        <v>126</v>
      </c>
      <c r="AG4" s="54">
        <v>0.51515151515151514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40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193</v>
      </c>
      <c r="I5" s="63">
        <v>2.1373015873015881</v>
      </c>
      <c r="J5" s="51" t="s">
        <v>193</v>
      </c>
      <c r="K5" s="52">
        <v>1.9583333333333333</v>
      </c>
      <c r="L5" s="51" t="s">
        <v>205</v>
      </c>
      <c r="M5" s="53">
        <v>0.35714285714285715</v>
      </c>
      <c r="N5" s="51" t="s">
        <v>192</v>
      </c>
      <c r="O5" s="53">
        <v>0.29729729729729731</v>
      </c>
      <c r="P5" s="51" t="s">
        <v>193</v>
      </c>
      <c r="Q5" s="54">
        <v>0.32369942196531792</v>
      </c>
      <c r="R5" s="51" t="s">
        <v>193</v>
      </c>
      <c r="S5" s="54">
        <v>0.13294797687861271</v>
      </c>
      <c r="T5" s="51" t="s">
        <v>205</v>
      </c>
      <c r="U5" s="55">
        <v>9108.1081081081084</v>
      </c>
      <c r="V5" s="51" t="s">
        <v>193</v>
      </c>
      <c r="W5" s="55">
        <v>-7447.826086956522</v>
      </c>
      <c r="X5" s="51" t="s">
        <v>126</v>
      </c>
      <c r="Y5" s="53">
        <v>5.7692307692307696E-2</v>
      </c>
      <c r="Z5" s="51" t="s">
        <v>189</v>
      </c>
      <c r="AA5" s="54">
        <v>0.28378378378378377</v>
      </c>
      <c r="AB5" s="51" t="s">
        <v>192</v>
      </c>
      <c r="AC5" s="54">
        <v>0.23344947735191637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37</v>
      </c>
      <c r="D6" s="49" t="s">
        <v>139</v>
      </c>
      <c r="E6" s="50">
        <v>-7.1054273576010019E-15</v>
      </c>
      <c r="F6" s="51" t="s">
        <v>139</v>
      </c>
      <c r="G6" s="63">
        <v>-3.3358813885450714E-17</v>
      </c>
      <c r="H6" s="51" t="s">
        <v>213</v>
      </c>
      <c r="I6" s="63">
        <v>2.1361111111111115</v>
      </c>
      <c r="J6" s="51" t="s">
        <v>192</v>
      </c>
      <c r="K6" s="52">
        <v>2</v>
      </c>
      <c r="L6" s="51" t="s">
        <v>164</v>
      </c>
      <c r="M6" s="53">
        <v>0.35</v>
      </c>
      <c r="N6" s="51" t="s">
        <v>193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0.13602015113350127</v>
      </c>
      <c r="T6" s="51" t="s">
        <v>189</v>
      </c>
      <c r="U6" s="55">
        <v>9062.5</v>
      </c>
      <c r="V6" s="51" t="s">
        <v>194</v>
      </c>
      <c r="W6" s="55">
        <v>-7845.454545454545</v>
      </c>
      <c r="X6" s="51" t="s">
        <v>192</v>
      </c>
      <c r="Y6" s="53">
        <v>0.10810810810810811</v>
      </c>
      <c r="Z6" s="51" t="s">
        <v>164</v>
      </c>
      <c r="AA6" s="54">
        <v>0.28295819935691319</v>
      </c>
      <c r="AB6" s="51" t="s">
        <v>164</v>
      </c>
      <c r="AC6" s="54">
        <v>0.21864951768488747</v>
      </c>
      <c r="AD6" s="51" t="s">
        <v>126</v>
      </c>
      <c r="AE6" s="54">
        <v>0.62135922330097082</v>
      </c>
      <c r="AF6" s="51" t="s">
        <v>194</v>
      </c>
      <c r="AG6" s="54">
        <v>0.47058823529411764</v>
      </c>
      <c r="AH6" s="51" t="s">
        <v>126</v>
      </c>
      <c r="AI6" s="54">
        <v>0.51879699248120303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24</v>
      </c>
      <c r="D7" s="49" t="s">
        <v>213</v>
      </c>
      <c r="E7" s="50">
        <v>-41.599999999999994</v>
      </c>
      <c r="F7" s="51" t="s">
        <v>205</v>
      </c>
      <c r="G7" s="63">
        <v>-3.0285714285714285</v>
      </c>
      <c r="H7" s="51" t="s">
        <v>126</v>
      </c>
      <c r="I7" s="63">
        <v>1.7892601067887099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139</v>
      </c>
      <c r="O7" s="53">
        <v>0.33333333333333331</v>
      </c>
      <c r="P7" s="51" t="s">
        <v>139</v>
      </c>
      <c r="Q7" s="54">
        <v>0.29274292742927427</v>
      </c>
      <c r="R7" s="51" t="s">
        <v>194</v>
      </c>
      <c r="S7" s="54">
        <v>0.15714285714285714</v>
      </c>
      <c r="T7" s="51" t="s">
        <v>139</v>
      </c>
      <c r="U7" s="55">
        <v>9051.6806722689071</v>
      </c>
      <c r="V7" s="51" t="s">
        <v>192</v>
      </c>
      <c r="W7" s="55">
        <v>-7997.1428571428569</v>
      </c>
      <c r="X7" s="51" t="s">
        <v>189</v>
      </c>
      <c r="Y7" s="53">
        <v>0.1111111111111111</v>
      </c>
      <c r="Z7" s="51" t="s">
        <v>194</v>
      </c>
      <c r="AA7" s="54">
        <v>0.26428571428571429</v>
      </c>
      <c r="AB7" s="51" t="s">
        <v>139</v>
      </c>
      <c r="AC7" s="54">
        <v>0.20418204182041821</v>
      </c>
      <c r="AD7" s="51" t="s">
        <v>193</v>
      </c>
      <c r="AE7" s="54">
        <v>0.6</v>
      </c>
      <c r="AF7" s="51" t="s">
        <v>193</v>
      </c>
      <c r="AG7" s="54">
        <v>0.44827586206896552</v>
      </c>
      <c r="AH7" s="51" t="s">
        <v>139</v>
      </c>
      <c r="AI7" s="54">
        <v>0.45168067226890757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20</v>
      </c>
      <c r="D8" s="49" t="s">
        <v>205</v>
      </c>
      <c r="E8" s="50">
        <v>-42.4</v>
      </c>
      <c r="F8" s="51" t="s">
        <v>164</v>
      </c>
      <c r="G8" s="63">
        <v>-4.517500000000001</v>
      </c>
      <c r="H8" s="51" t="s">
        <v>205</v>
      </c>
      <c r="I8" s="63">
        <v>0.30222222222221973</v>
      </c>
      <c r="J8" s="51" t="s">
        <v>205</v>
      </c>
      <c r="K8" s="52">
        <v>2.0714285714285716</v>
      </c>
      <c r="L8" s="51" t="s">
        <v>192</v>
      </c>
      <c r="M8" s="53">
        <v>0.29729729729729731</v>
      </c>
      <c r="N8" s="51" t="s">
        <v>213</v>
      </c>
      <c r="O8" s="53">
        <v>0.33333333333333331</v>
      </c>
      <c r="P8" s="51" t="s">
        <v>192</v>
      </c>
      <c r="Q8" s="54">
        <v>0.26829268292682928</v>
      </c>
      <c r="R8" s="51" t="s">
        <v>139</v>
      </c>
      <c r="S8" s="54">
        <v>0.15990159901599016</v>
      </c>
      <c r="T8" s="51" t="s">
        <v>194</v>
      </c>
      <c r="U8" s="55">
        <v>8522.2222222222226</v>
      </c>
      <c r="V8" s="51" t="s">
        <v>139</v>
      </c>
      <c r="W8" s="55">
        <v>-8191.5384615384619</v>
      </c>
      <c r="X8" s="51" t="s">
        <v>139</v>
      </c>
      <c r="Y8" s="53">
        <v>0.13615023474178403</v>
      </c>
      <c r="Z8" s="51" t="s">
        <v>126</v>
      </c>
      <c r="AA8" s="54">
        <v>0.25944584382871538</v>
      </c>
      <c r="AB8" s="51" t="s">
        <v>126</v>
      </c>
      <c r="AC8" s="54">
        <v>0.16624685138539042</v>
      </c>
      <c r="AD8" s="51" t="s">
        <v>139</v>
      </c>
      <c r="AE8" s="54">
        <v>0.54878048780487809</v>
      </c>
      <c r="AF8" s="51" t="s">
        <v>139</v>
      </c>
      <c r="AG8" s="54">
        <v>0.41566265060240964</v>
      </c>
      <c r="AH8" s="51" t="s">
        <v>193</v>
      </c>
      <c r="AI8" s="54">
        <v>0.44642857142857145</v>
      </c>
      <c r="AJ8" s="51" t="s">
        <v>213</v>
      </c>
      <c r="AK8" s="58">
        <v>95000</v>
      </c>
    </row>
    <row r="9" spans="1:37" x14ac:dyDescent="0.45">
      <c r="A9" s="48">
        <v>7</v>
      </c>
      <c r="B9" s="51" t="s">
        <v>205</v>
      </c>
      <c r="C9" s="118">
        <v>14</v>
      </c>
      <c r="D9" s="49" t="s">
        <v>189</v>
      </c>
      <c r="E9" s="50">
        <v>-105.5</v>
      </c>
      <c r="F9" s="51" t="s">
        <v>213</v>
      </c>
      <c r="G9" s="63">
        <v>-4.6222222222222218</v>
      </c>
      <c r="H9" s="51" t="s">
        <v>139</v>
      </c>
      <c r="I9" s="63">
        <v>0</v>
      </c>
      <c r="J9" s="51" t="s">
        <v>164</v>
      </c>
      <c r="K9" s="52">
        <v>2.1</v>
      </c>
      <c r="L9" s="51" t="s">
        <v>196</v>
      </c>
      <c r="M9" s="53">
        <v>0.25</v>
      </c>
      <c r="N9" s="51" t="s">
        <v>205</v>
      </c>
      <c r="O9" s="53">
        <v>0.42857142857142855</v>
      </c>
      <c r="P9" s="51" t="s">
        <v>196</v>
      </c>
      <c r="Q9" s="54">
        <v>0.26153846153846155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-8282.0895522388055</v>
      </c>
      <c r="X9" s="51" t="s">
        <v>164</v>
      </c>
      <c r="Y9" s="53">
        <v>0.2</v>
      </c>
      <c r="Z9" s="51" t="s">
        <v>192</v>
      </c>
      <c r="AA9" s="54">
        <v>0.25783972125435539</v>
      </c>
      <c r="AB9" s="51" t="s">
        <v>196</v>
      </c>
      <c r="AC9" s="54">
        <v>0.13846153846153847</v>
      </c>
      <c r="AD9" s="51" t="s">
        <v>192</v>
      </c>
      <c r="AE9" s="54">
        <v>0.52702702702702697</v>
      </c>
      <c r="AF9" s="51" t="s">
        <v>164</v>
      </c>
      <c r="AG9" s="54">
        <v>0.39705882352941174</v>
      </c>
      <c r="AH9" s="51" t="s">
        <v>164</v>
      </c>
      <c r="AI9" s="54">
        <v>0.43209876543209874</v>
      </c>
      <c r="AJ9" s="51" t="s">
        <v>205</v>
      </c>
      <c r="AK9" s="58">
        <v>93200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192</v>
      </c>
      <c r="E10" s="50">
        <v>-171.09999999999997</v>
      </c>
      <c r="F10" s="51" t="s">
        <v>192</v>
      </c>
      <c r="G10" s="63">
        <v>-4.6243243243243235</v>
      </c>
      <c r="H10" s="51" t="s">
        <v>164</v>
      </c>
      <c r="I10" s="63">
        <v>-1.0054232804232726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189</v>
      </c>
      <c r="O10" s="53">
        <v>0.44444444444444442</v>
      </c>
      <c r="P10" s="51" t="s">
        <v>164</v>
      </c>
      <c r="Q10" s="54">
        <v>0.26045016077170419</v>
      </c>
      <c r="R10" s="51" t="s">
        <v>164</v>
      </c>
      <c r="S10" s="54">
        <v>0.21543408360128619</v>
      </c>
      <c r="T10" s="51" t="s">
        <v>193</v>
      </c>
      <c r="U10" s="55">
        <v>7930.3571428571431</v>
      </c>
      <c r="V10" s="51" t="s">
        <v>126</v>
      </c>
      <c r="W10" s="55">
        <v>-8479.6296296296296</v>
      </c>
      <c r="X10" s="51" t="s">
        <v>193</v>
      </c>
      <c r="Y10" s="53">
        <v>0.20833333333333334</v>
      </c>
      <c r="Z10" s="51" t="s">
        <v>139</v>
      </c>
      <c r="AA10" s="54">
        <v>0.25215252152521528</v>
      </c>
      <c r="AB10" s="51" t="s">
        <v>194</v>
      </c>
      <c r="AC10" s="54">
        <v>0.12142857142857143</v>
      </c>
      <c r="AD10" s="51" t="s">
        <v>189</v>
      </c>
      <c r="AE10" s="54">
        <v>0.47619047619047616</v>
      </c>
      <c r="AF10" s="51" t="s">
        <v>192</v>
      </c>
      <c r="AG10" s="54">
        <v>0.34328358208955223</v>
      </c>
      <c r="AH10" s="51" t="s">
        <v>194</v>
      </c>
      <c r="AI10" s="54">
        <v>0.41666666666666669</v>
      </c>
      <c r="AJ10" s="51" t="s">
        <v>196</v>
      </c>
      <c r="AK10" s="58">
        <v>89000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-180.70000000000005</v>
      </c>
      <c r="F11" s="51" t="s">
        <v>194</v>
      </c>
      <c r="G11" s="63">
        <v>-10.129999999999999</v>
      </c>
      <c r="H11" s="51" t="s">
        <v>189</v>
      </c>
      <c r="I11" s="63">
        <v>-3.6805555555555549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164</v>
      </c>
      <c r="O11" s="53">
        <v>0.45</v>
      </c>
      <c r="P11" s="51" t="s">
        <v>194</v>
      </c>
      <c r="Q11" s="54">
        <v>0.25714285714285712</v>
      </c>
      <c r="R11" s="51" t="s">
        <v>205</v>
      </c>
      <c r="S11" s="54">
        <v>0.21904761904761905</v>
      </c>
      <c r="T11" s="51" t="s">
        <v>213</v>
      </c>
      <c r="U11" s="55">
        <v>7530.434782608696</v>
      </c>
      <c r="V11" s="51" t="s">
        <v>213</v>
      </c>
      <c r="W11" s="55">
        <v>-8671.4285714285706</v>
      </c>
      <c r="X11" s="51" t="s">
        <v>205</v>
      </c>
      <c r="Y11" s="53">
        <v>0.21428571428571427</v>
      </c>
      <c r="Z11" s="51" t="s">
        <v>205</v>
      </c>
      <c r="AA11" s="54">
        <v>0.18095238095238095</v>
      </c>
      <c r="AB11" s="51" t="s">
        <v>213</v>
      </c>
      <c r="AC11" s="54">
        <v>9.45945945945946E-2</v>
      </c>
      <c r="AD11" s="51" t="s">
        <v>194</v>
      </c>
      <c r="AE11" s="54">
        <v>0.45945945945945948</v>
      </c>
      <c r="AF11" s="51" t="s">
        <v>196</v>
      </c>
      <c r="AG11" s="54">
        <v>0.33333333333333331</v>
      </c>
      <c r="AH11" s="51" t="s">
        <v>192</v>
      </c>
      <c r="AI11" s="54">
        <v>0.38961038961038963</v>
      </c>
      <c r="AJ11" s="51" t="s">
        <v>192</v>
      </c>
      <c r="AK11" s="58">
        <v>88500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-202.59999999999997</v>
      </c>
      <c r="F12" s="51" t="s">
        <v>189</v>
      </c>
      <c r="G12" s="63">
        <v>-11.722222222222221</v>
      </c>
      <c r="H12" s="51" t="s">
        <v>192</v>
      </c>
      <c r="I12" s="63">
        <v>-4.3048484848484847</v>
      </c>
      <c r="J12" s="51" t="s">
        <v>194</v>
      </c>
      <c r="K12" s="52">
        <v>2.35</v>
      </c>
      <c r="L12" s="51" t="s">
        <v>194</v>
      </c>
      <c r="M12" s="53">
        <v>0.15</v>
      </c>
      <c r="N12" s="51" t="s">
        <v>194</v>
      </c>
      <c r="O12" s="53">
        <v>0.5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192</v>
      </c>
      <c r="U12" s="55">
        <v>7484.4155844155848</v>
      </c>
      <c r="V12" s="51" t="s">
        <v>205</v>
      </c>
      <c r="W12" s="55">
        <v>-9821.7391304347821</v>
      </c>
      <c r="X12" s="51" t="s">
        <v>194</v>
      </c>
      <c r="Y12" s="53">
        <v>0.25</v>
      </c>
      <c r="Z12" s="51" t="s">
        <v>193</v>
      </c>
      <c r="AA12" s="54">
        <v>0.14450867052023122</v>
      </c>
      <c r="AB12" s="51" t="s">
        <v>189</v>
      </c>
      <c r="AC12" s="54">
        <v>8.1081081081081086E-2</v>
      </c>
      <c r="AD12" s="51" t="s">
        <v>164</v>
      </c>
      <c r="AE12" s="54">
        <v>0.42045454545454547</v>
      </c>
      <c r="AF12" s="51" t="s">
        <v>205</v>
      </c>
      <c r="AG12" s="54">
        <v>0.29411764705882354</v>
      </c>
      <c r="AH12" s="51" t="s">
        <v>205</v>
      </c>
      <c r="AI12" s="54">
        <v>0.29729729729729731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1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213</v>
      </c>
      <c r="C2" s="132"/>
      <c r="E2" s="28" t="s">
        <v>66</v>
      </c>
      <c r="F2" s="25" t="s">
        <v>22</v>
      </c>
      <c r="G2" s="13">
        <v>347</v>
      </c>
      <c r="H2" s="91">
        <f t="shared" ref="H2:H33" si="0">IF(B$19=0,0,G2/B$19)</f>
        <v>0.72899159663865543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1">IF(P2=0,0,Q2/P2)</f>
        <v>-9.5238095238095237</v>
      </c>
      <c r="P2" s="80">
        <v>210</v>
      </c>
      <c r="Q2" s="67">
        <v>-2000</v>
      </c>
    </row>
    <row r="3" spans="1:17" x14ac:dyDescent="0.45">
      <c r="A3" s="21" t="s">
        <v>8</v>
      </c>
      <c r="B3" s="133">
        <v>1626</v>
      </c>
      <c r="C3" s="134"/>
      <c r="E3" s="29" t="s">
        <v>72</v>
      </c>
      <c r="F3" s="26" t="s">
        <v>27</v>
      </c>
      <c r="G3" s="14">
        <v>265</v>
      </c>
      <c r="H3" s="92">
        <f t="shared" si="0"/>
        <v>0.55672268907563027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1"/>
        <v>-9.6618357487922708</v>
      </c>
      <c r="P3" s="81">
        <v>207</v>
      </c>
      <c r="Q3" s="68">
        <v>-2000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64</v>
      </c>
      <c r="F4" s="26" t="s">
        <v>20</v>
      </c>
      <c r="G4" s="14">
        <v>215</v>
      </c>
      <c r="H4" s="92">
        <f t="shared" si="0"/>
        <v>0.45168067226890757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1"/>
        <v>0</v>
      </c>
      <c r="P4" s="81">
        <v>195</v>
      </c>
      <c r="Q4" s="68">
        <v>0</v>
      </c>
    </row>
    <row r="5" spans="1:17" x14ac:dyDescent="0.45">
      <c r="A5" s="21" t="s">
        <v>7</v>
      </c>
      <c r="B5" s="123">
        <f>IF(B$2=0,0,B$4/B$2)</f>
        <v>-3.3358813885450714E-17</v>
      </c>
      <c r="C5" s="124"/>
      <c r="E5" s="29" t="s">
        <v>160</v>
      </c>
      <c r="F5" s="26" t="s">
        <v>161</v>
      </c>
      <c r="G5" s="14">
        <v>200</v>
      </c>
      <c r="H5" s="92">
        <f t="shared" si="0"/>
        <v>0.42016806722689076</v>
      </c>
      <c r="I5" s="60">
        <v>5</v>
      </c>
      <c r="K5" s="7">
        <v>3</v>
      </c>
      <c r="L5" s="65">
        <v>7.1054273576010019E-15</v>
      </c>
      <c r="N5" s="78" t="s">
        <v>131</v>
      </c>
      <c r="O5" s="84">
        <f t="shared" si="1"/>
        <v>17.857142857142858</v>
      </c>
      <c r="P5" s="81">
        <v>168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149</v>
      </c>
      <c r="H6" s="92">
        <f t="shared" si="0"/>
        <v>0.31302521008403361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1"/>
        <v>-61.224489795918366</v>
      </c>
      <c r="P6" s="81">
        <v>147</v>
      </c>
      <c r="Q6" s="68">
        <v>-9000</v>
      </c>
    </row>
    <row r="7" spans="1:17" x14ac:dyDescent="0.45">
      <c r="A7" s="21" t="s">
        <v>2</v>
      </c>
      <c r="B7" s="14">
        <v>71</v>
      </c>
      <c r="C7" s="8">
        <f t="shared" ref="C7:C14" si="2">IF(B$2=0,0,B7/B$2)</f>
        <v>0.33333333333333331</v>
      </c>
      <c r="E7" s="29" t="s">
        <v>67</v>
      </c>
      <c r="F7" s="26" t="s">
        <v>23</v>
      </c>
      <c r="G7" s="14">
        <v>116</v>
      </c>
      <c r="H7" s="92">
        <f t="shared" si="0"/>
        <v>0.24369747899159663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1"/>
        <v>75</v>
      </c>
      <c r="P7" s="82">
        <v>120</v>
      </c>
      <c r="Q7" s="69">
        <v>9000</v>
      </c>
    </row>
    <row r="8" spans="1:17" x14ac:dyDescent="0.45">
      <c r="A8" s="21" t="s">
        <v>3</v>
      </c>
      <c r="B8" s="14">
        <v>71</v>
      </c>
      <c r="C8" s="8">
        <f t="shared" si="2"/>
        <v>0.33333333333333331</v>
      </c>
      <c r="E8" s="29" t="s">
        <v>89</v>
      </c>
      <c r="F8" s="26" t="s">
        <v>44</v>
      </c>
      <c r="G8" s="14">
        <v>67</v>
      </c>
      <c r="H8" s="92">
        <f t="shared" si="0"/>
        <v>0.1407563025210084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71</v>
      </c>
      <c r="C9" s="9">
        <f t="shared" si="2"/>
        <v>0.33333333333333331</v>
      </c>
      <c r="E9" s="29" t="s">
        <v>69</v>
      </c>
      <c r="F9" s="26" t="s">
        <v>24</v>
      </c>
      <c r="G9" s="14">
        <v>59</v>
      </c>
      <c r="H9" s="92">
        <f t="shared" si="0"/>
        <v>0.12394957983193278</v>
      </c>
      <c r="I9" s="60">
        <v>7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42.623943661971822</v>
      </c>
      <c r="C10" s="114">
        <v>3026.2999999999993</v>
      </c>
      <c r="E10" s="29" t="s">
        <v>65</v>
      </c>
      <c r="F10" s="26" t="s">
        <v>21</v>
      </c>
      <c r="G10" s="14">
        <v>47</v>
      </c>
      <c r="H10" s="92">
        <f t="shared" si="0"/>
        <v>9.8739495798319324E-2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-6.5619718309859136</v>
      </c>
      <c r="P10" s="80">
        <v>71</v>
      </c>
      <c r="Q10" s="71">
        <v>-465.89999999999986</v>
      </c>
    </row>
    <row r="11" spans="1:17" x14ac:dyDescent="0.45">
      <c r="A11" s="22" t="s">
        <v>186</v>
      </c>
      <c r="B11" s="113">
        <f>IF(B8=0,0,C11/B8)</f>
        <v>-4.0084507042253543</v>
      </c>
      <c r="C11" s="114">
        <v>-284.60000000000014</v>
      </c>
      <c r="E11" s="29" t="s">
        <v>70</v>
      </c>
      <c r="F11" s="26" t="s">
        <v>25</v>
      </c>
      <c r="G11" s="14">
        <v>35</v>
      </c>
      <c r="H11" s="92">
        <f t="shared" si="0"/>
        <v>7.3529411764705885E-2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0.75070422535211201</v>
      </c>
      <c r="P11" s="81">
        <v>71</v>
      </c>
      <c r="Q11" s="72">
        <v>53.299999999999955</v>
      </c>
    </row>
    <row r="12" spans="1:17" x14ac:dyDescent="0.45">
      <c r="A12" s="22" t="s">
        <v>187</v>
      </c>
      <c r="B12" s="113">
        <f>IF(B9=0,0,C12/B9)</f>
        <v>-38.615492957746483</v>
      </c>
      <c r="C12" s="114">
        <v>-2741.7000000000003</v>
      </c>
      <c r="E12" s="29" t="s">
        <v>71</v>
      </c>
      <c r="F12" s="26" t="s">
        <v>26</v>
      </c>
      <c r="G12" s="14">
        <v>33</v>
      </c>
      <c r="H12" s="92">
        <f t="shared" si="0"/>
        <v>6.9327731092436978E-2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5.8112676056338017</v>
      </c>
      <c r="P12" s="82">
        <v>71</v>
      </c>
      <c r="Q12" s="73">
        <v>412.59999999999991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29</v>
      </c>
      <c r="H13" s="92">
        <f t="shared" si="0"/>
        <v>6.0924369747899158E-2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29</v>
      </c>
      <c r="C14" s="11">
        <f t="shared" si="2"/>
        <v>0.13615023474178403</v>
      </c>
      <c r="E14" s="29" t="s">
        <v>86</v>
      </c>
      <c r="F14" s="26" t="s">
        <v>41</v>
      </c>
      <c r="G14" s="14">
        <v>27</v>
      </c>
      <c r="H14" s="92">
        <f t="shared" si="0"/>
        <v>5.6722689075630252E-2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410</v>
      </c>
      <c r="C15" s="12">
        <f>IF(B$3=0,0,B15/B$3)</f>
        <v>0.25215252152521528</v>
      </c>
      <c r="E15" s="29" t="s">
        <v>78</v>
      </c>
      <c r="F15" s="26" t="s">
        <v>33</v>
      </c>
      <c r="G15" s="14">
        <v>15</v>
      </c>
      <c r="H15" s="92">
        <f t="shared" si="0"/>
        <v>3.1512605042016806E-2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 t="shared" ref="O15:O23" si="3"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332</v>
      </c>
      <c r="C16" s="8">
        <f>IF(B$3=0,0,B16/B$3)</f>
        <v>0.20418204182041821</v>
      </c>
      <c r="E16" s="29" t="s">
        <v>79</v>
      </c>
      <c r="F16" s="26" t="s">
        <v>34</v>
      </c>
      <c r="G16" s="14">
        <v>12</v>
      </c>
      <c r="H16" s="92">
        <f t="shared" si="0"/>
        <v>2.5210084033613446E-2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 t="shared" si="3"/>
        <v>15.194999999999993</v>
      </c>
      <c r="P16" s="81">
        <v>40</v>
      </c>
      <c r="Q16" s="72">
        <v>607.79999999999973</v>
      </c>
    </row>
    <row r="17" spans="1:17" x14ac:dyDescent="0.45">
      <c r="A17" s="20" t="s">
        <v>123</v>
      </c>
      <c r="B17" s="13">
        <f>B23</f>
        <v>225</v>
      </c>
      <c r="C17" s="6">
        <f>IF(B$15=0,0,B17/B$15)</f>
        <v>0.54878048780487809</v>
      </c>
      <c r="E17" s="29" t="s">
        <v>81</v>
      </c>
      <c r="F17" s="26" t="s">
        <v>36</v>
      </c>
      <c r="G17" s="14">
        <v>12</v>
      </c>
      <c r="H17" s="92">
        <f t="shared" si="0"/>
        <v>2.5210084033613446E-2</v>
      </c>
      <c r="I17" s="60">
        <v>5</v>
      </c>
      <c r="K17" s="7">
        <v>15</v>
      </c>
      <c r="L17" s="65">
        <v>1.7763568394002505E-15</v>
      </c>
      <c r="N17" s="78" t="s">
        <v>192</v>
      </c>
      <c r="O17" s="87">
        <f t="shared" si="3"/>
        <v>6.9364864864864924</v>
      </c>
      <c r="P17" s="81">
        <v>74</v>
      </c>
      <c r="Q17" s="72">
        <v>513.30000000000041</v>
      </c>
    </row>
    <row r="18" spans="1:17" x14ac:dyDescent="0.45">
      <c r="A18" s="20" t="s">
        <v>124</v>
      </c>
      <c r="B18" s="13">
        <f>B24</f>
        <v>138</v>
      </c>
      <c r="C18" s="6">
        <f>IF(B$16=0,0,B18/B$16)</f>
        <v>0.41566265060240964</v>
      </c>
      <c r="E18" s="29" t="s">
        <v>91</v>
      </c>
      <c r="F18" s="26" t="s">
        <v>46</v>
      </c>
      <c r="G18" s="14">
        <v>10</v>
      </c>
      <c r="H18" s="92">
        <f t="shared" si="0"/>
        <v>2.100840336134454E-2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 t="shared" si="3"/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476</v>
      </c>
      <c r="C19" s="6">
        <f>IF(B$3=0,0,B19/B$3)</f>
        <v>0.29274292742927427</v>
      </c>
      <c r="E19" s="29" t="s">
        <v>92</v>
      </c>
      <c r="F19" s="26" t="s">
        <v>47</v>
      </c>
      <c r="G19" s="14">
        <v>7</v>
      </c>
      <c r="H19" s="92">
        <f t="shared" si="0"/>
        <v>1.4705882352941176E-2</v>
      </c>
      <c r="I19" s="60">
        <v>4</v>
      </c>
      <c r="K19" s="7">
        <v>17</v>
      </c>
      <c r="L19" s="65">
        <v>-35.800000000000004</v>
      </c>
      <c r="N19" s="78" t="s">
        <v>164</v>
      </c>
      <c r="O19" s="87">
        <f t="shared" si="3"/>
        <v>6.7762499999999974</v>
      </c>
      <c r="P19" s="81">
        <v>80</v>
      </c>
      <c r="Q19" s="72">
        <v>542.0999999999998</v>
      </c>
    </row>
    <row r="20" spans="1:17" x14ac:dyDescent="0.45">
      <c r="A20" s="21" t="s">
        <v>13</v>
      </c>
      <c r="B20" s="14">
        <v>260</v>
      </c>
      <c r="C20" s="8">
        <f>IF(B$3=0,0,B20/B$3)</f>
        <v>0.15990159901599016</v>
      </c>
      <c r="E20" s="29" t="s">
        <v>156</v>
      </c>
      <c r="F20" s="26" t="s">
        <v>157</v>
      </c>
      <c r="G20" s="14">
        <v>7</v>
      </c>
      <c r="H20" s="92">
        <f t="shared" si="0"/>
        <v>1.4705882352941176E-2</v>
      </c>
      <c r="I20" s="60">
        <v>3</v>
      </c>
      <c r="K20" s="7">
        <v>18</v>
      </c>
      <c r="L20" s="65">
        <v>-7.1054273576010019E-15</v>
      </c>
      <c r="N20" s="78" t="s">
        <v>205</v>
      </c>
      <c r="O20" s="87">
        <f t="shared" si="3"/>
        <v>4.5428571428571427</v>
      </c>
      <c r="P20" s="81">
        <v>28</v>
      </c>
      <c r="Q20" s="72">
        <v>127.19999999999999</v>
      </c>
    </row>
    <row r="21" spans="1:17" x14ac:dyDescent="0.45">
      <c r="A21" s="21" t="s">
        <v>12</v>
      </c>
      <c r="B21" s="14">
        <v>215</v>
      </c>
      <c r="C21" s="8">
        <f>IF(B$19=0,0,B21/B$19)</f>
        <v>0.45168067226890757</v>
      </c>
      <c r="E21" s="29" t="s">
        <v>73</v>
      </c>
      <c r="F21" s="26" t="s">
        <v>28</v>
      </c>
      <c r="G21" s="14">
        <v>2</v>
      </c>
      <c r="H21" s="92">
        <f t="shared" si="0"/>
        <v>4.2016806722689074E-3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 t="shared" si="3"/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261</v>
      </c>
      <c r="C22" s="8">
        <f>IF(B$19=0,0,B22/B$19)</f>
        <v>0.54831932773109249</v>
      </c>
      <c r="E22" s="29" t="s">
        <v>75</v>
      </c>
      <c r="F22" s="26" t="s">
        <v>30</v>
      </c>
      <c r="G22" s="14">
        <v>2</v>
      </c>
      <c r="H22" s="92">
        <f t="shared" si="0"/>
        <v>4.2016806722689074E-3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 t="shared" si="3"/>
        <v>-5.7624999999999993</v>
      </c>
      <c r="P22" s="81">
        <v>48</v>
      </c>
      <c r="Q22" s="72">
        <v>-276.59999999999997</v>
      </c>
    </row>
    <row r="23" spans="1:17" x14ac:dyDescent="0.45">
      <c r="A23" s="21" t="s">
        <v>184</v>
      </c>
      <c r="B23" s="14">
        <v>225</v>
      </c>
      <c r="C23" s="8">
        <f>IF(B$19=0,0,B23/B$19)</f>
        <v>0.47268907563025209</v>
      </c>
      <c r="E23" s="29" t="s">
        <v>77</v>
      </c>
      <c r="F23" s="26" t="s">
        <v>32</v>
      </c>
      <c r="G23" s="14">
        <v>2</v>
      </c>
      <c r="H23" s="92">
        <f t="shared" si="0"/>
        <v>4.2016806722689074E-3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 t="shared" si="3"/>
        <v>-18.582692307692295</v>
      </c>
      <c r="P23" s="81">
        <v>104</v>
      </c>
      <c r="Q23" s="72">
        <v>-1932.5999999999985</v>
      </c>
    </row>
    <row r="24" spans="1:17" x14ac:dyDescent="0.45">
      <c r="A24" s="21" t="s">
        <v>182</v>
      </c>
      <c r="B24" s="14">
        <v>138</v>
      </c>
      <c r="C24" s="8">
        <f>IF(B$19=0,0,B24/B$19)</f>
        <v>0.28991596638655465</v>
      </c>
      <c r="E24" s="29" t="s">
        <v>85</v>
      </c>
      <c r="F24" s="26" t="s">
        <v>40</v>
      </c>
      <c r="G24" s="14">
        <v>2</v>
      </c>
      <c r="H24" s="92">
        <f t="shared" si="0"/>
        <v>4.2016806722689074E-3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113</v>
      </c>
      <c r="C25" s="8">
        <f>IF(B$19=0,0,B25/B$19)</f>
        <v>0.23739495798319327</v>
      </c>
      <c r="E25" s="29" t="s">
        <v>87</v>
      </c>
      <c r="F25" s="26" t="s">
        <v>42</v>
      </c>
      <c r="G25" s="14">
        <v>2</v>
      </c>
      <c r="H25" s="92">
        <f t="shared" si="0"/>
        <v>4.2016806722689074E-3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9051.6806722689071</v>
      </c>
      <c r="C26" s="10">
        <v>4308600</v>
      </c>
      <c r="E26" s="29" t="s">
        <v>93</v>
      </c>
      <c r="F26" s="26" t="s">
        <v>48</v>
      </c>
      <c r="G26" s="14">
        <v>2</v>
      </c>
      <c r="H26" s="92">
        <f t="shared" si="0"/>
        <v>4.2016806722689074E-3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9391.124260355029</v>
      </c>
      <c r="C27" s="100">
        <v>3174200</v>
      </c>
      <c r="E27" s="29" t="s">
        <v>84</v>
      </c>
      <c r="F27" s="26" t="s">
        <v>39</v>
      </c>
      <c r="G27" s="14">
        <v>1</v>
      </c>
      <c r="H27" s="92">
        <f t="shared" si="0"/>
        <v>2.1008403361344537E-3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8220.289855072464</v>
      </c>
      <c r="C28" s="100">
        <v>1134400</v>
      </c>
      <c r="E28" s="29" t="s">
        <v>95</v>
      </c>
      <c r="F28" s="26" t="s">
        <v>50</v>
      </c>
      <c r="G28" s="14">
        <v>1</v>
      </c>
      <c r="H28" s="92">
        <f t="shared" si="0"/>
        <v>2.1008403361344537E-3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-8191.5384615384619</v>
      </c>
      <c r="C29" s="100">
        <v>-2129800</v>
      </c>
      <c r="E29" s="29" t="s">
        <v>97</v>
      </c>
      <c r="F29" s="26" t="s">
        <v>52</v>
      </c>
      <c r="G29" s="14">
        <v>1</v>
      </c>
      <c r="H29" s="92">
        <f t="shared" si="0"/>
        <v>2.1008403361344537E-3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102</v>
      </c>
      <c r="F30" s="26" t="s">
        <v>57</v>
      </c>
      <c r="G30" s="14">
        <v>1</v>
      </c>
      <c r="H30" s="92">
        <f t="shared" si="0"/>
        <v>2.1008403361344537E-3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5</v>
      </c>
      <c r="E31" s="29" t="s">
        <v>74</v>
      </c>
      <c r="F31" s="26" t="s">
        <v>29</v>
      </c>
      <c r="G31" s="14">
        <v>0</v>
      </c>
      <c r="H31" s="92">
        <f t="shared" si="0"/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76</v>
      </c>
      <c r="F32" s="26" t="s">
        <v>31</v>
      </c>
      <c r="G32" s="14">
        <v>0</v>
      </c>
      <c r="H32" s="92">
        <f t="shared" si="0"/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80</v>
      </c>
      <c r="F33" s="26" t="s">
        <v>35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1.8450184501845018E-3</v>
      </c>
      <c r="E34" s="29" t="s">
        <v>82</v>
      </c>
      <c r="F34" s="26" t="s">
        <v>37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38</v>
      </c>
      <c r="C36" s="102">
        <f t="shared" ref="C36:C48" si="5">IF(B$19=0,0,B36/B$19)</f>
        <v>7.9831932773109238E-2</v>
      </c>
      <c r="E36" s="29" t="s">
        <v>90</v>
      </c>
      <c r="F36" s="26" t="s">
        <v>45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86</v>
      </c>
      <c r="C37" s="8">
        <f t="shared" si="5"/>
        <v>0.18067226890756302</v>
      </c>
      <c r="E37" s="29" t="s">
        <v>94</v>
      </c>
      <c r="F37" s="26" t="s">
        <v>49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76</v>
      </c>
      <c r="C38" s="8">
        <f t="shared" si="5"/>
        <v>0.15966386554621848</v>
      </c>
      <c r="E38" s="29" t="s">
        <v>96</v>
      </c>
      <c r="F38" s="26" t="s">
        <v>51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88</v>
      </c>
      <c r="C39" s="8">
        <f t="shared" si="5"/>
        <v>0.18487394957983194</v>
      </c>
      <c r="E39" s="29" t="s">
        <v>98</v>
      </c>
      <c r="F39" s="26" t="s">
        <v>53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73</v>
      </c>
      <c r="C40" s="8">
        <f t="shared" si="5"/>
        <v>0.15336134453781514</v>
      </c>
      <c r="E40" s="29" t="s">
        <v>99</v>
      </c>
      <c r="F40" s="26" t="s">
        <v>54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43</v>
      </c>
      <c r="C41" s="8">
        <f t="shared" si="5"/>
        <v>9.0336134453781511E-2</v>
      </c>
      <c r="E41" s="29" t="s">
        <v>100</v>
      </c>
      <c r="F41" s="26" t="s">
        <v>55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30</v>
      </c>
      <c r="C42" s="8">
        <f t="shared" si="5"/>
        <v>6.3025210084033612E-2</v>
      </c>
      <c r="E42" s="29" t="s">
        <v>101</v>
      </c>
      <c r="F42" s="26" t="s">
        <v>56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10</v>
      </c>
      <c r="C43" s="8">
        <f t="shared" si="5"/>
        <v>2.100840336134454E-2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9</v>
      </c>
      <c r="C44" s="8">
        <f t="shared" si="5"/>
        <v>1.8907563025210083E-2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6</v>
      </c>
      <c r="C45" s="8">
        <f t="shared" si="5"/>
        <v>1.2605042016806723E-2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5"/>
        <v>8.4033613445378148E-3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5"/>
        <v>2.1008403361344537E-3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5"/>
        <v>2.5210084033613446E-2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40</v>
      </c>
      <c r="C2" s="132"/>
      <c r="E2" s="28" t="s">
        <v>66</v>
      </c>
      <c r="F2" s="25" t="s">
        <v>22</v>
      </c>
      <c r="G2" s="13">
        <v>71</v>
      </c>
      <c r="H2" s="91">
        <f t="shared" ref="H2:H33" si="0">IF(B$19=0,0,G2/B$19)</f>
        <v>0.87654320987654322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1">IF(P2=0,0,Q2/P2)</f>
        <v>-2825.6410256410259</v>
      </c>
      <c r="P2" s="80">
        <v>39</v>
      </c>
      <c r="Q2" s="67">
        <v>-110200</v>
      </c>
    </row>
    <row r="3" spans="1:17" x14ac:dyDescent="0.45">
      <c r="A3" s="21" t="s">
        <v>8</v>
      </c>
      <c r="B3" s="133">
        <v>311</v>
      </c>
      <c r="C3" s="134"/>
      <c r="E3" s="29" t="s">
        <v>72</v>
      </c>
      <c r="F3" s="26" t="s">
        <v>27</v>
      </c>
      <c r="G3" s="14">
        <v>45</v>
      </c>
      <c r="H3" s="92">
        <f t="shared" si="0"/>
        <v>0.55555555555555558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1"/>
        <v>-1558.9743589743589</v>
      </c>
      <c r="P3" s="81">
        <v>39</v>
      </c>
      <c r="Q3" s="68">
        <v>-60800</v>
      </c>
    </row>
    <row r="4" spans="1:17" x14ac:dyDescent="0.45">
      <c r="A4" s="21" t="s">
        <v>6</v>
      </c>
      <c r="B4" s="135">
        <v>-180.70000000000005</v>
      </c>
      <c r="C4" s="136"/>
      <c r="E4" s="29" t="s">
        <v>160</v>
      </c>
      <c r="F4" s="26" t="s">
        <v>161</v>
      </c>
      <c r="G4" s="14">
        <v>40</v>
      </c>
      <c r="H4" s="92">
        <f t="shared" si="0"/>
        <v>0.49382716049382713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1"/>
        <v>-36.111111111111114</v>
      </c>
      <c r="P4" s="81">
        <v>36</v>
      </c>
      <c r="Q4" s="68">
        <v>-1300</v>
      </c>
    </row>
    <row r="5" spans="1:17" x14ac:dyDescent="0.45">
      <c r="A5" s="21" t="s">
        <v>7</v>
      </c>
      <c r="B5" s="123">
        <f>IF(B$2=0,0,B$4/B$2)</f>
        <v>-4.517500000000001</v>
      </c>
      <c r="C5" s="124"/>
      <c r="E5" s="29" t="s">
        <v>64</v>
      </c>
      <c r="F5" s="26" t="s">
        <v>20</v>
      </c>
      <c r="G5" s="14">
        <v>38</v>
      </c>
      <c r="H5" s="92">
        <f t="shared" si="0"/>
        <v>0.46913580246913578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1"/>
        <v>-2212.5</v>
      </c>
      <c r="P5" s="81">
        <v>32</v>
      </c>
      <c r="Q5" s="68">
        <v>-70800</v>
      </c>
    </row>
    <row r="6" spans="1:17" x14ac:dyDescent="0.45">
      <c r="A6" s="21" t="s">
        <v>1</v>
      </c>
      <c r="B6" s="137">
        <f>IF(B$2=0,0,(B$7*1+B$8*2+B$9*3)/B$2)</f>
        <v>2.1</v>
      </c>
      <c r="C6" s="138"/>
      <c r="E6" s="29" t="s">
        <v>68</v>
      </c>
      <c r="F6" s="26" t="s">
        <v>12</v>
      </c>
      <c r="G6" s="14">
        <v>21</v>
      </c>
      <c r="H6" s="92">
        <f t="shared" si="0"/>
        <v>0.25925925925925924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1"/>
        <v>1250</v>
      </c>
      <c r="P6" s="81">
        <v>30</v>
      </c>
      <c r="Q6" s="68">
        <v>37500</v>
      </c>
    </row>
    <row r="7" spans="1:17" x14ac:dyDescent="0.45">
      <c r="A7" s="21" t="s">
        <v>2</v>
      </c>
      <c r="B7" s="14">
        <v>14</v>
      </c>
      <c r="C7" s="8">
        <f t="shared" ref="C7:C14" si="2">IF(B$2=0,0,B7/B$2)</f>
        <v>0.35</v>
      </c>
      <c r="E7" s="29" t="s">
        <v>67</v>
      </c>
      <c r="F7" s="26" t="s">
        <v>23</v>
      </c>
      <c r="G7" s="14">
        <v>18</v>
      </c>
      <c r="H7" s="92">
        <f t="shared" si="0"/>
        <v>0.22222222222222221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1"/>
        <v>3239.1304347826085</v>
      </c>
      <c r="P7" s="82">
        <v>23</v>
      </c>
      <c r="Q7" s="69">
        <v>74500</v>
      </c>
    </row>
    <row r="8" spans="1:17" x14ac:dyDescent="0.45">
      <c r="A8" s="21" t="s">
        <v>3</v>
      </c>
      <c r="B8" s="14">
        <v>8</v>
      </c>
      <c r="C8" s="8">
        <f t="shared" si="2"/>
        <v>0.2</v>
      </c>
      <c r="E8" s="29" t="s">
        <v>89</v>
      </c>
      <c r="F8" s="26" t="s">
        <v>44</v>
      </c>
      <c r="G8" s="14">
        <v>13</v>
      </c>
      <c r="H8" s="92">
        <f t="shared" si="0"/>
        <v>0.16049382716049382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2"/>
        <v>0.45</v>
      </c>
      <c r="E9" s="29" t="s">
        <v>65</v>
      </c>
      <c r="F9" s="26" t="s">
        <v>21</v>
      </c>
      <c r="G9" s="14">
        <v>9</v>
      </c>
      <c r="H9" s="92">
        <f t="shared" si="0"/>
        <v>0.1111111111111111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8</v>
      </c>
      <c r="H10" s="92">
        <f t="shared" si="0"/>
        <v>9.8765432098765427E-2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-4.0250000000000004</v>
      </c>
      <c r="C11" s="114">
        <v>-32.200000000000003</v>
      </c>
      <c r="E11" s="29" t="s">
        <v>86</v>
      </c>
      <c r="F11" s="26" t="s">
        <v>41</v>
      </c>
      <c r="G11" s="14">
        <v>7</v>
      </c>
      <c r="H11" s="92">
        <f t="shared" si="0"/>
        <v>8.6419753086419748E-2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-40.655555555555544</v>
      </c>
      <c r="C12" s="114">
        <v>-731.79999999999984</v>
      </c>
      <c r="E12" s="29" t="s">
        <v>91</v>
      </c>
      <c r="F12" s="26" t="s">
        <v>46</v>
      </c>
      <c r="G12" s="14">
        <v>6</v>
      </c>
      <c r="H12" s="92">
        <f t="shared" si="0"/>
        <v>7.407407407407407E-2</v>
      </c>
      <c r="I12" s="60">
        <v>1</v>
      </c>
      <c r="K12" s="7">
        <v>10</v>
      </c>
      <c r="L12" s="65">
        <v>26</v>
      </c>
      <c r="N12" s="79" t="s">
        <v>154</v>
      </c>
      <c r="O12" s="88">
        <f>IF(P12=0,0,Q12/P12)</f>
        <v>-5.2466666666666661</v>
      </c>
      <c r="P12" s="82">
        <v>15</v>
      </c>
      <c r="Q12" s="73">
        <v>-78.699999999999989</v>
      </c>
    </row>
    <row r="13" spans="1:17" x14ac:dyDescent="0.45">
      <c r="A13" s="22" t="s">
        <v>188</v>
      </c>
      <c r="B13" s="123">
        <f>AVERAGE(B10:B12)</f>
        <v>-1.0054232804232726</v>
      </c>
      <c r="C13" s="124"/>
      <c r="E13" s="29" t="s">
        <v>69</v>
      </c>
      <c r="F13" s="26" t="s">
        <v>24</v>
      </c>
      <c r="G13" s="14">
        <v>5</v>
      </c>
      <c r="H13" s="92">
        <f t="shared" si="0"/>
        <v>6.1728395061728392E-2</v>
      </c>
      <c r="I13" s="60">
        <v>9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2"/>
        <v>0.2</v>
      </c>
      <c r="E14" s="29" t="s">
        <v>71</v>
      </c>
      <c r="F14" s="26" t="s">
        <v>26</v>
      </c>
      <c r="G14" s="14">
        <v>4</v>
      </c>
      <c r="H14" s="92">
        <f t="shared" si="0"/>
        <v>4.9382716049382713E-2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88</v>
      </c>
      <c r="C15" s="12">
        <f>IF(B$3=0,0,B15/B$3)</f>
        <v>0.28295819935691319</v>
      </c>
      <c r="E15" s="29" t="s">
        <v>79</v>
      </c>
      <c r="F15" s="26" t="s">
        <v>34</v>
      </c>
      <c r="G15" s="14">
        <v>3</v>
      </c>
      <c r="H15" s="92">
        <f t="shared" si="0"/>
        <v>3.7037037037037035E-2</v>
      </c>
      <c r="I15" s="60">
        <v>3</v>
      </c>
      <c r="K15" s="7">
        <v>13</v>
      </c>
      <c r="L15" s="65">
        <v>-33.5</v>
      </c>
      <c r="N15" s="77" t="s">
        <v>189</v>
      </c>
      <c r="O15" s="86">
        <f t="shared" ref="O15:O22" si="3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68</v>
      </c>
      <c r="C16" s="8">
        <f>IF(B$3=0,0,B16/B$3)</f>
        <v>0.21864951768488747</v>
      </c>
      <c r="E16" s="29" t="s">
        <v>81</v>
      </c>
      <c r="F16" s="26" t="s">
        <v>36</v>
      </c>
      <c r="G16" s="14">
        <v>3</v>
      </c>
      <c r="H16" s="92">
        <f t="shared" si="0"/>
        <v>3.7037037037037035E-2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 t="shared" si="3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0.42045454545454547</v>
      </c>
      <c r="E17" s="29" t="s">
        <v>78</v>
      </c>
      <c r="F17" s="26" t="s">
        <v>33</v>
      </c>
      <c r="G17" s="14">
        <v>2</v>
      </c>
      <c r="H17" s="92">
        <f t="shared" si="0"/>
        <v>2.4691358024691357E-2</v>
      </c>
      <c r="I17" s="60">
        <v>7</v>
      </c>
      <c r="K17" s="7">
        <v>15</v>
      </c>
      <c r="L17" s="65">
        <v>-33.1</v>
      </c>
      <c r="N17" s="78" t="s">
        <v>192</v>
      </c>
      <c r="O17" s="87">
        <f t="shared" si="3"/>
        <v>5.7499999999999982</v>
      </c>
      <c r="P17" s="81">
        <v>16</v>
      </c>
      <c r="Q17" s="72">
        <v>91.999999999999972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0.39705882352941174</v>
      </c>
      <c r="E18" s="29" t="s">
        <v>83</v>
      </c>
      <c r="F18" s="26" t="s">
        <v>38</v>
      </c>
      <c r="G18" s="14">
        <v>2</v>
      </c>
      <c r="H18" s="92">
        <f t="shared" si="0"/>
        <v>2.4691358024691357E-2</v>
      </c>
      <c r="I18" s="60">
        <v>7</v>
      </c>
      <c r="K18" s="7">
        <v>16</v>
      </c>
      <c r="L18" s="65">
        <v>-10.8</v>
      </c>
      <c r="N18" s="78" t="s">
        <v>205</v>
      </c>
      <c r="O18" s="87">
        <f t="shared" si="3"/>
        <v>5.5333333333333323</v>
      </c>
      <c r="P18" s="81">
        <v>6</v>
      </c>
      <c r="Q18" s="72">
        <v>33.199999999999996</v>
      </c>
    </row>
    <row r="19" spans="1:17" x14ac:dyDescent="0.45">
      <c r="A19" s="20" t="s">
        <v>10</v>
      </c>
      <c r="B19" s="13">
        <f>B22+B21</f>
        <v>81</v>
      </c>
      <c r="C19" s="6">
        <f>IF(B$3=0,0,B19/B$3)</f>
        <v>0.26045016077170419</v>
      </c>
      <c r="E19" s="29" t="s">
        <v>92</v>
      </c>
      <c r="F19" s="26" t="s">
        <v>47</v>
      </c>
      <c r="G19" s="14">
        <v>2</v>
      </c>
      <c r="H19" s="92">
        <f t="shared" si="0"/>
        <v>2.4691358024691357E-2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3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67</v>
      </c>
      <c r="C20" s="8">
        <f>IF(B$3=0,0,B20/B$3)</f>
        <v>0.21543408360128619</v>
      </c>
      <c r="E20" s="29" t="s">
        <v>75</v>
      </c>
      <c r="F20" s="26" t="s">
        <v>30</v>
      </c>
      <c r="G20" s="14">
        <v>1</v>
      </c>
      <c r="H20" s="92">
        <f t="shared" si="0"/>
        <v>1.2345679012345678E-2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3"/>
        <v>-13.743333333333323</v>
      </c>
      <c r="P20" s="81">
        <v>30</v>
      </c>
      <c r="Q20" s="72">
        <v>-412.29999999999973</v>
      </c>
    </row>
    <row r="21" spans="1:17" x14ac:dyDescent="0.45">
      <c r="A21" s="21" t="s">
        <v>12</v>
      </c>
      <c r="B21" s="14">
        <v>35</v>
      </c>
      <c r="C21" s="8">
        <f>IF(B$19=0,0,B21/B$19)</f>
        <v>0.43209876543209874</v>
      </c>
      <c r="E21" s="29" t="s">
        <v>97</v>
      </c>
      <c r="F21" s="26" t="s">
        <v>52</v>
      </c>
      <c r="G21" s="14">
        <v>1</v>
      </c>
      <c r="H21" s="92">
        <f t="shared" si="0"/>
        <v>1.2345679012345678E-2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3"/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46</v>
      </c>
      <c r="C22" s="8">
        <f>IF(B$19=0,0,B22/B$19)</f>
        <v>0.5679012345679012</v>
      </c>
      <c r="E22" s="29" t="s">
        <v>156</v>
      </c>
      <c r="F22" s="26" t="s">
        <v>157</v>
      </c>
      <c r="G22" s="14">
        <v>1</v>
      </c>
      <c r="H22" s="92">
        <f t="shared" si="0"/>
        <v>1.2345679012345678E-2</v>
      </c>
      <c r="I22" s="60">
        <v>5</v>
      </c>
      <c r="K22" s="7">
        <v>20</v>
      </c>
      <c r="L22" s="65">
        <v>-72.000000000000014</v>
      </c>
      <c r="N22" s="78" t="s">
        <v>194</v>
      </c>
      <c r="O22" s="87">
        <f t="shared" si="3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0.4567901234567901</v>
      </c>
      <c r="E23" s="29" t="s">
        <v>73</v>
      </c>
      <c r="F23" s="26" t="s">
        <v>28</v>
      </c>
      <c r="G23" s="14">
        <v>0</v>
      </c>
      <c r="H23" s="92">
        <f t="shared" si="0"/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0.33333333333333331</v>
      </c>
      <c r="E24" s="29" t="s">
        <v>74</v>
      </c>
      <c r="F24" s="26" t="s">
        <v>29</v>
      </c>
      <c r="G24" s="14">
        <v>0</v>
      </c>
      <c r="H24" s="92">
        <f t="shared" si="0"/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17</v>
      </c>
      <c r="C25" s="8">
        <f>IF(B$19=0,0,B25/B$19)</f>
        <v>0.20987654320987653</v>
      </c>
      <c r="E25" s="29" t="s">
        <v>76</v>
      </c>
      <c r="F25" s="26" t="s">
        <v>31</v>
      </c>
      <c r="G25" s="14">
        <v>0</v>
      </c>
      <c r="H25" s="92">
        <f t="shared" si="0"/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10486.41975308642</v>
      </c>
      <c r="C26" s="10">
        <v>849400</v>
      </c>
      <c r="E26" s="29" t="s">
        <v>77</v>
      </c>
      <c r="F26" s="26" t="s">
        <v>32</v>
      </c>
      <c r="G26" s="14">
        <v>0</v>
      </c>
      <c r="H26" s="92">
        <f t="shared" si="0"/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11433.333333333334</v>
      </c>
      <c r="C27" s="100">
        <v>617400</v>
      </c>
      <c r="E27" s="29" t="s">
        <v>80</v>
      </c>
      <c r="F27" s="26" t="s">
        <v>35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-8282.0895522388055</v>
      </c>
      <c r="C29" s="100">
        <v>-554900</v>
      </c>
      <c r="E29" s="29" t="s">
        <v>84</v>
      </c>
      <c r="F29" s="26" t="s">
        <v>39</v>
      </c>
      <c r="G29" s="14">
        <v>0</v>
      </c>
      <c r="H29" s="92">
        <f t="shared" si="0"/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 t="shared" si="0"/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87</v>
      </c>
      <c r="F31" s="26" t="s">
        <v>42</v>
      </c>
      <c r="G31" s="14">
        <v>0</v>
      </c>
      <c r="H31" s="92">
        <f t="shared" si="0"/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 t="shared" si="0"/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3.2154340836012861E-3</v>
      </c>
      <c r="E34" s="29" t="s">
        <v>93</v>
      </c>
      <c r="F34" s="26" t="s">
        <v>48</v>
      </c>
      <c r="G34" s="14">
        <v>0</v>
      </c>
      <c r="H34" s="92">
        <f t="shared" ref="H34:H65" si="4"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5">IF(B$19=0,0,B36/B$19)</f>
        <v>2.4691358024691357E-2</v>
      </c>
      <c r="E36" s="29" t="s">
        <v>95</v>
      </c>
      <c r="F36" s="26" t="s">
        <v>50</v>
      </c>
      <c r="G36" s="14">
        <v>0</v>
      </c>
      <c r="H36" s="92">
        <f t="shared" si="4"/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5"/>
        <v>0.14814814814814814</v>
      </c>
      <c r="E37" s="29" t="s">
        <v>96</v>
      </c>
      <c r="F37" s="26" t="s">
        <v>51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5</v>
      </c>
      <c r="C38" s="8">
        <f t="shared" si="5"/>
        <v>6.1728395061728392E-2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22</v>
      </c>
      <c r="C39" s="8">
        <f t="shared" si="5"/>
        <v>0.27160493827160492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16</v>
      </c>
      <c r="C40" s="8">
        <f t="shared" si="5"/>
        <v>0.19753086419753085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5"/>
        <v>9.8765432098765427E-2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5"/>
        <v>9.8765432098765427E-2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3</v>
      </c>
      <c r="C43" s="8">
        <f t="shared" si="5"/>
        <v>3.7037037037037035E-2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5"/>
        <v>1.2345679012345678E-2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5"/>
        <v>0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5"/>
        <v>0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5"/>
        <v>1.2345679012345678E-2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5"/>
        <v>3.7037037037037035E-2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 t="shared" ref="H2:H33" si="0"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1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 t="shared" si="0"/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1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 t="shared" si="0"/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1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 t="shared" si="0"/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1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 t="shared" si="0"/>
        <v>0.25</v>
      </c>
      <c r="I6" s="60">
        <v>8</v>
      </c>
      <c r="K6" s="7">
        <v>4</v>
      </c>
      <c r="L6" s="65">
        <v>-83.899999999999991</v>
      </c>
      <c r="N6" s="78" t="s">
        <v>132</v>
      </c>
      <c r="O6" s="84">
        <f t="shared" si="1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2">IF(B$2=0,0,B7/B$2)</f>
        <v>0.22222222222222221</v>
      </c>
      <c r="E7" s="29" t="s">
        <v>67</v>
      </c>
      <c r="F7" s="26" t="s">
        <v>23</v>
      </c>
      <c r="G7" s="14">
        <v>3</v>
      </c>
      <c r="H7" s="92">
        <f t="shared" si="0"/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1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2"/>
        <v>0.33333333333333331</v>
      </c>
      <c r="E8" s="29" t="s">
        <v>89</v>
      </c>
      <c r="F8" s="26" t="s">
        <v>44</v>
      </c>
      <c r="G8" s="14">
        <v>3</v>
      </c>
      <c r="H8" s="92">
        <f t="shared" si="0"/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2"/>
        <v>0.44444444444444442</v>
      </c>
      <c r="E9" s="29" t="s">
        <v>65</v>
      </c>
      <c r="F9" s="26" t="s">
        <v>21</v>
      </c>
      <c r="G9" s="14">
        <v>2</v>
      </c>
      <c r="H9" s="92">
        <f t="shared" si="0"/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 t="shared" si="0"/>
        <v>0.125</v>
      </c>
      <c r="I10" s="60">
        <v>5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 t="shared" si="0"/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 t="shared" si="0"/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 t="shared" si="0"/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2"/>
        <v>0.1111111111111111</v>
      </c>
      <c r="E14" s="29" t="s">
        <v>70</v>
      </c>
      <c r="F14" s="26" t="s">
        <v>25</v>
      </c>
      <c r="G14" s="14">
        <v>0</v>
      </c>
      <c r="H14" s="92">
        <f t="shared" si="0"/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 t="shared" si="0"/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 t="shared" si="0"/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 t="shared" si="0"/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 t="shared" si="0"/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 t="shared" si="0"/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 t="shared" si="0"/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 t="shared" si="0"/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 t="shared" si="0"/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 t="shared" si="0"/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4">IF(B$19=0,0,B36/B$19)</f>
        <v>0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4"/>
        <v>0.3125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4"/>
        <v>0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4"/>
        <v>0.125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4"/>
        <v>0.1875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4"/>
        <v>0.3125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4"/>
        <v>6.25E-2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52</v>
      </c>
      <c r="C2" s="132"/>
      <c r="E2" s="28" t="s">
        <v>66</v>
      </c>
      <c r="F2" s="25" t="s">
        <v>22</v>
      </c>
      <c r="G2" s="13">
        <v>91</v>
      </c>
      <c r="H2" s="91">
        <f t="shared" ref="H2:H33" si="0">IF(B$19=0,0,G2/B$19)</f>
        <v>0.68421052631578949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1">IF(P2=0,0,Q2/P2)</f>
        <v>-228.84615384615384</v>
      </c>
      <c r="P2" s="80">
        <v>52</v>
      </c>
      <c r="Q2" s="67">
        <v>-11900</v>
      </c>
    </row>
    <row r="3" spans="1:17" x14ac:dyDescent="0.45">
      <c r="A3" s="21" t="s">
        <v>8</v>
      </c>
      <c r="B3" s="133">
        <v>397</v>
      </c>
      <c r="C3" s="134"/>
      <c r="E3" s="29" t="s">
        <v>160</v>
      </c>
      <c r="F3" s="26" t="s">
        <v>161</v>
      </c>
      <c r="G3" s="14">
        <v>62</v>
      </c>
      <c r="H3" s="92">
        <f t="shared" si="0"/>
        <v>0.46616541353383456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1"/>
        <v>4605.8823529411766</v>
      </c>
      <c r="P3" s="81">
        <v>51</v>
      </c>
      <c r="Q3" s="68">
        <v>234900</v>
      </c>
    </row>
    <row r="4" spans="1:17" x14ac:dyDescent="0.45">
      <c r="A4" s="21" t="s">
        <v>6</v>
      </c>
      <c r="B4" s="135">
        <v>644.20000000000005</v>
      </c>
      <c r="C4" s="136"/>
      <c r="E4" s="29" t="s">
        <v>72</v>
      </c>
      <c r="F4" s="26" t="s">
        <v>27</v>
      </c>
      <c r="G4" s="14">
        <v>61</v>
      </c>
      <c r="H4" s="92">
        <f t="shared" si="0"/>
        <v>0.45864661654135336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1"/>
        <v>3972.9166666666665</v>
      </c>
      <c r="P4" s="81">
        <v>48</v>
      </c>
      <c r="Q4" s="68">
        <v>190700</v>
      </c>
    </row>
    <row r="5" spans="1:17" x14ac:dyDescent="0.45">
      <c r="A5" s="21" t="s">
        <v>7</v>
      </c>
      <c r="B5" s="123">
        <f>IF(B$2=0,0,B$4/B$2)</f>
        <v>12.38846153846154</v>
      </c>
      <c r="C5" s="124"/>
      <c r="E5" s="29" t="s">
        <v>64</v>
      </c>
      <c r="F5" s="26" t="s">
        <v>20</v>
      </c>
      <c r="G5" s="14">
        <v>58</v>
      </c>
      <c r="H5" s="92">
        <f t="shared" si="0"/>
        <v>0.43609022556390975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1"/>
        <v>2800</v>
      </c>
      <c r="P5" s="81">
        <v>41</v>
      </c>
      <c r="Q5" s="68">
        <v>114800</v>
      </c>
    </row>
    <row r="6" spans="1:17" x14ac:dyDescent="0.45">
      <c r="A6" s="21" t="s">
        <v>1</v>
      </c>
      <c r="B6" s="137">
        <f>IF(B$2=0,0,(B$7*1+B$8*2+B$9*3)/B$2)</f>
        <v>1.75</v>
      </c>
      <c r="C6" s="138"/>
      <c r="E6" s="29" t="s">
        <v>68</v>
      </c>
      <c r="F6" s="26" t="s">
        <v>12</v>
      </c>
      <c r="G6" s="14">
        <v>52</v>
      </c>
      <c r="H6" s="92">
        <f t="shared" si="0"/>
        <v>0.39097744360902253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1"/>
        <v>-1767.5675675675675</v>
      </c>
      <c r="P6" s="81">
        <v>37</v>
      </c>
      <c r="Q6" s="68">
        <v>-65400</v>
      </c>
    </row>
    <row r="7" spans="1:17" x14ac:dyDescent="0.45">
      <c r="A7" s="21" t="s">
        <v>2</v>
      </c>
      <c r="B7" s="14">
        <v>23</v>
      </c>
      <c r="C7" s="8">
        <f t="shared" ref="C7:C14" si="2">IF(B$2=0,0,B7/B$2)</f>
        <v>0.44230769230769229</v>
      </c>
      <c r="E7" s="29" t="s">
        <v>67</v>
      </c>
      <c r="F7" s="26" t="s">
        <v>23</v>
      </c>
      <c r="G7" s="14">
        <v>32</v>
      </c>
      <c r="H7" s="92">
        <f t="shared" si="0"/>
        <v>0.24060150375939848</v>
      </c>
      <c r="I7" s="60">
        <v>5</v>
      </c>
      <c r="K7" s="7">
        <v>5</v>
      </c>
      <c r="L7" s="65">
        <v>143.1</v>
      </c>
      <c r="N7" s="79" t="s">
        <v>133</v>
      </c>
      <c r="O7" s="85">
        <f t="shared" si="1"/>
        <v>1416.6666666666667</v>
      </c>
      <c r="P7" s="82">
        <v>30</v>
      </c>
      <c r="Q7" s="69">
        <v>42500</v>
      </c>
    </row>
    <row r="8" spans="1:17" x14ac:dyDescent="0.45">
      <c r="A8" s="21" t="s">
        <v>3</v>
      </c>
      <c r="B8" s="14">
        <v>19</v>
      </c>
      <c r="C8" s="8">
        <f t="shared" si="2"/>
        <v>0.36538461538461536</v>
      </c>
      <c r="E8" s="29" t="s">
        <v>69</v>
      </c>
      <c r="F8" s="26" t="s">
        <v>24</v>
      </c>
      <c r="G8" s="14">
        <v>24</v>
      </c>
      <c r="H8" s="92">
        <f t="shared" si="0"/>
        <v>0.18045112781954886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2"/>
        <v>0.19230769230769232</v>
      </c>
      <c r="E9" s="29" t="s">
        <v>89</v>
      </c>
      <c r="F9" s="26" t="s">
        <v>44</v>
      </c>
      <c r="G9" s="14">
        <v>22</v>
      </c>
      <c r="H9" s="92">
        <f t="shared" si="0"/>
        <v>0.16541353383458646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14</v>
      </c>
      <c r="H10" s="92">
        <f t="shared" si="0"/>
        <v>0.10526315789473684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-0.29333333333333322</v>
      </c>
      <c r="P10" s="80">
        <v>15</v>
      </c>
      <c r="Q10" s="71">
        <v>-4.3999999999999986</v>
      </c>
    </row>
    <row r="11" spans="1:17" x14ac:dyDescent="0.45">
      <c r="A11" s="22" t="s">
        <v>186</v>
      </c>
      <c r="B11" s="113">
        <f>IF(B8=0,0,C11/B8)</f>
        <v>0.59473684210526323</v>
      </c>
      <c r="C11" s="114">
        <v>11.3</v>
      </c>
      <c r="E11" s="29" t="s">
        <v>71</v>
      </c>
      <c r="F11" s="26" t="s">
        <v>26</v>
      </c>
      <c r="G11" s="14">
        <v>13</v>
      </c>
      <c r="H11" s="92">
        <f t="shared" si="0"/>
        <v>9.7744360902255634E-2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14.310526315789469</v>
      </c>
      <c r="P11" s="81">
        <v>19</v>
      </c>
      <c r="Q11" s="72">
        <v>271.89999999999992</v>
      </c>
    </row>
    <row r="12" spans="1:17" x14ac:dyDescent="0.45">
      <c r="A12" s="22" t="s">
        <v>187</v>
      </c>
      <c r="B12" s="113">
        <f>IF(B9=0,0,C12/B9)</f>
        <v>-40.24</v>
      </c>
      <c r="C12" s="114">
        <v>-402.40000000000003</v>
      </c>
      <c r="E12" s="29" t="s">
        <v>86</v>
      </c>
      <c r="F12" s="26" t="s">
        <v>41</v>
      </c>
      <c r="G12" s="14">
        <v>11</v>
      </c>
      <c r="H12" s="92">
        <f t="shared" si="0"/>
        <v>8.2706766917293228E-2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1.7892601067887099</v>
      </c>
      <c r="C13" s="124"/>
      <c r="E13" s="29" t="s">
        <v>70</v>
      </c>
      <c r="F13" s="26" t="s">
        <v>25</v>
      </c>
      <c r="G13" s="14">
        <v>10</v>
      </c>
      <c r="H13" s="92">
        <f t="shared" si="0"/>
        <v>7.5187969924812026E-2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2"/>
        <v>5.7692307692307696E-2</v>
      </c>
      <c r="E14" s="29" t="s">
        <v>83</v>
      </c>
      <c r="F14" s="26" t="s">
        <v>38</v>
      </c>
      <c r="G14" s="14">
        <v>7</v>
      </c>
      <c r="H14" s="92">
        <f t="shared" si="0"/>
        <v>5.2631578947368418E-2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103</v>
      </c>
      <c r="C15" s="12">
        <f>IF(B$3=0,0,B15/B$3)</f>
        <v>0.25944584382871538</v>
      </c>
      <c r="E15" s="29" t="s">
        <v>156</v>
      </c>
      <c r="F15" s="26" t="s">
        <v>157</v>
      </c>
      <c r="G15" s="14">
        <v>4</v>
      </c>
      <c r="H15" s="92">
        <f t="shared" si="0"/>
        <v>3.007518796992481E-2</v>
      </c>
      <c r="I15" s="60">
        <v>1</v>
      </c>
      <c r="K15" s="7">
        <v>13</v>
      </c>
      <c r="L15" s="65">
        <v>197</v>
      </c>
      <c r="N15" s="77" t="s">
        <v>196</v>
      </c>
      <c r="O15" s="86">
        <f t="shared" ref="O15:O22" si="3"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66</v>
      </c>
      <c r="C16" s="8">
        <f>IF(B$3=0,0,B16/B$3)</f>
        <v>0.16624685138539042</v>
      </c>
      <c r="E16" s="29" t="s">
        <v>81</v>
      </c>
      <c r="F16" s="26" t="s">
        <v>36</v>
      </c>
      <c r="G16" s="14">
        <v>3</v>
      </c>
      <c r="H16" s="92">
        <f t="shared" si="0"/>
        <v>2.2556390977443608E-2</v>
      </c>
      <c r="I16" s="60">
        <v>6</v>
      </c>
      <c r="K16" s="7">
        <v>14</v>
      </c>
      <c r="L16" s="65">
        <v>249.2</v>
      </c>
      <c r="N16" s="78" t="s">
        <v>189</v>
      </c>
      <c r="O16" s="87">
        <f t="shared" si="3"/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64</v>
      </c>
      <c r="C17" s="6">
        <f>IF(B$15=0,0,B17/B$15)</f>
        <v>0.62135922330097082</v>
      </c>
      <c r="E17" s="29" t="s">
        <v>92</v>
      </c>
      <c r="F17" s="26" t="s">
        <v>47</v>
      </c>
      <c r="G17" s="14">
        <v>3</v>
      </c>
      <c r="H17" s="92">
        <f t="shared" si="0"/>
        <v>2.2556390977443608E-2</v>
      </c>
      <c r="I17" s="60">
        <v>3</v>
      </c>
      <c r="K17" s="7">
        <v>15</v>
      </c>
      <c r="L17" s="65">
        <v>213.5</v>
      </c>
      <c r="N17" s="78" t="s">
        <v>194</v>
      </c>
      <c r="O17" s="87">
        <f t="shared" si="3"/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0.51515151515151514</v>
      </c>
      <c r="E18" s="29" t="s">
        <v>78</v>
      </c>
      <c r="F18" s="26" t="s">
        <v>33</v>
      </c>
      <c r="G18" s="14">
        <v>2</v>
      </c>
      <c r="H18" s="92">
        <f t="shared" si="0"/>
        <v>1.5037593984962405E-2</v>
      </c>
      <c r="I18" s="60">
        <v>8</v>
      </c>
      <c r="K18" s="7">
        <v>16</v>
      </c>
      <c r="L18" s="65">
        <v>273.8</v>
      </c>
      <c r="N18" s="78" t="s">
        <v>192</v>
      </c>
      <c r="O18" s="87">
        <f t="shared" si="3"/>
        <v>25.471428571428575</v>
      </c>
      <c r="P18" s="81">
        <v>21</v>
      </c>
      <c r="Q18" s="72">
        <v>534.90000000000009</v>
      </c>
    </row>
    <row r="19" spans="1:17" x14ac:dyDescent="0.45">
      <c r="A19" s="20" t="s">
        <v>10</v>
      </c>
      <c r="B19" s="13">
        <f>B22+B21</f>
        <v>133</v>
      </c>
      <c r="C19" s="6">
        <f>IF(B$3=0,0,B19/B$3)</f>
        <v>0.33501259445843828</v>
      </c>
      <c r="E19" s="29" t="s">
        <v>79</v>
      </c>
      <c r="F19" s="26" t="s">
        <v>34</v>
      </c>
      <c r="G19" s="14">
        <v>2</v>
      </c>
      <c r="H19" s="92">
        <f t="shared" si="0"/>
        <v>1.5037593984962405E-2</v>
      </c>
      <c r="I19" s="60">
        <v>5</v>
      </c>
      <c r="K19" s="7">
        <v>17</v>
      </c>
      <c r="L19" s="65">
        <v>242.8</v>
      </c>
      <c r="N19" s="78" t="s">
        <v>193</v>
      </c>
      <c r="O19" s="87">
        <f t="shared" si="3"/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54</v>
      </c>
      <c r="C20" s="8">
        <f>IF(B$3=0,0,B20/B$3)</f>
        <v>0.13602015113350127</v>
      </c>
      <c r="E20" s="29" t="s">
        <v>91</v>
      </c>
      <c r="F20" s="26" t="s">
        <v>46</v>
      </c>
      <c r="G20" s="14">
        <v>2</v>
      </c>
      <c r="H20" s="92">
        <f t="shared" si="0"/>
        <v>1.5037593984962405E-2</v>
      </c>
      <c r="I20" s="60">
        <v>4</v>
      </c>
      <c r="K20" s="7">
        <v>18</v>
      </c>
      <c r="L20" s="65">
        <v>280</v>
      </c>
      <c r="N20" s="78" t="s">
        <v>164</v>
      </c>
      <c r="O20" s="87">
        <f t="shared" si="3"/>
        <v>13.743333333333329</v>
      </c>
      <c r="P20" s="81">
        <v>30</v>
      </c>
      <c r="Q20" s="72">
        <v>412.29999999999984</v>
      </c>
    </row>
    <row r="21" spans="1:17" x14ac:dyDescent="0.45">
      <c r="A21" s="21" t="s">
        <v>12</v>
      </c>
      <c r="B21" s="14">
        <v>69</v>
      </c>
      <c r="C21" s="8">
        <f>IF(B$19=0,0,B21/B$19)</f>
        <v>0.51879699248120303</v>
      </c>
      <c r="E21" s="29" t="s">
        <v>93</v>
      </c>
      <c r="F21" s="26" t="s">
        <v>48</v>
      </c>
      <c r="G21" s="14">
        <v>2</v>
      </c>
      <c r="H21" s="92">
        <f t="shared" si="0"/>
        <v>1.5037593984962405E-2</v>
      </c>
      <c r="I21" s="60">
        <v>1</v>
      </c>
      <c r="K21" s="7">
        <v>19</v>
      </c>
      <c r="L21" s="65">
        <v>281.5</v>
      </c>
      <c r="N21" s="78" t="s">
        <v>205</v>
      </c>
      <c r="O21" s="87">
        <f t="shared" si="3"/>
        <v>9.3538461538461526</v>
      </c>
      <c r="P21" s="81">
        <v>13</v>
      </c>
      <c r="Q21" s="72">
        <v>121.6</v>
      </c>
    </row>
    <row r="22" spans="1:17" x14ac:dyDescent="0.45">
      <c r="A22" s="21" t="s">
        <v>11</v>
      </c>
      <c r="B22" s="14">
        <v>64</v>
      </c>
      <c r="C22" s="8">
        <f>IF(B$19=0,0,B22/B$19)</f>
        <v>0.48120300751879697</v>
      </c>
      <c r="E22" s="29" t="s">
        <v>73</v>
      </c>
      <c r="F22" s="26" t="s">
        <v>28</v>
      </c>
      <c r="G22" s="14">
        <v>1</v>
      </c>
      <c r="H22" s="92">
        <f t="shared" si="0"/>
        <v>7.5187969924812026E-3</v>
      </c>
      <c r="I22" s="60">
        <v>2</v>
      </c>
      <c r="K22" s="7">
        <v>20</v>
      </c>
      <c r="L22" s="65">
        <v>287.2</v>
      </c>
      <c r="N22" s="78" t="s">
        <v>213</v>
      </c>
      <c r="O22" s="87">
        <f t="shared" si="3"/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64</v>
      </c>
      <c r="C23" s="8">
        <f>IF(B$19=0,0,B23/B$19)</f>
        <v>0.48120300751879697</v>
      </c>
      <c r="E23" s="29" t="s">
        <v>84</v>
      </c>
      <c r="F23" s="26" t="s">
        <v>39</v>
      </c>
      <c r="G23" s="14">
        <v>1</v>
      </c>
      <c r="H23" s="92">
        <f t="shared" si="0"/>
        <v>7.5187969924812026E-3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0.25563909774436089</v>
      </c>
      <c r="E24" s="29" t="s">
        <v>87</v>
      </c>
      <c r="F24" s="26" t="s">
        <v>42</v>
      </c>
      <c r="G24" s="14">
        <v>1</v>
      </c>
      <c r="H24" s="92">
        <f t="shared" si="0"/>
        <v>7.5187969924812026E-3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35</v>
      </c>
      <c r="C25" s="8">
        <f>IF(B$19=0,0,B25/B$19)</f>
        <v>0.26315789473684209</v>
      </c>
      <c r="E25" s="29" t="s">
        <v>95</v>
      </c>
      <c r="F25" s="26" t="s">
        <v>50</v>
      </c>
      <c r="G25" s="14">
        <v>1</v>
      </c>
      <c r="H25" s="92">
        <f t="shared" si="0"/>
        <v>7.5187969924812026E-3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10085.714285714286</v>
      </c>
      <c r="C26" s="10">
        <v>1341400</v>
      </c>
      <c r="E26" s="29" t="s">
        <v>74</v>
      </c>
      <c r="F26" s="26" t="s">
        <v>29</v>
      </c>
      <c r="G26" s="14">
        <v>0</v>
      </c>
      <c r="H26" s="92">
        <f t="shared" si="0"/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10378.787878787878</v>
      </c>
      <c r="C27" s="100">
        <v>1027500</v>
      </c>
      <c r="E27" s="29" t="s">
        <v>75</v>
      </c>
      <c r="F27" s="26" t="s">
        <v>30</v>
      </c>
      <c r="G27" s="14">
        <v>0</v>
      </c>
      <c r="H27" s="92">
        <f t="shared" si="0"/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-8479.6296296296296</v>
      </c>
      <c r="C29" s="100">
        <v>-457900</v>
      </c>
      <c r="E29" s="29" t="s">
        <v>77</v>
      </c>
      <c r="F29" s="26" t="s">
        <v>32</v>
      </c>
      <c r="G29" s="14">
        <v>0</v>
      </c>
      <c r="H29" s="92">
        <f t="shared" si="0"/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80</v>
      </c>
      <c r="F30" s="26" t="s">
        <v>35</v>
      </c>
      <c r="G30" s="14">
        <v>0</v>
      </c>
      <c r="H30" s="92">
        <f t="shared" si="0"/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</v>
      </c>
      <c r="E31" s="29" t="s">
        <v>82</v>
      </c>
      <c r="F31" s="26" t="s">
        <v>37</v>
      </c>
      <c r="G31" s="14">
        <v>0</v>
      </c>
      <c r="H31" s="92">
        <f t="shared" si="0"/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 t="shared" si="0"/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5">IF(B$19=0,0,B36/B$19)</f>
        <v>5.2631578947368418E-2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5"/>
        <v>0.15037593984962405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5"/>
        <v>0.14285714285714285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28</v>
      </c>
      <c r="C39" s="8">
        <f t="shared" si="5"/>
        <v>0.21052631578947367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5"/>
        <v>0.20300751879699247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5"/>
        <v>7.5187969924812026E-2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6</v>
      </c>
      <c r="C42" s="8">
        <f t="shared" si="5"/>
        <v>4.5112781954887216E-2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5"/>
        <v>2.2556390977443608E-2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5"/>
        <v>3.007518796992481E-2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5"/>
        <v>1.5037593984962405E-2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5"/>
        <v>7.5187969924812026E-3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5"/>
        <v>4.5112781954887216E-2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</v>
      </c>
      <c r="C2" s="132"/>
      <c r="E2" s="28" t="s">
        <v>66</v>
      </c>
      <c r="F2" s="25" t="s">
        <v>22</v>
      </c>
      <c r="G2" s="13">
        <v>27</v>
      </c>
      <c r="H2" s="91">
        <f t="shared" ref="H2:H33" si="0">IF(B$19=0,0,G2/B$19)</f>
        <v>0.75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1">IF(P2=0,0,Q2/P2)</f>
        <v>-4610</v>
      </c>
      <c r="P2" s="80">
        <v>20</v>
      </c>
      <c r="Q2" s="67">
        <v>-92200</v>
      </c>
    </row>
    <row r="3" spans="1:17" x14ac:dyDescent="0.45">
      <c r="A3" s="21" t="s">
        <v>8</v>
      </c>
      <c r="B3" s="133">
        <v>140</v>
      </c>
      <c r="C3" s="134"/>
      <c r="E3" s="29" t="s">
        <v>64</v>
      </c>
      <c r="F3" s="26" t="s">
        <v>20</v>
      </c>
      <c r="G3" s="14">
        <v>17</v>
      </c>
      <c r="H3" s="92">
        <f t="shared" si="0"/>
        <v>0.47222222222222221</v>
      </c>
      <c r="I3" s="60">
        <v>4</v>
      </c>
      <c r="K3" s="7">
        <v>1</v>
      </c>
      <c r="L3" s="65">
        <v>-55.5</v>
      </c>
      <c r="N3" s="78" t="s">
        <v>129</v>
      </c>
      <c r="O3" s="84">
        <f t="shared" si="1"/>
        <v>757.89473684210532</v>
      </c>
      <c r="P3" s="81">
        <v>19</v>
      </c>
      <c r="Q3" s="68">
        <v>14400</v>
      </c>
    </row>
    <row r="4" spans="1:17" x14ac:dyDescent="0.45">
      <c r="A4" s="21" t="s">
        <v>6</v>
      </c>
      <c r="B4" s="135">
        <v>-202.59999999999997</v>
      </c>
      <c r="C4" s="136"/>
      <c r="E4" s="29" t="s">
        <v>72</v>
      </c>
      <c r="F4" s="26" t="s">
        <v>27</v>
      </c>
      <c r="G4" s="14">
        <v>15</v>
      </c>
      <c r="H4" s="92">
        <f t="shared" si="0"/>
        <v>0.41666666666666669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1"/>
        <v>-4517.6470588235297</v>
      </c>
      <c r="P4" s="81">
        <v>17</v>
      </c>
      <c r="Q4" s="68">
        <v>-76800</v>
      </c>
    </row>
    <row r="5" spans="1:17" x14ac:dyDescent="0.45">
      <c r="A5" s="21" t="s">
        <v>7</v>
      </c>
      <c r="B5" s="123">
        <f>IF(B$2=0,0,B$4/B$2)</f>
        <v>-10.129999999999999</v>
      </c>
      <c r="C5" s="124"/>
      <c r="E5" s="29" t="s">
        <v>160</v>
      </c>
      <c r="F5" s="26" t="s">
        <v>161</v>
      </c>
      <c r="G5" s="14">
        <v>15</v>
      </c>
      <c r="H5" s="92">
        <f t="shared" si="0"/>
        <v>0.41666666666666669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1"/>
        <v>2546.1538461538462</v>
      </c>
      <c r="P5" s="81">
        <v>13</v>
      </c>
      <c r="Q5" s="68">
        <v>33100</v>
      </c>
    </row>
    <row r="6" spans="1:17" x14ac:dyDescent="0.45">
      <c r="A6" s="21" t="s">
        <v>1</v>
      </c>
      <c r="B6" s="137">
        <f>IF(B$2=0,0,(B$7*1+B$8*2+B$9*3)/B$2)</f>
        <v>2.35</v>
      </c>
      <c r="C6" s="138"/>
      <c r="E6" s="29" t="s">
        <v>68</v>
      </c>
      <c r="F6" s="26" t="s">
        <v>12</v>
      </c>
      <c r="G6" s="14">
        <v>12</v>
      </c>
      <c r="H6" s="92">
        <f t="shared" si="0"/>
        <v>0.33333333333333331</v>
      </c>
      <c r="I6" s="60">
        <v>4</v>
      </c>
      <c r="K6" s="7">
        <v>4</v>
      </c>
      <c r="L6" s="65">
        <v>-115.5</v>
      </c>
      <c r="N6" s="78" t="s">
        <v>132</v>
      </c>
      <c r="O6" s="84">
        <f t="shared" si="1"/>
        <v>1750</v>
      </c>
      <c r="P6" s="81">
        <v>10</v>
      </c>
      <c r="Q6" s="68">
        <v>17500</v>
      </c>
    </row>
    <row r="7" spans="1:17" x14ac:dyDescent="0.45">
      <c r="A7" s="21" t="s">
        <v>2</v>
      </c>
      <c r="B7" s="14">
        <v>3</v>
      </c>
      <c r="C7" s="8">
        <f t="shared" ref="C7:C14" si="2">IF(B$2=0,0,B7/B$2)</f>
        <v>0.15</v>
      </c>
      <c r="E7" s="29" t="s">
        <v>67</v>
      </c>
      <c r="F7" s="26" t="s">
        <v>23</v>
      </c>
      <c r="G7" s="14">
        <v>8</v>
      </c>
      <c r="H7" s="92">
        <f t="shared" si="0"/>
        <v>0.22222222222222221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1"/>
        <v>-4855.5555555555557</v>
      </c>
      <c r="P7" s="82">
        <v>9</v>
      </c>
      <c r="Q7" s="69">
        <v>-43700</v>
      </c>
    </row>
    <row r="8" spans="1:17" x14ac:dyDescent="0.45">
      <c r="A8" s="21" t="s">
        <v>3</v>
      </c>
      <c r="B8" s="14">
        <v>7</v>
      </c>
      <c r="C8" s="8">
        <f t="shared" si="2"/>
        <v>0.35</v>
      </c>
      <c r="E8" s="29" t="s">
        <v>69</v>
      </c>
      <c r="F8" s="26" t="s">
        <v>24</v>
      </c>
      <c r="G8" s="14">
        <v>5</v>
      </c>
      <c r="H8" s="92">
        <f t="shared" si="0"/>
        <v>0.1388888888888889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2"/>
        <v>0.5</v>
      </c>
      <c r="E9" s="29" t="s">
        <v>65</v>
      </c>
      <c r="F9" s="26" t="s">
        <v>21</v>
      </c>
      <c r="G9" s="14">
        <v>4</v>
      </c>
      <c r="H9" s="92">
        <f t="shared" si="0"/>
        <v>0.1111111111111111</v>
      </c>
      <c r="I9" s="60">
        <v>4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58.4</v>
      </c>
      <c r="C10" s="114">
        <v>175.2</v>
      </c>
      <c r="E10" s="29" t="s">
        <v>89</v>
      </c>
      <c r="F10" s="26" t="s">
        <v>44</v>
      </c>
      <c r="G10" s="14">
        <v>4</v>
      </c>
      <c r="H10" s="92">
        <f t="shared" si="0"/>
        <v>0.1111111111111111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-1.7857142857142854</v>
      </c>
      <c r="C11" s="114">
        <v>-12.499999999999998</v>
      </c>
      <c r="E11" s="29" t="s">
        <v>86</v>
      </c>
      <c r="F11" s="26" t="s">
        <v>41</v>
      </c>
      <c r="G11" s="14">
        <v>3</v>
      </c>
      <c r="H11" s="92">
        <f t="shared" si="0"/>
        <v>8.3333333333333329E-2</v>
      </c>
      <c r="I11" s="60">
        <v>3</v>
      </c>
      <c r="K11" s="7">
        <v>9</v>
      </c>
      <c r="L11" s="65">
        <v>-172.39999999999998</v>
      </c>
      <c r="N11" s="78" t="s">
        <v>153</v>
      </c>
      <c r="O11" s="87">
        <f>IF(P11=0,0,Q11/P11)</f>
        <v>-7.666666666666667</v>
      </c>
      <c r="P11" s="81">
        <v>9</v>
      </c>
      <c r="Q11" s="72">
        <v>-69</v>
      </c>
    </row>
    <row r="12" spans="1:17" x14ac:dyDescent="0.45">
      <c r="A12" s="22" t="s">
        <v>187</v>
      </c>
      <c r="B12" s="113">
        <f>IF(B9=0,0,C12/B9)</f>
        <v>-36.53</v>
      </c>
      <c r="C12" s="114">
        <v>-365.3</v>
      </c>
      <c r="E12" s="29" t="s">
        <v>70</v>
      </c>
      <c r="F12" s="26" t="s">
        <v>25</v>
      </c>
      <c r="G12" s="14">
        <v>2</v>
      </c>
      <c r="H12" s="92">
        <f t="shared" si="0"/>
        <v>5.5555555555555552E-2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3.816666666666666</v>
      </c>
      <c r="P12" s="82">
        <v>6</v>
      </c>
      <c r="Q12" s="73">
        <v>22.899999999999995</v>
      </c>
    </row>
    <row r="13" spans="1:17" x14ac:dyDescent="0.45">
      <c r="A13" s="22" t="s">
        <v>188</v>
      </c>
      <c r="B13" s="123">
        <f>AVERAGE(B10:B12)</f>
        <v>6.6947619047619042</v>
      </c>
      <c r="C13" s="124"/>
      <c r="E13" s="29" t="s">
        <v>71</v>
      </c>
      <c r="F13" s="26" t="s">
        <v>26</v>
      </c>
      <c r="G13" s="14">
        <v>1</v>
      </c>
      <c r="H13" s="92">
        <f t="shared" si="0"/>
        <v>2.7777777777777776E-2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2"/>
        <v>0.25</v>
      </c>
      <c r="E14" s="29" t="s">
        <v>78</v>
      </c>
      <c r="F14" s="26" t="s">
        <v>33</v>
      </c>
      <c r="G14" s="14">
        <v>1</v>
      </c>
      <c r="H14" s="92">
        <f t="shared" si="0"/>
        <v>2.7777777777777776E-2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37</v>
      </c>
      <c r="C15" s="12">
        <f>IF(B$3=0,0,B15/B$3)</f>
        <v>0.26428571428571429</v>
      </c>
      <c r="E15" s="29" t="s">
        <v>81</v>
      </c>
      <c r="F15" s="26" t="s">
        <v>36</v>
      </c>
      <c r="G15" s="14">
        <v>1</v>
      </c>
      <c r="H15" s="92">
        <f t="shared" si="0"/>
        <v>2.7777777777777776E-2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0" si="3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17</v>
      </c>
      <c r="C16" s="8">
        <f>IF(B$3=0,0,B16/B$3)</f>
        <v>0.12142857142857143</v>
      </c>
      <c r="E16" s="29" t="s">
        <v>87</v>
      </c>
      <c r="F16" s="26" t="s">
        <v>42</v>
      </c>
      <c r="G16" s="14">
        <v>1</v>
      </c>
      <c r="H16" s="92">
        <f t="shared" si="0"/>
        <v>2.7777777777777776E-2</v>
      </c>
      <c r="I16" s="60">
        <v>1</v>
      </c>
      <c r="K16" s="7">
        <v>14</v>
      </c>
      <c r="L16" s="65">
        <v>-330.7</v>
      </c>
      <c r="N16" s="78" t="s">
        <v>192</v>
      </c>
      <c r="O16" s="87">
        <f t="shared" si="3"/>
        <v>-5.5600000000000005</v>
      </c>
      <c r="P16" s="81">
        <v>10</v>
      </c>
      <c r="Q16" s="72">
        <v>-55.600000000000009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0.45945945945945948</v>
      </c>
      <c r="E17" s="29" t="s">
        <v>91</v>
      </c>
      <c r="F17" s="26" t="s">
        <v>46</v>
      </c>
      <c r="G17" s="14">
        <v>1</v>
      </c>
      <c r="H17" s="92">
        <f t="shared" si="0"/>
        <v>2.7777777777777776E-2</v>
      </c>
      <c r="I17" s="60">
        <v>2</v>
      </c>
      <c r="K17" s="7">
        <v>15</v>
      </c>
      <c r="L17" s="65">
        <v>-284.09999999999997</v>
      </c>
      <c r="N17" s="78" t="s">
        <v>205</v>
      </c>
      <c r="O17" s="87">
        <f t="shared" si="3"/>
        <v>-8.9499999999999993</v>
      </c>
      <c r="P17" s="81">
        <v>4</v>
      </c>
      <c r="Q17" s="72">
        <v>-35.799999999999997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0.47058823529411764</v>
      </c>
      <c r="E18" s="29" t="s">
        <v>92</v>
      </c>
      <c r="F18" s="26" t="s">
        <v>47</v>
      </c>
      <c r="G18" s="14">
        <v>1</v>
      </c>
      <c r="H18" s="92">
        <f t="shared" si="0"/>
        <v>2.7777777777777776E-2</v>
      </c>
      <c r="I18" s="60">
        <v>1</v>
      </c>
      <c r="K18" s="7">
        <v>16</v>
      </c>
      <c r="L18" s="65">
        <v>-234.59999999999997</v>
      </c>
      <c r="N18" s="78" t="s">
        <v>196</v>
      </c>
      <c r="O18" s="87">
        <f t="shared" si="3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36</v>
      </c>
      <c r="C19" s="6">
        <f>IF(B$3=0,0,B19/B$3)</f>
        <v>0.25714285714285712</v>
      </c>
      <c r="E19" s="29" t="s">
        <v>73</v>
      </c>
      <c r="F19" s="26" t="s">
        <v>28</v>
      </c>
      <c r="G19" s="14">
        <v>0</v>
      </c>
      <c r="H19" s="92">
        <f t="shared" si="0"/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3"/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22</v>
      </c>
      <c r="C20" s="8">
        <f>IF(B$3=0,0,B20/B$3)</f>
        <v>0.15714285714285714</v>
      </c>
      <c r="E20" s="29" t="s">
        <v>74</v>
      </c>
      <c r="F20" s="26" t="s">
        <v>29</v>
      </c>
      <c r="G20" s="14">
        <v>0</v>
      </c>
      <c r="H20" s="92">
        <f t="shared" si="0"/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3"/>
        <v>-42.9</v>
      </c>
      <c r="P20" s="81">
        <v>9</v>
      </c>
      <c r="Q20" s="72">
        <v>-386.09999999999997</v>
      </c>
    </row>
    <row r="21" spans="1:17" x14ac:dyDescent="0.45">
      <c r="A21" s="21" t="s">
        <v>12</v>
      </c>
      <c r="B21" s="14">
        <v>15</v>
      </c>
      <c r="C21" s="8">
        <f>IF(B$19=0,0,B21/B$19)</f>
        <v>0.41666666666666669</v>
      </c>
      <c r="E21" s="29" t="s">
        <v>75</v>
      </c>
      <c r="F21" s="26" t="s">
        <v>30</v>
      </c>
      <c r="G21" s="14">
        <v>0</v>
      </c>
      <c r="H21" s="92">
        <f t="shared" si="0"/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21</v>
      </c>
      <c r="C22" s="8">
        <f>IF(B$19=0,0,B22/B$19)</f>
        <v>0.58333333333333337</v>
      </c>
      <c r="E22" s="29" t="s">
        <v>76</v>
      </c>
      <c r="F22" s="26" t="s">
        <v>31</v>
      </c>
      <c r="G22" s="14">
        <v>0</v>
      </c>
      <c r="H22" s="92">
        <f t="shared" si="0"/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17</v>
      </c>
      <c r="C23" s="8">
        <f>IF(B$19=0,0,B23/B$19)</f>
        <v>0.47222222222222221</v>
      </c>
      <c r="E23" s="29" t="s">
        <v>77</v>
      </c>
      <c r="F23" s="26" t="s">
        <v>32</v>
      </c>
      <c r="G23" s="14">
        <v>0</v>
      </c>
      <c r="H23" s="92">
        <f t="shared" si="0"/>
        <v>0</v>
      </c>
      <c r="I23" s="60">
        <v>4</v>
      </c>
    </row>
    <row r="24" spans="1:17" x14ac:dyDescent="0.45">
      <c r="A24" s="21" t="s">
        <v>182</v>
      </c>
      <c r="B24" s="14">
        <v>8</v>
      </c>
      <c r="C24" s="8">
        <f>IF(B$19=0,0,B24/B$19)</f>
        <v>0.22222222222222221</v>
      </c>
      <c r="E24" s="29" t="s">
        <v>79</v>
      </c>
      <c r="F24" s="26" t="s">
        <v>34</v>
      </c>
      <c r="G24" s="14">
        <v>0</v>
      </c>
      <c r="H24" s="92">
        <f t="shared" si="0"/>
        <v>0</v>
      </c>
      <c r="I24" s="60">
        <v>6</v>
      </c>
    </row>
    <row r="25" spans="1:17" x14ac:dyDescent="0.45">
      <c r="A25" s="21" t="s">
        <v>183</v>
      </c>
      <c r="B25" s="14">
        <v>11</v>
      </c>
      <c r="C25" s="8">
        <f>IF(B$19=0,0,B25/B$19)</f>
        <v>0.30555555555555558</v>
      </c>
      <c r="E25" s="29" t="s">
        <v>80</v>
      </c>
      <c r="F25" s="26" t="s">
        <v>35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8522.2222222222226</v>
      </c>
      <c r="C26" s="10">
        <v>306800</v>
      </c>
      <c r="E26" s="29" t="s">
        <v>82</v>
      </c>
      <c r="F26" s="26" t="s">
        <v>37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9846.4285714285706</v>
      </c>
      <c r="C27" s="100">
        <v>275700</v>
      </c>
      <c r="E27" s="29" t="s">
        <v>83</v>
      </c>
      <c r="F27" s="26" t="s">
        <v>38</v>
      </c>
      <c r="G27" s="14">
        <v>0</v>
      </c>
      <c r="H27" s="92">
        <f t="shared" si="0"/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3887.5</v>
      </c>
      <c r="C28" s="100">
        <v>31100</v>
      </c>
      <c r="E28" s="29" t="s">
        <v>84</v>
      </c>
      <c r="F28" s="26" t="s">
        <v>39</v>
      </c>
      <c r="G28" s="14">
        <v>0</v>
      </c>
      <c r="H28" s="92">
        <f t="shared" si="0"/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-7845.454545454545</v>
      </c>
      <c r="C29" s="100">
        <v>-172600</v>
      </c>
      <c r="E29" s="29" t="s">
        <v>85</v>
      </c>
      <c r="F29" s="26" t="s">
        <v>40</v>
      </c>
      <c r="G29" s="14">
        <v>0</v>
      </c>
      <c r="H29" s="92">
        <f t="shared" si="0"/>
        <v>0</v>
      </c>
      <c r="I29" s="60">
        <v>3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26</v>
      </c>
      <c r="C31" s="94">
        <v>1</v>
      </c>
      <c r="E31" s="29" t="s">
        <v>90</v>
      </c>
      <c r="F31" s="26" t="s">
        <v>45</v>
      </c>
      <c r="G31" s="14">
        <v>0</v>
      </c>
      <c r="H31" s="92">
        <f t="shared" si="0"/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5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3</v>
      </c>
    </row>
    <row r="37" spans="1:9" x14ac:dyDescent="0.45">
      <c r="A37" s="21" t="s">
        <v>168</v>
      </c>
      <c r="B37" s="14">
        <v>7</v>
      </c>
      <c r="C37" s="8">
        <f t="shared" si="5"/>
        <v>0.19444444444444445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5"/>
        <v>0.22222222222222221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5"/>
        <v>0.1111111111111111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5"/>
        <v>8.3333333333333329E-2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5"/>
        <v>0.16666666666666666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5"/>
        <v>2.7777777777777776E-2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5"/>
        <v>0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5"/>
        <v>2.7777777777777776E-2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5"/>
        <v>2.7777777777777776E-2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5"/>
        <v>0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5"/>
        <v>2.7777777777777776E-2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4"/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37</v>
      </c>
      <c r="C2" s="132"/>
      <c r="E2" s="28" t="s">
        <v>72</v>
      </c>
      <c r="F2" s="25" t="s">
        <v>27</v>
      </c>
      <c r="G2" s="13">
        <v>50</v>
      </c>
      <c r="H2" s="91">
        <f t="shared" ref="H2:H33" si="0">IF(B$19=0,0,G2/B$19)</f>
        <v>0.64935064935064934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1">IF(P2=0,0,Q2/P2)</f>
        <v>1052.7777777777778</v>
      </c>
      <c r="P2" s="80">
        <v>36</v>
      </c>
      <c r="Q2" s="67">
        <v>37900</v>
      </c>
    </row>
    <row r="3" spans="1:17" x14ac:dyDescent="0.45">
      <c r="A3" s="21" t="s">
        <v>8</v>
      </c>
      <c r="B3" s="133">
        <v>287</v>
      </c>
      <c r="C3" s="134"/>
      <c r="E3" s="29" t="s">
        <v>66</v>
      </c>
      <c r="F3" s="26" t="s">
        <v>22</v>
      </c>
      <c r="G3" s="14">
        <v>45</v>
      </c>
      <c r="H3" s="92">
        <f t="shared" si="0"/>
        <v>0.58441558441558439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1"/>
        <v>-916.66666666666663</v>
      </c>
      <c r="P3" s="81">
        <v>36</v>
      </c>
      <c r="Q3" s="68">
        <v>-33000</v>
      </c>
    </row>
    <row r="4" spans="1:17" x14ac:dyDescent="0.45">
      <c r="A4" s="21" t="s">
        <v>6</v>
      </c>
      <c r="B4" s="135">
        <v>-171.09999999999997</v>
      </c>
      <c r="C4" s="136"/>
      <c r="E4" s="29" t="s">
        <v>64</v>
      </c>
      <c r="F4" s="26" t="s">
        <v>20</v>
      </c>
      <c r="G4" s="14">
        <v>36</v>
      </c>
      <c r="H4" s="92">
        <f t="shared" si="0"/>
        <v>0.46753246753246752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1"/>
        <v>-1572.2222222222222</v>
      </c>
      <c r="P4" s="81">
        <v>36</v>
      </c>
      <c r="Q4" s="68">
        <v>-56600</v>
      </c>
    </row>
    <row r="5" spans="1:17" x14ac:dyDescent="0.45">
      <c r="A5" s="21" t="s">
        <v>7</v>
      </c>
      <c r="B5" s="123">
        <f>IF(B$2=0,0,B$4/B$2)</f>
        <v>-4.6243243243243235</v>
      </c>
      <c r="C5" s="124"/>
      <c r="E5" s="29" t="s">
        <v>160</v>
      </c>
      <c r="F5" s="26" t="s">
        <v>161</v>
      </c>
      <c r="G5" s="14">
        <v>32</v>
      </c>
      <c r="H5" s="92">
        <f t="shared" si="0"/>
        <v>0.41558441558441561</v>
      </c>
      <c r="I5" s="60">
        <v>7</v>
      </c>
      <c r="K5" s="7">
        <v>3</v>
      </c>
      <c r="L5" s="65">
        <v>-48.5</v>
      </c>
      <c r="N5" s="78" t="s">
        <v>131</v>
      </c>
      <c r="O5" s="84">
        <f t="shared" si="1"/>
        <v>-1081.8181818181818</v>
      </c>
      <c r="P5" s="81">
        <v>33</v>
      </c>
      <c r="Q5" s="68">
        <v>-35700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21</v>
      </c>
      <c r="H6" s="92">
        <f t="shared" si="0"/>
        <v>0.27272727272727271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1"/>
        <v>-2903.5714285714284</v>
      </c>
      <c r="P6" s="81">
        <v>28</v>
      </c>
      <c r="Q6" s="68">
        <v>-81300</v>
      </c>
    </row>
    <row r="7" spans="1:17" x14ac:dyDescent="0.45">
      <c r="A7" s="21" t="s">
        <v>2</v>
      </c>
      <c r="B7" s="14">
        <v>11</v>
      </c>
      <c r="C7" s="8">
        <f t="shared" ref="C7:C14" si="2">IF(B$2=0,0,B7/B$2)</f>
        <v>0.29729729729729731</v>
      </c>
      <c r="E7" s="29" t="s">
        <v>68</v>
      </c>
      <c r="F7" s="26" t="s">
        <v>12</v>
      </c>
      <c r="G7" s="14">
        <v>21</v>
      </c>
      <c r="H7" s="92">
        <f t="shared" si="0"/>
        <v>0.27272727272727271</v>
      </c>
      <c r="I7" s="60">
        <v>6</v>
      </c>
      <c r="K7" s="7">
        <v>5</v>
      </c>
      <c r="L7" s="65">
        <v>-96.5</v>
      </c>
      <c r="N7" s="79" t="s">
        <v>133</v>
      </c>
      <c r="O7" s="85">
        <f t="shared" si="1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15</v>
      </c>
      <c r="C8" s="8">
        <f t="shared" si="2"/>
        <v>0.40540540540540543</v>
      </c>
      <c r="E8" s="29" t="s">
        <v>89</v>
      </c>
      <c r="F8" s="26" t="s">
        <v>44</v>
      </c>
      <c r="G8" s="14">
        <v>10</v>
      </c>
      <c r="H8" s="92">
        <f t="shared" si="0"/>
        <v>0.12987012987012986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2"/>
        <v>0.29729729729729731</v>
      </c>
      <c r="E9" s="29" t="s">
        <v>69</v>
      </c>
      <c r="F9" s="26" t="s">
        <v>24</v>
      </c>
      <c r="G9" s="14">
        <v>8</v>
      </c>
      <c r="H9" s="92">
        <f t="shared" si="0"/>
        <v>0.1038961038961039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34.618181818181817</v>
      </c>
      <c r="C10" s="114">
        <v>380.8</v>
      </c>
      <c r="E10" s="29" t="s">
        <v>65</v>
      </c>
      <c r="F10" s="26" t="s">
        <v>21</v>
      </c>
      <c r="G10" s="14">
        <v>6</v>
      </c>
      <c r="H10" s="92">
        <f t="shared" si="0"/>
        <v>7.792207792207792E-2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-14.30909090909091</v>
      </c>
      <c r="P10" s="80">
        <v>11</v>
      </c>
      <c r="Q10" s="71">
        <v>-157.4</v>
      </c>
    </row>
    <row r="11" spans="1:17" x14ac:dyDescent="0.45">
      <c r="A11" s="22" t="s">
        <v>186</v>
      </c>
      <c r="B11" s="113">
        <f>IF(B8=0,0,C11/B8)</f>
        <v>-7.26</v>
      </c>
      <c r="C11" s="114">
        <v>-108.89999999999999</v>
      </c>
      <c r="E11" s="29" t="s">
        <v>71</v>
      </c>
      <c r="F11" s="26" t="s">
        <v>26</v>
      </c>
      <c r="G11" s="14">
        <v>6</v>
      </c>
      <c r="H11" s="92">
        <f t="shared" si="0"/>
        <v>7.792207792207792E-2</v>
      </c>
      <c r="I11" s="60">
        <v>5</v>
      </c>
      <c r="K11" s="7">
        <v>9</v>
      </c>
      <c r="L11" s="65">
        <v>-20.3</v>
      </c>
      <c r="N11" s="78" t="s">
        <v>153</v>
      </c>
      <c r="O11" s="87">
        <f>IF(P11=0,0,Q11/P11)</f>
        <v>-7.6916666666666673</v>
      </c>
      <c r="P11" s="81">
        <v>12</v>
      </c>
      <c r="Q11" s="72">
        <v>-92.300000000000011</v>
      </c>
    </row>
    <row r="12" spans="1:17" x14ac:dyDescent="0.45">
      <c r="A12" s="22" t="s">
        <v>187</v>
      </c>
      <c r="B12" s="113">
        <f>IF(B9=0,0,C12/B9)</f>
        <v>-40.272727272727273</v>
      </c>
      <c r="C12" s="114">
        <v>-443</v>
      </c>
      <c r="E12" s="29" t="s">
        <v>79</v>
      </c>
      <c r="F12" s="26" t="s">
        <v>34</v>
      </c>
      <c r="G12" s="14">
        <v>5</v>
      </c>
      <c r="H12" s="92">
        <f t="shared" si="0"/>
        <v>6.4935064935064929E-2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-4.3048484848484847</v>
      </c>
      <c r="C13" s="124"/>
      <c r="E13" s="29" t="s">
        <v>83</v>
      </c>
      <c r="F13" s="26" t="s">
        <v>38</v>
      </c>
      <c r="G13" s="14">
        <v>5</v>
      </c>
      <c r="H13" s="92">
        <f t="shared" si="0"/>
        <v>6.4935064935064929E-2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2"/>
        <v>0.10810810810810811</v>
      </c>
      <c r="E14" s="29" t="s">
        <v>70</v>
      </c>
      <c r="F14" s="26" t="s">
        <v>25</v>
      </c>
      <c r="G14" s="14">
        <v>4</v>
      </c>
      <c r="H14" s="92">
        <f t="shared" si="0"/>
        <v>5.1948051948051951E-2</v>
      </c>
      <c r="I14" s="60">
        <v>7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0.25783972125435539</v>
      </c>
      <c r="E15" s="29" t="s">
        <v>78</v>
      </c>
      <c r="F15" s="26" t="s">
        <v>33</v>
      </c>
      <c r="G15" s="14">
        <v>3</v>
      </c>
      <c r="H15" s="92">
        <f t="shared" si="0"/>
        <v>3.896103896103896E-2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3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67</v>
      </c>
      <c r="C16" s="8">
        <f>IF(B$3=0,0,B16/B$3)</f>
        <v>0.23344947735191637</v>
      </c>
      <c r="E16" s="29" t="s">
        <v>86</v>
      </c>
      <c r="F16" s="26" t="s">
        <v>41</v>
      </c>
      <c r="G16" s="14">
        <v>2</v>
      </c>
      <c r="H16" s="92">
        <f t="shared" si="0"/>
        <v>2.5974025974025976E-2</v>
      </c>
      <c r="I16" s="60">
        <v>8</v>
      </c>
      <c r="K16" s="7">
        <v>14</v>
      </c>
      <c r="L16" s="65">
        <v>-149.39999999999998</v>
      </c>
      <c r="N16" s="78" t="s">
        <v>193</v>
      </c>
      <c r="O16" s="87">
        <f t="shared" si="3"/>
        <v>13.238461538461543</v>
      </c>
      <c r="P16" s="81">
        <v>13</v>
      </c>
      <c r="Q16" s="72">
        <v>172.10000000000005</v>
      </c>
    </row>
    <row r="17" spans="1:17" x14ac:dyDescent="0.45">
      <c r="A17" s="20" t="s">
        <v>123</v>
      </c>
      <c r="B17" s="13">
        <f>B23</f>
        <v>39</v>
      </c>
      <c r="C17" s="6">
        <f>IF(B$15=0,0,B17/B$15)</f>
        <v>0.52702702702702697</v>
      </c>
      <c r="E17" s="29" t="s">
        <v>81</v>
      </c>
      <c r="F17" s="26" t="s">
        <v>36</v>
      </c>
      <c r="G17" s="14">
        <v>1</v>
      </c>
      <c r="H17" s="92">
        <f t="shared" si="0"/>
        <v>1.2987012987012988E-2</v>
      </c>
      <c r="I17" s="60">
        <v>7</v>
      </c>
      <c r="K17" s="7">
        <v>15</v>
      </c>
      <c r="L17" s="65">
        <v>-121.39999999999998</v>
      </c>
      <c r="N17" s="78" t="s">
        <v>194</v>
      </c>
      <c r="O17" s="87">
        <f t="shared" si="3"/>
        <v>5.5600000000000005</v>
      </c>
      <c r="P17" s="81">
        <v>10</v>
      </c>
      <c r="Q17" s="72">
        <v>55.6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0.34328358208955223</v>
      </c>
      <c r="E18" s="29" t="s">
        <v>91</v>
      </c>
      <c r="F18" s="26" t="s">
        <v>46</v>
      </c>
      <c r="G18" s="14">
        <v>1</v>
      </c>
      <c r="H18" s="92">
        <f t="shared" si="0"/>
        <v>1.2987012987012988E-2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 t="shared" si="3"/>
        <v>-5.7499999999999982</v>
      </c>
      <c r="P18" s="81">
        <v>16</v>
      </c>
      <c r="Q18" s="72">
        <v>-91.999999999999972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0.26829268292682928</v>
      </c>
      <c r="E19" s="29" t="s">
        <v>92</v>
      </c>
      <c r="F19" s="26" t="s">
        <v>47</v>
      </c>
      <c r="G19" s="14">
        <v>1</v>
      </c>
      <c r="H19" s="92">
        <f t="shared" si="0"/>
        <v>1.2987012987012988E-2</v>
      </c>
      <c r="I19" s="60">
        <v>5</v>
      </c>
      <c r="K19" s="7">
        <v>17</v>
      </c>
      <c r="L19" s="65">
        <v>-149.1</v>
      </c>
      <c r="N19" s="78" t="s">
        <v>205</v>
      </c>
      <c r="O19" s="87">
        <f t="shared" si="3"/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35</v>
      </c>
      <c r="C20" s="8">
        <f>IF(B$3=0,0,B20/B$3)</f>
        <v>0.12195121951219512</v>
      </c>
      <c r="E20" s="29" t="s">
        <v>156</v>
      </c>
      <c r="F20" s="26" t="s">
        <v>157</v>
      </c>
      <c r="G20" s="14">
        <v>1</v>
      </c>
      <c r="H20" s="92">
        <f t="shared" si="0"/>
        <v>1.2987012987012988E-2</v>
      </c>
      <c r="I20" s="60">
        <v>4</v>
      </c>
      <c r="K20" s="7">
        <v>18</v>
      </c>
      <c r="L20" s="65">
        <v>-201.89999999999998</v>
      </c>
      <c r="N20" s="78" t="s">
        <v>196</v>
      </c>
      <c r="O20" s="87">
        <f t="shared" si="3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30</v>
      </c>
      <c r="C21" s="8">
        <f>IF(B$19=0,0,B21/B$19)</f>
        <v>0.38961038961038963</v>
      </c>
      <c r="E21" s="29" t="s">
        <v>73</v>
      </c>
      <c r="F21" s="26" t="s">
        <v>28</v>
      </c>
      <c r="G21" s="14">
        <v>0</v>
      </c>
      <c r="H21" s="92">
        <f t="shared" si="0"/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3"/>
        <v>-25.471428571428575</v>
      </c>
      <c r="P21" s="81">
        <v>21</v>
      </c>
      <c r="Q21" s="72">
        <v>-534.90000000000009</v>
      </c>
    </row>
    <row r="22" spans="1:17" x14ac:dyDescent="0.45">
      <c r="A22" s="21" t="s">
        <v>11</v>
      </c>
      <c r="B22" s="14">
        <v>47</v>
      </c>
      <c r="C22" s="8">
        <f>IF(B$19=0,0,B22/B$19)</f>
        <v>0.61038961038961037</v>
      </c>
      <c r="E22" s="29" t="s">
        <v>74</v>
      </c>
      <c r="F22" s="26" t="s">
        <v>29</v>
      </c>
      <c r="G22" s="14">
        <v>0</v>
      </c>
      <c r="H22" s="92">
        <f t="shared" si="0"/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39</v>
      </c>
      <c r="C23" s="8">
        <f>IF(B$19=0,0,B23/B$19)</f>
        <v>0.50649350649350644</v>
      </c>
      <c r="E23" s="29" t="s">
        <v>75</v>
      </c>
      <c r="F23" s="26" t="s">
        <v>30</v>
      </c>
      <c r="G23" s="14">
        <v>0</v>
      </c>
      <c r="H23" s="92">
        <f t="shared" si="0"/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23</v>
      </c>
      <c r="C24" s="8">
        <f>IF(B$19=0,0,B24/B$19)</f>
        <v>0.29870129870129869</v>
      </c>
      <c r="E24" s="29" t="s">
        <v>76</v>
      </c>
      <c r="F24" s="26" t="s">
        <v>31</v>
      </c>
      <c r="G24" s="14">
        <v>0</v>
      </c>
      <c r="H24" s="92">
        <f t="shared" si="0"/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15</v>
      </c>
      <c r="C25" s="8">
        <f>IF(B$19=0,0,B25/B$19)</f>
        <v>0.19480519480519481</v>
      </c>
      <c r="E25" s="29" t="s">
        <v>77</v>
      </c>
      <c r="F25" s="26" t="s">
        <v>32</v>
      </c>
      <c r="G25" s="14">
        <v>0</v>
      </c>
      <c r="H25" s="92">
        <f t="shared" si="0"/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7484.4155844155848</v>
      </c>
      <c r="C26" s="10">
        <v>576300</v>
      </c>
      <c r="E26" s="29" t="s">
        <v>80</v>
      </c>
      <c r="F26" s="26" t="s">
        <v>35</v>
      </c>
      <c r="G26" s="14">
        <v>0</v>
      </c>
      <c r="H26" s="92">
        <f t="shared" si="0"/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7490.7407407407409</v>
      </c>
      <c r="C27" s="100">
        <v>404500</v>
      </c>
      <c r="E27" s="29" t="s">
        <v>82</v>
      </c>
      <c r="F27" s="26" t="s">
        <v>37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7469.565217391304</v>
      </c>
      <c r="C28" s="100">
        <v>171800</v>
      </c>
      <c r="E28" s="29" t="s">
        <v>84</v>
      </c>
      <c r="F28" s="26" t="s">
        <v>39</v>
      </c>
      <c r="G28" s="14">
        <v>0</v>
      </c>
      <c r="H28" s="92">
        <f t="shared" si="0"/>
        <v>0</v>
      </c>
      <c r="I28" s="60">
        <v>3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-7997.1428571428569</v>
      </c>
      <c r="C29" s="100">
        <v>-279900</v>
      </c>
      <c r="E29" s="29" t="s">
        <v>85</v>
      </c>
      <c r="F29" s="26" t="s">
        <v>40</v>
      </c>
      <c r="G29" s="14">
        <v>0</v>
      </c>
      <c r="H29" s="92">
        <f t="shared" si="0"/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87</v>
      </c>
      <c r="F30" s="26" t="s">
        <v>42</v>
      </c>
      <c r="G30" s="14">
        <v>0</v>
      </c>
      <c r="H30" s="92">
        <f t="shared" si="0"/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16</v>
      </c>
      <c r="E31" s="29" t="s">
        <v>88</v>
      </c>
      <c r="F31" s="26" t="s">
        <v>43</v>
      </c>
      <c r="G31" s="14">
        <v>0</v>
      </c>
      <c r="H31" s="92">
        <f t="shared" si="0"/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 t="shared" si="0"/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5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13</v>
      </c>
      <c r="C37" s="8">
        <f t="shared" si="5"/>
        <v>0.16883116883116883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21</v>
      </c>
      <c r="C38" s="8">
        <f t="shared" si="5"/>
        <v>0.27272727272727271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12</v>
      </c>
      <c r="C39" s="8">
        <f t="shared" si="5"/>
        <v>0.15584415584415584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5"/>
        <v>9.0909090909090912E-2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5"/>
        <v>2.5974025974025976E-2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5"/>
        <v>7.792207792207792E-2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3</v>
      </c>
    </row>
    <row r="43" spans="1:12" x14ac:dyDescent="0.45">
      <c r="A43" s="21" t="s">
        <v>175</v>
      </c>
      <c r="B43" s="122">
        <v>2</v>
      </c>
      <c r="C43" s="8">
        <f t="shared" si="5"/>
        <v>2.5974025974025976E-2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5"/>
        <v>1.2987012987012988E-2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12" x14ac:dyDescent="0.45">
      <c r="A45" s="21" t="s">
        <v>177</v>
      </c>
      <c r="B45" s="122">
        <v>2</v>
      </c>
      <c r="C45" s="8">
        <f t="shared" si="5"/>
        <v>2.5974025974025976E-2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5"/>
        <v>1.2987012987012988E-2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5"/>
        <v>1.2987012987012988E-2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</v>
      </c>
      <c r="C2" s="132"/>
      <c r="E2" s="28" t="s">
        <v>72</v>
      </c>
      <c r="F2" s="25" t="s">
        <v>27</v>
      </c>
      <c r="G2" s="13">
        <v>42</v>
      </c>
      <c r="H2" s="91">
        <f t="shared" ref="H2:H33" si="0">IF(B$19=0,0,G2/B$19)</f>
        <v>0.75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-558.33333333333337</v>
      </c>
      <c r="P2" s="80">
        <v>24</v>
      </c>
      <c r="Q2" s="67">
        <v>-13400</v>
      </c>
    </row>
    <row r="3" spans="1:17" x14ac:dyDescent="0.45">
      <c r="A3" s="21" t="s">
        <v>8</v>
      </c>
      <c r="B3" s="133">
        <v>173</v>
      </c>
      <c r="C3" s="134"/>
      <c r="E3" s="29" t="s">
        <v>66</v>
      </c>
      <c r="F3" s="26" t="s">
        <v>22</v>
      </c>
      <c r="G3" s="14">
        <v>37</v>
      </c>
      <c r="H3" s="92">
        <f t="shared" si="0"/>
        <v>0.6607142857142857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1"/>
        <v>-1582.608695652174</v>
      </c>
      <c r="P3" s="81">
        <v>23</v>
      </c>
      <c r="Q3" s="68">
        <v>-36400</v>
      </c>
    </row>
    <row r="4" spans="1:17" x14ac:dyDescent="0.45">
      <c r="A4" s="21" t="s">
        <v>6</v>
      </c>
      <c r="B4" s="135">
        <v>92.2</v>
      </c>
      <c r="C4" s="136"/>
      <c r="E4" s="29" t="s">
        <v>64</v>
      </c>
      <c r="F4" s="26" t="s">
        <v>20</v>
      </c>
      <c r="G4" s="14">
        <v>14</v>
      </c>
      <c r="H4" s="92">
        <f t="shared" si="0"/>
        <v>0.25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1"/>
        <v>2290</v>
      </c>
      <c r="P4" s="81">
        <v>20</v>
      </c>
      <c r="Q4" s="68">
        <v>45800</v>
      </c>
    </row>
    <row r="5" spans="1:17" x14ac:dyDescent="0.45">
      <c r="A5" s="21" t="s">
        <v>7</v>
      </c>
      <c r="B5" s="123">
        <f>IF(B$2=0,0,B$4/B$2)</f>
        <v>3.8416666666666668</v>
      </c>
      <c r="C5" s="124"/>
      <c r="E5" s="29" t="s">
        <v>160</v>
      </c>
      <c r="F5" s="26" t="s">
        <v>161</v>
      </c>
      <c r="G5" s="14">
        <v>14</v>
      </c>
      <c r="H5" s="92">
        <f t="shared" si="0"/>
        <v>0.25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1"/>
        <v>711.76470588235293</v>
      </c>
      <c r="P5" s="81">
        <v>17</v>
      </c>
      <c r="Q5" s="68">
        <v>12100</v>
      </c>
    </row>
    <row r="6" spans="1:17" x14ac:dyDescent="0.45">
      <c r="A6" s="21" t="s">
        <v>1</v>
      </c>
      <c r="B6" s="137">
        <f>IF(B$2=0,0,(B$7*1+B$8*2+B$9*3)/B$2)</f>
        <v>1.9583333333333333</v>
      </c>
      <c r="C6" s="138"/>
      <c r="E6" s="29" t="s">
        <v>68</v>
      </c>
      <c r="F6" s="26" t="s">
        <v>12</v>
      </c>
      <c r="G6" s="14">
        <v>13</v>
      </c>
      <c r="H6" s="92">
        <f t="shared" si="0"/>
        <v>0.23214285714285715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1"/>
        <v>4569.2307692307695</v>
      </c>
      <c r="P6" s="81">
        <v>13</v>
      </c>
      <c r="Q6" s="68">
        <v>59400</v>
      </c>
    </row>
    <row r="7" spans="1:17" x14ac:dyDescent="0.45">
      <c r="A7" s="21" t="s">
        <v>2</v>
      </c>
      <c r="B7" s="14">
        <v>9</v>
      </c>
      <c r="C7" s="8">
        <f t="shared" ref="C7:C14" si="2">IF(B$2=0,0,B7/B$2)</f>
        <v>0.375</v>
      </c>
      <c r="E7" s="29" t="s">
        <v>67</v>
      </c>
      <c r="F7" s="26" t="s">
        <v>23</v>
      </c>
      <c r="G7" s="14">
        <v>11</v>
      </c>
      <c r="H7" s="92">
        <f t="shared" si="0"/>
        <v>0.19642857142857142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1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2"/>
        <v>0.29166666666666669</v>
      </c>
      <c r="E8" s="29" t="s">
        <v>83</v>
      </c>
      <c r="F8" s="26" t="s">
        <v>38</v>
      </c>
      <c r="G8" s="14">
        <v>9</v>
      </c>
      <c r="H8" s="92">
        <f t="shared" si="0"/>
        <v>0.16071428571428573</v>
      </c>
      <c r="I8" s="60">
        <v>1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2"/>
        <v>0.33333333333333331</v>
      </c>
      <c r="E9" s="29" t="s">
        <v>69</v>
      </c>
      <c r="F9" s="26" t="s">
        <v>24</v>
      </c>
      <c r="G9" s="14">
        <v>7</v>
      </c>
      <c r="H9" s="92">
        <f t="shared" si="0"/>
        <v>0.125</v>
      </c>
      <c r="I9" s="60">
        <v>5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 t="shared" si="0"/>
        <v>0.10714285714285714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4</v>
      </c>
      <c r="H11" s="92">
        <f t="shared" si="0"/>
        <v>7.1428571428571425E-2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 t="shared" si="0"/>
        <v>5.3571428571428568E-2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15.65</v>
      </c>
      <c r="P12" s="82">
        <v>8</v>
      </c>
      <c r="Q12" s="73">
        <v>125.2</v>
      </c>
    </row>
    <row r="13" spans="1:17" x14ac:dyDescent="0.45">
      <c r="A13" s="22" t="s">
        <v>188</v>
      </c>
      <c r="B13" s="123">
        <f>AVERAGE(B10:B12)</f>
        <v>2.1373015873015881</v>
      </c>
      <c r="C13" s="124"/>
      <c r="E13" s="29" t="s">
        <v>81</v>
      </c>
      <c r="F13" s="26" t="s">
        <v>36</v>
      </c>
      <c r="G13" s="14">
        <v>3</v>
      </c>
      <c r="H13" s="92">
        <f t="shared" si="0"/>
        <v>5.3571428571428568E-2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2"/>
        <v>0.20833333333333334</v>
      </c>
      <c r="E14" s="29" t="s">
        <v>71</v>
      </c>
      <c r="F14" s="26" t="s">
        <v>26</v>
      </c>
      <c r="G14" s="14">
        <v>2</v>
      </c>
      <c r="H14" s="92">
        <f t="shared" si="0"/>
        <v>3.5714285714285712E-2</v>
      </c>
      <c r="I14" s="60">
        <v>8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0.14450867052023122</v>
      </c>
      <c r="E15" s="29" t="s">
        <v>85</v>
      </c>
      <c r="F15" s="26" t="s">
        <v>40</v>
      </c>
      <c r="G15" s="14">
        <v>2</v>
      </c>
      <c r="H15" s="92">
        <f t="shared" si="0"/>
        <v>3.5714285714285712E-2</v>
      </c>
      <c r="I15" s="60">
        <v>1</v>
      </c>
      <c r="K15" s="7">
        <v>13</v>
      </c>
      <c r="L15" s="65">
        <v>83.1</v>
      </c>
      <c r="N15" s="77" t="s">
        <v>194</v>
      </c>
      <c r="O15" s="86">
        <f t="shared" ref="O15:O20" si="3">IF(P15=0,0,Q15/P15)</f>
        <v>42.9</v>
      </c>
      <c r="P15" s="80">
        <v>9</v>
      </c>
      <c r="Q15" s="71">
        <v>386.09999999999997</v>
      </c>
    </row>
    <row r="16" spans="1:17" x14ac:dyDescent="0.45">
      <c r="A16" s="21" t="s">
        <v>118</v>
      </c>
      <c r="B16" s="14">
        <v>58</v>
      </c>
      <c r="C16" s="8">
        <f>IF(B$3=0,0,B16/B$3)</f>
        <v>0.33526011560693642</v>
      </c>
      <c r="E16" s="29" t="s">
        <v>70</v>
      </c>
      <c r="F16" s="26" t="s">
        <v>25</v>
      </c>
      <c r="G16" s="14">
        <v>1</v>
      </c>
      <c r="H16" s="92">
        <f t="shared" si="0"/>
        <v>1.7857142857142856E-2</v>
      </c>
      <c r="I16" s="60">
        <v>8</v>
      </c>
      <c r="K16" s="7">
        <v>14</v>
      </c>
      <c r="L16" s="65">
        <v>89.399999999999991</v>
      </c>
      <c r="N16" s="78" t="s">
        <v>164</v>
      </c>
      <c r="O16" s="87">
        <f t="shared" si="3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75</v>
      </c>
      <c r="F17" s="26" t="s">
        <v>30</v>
      </c>
      <c r="G17" s="14">
        <v>1</v>
      </c>
      <c r="H17" s="92">
        <f t="shared" si="0"/>
        <v>1.7857142857142856E-2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3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0.44827586206896552</v>
      </c>
      <c r="E18" s="29" t="s">
        <v>102</v>
      </c>
      <c r="F18" s="26" t="s">
        <v>57</v>
      </c>
      <c r="G18" s="14">
        <v>1</v>
      </c>
      <c r="H18" s="92">
        <f t="shared" si="0"/>
        <v>1.7857142857142856E-2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3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56</v>
      </c>
      <c r="C19" s="6">
        <f>IF(B$3=0,0,B19/B$3)</f>
        <v>0.32369942196531792</v>
      </c>
      <c r="E19" s="29" t="s">
        <v>156</v>
      </c>
      <c r="F19" s="26" t="s">
        <v>157</v>
      </c>
      <c r="G19" s="14">
        <v>1</v>
      </c>
      <c r="H19" s="92">
        <f t="shared" si="0"/>
        <v>1.7857142857142856E-2</v>
      </c>
      <c r="I19" s="60">
        <v>2</v>
      </c>
      <c r="K19" s="7">
        <v>17</v>
      </c>
      <c r="L19" s="65">
        <v>71.699999999999989</v>
      </c>
      <c r="N19" s="78" t="s">
        <v>192</v>
      </c>
      <c r="O19" s="87">
        <f t="shared" si="3"/>
        <v>-13.238461538461543</v>
      </c>
      <c r="P19" s="81">
        <v>13</v>
      </c>
      <c r="Q19" s="72">
        <v>-172.10000000000005</v>
      </c>
    </row>
    <row r="20" spans="1:17" x14ac:dyDescent="0.45">
      <c r="A20" s="21" t="s">
        <v>13</v>
      </c>
      <c r="B20" s="14">
        <v>23</v>
      </c>
      <c r="C20" s="8">
        <f>IF(B$3=0,0,B20/B$3)</f>
        <v>0.13294797687861271</v>
      </c>
      <c r="E20" s="29" t="s">
        <v>73</v>
      </c>
      <c r="F20" s="26" t="s">
        <v>28</v>
      </c>
      <c r="G20" s="14">
        <v>0</v>
      </c>
      <c r="H20" s="92">
        <f t="shared" si="0"/>
        <v>0</v>
      </c>
      <c r="I20" s="60">
        <v>4</v>
      </c>
      <c r="K20" s="7">
        <v>18</v>
      </c>
      <c r="L20" s="65">
        <v>45.399999999999991</v>
      </c>
      <c r="N20" s="78" t="s">
        <v>126</v>
      </c>
      <c r="O20" s="87">
        <f t="shared" si="3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0.44642857142857145</v>
      </c>
      <c r="E21" s="29" t="s">
        <v>74</v>
      </c>
      <c r="F21" s="26" t="s">
        <v>29</v>
      </c>
      <c r="G21" s="14">
        <v>0</v>
      </c>
      <c r="H21" s="92">
        <f t="shared" si="0"/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31</v>
      </c>
      <c r="C22" s="8">
        <f>IF(B$19=0,0,B22/B$19)</f>
        <v>0.5535714285714286</v>
      </c>
      <c r="E22" s="29" t="s">
        <v>76</v>
      </c>
      <c r="F22" s="26" t="s">
        <v>31</v>
      </c>
      <c r="G22" s="14">
        <v>0</v>
      </c>
      <c r="H22" s="92">
        <f t="shared" si="0"/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15</v>
      </c>
      <c r="C23" s="8">
        <f>IF(B$19=0,0,B23/B$19)</f>
        <v>0.26785714285714285</v>
      </c>
      <c r="E23" s="29" t="s">
        <v>77</v>
      </c>
      <c r="F23" s="26" t="s">
        <v>32</v>
      </c>
      <c r="G23" s="14">
        <v>0</v>
      </c>
      <c r="H23" s="92">
        <f t="shared" si="0"/>
        <v>0</v>
      </c>
      <c r="I23" s="60">
        <v>4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0.4642857142857143</v>
      </c>
      <c r="E24" s="29" t="s">
        <v>79</v>
      </c>
      <c r="F24" s="26" t="s">
        <v>34</v>
      </c>
      <c r="G24" s="14">
        <v>0</v>
      </c>
      <c r="H24" s="92">
        <f t="shared" si="0"/>
        <v>0</v>
      </c>
      <c r="I24" s="60">
        <v>6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15</v>
      </c>
      <c r="C25" s="8">
        <f>IF(B$19=0,0,B25/B$19)</f>
        <v>0.26785714285714285</v>
      </c>
      <c r="E25" s="29" t="s">
        <v>80</v>
      </c>
      <c r="F25" s="26" t="s">
        <v>35</v>
      </c>
      <c r="G25" s="14">
        <v>0</v>
      </c>
      <c r="H25" s="92">
        <f t="shared" si="0"/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7930.3571428571431</v>
      </c>
      <c r="C26" s="10">
        <v>444100</v>
      </c>
      <c r="E26" s="29" t="s">
        <v>82</v>
      </c>
      <c r="F26" s="26" t="s">
        <v>37</v>
      </c>
      <c r="G26" s="14">
        <v>0</v>
      </c>
      <c r="H26" s="92">
        <f t="shared" si="0"/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8493.3333333333339</v>
      </c>
      <c r="C27" s="100">
        <v>254800</v>
      </c>
      <c r="E27" s="29" t="s">
        <v>84</v>
      </c>
      <c r="F27" s="26" t="s">
        <v>39</v>
      </c>
      <c r="G27" s="14">
        <v>0</v>
      </c>
      <c r="H27" s="92">
        <f t="shared" si="0"/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86</v>
      </c>
      <c r="F28" s="26" t="s">
        <v>41</v>
      </c>
      <c r="G28" s="14">
        <v>0</v>
      </c>
      <c r="H28" s="92">
        <f t="shared" si="0"/>
        <v>0</v>
      </c>
      <c r="I28" s="60">
        <v>9</v>
      </c>
    </row>
    <row r="29" spans="1:17" x14ac:dyDescent="0.45">
      <c r="A29" s="22" t="s">
        <v>165</v>
      </c>
      <c r="B29" s="99">
        <f>IF(B$20=0,0,C29/B$20)</f>
        <v>-7447.826086956522</v>
      </c>
      <c r="C29" s="100">
        <v>-171300</v>
      </c>
      <c r="E29" s="29" t="s">
        <v>87</v>
      </c>
      <c r="F29" s="26" t="s">
        <v>42</v>
      </c>
      <c r="G29" s="14">
        <v>0</v>
      </c>
      <c r="H29" s="92">
        <f t="shared" si="0"/>
        <v>0</v>
      </c>
      <c r="I29" s="60">
        <v>4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6</v>
      </c>
      <c r="E31" s="29" t="s">
        <v>90</v>
      </c>
      <c r="F31" s="26" t="s">
        <v>45</v>
      </c>
      <c r="G31" s="14">
        <v>0</v>
      </c>
      <c r="H31" s="92">
        <f t="shared" si="0"/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 t="shared" si="0"/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 t="shared" si="0"/>
        <v>0</v>
      </c>
      <c r="I33" s="60">
        <v>6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 t="shared" ref="H34:H65" si="4"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 t="shared" si="4"/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5">IF(B$19=0,0,B36/B$19)</f>
        <v>0.10714285714285714</v>
      </c>
      <c r="E36" s="29" t="s">
        <v>95</v>
      </c>
      <c r="F36" s="26" t="s">
        <v>50</v>
      </c>
      <c r="G36" s="14">
        <v>0</v>
      </c>
      <c r="H36" s="92">
        <f t="shared" si="4"/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5"/>
        <v>0.23214285714285715</v>
      </c>
      <c r="E37" s="29" t="s">
        <v>96</v>
      </c>
      <c r="F37" s="26" t="s">
        <v>51</v>
      </c>
      <c r="G37" s="14">
        <v>0</v>
      </c>
      <c r="H37" s="92">
        <f t="shared" si="4"/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5"/>
        <v>0.19642857142857142</v>
      </c>
      <c r="E38" s="29" t="s">
        <v>97</v>
      </c>
      <c r="F38" s="26" t="s">
        <v>52</v>
      </c>
      <c r="G38" s="14">
        <v>0</v>
      </c>
      <c r="H38" s="92">
        <f t="shared" si="4"/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5"/>
        <v>0.16071428571428573</v>
      </c>
      <c r="E39" s="29" t="s">
        <v>98</v>
      </c>
      <c r="F39" s="26" t="s">
        <v>53</v>
      </c>
      <c r="G39" s="14">
        <v>0</v>
      </c>
      <c r="H39" s="92">
        <f t="shared" si="4"/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5"/>
        <v>0.16071428571428573</v>
      </c>
      <c r="E40" s="29" t="s">
        <v>99</v>
      </c>
      <c r="F40" s="26" t="s">
        <v>54</v>
      </c>
      <c r="G40" s="14">
        <v>0</v>
      </c>
      <c r="H40" s="92">
        <f t="shared" si="4"/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5"/>
        <v>5.3571428571428568E-2</v>
      </c>
      <c r="E41" s="29" t="s">
        <v>100</v>
      </c>
      <c r="F41" s="26" t="s">
        <v>55</v>
      </c>
      <c r="G41" s="14">
        <v>0</v>
      </c>
      <c r="H41" s="92">
        <f t="shared" si="4"/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5"/>
        <v>5.3571428571428568E-2</v>
      </c>
      <c r="E42" s="29" t="s">
        <v>101</v>
      </c>
      <c r="F42" s="26" t="s">
        <v>56</v>
      </c>
      <c r="G42" s="14">
        <v>0</v>
      </c>
      <c r="H42" s="92">
        <f t="shared" si="4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5"/>
        <v>0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5"/>
        <v>0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5"/>
        <v>1.7857142857142856E-2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5"/>
        <v>0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5"/>
        <v>1.7857142857142856E-2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 t="shared" ref="H2:H33" si="0"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1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 t="shared" si="0"/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1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 t="shared" si="0"/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1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 t="shared" si="0"/>
        <v>0.41176470588235292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1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 t="shared" si="0"/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1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2">IF(B$2=0,0,B7/B$2)</f>
        <v>0.25</v>
      </c>
      <c r="E7" s="29" t="s">
        <v>67</v>
      </c>
      <c r="F7" s="26" t="s">
        <v>23</v>
      </c>
      <c r="G7" s="14">
        <v>5</v>
      </c>
      <c r="H7" s="92">
        <f t="shared" si="0"/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1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2"/>
        <v>0.625</v>
      </c>
      <c r="E8" s="29" t="s">
        <v>65</v>
      </c>
      <c r="F8" s="26" t="s">
        <v>21</v>
      </c>
      <c r="G8" s="14">
        <v>2</v>
      </c>
      <c r="H8" s="92">
        <f t="shared" si="0"/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0.125</v>
      </c>
      <c r="E9" s="29" t="s">
        <v>71</v>
      </c>
      <c r="F9" s="26" t="s">
        <v>26</v>
      </c>
      <c r="G9" s="14">
        <v>2</v>
      </c>
      <c r="H9" s="92">
        <f t="shared" si="0"/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 t="shared" si="0"/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 t="shared" si="0"/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 t="shared" si="0"/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 t="shared" si="0"/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69</v>
      </c>
      <c r="F14" s="26" t="s">
        <v>24</v>
      </c>
      <c r="G14" s="14">
        <v>0</v>
      </c>
      <c r="H14" s="92">
        <f t="shared" si="0"/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 t="shared" si="0"/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 t="shared" si="0"/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 t="shared" si="0"/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 t="shared" si="0"/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 t="shared" si="0"/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 t="shared" si="0"/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 t="shared" si="0"/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4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4"/>
        <v>0.17647058823529413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4"/>
        <v>0.29411764705882354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4"/>
        <v>0.17647058823529413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4"/>
        <v>5.8823529411764705E-2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4"/>
        <v>0.11764705882352941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4"/>
        <v>5.8823529411764705E-2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14</v>
      </c>
      <c r="C2" s="132"/>
      <c r="E2" s="28" t="s">
        <v>66</v>
      </c>
      <c r="F2" s="25" t="s">
        <v>22</v>
      </c>
      <c r="G2" s="13">
        <v>41</v>
      </c>
      <c r="H2" s="91">
        <f t="shared" ref="H2:H33" si="0">IF(B$19=0,0,G2/B$19)</f>
        <v>1.1081081081081081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4850</v>
      </c>
      <c r="P2" s="80">
        <v>14</v>
      </c>
      <c r="Q2" s="67">
        <v>67900</v>
      </c>
    </row>
    <row r="3" spans="1:17" x14ac:dyDescent="0.45">
      <c r="A3" s="21" t="s">
        <v>8</v>
      </c>
      <c r="B3" s="133">
        <v>105</v>
      </c>
      <c r="C3" s="134"/>
      <c r="E3" s="29" t="s">
        <v>72</v>
      </c>
      <c r="F3" s="26" t="s">
        <v>27</v>
      </c>
      <c r="G3" s="14">
        <v>24</v>
      </c>
      <c r="H3" s="92">
        <f t="shared" si="0"/>
        <v>0.64864864864864868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1"/>
        <v>-7700</v>
      </c>
      <c r="P3" s="81">
        <v>14</v>
      </c>
      <c r="Q3" s="68">
        <v>-107800</v>
      </c>
    </row>
    <row r="4" spans="1:17" x14ac:dyDescent="0.45">
      <c r="A4" s="21" t="s">
        <v>6</v>
      </c>
      <c r="B4" s="135">
        <v>-42.4</v>
      </c>
      <c r="C4" s="136"/>
      <c r="E4" s="29" t="s">
        <v>64</v>
      </c>
      <c r="F4" s="26" t="s">
        <v>20</v>
      </c>
      <c r="G4" s="14">
        <v>12</v>
      </c>
      <c r="H4" s="92">
        <f t="shared" si="0"/>
        <v>0.32432432432432434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1"/>
        <v>600</v>
      </c>
      <c r="P4" s="81">
        <v>13</v>
      </c>
      <c r="Q4" s="68">
        <v>7800</v>
      </c>
    </row>
    <row r="5" spans="1:17" x14ac:dyDescent="0.45">
      <c r="A5" s="21" t="s">
        <v>7</v>
      </c>
      <c r="B5" s="123">
        <f>IF(B$2=0,0,B$4/B$2)</f>
        <v>-3.0285714285714285</v>
      </c>
      <c r="C5" s="124"/>
      <c r="E5" s="29" t="s">
        <v>160</v>
      </c>
      <c r="F5" s="26" t="s">
        <v>161</v>
      </c>
      <c r="G5" s="14">
        <v>11</v>
      </c>
      <c r="H5" s="92">
        <f t="shared" si="0"/>
        <v>0.29729729729729731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1"/>
        <v>-2450</v>
      </c>
      <c r="P5" s="81">
        <v>10</v>
      </c>
      <c r="Q5" s="68">
        <v>-24500</v>
      </c>
    </row>
    <row r="6" spans="1:17" x14ac:dyDescent="0.45">
      <c r="A6" s="21" t="s">
        <v>1</v>
      </c>
      <c r="B6" s="137">
        <f>IF(B$2=0,0,(B$7*1+B$8*2+B$9*3)/B$2)</f>
        <v>2.0714285714285716</v>
      </c>
      <c r="C6" s="138"/>
      <c r="E6" s="29" t="s">
        <v>67</v>
      </c>
      <c r="F6" s="26" t="s">
        <v>23</v>
      </c>
      <c r="G6" s="14">
        <v>7</v>
      </c>
      <c r="H6" s="92">
        <f t="shared" si="0"/>
        <v>0.1891891891891892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1"/>
        <v>3755.5555555555557</v>
      </c>
      <c r="P6" s="81">
        <v>9</v>
      </c>
      <c r="Q6" s="68">
        <v>33800</v>
      </c>
    </row>
    <row r="7" spans="1:17" x14ac:dyDescent="0.45">
      <c r="A7" s="21" t="s">
        <v>2</v>
      </c>
      <c r="B7" s="14">
        <v>5</v>
      </c>
      <c r="C7" s="8">
        <f t="shared" ref="C7:C14" si="2">IF(B$2=0,0,B7/B$2)</f>
        <v>0.35714285714285715</v>
      </c>
      <c r="E7" s="29" t="s">
        <v>68</v>
      </c>
      <c r="F7" s="26" t="s">
        <v>12</v>
      </c>
      <c r="G7" s="14">
        <v>7</v>
      </c>
      <c r="H7" s="92">
        <f t="shared" si="0"/>
        <v>0.1891891891891892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1"/>
        <v>-1200</v>
      </c>
      <c r="P7" s="82">
        <v>8</v>
      </c>
      <c r="Q7" s="69">
        <v>-9600</v>
      </c>
    </row>
    <row r="8" spans="1:17" x14ac:dyDescent="0.45">
      <c r="A8" s="21" t="s">
        <v>3</v>
      </c>
      <c r="B8" s="14">
        <v>3</v>
      </c>
      <c r="C8" s="8">
        <f t="shared" si="2"/>
        <v>0.21428571428571427</v>
      </c>
      <c r="E8" s="29" t="s">
        <v>70</v>
      </c>
      <c r="F8" s="26" t="s">
        <v>25</v>
      </c>
      <c r="G8" s="14">
        <v>7</v>
      </c>
      <c r="H8" s="92">
        <f t="shared" si="0"/>
        <v>0.1891891891891892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2"/>
        <v>0.42857142857142855</v>
      </c>
      <c r="E9" s="29" t="s">
        <v>89</v>
      </c>
      <c r="F9" s="26" t="s">
        <v>44</v>
      </c>
      <c r="G9" s="14">
        <v>7</v>
      </c>
      <c r="H9" s="92">
        <f t="shared" si="0"/>
        <v>0.1891891891891892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40.239999999999995</v>
      </c>
      <c r="C10" s="114">
        <v>201.2</v>
      </c>
      <c r="E10" s="29" t="s">
        <v>69</v>
      </c>
      <c r="F10" s="26" t="s">
        <v>24</v>
      </c>
      <c r="G10" s="14">
        <v>5</v>
      </c>
      <c r="H10" s="92">
        <f t="shared" si="0"/>
        <v>0.13513513513513514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9.0500000000000007</v>
      </c>
      <c r="P10" s="80">
        <v>6</v>
      </c>
      <c r="Q10" s="71">
        <v>54.300000000000004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83</v>
      </c>
      <c r="F11" s="26" t="s">
        <v>38</v>
      </c>
      <c r="G11" s="14">
        <v>5</v>
      </c>
      <c r="H11" s="92">
        <f t="shared" si="0"/>
        <v>0.13513513513513514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65</v>
      </c>
      <c r="F12" s="26" t="s">
        <v>21</v>
      </c>
      <c r="G12" s="14">
        <v>3</v>
      </c>
      <c r="H12" s="92">
        <f t="shared" si="0"/>
        <v>8.1081081081081086E-2</v>
      </c>
      <c r="I12" s="60">
        <v>8</v>
      </c>
      <c r="K12" s="7">
        <v>10</v>
      </c>
      <c r="L12" s="65">
        <v>-112.8</v>
      </c>
      <c r="N12" s="79" t="s">
        <v>154</v>
      </c>
      <c r="O12" s="88">
        <f>IF(P12=0,0,Q12/P12)</f>
        <v>-12.8</v>
      </c>
      <c r="P12" s="82">
        <v>5</v>
      </c>
      <c r="Q12" s="73">
        <v>-64</v>
      </c>
    </row>
    <row r="13" spans="1:17" x14ac:dyDescent="0.45">
      <c r="A13" s="22" t="s">
        <v>188</v>
      </c>
      <c r="B13" s="123">
        <f>AVERAGE(B10:B12)</f>
        <v>0.30222222222221973</v>
      </c>
      <c r="C13" s="124"/>
      <c r="E13" s="29" t="s">
        <v>71</v>
      </c>
      <c r="F13" s="26" t="s">
        <v>26</v>
      </c>
      <c r="G13" s="14">
        <v>3</v>
      </c>
      <c r="H13" s="92">
        <f t="shared" si="0"/>
        <v>8.1081081081081086E-2</v>
      </c>
      <c r="I13" s="60">
        <v>4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2"/>
        <v>0.21428571428571427</v>
      </c>
      <c r="E14" s="29" t="s">
        <v>78</v>
      </c>
      <c r="F14" s="26" t="s">
        <v>33</v>
      </c>
      <c r="G14" s="14">
        <v>3</v>
      </c>
      <c r="H14" s="92">
        <f t="shared" si="0"/>
        <v>8.1081081081081086E-2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0.18095238095238095</v>
      </c>
      <c r="E15" s="29" t="s">
        <v>81</v>
      </c>
      <c r="F15" s="26" t="s">
        <v>36</v>
      </c>
      <c r="G15" s="14">
        <v>1</v>
      </c>
      <c r="H15" s="92">
        <f t="shared" si="0"/>
        <v>2.7027027027027029E-2</v>
      </c>
      <c r="I15" s="60">
        <v>4</v>
      </c>
      <c r="K15" s="7">
        <v>13</v>
      </c>
      <c r="L15" s="65">
        <v>-63.4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34</v>
      </c>
      <c r="C16" s="8">
        <f>IF(B$3=0,0,B16/B$3)</f>
        <v>0.32380952380952382</v>
      </c>
      <c r="E16" s="29" t="s">
        <v>86</v>
      </c>
      <c r="F16" s="26" t="s">
        <v>41</v>
      </c>
      <c r="G16" s="14">
        <v>1</v>
      </c>
      <c r="H16" s="92">
        <f t="shared" si="0"/>
        <v>2.7027027027027029E-2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8.9499999999999993</v>
      </c>
      <c r="P16" s="81">
        <v>4</v>
      </c>
      <c r="Q16" s="72">
        <v>35.799999999999997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73</v>
      </c>
      <c r="F17" s="26" t="s">
        <v>28</v>
      </c>
      <c r="G17" s="14">
        <v>0</v>
      </c>
      <c r="H17" s="92">
        <f t="shared" si="0"/>
        <v>0</v>
      </c>
      <c r="I17" s="60">
        <v>4</v>
      </c>
      <c r="N17" s="78" t="s">
        <v>164</v>
      </c>
      <c r="O17" s="87">
        <f>IF(P17=0,0,Q17/P17)</f>
        <v>-5.5333333333333377</v>
      </c>
      <c r="P17" s="81">
        <v>6</v>
      </c>
      <c r="Q17" s="72">
        <v>-33.200000000000024</v>
      </c>
    </row>
    <row r="18" spans="1:17" x14ac:dyDescent="0.45">
      <c r="A18" s="20" t="s">
        <v>124</v>
      </c>
      <c r="B18" s="13">
        <f>B24</f>
        <v>10</v>
      </c>
      <c r="C18" s="6">
        <f>IF(B$16=0,0,B18/B$16)</f>
        <v>0.29411764705882354</v>
      </c>
      <c r="E18" s="29" t="s">
        <v>74</v>
      </c>
      <c r="F18" s="26" t="s">
        <v>29</v>
      </c>
      <c r="G18" s="14">
        <v>0</v>
      </c>
      <c r="H18" s="92">
        <f t="shared" si="0"/>
        <v>0</v>
      </c>
      <c r="I18" s="60">
        <v>1</v>
      </c>
      <c r="N18" s="78" t="s">
        <v>126</v>
      </c>
      <c r="O18" s="87">
        <f>IF(P18=0,0,Q18/P18)</f>
        <v>-9.3538461538461579</v>
      </c>
      <c r="P18" s="81">
        <v>13</v>
      </c>
      <c r="Q18" s="72">
        <v>-121.60000000000005</v>
      </c>
    </row>
    <row r="19" spans="1:17" x14ac:dyDescent="0.45">
      <c r="A19" s="20" t="s">
        <v>10</v>
      </c>
      <c r="B19" s="13">
        <f>B22+B21</f>
        <v>37</v>
      </c>
      <c r="C19" s="6">
        <f>IF(B$3=0,0,B19/B$3)</f>
        <v>0.35238095238095241</v>
      </c>
      <c r="E19" s="29" t="s">
        <v>75</v>
      </c>
      <c r="F19" s="26" t="s">
        <v>30</v>
      </c>
      <c r="G19" s="14">
        <v>0</v>
      </c>
      <c r="H19" s="92">
        <f t="shared" si="0"/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23</v>
      </c>
      <c r="C20" s="8">
        <f>IF(B$3=0,0,B20/B$3)</f>
        <v>0.21904761904761905</v>
      </c>
      <c r="E20" s="29" t="s">
        <v>76</v>
      </c>
      <c r="F20" s="26" t="s">
        <v>31</v>
      </c>
      <c r="G20" s="14">
        <v>0</v>
      </c>
      <c r="H20" s="92">
        <f t="shared" si="0"/>
        <v>0</v>
      </c>
      <c r="I20" s="60">
        <v>1</v>
      </c>
    </row>
    <row r="21" spans="1:17" x14ac:dyDescent="0.45">
      <c r="A21" s="21" t="s">
        <v>12</v>
      </c>
      <c r="B21" s="14">
        <v>11</v>
      </c>
      <c r="C21" s="8">
        <f>IF(B$19=0,0,B21/B$19)</f>
        <v>0.29729729729729731</v>
      </c>
      <c r="E21" s="29" t="s">
        <v>77</v>
      </c>
      <c r="F21" s="26" t="s">
        <v>32</v>
      </c>
      <c r="G21" s="14">
        <v>0</v>
      </c>
      <c r="H21" s="92">
        <f t="shared" si="0"/>
        <v>0</v>
      </c>
      <c r="I21" s="60">
        <v>4</v>
      </c>
    </row>
    <row r="22" spans="1:17" x14ac:dyDescent="0.45">
      <c r="A22" s="21" t="s">
        <v>11</v>
      </c>
      <c r="B22" s="14">
        <v>26</v>
      </c>
      <c r="C22" s="8">
        <f>IF(B$19=0,0,B22/B$19)</f>
        <v>0.70270270270270274</v>
      </c>
      <c r="E22" s="29" t="s">
        <v>79</v>
      </c>
      <c r="F22" s="26" t="s">
        <v>34</v>
      </c>
      <c r="G22" s="14">
        <v>0</v>
      </c>
      <c r="H22" s="92">
        <f t="shared" si="0"/>
        <v>0</v>
      </c>
      <c r="I22" s="60">
        <v>6</v>
      </c>
    </row>
    <row r="23" spans="1:17" x14ac:dyDescent="0.45">
      <c r="A23" s="21" t="s">
        <v>184</v>
      </c>
      <c r="B23" s="14">
        <v>13</v>
      </c>
      <c r="C23" s="8">
        <f>IF(B$19=0,0,B23/B$19)</f>
        <v>0.35135135135135137</v>
      </c>
      <c r="E23" s="29" t="s">
        <v>80</v>
      </c>
      <c r="F23" s="26" t="s">
        <v>35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10</v>
      </c>
      <c r="C24" s="8">
        <f>IF(B$19=0,0,B24/B$19)</f>
        <v>0.27027027027027029</v>
      </c>
      <c r="E24" s="29" t="s">
        <v>82</v>
      </c>
      <c r="F24" s="26" t="s">
        <v>37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14</v>
      </c>
      <c r="C25" s="8">
        <f>IF(B$19=0,0,B25/B$19)</f>
        <v>0.3783783783783784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9108.1081081081084</v>
      </c>
      <c r="C26" s="10">
        <v>337000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8840.7407407407409</v>
      </c>
      <c r="C27" s="100">
        <v>238700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9830</v>
      </c>
      <c r="C28" s="100">
        <v>98300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-9821.7391304347821</v>
      </c>
      <c r="C29" s="100">
        <v>-225900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5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4">IF(B$19=0,0,B36/B$19)</f>
        <v>0.13513513513513514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5">
      <c r="A37" s="21" t="s">
        <v>168</v>
      </c>
      <c r="B37" s="14">
        <v>9</v>
      </c>
      <c r="C37" s="8">
        <f t="shared" si="4"/>
        <v>0.24324324324324326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4"/>
        <v>8.1081081081081086E-2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4"/>
        <v>0.13513513513513514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4"/>
        <v>0.10810810810810811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4"/>
        <v>8.1081081081081086E-2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4"/>
        <v>8.1081081081081086E-2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4"/>
        <v>5.4054054054054057E-2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4"/>
        <v>2.7027027027027029E-2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4"/>
        <v>5.4054054054054057E-2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 t="shared" ref="H2:H33" si="0"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 t="shared" si="0"/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1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 t="shared" si="0"/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1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 t="shared" si="0"/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1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 t="shared" si="0"/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1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2">IF(B$2=0,0,B7/B$2)</f>
        <v>0.22222222222222221</v>
      </c>
      <c r="E7" s="29" t="s">
        <v>160</v>
      </c>
      <c r="F7" s="26" t="s">
        <v>161</v>
      </c>
      <c r="G7" s="14">
        <v>10</v>
      </c>
      <c r="H7" s="92">
        <f t="shared" si="0"/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1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2"/>
        <v>0.44444444444444442</v>
      </c>
      <c r="E8" s="29" t="s">
        <v>65</v>
      </c>
      <c r="F8" s="26" t="s">
        <v>21</v>
      </c>
      <c r="G8" s="14">
        <v>3</v>
      </c>
      <c r="H8" s="92">
        <f t="shared" si="0"/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2"/>
        <v>0.33333333333333331</v>
      </c>
      <c r="E9" s="29" t="s">
        <v>69</v>
      </c>
      <c r="F9" s="26" t="s">
        <v>24</v>
      </c>
      <c r="G9" s="14">
        <v>3</v>
      </c>
      <c r="H9" s="92">
        <f t="shared" si="0"/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 t="shared" si="0"/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 t="shared" si="0"/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 t="shared" si="0"/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 t="shared" si="0"/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89</v>
      </c>
      <c r="F14" s="26" t="s">
        <v>44</v>
      </c>
      <c r="G14" s="14">
        <v>1</v>
      </c>
      <c r="H14" s="92">
        <f t="shared" si="0"/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 t="shared" si="0"/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 t="shared" si="0"/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 t="shared" si="0"/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 t="shared" si="0"/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 t="shared" si="0"/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 t="shared" si="0"/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 t="shared" si="0"/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4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4"/>
        <v>0.17391304347826086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4"/>
        <v>0.17391304347826086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4"/>
        <v>0.13043478260869565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4"/>
        <v>0.13043478260869565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4"/>
        <v>0.17391304347826086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4"/>
        <v>8.6956521739130432E-2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7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2020-06-14T15:19:29Z</dcterms:modified>
</cp:coreProperties>
</file>