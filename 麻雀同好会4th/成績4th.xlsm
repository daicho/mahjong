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6B8FFD48-0292-4F4C-8A03-7CE4A509953B}" xr6:coauthVersionLast="44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246" r:id="rId6"/>
    <sheet name="れんたろう" sheetId="6248" r:id="rId7"/>
    <sheet name="ともき" sheetId="6250" r:id="rId8"/>
    <sheet name="だいち" sheetId="6252" r:id="rId9"/>
    <sheet name="りくと" sheetId="6254" r:id="rId10"/>
    <sheet name="まっつん" sheetId="6256" r:id="rId11"/>
    <sheet name="たかの" sheetId="6258" r:id="rId12"/>
    <sheet name="のり" sheetId="6260" r:id="rId13"/>
    <sheet name="ただ" sheetId="6262" r:id="rId14"/>
    <sheet name="ぱぱ" sheetId="6264" r:id="rId15"/>
    <sheet name="ぱぱ2" sheetId="6265" state="hidden" r:id="rId16"/>
    <sheet name="ただ2" sheetId="6263" state="hidden" r:id="rId17"/>
    <sheet name="のり2" sheetId="6261" state="hidden" r:id="rId18"/>
    <sheet name="たかの2" sheetId="6259" state="hidden" r:id="rId19"/>
    <sheet name="まっつん2" sheetId="6257" state="hidden" r:id="rId20"/>
    <sheet name="りくと2" sheetId="6255" state="hidden" r:id="rId21"/>
    <sheet name="だいち2" sheetId="6253" state="hidden" r:id="rId22"/>
    <sheet name="ともき2" sheetId="6251" state="hidden" r:id="rId23"/>
    <sheet name="れんたろう2" sheetId="6249" state="hidden" r:id="rId24"/>
    <sheet name="全体2" sheetId="6247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258" l="1"/>
  <c r="O19" i="6262"/>
  <c r="O20" i="6248" l="1"/>
  <c r="O16" i="6260"/>
  <c r="O15" i="6264" l="1"/>
  <c r="O16" i="6264"/>
  <c r="C34" i="6264"/>
  <c r="B29" i="6264"/>
  <c r="C20" i="6264"/>
  <c r="B19" i="6264"/>
  <c r="H7" i="6264" s="1"/>
  <c r="C18" i="6264"/>
  <c r="B18" i="6264"/>
  <c r="B17" i="6264"/>
  <c r="C17" i="6264" s="1"/>
  <c r="C16" i="6264"/>
  <c r="C15" i="6264"/>
  <c r="C14" i="6264"/>
  <c r="O12" i="6264"/>
  <c r="B12" i="6264"/>
  <c r="O11" i="6264"/>
  <c r="B11" i="6264"/>
  <c r="O10" i="6264"/>
  <c r="B10" i="6264"/>
  <c r="C9" i="6264"/>
  <c r="C8" i="6264"/>
  <c r="O7" i="6264"/>
  <c r="C7" i="6264"/>
  <c r="O6" i="6264"/>
  <c r="B6" i="6264"/>
  <c r="O5" i="6264"/>
  <c r="B5" i="6264"/>
  <c r="O4" i="6264"/>
  <c r="O3" i="6264"/>
  <c r="O2" i="6264"/>
  <c r="O21" i="6252"/>
  <c r="O17" i="6248"/>
  <c r="O18" i="6246"/>
  <c r="B13" i="6264" l="1"/>
  <c r="H5" i="6264"/>
  <c r="H10" i="6264"/>
  <c r="H36" i="6264"/>
  <c r="H2" i="6264"/>
  <c r="H6" i="6264"/>
  <c r="H9" i="6264"/>
  <c r="H17" i="6264"/>
  <c r="H19" i="6264"/>
  <c r="H12" i="6264"/>
  <c r="B27" i="6264"/>
  <c r="C19" i="6264"/>
  <c r="H38" i="6264"/>
  <c r="H11" i="6264"/>
  <c r="C24" i="6264"/>
  <c r="H4" i="6264"/>
  <c r="H15" i="6264"/>
  <c r="H33" i="6264"/>
  <c r="H44" i="6264"/>
  <c r="H8" i="6264"/>
  <c r="H18" i="6264"/>
  <c r="H20" i="6264"/>
  <c r="H21" i="6264"/>
  <c r="C21" i="6264"/>
  <c r="H3" i="6264"/>
  <c r="H16" i="6264"/>
  <c r="C25" i="6264"/>
  <c r="H40" i="6264"/>
  <c r="C23" i="6264"/>
  <c r="H31" i="6264"/>
  <c r="H37" i="6264"/>
  <c r="H48" i="6264"/>
  <c r="H41" i="6264"/>
  <c r="H45" i="6264"/>
  <c r="H49" i="6264"/>
  <c r="H42" i="6264"/>
  <c r="H46" i="6264"/>
  <c r="H51" i="6264"/>
  <c r="C22" i="6264"/>
  <c r="B26" i="6264"/>
  <c r="H39" i="6264"/>
  <c r="H43" i="6264"/>
  <c r="H47" i="6264"/>
  <c r="H52" i="6264"/>
  <c r="B28" i="6264"/>
  <c r="H23" i="6264"/>
  <c r="H25" i="6264"/>
  <c r="H13" i="6264"/>
  <c r="H28" i="6264"/>
  <c r="H29" i="6264"/>
  <c r="H32" i="6264"/>
  <c r="H35" i="6264"/>
  <c r="C37" i="6264"/>
  <c r="C39" i="6264"/>
  <c r="C41" i="6264"/>
  <c r="C43" i="6264"/>
  <c r="C45" i="6264"/>
  <c r="C47" i="6264"/>
  <c r="H50" i="6264"/>
  <c r="H22" i="6264"/>
  <c r="H24" i="6264"/>
  <c r="H26" i="6264"/>
  <c r="H27" i="6264"/>
  <c r="H14" i="6264"/>
  <c r="H30" i="6264"/>
  <c r="H34" i="6264"/>
  <c r="C36" i="6264"/>
  <c r="C38" i="6264"/>
  <c r="C40" i="6264"/>
  <c r="C42" i="6264"/>
  <c r="C44" i="6264"/>
  <c r="C46" i="6264"/>
  <c r="C48" i="6264"/>
  <c r="O17" i="6254" l="1"/>
  <c r="O15" i="6262"/>
  <c r="O16" i="6250"/>
  <c r="O19" i="6258"/>
  <c r="O20" i="6262" l="1"/>
  <c r="O15" i="6250"/>
  <c r="O18" i="6262"/>
  <c r="O16" i="6248"/>
  <c r="O15" i="6256" l="1"/>
  <c r="O17" i="6250"/>
  <c r="O20" i="6252"/>
  <c r="O17" i="6256"/>
  <c r="O17" i="6246"/>
  <c r="O17" i="6262"/>
  <c r="O16" i="6262"/>
  <c r="C34" i="6262"/>
  <c r="B29" i="6262"/>
  <c r="C20" i="6262"/>
  <c r="B19" i="6262"/>
  <c r="H5" i="6262" s="1"/>
  <c r="B18" i="6262"/>
  <c r="C18" i="6262" s="1"/>
  <c r="B17" i="6262"/>
  <c r="C17" i="6262" s="1"/>
  <c r="C16" i="6262"/>
  <c r="C15" i="6262"/>
  <c r="C14" i="6262"/>
  <c r="O12" i="6262"/>
  <c r="B12" i="6262"/>
  <c r="O11" i="6262"/>
  <c r="B11" i="6262"/>
  <c r="O10" i="6262"/>
  <c r="B10" i="6262"/>
  <c r="C9" i="6262"/>
  <c r="C8" i="6262"/>
  <c r="O7" i="6262"/>
  <c r="C7" i="6262"/>
  <c r="O6" i="6262"/>
  <c r="B6" i="6262"/>
  <c r="O5" i="6262"/>
  <c r="B5" i="6262"/>
  <c r="O4" i="6262"/>
  <c r="O3" i="6262"/>
  <c r="O2" i="6262"/>
  <c r="B13" i="6262" l="1"/>
  <c r="H23" i="6262"/>
  <c r="H9" i="6262"/>
  <c r="C22" i="6262"/>
  <c r="B26" i="6262"/>
  <c r="H39" i="6262"/>
  <c r="H43" i="6262"/>
  <c r="H47" i="6262"/>
  <c r="H52" i="6262"/>
  <c r="H11" i="6262"/>
  <c r="H7" i="6262"/>
  <c r="H13" i="6262"/>
  <c r="H19" i="6262"/>
  <c r="H21" i="6262"/>
  <c r="H14" i="6262"/>
  <c r="B27" i="6262"/>
  <c r="C19" i="6262"/>
  <c r="C23" i="6262"/>
  <c r="H36" i="6262"/>
  <c r="H40" i="6262"/>
  <c r="H44" i="6262"/>
  <c r="H48" i="6262"/>
  <c r="H6" i="6262"/>
  <c r="H18" i="6262"/>
  <c r="C24" i="6262"/>
  <c r="H17" i="6262"/>
  <c r="H37" i="6262"/>
  <c r="H41" i="6262"/>
  <c r="H45" i="6262"/>
  <c r="H49" i="6262"/>
  <c r="H4" i="6262"/>
  <c r="H2" i="6262"/>
  <c r="H10" i="6262"/>
  <c r="H3" i="6262"/>
  <c r="H20" i="6262"/>
  <c r="H22" i="6262"/>
  <c r="H24" i="6262"/>
  <c r="C21" i="6262"/>
  <c r="C25" i="6262"/>
  <c r="H33" i="6262"/>
  <c r="H38" i="6262"/>
  <c r="H42" i="6262"/>
  <c r="H46" i="6262"/>
  <c r="H51" i="6262"/>
  <c r="B28" i="6262"/>
  <c r="H25" i="6262"/>
  <c r="H26" i="6262"/>
  <c r="H15" i="6262"/>
  <c r="H29" i="6262"/>
  <c r="H30" i="6262"/>
  <c r="H32" i="6262"/>
  <c r="H35" i="6262"/>
  <c r="C37" i="6262"/>
  <c r="C39" i="6262"/>
  <c r="C41" i="6262"/>
  <c r="C43" i="6262"/>
  <c r="C45" i="6262"/>
  <c r="C47" i="6262"/>
  <c r="H50" i="6262"/>
  <c r="H16" i="6262"/>
  <c r="H12" i="6262"/>
  <c r="H27" i="6262"/>
  <c r="H28" i="6262"/>
  <c r="H8" i="6262"/>
  <c r="H31" i="6262"/>
  <c r="H34" i="6262"/>
  <c r="C36" i="6262"/>
  <c r="C38" i="6262"/>
  <c r="C40" i="6262"/>
  <c r="C42" i="6262"/>
  <c r="C44" i="6262"/>
  <c r="C46" i="6262"/>
  <c r="C48" i="6262"/>
  <c r="O17" i="6252" l="1"/>
  <c r="O21" i="6258"/>
  <c r="O22" i="6248"/>
  <c r="O17" i="6258"/>
  <c r="O18" i="6252" l="1"/>
  <c r="O19" i="6254"/>
  <c r="O21" i="6248"/>
  <c r="O19" i="6248"/>
  <c r="O15" i="6254"/>
  <c r="O18" i="6256"/>
  <c r="O17" i="6260" l="1"/>
  <c r="O19" i="6260"/>
  <c r="O21" i="6256"/>
  <c r="O20" i="6256"/>
  <c r="O15" i="6252"/>
  <c r="O19" i="6252"/>
  <c r="O18" i="6258"/>
  <c r="O15" i="6260"/>
  <c r="O18" i="6260"/>
  <c r="C34" i="6260"/>
  <c r="B29" i="6260"/>
  <c r="C20" i="6260"/>
  <c r="B19" i="6260"/>
  <c r="H4" i="6260" s="1"/>
  <c r="B18" i="6260"/>
  <c r="C18" i="6260" s="1"/>
  <c r="B17" i="6260"/>
  <c r="C17" i="6260" s="1"/>
  <c r="C16" i="6260"/>
  <c r="C15" i="6260"/>
  <c r="C14" i="6260"/>
  <c r="O12" i="6260"/>
  <c r="B12" i="6260"/>
  <c r="O11" i="6260"/>
  <c r="B11" i="6260"/>
  <c r="O10" i="6260"/>
  <c r="B10" i="6260"/>
  <c r="C9" i="6260"/>
  <c r="C8" i="6260"/>
  <c r="O7" i="6260"/>
  <c r="C7" i="6260"/>
  <c r="O6" i="6260"/>
  <c r="B6" i="6260"/>
  <c r="O5" i="6260"/>
  <c r="B5" i="6260"/>
  <c r="O4" i="6260"/>
  <c r="O3" i="6260"/>
  <c r="O2" i="6260"/>
  <c r="O18" i="6254"/>
  <c r="O21" i="6246"/>
  <c r="O20" i="6258"/>
  <c r="O15" i="6258"/>
  <c r="C34" i="6258"/>
  <c r="B29" i="6258"/>
  <c r="C20" i="6258"/>
  <c r="B19" i="6258"/>
  <c r="H52" i="6258" s="1"/>
  <c r="B18" i="6258"/>
  <c r="B28" i="6258" s="1"/>
  <c r="B17" i="6258"/>
  <c r="C17" i="6258" s="1"/>
  <c r="C16" i="6258"/>
  <c r="C15" i="6258"/>
  <c r="C14" i="6258"/>
  <c r="O12" i="6258"/>
  <c r="B12" i="6258"/>
  <c r="O11" i="6258"/>
  <c r="B11" i="6258"/>
  <c r="O10" i="6258"/>
  <c r="B10" i="6258"/>
  <c r="C9" i="6258"/>
  <c r="C8" i="6258"/>
  <c r="O7" i="6258"/>
  <c r="C7" i="6258"/>
  <c r="O6" i="6258"/>
  <c r="B6" i="6258"/>
  <c r="O5" i="6258"/>
  <c r="B5" i="6258"/>
  <c r="O4" i="6258"/>
  <c r="O3" i="6258"/>
  <c r="O2" i="6258"/>
  <c r="O19" i="6256"/>
  <c r="O16" i="6256"/>
  <c r="C34" i="6256"/>
  <c r="B29" i="6256"/>
  <c r="C20" i="6256"/>
  <c r="B19" i="6256"/>
  <c r="H52" i="6256" s="1"/>
  <c r="B18" i="6256"/>
  <c r="B28" i="6256" s="1"/>
  <c r="B17" i="6256"/>
  <c r="C17" i="6256" s="1"/>
  <c r="C16" i="6256"/>
  <c r="C15" i="6256"/>
  <c r="C14" i="6256"/>
  <c r="O12" i="6256"/>
  <c r="B12" i="6256"/>
  <c r="O11" i="6256"/>
  <c r="B11" i="6256"/>
  <c r="O10" i="6256"/>
  <c r="B10" i="6256"/>
  <c r="C9" i="6256"/>
  <c r="C8" i="6256"/>
  <c r="O7" i="6256"/>
  <c r="C7" i="6256"/>
  <c r="O6" i="6256"/>
  <c r="B6" i="6256"/>
  <c r="O5" i="6256"/>
  <c r="B5" i="6256"/>
  <c r="O4" i="6256"/>
  <c r="O3" i="6256"/>
  <c r="O2" i="6256"/>
  <c r="O16" i="6246"/>
  <c r="O20" i="6254"/>
  <c r="O16" i="6254"/>
  <c r="C34" i="6254"/>
  <c r="B29" i="6254"/>
  <c r="C20" i="6254"/>
  <c r="B19" i="6254"/>
  <c r="H52" i="6254" s="1"/>
  <c r="B18" i="6254"/>
  <c r="B28" i="6254" s="1"/>
  <c r="B17" i="6254"/>
  <c r="C17" i="6254" s="1"/>
  <c r="C16" i="6254"/>
  <c r="C15" i="6254"/>
  <c r="C14" i="6254"/>
  <c r="O12" i="6254"/>
  <c r="B12" i="6254"/>
  <c r="O11" i="6254"/>
  <c r="B11" i="6254"/>
  <c r="O10" i="6254"/>
  <c r="B10" i="6254"/>
  <c r="C9" i="6254"/>
  <c r="C8" i="6254"/>
  <c r="O7" i="6254"/>
  <c r="C7" i="6254"/>
  <c r="O6" i="6254"/>
  <c r="B6" i="6254"/>
  <c r="O5" i="6254"/>
  <c r="B5" i="6254"/>
  <c r="O4" i="6254"/>
  <c r="O3" i="6254"/>
  <c r="O2" i="6254"/>
  <c r="O22" i="6246"/>
  <c r="O20" i="6246"/>
  <c r="O16" i="6252"/>
  <c r="O22" i="6252"/>
  <c r="C34" i="6252"/>
  <c r="B29" i="6252"/>
  <c r="C20" i="6252"/>
  <c r="B19" i="6252"/>
  <c r="H4" i="6252" s="1"/>
  <c r="B18" i="6252"/>
  <c r="C18" i="6252" s="1"/>
  <c r="B17" i="6252"/>
  <c r="C17" i="6252" s="1"/>
  <c r="C16" i="6252"/>
  <c r="C15" i="6252"/>
  <c r="C14" i="6252"/>
  <c r="O12" i="6252"/>
  <c r="B12" i="6252"/>
  <c r="O11" i="6252"/>
  <c r="B11" i="6252"/>
  <c r="O10" i="6252"/>
  <c r="B10" i="6252"/>
  <c r="C9" i="6252"/>
  <c r="C8" i="6252"/>
  <c r="O7" i="6252"/>
  <c r="C7" i="6252"/>
  <c r="O6" i="6252"/>
  <c r="B6" i="6252"/>
  <c r="O5" i="6252"/>
  <c r="B5" i="6252"/>
  <c r="O4" i="6252"/>
  <c r="O3" i="6252"/>
  <c r="O2" i="6252"/>
  <c r="O18" i="6250"/>
  <c r="O19" i="6250"/>
  <c r="C34" i="6250"/>
  <c r="B29" i="6250"/>
  <c r="C20" i="6250"/>
  <c r="B19" i="6250"/>
  <c r="H5" i="6250" s="1"/>
  <c r="B18" i="6250"/>
  <c r="C18" i="6250" s="1"/>
  <c r="B17" i="6250"/>
  <c r="C17" i="6250" s="1"/>
  <c r="C16" i="6250"/>
  <c r="C15" i="6250"/>
  <c r="C14" i="6250"/>
  <c r="O12" i="6250"/>
  <c r="B12" i="6250"/>
  <c r="O11" i="6250"/>
  <c r="B11" i="6250"/>
  <c r="O10" i="6250"/>
  <c r="B10" i="6250"/>
  <c r="C9" i="6250"/>
  <c r="C8" i="6250"/>
  <c r="O7" i="6250"/>
  <c r="C7" i="6250"/>
  <c r="O6" i="6250"/>
  <c r="B6" i="6250"/>
  <c r="O5" i="6250"/>
  <c r="B5" i="6250"/>
  <c r="O4" i="6250"/>
  <c r="O3" i="6250"/>
  <c r="O2" i="6250"/>
  <c r="O19" i="6246"/>
  <c r="O18" i="6248"/>
  <c r="O15" i="6248"/>
  <c r="C34" i="6248"/>
  <c r="B29" i="6248"/>
  <c r="C20" i="6248"/>
  <c r="B19" i="6248"/>
  <c r="H5" i="6248" s="1"/>
  <c r="B18" i="6248"/>
  <c r="C18" i="6248" s="1"/>
  <c r="B17" i="6248"/>
  <c r="C17" i="6248" s="1"/>
  <c r="C16" i="6248"/>
  <c r="C15" i="6248"/>
  <c r="C14" i="6248"/>
  <c r="O12" i="6248"/>
  <c r="B12" i="6248"/>
  <c r="O11" i="6248"/>
  <c r="B11" i="6248"/>
  <c r="O10" i="6248"/>
  <c r="B10" i="6248"/>
  <c r="C9" i="6248"/>
  <c r="C8" i="6248"/>
  <c r="O7" i="6248"/>
  <c r="C7" i="6248"/>
  <c r="O6" i="6248"/>
  <c r="B6" i="6248"/>
  <c r="O5" i="6248"/>
  <c r="B5" i="6248"/>
  <c r="O4" i="6248"/>
  <c r="O3" i="6248"/>
  <c r="O2" i="6248"/>
  <c r="O23" i="6246"/>
  <c r="O15" i="6246"/>
  <c r="C34" i="6246"/>
  <c r="B29" i="6246"/>
  <c r="C20" i="6246"/>
  <c r="B19" i="6246"/>
  <c r="H5" i="6246" s="1"/>
  <c r="B18" i="6246"/>
  <c r="C18" i="6246" s="1"/>
  <c r="B17" i="6246"/>
  <c r="C17" i="6246" s="1"/>
  <c r="C16" i="6246"/>
  <c r="C15" i="6246"/>
  <c r="C14" i="6246"/>
  <c r="O12" i="6246"/>
  <c r="B12" i="6246"/>
  <c r="O11" i="6246"/>
  <c r="B11" i="6246"/>
  <c r="O10" i="6246"/>
  <c r="B10" i="6246"/>
  <c r="C9" i="6246"/>
  <c r="C8" i="6246"/>
  <c r="O7" i="6246"/>
  <c r="C7" i="6246"/>
  <c r="O6" i="6246"/>
  <c r="B6" i="6246"/>
  <c r="O5" i="6246"/>
  <c r="B5" i="6246"/>
  <c r="O4" i="6246"/>
  <c r="O3" i="6246"/>
  <c r="O2" i="6246"/>
  <c r="H2" i="6260" l="1"/>
  <c r="H17" i="6260"/>
  <c r="B13" i="6258"/>
  <c r="B13" i="6250"/>
  <c r="H8" i="6258"/>
  <c r="B13" i="6248"/>
  <c r="C18" i="6256"/>
  <c r="H10" i="6254"/>
  <c r="H5" i="6254"/>
  <c r="H7" i="6254"/>
  <c r="H19" i="6254"/>
  <c r="C18" i="6254"/>
  <c r="H3" i="6254"/>
  <c r="H23" i="6254"/>
  <c r="H2" i="6254"/>
  <c r="H8" i="6254"/>
  <c r="H21" i="6254"/>
  <c r="B13" i="6254"/>
  <c r="C25" i="6254"/>
  <c r="H24" i="6254"/>
  <c r="C19" i="6254"/>
  <c r="H11" i="6254"/>
  <c r="H6" i="6254"/>
  <c r="H12" i="6254"/>
  <c r="H20" i="6254"/>
  <c r="H22" i="6254"/>
  <c r="H14" i="6254"/>
  <c r="C21" i="6254"/>
  <c r="C23" i="6254"/>
  <c r="H17" i="6248"/>
  <c r="H11" i="6248"/>
  <c r="H7" i="6250"/>
  <c r="H10" i="6250"/>
  <c r="H20" i="6250"/>
  <c r="B13" i="6252"/>
  <c r="H21" i="6260"/>
  <c r="H14" i="6260"/>
  <c r="H48" i="6260"/>
  <c r="C21" i="6260"/>
  <c r="H36" i="6260"/>
  <c r="H7" i="6260"/>
  <c r="H15" i="6260"/>
  <c r="H16" i="6260"/>
  <c r="H18" i="6260"/>
  <c r="H19" i="6260"/>
  <c r="B27" i="6260"/>
  <c r="C19" i="6260"/>
  <c r="H40" i="6260"/>
  <c r="H6" i="6260"/>
  <c r="H20" i="6260"/>
  <c r="C25" i="6260"/>
  <c r="H3" i="6260"/>
  <c r="H12" i="6260"/>
  <c r="H33" i="6260"/>
  <c r="H44" i="6260"/>
  <c r="B13" i="6256"/>
  <c r="H9" i="6256"/>
  <c r="H24" i="6256"/>
  <c r="B13" i="6260"/>
  <c r="C23" i="6260"/>
  <c r="H42" i="6260"/>
  <c r="H51" i="6260"/>
  <c r="H9" i="6260"/>
  <c r="H5" i="6260"/>
  <c r="H8" i="6260"/>
  <c r="H38" i="6260"/>
  <c r="H46" i="6260"/>
  <c r="C22" i="6260"/>
  <c r="B26" i="6260"/>
  <c r="H39" i="6260"/>
  <c r="H43" i="6260"/>
  <c r="H47" i="6260"/>
  <c r="H52" i="6260"/>
  <c r="H13" i="6260"/>
  <c r="C24" i="6260"/>
  <c r="H31" i="6260"/>
  <c r="H37" i="6260"/>
  <c r="H41" i="6260"/>
  <c r="H45" i="6260"/>
  <c r="H49" i="6260"/>
  <c r="H18" i="6252"/>
  <c r="B28" i="6260"/>
  <c r="H23" i="6260"/>
  <c r="H25" i="6260"/>
  <c r="H10" i="6260"/>
  <c r="H28" i="6260"/>
  <c r="H29" i="6260"/>
  <c r="H32" i="6260"/>
  <c r="H35" i="6260"/>
  <c r="C37" i="6260"/>
  <c r="C39" i="6260"/>
  <c r="C41" i="6260"/>
  <c r="C43" i="6260"/>
  <c r="C45" i="6260"/>
  <c r="C47" i="6260"/>
  <c r="H50" i="6260"/>
  <c r="H22" i="6260"/>
  <c r="H24" i="6260"/>
  <c r="H26" i="6260"/>
  <c r="H27" i="6260"/>
  <c r="H11" i="6260"/>
  <c r="H30" i="6260"/>
  <c r="H34" i="6260"/>
  <c r="C36" i="6260"/>
  <c r="C38" i="6260"/>
  <c r="C40" i="6260"/>
  <c r="C42" i="6260"/>
  <c r="C44" i="6260"/>
  <c r="C46" i="6260"/>
  <c r="C48" i="6260"/>
  <c r="H6" i="6258"/>
  <c r="H20" i="6258"/>
  <c r="H11" i="6258"/>
  <c r="H19" i="6258"/>
  <c r="H26" i="6258"/>
  <c r="C18" i="6258"/>
  <c r="H15" i="6258"/>
  <c r="H18" i="6258"/>
  <c r="H16" i="6258"/>
  <c r="H7" i="6258"/>
  <c r="H24" i="6258"/>
  <c r="H25" i="6258"/>
  <c r="H14" i="6258"/>
  <c r="C19" i="6258"/>
  <c r="H5" i="6258"/>
  <c r="H3" i="6258"/>
  <c r="H13" i="6258"/>
  <c r="H2" i="6258"/>
  <c r="H27" i="6258"/>
  <c r="H28" i="6258"/>
  <c r="H21" i="6258"/>
  <c r="H22" i="6258"/>
  <c r="H30" i="6258"/>
  <c r="H33" i="6258"/>
  <c r="H36" i="6258"/>
  <c r="C37" i="6258"/>
  <c r="C39" i="6258"/>
  <c r="C41" i="6258"/>
  <c r="C43" i="6258"/>
  <c r="C45" i="6258"/>
  <c r="C47" i="6258"/>
  <c r="H50" i="6258"/>
  <c r="C21" i="6258"/>
  <c r="C23" i="6258"/>
  <c r="C25" i="6258"/>
  <c r="B27" i="6258"/>
  <c r="H34" i="6258"/>
  <c r="H37" i="6258"/>
  <c r="H39" i="6258"/>
  <c r="H41" i="6258"/>
  <c r="H42" i="6258"/>
  <c r="H44" i="6258"/>
  <c r="H46" i="6258"/>
  <c r="H48" i="6258"/>
  <c r="H51" i="6258"/>
  <c r="H12" i="6258"/>
  <c r="H9" i="6258"/>
  <c r="H17" i="6258"/>
  <c r="H29" i="6258"/>
  <c r="H10" i="6258"/>
  <c r="H31" i="6258"/>
  <c r="H35" i="6258"/>
  <c r="C36" i="6258"/>
  <c r="C38" i="6258"/>
  <c r="C40" i="6258"/>
  <c r="C42" i="6258"/>
  <c r="C44" i="6258"/>
  <c r="C46" i="6258"/>
  <c r="C48" i="6258"/>
  <c r="H4" i="6258"/>
  <c r="C22" i="6258"/>
  <c r="C24" i="6258"/>
  <c r="B26" i="6258"/>
  <c r="H32" i="6258"/>
  <c r="H38" i="6258"/>
  <c r="H40" i="6258"/>
  <c r="H23" i="6258"/>
  <c r="H43" i="6258"/>
  <c r="H45" i="6258"/>
  <c r="H47" i="6258"/>
  <c r="H49" i="6258"/>
  <c r="H10" i="6256"/>
  <c r="H7" i="6256"/>
  <c r="H11" i="6256"/>
  <c r="H23" i="6256"/>
  <c r="H6" i="6256"/>
  <c r="H22" i="6256"/>
  <c r="H14" i="6256"/>
  <c r="C19" i="6256"/>
  <c r="H4" i="6256"/>
  <c r="H3" i="6256"/>
  <c r="H13" i="6256"/>
  <c r="H2" i="6256"/>
  <c r="H28" i="6256"/>
  <c r="H29" i="6256"/>
  <c r="H18" i="6256"/>
  <c r="H31" i="6256"/>
  <c r="H32" i="6256"/>
  <c r="H33" i="6256"/>
  <c r="H36" i="6256"/>
  <c r="C37" i="6256"/>
  <c r="C39" i="6256"/>
  <c r="C41" i="6256"/>
  <c r="C43" i="6256"/>
  <c r="C45" i="6256"/>
  <c r="C47" i="6256"/>
  <c r="H51" i="6256"/>
  <c r="H25" i="6256"/>
  <c r="H15" i="6256"/>
  <c r="C21" i="6256"/>
  <c r="C23" i="6256"/>
  <c r="C25" i="6256"/>
  <c r="B27" i="6256"/>
  <c r="H34" i="6256"/>
  <c r="H37" i="6256"/>
  <c r="H39" i="6256"/>
  <c r="H41" i="6256"/>
  <c r="H43" i="6256"/>
  <c r="H45" i="6256"/>
  <c r="H47" i="6256"/>
  <c r="H49" i="6256"/>
  <c r="H21" i="6256"/>
  <c r="H17" i="6256"/>
  <c r="H12" i="6256"/>
  <c r="H20" i="6256"/>
  <c r="H30" i="6256"/>
  <c r="H8" i="6256"/>
  <c r="H16" i="6256"/>
  <c r="H35" i="6256"/>
  <c r="C36" i="6256"/>
  <c r="C38" i="6256"/>
  <c r="C40" i="6256"/>
  <c r="C42" i="6256"/>
  <c r="C44" i="6256"/>
  <c r="C46" i="6256"/>
  <c r="C48" i="6256"/>
  <c r="H5" i="6256"/>
  <c r="H26" i="6256"/>
  <c r="H27" i="6256"/>
  <c r="C22" i="6256"/>
  <c r="C24" i="6256"/>
  <c r="B26" i="6256"/>
  <c r="H19" i="6256"/>
  <c r="H38" i="6256"/>
  <c r="H40" i="6256"/>
  <c r="H42" i="6256"/>
  <c r="H44" i="6256"/>
  <c r="H46" i="6256"/>
  <c r="H48" i="6256"/>
  <c r="H50" i="6256"/>
  <c r="H26" i="6254"/>
  <c r="H28" i="6254"/>
  <c r="H13" i="6254"/>
  <c r="H30" i="6254"/>
  <c r="H31" i="6254"/>
  <c r="H32" i="6254"/>
  <c r="H35" i="6254"/>
  <c r="C37" i="6254"/>
  <c r="C39" i="6254"/>
  <c r="C41" i="6254"/>
  <c r="C43" i="6254"/>
  <c r="C45" i="6254"/>
  <c r="C47" i="6254"/>
  <c r="H50" i="6254"/>
  <c r="B27" i="6254"/>
  <c r="H33" i="6254"/>
  <c r="H36" i="6254"/>
  <c r="H38" i="6254"/>
  <c r="H40" i="6254"/>
  <c r="H42" i="6254"/>
  <c r="H44" i="6254"/>
  <c r="H46" i="6254"/>
  <c r="H48" i="6254"/>
  <c r="H51" i="6254"/>
  <c r="H15" i="6254"/>
  <c r="H27" i="6254"/>
  <c r="H29" i="6254"/>
  <c r="H16" i="6254"/>
  <c r="H9" i="6254"/>
  <c r="H17" i="6254"/>
  <c r="H34" i="6254"/>
  <c r="C36" i="6254"/>
  <c r="C38" i="6254"/>
  <c r="C40" i="6254"/>
  <c r="C42" i="6254"/>
  <c r="C44" i="6254"/>
  <c r="C46" i="6254"/>
  <c r="C48" i="6254"/>
  <c r="H4" i="6254"/>
  <c r="H25" i="6254"/>
  <c r="C22" i="6254"/>
  <c r="C24" i="6254"/>
  <c r="B26" i="6254"/>
  <c r="H18" i="6254"/>
  <c r="H37" i="6254"/>
  <c r="H39" i="6254"/>
  <c r="H41" i="6254"/>
  <c r="H43" i="6254"/>
  <c r="H45" i="6254"/>
  <c r="H47" i="6254"/>
  <c r="H49" i="6254"/>
  <c r="H8" i="6252"/>
  <c r="C22" i="6252"/>
  <c r="B26" i="6252"/>
  <c r="H41" i="6252"/>
  <c r="H45" i="6252"/>
  <c r="H48" i="6252"/>
  <c r="H52" i="6252"/>
  <c r="H10" i="6252"/>
  <c r="H6" i="6252"/>
  <c r="H13" i="6252"/>
  <c r="H28" i="6252"/>
  <c r="H30" i="6252"/>
  <c r="H16" i="6252"/>
  <c r="B27" i="6252"/>
  <c r="C19" i="6252"/>
  <c r="C23" i="6252"/>
  <c r="H38" i="6252"/>
  <c r="H42" i="6252"/>
  <c r="H46" i="6252"/>
  <c r="H49" i="6252"/>
  <c r="H7" i="6252"/>
  <c r="H22" i="6252"/>
  <c r="C24" i="6252"/>
  <c r="H19" i="6252"/>
  <c r="H39" i="6252"/>
  <c r="H43" i="6252"/>
  <c r="H27" i="6252"/>
  <c r="H50" i="6252"/>
  <c r="H5" i="6252"/>
  <c r="H2" i="6252"/>
  <c r="H11" i="6252"/>
  <c r="H3" i="6252"/>
  <c r="H29" i="6252"/>
  <c r="H23" i="6252"/>
  <c r="H31" i="6252"/>
  <c r="C21" i="6252"/>
  <c r="C25" i="6252"/>
  <c r="H36" i="6252"/>
  <c r="H40" i="6252"/>
  <c r="H44" i="6252"/>
  <c r="H47" i="6252"/>
  <c r="H15" i="6252"/>
  <c r="B28" i="6252"/>
  <c r="H32" i="6252"/>
  <c r="H24" i="6252"/>
  <c r="H12" i="6252"/>
  <c r="H34" i="6252"/>
  <c r="H35" i="6252"/>
  <c r="H21" i="6252"/>
  <c r="H37" i="6252"/>
  <c r="C37" i="6252"/>
  <c r="C39" i="6252"/>
  <c r="C41" i="6252"/>
  <c r="C43" i="6252"/>
  <c r="C45" i="6252"/>
  <c r="C47" i="6252"/>
  <c r="H51" i="6252"/>
  <c r="H17" i="6252"/>
  <c r="H14" i="6252"/>
  <c r="H33" i="6252"/>
  <c r="H25" i="6252"/>
  <c r="H9" i="6252"/>
  <c r="H20" i="6252"/>
  <c r="H26" i="6252"/>
  <c r="C36" i="6252"/>
  <c r="C38" i="6252"/>
  <c r="C40" i="6252"/>
  <c r="C42" i="6252"/>
  <c r="C44" i="6252"/>
  <c r="C46" i="6252"/>
  <c r="C48" i="6252"/>
  <c r="H11" i="6246"/>
  <c r="H24" i="6246"/>
  <c r="H47" i="6246"/>
  <c r="H9" i="6246"/>
  <c r="H35" i="6246"/>
  <c r="H38" i="6246"/>
  <c r="H2" i="6246"/>
  <c r="H4" i="6246"/>
  <c r="H3" i="6246"/>
  <c r="C25" i="6246"/>
  <c r="H41" i="6246"/>
  <c r="C22" i="6250"/>
  <c r="B26" i="6250"/>
  <c r="H39" i="6250"/>
  <c r="H43" i="6250"/>
  <c r="H47" i="6250"/>
  <c r="H52" i="6250"/>
  <c r="H9" i="6250"/>
  <c r="H6" i="6250"/>
  <c r="H11" i="6250"/>
  <c r="H16" i="6250"/>
  <c r="H18" i="6250"/>
  <c r="H19" i="6250"/>
  <c r="B27" i="6250"/>
  <c r="C19" i="6250"/>
  <c r="C23" i="6250"/>
  <c r="H36" i="6250"/>
  <c r="H40" i="6250"/>
  <c r="H44" i="6250"/>
  <c r="H48" i="6250"/>
  <c r="H15" i="6250"/>
  <c r="C24" i="6250"/>
  <c r="H31" i="6250"/>
  <c r="H37" i="6250"/>
  <c r="H41" i="6250"/>
  <c r="H45" i="6250"/>
  <c r="H49" i="6250"/>
  <c r="H3" i="6250"/>
  <c r="H2" i="6250"/>
  <c r="H14" i="6250"/>
  <c r="H4" i="6250"/>
  <c r="H17" i="6250"/>
  <c r="H12" i="6250"/>
  <c r="H21" i="6250"/>
  <c r="C21" i="6250"/>
  <c r="C25" i="6250"/>
  <c r="H33" i="6250"/>
  <c r="H38" i="6250"/>
  <c r="H42" i="6250"/>
  <c r="H46" i="6250"/>
  <c r="H51" i="6250"/>
  <c r="B28" i="6250"/>
  <c r="H23" i="6250"/>
  <c r="H24" i="6250"/>
  <c r="H26" i="6250"/>
  <c r="H28" i="6250"/>
  <c r="H29" i="6250"/>
  <c r="H32" i="6250"/>
  <c r="H35" i="6250"/>
  <c r="C37" i="6250"/>
  <c r="C39" i="6250"/>
  <c r="C41" i="6250"/>
  <c r="C43" i="6250"/>
  <c r="C45" i="6250"/>
  <c r="C47" i="6250"/>
  <c r="H50" i="6250"/>
  <c r="H22" i="6250"/>
  <c r="H13" i="6250"/>
  <c r="H25" i="6250"/>
  <c r="H27" i="6250"/>
  <c r="H8" i="6250"/>
  <c r="H30" i="6250"/>
  <c r="H34" i="6250"/>
  <c r="C36" i="6250"/>
  <c r="C38" i="6250"/>
  <c r="C40" i="6250"/>
  <c r="C42" i="6250"/>
  <c r="C44" i="6250"/>
  <c r="C46" i="6250"/>
  <c r="C48" i="6250"/>
  <c r="H44" i="6246"/>
  <c r="H21" i="6246"/>
  <c r="C21" i="6246"/>
  <c r="H19" i="6246"/>
  <c r="C22" i="6248"/>
  <c r="B26" i="6248"/>
  <c r="H40" i="6248"/>
  <c r="H44" i="6248"/>
  <c r="H48" i="6248"/>
  <c r="H52" i="6248"/>
  <c r="H10" i="6248"/>
  <c r="H6" i="6248"/>
  <c r="H14" i="6248"/>
  <c r="H24" i="6248"/>
  <c r="H25" i="6248"/>
  <c r="H16" i="6248"/>
  <c r="B27" i="6248"/>
  <c r="C19" i="6248"/>
  <c r="C23" i="6248"/>
  <c r="H21" i="6248"/>
  <c r="H41" i="6248"/>
  <c r="H45" i="6248"/>
  <c r="H49" i="6248"/>
  <c r="H7" i="6248"/>
  <c r="H23" i="6248"/>
  <c r="C24" i="6248"/>
  <c r="H19" i="6248"/>
  <c r="H38" i="6248"/>
  <c r="H42" i="6248"/>
  <c r="H46" i="6248"/>
  <c r="H50" i="6248"/>
  <c r="H3" i="6248"/>
  <c r="H2" i="6248"/>
  <c r="H9" i="6248"/>
  <c r="H4" i="6248"/>
  <c r="H20" i="6248"/>
  <c r="H26" i="6248"/>
  <c r="H27" i="6248"/>
  <c r="C21" i="6248"/>
  <c r="C25" i="6248"/>
  <c r="H35" i="6248"/>
  <c r="H39" i="6248"/>
  <c r="H43" i="6248"/>
  <c r="H47" i="6248"/>
  <c r="H22" i="6248"/>
  <c r="B28" i="6248"/>
  <c r="H28" i="6248"/>
  <c r="H29" i="6248"/>
  <c r="H12" i="6248"/>
  <c r="H32" i="6248"/>
  <c r="H33" i="6248"/>
  <c r="H34" i="6248"/>
  <c r="H37" i="6248"/>
  <c r="C37" i="6248"/>
  <c r="C39" i="6248"/>
  <c r="C41" i="6248"/>
  <c r="C43" i="6248"/>
  <c r="C45" i="6248"/>
  <c r="C47" i="6248"/>
  <c r="H51" i="6248"/>
  <c r="H15" i="6248"/>
  <c r="H18" i="6248"/>
  <c r="H30" i="6248"/>
  <c r="H31" i="6248"/>
  <c r="H8" i="6248"/>
  <c r="H13" i="6248"/>
  <c r="H36" i="6248"/>
  <c r="C36" i="6248"/>
  <c r="C38" i="6248"/>
  <c r="C40" i="6248"/>
  <c r="C42" i="6248"/>
  <c r="C44" i="6248"/>
  <c r="C46" i="6248"/>
  <c r="C48" i="6248"/>
  <c r="B13" i="6246"/>
  <c r="B26" i="6246"/>
  <c r="H45" i="6246"/>
  <c r="H52" i="6246"/>
  <c r="H12" i="6246"/>
  <c r="H27" i="6246"/>
  <c r="H15" i="6246"/>
  <c r="B27" i="6246"/>
  <c r="C19" i="6246"/>
  <c r="C23" i="6246"/>
  <c r="H31" i="6246"/>
  <c r="H43" i="6246"/>
  <c r="H46" i="6246"/>
  <c r="H49" i="6246"/>
  <c r="H17" i="6246"/>
  <c r="C22" i="6246"/>
  <c r="H42" i="6246"/>
  <c r="H48" i="6246"/>
  <c r="H10" i="6246"/>
  <c r="H6" i="6246"/>
  <c r="H34" i="6246"/>
  <c r="H7" i="6246"/>
  <c r="H23" i="6246"/>
  <c r="C24" i="6246"/>
  <c r="H20" i="6246"/>
  <c r="H40" i="6246"/>
  <c r="H32" i="6246"/>
  <c r="H33" i="6246"/>
  <c r="H50" i="6246"/>
  <c r="B28" i="6246"/>
  <c r="H36" i="6246"/>
  <c r="H28" i="6246"/>
  <c r="H13" i="6246"/>
  <c r="H29" i="6246"/>
  <c r="H37" i="6246"/>
  <c r="H26" i="6246"/>
  <c r="H39" i="6246"/>
  <c r="C37" i="6246"/>
  <c r="C39" i="6246"/>
  <c r="C41" i="6246"/>
  <c r="C43" i="6246"/>
  <c r="C45" i="6246"/>
  <c r="C47" i="6246"/>
  <c r="H51" i="6246"/>
  <c r="H16" i="6246"/>
  <c r="H14" i="6246"/>
  <c r="H22" i="6246"/>
  <c r="H25" i="6246"/>
  <c r="H8" i="6246"/>
  <c r="H18" i="6246"/>
  <c r="H30" i="6246"/>
  <c r="C36" i="6246"/>
  <c r="C38" i="6246"/>
  <c r="C40" i="6246"/>
  <c r="C42" i="6246"/>
  <c r="C44" i="6246"/>
  <c r="C46" i="6246"/>
  <c r="C48" i="6246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<sst xmlns="http://schemas.openxmlformats.org/spreadsheetml/2006/main" count="2715" uniqueCount="237">
  <si>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</si>
  <si>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</si>
  <si>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</si>
  <si>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</si>
  <si>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</si>
  <si>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</si>
  <si>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</si>
  <si>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</si>
  <si>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</si>
  <si>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</si>
  <si>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</si>
  <si>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</si>
  <si>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</si>
  <si>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</si>
  <si>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</si>
  <si>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</si>
  <si>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</si>
  <si>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</si>
  <si>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</si>
  <si>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</si>
  <si>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</si>
  <si>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</si>
  <si>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</si>
  <si>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</si>
  <si>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</si>
  <si>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</si>
  <si>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</si>
  <si>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</si>
  <si>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</si>
  <si>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</si>
  <si>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</si>
  <si>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</si>
  <si>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</si>
  <si>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</si>
  <si>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</si>
  <si>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</si>
  <si>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</si>
  <si>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</si>
  <si>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</si>
  <si>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</si>
  <si>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</si>
  <si>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</si>
  <si>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</si>
  <si>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</si>
  <si>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</si>
  <si>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</si>
  <si>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</si>
  <si>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</si>
  <si>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</si>
  <si>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</si>
  <si>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</si>
  <si>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</si>
  <si>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</si>
  <si>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</si>
  <si>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</si>
  <si>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</si>
  <si>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</si>
  <si>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</si>
  <si>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</si>
  <si>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</si>
  <si>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</si>
  <si>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</si>
  <si>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</si>
  <si>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</si>
  <si>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</si>
  <si>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</si>
  <si>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</si>
  <si>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</si>
  <si>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</si>
  <si>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</si>
  <si>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</si>
  <si>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</si>
  <si>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</si>
  <si>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</si>
  <si>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</si>
  <si>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</si>
  <si>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</si>
  <si>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</si>
  <si>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</si>
  <si>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</si>
  <si>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</si>
  <si>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</si>
  <si>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</si>
  <si>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</si>
  <si>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</si>
  <si>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</si>
  <si>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</si>
  <si>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</si>
  <si>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</si>
  <si>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</si>
  <si>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</si>
  <si>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</si>
  <si>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</si>
  <si>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</si>
  <si>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</si>
  <si>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</si>
  <si>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</si>
  <si>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</si>
  <si>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</si>
  <si>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</si>
  <si>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</si>
  <si>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</si>
  <si>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</si>
  <si>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</si>
  <si>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</si>
  <si>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</si>
  <si>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</si>
  <si>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</si>
  <si>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</si>
  <si>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</si>
  <si>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</si>
  <si>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</si>
  <si>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</si>
  <si>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</si>
  <si>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</si>
  <si>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</si>
  <si>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</si>
  <si>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</si>
  <si>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</si>
  <si>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</si>
  <si>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</si>
  <si>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</si>
  <si>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</si>
  <si>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</si>
  <si>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</si>
  <si>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</si>
  <si>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</si>
  <si>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</si>
  <si>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</si>
  <si>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</si>
  <si>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</si>
  <si>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</si>
  <si>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</si>
  <si>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</si>
  <si>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</si>
  <si>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</si>
  <si>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</si>
  <si>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</si>
  <si>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</si>
  <si>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</si>
  <si>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</si>
  <si>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</si>
  <si>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</si>
  <si>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</si>
  <si>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</si>
  <si>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</si>
  <si>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</si>
  <si>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</si>
  <si>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</si>
  <si>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</si>
  <si>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</si>
  <si>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</si>
  <si>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</si>
  <si>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</si>
  <si>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</si>
  <si>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</si>
  <si>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</si>
  <si>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</si>
  <si>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</si>
  <si>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</si>
  <si>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</si>
  <si>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</si>
  <si>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</si>
  <si>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</si>
  <si>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</si>
  <si>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</si>
  <si>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</si>
  <si>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</si>
  <si>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</si>
  <si>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</si>
  <si>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</si>
  <si>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</si>
  <si>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</si>
  <si>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</si>
  <si>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</si>
  <si>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</si>
  <si>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</si>
  <si>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</si>
  <si>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</si>
  <si>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</si>
  <si>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</si>
  <si>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</si>
  <si>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</si>
  <si>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</si>
  <si>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</si>
  <si>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</si>
  <si>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</si>
  <si>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</si>
  <si>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</si>
  <si>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</si>
  <si>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</si>
  <si>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</si>
  <si>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</si>
  <si>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</si>
  <si>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</si>
  <si>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</si>
  <si>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</si>
  <si>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</si>
  <si>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</si>
  <si>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</si>
  <si>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</si>
  <si>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</si>
  <si>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</si>
  <si>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</si>
  <si>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</si>
  <si>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</si>
  <si>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</si>
  <si>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</si>
  <si>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</si>
  <si>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</si>
  <si>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</si>
  <si>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</si>
  <si>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</si>
  <si>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</si>
  <si>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</si>
  <si>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</si>
  <si>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</si>
  <si>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</si>
  <si>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</si>
  <si>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</si>
  <si>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</si>
  <si>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</si>
  <si>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</si>
  <si>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</si>
  <si>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</si>
  <si>
    <t>2020-06-20@0.xlsm</t>
  </si>
  <si>
    <t>2020-06-22@0.xlsm</t>
  </si>
  <si>
    <t>2020-06-24@0.xlsm</t>
  </si>
  <si>
    <t>2020-06-26@0.xlsm</t>
  </si>
  <si>
    <t>2020-06-27@0.xlsm</t>
  </si>
  <si>
    <t>2020-06-29@0.xlsm</t>
  </si>
  <si>
    <t>2020-06-30@0.xlsm</t>
  </si>
  <si>
    <t>2020-07-05@0.xlsm</t>
  </si>
  <si>
    <t>2020-07-06@0.xlsm</t>
  </si>
  <si>
    <t>2020-07-10@0.xlsm</t>
  </si>
  <si>
    <t>2020-07-12@0.xlsm</t>
  </si>
  <si>
    <t>hh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</si>
</sst>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全体!$K$2:$K$326</c:f>
              <c:numCache>
                <c:formatCode>General</c:formatCode>
                <c:ptCount val="3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</c:numCache>
            </c:numRef>
          </c:xVal>
          <c:yVal>
            <c:numRef>
              <c:f>全体!$L$2:$L$326</c:f>
              <c:numCache>
                <c:formatCode>\+0.0;\-0.0;\±0</c:formatCode>
                <c:ptCount val="325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  <c:pt idx="241">
                  <c:v>-33.000000000000021</c:v>
                </c:pt>
                <c:pt idx="242">
                  <c:v>-40.90000000000002</c:v>
                </c:pt>
                <c:pt idx="243">
                  <c:v>-2.1316282072803006E-14</c:v>
                </c:pt>
                <c:pt idx="244">
                  <c:v>-3.4000000000000212</c:v>
                </c:pt>
                <c:pt idx="245">
                  <c:v>14.499999999999977</c:v>
                </c:pt>
                <c:pt idx="246">
                  <c:v>-2.3092638912203256E-14</c:v>
                </c:pt>
                <c:pt idx="247">
                  <c:v>-29.800000000000026</c:v>
                </c:pt>
                <c:pt idx="248">
                  <c:v>4.099999999999973</c:v>
                </c:pt>
                <c:pt idx="249">
                  <c:v>-2.6645352591003757E-14</c:v>
                </c:pt>
                <c:pt idx="250">
                  <c:v>13.499999999999973</c:v>
                </c:pt>
                <c:pt idx="251">
                  <c:v>-34.500000000000028</c:v>
                </c:pt>
                <c:pt idx="252">
                  <c:v>-2.8421709430404007E-14</c:v>
                </c:pt>
                <c:pt idx="253">
                  <c:v>-46.300000000000026</c:v>
                </c:pt>
                <c:pt idx="254">
                  <c:v>-43.500000000000028</c:v>
                </c:pt>
                <c:pt idx="255">
                  <c:v>-2.8421709430404007E-14</c:v>
                </c:pt>
                <c:pt idx="256">
                  <c:v>-23.60000000000003</c:v>
                </c:pt>
                <c:pt idx="257">
                  <c:v>45.499999999999964</c:v>
                </c:pt>
                <c:pt idx="258">
                  <c:v>-3.5527136788005009E-14</c:v>
                </c:pt>
                <c:pt idx="259">
                  <c:v>3.3999999999999644</c:v>
                </c:pt>
                <c:pt idx="260">
                  <c:v>-15.300000000000034</c:v>
                </c:pt>
                <c:pt idx="261">
                  <c:v>-3.3750779948604759E-14</c:v>
                </c:pt>
                <c:pt idx="262">
                  <c:v>-20.700000000000031</c:v>
                </c:pt>
                <c:pt idx="263">
                  <c:v>-19.500000000000032</c:v>
                </c:pt>
                <c:pt idx="264">
                  <c:v>-3.1974423109204508E-14</c:v>
                </c:pt>
                <c:pt idx="265">
                  <c:v>-8.9000000000000323</c:v>
                </c:pt>
                <c:pt idx="266">
                  <c:v>27.099999999999966</c:v>
                </c:pt>
                <c:pt idx="267">
                  <c:v>-3.5527136788005009E-14</c:v>
                </c:pt>
                <c:pt idx="268">
                  <c:v>-15.700000000000035</c:v>
                </c:pt>
                <c:pt idx="269">
                  <c:v>4.6999999999999638</c:v>
                </c:pt>
                <c:pt idx="270">
                  <c:v>-3.6415315207705135E-14</c:v>
                </c:pt>
                <c:pt idx="271">
                  <c:v>-16.000000000000036</c:v>
                </c:pt>
                <c:pt idx="272">
                  <c:v>1.4999999999999645</c:v>
                </c:pt>
                <c:pt idx="273">
                  <c:v>-3.5527136788005009E-14</c:v>
                </c:pt>
                <c:pt idx="274">
                  <c:v>-34.800000000000033</c:v>
                </c:pt>
                <c:pt idx="275">
                  <c:v>-50.800000000000033</c:v>
                </c:pt>
                <c:pt idx="276">
                  <c:v>-3.5527136788005009E-14</c:v>
                </c:pt>
                <c:pt idx="277">
                  <c:v>33.199999999999967</c:v>
                </c:pt>
                <c:pt idx="278">
                  <c:v>41.599999999999966</c:v>
                </c:pt>
                <c:pt idx="279">
                  <c:v>-3.5527136788005009E-14</c:v>
                </c:pt>
                <c:pt idx="280">
                  <c:v>11.899999999999965</c:v>
                </c:pt>
                <c:pt idx="281">
                  <c:v>36.199999999999967</c:v>
                </c:pt>
                <c:pt idx="282">
                  <c:v>-3.5527136788005009E-14</c:v>
                </c:pt>
                <c:pt idx="283">
                  <c:v>6.1999999999999647</c:v>
                </c:pt>
                <c:pt idx="284">
                  <c:v>-28.100000000000033</c:v>
                </c:pt>
                <c:pt idx="285">
                  <c:v>-3.1974423109204508E-14</c:v>
                </c:pt>
                <c:pt idx="286">
                  <c:v>-40.800000000000026</c:v>
                </c:pt>
                <c:pt idx="287">
                  <c:v>-33.700000000000024</c:v>
                </c:pt>
                <c:pt idx="288">
                  <c:v>-2.1316282072803006E-14</c:v>
                </c:pt>
                <c:pt idx="289">
                  <c:v>0.99999999999997868</c:v>
                </c:pt>
                <c:pt idx="290">
                  <c:v>-24.40000000000002</c:v>
                </c:pt>
                <c:pt idx="291">
                  <c:v>-2.1316282072803006E-14</c:v>
                </c:pt>
                <c:pt idx="292">
                  <c:v>-0.10000000000002132</c:v>
                </c:pt>
                <c:pt idx="293">
                  <c:v>-19.400000000000023</c:v>
                </c:pt>
                <c:pt idx="294">
                  <c:v>-2.4868995751603507E-14</c:v>
                </c:pt>
                <c:pt idx="295">
                  <c:v>60.499999999999972</c:v>
                </c:pt>
                <c:pt idx="296">
                  <c:v>54.699999999999974</c:v>
                </c:pt>
                <c:pt idx="297">
                  <c:v>-2.8421709430404007E-14</c:v>
                </c:pt>
                <c:pt idx="298">
                  <c:v>20.199999999999971</c:v>
                </c:pt>
                <c:pt idx="299">
                  <c:v>18.199999999999971</c:v>
                </c:pt>
                <c:pt idx="300">
                  <c:v>-2.8421709430404007E-14</c:v>
                </c:pt>
                <c:pt idx="301">
                  <c:v>-27.500000000000028</c:v>
                </c:pt>
                <c:pt idx="302">
                  <c:v>-19.10000000000003</c:v>
                </c:pt>
                <c:pt idx="303">
                  <c:v>-2.8421709430404007E-14</c:v>
                </c:pt>
                <c:pt idx="304">
                  <c:v>29.499999999999972</c:v>
                </c:pt>
                <c:pt idx="305">
                  <c:v>30.799999999999972</c:v>
                </c:pt>
                <c:pt idx="306">
                  <c:v>-2.8421709430404007E-14</c:v>
                </c:pt>
                <c:pt idx="307">
                  <c:v>14.099999999999971</c:v>
                </c:pt>
                <c:pt idx="308">
                  <c:v>50.299999999999976</c:v>
                </c:pt>
                <c:pt idx="309">
                  <c:v>-2.1316282072803006E-14</c:v>
                </c:pt>
                <c:pt idx="310">
                  <c:v>8.399999999999979</c:v>
                </c:pt>
                <c:pt idx="311">
                  <c:v>42.499999999999979</c:v>
                </c:pt>
                <c:pt idx="312">
                  <c:v>-2.1316282072803006E-14</c:v>
                </c:pt>
                <c:pt idx="313">
                  <c:v>-19.200000000000021</c:v>
                </c:pt>
                <c:pt idx="314">
                  <c:v>-15.80000000000002</c:v>
                </c:pt>
                <c:pt idx="315">
                  <c:v>-1.9539925233402755E-14</c:v>
                </c:pt>
                <c:pt idx="316">
                  <c:v>7.0999999999999801</c:v>
                </c:pt>
                <c:pt idx="317">
                  <c:v>28.199999999999982</c:v>
                </c:pt>
                <c:pt idx="318">
                  <c:v>-1.7763568394002505E-14</c:v>
                </c:pt>
                <c:pt idx="319">
                  <c:v>-20.400000000000016</c:v>
                </c:pt>
                <c:pt idx="320">
                  <c:v>-16.300000000000018</c:v>
                </c:pt>
                <c:pt idx="321">
                  <c:v>-1.7763568394002505E-14</c:v>
                </c:pt>
                <c:pt idx="322">
                  <c:v>4.7999999999999821</c:v>
                </c:pt>
                <c:pt idx="323">
                  <c:v>-28.500000000000014</c:v>
                </c:pt>
                <c:pt idx="324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90-4E99-9147-E0246CD37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-9.433962264150944</c:v>
                </c:pt>
                <c:pt idx="1">
                  <c:v>-3.1446540880503147</c:v>
                </c:pt>
                <c:pt idx="2">
                  <c:v>-13.201320132013201</c:v>
                </c:pt>
                <c:pt idx="3">
                  <c:v>21.978021978021978</c:v>
                </c:pt>
                <c:pt idx="4">
                  <c:v>-55.555555555555557</c:v>
                </c:pt>
                <c:pt idx="5">
                  <c:v>75.757575757575751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3E-4CF3-B122-B5B10B9EA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56</c:v>
                </c:pt>
                <c:pt idx="1">
                  <c:v>134</c:v>
                </c:pt>
                <c:pt idx="2">
                  <c:v>129</c:v>
                </c:pt>
                <c:pt idx="3">
                  <c:v>138</c:v>
                </c:pt>
                <c:pt idx="4">
                  <c:v>107</c:v>
                </c:pt>
                <c:pt idx="5">
                  <c:v>72</c:v>
                </c:pt>
                <c:pt idx="6">
                  <c:v>45</c:v>
                </c:pt>
                <c:pt idx="7">
                  <c:v>18</c:v>
                </c:pt>
                <c:pt idx="8">
                  <c:v>12</c:v>
                </c:pt>
                <c:pt idx="9">
                  <c:v>9</c:v>
                </c:pt>
                <c:pt idx="10">
                  <c:v>4</c:v>
                </c:pt>
                <c:pt idx="11">
                  <c:v>4</c:v>
                </c:pt>
                <c:pt idx="1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4F-4B78-A755-2C512936C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れんたろう!$L$2:$L$61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  <c:pt idx="44">
                  <c:v>-184.20000000000005</c:v>
                </c:pt>
                <c:pt idx="45">
                  <c:v>-214.00000000000006</c:v>
                </c:pt>
                <c:pt idx="46">
                  <c:v>-200.50000000000006</c:v>
                </c:pt>
                <c:pt idx="47">
                  <c:v>-157.00000000000006</c:v>
                </c:pt>
                <c:pt idx="48">
                  <c:v>-87.900000000000063</c:v>
                </c:pt>
                <c:pt idx="49">
                  <c:v>-106.60000000000007</c:v>
                </c:pt>
                <c:pt idx="50">
                  <c:v>-122.60000000000007</c:v>
                </c:pt>
                <c:pt idx="51">
                  <c:v>-114.20000000000006</c:v>
                </c:pt>
                <c:pt idx="52">
                  <c:v>-89.900000000000063</c:v>
                </c:pt>
                <c:pt idx="53">
                  <c:v>-61.800000000000061</c:v>
                </c:pt>
                <c:pt idx="54">
                  <c:v>-63.800000000000061</c:v>
                </c:pt>
                <c:pt idx="55">
                  <c:v>-114.10000000000005</c:v>
                </c:pt>
                <c:pt idx="56">
                  <c:v>-110.70000000000005</c:v>
                </c:pt>
                <c:pt idx="57">
                  <c:v>-89.600000000000051</c:v>
                </c:pt>
                <c:pt idx="58">
                  <c:v>-110.00000000000006</c:v>
                </c:pt>
                <c:pt idx="59">
                  <c:v>-105.20000000000006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D7-4166-9D43-978BA487E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-647.36842105263156</c:v>
                </c:pt>
                <c:pt idx="1">
                  <c:v>-1886.2068965517242</c:v>
                </c:pt>
                <c:pt idx="2">
                  <c:v>253.7037037037037</c:v>
                </c:pt>
                <c:pt idx="3">
                  <c:v>-1428.5714285714287</c:v>
                </c:pt>
                <c:pt idx="4">
                  <c:v>104.16666666666667</c:v>
                </c:pt>
                <c:pt idx="5">
                  <c:v>2685.7142857142858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8-44B8-84F1-33E518207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4</c:v>
                </c:pt>
                <c:pt idx="1">
                  <c:v>14</c:v>
                </c:pt>
                <c:pt idx="2">
                  <c:v>13</c:v>
                </c:pt>
                <c:pt idx="3">
                  <c:v>34</c:v>
                </c:pt>
                <c:pt idx="4">
                  <c:v>24</c:v>
                </c:pt>
                <c:pt idx="5">
                  <c:v>14</c:v>
                </c:pt>
                <c:pt idx="6">
                  <c:v>10</c:v>
                </c:pt>
                <c:pt idx="7">
                  <c:v>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5A-4154-84E0-548C0B715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A6-482C-865A-C3CA2BE3F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C-4BA2-A967-66E212759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7E-48AE-A1FE-809B04B6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だいち!$L$2:$L$82</c:f>
              <c:numCache>
                <c:formatCode>\+0.0;\-0.0;\±0</c:formatCode>
                <c:ptCount val="81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  <c:pt idx="58">
                  <c:v>636.70000000000016</c:v>
                </c:pt>
                <c:pt idx="59">
                  <c:v>633.30000000000018</c:v>
                </c:pt>
                <c:pt idx="60">
                  <c:v>629.20000000000016</c:v>
                </c:pt>
                <c:pt idx="61">
                  <c:v>581.20000000000016</c:v>
                </c:pt>
                <c:pt idx="62">
                  <c:v>534.9000000000002</c:v>
                </c:pt>
                <c:pt idx="63">
                  <c:v>511.30000000000018</c:v>
                </c:pt>
                <c:pt idx="64">
                  <c:v>512.50000000000023</c:v>
                </c:pt>
                <c:pt idx="65">
                  <c:v>548.50000000000023</c:v>
                </c:pt>
                <c:pt idx="66">
                  <c:v>568.9000000000002</c:v>
                </c:pt>
                <c:pt idx="67">
                  <c:v>586.4000000000002</c:v>
                </c:pt>
                <c:pt idx="68">
                  <c:v>619.60000000000025</c:v>
                </c:pt>
                <c:pt idx="69">
                  <c:v>631.50000000000023</c:v>
                </c:pt>
                <c:pt idx="70">
                  <c:v>597.20000000000027</c:v>
                </c:pt>
                <c:pt idx="71">
                  <c:v>616.60000000000025</c:v>
                </c:pt>
                <c:pt idx="72">
                  <c:v>677.10000000000025</c:v>
                </c:pt>
                <c:pt idx="73">
                  <c:v>658.9000000000002</c:v>
                </c:pt>
                <c:pt idx="74">
                  <c:v>678.00000000000023</c:v>
                </c:pt>
                <c:pt idx="75">
                  <c:v>707.50000000000023</c:v>
                </c:pt>
                <c:pt idx="76">
                  <c:v>741.60000000000025</c:v>
                </c:pt>
                <c:pt idx="77">
                  <c:v>757.4000000000002</c:v>
                </c:pt>
                <c:pt idx="78">
                  <c:v>729.20000000000016</c:v>
                </c:pt>
                <c:pt idx="79">
                  <c:v>745.50000000000011</c:v>
                </c:pt>
                <c:pt idx="80">
                  <c:v>712.20000000000016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BF-4371-8094-C00CB3218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1008.75</c:v>
                </c:pt>
                <c:pt idx="1">
                  <c:v>2089.8734177215188</c:v>
                </c:pt>
                <c:pt idx="2">
                  <c:v>2172</c:v>
                </c:pt>
                <c:pt idx="3">
                  <c:v>1131.3432835820895</c:v>
                </c:pt>
                <c:pt idx="4">
                  <c:v>-867.1875</c:v>
                </c:pt>
                <c:pt idx="5">
                  <c:v>3092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50-4731-8B57-DE923E09F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12</c:v>
                </c:pt>
                <c:pt idx="1">
                  <c:v>28</c:v>
                </c:pt>
                <c:pt idx="2">
                  <c:v>33</c:v>
                </c:pt>
                <c:pt idx="3">
                  <c:v>39</c:v>
                </c:pt>
                <c:pt idx="4">
                  <c:v>33</c:v>
                </c:pt>
                <c:pt idx="5">
                  <c:v>17</c:v>
                </c:pt>
                <c:pt idx="6">
                  <c:v>12</c:v>
                </c:pt>
                <c:pt idx="7">
                  <c:v>6</c:v>
                </c:pt>
                <c:pt idx="8">
                  <c:v>5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04-4546-BA4F-B2A94F2D6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  <c:pt idx="27">
                  <c:v>-225.79999999999995</c:v>
                </c:pt>
                <c:pt idx="28">
                  <c:v>-222.39999999999995</c:v>
                </c:pt>
                <c:pt idx="29">
                  <c:v>-243.09999999999994</c:v>
                </c:pt>
                <c:pt idx="30">
                  <c:v>-270.19999999999993</c:v>
                </c:pt>
                <c:pt idx="31">
                  <c:v>-285.89999999999992</c:v>
                </c:pt>
                <c:pt idx="32">
                  <c:v>-277.49999999999994</c:v>
                </c:pt>
                <c:pt idx="33">
                  <c:v>-276.19999999999993</c:v>
                </c:pt>
                <c:pt idx="34">
                  <c:v>-295.39999999999992</c:v>
                </c:pt>
                <c:pt idx="35">
                  <c:v>-288.2999999999999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76-4148-B5F3-D07B2C4DC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-3911.7647058823532</c:v>
                </c:pt>
                <c:pt idx="1">
                  <c:v>1852.9411764705883</c:v>
                </c:pt>
                <c:pt idx="2">
                  <c:v>-2203.125</c:v>
                </c:pt>
                <c:pt idx="3">
                  <c:v>-1344.4444444444443</c:v>
                </c:pt>
                <c:pt idx="4">
                  <c:v>3139.1304347826085</c:v>
                </c:pt>
                <c:pt idx="5">
                  <c:v>-4047.3684210526317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56-466F-A3AB-E7526FC00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9</c:v>
                </c:pt>
                <c:pt idx="4">
                  <c:v>6</c:v>
                </c:pt>
                <c:pt idx="5">
                  <c:v>11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3-4FF2-BF94-D0C6AE57E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まっつん!$L$2:$L$57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  <c:pt idx="45">
                  <c:v>-60.89999999999997</c:v>
                </c:pt>
                <c:pt idx="46">
                  <c:v>-76.899999999999977</c:v>
                </c:pt>
                <c:pt idx="47">
                  <c:v>-26.09999999999998</c:v>
                </c:pt>
                <c:pt idx="48">
                  <c:v>-19.899999999999981</c:v>
                </c:pt>
                <c:pt idx="49">
                  <c:v>13.800000000000022</c:v>
                </c:pt>
                <c:pt idx="50">
                  <c:v>-11.599999999999977</c:v>
                </c:pt>
                <c:pt idx="51">
                  <c:v>-66.299999999999983</c:v>
                </c:pt>
                <c:pt idx="52">
                  <c:v>-46.09999999999998</c:v>
                </c:pt>
                <c:pt idx="53">
                  <c:v>-73.59999999999998</c:v>
                </c:pt>
                <c:pt idx="54">
                  <c:v>-104.39999999999998</c:v>
                </c:pt>
                <c:pt idx="55">
                  <c:v>-68.199999999999974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4-44F2-BA90-75CA606B9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-131.4814814814815</c:v>
                </c:pt>
                <c:pt idx="1">
                  <c:v>-207.40740740740742</c:v>
                </c:pt>
                <c:pt idx="2">
                  <c:v>-538.88888888888891</c:v>
                </c:pt>
                <c:pt idx="3">
                  <c:v>1413.7254901960785</c:v>
                </c:pt>
                <c:pt idx="4">
                  <c:v>-986.95652173913038</c:v>
                </c:pt>
                <c:pt idx="5">
                  <c:v>-1566.6666666666667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0D-4D91-87A3-AB1C0DEDE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24</c:v>
                </c:pt>
                <c:pt idx="2">
                  <c:v>32</c:v>
                </c:pt>
                <c:pt idx="3">
                  <c:v>21</c:v>
                </c:pt>
                <c:pt idx="4">
                  <c:v>12</c:v>
                </c:pt>
                <c:pt idx="5">
                  <c:v>8</c:v>
                </c:pt>
                <c:pt idx="6">
                  <c:v>8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6-46F6-AC59-CD506DE6B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たかの!$L$2:$L$35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  <c:pt idx="28">
                  <c:v>50.5</c:v>
                </c:pt>
                <c:pt idx="29">
                  <c:v>57.6</c:v>
                </c:pt>
                <c:pt idx="30">
                  <c:v>82</c:v>
                </c:pt>
                <c:pt idx="31">
                  <c:v>81.900000000000006</c:v>
                </c:pt>
                <c:pt idx="32">
                  <c:v>76.100000000000009</c:v>
                </c:pt>
                <c:pt idx="33">
                  <c:v>84.500000000000014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D2-43AD-8CC2-9651D5EEC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-1715.1515151515152</c:v>
                </c:pt>
                <c:pt idx="1">
                  <c:v>-468.75</c:v>
                </c:pt>
                <c:pt idx="2">
                  <c:v>2675.8620689655172</c:v>
                </c:pt>
                <c:pt idx="3">
                  <c:v>-1565.3846153846155</c:v>
                </c:pt>
                <c:pt idx="4">
                  <c:v>2733.3333333333335</c:v>
                </c:pt>
                <c:pt idx="5">
                  <c:v>1489.4736842105262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BB-4752-99BF-5D57C4257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7</c:v>
                </c:pt>
                <c:pt idx="1">
                  <c:v>20</c:v>
                </c:pt>
                <c:pt idx="2">
                  <c:v>15</c:v>
                </c:pt>
                <c:pt idx="3">
                  <c:v>10</c:v>
                </c:pt>
                <c:pt idx="4">
                  <c:v>15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4-4123-AD90-6CC11EEE3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  <c:pt idx="9">
                  <c:v>21.599999999999987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F2-4620-ADC8-F0E2F242E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3744.4444444444443</c:v>
                </c:pt>
                <c:pt idx="1">
                  <c:v>11.111111111111111</c:v>
                </c:pt>
                <c:pt idx="2">
                  <c:v>-4000</c:v>
                </c:pt>
                <c:pt idx="3">
                  <c:v>-5014.2857142857147</c:v>
                </c:pt>
                <c:pt idx="4">
                  <c:v>6333.333333333333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7-4C48-B421-62DA7FE37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F8-4F75-A94C-2AFC4C74A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  <c:pt idx="28">
                  <c:v>-104.30000000000001</c:v>
                </c:pt>
                <c:pt idx="29">
                  <c:v>-140.5</c:v>
                </c:pt>
                <c:pt idx="30">
                  <c:v>-181.3</c:v>
                </c:pt>
                <c:pt idx="31">
                  <c:v>-180.3</c:v>
                </c:pt>
                <c:pt idx="32">
                  <c:v>-199.60000000000002</c:v>
                </c:pt>
                <c:pt idx="33">
                  <c:v>-242.10000000000002</c:v>
                </c:pt>
                <c:pt idx="34">
                  <c:v>-238.00000000000003</c:v>
                </c:pt>
                <c:pt idx="35">
                  <c:v>-209.50000000000003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0F-4EB5-920A-412F4BBBA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882.35294117647061</c:v>
                </c:pt>
                <c:pt idx="1">
                  <c:v>-2205.7142857142858</c:v>
                </c:pt>
                <c:pt idx="2">
                  <c:v>-1603.030303030303</c:v>
                </c:pt>
                <c:pt idx="3">
                  <c:v>1036.6666666666667</c:v>
                </c:pt>
                <c:pt idx="4">
                  <c:v>-1531.0344827586207</c:v>
                </c:pt>
                <c:pt idx="5">
                  <c:v>-3454.5454545454545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DF-4321-A7B1-DABE6256C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11</c:v>
                </c:pt>
                <c:pt idx="3">
                  <c:v>16</c:v>
                </c:pt>
                <c:pt idx="4">
                  <c:v>10</c:v>
                </c:pt>
                <c:pt idx="5">
                  <c:v>7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9-47C2-AA65-5BE49084A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8-4F69-9B50-38CE03A79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D6-4C68-85D6-208849664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79-4275-A79E-908D08193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ただ2!$B$3:$B$38</c:f>
              <c:numCache>
                <c:formatCode>\+0.0;\-0.0;\±0</c:formatCode>
                <c:ptCount val="36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  <c:pt idx="28">
                  <c:v>-104.30000000000001</c:v>
                </c:pt>
                <c:pt idx="29">
                  <c:v>-140.5</c:v>
                </c:pt>
                <c:pt idx="30">
                  <c:v>-181.3</c:v>
                </c:pt>
                <c:pt idx="31">
                  <c:v>-180.3</c:v>
                </c:pt>
                <c:pt idx="32">
                  <c:v>-199.60000000000002</c:v>
                </c:pt>
                <c:pt idx="33">
                  <c:v>-242.10000000000002</c:v>
                </c:pt>
                <c:pt idx="34">
                  <c:v>-238.00000000000003</c:v>
                </c:pt>
                <c:pt idx="35">
                  <c:v>-209.50000000000003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ただ2!$C$3:$C$38</c:f>
              <c:numCache>
                <c:formatCode>\+0.0;\-0.0;\±0</c:formatCode>
                <c:ptCount val="36"/>
                <c:pt idx="1">
                  <c:v>68.2</c:v>
                </c:pt>
                <c:pt idx="2">
                  <c:v>20.6</c:v>
                </c:pt>
                <c:pt idx="3">
                  <c:v>2.9666666666666686</c:v>
                </c:pt>
                <c:pt idx="4">
                  <c:v>-10.299999999999999</c:v>
                </c:pt>
                <c:pt idx="5">
                  <c:v>-14.579999999999998</c:v>
                </c:pt>
                <c:pt idx="6">
                  <c:v>-21.666666666666668</c:v>
                </c:pt>
                <c:pt idx="7">
                  <c:v>-26.142857142857142</c:v>
                </c:pt>
                <c:pt idx="8">
                  <c:v>-16.074999999999999</c:v>
                </c:pt>
                <c:pt idx="9">
                  <c:v>-13.333333333333334</c:v>
                </c:pt>
                <c:pt idx="10">
                  <c:v>-11.28</c:v>
                </c:pt>
                <c:pt idx="11">
                  <c:v>-11</c:v>
                </c:pt>
                <c:pt idx="12">
                  <c:v>-9.0416666666666661</c:v>
                </c:pt>
                <c:pt idx="13">
                  <c:v>-4.8769230769230765</c:v>
                </c:pt>
                <c:pt idx="14">
                  <c:v>-3.0285714285714285</c:v>
                </c:pt>
                <c:pt idx="15">
                  <c:v>-4.38</c:v>
                </c:pt>
                <c:pt idx="16">
                  <c:v>-6.5500000000000007</c:v>
                </c:pt>
                <c:pt idx="17">
                  <c:v>-3.1117647058823539</c:v>
                </c:pt>
                <c:pt idx="18">
                  <c:v>-2.5444444444444452</c:v>
                </c:pt>
                <c:pt idx="19">
                  <c:v>-3.5578947368421057</c:v>
                </c:pt>
                <c:pt idx="20">
                  <c:v>-1.3350000000000004</c:v>
                </c:pt>
                <c:pt idx="21">
                  <c:v>-1.9619047619047625</c:v>
                </c:pt>
                <c:pt idx="22">
                  <c:v>-1.745454545454546</c:v>
                </c:pt>
                <c:pt idx="23">
                  <c:v>-3.6478260869565218</c:v>
                </c:pt>
                <c:pt idx="24">
                  <c:v>-2.8583333333333338</c:v>
                </c:pt>
                <c:pt idx="25">
                  <c:v>-1.9640000000000004</c:v>
                </c:pt>
                <c:pt idx="26">
                  <c:v>-2.2307692307692308</c:v>
                </c:pt>
                <c:pt idx="27">
                  <c:v>-2.3222222222222224</c:v>
                </c:pt>
                <c:pt idx="28">
                  <c:v>-3.7250000000000005</c:v>
                </c:pt>
                <c:pt idx="29">
                  <c:v>-4.8448275862068968</c:v>
                </c:pt>
                <c:pt idx="30">
                  <c:v>-6.0433333333333339</c:v>
                </c:pt>
                <c:pt idx="31">
                  <c:v>-5.8161290322580648</c:v>
                </c:pt>
                <c:pt idx="32">
                  <c:v>-6.2375000000000007</c:v>
                </c:pt>
                <c:pt idx="33">
                  <c:v>-7.3363636363636369</c:v>
                </c:pt>
                <c:pt idx="34">
                  <c:v>-7.0000000000000009</c:v>
                </c:pt>
                <c:pt idx="35">
                  <c:v>-5.9857142857142867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38606627012407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ただ2!$D$3:$D$38</c:f>
              <c:numCache>
                <c:formatCode>0.00\ "位"</c:formatCode>
                <c:ptCount val="36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2.7142857142857144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2.125</c:v>
                </c:pt>
                <c:pt idx="17">
                  <c:v>2.0588235294117645</c:v>
                </c:pt>
                <c:pt idx="18">
                  <c:v>2.0555555555555554</c:v>
                </c:pt>
                <c:pt idx="19">
                  <c:v>2.1052631578947367</c:v>
                </c:pt>
                <c:pt idx="20">
                  <c:v>2.0499999999999998</c:v>
                </c:pt>
                <c:pt idx="21">
                  <c:v>2.0952380952380953</c:v>
                </c:pt>
                <c:pt idx="22">
                  <c:v>2.0909090909090908</c:v>
                </c:pt>
                <c:pt idx="23">
                  <c:v>2.1304347826086958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2.0384615384615383</c:v>
                </c:pt>
                <c:pt idx="27">
                  <c:v>2.0370370370370372</c:v>
                </c:pt>
                <c:pt idx="28">
                  <c:v>2.0714285714285716</c:v>
                </c:pt>
                <c:pt idx="29">
                  <c:v>2.103448275862069</c:v>
                </c:pt>
                <c:pt idx="30">
                  <c:v>2.1333333333333333</c:v>
                </c:pt>
                <c:pt idx="31">
                  <c:v>2.129032258064516</c:v>
                </c:pt>
                <c:pt idx="32">
                  <c:v>2.15625</c:v>
                </c:pt>
                <c:pt idx="33">
                  <c:v>2.1818181818181817</c:v>
                </c:pt>
                <c:pt idx="34">
                  <c:v>2.1764705882352939</c:v>
                </c:pt>
                <c:pt idx="35">
                  <c:v>2.1428571428571428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ただ2!$E$3:$E$38</c:f>
              <c:numCache>
                <c:formatCode>0.0%</c:formatCode>
                <c:ptCount val="36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ただ2!$F$3:$F$38</c:f>
              <c:numCache>
                <c:formatCode>0.0%</c:formatCode>
                <c:ptCount val="36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0.8571428571428571</c:v>
                </c:pt>
                <c:pt idx="8">
                  <c:v>0.75</c:v>
                </c:pt>
                <c:pt idx="9">
                  <c:v>0.66666666666666663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0.43478260869565216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0.43333333333333335</c:v>
                </c:pt>
                <c:pt idx="31">
                  <c:v>0.41935483870967744</c:v>
                </c:pt>
                <c:pt idx="32">
                  <c:v>0.4375</c:v>
                </c:pt>
                <c:pt idx="33">
                  <c:v>0.45454545454545453</c:v>
                </c:pt>
                <c:pt idx="34">
                  <c:v>0.44117647058823528</c:v>
                </c:pt>
                <c:pt idx="35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ただ2!$G$3:$G$38</c:f>
              <c:numCache>
                <c:formatCode>0.0%</c:formatCode>
                <c:ptCount val="36"/>
                <c:pt idx="1">
                  <c:v>0.75</c:v>
                </c:pt>
                <c:pt idx="2">
                  <c:v>0.5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0.31578947368421051</c:v>
                </c:pt>
                <c:pt idx="6">
                  <c:v>0.2978723404255319</c:v>
                </c:pt>
                <c:pt idx="7">
                  <c:v>0.27450980392156865</c:v>
                </c:pt>
                <c:pt idx="8">
                  <c:v>0.32203389830508472</c:v>
                </c:pt>
                <c:pt idx="9">
                  <c:v>0.31818181818181818</c:v>
                </c:pt>
                <c:pt idx="10">
                  <c:v>0.32876712328767121</c:v>
                </c:pt>
                <c:pt idx="11">
                  <c:v>0.31707317073170732</c:v>
                </c:pt>
                <c:pt idx="12">
                  <c:v>0.32222222222222224</c:v>
                </c:pt>
                <c:pt idx="13">
                  <c:v>0.34375</c:v>
                </c:pt>
                <c:pt idx="14">
                  <c:v>0.35238095238095241</c:v>
                </c:pt>
                <c:pt idx="15">
                  <c:v>0.33913043478260868</c:v>
                </c:pt>
                <c:pt idx="16">
                  <c:v>0.32258064516129031</c:v>
                </c:pt>
                <c:pt idx="17">
                  <c:v>0.328125</c:v>
                </c:pt>
                <c:pt idx="18">
                  <c:v>0.32846715328467152</c:v>
                </c:pt>
                <c:pt idx="19">
                  <c:v>0.32167832167832167</c:v>
                </c:pt>
                <c:pt idx="20">
                  <c:v>0.33774834437086093</c:v>
                </c:pt>
                <c:pt idx="21">
                  <c:v>0.34375</c:v>
                </c:pt>
                <c:pt idx="22">
                  <c:v>0.33720930232558138</c:v>
                </c:pt>
                <c:pt idx="23">
                  <c:v>0.32240437158469948</c:v>
                </c:pt>
                <c:pt idx="24">
                  <c:v>0.3193717277486911</c:v>
                </c:pt>
                <c:pt idx="25">
                  <c:v>0.32663316582914576</c:v>
                </c:pt>
                <c:pt idx="26">
                  <c:v>0.32038834951456313</c:v>
                </c:pt>
                <c:pt idx="27">
                  <c:v>0.31627906976744186</c:v>
                </c:pt>
                <c:pt idx="28">
                  <c:v>0.3108108108108108</c:v>
                </c:pt>
                <c:pt idx="29">
                  <c:v>0.30735930735930733</c:v>
                </c:pt>
                <c:pt idx="30">
                  <c:v>0.29957805907172996</c:v>
                </c:pt>
                <c:pt idx="31">
                  <c:v>0.29629629629629628</c:v>
                </c:pt>
                <c:pt idx="32">
                  <c:v>0.3</c:v>
                </c:pt>
                <c:pt idx="33">
                  <c:v>0.29615384615384616</c:v>
                </c:pt>
                <c:pt idx="34">
                  <c:v>0.29699248120300753</c:v>
                </c:pt>
                <c:pt idx="35">
                  <c:v>0.3014705882352941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0007806401249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ただ2!$H$3:$H$38</c:f>
              <c:numCache>
                <c:formatCode>0.0%</c:formatCode>
                <c:ptCount val="36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0.23333333333333334</c:v>
                </c:pt>
                <c:pt idx="5">
                  <c:v>0.23684210526315788</c:v>
                </c:pt>
                <c:pt idx="6">
                  <c:v>0.25531914893617019</c:v>
                </c:pt>
                <c:pt idx="7">
                  <c:v>0.27450980392156865</c:v>
                </c:pt>
                <c:pt idx="8">
                  <c:v>0.2711864406779661</c:v>
                </c:pt>
                <c:pt idx="9">
                  <c:v>0.24242424242424243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0.24444444444444444</c:v>
                </c:pt>
                <c:pt idx="13">
                  <c:v>0.22916666666666666</c:v>
                </c:pt>
                <c:pt idx="14">
                  <c:v>0.21904761904761905</c:v>
                </c:pt>
                <c:pt idx="15">
                  <c:v>0.21739130434782608</c:v>
                </c:pt>
                <c:pt idx="16">
                  <c:v>0.22580645161290322</c:v>
                </c:pt>
                <c:pt idx="17">
                  <c:v>0.2265625</c:v>
                </c:pt>
                <c:pt idx="18">
                  <c:v>0.21897810218978103</c:v>
                </c:pt>
                <c:pt idx="19">
                  <c:v>0.21678321678321677</c:v>
                </c:pt>
                <c:pt idx="20">
                  <c:v>0.20529801324503311</c:v>
                </c:pt>
                <c:pt idx="21">
                  <c:v>0.2</c:v>
                </c:pt>
                <c:pt idx="22">
                  <c:v>0.19767441860465115</c:v>
                </c:pt>
                <c:pt idx="23">
                  <c:v>0.19672131147540983</c:v>
                </c:pt>
                <c:pt idx="24">
                  <c:v>0.19895287958115182</c:v>
                </c:pt>
                <c:pt idx="25">
                  <c:v>0.19597989949748743</c:v>
                </c:pt>
                <c:pt idx="26">
                  <c:v>0.1941747572815534</c:v>
                </c:pt>
                <c:pt idx="27">
                  <c:v>0.18604651162790697</c:v>
                </c:pt>
                <c:pt idx="28">
                  <c:v>0.18468468468468469</c:v>
                </c:pt>
                <c:pt idx="29">
                  <c:v>0.18181818181818182</c:v>
                </c:pt>
                <c:pt idx="30">
                  <c:v>0.18143459915611815</c:v>
                </c:pt>
                <c:pt idx="31">
                  <c:v>0.17695473251028807</c:v>
                </c:pt>
                <c:pt idx="32">
                  <c:v>0.17599999999999999</c:v>
                </c:pt>
                <c:pt idx="33">
                  <c:v>0.18461538461538463</c:v>
                </c:pt>
                <c:pt idx="34">
                  <c:v>0.18045112781954886</c:v>
                </c:pt>
                <c:pt idx="35">
                  <c:v>0.17647058823529413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4957064793130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ただ2!$I$3:$I$38</c:f>
              <c:numCache>
                <c:formatCode>0</c:formatCode>
                <c:ptCount val="36"/>
                <c:pt idx="1">
                  <c:v>10350</c:v>
                </c:pt>
                <c:pt idx="2">
                  <c:v>9442.8571428571431</c:v>
                </c:pt>
                <c:pt idx="3">
                  <c:v>7870</c:v>
                </c:pt>
                <c:pt idx="4">
                  <c:v>7870</c:v>
                </c:pt>
                <c:pt idx="5">
                  <c:v>7891.666666666667</c:v>
                </c:pt>
                <c:pt idx="6">
                  <c:v>8464.2857142857138</c:v>
                </c:pt>
                <c:pt idx="7">
                  <c:v>8464.2857142857138</c:v>
                </c:pt>
                <c:pt idx="8">
                  <c:v>9442.105263157895</c:v>
                </c:pt>
                <c:pt idx="9">
                  <c:v>9809.5238095238092</c:v>
                </c:pt>
                <c:pt idx="10">
                  <c:v>9712.5</c:v>
                </c:pt>
                <c:pt idx="11">
                  <c:v>9503.8461538461543</c:v>
                </c:pt>
                <c:pt idx="12">
                  <c:v>8979.310344827587</c:v>
                </c:pt>
                <c:pt idx="13">
                  <c:v>9090.9090909090901</c:v>
                </c:pt>
                <c:pt idx="14">
                  <c:v>9108.1081081081084</c:v>
                </c:pt>
                <c:pt idx="15">
                  <c:v>9082.0512820512813</c:v>
                </c:pt>
                <c:pt idx="16">
                  <c:v>8987.5</c:v>
                </c:pt>
                <c:pt idx="17">
                  <c:v>9978.5714285714294</c:v>
                </c:pt>
                <c:pt idx="18">
                  <c:v>9720</c:v>
                </c:pt>
                <c:pt idx="19">
                  <c:v>9676.0869565217399</c:v>
                </c:pt>
                <c:pt idx="20">
                  <c:v>9411.7647058823532</c:v>
                </c:pt>
                <c:pt idx="21">
                  <c:v>9172.7272727272721</c:v>
                </c:pt>
                <c:pt idx="22">
                  <c:v>9141.3793103448279</c:v>
                </c:pt>
                <c:pt idx="23">
                  <c:v>9116.9491525423728</c:v>
                </c:pt>
                <c:pt idx="24">
                  <c:v>9042.622950819672</c:v>
                </c:pt>
                <c:pt idx="25">
                  <c:v>8783.0769230769238</c:v>
                </c:pt>
                <c:pt idx="26">
                  <c:v>8681.818181818182</c:v>
                </c:pt>
                <c:pt idx="27">
                  <c:v>8617.6470588235297</c:v>
                </c:pt>
                <c:pt idx="28">
                  <c:v>8523.188405797102</c:v>
                </c:pt>
                <c:pt idx="29">
                  <c:v>8347.8873239436616</c:v>
                </c:pt>
                <c:pt idx="30">
                  <c:v>8347.8873239436616</c:v>
                </c:pt>
                <c:pt idx="31">
                  <c:v>8343.0555555555547</c:v>
                </c:pt>
                <c:pt idx="32">
                  <c:v>8145.333333333333</c:v>
                </c:pt>
                <c:pt idx="33">
                  <c:v>8141.5584415584417</c:v>
                </c:pt>
                <c:pt idx="34">
                  <c:v>8153.164556962025</c:v>
                </c:pt>
                <c:pt idx="35">
                  <c:v>8186.5853658536589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94.07806191117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ただ2!$J$3:$J$38</c:f>
              <c:numCache>
                <c:formatCode>0</c:formatCode>
                <c:ptCount val="36"/>
                <c:pt idx="1">
                  <c:v>-1950</c:v>
                </c:pt>
                <c:pt idx="2">
                  <c:v>-5300</c:v>
                </c:pt>
                <c:pt idx="3">
                  <c:v>-8760</c:v>
                </c:pt>
                <c:pt idx="4">
                  <c:v>-9628.5714285714294</c:v>
                </c:pt>
                <c:pt idx="5">
                  <c:v>-8955.5555555555547</c:v>
                </c:pt>
                <c:pt idx="6">
                  <c:v>-11600</c:v>
                </c:pt>
                <c:pt idx="7">
                  <c:v>-11657.142857142857</c:v>
                </c:pt>
                <c:pt idx="8">
                  <c:v>-11700</c:v>
                </c:pt>
                <c:pt idx="9">
                  <c:v>-11700</c:v>
                </c:pt>
                <c:pt idx="10">
                  <c:v>-11227.777777777777</c:v>
                </c:pt>
                <c:pt idx="11">
                  <c:v>-10365</c:v>
                </c:pt>
                <c:pt idx="12">
                  <c:v>-9904.545454545454</c:v>
                </c:pt>
                <c:pt idx="13">
                  <c:v>-9904.545454545454</c:v>
                </c:pt>
                <c:pt idx="14">
                  <c:v>-9821.7391304347821</c:v>
                </c:pt>
                <c:pt idx="15">
                  <c:v>-9836</c:v>
                </c:pt>
                <c:pt idx="16">
                  <c:v>-9542.8571428571431</c:v>
                </c:pt>
                <c:pt idx="17">
                  <c:v>-9479.310344827587</c:v>
                </c:pt>
                <c:pt idx="18">
                  <c:v>-9336.6666666666661</c:v>
                </c:pt>
                <c:pt idx="19">
                  <c:v>-9551.6129032258068</c:v>
                </c:pt>
                <c:pt idx="20">
                  <c:v>-9551.6129032258068</c:v>
                </c:pt>
                <c:pt idx="21">
                  <c:v>-9753.125</c:v>
                </c:pt>
                <c:pt idx="22">
                  <c:v>-9464.7058823529405</c:v>
                </c:pt>
                <c:pt idx="23">
                  <c:v>-9605.5555555555547</c:v>
                </c:pt>
                <c:pt idx="24">
                  <c:v>-9378.9473684210534</c:v>
                </c:pt>
                <c:pt idx="25">
                  <c:v>-9212.8205128205136</c:v>
                </c:pt>
                <c:pt idx="26">
                  <c:v>-9007.5</c:v>
                </c:pt>
                <c:pt idx="27">
                  <c:v>-9007.5</c:v>
                </c:pt>
                <c:pt idx="28">
                  <c:v>-8975.6097560975613</c:v>
                </c:pt>
                <c:pt idx="29">
                  <c:v>-9142.8571428571431</c:v>
                </c:pt>
                <c:pt idx="30">
                  <c:v>-9116.2790697674427</c:v>
                </c:pt>
                <c:pt idx="31">
                  <c:v>-9116.2790697674427</c:v>
                </c:pt>
                <c:pt idx="32">
                  <c:v>-9090.9090909090901</c:v>
                </c:pt>
                <c:pt idx="33">
                  <c:v>-9333.3333333333339</c:v>
                </c:pt>
                <c:pt idx="34">
                  <c:v>-9333.3333333333339</c:v>
                </c:pt>
                <c:pt idx="35">
                  <c:v>-9333.3333333333339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75.31486146095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ただ2!$K$3:$K$38</c:f>
              <c:numCache>
                <c:formatCode>0.0%</c:formatCode>
                <c:ptCount val="3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0.14814814814814814</c:v>
                </c:pt>
                <c:pt idx="28">
                  <c:v>0.14285714285714285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197530864197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ただ2!$L$3:$L$38</c:f>
              <c:numCache>
                <c:formatCode>0.0%</c:formatCode>
                <c:ptCount val="36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0.16666666666666666</c:v>
                </c:pt>
                <c:pt idx="5">
                  <c:v>0.13157894736842105</c:v>
                </c:pt>
                <c:pt idx="6">
                  <c:v>0.1276595744680851</c:v>
                </c:pt>
                <c:pt idx="7">
                  <c:v>0.11764705882352941</c:v>
                </c:pt>
                <c:pt idx="8">
                  <c:v>0.15254237288135594</c:v>
                </c:pt>
                <c:pt idx="9">
                  <c:v>0.16666666666666666</c:v>
                </c:pt>
                <c:pt idx="10">
                  <c:v>0.16438356164383561</c:v>
                </c:pt>
                <c:pt idx="11">
                  <c:v>0.15853658536585366</c:v>
                </c:pt>
                <c:pt idx="12">
                  <c:v>0.14444444444444443</c:v>
                </c:pt>
                <c:pt idx="13">
                  <c:v>0.17708333333333334</c:v>
                </c:pt>
                <c:pt idx="14">
                  <c:v>0.18095238095238095</c:v>
                </c:pt>
                <c:pt idx="15">
                  <c:v>0.17391304347826086</c:v>
                </c:pt>
                <c:pt idx="16">
                  <c:v>0.19354838709677419</c:v>
                </c:pt>
                <c:pt idx="17">
                  <c:v>0.1953125</c:v>
                </c:pt>
                <c:pt idx="18">
                  <c:v>0.18978102189781021</c:v>
                </c:pt>
                <c:pt idx="19">
                  <c:v>0.18181818181818182</c:v>
                </c:pt>
                <c:pt idx="20">
                  <c:v>0.19205298013245034</c:v>
                </c:pt>
                <c:pt idx="21">
                  <c:v>0.20624999999999999</c:v>
                </c:pt>
                <c:pt idx="22">
                  <c:v>0.19186046511627908</c:v>
                </c:pt>
                <c:pt idx="23">
                  <c:v>0.18579234972677597</c:v>
                </c:pt>
                <c:pt idx="24">
                  <c:v>0.18324607329842932</c:v>
                </c:pt>
                <c:pt idx="25">
                  <c:v>0.17587939698492464</c:v>
                </c:pt>
                <c:pt idx="26">
                  <c:v>0.17475728155339806</c:v>
                </c:pt>
                <c:pt idx="27">
                  <c:v>0.16744186046511628</c:v>
                </c:pt>
                <c:pt idx="28">
                  <c:v>0.16216216216216217</c:v>
                </c:pt>
                <c:pt idx="29">
                  <c:v>0.16883116883116883</c:v>
                </c:pt>
                <c:pt idx="30">
                  <c:v>0.16877637130801687</c:v>
                </c:pt>
                <c:pt idx="31">
                  <c:v>0.16460905349794239</c:v>
                </c:pt>
                <c:pt idx="32">
                  <c:v>0.16400000000000001</c:v>
                </c:pt>
                <c:pt idx="33">
                  <c:v>0.16923076923076924</c:v>
                </c:pt>
                <c:pt idx="34">
                  <c:v>0.16917293233082706</c:v>
                </c:pt>
                <c:pt idx="35">
                  <c:v>0.17279411764705882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6533957845433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ただ2!$M$3:$M$38</c:f>
              <c:numCache>
                <c:formatCode>0.0%</c:formatCode>
                <c:ptCount val="36"/>
                <c:pt idx="1">
                  <c:v>0.125</c:v>
                </c:pt>
                <c:pt idx="2">
                  <c:v>0.14285714285714285</c:v>
                </c:pt>
                <c:pt idx="3">
                  <c:v>0.16</c:v>
                </c:pt>
                <c:pt idx="4">
                  <c:v>0.23333333333333334</c:v>
                </c:pt>
                <c:pt idx="5">
                  <c:v>0.34210526315789475</c:v>
                </c:pt>
                <c:pt idx="6">
                  <c:v>0.34042553191489361</c:v>
                </c:pt>
                <c:pt idx="7">
                  <c:v>0.35294117647058826</c:v>
                </c:pt>
                <c:pt idx="8">
                  <c:v>0.3728813559322034</c:v>
                </c:pt>
                <c:pt idx="9">
                  <c:v>0.34848484848484851</c:v>
                </c:pt>
                <c:pt idx="10">
                  <c:v>0.34246575342465752</c:v>
                </c:pt>
                <c:pt idx="11">
                  <c:v>0.32926829268292684</c:v>
                </c:pt>
                <c:pt idx="12">
                  <c:v>0.34444444444444444</c:v>
                </c:pt>
                <c:pt idx="13">
                  <c:v>0.33333333333333331</c:v>
                </c:pt>
                <c:pt idx="14">
                  <c:v>0.32380952380952382</c:v>
                </c:pt>
                <c:pt idx="15">
                  <c:v>0.31304347826086959</c:v>
                </c:pt>
                <c:pt idx="16">
                  <c:v>0.30645161290322581</c:v>
                </c:pt>
                <c:pt idx="17">
                  <c:v>0.3046875</c:v>
                </c:pt>
                <c:pt idx="18">
                  <c:v>0.29927007299270075</c:v>
                </c:pt>
                <c:pt idx="19">
                  <c:v>0.30769230769230771</c:v>
                </c:pt>
                <c:pt idx="20">
                  <c:v>0.31125827814569534</c:v>
                </c:pt>
                <c:pt idx="21">
                  <c:v>0.30625000000000002</c:v>
                </c:pt>
                <c:pt idx="22">
                  <c:v>0.31395348837209303</c:v>
                </c:pt>
                <c:pt idx="23">
                  <c:v>0.31693989071038253</c:v>
                </c:pt>
                <c:pt idx="24">
                  <c:v>0.31413612565445026</c:v>
                </c:pt>
                <c:pt idx="25">
                  <c:v>0.30150753768844218</c:v>
                </c:pt>
                <c:pt idx="26">
                  <c:v>0.30582524271844658</c:v>
                </c:pt>
                <c:pt idx="27">
                  <c:v>0.30232558139534882</c:v>
                </c:pt>
                <c:pt idx="28">
                  <c:v>0.30180180180180183</c:v>
                </c:pt>
                <c:pt idx="29">
                  <c:v>0.29870129870129869</c:v>
                </c:pt>
                <c:pt idx="30">
                  <c:v>0.29535864978902954</c:v>
                </c:pt>
                <c:pt idx="31">
                  <c:v>0.29218106995884774</c:v>
                </c:pt>
                <c:pt idx="32">
                  <c:v>0.29599999999999999</c:v>
                </c:pt>
                <c:pt idx="33">
                  <c:v>0.28846153846153844</c:v>
                </c:pt>
                <c:pt idx="34">
                  <c:v>0.28195488721804512</c:v>
                </c:pt>
                <c:pt idx="35">
                  <c:v>0.28308823529411764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3505074160811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ただ2!$N$3:$N$38</c:f>
              <c:numCache>
                <c:formatCode>0.0%</c:formatCode>
                <c:ptCount val="36"/>
                <c:pt idx="1">
                  <c:v>1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0.66666666666666663</c:v>
                </c:pt>
                <c:pt idx="7">
                  <c:v>0.66666666666666663</c:v>
                </c:pt>
                <c:pt idx="8">
                  <c:v>0.77777777777777779</c:v>
                </c:pt>
                <c:pt idx="9">
                  <c:v>0.72727272727272729</c:v>
                </c:pt>
                <c:pt idx="10">
                  <c:v>0.75</c:v>
                </c:pt>
                <c:pt idx="11">
                  <c:v>0.69230769230769229</c:v>
                </c:pt>
                <c:pt idx="12">
                  <c:v>0.69230769230769229</c:v>
                </c:pt>
                <c:pt idx="13">
                  <c:v>0.6470588235294118</c:v>
                </c:pt>
                <c:pt idx="14">
                  <c:v>0.68421052631578949</c:v>
                </c:pt>
                <c:pt idx="15">
                  <c:v>0.65</c:v>
                </c:pt>
                <c:pt idx="16">
                  <c:v>0.58333333333333337</c:v>
                </c:pt>
                <c:pt idx="17">
                  <c:v>0.6</c:v>
                </c:pt>
                <c:pt idx="18">
                  <c:v>0.57692307692307687</c:v>
                </c:pt>
                <c:pt idx="19">
                  <c:v>0.57692307692307687</c:v>
                </c:pt>
                <c:pt idx="20">
                  <c:v>0.62068965517241381</c:v>
                </c:pt>
                <c:pt idx="21">
                  <c:v>0.63636363636363635</c:v>
                </c:pt>
                <c:pt idx="22">
                  <c:v>0.63636363636363635</c:v>
                </c:pt>
                <c:pt idx="23">
                  <c:v>0.61764705882352944</c:v>
                </c:pt>
                <c:pt idx="24">
                  <c:v>0.62857142857142856</c:v>
                </c:pt>
                <c:pt idx="25">
                  <c:v>0.62857142857142856</c:v>
                </c:pt>
                <c:pt idx="26">
                  <c:v>0.61111111111111116</c:v>
                </c:pt>
                <c:pt idx="27">
                  <c:v>0.61111111111111116</c:v>
                </c:pt>
                <c:pt idx="28">
                  <c:v>0.61111111111111116</c:v>
                </c:pt>
                <c:pt idx="29">
                  <c:v>0.61538461538461542</c:v>
                </c:pt>
                <c:pt idx="30">
                  <c:v>0.6</c:v>
                </c:pt>
                <c:pt idx="31">
                  <c:v>0.6</c:v>
                </c:pt>
                <c:pt idx="32">
                  <c:v>0.6097560975609756</c:v>
                </c:pt>
                <c:pt idx="33">
                  <c:v>0.61363636363636365</c:v>
                </c:pt>
                <c:pt idx="34">
                  <c:v>0.62222222222222223</c:v>
                </c:pt>
                <c:pt idx="35">
                  <c:v>0.63829787234042556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1155115511551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ただ2!$O$3:$O$38</c:f>
              <c:numCache>
                <c:formatCode>0.0%</c:formatCode>
                <c:ptCount val="36"/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0.14285714285714285</c:v>
                </c:pt>
                <c:pt idx="5">
                  <c:v>0.23076923076923078</c:v>
                </c:pt>
                <c:pt idx="6">
                  <c:v>0.25</c:v>
                </c:pt>
                <c:pt idx="7">
                  <c:v>0.22222222222222221</c:v>
                </c:pt>
                <c:pt idx="8">
                  <c:v>0.22727272727272727</c:v>
                </c:pt>
                <c:pt idx="9">
                  <c:v>0.2608695652173913</c:v>
                </c:pt>
                <c:pt idx="10">
                  <c:v>0.24</c:v>
                </c:pt>
                <c:pt idx="11">
                  <c:v>0.25925925925925924</c:v>
                </c:pt>
                <c:pt idx="12">
                  <c:v>0.25806451612903225</c:v>
                </c:pt>
                <c:pt idx="13">
                  <c:v>0.28125</c:v>
                </c:pt>
                <c:pt idx="14">
                  <c:v>0.29411764705882354</c:v>
                </c:pt>
                <c:pt idx="15">
                  <c:v>0.30555555555555558</c:v>
                </c:pt>
                <c:pt idx="16">
                  <c:v>0.28947368421052633</c:v>
                </c:pt>
                <c:pt idx="17">
                  <c:v>0.28205128205128205</c:v>
                </c:pt>
                <c:pt idx="18">
                  <c:v>0.29268292682926828</c:v>
                </c:pt>
                <c:pt idx="19">
                  <c:v>0.29545454545454547</c:v>
                </c:pt>
                <c:pt idx="20">
                  <c:v>0.2978723404255319</c:v>
                </c:pt>
                <c:pt idx="21">
                  <c:v>0.2857142857142857</c:v>
                </c:pt>
                <c:pt idx="22">
                  <c:v>0.29629629629629628</c:v>
                </c:pt>
                <c:pt idx="23">
                  <c:v>0.29310344827586204</c:v>
                </c:pt>
                <c:pt idx="24">
                  <c:v>0.28333333333333333</c:v>
                </c:pt>
                <c:pt idx="25">
                  <c:v>0.28333333333333333</c:v>
                </c:pt>
                <c:pt idx="26">
                  <c:v>0.2857142857142857</c:v>
                </c:pt>
                <c:pt idx="27">
                  <c:v>0.29230769230769232</c:v>
                </c:pt>
                <c:pt idx="28">
                  <c:v>0.29850746268656714</c:v>
                </c:pt>
                <c:pt idx="29">
                  <c:v>0.28985507246376813</c:v>
                </c:pt>
                <c:pt idx="30">
                  <c:v>0.2857142857142857</c:v>
                </c:pt>
                <c:pt idx="31">
                  <c:v>0.29577464788732394</c:v>
                </c:pt>
                <c:pt idx="32">
                  <c:v>0.3108108108108108</c:v>
                </c:pt>
                <c:pt idx="33">
                  <c:v>0.30666666666666664</c:v>
                </c:pt>
                <c:pt idx="34">
                  <c:v>0.30666666666666664</c:v>
                </c:pt>
                <c:pt idx="35">
                  <c:v>0.31168831168831168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3162705667276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ただ2!$P$3:$P$38</c:f>
              <c:numCache>
                <c:formatCode>0.0%</c:formatCode>
                <c:ptCount val="36"/>
                <c:pt idx="1">
                  <c:v>0.33333333333333331</c:v>
                </c:pt>
                <c:pt idx="2">
                  <c:v>0.42857142857142855</c:v>
                </c:pt>
                <c:pt idx="3">
                  <c:v>0.4</c:v>
                </c:pt>
                <c:pt idx="4">
                  <c:v>0.4</c:v>
                </c:pt>
                <c:pt idx="5">
                  <c:v>0.33333333333333331</c:v>
                </c:pt>
                <c:pt idx="6">
                  <c:v>0.35714285714285715</c:v>
                </c:pt>
                <c:pt idx="7">
                  <c:v>0.35714285714285715</c:v>
                </c:pt>
                <c:pt idx="8">
                  <c:v>0.36842105263157893</c:v>
                </c:pt>
                <c:pt idx="9">
                  <c:v>0.38095238095238093</c:v>
                </c:pt>
                <c:pt idx="10">
                  <c:v>0.375</c:v>
                </c:pt>
                <c:pt idx="11">
                  <c:v>0.34615384615384615</c:v>
                </c:pt>
                <c:pt idx="12">
                  <c:v>0.34482758620689657</c:v>
                </c:pt>
                <c:pt idx="13">
                  <c:v>0.33333333333333331</c:v>
                </c:pt>
                <c:pt idx="14">
                  <c:v>0.29729729729729731</c:v>
                </c:pt>
                <c:pt idx="15">
                  <c:v>0.30769230769230771</c:v>
                </c:pt>
                <c:pt idx="16">
                  <c:v>0.32500000000000001</c:v>
                </c:pt>
                <c:pt idx="17">
                  <c:v>0.35714285714285715</c:v>
                </c:pt>
                <c:pt idx="18">
                  <c:v>0.35555555555555557</c:v>
                </c:pt>
                <c:pt idx="19">
                  <c:v>0.36956521739130432</c:v>
                </c:pt>
                <c:pt idx="20">
                  <c:v>0.35294117647058826</c:v>
                </c:pt>
                <c:pt idx="21">
                  <c:v>0.36363636363636365</c:v>
                </c:pt>
                <c:pt idx="22">
                  <c:v>0.37931034482758619</c:v>
                </c:pt>
                <c:pt idx="23">
                  <c:v>0.3728813559322034</c:v>
                </c:pt>
                <c:pt idx="24">
                  <c:v>0.39344262295081966</c:v>
                </c:pt>
                <c:pt idx="25">
                  <c:v>0.36923076923076925</c:v>
                </c:pt>
                <c:pt idx="26">
                  <c:v>0.37878787878787878</c:v>
                </c:pt>
                <c:pt idx="27">
                  <c:v>0.39705882352941174</c:v>
                </c:pt>
                <c:pt idx="28">
                  <c:v>0.40579710144927539</c:v>
                </c:pt>
                <c:pt idx="29">
                  <c:v>0.39436619718309857</c:v>
                </c:pt>
                <c:pt idx="30">
                  <c:v>0.39436619718309857</c:v>
                </c:pt>
                <c:pt idx="31">
                  <c:v>0.3888888888888889</c:v>
                </c:pt>
                <c:pt idx="32">
                  <c:v>0.38666666666666666</c:v>
                </c:pt>
                <c:pt idx="33">
                  <c:v>0.38961038961038963</c:v>
                </c:pt>
                <c:pt idx="34">
                  <c:v>0.379746835443038</c:v>
                </c:pt>
                <c:pt idx="35">
                  <c:v>0.3902439024390244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2987886944818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32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43927.609282407408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43927.609282407408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43930.800243055557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43930.800243055557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43930.800243055557</v>
      </c>
      <c r="C6" s="2" t="s">
        <v>127</v>
      </c>
      <c r="D6" s="2" t="s">
        <v>191</v>
      </c>
    </row>
    <row r="7" spans="1:12" x14ac:dyDescent="0.45">
      <c r="A7" s="2" t="s">
        <v>209</v>
      </c>
      <c r="B7" s="3">
        <v>43931.056145833332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210</v>
      </c>
      <c r="B8" s="3">
        <v>44017.977951388886</v>
      </c>
      <c r="C8" s="2" t="s">
        <v>127</v>
      </c>
    </row>
    <row r="9" spans="1:12" x14ac:dyDescent="0.45">
      <c r="A9" s="2" t="s">
        <v>211</v>
      </c>
      <c r="B9" s="3">
        <v>44017.977951388886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213</v>
      </c>
      <c r="B10" s="3">
        <v>44017.977951388886</v>
      </c>
      <c r="C10" s="2" t="s">
        <v>127</v>
      </c>
      <c r="D10" s="2" t="s">
        <v>191</v>
      </c>
    </row>
    <row r="11" spans="1:12" x14ac:dyDescent="0.45">
      <c r="A11" s="2" t="s">
        <v>214</v>
      </c>
      <c r="B11" s="3">
        <v>44017.977951388886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215</v>
      </c>
      <c r="B12" s="3">
        <v>44017.977951388886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216</v>
      </c>
      <c r="B13" s="3">
        <v>44017.977951388886</v>
      </c>
      <c r="C13" s="2" t="s">
        <v>127</v>
      </c>
      <c r="D13" s="2" t="s">
        <v>191</v>
      </c>
    </row>
    <row r="14" spans="1:12" x14ac:dyDescent="0.45">
      <c r="A14" s="2" t="s">
        <v>217</v>
      </c>
      <c r="B14" s="3">
        <v>44017.977951388886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218</v>
      </c>
      <c r="B15" s="3">
        <v>44017.977951388886</v>
      </c>
      <c r="C15" s="2" t="s">
        <v>127</v>
      </c>
      <c r="D15" s="2" t="s">
        <v>191</v>
      </c>
    </row>
    <row r="16" spans="1:12" x14ac:dyDescent="0.45">
      <c r="A16" s="2" t="s">
        <v>219</v>
      </c>
      <c r="B16" s="3">
        <v>44017.977951388886</v>
      </c>
      <c r="C16" s="2" t="s">
        <v>127</v>
      </c>
    </row>
    <row r="17" spans="1:8" x14ac:dyDescent="0.45">
      <c r="A17" s="2" t="s">
        <v>220</v>
      </c>
      <c r="B17" s="3">
        <v>44017.977951388886</v>
      </c>
      <c r="C17" s="2" t="s">
        <v>127</v>
      </c>
      <c r="D17" s="2" t="s">
        <v>191</v>
      </c>
    </row>
    <row r="18" spans="1:8" x14ac:dyDescent="0.45">
      <c r="A18" s="2" t="s">
        <v>221</v>
      </c>
      <c r="B18" s="3">
        <v>44017.977951388886</v>
      </c>
      <c r="C18" s="2" t="s">
        <v>127</v>
      </c>
      <c r="D18" s="2" t="s">
        <v>191</v>
      </c>
      <c r="E18" s="2" t="s">
        <v>195</v>
      </c>
    </row>
    <row r="19" spans="1:8" x14ac:dyDescent="0.45">
      <c r="A19" s="2" t="s">
        <v>222</v>
      </c>
      <c r="B19" s="3">
        <v>44017.977951388886</v>
      </c>
      <c r="C19" s="2" t="s">
        <v>127</v>
      </c>
      <c r="D19" s="2" t="s">
        <v>191</v>
      </c>
    </row>
    <row r="20" spans="1:8" x14ac:dyDescent="0.45">
      <c r="A20" s="2" t="s">
        <v>223</v>
      </c>
      <c r="B20" s="3">
        <v>44017.977951388886</v>
      </c>
      <c r="C20" s="2" t="s">
        <v>127</v>
      </c>
      <c r="D20" s="2" t="s">
        <v>191</v>
      </c>
    </row>
    <row r="21" spans="1:8" x14ac:dyDescent="0.45">
      <c r="A21" s="2" t="s">
        <v>224</v>
      </c>
      <c r="B21" s="3">
        <v>44017.977951388886</v>
      </c>
      <c r="C21" s="2" t="s">
        <v>127</v>
      </c>
      <c r="D21" s="2" t="s">
        <v>191</v>
      </c>
    </row>
    <row r="22" spans="1:8" x14ac:dyDescent="0.45">
      <c r="A22" s="2" t="s">
        <v>225</v>
      </c>
      <c r="B22" s="3">
        <v>44017.977951388886</v>
      </c>
      <c r="C22" s="2" t="s">
        <v>127</v>
      </c>
    </row>
    <row r="23" spans="1:8" x14ac:dyDescent="0.45">
      <c r="A23" s="2" t="s">
        <v>226</v>
      </c>
      <c r="B23" s="3">
        <v>44017.977951388886</v>
      </c>
      <c r="C23" s="2" t="s">
        <v>127</v>
      </c>
    </row>
    <row r="24" spans="1:8" x14ac:dyDescent="0.45">
      <c r="A24" s="2" t="s">
        <v>227</v>
      </c>
      <c r="B24" s="3">
        <v>44017.977951388886</v>
      </c>
      <c r="C24" s="2" t="s">
        <v>127</v>
      </c>
      <c r="D24" s="2" t="s">
        <v>191</v>
      </c>
      <c r="E24" s="2" t="s">
        <v>195</v>
      </c>
    </row>
    <row r="25" spans="1:8" x14ac:dyDescent="0.45">
      <c r="A25" s="2" t="s">
        <v>228</v>
      </c>
      <c r="B25" s="3">
        <v>44017.977951388886</v>
      </c>
      <c r="C25" s="2" t="s">
        <v>127</v>
      </c>
      <c r="D25" s="2" t="s">
        <v>191</v>
      </c>
      <c r="E25" s="2" t="s">
        <v>195</v>
      </c>
    </row>
    <row r="26" spans="1:8" x14ac:dyDescent="0.45">
      <c r="A26" s="2" t="s">
        <v>229</v>
      </c>
      <c r="B26" s="3">
        <v>44017.977951388886</v>
      </c>
      <c r="C26" s="2" t="s">
        <v>127</v>
      </c>
      <c r="D26" s="2" t="s">
        <v>191</v>
      </c>
      <c r="E26" s="2" t="s">
        <v>195</v>
      </c>
      <c r="F26" s="2" t="s">
        <v>197</v>
      </c>
    </row>
    <row r="27" spans="1:8" x14ac:dyDescent="0.45">
      <c r="A27" s="2" t="s">
        <v>230</v>
      </c>
      <c r="B27" s="3">
        <v>44017.977951388886</v>
      </c>
      <c r="C27" s="2" t="s">
        <v>127</v>
      </c>
      <c r="D27" s="2" t="s">
        <v>191</v>
      </c>
    </row>
    <row r="28" spans="1:8" x14ac:dyDescent="0.45">
      <c r="A28" s="2" t="s">
        <v>231</v>
      </c>
      <c r="B28" s="3">
        <v>44017.977951388886</v>
      </c>
      <c r="C28" s="2" t="s">
        <v>127</v>
      </c>
      <c r="D28" s="2" t="s">
        <v>191</v>
      </c>
      <c r="E28" s="2" t="s">
        <v>195</v>
      </c>
      <c r="F28" s="2" t="s">
        <v>197</v>
      </c>
      <c r="G28" s="2" t="s">
        <v>198</v>
      </c>
      <c r="H28" s="2" t="s">
        <v>200</v>
      </c>
    </row>
    <row r="29" spans="1:8" x14ac:dyDescent="0.45">
      <c r="A29" s="2" t="s">
        <v>232</v>
      </c>
      <c r="B29" s="3">
        <v>44018.77548611111</v>
      </c>
      <c r="C29" s="2" t="s">
        <v>127</v>
      </c>
      <c r="D29" s="2" t="s">
        <v>191</v>
      </c>
      <c r="E29" s="2" t="s">
        <v>195</v>
      </c>
    </row>
    <row r="30" spans="1:8" x14ac:dyDescent="0.45">
      <c r="A30" s="2" t="s">
        <v>233</v>
      </c>
      <c r="B30" s="3">
        <v>44018.651041666664</v>
      </c>
      <c r="C30" s="2" t="s">
        <v>127</v>
      </c>
    </row>
    <row r="31" spans="1:8" x14ac:dyDescent="0.45">
      <c r="A31" s="2" t="s">
        <v>234</v>
      </c>
      <c r="B31" s="3">
        <v>44022.791030092594</v>
      </c>
      <c r="C31" s="2" t="s">
        <v>127</v>
      </c>
      <c r="D31" s="2" t="s">
        <v>191</v>
      </c>
    </row>
    <row r="32" spans="1:8" x14ac:dyDescent="0.45">
      <c r="A32" s="2" t="s">
        <v>235</v>
      </c>
      <c r="B32" s="3">
        <v>44024.751493055555</v>
      </c>
      <c r="C32" s="2" t="s">
        <v>127</v>
      </c>
      <c r="D32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324</v>
      </c>
    </row>
    <row r="2" spans="1:2" x14ac:dyDescent="0.45">
      <c r="A2" t="s">
        <v>164</v>
      </c>
      <c r="B2">
        <v>59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80</v>
      </c>
    </row>
    <row r="5" spans="1:2" x14ac:dyDescent="0.45">
      <c r="A5" t="s">
        <v>194</v>
      </c>
      <c r="B5">
        <v>35</v>
      </c>
    </row>
    <row r="6" spans="1:2" x14ac:dyDescent="0.45">
      <c r="A6" t="s">
        <v>192</v>
      </c>
      <c r="B6">
        <v>55</v>
      </c>
    </row>
    <row r="7" spans="1:2" x14ac:dyDescent="0.45">
      <c r="A7" t="s">
        <v>193</v>
      </c>
      <c r="B7">
        <v>33</v>
      </c>
    </row>
    <row r="8" spans="1:2" x14ac:dyDescent="0.45">
      <c r="A8" t="s">
        <v>196</v>
      </c>
      <c r="B8">
        <v>9</v>
      </c>
    </row>
    <row r="9" spans="1:2" x14ac:dyDescent="0.45">
      <c r="A9" t="s">
        <v>205</v>
      </c>
      <c r="B9">
        <v>35</v>
      </c>
    </row>
    <row r="10" spans="1:2" x14ac:dyDescent="0.45">
      <c r="A10" t="s">
        <v>212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59765625" style="51" customWidth="1"/>
    <col min="3" max="3" width="10.59765625" style="118" customWidth="1"/>
    <col min="4" max="4" width="10.59765625" style="49" customWidth="1"/>
    <col min="5" max="5" width="10.59765625" style="50" customWidth="1"/>
    <col min="6" max="6" width="10.59765625" style="51" customWidth="1"/>
    <col min="7" max="7" width="10.59765625" style="63" customWidth="1"/>
    <col min="8" max="8" width="10.59765625" style="51" customWidth="1"/>
    <col min="9" max="9" width="10.59765625" style="63" customWidth="1"/>
    <col min="10" max="10" width="10.59765625" style="51" customWidth="1"/>
    <col min="11" max="11" width="10.59765625" style="52" customWidth="1"/>
    <col min="12" max="12" width="10.59765625" style="51" customWidth="1"/>
    <col min="13" max="13" width="10.59765625" style="53" customWidth="1"/>
    <col min="14" max="14" width="10.59765625" style="51" customWidth="1"/>
    <col min="15" max="15" width="10.59765625" style="53" customWidth="1"/>
    <col min="16" max="16" width="10.59765625" style="51" customWidth="1"/>
    <col min="17" max="17" width="10.59765625" style="54" customWidth="1"/>
    <col min="18" max="18" width="10.59765625" style="51" customWidth="1"/>
    <col min="19" max="19" width="10.59765625" style="54" customWidth="1"/>
    <col min="20" max="20" width="10.59765625" style="51" customWidth="1"/>
    <col min="21" max="21" width="10.59765625" style="55" customWidth="1"/>
    <col min="22" max="22" width="10.59765625" style="51" customWidth="1"/>
    <col min="23" max="23" width="10.59765625" style="55" customWidth="1"/>
    <col min="24" max="24" width="10.59765625" style="51" customWidth="1"/>
    <col min="25" max="25" width="10.59765625" style="53" customWidth="1"/>
    <col min="26" max="26" width="10.59765625" style="51" customWidth="1"/>
    <col min="27" max="27" width="10.59765625" style="54" customWidth="1"/>
    <col min="28" max="28" width="10.59765625" style="51" customWidth="1"/>
    <col min="29" max="29" width="10.59765625" style="54" customWidth="1"/>
    <col min="30" max="30" width="10.59765625" style="51" customWidth="1"/>
    <col min="31" max="31" width="10.59765625" style="54" customWidth="1"/>
    <col min="32" max="32" width="10.59765625" style="51" customWidth="1"/>
    <col min="33" max="33" width="10.59765625" style="54" customWidth="1"/>
    <col min="34" max="34" width="10.59765625" style="51" customWidth="1"/>
    <col min="35" max="35" width="10.59765625" style="54" customWidth="1"/>
    <col min="36" max="36" width="10.59765625" style="51" customWidth="1"/>
    <col min="37" max="37" width="10.59765625" style="58" customWidth="1"/>
    <col min="38" max="16384" width="9" style="39"/>
  </cols>
  <sheetData>
    <row r="1" spans="1:37" x14ac:dyDescent="0.45">
      <c r="A1" s="38" t="s">
        <v>236</v>
      </c>
      <c r="B1" s="143" t="s">
        <v>9</v>
      </c>
      <c r="C1" s="144"/>
      <c r="D1" s="139" t="s">
        <v>6</v>
      </c>
      <c r="E1" s="140"/>
      <c r="F1" s="139" t="s">
        <v>7</v>
      </c>
      <c r="G1" s="140"/>
      <c r="H1" s="143" t="s">
        <v>188</v>
      </c>
      <c r="I1" s="144"/>
      <c r="J1" s="139" t="s">
        <v>15</v>
      </c>
      <c r="K1" s="140"/>
      <c r="L1" s="139" t="s">
        <v>14</v>
      </c>
      <c r="M1" s="140"/>
      <c r="N1" s="139" t="s">
        <v>150</v>
      </c>
      <c r="O1" s="140"/>
      <c r="P1" s="139" t="s">
        <v>143</v>
      </c>
      <c r="Q1" s="140"/>
      <c r="R1" s="139" t="s">
        <v>144</v>
      </c>
      <c r="S1" s="140"/>
      <c r="T1" s="139" t="s">
        <v>5</v>
      </c>
      <c r="U1" s="140"/>
      <c r="V1" s="139" t="s">
        <v>16</v>
      </c>
      <c r="W1" s="140"/>
      <c r="X1" s="139" t="s">
        <v>17</v>
      </c>
      <c r="Y1" s="140"/>
      <c r="Z1" s="139" t="s">
        <v>122</v>
      </c>
      <c r="AA1" s="140"/>
      <c r="AB1" s="139" t="s">
        <v>119</v>
      </c>
      <c r="AC1" s="140"/>
      <c r="AD1" s="139" t="s">
        <v>125</v>
      </c>
      <c r="AE1" s="140"/>
      <c r="AF1" s="139" t="s">
        <v>145</v>
      </c>
      <c r="AG1" s="140"/>
      <c r="AH1" s="139" t="s">
        <v>138</v>
      </c>
      <c r="AI1" s="140"/>
      <c r="AJ1" s="139" t="s">
        <v>181</v>
      </c>
      <c r="AK1" s="140"/>
    </row>
    <row r="2" spans="1:37" x14ac:dyDescent="0.45">
      <c r="A2" s="38" t="s">
        <v>149</v>
      </c>
      <c r="B2" s="141">
        <v>0.77476878249108017</v>
      </c>
      <c r="C2" s="142"/>
      <c r="D2" s="145"/>
      <c r="E2" s="146"/>
      <c r="F2" s="145"/>
      <c r="G2" s="146"/>
      <c r="H2" s="141">
        <v>-0.28188518932066403</v>
      </c>
      <c r="I2" s="142"/>
      <c r="J2" s="141">
        <v>0.90256303273349703</v>
      </c>
      <c r="K2" s="142"/>
      <c r="L2" s="141">
        <v>0.84399145724239333</v>
      </c>
      <c r="M2" s="142"/>
      <c r="N2" s="141">
        <v>0.9143044742349179</v>
      </c>
      <c r="O2" s="142"/>
      <c r="P2" s="141">
        <v>0.60699202620587112</v>
      </c>
      <c r="Q2" s="142"/>
      <c r="R2" s="141">
        <v>0.35966589300166557</v>
      </c>
      <c r="S2" s="142"/>
      <c r="T2" s="141">
        <v>0.46313452308849823</v>
      </c>
      <c r="U2" s="142"/>
      <c r="V2" s="141">
        <v>0.15944649159147195</v>
      </c>
      <c r="W2" s="142"/>
      <c r="X2" s="141">
        <v>0.60308900713343105</v>
      </c>
      <c r="Y2" s="142"/>
      <c r="Z2" s="141">
        <v>0.14999841283550061</v>
      </c>
      <c r="AA2" s="142"/>
      <c r="AB2" s="141">
        <v>-0.22697203341200409</v>
      </c>
      <c r="AC2" s="142"/>
      <c r="AD2" s="141">
        <v>0.29030954531806374</v>
      </c>
      <c r="AE2" s="142"/>
      <c r="AF2" s="141">
        <v>0.18533809592640255</v>
      </c>
      <c r="AG2" s="142"/>
      <c r="AH2" s="141">
        <v>0.59462796081003355</v>
      </c>
      <c r="AI2" s="142"/>
      <c r="AJ2" s="141">
        <v>4.8676736832657337E-2</v>
      </c>
      <c r="AK2" s="142"/>
    </row>
    <row r="3" spans="1:37" x14ac:dyDescent="0.45">
      <c r="A3" s="40">
        <v>1</v>
      </c>
      <c r="B3" s="43" t="s">
        <v>139</v>
      </c>
      <c r="C3" s="117">
        <v>108</v>
      </c>
      <c r="D3" s="41" t="s">
        <v>126</v>
      </c>
      <c r="E3" s="42">
        <v>712.20000000000016</v>
      </c>
      <c r="F3" s="43" t="s">
        <v>126</v>
      </c>
      <c r="G3" s="62">
        <v>8.9025000000000016</v>
      </c>
      <c r="H3" s="43" t="s">
        <v>196</v>
      </c>
      <c r="I3" s="62">
        <v>9.3444444444444432</v>
      </c>
      <c r="J3" s="43" t="s">
        <v>126</v>
      </c>
      <c r="K3" s="44">
        <v>1.7625</v>
      </c>
      <c r="L3" s="43" t="s">
        <v>126</v>
      </c>
      <c r="M3" s="45">
        <v>0.45</v>
      </c>
      <c r="N3" s="43" t="s">
        <v>196</v>
      </c>
      <c r="O3" s="45">
        <v>0.1111111111111111</v>
      </c>
      <c r="P3" s="43" t="s">
        <v>193</v>
      </c>
      <c r="Q3" s="46">
        <v>0.3147410358565737</v>
      </c>
      <c r="R3" s="43" t="s">
        <v>196</v>
      </c>
      <c r="S3" s="46">
        <v>6.8493150684931503E-2</v>
      </c>
      <c r="T3" s="43" t="s">
        <v>164</v>
      </c>
      <c r="U3" s="47">
        <v>10306.349206349207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212</v>
      </c>
      <c r="AA3" s="46">
        <v>0.32432432432432434</v>
      </c>
      <c r="AB3" s="43" t="s">
        <v>193</v>
      </c>
      <c r="AC3" s="46">
        <v>0.36254980079681276</v>
      </c>
      <c r="AD3" s="43" t="s">
        <v>212</v>
      </c>
      <c r="AE3" s="46">
        <v>0.70833333333333337</v>
      </c>
      <c r="AF3" s="43" t="s">
        <v>194</v>
      </c>
      <c r="AG3" s="46">
        <v>0.57777777777777772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80</v>
      </c>
      <c r="D4" s="49" t="s">
        <v>193</v>
      </c>
      <c r="E4" s="50">
        <v>84.500000000000014</v>
      </c>
      <c r="F4" s="51" t="s">
        <v>193</v>
      </c>
      <c r="G4" s="63">
        <v>2.560606060606061</v>
      </c>
      <c r="H4" s="51" t="s">
        <v>194</v>
      </c>
      <c r="I4" s="63">
        <v>4.755228758169932</v>
      </c>
      <c r="J4" s="51" t="s">
        <v>196</v>
      </c>
      <c r="K4" s="52">
        <v>1.8888888888888888</v>
      </c>
      <c r="L4" s="51" t="s">
        <v>164</v>
      </c>
      <c r="M4" s="53">
        <v>0.3559322033898305</v>
      </c>
      <c r="N4" s="51" t="s">
        <v>126</v>
      </c>
      <c r="O4" s="53">
        <v>0.21249999999999999</v>
      </c>
      <c r="P4" s="51" t="s">
        <v>212</v>
      </c>
      <c r="Q4" s="54">
        <v>0.3108108108108108</v>
      </c>
      <c r="R4" s="51" t="s">
        <v>192</v>
      </c>
      <c r="S4" s="54">
        <v>0.11659192825112108</v>
      </c>
      <c r="T4" s="51" t="s">
        <v>126</v>
      </c>
      <c r="U4" s="55">
        <v>9794.4162436548231</v>
      </c>
      <c r="V4" s="51" t="s">
        <v>193</v>
      </c>
      <c r="W4" s="55">
        <v>-7008.5714285714284</v>
      </c>
      <c r="X4" s="51" t="s">
        <v>212</v>
      </c>
      <c r="Y4" s="53">
        <v>0</v>
      </c>
      <c r="Z4" s="51" t="s">
        <v>164</v>
      </c>
      <c r="AA4" s="54">
        <v>0.2955032119914347</v>
      </c>
      <c r="AB4" s="51" t="s">
        <v>205</v>
      </c>
      <c r="AC4" s="54">
        <v>0.28308823529411764</v>
      </c>
      <c r="AD4" s="51" t="s">
        <v>196</v>
      </c>
      <c r="AE4" s="54">
        <v>0.65</v>
      </c>
      <c r="AF4" s="51" t="s">
        <v>212</v>
      </c>
      <c r="AG4" s="54">
        <v>0.5714285714285714</v>
      </c>
      <c r="AH4" s="51" t="s">
        <v>212</v>
      </c>
      <c r="AI4" s="54">
        <v>0.52173913043478259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59</v>
      </c>
      <c r="D5" s="49" t="s">
        <v>196</v>
      </c>
      <c r="E5" s="50">
        <v>21.599999999999987</v>
      </c>
      <c r="F5" s="51" t="s">
        <v>196</v>
      </c>
      <c r="G5" s="63">
        <v>2.3999999999999986</v>
      </c>
      <c r="H5" s="51" t="s">
        <v>212</v>
      </c>
      <c r="I5" s="63">
        <v>2.1361111111111115</v>
      </c>
      <c r="J5" s="51" t="s">
        <v>193</v>
      </c>
      <c r="K5" s="52">
        <v>1.9696969696969697</v>
      </c>
      <c r="L5" s="51" t="s">
        <v>193</v>
      </c>
      <c r="M5" s="53">
        <v>0.33333333333333331</v>
      </c>
      <c r="N5" s="51" t="s">
        <v>193</v>
      </c>
      <c r="O5" s="53">
        <v>0.30303030303030304</v>
      </c>
      <c r="P5" s="51" t="s">
        <v>126</v>
      </c>
      <c r="Q5" s="54">
        <v>0.31023622047244093</v>
      </c>
      <c r="R5" s="51" t="s">
        <v>193</v>
      </c>
      <c r="S5" s="54">
        <v>0.1394422310756972</v>
      </c>
      <c r="T5" s="51" t="s">
        <v>189</v>
      </c>
      <c r="U5" s="55">
        <v>9062.5</v>
      </c>
      <c r="V5" s="51" t="s">
        <v>189</v>
      </c>
      <c r="W5" s="55">
        <v>-7317.6470588235297</v>
      </c>
      <c r="X5" s="51" t="s">
        <v>126</v>
      </c>
      <c r="Y5" s="53">
        <v>6.25E-2</v>
      </c>
      <c r="Z5" s="51" t="s">
        <v>189</v>
      </c>
      <c r="AA5" s="54">
        <v>0.28378378378378377</v>
      </c>
      <c r="AB5" s="51" t="s">
        <v>192</v>
      </c>
      <c r="AC5" s="54">
        <v>0.25784753363228702</v>
      </c>
      <c r="AD5" s="51" t="s">
        <v>205</v>
      </c>
      <c r="AE5" s="54">
        <v>0.63829787234042556</v>
      </c>
      <c r="AF5" s="51" t="s">
        <v>189</v>
      </c>
      <c r="AG5" s="54">
        <v>0.5</v>
      </c>
      <c r="AH5" s="51" t="s">
        <v>126</v>
      </c>
      <c r="AI5" s="54">
        <v>0.51269035532994922</v>
      </c>
      <c r="AJ5" s="51" t="s">
        <v>193</v>
      </c>
      <c r="AK5" s="58">
        <v>106500</v>
      </c>
    </row>
    <row r="6" spans="1:37" x14ac:dyDescent="0.45">
      <c r="A6" s="48">
        <v>4</v>
      </c>
      <c r="B6" s="51" t="s">
        <v>192</v>
      </c>
      <c r="C6" s="118">
        <v>55</v>
      </c>
      <c r="D6" s="49" t="s">
        <v>139</v>
      </c>
      <c r="E6" s="50">
        <v>-1.4210854715202004E-14</v>
      </c>
      <c r="F6" s="51" t="s">
        <v>139</v>
      </c>
      <c r="G6" s="63">
        <v>-4.386066270124075E-17</v>
      </c>
      <c r="H6" s="51" t="s">
        <v>193</v>
      </c>
      <c r="I6" s="63">
        <v>1.3157575757575752</v>
      </c>
      <c r="J6" s="51" t="s">
        <v>192</v>
      </c>
      <c r="K6" s="52">
        <v>2</v>
      </c>
      <c r="L6" s="51" t="s">
        <v>139</v>
      </c>
      <c r="M6" s="53">
        <v>0.33333333333333331</v>
      </c>
      <c r="N6" s="51" t="s">
        <v>192</v>
      </c>
      <c r="O6" s="53">
        <v>0.32727272727272727</v>
      </c>
      <c r="P6" s="51" t="s">
        <v>205</v>
      </c>
      <c r="Q6" s="54">
        <v>0.3014705882352941</v>
      </c>
      <c r="R6" s="51" t="s">
        <v>126</v>
      </c>
      <c r="S6" s="54">
        <v>0.14645669291338584</v>
      </c>
      <c r="T6" s="51" t="s">
        <v>139</v>
      </c>
      <c r="U6" s="55">
        <v>8794.0780619111702</v>
      </c>
      <c r="V6" s="51" t="s">
        <v>194</v>
      </c>
      <c r="W6" s="55">
        <v>-7428.260869565217</v>
      </c>
      <c r="X6" s="51" t="s">
        <v>192</v>
      </c>
      <c r="Y6" s="53">
        <v>9.0909090909090912E-2</v>
      </c>
      <c r="Z6" s="51" t="s">
        <v>196</v>
      </c>
      <c r="AA6" s="54">
        <v>0.27397260273972601</v>
      </c>
      <c r="AB6" s="51" t="s">
        <v>139</v>
      </c>
      <c r="AC6" s="54">
        <v>0.21350507416081185</v>
      </c>
      <c r="AD6" s="51" t="s">
        <v>193</v>
      </c>
      <c r="AE6" s="54">
        <v>0.6</v>
      </c>
      <c r="AF6" s="51" t="s">
        <v>126</v>
      </c>
      <c r="AG6" s="54">
        <v>0.48514851485148514</v>
      </c>
      <c r="AH6" s="51" t="s">
        <v>194</v>
      </c>
      <c r="AI6" s="54">
        <v>0.48648648648648651</v>
      </c>
      <c r="AJ6" s="51" t="s">
        <v>194</v>
      </c>
      <c r="AK6" s="58">
        <v>104100</v>
      </c>
    </row>
    <row r="7" spans="1:37" x14ac:dyDescent="0.45">
      <c r="A7" s="48">
        <v>5</v>
      </c>
      <c r="B7" s="51" t="s">
        <v>194</v>
      </c>
      <c r="C7" s="118">
        <v>35</v>
      </c>
      <c r="D7" s="49" t="s">
        <v>212</v>
      </c>
      <c r="E7" s="50">
        <v>-41.599999999999994</v>
      </c>
      <c r="F7" s="51" t="s">
        <v>192</v>
      </c>
      <c r="G7" s="63">
        <v>-1.2399999999999995</v>
      </c>
      <c r="H7" s="51" t="s">
        <v>139</v>
      </c>
      <c r="I7" s="63">
        <v>0</v>
      </c>
      <c r="J7" s="51" t="s">
        <v>139</v>
      </c>
      <c r="K7" s="52">
        <v>2</v>
      </c>
      <c r="L7" s="51" t="s">
        <v>192</v>
      </c>
      <c r="M7" s="53">
        <v>0.32727272727272727</v>
      </c>
      <c r="N7" s="51" t="s">
        <v>139</v>
      </c>
      <c r="O7" s="53">
        <v>0.33333333333333331</v>
      </c>
      <c r="P7" s="51" t="s">
        <v>139</v>
      </c>
      <c r="Q7" s="54">
        <v>0.29000780640124901</v>
      </c>
      <c r="R7" s="51" t="s">
        <v>139</v>
      </c>
      <c r="S7" s="54">
        <v>0.15495706479313037</v>
      </c>
      <c r="T7" s="51" t="s">
        <v>205</v>
      </c>
      <c r="U7" s="55">
        <v>8186.5853658536589</v>
      </c>
      <c r="V7" s="51" t="s">
        <v>126</v>
      </c>
      <c r="W7" s="55">
        <v>-7973.1182795698924</v>
      </c>
      <c r="X7" s="51" t="s">
        <v>189</v>
      </c>
      <c r="Y7" s="53">
        <v>0.1111111111111111</v>
      </c>
      <c r="Z7" s="51" t="s">
        <v>126</v>
      </c>
      <c r="AA7" s="54">
        <v>0.24724409448818899</v>
      </c>
      <c r="AB7" s="51" t="s">
        <v>164</v>
      </c>
      <c r="AC7" s="54">
        <v>0.2012847965738758</v>
      </c>
      <c r="AD7" s="51" t="s">
        <v>126</v>
      </c>
      <c r="AE7" s="54">
        <v>0.5859872611464968</v>
      </c>
      <c r="AF7" s="51" t="s">
        <v>193</v>
      </c>
      <c r="AG7" s="54">
        <v>0.4175824175824176</v>
      </c>
      <c r="AH7" s="51" t="s">
        <v>196</v>
      </c>
      <c r="AI7" s="54">
        <v>0.47368421052631576</v>
      </c>
      <c r="AJ7" s="51" t="s">
        <v>126</v>
      </c>
      <c r="AK7" s="58">
        <v>102700</v>
      </c>
    </row>
    <row r="8" spans="1:37" x14ac:dyDescent="0.45">
      <c r="A8" s="48">
        <v>6</v>
      </c>
      <c r="B8" s="51" t="s">
        <v>205</v>
      </c>
      <c r="C8" s="118">
        <v>35</v>
      </c>
      <c r="D8" s="49" t="s">
        <v>192</v>
      </c>
      <c r="E8" s="50">
        <v>-68.199999999999974</v>
      </c>
      <c r="F8" s="51" t="s">
        <v>164</v>
      </c>
      <c r="G8" s="63">
        <v>-1.7830508474576281</v>
      </c>
      <c r="H8" s="51" t="s">
        <v>126</v>
      </c>
      <c r="I8" s="63">
        <v>-0.19785766158315235</v>
      </c>
      <c r="J8" s="51" t="s">
        <v>164</v>
      </c>
      <c r="K8" s="52">
        <v>2.0338983050847457</v>
      </c>
      <c r="L8" s="51" t="s">
        <v>205</v>
      </c>
      <c r="M8" s="53">
        <v>0.2857142857142857</v>
      </c>
      <c r="N8" s="51" t="s">
        <v>212</v>
      </c>
      <c r="O8" s="53">
        <v>0.33333333333333331</v>
      </c>
      <c r="P8" s="51" t="s">
        <v>192</v>
      </c>
      <c r="Q8" s="54">
        <v>0.28475336322869954</v>
      </c>
      <c r="R8" s="51" t="s">
        <v>194</v>
      </c>
      <c r="S8" s="54">
        <v>0.17037037037037037</v>
      </c>
      <c r="T8" s="51" t="s">
        <v>194</v>
      </c>
      <c r="U8" s="55">
        <v>7848.6486486486483</v>
      </c>
      <c r="V8" s="51" t="s">
        <v>139</v>
      </c>
      <c r="W8" s="55">
        <v>-7975.3148614609572</v>
      </c>
      <c r="X8" s="51" t="s">
        <v>139</v>
      </c>
      <c r="Y8" s="53">
        <v>0.11419753086419752</v>
      </c>
      <c r="Z8" s="51" t="s">
        <v>192</v>
      </c>
      <c r="AA8" s="54">
        <v>0.23766816143497757</v>
      </c>
      <c r="AB8" s="51" t="s">
        <v>194</v>
      </c>
      <c r="AC8" s="54">
        <v>0.16666666666666666</v>
      </c>
      <c r="AD8" s="51" t="s">
        <v>139</v>
      </c>
      <c r="AE8" s="54">
        <v>0.55115511551155116</v>
      </c>
      <c r="AF8" s="51" t="s">
        <v>139</v>
      </c>
      <c r="AG8" s="54">
        <v>0.41316270566727603</v>
      </c>
      <c r="AH8" s="51" t="s">
        <v>139</v>
      </c>
      <c r="AI8" s="54">
        <v>0.46298788694481829</v>
      </c>
      <c r="AJ8" s="51" t="s">
        <v>192</v>
      </c>
      <c r="AK8" s="58">
        <v>98700</v>
      </c>
    </row>
    <row r="9" spans="1:37" x14ac:dyDescent="0.45">
      <c r="A9" s="48">
        <v>7</v>
      </c>
      <c r="B9" s="51" t="s">
        <v>193</v>
      </c>
      <c r="C9" s="118">
        <v>33</v>
      </c>
      <c r="D9" s="49" t="s">
        <v>164</v>
      </c>
      <c r="E9" s="50">
        <v>-105.20000000000006</v>
      </c>
      <c r="F9" s="51" t="s">
        <v>212</v>
      </c>
      <c r="G9" s="63">
        <v>-4.6222222222222218</v>
      </c>
      <c r="H9" s="51" t="s">
        <v>164</v>
      </c>
      <c r="I9" s="63">
        <v>-0.61261559696341783</v>
      </c>
      <c r="J9" s="51" t="s">
        <v>212</v>
      </c>
      <c r="K9" s="52">
        <v>2.1111111111111112</v>
      </c>
      <c r="L9" s="51" t="s">
        <v>189</v>
      </c>
      <c r="M9" s="53">
        <v>0.22222222222222221</v>
      </c>
      <c r="N9" s="51" t="s">
        <v>164</v>
      </c>
      <c r="O9" s="53">
        <v>0.38983050847457629</v>
      </c>
      <c r="P9" s="51" t="s">
        <v>194</v>
      </c>
      <c r="Q9" s="54">
        <v>0.27407407407407408</v>
      </c>
      <c r="R9" s="51" t="s">
        <v>205</v>
      </c>
      <c r="S9" s="54">
        <v>0.17647058823529413</v>
      </c>
      <c r="T9" s="51" t="s">
        <v>193</v>
      </c>
      <c r="U9" s="55">
        <v>7745.5696202531644</v>
      </c>
      <c r="V9" s="51" t="s">
        <v>192</v>
      </c>
      <c r="W9" s="55">
        <v>-7998.0769230769229</v>
      </c>
      <c r="X9" s="51" t="s">
        <v>205</v>
      </c>
      <c r="Y9" s="53">
        <v>0.11428571428571428</v>
      </c>
      <c r="Z9" s="51" t="s">
        <v>139</v>
      </c>
      <c r="AA9" s="54">
        <v>0.23653395784543327</v>
      </c>
      <c r="AB9" s="51" t="s">
        <v>126</v>
      </c>
      <c r="AC9" s="54">
        <v>0.15905511811023623</v>
      </c>
      <c r="AD9" s="51" t="s">
        <v>192</v>
      </c>
      <c r="AE9" s="54">
        <v>0.54716981132075471</v>
      </c>
      <c r="AF9" s="51" t="s">
        <v>192</v>
      </c>
      <c r="AG9" s="54">
        <v>0.39130434782608697</v>
      </c>
      <c r="AH9" s="51" t="s">
        <v>164</v>
      </c>
      <c r="AI9" s="54">
        <v>0.45238095238095238</v>
      </c>
      <c r="AJ9" s="51" t="s">
        <v>212</v>
      </c>
      <c r="AK9" s="58">
        <v>95000</v>
      </c>
    </row>
    <row r="10" spans="1:37" x14ac:dyDescent="0.45">
      <c r="A10" s="48">
        <v>8</v>
      </c>
      <c r="B10" s="51" t="s">
        <v>189</v>
      </c>
      <c r="C10" s="118">
        <v>9</v>
      </c>
      <c r="D10" s="49" t="s">
        <v>189</v>
      </c>
      <c r="E10" s="50">
        <v>-105.5</v>
      </c>
      <c r="F10" s="51" t="s">
        <v>205</v>
      </c>
      <c r="G10" s="63">
        <v>-5.9857142857142867</v>
      </c>
      <c r="H10" s="51" t="s">
        <v>205</v>
      </c>
      <c r="I10" s="63">
        <v>-0.84444444444444378</v>
      </c>
      <c r="J10" s="51" t="s">
        <v>205</v>
      </c>
      <c r="K10" s="52">
        <v>2.1428571428571428</v>
      </c>
      <c r="L10" s="51" t="s">
        <v>196</v>
      </c>
      <c r="M10" s="53">
        <v>0.22222222222222221</v>
      </c>
      <c r="N10" s="51" t="s">
        <v>205</v>
      </c>
      <c r="O10" s="53">
        <v>0.42857142857142855</v>
      </c>
      <c r="P10" s="51" t="s">
        <v>164</v>
      </c>
      <c r="Q10" s="54">
        <v>0.26980728051391861</v>
      </c>
      <c r="R10" s="51" t="s">
        <v>164</v>
      </c>
      <c r="S10" s="54">
        <v>0.18629550321199143</v>
      </c>
      <c r="T10" s="51" t="s">
        <v>196</v>
      </c>
      <c r="U10" s="55">
        <v>7736.8421052631575</v>
      </c>
      <c r="V10" s="51" t="s">
        <v>164</v>
      </c>
      <c r="W10" s="55">
        <v>-8120.6896551724139</v>
      </c>
      <c r="X10" s="51" t="s">
        <v>164</v>
      </c>
      <c r="Y10" s="53">
        <v>0.16949152542372881</v>
      </c>
      <c r="Z10" s="51" t="s">
        <v>194</v>
      </c>
      <c r="AA10" s="54">
        <v>0.21481481481481482</v>
      </c>
      <c r="AB10" s="51" t="s">
        <v>196</v>
      </c>
      <c r="AC10" s="54">
        <v>0.15068493150684931</v>
      </c>
      <c r="AD10" s="51" t="s">
        <v>194</v>
      </c>
      <c r="AE10" s="54">
        <v>0.5</v>
      </c>
      <c r="AF10" s="51" t="s">
        <v>196</v>
      </c>
      <c r="AG10" s="54">
        <v>0.36363636363636365</v>
      </c>
      <c r="AH10" s="51" t="s">
        <v>193</v>
      </c>
      <c r="AI10" s="54">
        <v>0.44303797468354428</v>
      </c>
      <c r="AJ10" s="51" t="s">
        <v>205</v>
      </c>
      <c r="AK10" s="58">
        <v>93200</v>
      </c>
    </row>
    <row r="11" spans="1:37" x14ac:dyDescent="0.45">
      <c r="A11" s="48">
        <v>9</v>
      </c>
      <c r="B11" s="51" t="s">
        <v>196</v>
      </c>
      <c r="C11" s="118">
        <v>9</v>
      </c>
      <c r="D11" s="49" t="s">
        <v>205</v>
      </c>
      <c r="E11" s="50">
        <v>-209.50000000000003</v>
      </c>
      <c r="F11" s="51" t="s">
        <v>194</v>
      </c>
      <c r="G11" s="63">
        <v>-8.2371428571428549</v>
      </c>
      <c r="H11" s="51" t="s">
        <v>192</v>
      </c>
      <c r="I11" s="63">
        <v>-1.2015594541910299</v>
      </c>
      <c r="J11" s="51" t="s">
        <v>189</v>
      </c>
      <c r="K11" s="52">
        <v>2.2222222222222223</v>
      </c>
      <c r="L11" s="51" t="s">
        <v>212</v>
      </c>
      <c r="M11" s="53">
        <v>0.22222222222222221</v>
      </c>
      <c r="N11" s="51" t="s">
        <v>189</v>
      </c>
      <c r="O11" s="53">
        <v>0.44444444444444442</v>
      </c>
      <c r="P11" s="51" t="s">
        <v>196</v>
      </c>
      <c r="Q11" s="54">
        <v>0.26027397260273971</v>
      </c>
      <c r="R11" s="51" t="s">
        <v>212</v>
      </c>
      <c r="S11" s="54">
        <v>0.1891891891891892</v>
      </c>
      <c r="T11" s="51" t="s">
        <v>192</v>
      </c>
      <c r="U11" s="55">
        <v>7690.5511811023625</v>
      </c>
      <c r="V11" s="51" t="s">
        <v>212</v>
      </c>
      <c r="W11" s="55">
        <v>-8671.4285714285706</v>
      </c>
      <c r="X11" s="51" t="s">
        <v>194</v>
      </c>
      <c r="Y11" s="53">
        <v>0.17142857142857143</v>
      </c>
      <c r="Z11" s="51" t="s">
        <v>205</v>
      </c>
      <c r="AA11" s="54">
        <v>0.17279411764705882</v>
      </c>
      <c r="AB11" s="51" t="s">
        <v>212</v>
      </c>
      <c r="AC11" s="54">
        <v>9.45945945945946E-2</v>
      </c>
      <c r="AD11" s="51" t="s">
        <v>189</v>
      </c>
      <c r="AE11" s="54">
        <v>0.47619047619047616</v>
      </c>
      <c r="AF11" s="51" t="s">
        <v>164</v>
      </c>
      <c r="AG11" s="54">
        <v>0.35106382978723405</v>
      </c>
      <c r="AH11" s="51" t="s">
        <v>192</v>
      </c>
      <c r="AI11" s="54">
        <v>0.41732283464566927</v>
      </c>
      <c r="AJ11" s="51" t="s">
        <v>196</v>
      </c>
      <c r="AK11" s="58">
        <v>89000</v>
      </c>
    </row>
    <row r="12" spans="1:37" x14ac:dyDescent="0.45">
      <c r="A12" s="48">
        <v>10</v>
      </c>
      <c r="B12" s="51" t="s">
        <v>212</v>
      </c>
      <c r="C12" s="118">
        <v>9</v>
      </c>
      <c r="D12" s="49" t="s">
        <v>194</v>
      </c>
      <c r="E12" s="50">
        <v>-288.2999999999999</v>
      </c>
      <c r="F12" s="51" t="s">
        <v>189</v>
      </c>
      <c r="G12" s="63">
        <v>-11.722222222222221</v>
      </c>
      <c r="H12" s="51" t="s">
        <v>189</v>
      </c>
      <c r="I12" s="63">
        <v>-3.6805555555555549</v>
      </c>
      <c r="J12" s="51" t="s">
        <v>194</v>
      </c>
      <c r="K12" s="52">
        <v>2.3142857142857145</v>
      </c>
      <c r="L12" s="51" t="s">
        <v>194</v>
      </c>
      <c r="M12" s="53">
        <v>0.17142857142857143</v>
      </c>
      <c r="N12" s="51" t="s">
        <v>194</v>
      </c>
      <c r="O12" s="53">
        <v>0.48571428571428571</v>
      </c>
      <c r="P12" s="51" t="s">
        <v>189</v>
      </c>
      <c r="Q12" s="54">
        <v>0.21621621621621623</v>
      </c>
      <c r="R12" s="51" t="s">
        <v>189</v>
      </c>
      <c r="S12" s="54">
        <v>0.22972972972972974</v>
      </c>
      <c r="T12" s="51" t="s">
        <v>212</v>
      </c>
      <c r="U12" s="55">
        <v>7530.434782608696</v>
      </c>
      <c r="V12" s="51" t="s">
        <v>205</v>
      </c>
      <c r="W12" s="55">
        <v>-9333.3333333333339</v>
      </c>
      <c r="X12" s="51" t="s">
        <v>193</v>
      </c>
      <c r="Y12" s="53">
        <v>0.18181818181818182</v>
      </c>
      <c r="Z12" s="51" t="s">
        <v>193</v>
      </c>
      <c r="AA12" s="54">
        <v>0.1394422310756972</v>
      </c>
      <c r="AB12" s="51" t="s">
        <v>189</v>
      </c>
      <c r="AC12" s="54">
        <v>8.1081081081081086E-2</v>
      </c>
      <c r="AD12" s="51" t="s">
        <v>164</v>
      </c>
      <c r="AE12" s="54">
        <v>0.46376811594202899</v>
      </c>
      <c r="AF12" s="51" t="s">
        <v>205</v>
      </c>
      <c r="AG12" s="54">
        <v>0.31168831168831168</v>
      </c>
      <c r="AH12" s="51" t="s">
        <v>205</v>
      </c>
      <c r="AI12" s="54">
        <v>0.3902439024390244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55C6B-E77A-471B-97EC-924ABD9F2C1D}">
  <sheetPr codeName="Sheet4"/>
  <dimension ref="A1:Q326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324</v>
      </c>
      <c r="C2" s="132"/>
      <c r="E2" s="28" t="s">
        <v>66</v>
      </c>
      <c r="F2" s="25" t="s">
        <v>22</v>
      </c>
      <c r="G2" s="13">
        <v>541</v>
      </c>
      <c r="H2" s="91">
        <f>IF(B$19=0,0,G2/B$19)</f>
        <v>0.72812920592193808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-9.433962264150944</v>
      </c>
      <c r="P2" s="80">
        <v>318</v>
      </c>
      <c r="Q2" s="67">
        <v>-3000</v>
      </c>
    </row>
    <row r="3" spans="1:17" x14ac:dyDescent="0.45">
      <c r="A3" s="21" t="s">
        <v>8</v>
      </c>
      <c r="B3" s="133">
        <v>2562</v>
      </c>
      <c r="C3" s="134"/>
      <c r="E3" s="29" t="s">
        <v>72</v>
      </c>
      <c r="F3" s="26" t="s">
        <v>27</v>
      </c>
      <c r="G3" s="14">
        <v>428</v>
      </c>
      <c r="H3" s="92">
        <f>IF(B$19=0,0,G3/B$19)</f>
        <v>0.57604306864064603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-3.1446540880503147</v>
      </c>
      <c r="P3" s="81">
        <v>318</v>
      </c>
      <c r="Q3" s="68">
        <v>-1000</v>
      </c>
    </row>
    <row r="4" spans="1:17" x14ac:dyDescent="0.45">
      <c r="A4" s="21" t="s">
        <v>6</v>
      </c>
      <c r="B4" s="135">
        <v>-1.4210854715202004E-14</v>
      </c>
      <c r="C4" s="136"/>
      <c r="E4" s="29" t="s">
        <v>64</v>
      </c>
      <c r="F4" s="26" t="s">
        <v>20</v>
      </c>
      <c r="G4" s="14">
        <v>325</v>
      </c>
      <c r="H4" s="92">
        <f>IF(B$19=0,0,G4/B$19)</f>
        <v>0.43741588156123823</v>
      </c>
      <c r="I4" s="60">
        <v>6</v>
      </c>
      <c r="K4" s="7">
        <v>2</v>
      </c>
      <c r="L4" s="65">
        <v>-39.199999999999996</v>
      </c>
      <c r="N4" s="78" t="s">
        <v>130</v>
      </c>
      <c r="O4" s="84">
        <f t="shared" si="0"/>
        <v>-13.201320132013201</v>
      </c>
      <c r="P4" s="81">
        <v>303</v>
      </c>
      <c r="Q4" s="68">
        <v>-4000</v>
      </c>
    </row>
    <row r="5" spans="1:17" x14ac:dyDescent="0.45">
      <c r="A5" s="21" t="s">
        <v>7</v>
      </c>
      <c r="B5" s="123">
        <f>IF(B$2=0,0,B$4/B$2)</f>
        <v>-4.386066270124075E-17</v>
      </c>
      <c r="C5" s="124"/>
      <c r="E5" s="29" t="s">
        <v>160</v>
      </c>
      <c r="F5" s="26" t="s">
        <v>161</v>
      </c>
      <c r="G5" s="14">
        <v>311</v>
      </c>
      <c r="H5" s="92">
        <f>IF(B$19=0,0,G5/B$19)</f>
        <v>0.41857335127860029</v>
      </c>
      <c r="I5" s="60">
        <v>7</v>
      </c>
      <c r="K5" s="7">
        <v>3</v>
      </c>
      <c r="L5" s="65">
        <v>7.1054273576010019E-15</v>
      </c>
      <c r="N5" s="78" t="s">
        <v>131</v>
      </c>
      <c r="O5" s="84">
        <f t="shared" si="0"/>
        <v>21.978021978021978</v>
      </c>
      <c r="P5" s="81">
        <v>273</v>
      </c>
      <c r="Q5" s="68">
        <v>6000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227</v>
      </c>
      <c r="H6" s="92">
        <f>IF(B$19=0,0,G6/B$19)</f>
        <v>0.30551816958277256</v>
      </c>
      <c r="I6" s="60">
        <v>5</v>
      </c>
      <c r="K6" s="7">
        <v>4</v>
      </c>
      <c r="L6" s="65">
        <v>-55.499999999999993</v>
      </c>
      <c r="N6" s="78" t="s">
        <v>132</v>
      </c>
      <c r="O6" s="84">
        <f t="shared" si="0"/>
        <v>-55.555555555555557</v>
      </c>
      <c r="P6" s="81">
        <v>252</v>
      </c>
      <c r="Q6" s="68">
        <v>-14000</v>
      </c>
    </row>
    <row r="7" spans="1:17" x14ac:dyDescent="0.45">
      <c r="A7" s="21" t="s">
        <v>2</v>
      </c>
      <c r="B7" s="14">
        <v>108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186</v>
      </c>
      <c r="H7" s="92">
        <f>IF(B$19=0,0,G7/B$19)</f>
        <v>0.25033647375504708</v>
      </c>
      <c r="I7" s="60">
        <v>5</v>
      </c>
      <c r="K7" s="7">
        <v>5</v>
      </c>
      <c r="L7" s="65">
        <v>-55.999999999999993</v>
      </c>
      <c r="N7" s="79" t="s">
        <v>133</v>
      </c>
      <c r="O7" s="85">
        <f t="shared" si="0"/>
        <v>75.757575757575751</v>
      </c>
      <c r="P7" s="82">
        <v>198</v>
      </c>
      <c r="Q7" s="69">
        <v>15000</v>
      </c>
    </row>
    <row r="8" spans="1:17" x14ac:dyDescent="0.45">
      <c r="A8" s="21" t="s">
        <v>3</v>
      </c>
      <c r="B8" s="14">
        <v>108</v>
      </c>
      <c r="C8" s="8">
        <f t="shared" si="1"/>
        <v>0.33333333333333331</v>
      </c>
      <c r="E8" s="29" t="s">
        <v>89</v>
      </c>
      <c r="F8" s="26" t="s">
        <v>44</v>
      </c>
      <c r="G8" s="14">
        <v>108</v>
      </c>
      <c r="H8" s="92">
        <f>IF(B$19=0,0,G8/B$19)</f>
        <v>0.14535666218034993</v>
      </c>
      <c r="I8" s="60">
        <v>4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108</v>
      </c>
      <c r="C9" s="9">
        <f t="shared" si="1"/>
        <v>0.33333333333333331</v>
      </c>
      <c r="E9" s="29" t="s">
        <v>69</v>
      </c>
      <c r="F9" s="26" t="s">
        <v>24</v>
      </c>
      <c r="G9" s="14">
        <v>99</v>
      </c>
      <c r="H9" s="92">
        <f>IF(B$19=0,0,G9/B$19)</f>
        <v>0.13324360699865412</v>
      </c>
      <c r="I9" s="60">
        <v>4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39.142592592592599</v>
      </c>
      <c r="C10" s="114">
        <v>4227.4000000000005</v>
      </c>
      <c r="E10" s="29" t="s">
        <v>65</v>
      </c>
      <c r="F10" s="26" t="s">
        <v>21</v>
      </c>
      <c r="G10" s="14">
        <v>67</v>
      </c>
      <c r="H10" s="92">
        <f>IF(B$19=0,0,G10/B$19)</f>
        <v>9.0174966352624494E-2</v>
      </c>
      <c r="I10" s="60">
        <v>6</v>
      </c>
      <c r="K10" s="7">
        <v>8</v>
      </c>
      <c r="L10" s="65">
        <v>-81.5</v>
      </c>
      <c r="N10" s="77" t="s">
        <v>152</v>
      </c>
      <c r="O10" s="86">
        <f>IF(P10=0,0,Q10/P10)</f>
        <v>-5.9685185185185157</v>
      </c>
      <c r="P10" s="80">
        <v>108</v>
      </c>
      <c r="Q10" s="71">
        <v>-644.59999999999968</v>
      </c>
    </row>
    <row r="11" spans="1:17" x14ac:dyDescent="0.45">
      <c r="A11" s="22" t="s">
        <v>186</v>
      </c>
      <c r="B11" s="113">
        <f>IF(B8=0,0,C11/B8)</f>
        <v>-2.5046296296296311</v>
      </c>
      <c r="C11" s="114">
        <v>-270.50000000000017</v>
      </c>
      <c r="E11" s="29" t="s">
        <v>70</v>
      </c>
      <c r="F11" s="26" t="s">
        <v>25</v>
      </c>
      <c r="G11" s="14">
        <v>63</v>
      </c>
      <c r="H11" s="92">
        <f>IF(B$19=0,0,G11/B$19)</f>
        <v>8.47913862718708E-2</v>
      </c>
      <c r="I11" s="60">
        <v>5</v>
      </c>
      <c r="K11" s="7">
        <v>9</v>
      </c>
      <c r="L11" s="65">
        <v>0</v>
      </c>
      <c r="N11" s="78" t="s">
        <v>153</v>
      </c>
      <c r="O11" s="87">
        <f>IF(P11=0,0,Q11/P11)</f>
        <v>1.7490740740740733</v>
      </c>
      <c r="P11" s="81">
        <v>108</v>
      </c>
      <c r="Q11" s="72">
        <v>188.89999999999992</v>
      </c>
    </row>
    <row r="12" spans="1:17" x14ac:dyDescent="0.45">
      <c r="A12" s="22" t="s">
        <v>187</v>
      </c>
      <c r="B12" s="113">
        <f>IF(B9=0,0,C12/B9)</f>
        <v>-36.637962962962959</v>
      </c>
      <c r="C12" s="114">
        <v>-3956.8999999999996</v>
      </c>
      <c r="E12" s="29" t="s">
        <v>71</v>
      </c>
      <c r="F12" s="26" t="s">
        <v>26</v>
      </c>
      <c r="G12" s="14">
        <v>44</v>
      </c>
      <c r="H12" s="92">
        <f>IF(B$19=0,0,G12/B$19)</f>
        <v>5.9219380888290714E-2</v>
      </c>
      <c r="I12" s="60">
        <v>5</v>
      </c>
      <c r="K12" s="7">
        <v>10</v>
      </c>
      <c r="L12" s="65">
        <v>60.4</v>
      </c>
      <c r="N12" s="79" t="s">
        <v>154</v>
      </c>
      <c r="O12" s="88">
        <f>IF(P12=0,0,Q12/P12)</f>
        <v>4.2194444444444406</v>
      </c>
      <c r="P12" s="82">
        <v>108</v>
      </c>
      <c r="Q12" s="73">
        <v>455.69999999999959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86</v>
      </c>
      <c r="F13" s="26" t="s">
        <v>41</v>
      </c>
      <c r="G13" s="14">
        <v>42</v>
      </c>
      <c r="H13" s="92">
        <f>IF(B$19=0,0,G13/B$19)</f>
        <v>5.652759084791386E-2</v>
      </c>
      <c r="I13" s="60">
        <v>4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37</v>
      </c>
      <c r="C14" s="11">
        <f t="shared" si="1"/>
        <v>0.11419753086419752</v>
      </c>
      <c r="E14" s="29" t="s">
        <v>83</v>
      </c>
      <c r="F14" s="26" t="s">
        <v>38</v>
      </c>
      <c r="G14" s="14">
        <v>37</v>
      </c>
      <c r="H14" s="92">
        <f>IF(B$19=0,0,G14/B$19)</f>
        <v>4.9798115746971738E-2</v>
      </c>
      <c r="I14" s="60">
        <v>5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606</v>
      </c>
      <c r="C15" s="12">
        <f>IF(B$3=0,0,B15/B$3)</f>
        <v>0.23653395784543327</v>
      </c>
      <c r="E15" s="29" t="s">
        <v>78</v>
      </c>
      <c r="F15" s="26" t="s">
        <v>33</v>
      </c>
      <c r="G15" s="14">
        <v>27</v>
      </c>
      <c r="H15" s="92">
        <f>IF(B$19=0,0,G15/B$19)</f>
        <v>3.6339165545087482E-2</v>
      </c>
      <c r="I15" s="60">
        <v>6</v>
      </c>
      <c r="K15" s="7">
        <v>13</v>
      </c>
      <c r="L15" s="65">
        <v>14.300000000000002</v>
      </c>
      <c r="N15" s="77" t="s">
        <v>189</v>
      </c>
      <c r="O15" s="86">
        <f>IF(P15=0,0,Q15/P15)</f>
        <v>17.583333333333336</v>
      </c>
      <c r="P15" s="80">
        <v>18</v>
      </c>
      <c r="Q15" s="71">
        <v>316.50000000000006</v>
      </c>
    </row>
    <row r="16" spans="1:17" x14ac:dyDescent="0.45">
      <c r="A16" s="21" t="s">
        <v>118</v>
      </c>
      <c r="B16" s="14">
        <v>547</v>
      </c>
      <c r="C16" s="8">
        <f>IF(B$3=0,0,B16/B$3)</f>
        <v>0.21350507416081185</v>
      </c>
      <c r="E16" s="29" t="s">
        <v>81</v>
      </c>
      <c r="F16" s="26" t="s">
        <v>36</v>
      </c>
      <c r="G16" s="14">
        <v>23</v>
      </c>
      <c r="H16" s="92">
        <f>IF(B$19=0,0,G16/B$19)</f>
        <v>3.095558546433378E-2</v>
      </c>
      <c r="I16" s="60">
        <v>3</v>
      </c>
      <c r="K16" s="7">
        <v>14</v>
      </c>
      <c r="L16" s="65">
        <v>12.800000000000002</v>
      </c>
      <c r="N16" s="78" t="s">
        <v>194</v>
      </c>
      <c r="O16" s="87">
        <f>IF(P16=0,0,Q16/P16)</f>
        <v>12.35571428571429</v>
      </c>
      <c r="P16" s="81">
        <v>70</v>
      </c>
      <c r="Q16" s="72">
        <v>864.90000000000032</v>
      </c>
    </row>
    <row r="17" spans="1:17" x14ac:dyDescent="0.45">
      <c r="A17" s="20" t="s">
        <v>123</v>
      </c>
      <c r="B17" s="13">
        <f>B23</f>
        <v>334</v>
      </c>
      <c r="C17" s="6">
        <f>IF(B$15=0,0,B17/B$15)</f>
        <v>0.55115511551155116</v>
      </c>
      <c r="E17" s="29" t="s">
        <v>79</v>
      </c>
      <c r="F17" s="26" t="s">
        <v>34</v>
      </c>
      <c r="G17" s="14">
        <v>18</v>
      </c>
      <c r="H17" s="92">
        <f>IF(B$19=0,0,G17/B$19)</f>
        <v>2.4226110363391656E-2</v>
      </c>
      <c r="I17" s="60">
        <v>5</v>
      </c>
      <c r="K17" s="7">
        <v>15</v>
      </c>
      <c r="L17" s="65">
        <v>1.7763568394002505E-15</v>
      </c>
      <c r="N17" s="78" t="s">
        <v>205</v>
      </c>
      <c r="O17" s="87">
        <f>IF(P17=0,0,Q17/P17)</f>
        <v>8.9785714285714278</v>
      </c>
      <c r="P17" s="81">
        <v>70</v>
      </c>
      <c r="Q17" s="72">
        <v>628.49999999999989</v>
      </c>
    </row>
    <row r="18" spans="1:17" x14ac:dyDescent="0.45">
      <c r="A18" s="20" t="s">
        <v>124</v>
      </c>
      <c r="B18" s="13">
        <f>B24</f>
        <v>226</v>
      </c>
      <c r="C18" s="6">
        <f>IF(B$16=0,0,B18/B$16)</f>
        <v>0.41316270566727603</v>
      </c>
      <c r="E18" s="29" t="s">
        <v>91</v>
      </c>
      <c r="F18" s="26" t="s">
        <v>46</v>
      </c>
      <c r="G18" s="14">
        <v>17</v>
      </c>
      <c r="H18" s="92">
        <f>IF(B$19=0,0,G18/B$19)</f>
        <v>2.2880215343203229E-2</v>
      </c>
      <c r="I18" s="60">
        <v>3</v>
      </c>
      <c r="K18" s="7">
        <v>16</v>
      </c>
      <c r="L18" s="65">
        <v>3.4000000000000017</v>
      </c>
      <c r="N18" s="78" t="s">
        <v>212</v>
      </c>
      <c r="O18" s="87">
        <f>IF(P18=0,0,Q18/P18)</f>
        <v>6.9333333333333345</v>
      </c>
      <c r="P18" s="81">
        <v>18</v>
      </c>
      <c r="Q18" s="72">
        <v>124.80000000000003</v>
      </c>
    </row>
    <row r="19" spans="1:17" x14ac:dyDescent="0.45">
      <c r="A19" s="20" t="s">
        <v>10</v>
      </c>
      <c r="B19" s="13">
        <f>B22+B21</f>
        <v>743</v>
      </c>
      <c r="C19" s="6">
        <f>IF(B$3=0,0,B19/B$3)</f>
        <v>0.29000780640124901</v>
      </c>
      <c r="E19" s="29" t="s">
        <v>156</v>
      </c>
      <c r="F19" s="26" t="s">
        <v>157</v>
      </c>
      <c r="G19" s="14">
        <v>11</v>
      </c>
      <c r="H19" s="92">
        <f>IF(B$19=0,0,G19/B$19)</f>
        <v>1.4804845222072678E-2</v>
      </c>
      <c r="I19" s="60">
        <v>2</v>
      </c>
      <c r="K19" s="7">
        <v>17</v>
      </c>
      <c r="L19" s="65">
        <v>-35.800000000000004</v>
      </c>
      <c r="N19" s="78" t="s">
        <v>164</v>
      </c>
      <c r="O19" s="87">
        <f>IF(P19=0,0,Q19/P19)</f>
        <v>2.6745762711864369</v>
      </c>
      <c r="P19" s="81">
        <v>118</v>
      </c>
      <c r="Q19" s="72">
        <v>315.59999999999957</v>
      </c>
    </row>
    <row r="20" spans="1:17" x14ac:dyDescent="0.45">
      <c r="A20" s="21" t="s">
        <v>13</v>
      </c>
      <c r="B20" s="14">
        <v>397</v>
      </c>
      <c r="C20" s="8">
        <f>IF(B$3=0,0,B20/B$3)</f>
        <v>0.15495706479313037</v>
      </c>
      <c r="E20" s="29" t="s">
        <v>92</v>
      </c>
      <c r="F20" s="26" t="s">
        <v>47</v>
      </c>
      <c r="G20" s="14">
        <v>9</v>
      </c>
      <c r="H20" s="92">
        <f>IF(B$19=0,0,G20/B$19)</f>
        <v>1.2113055181695828E-2</v>
      </c>
      <c r="I20" s="60">
        <v>6</v>
      </c>
      <c r="K20" s="7">
        <v>18</v>
      </c>
      <c r="L20" s="65">
        <v>-7.1054273576010019E-15</v>
      </c>
      <c r="N20" s="78" t="s">
        <v>192</v>
      </c>
      <c r="O20" s="87">
        <f>IF(P20=0,0,Q20/P20)</f>
        <v>1.8600000000000048</v>
      </c>
      <c r="P20" s="81">
        <v>110</v>
      </c>
      <c r="Q20" s="72">
        <v>204.60000000000053</v>
      </c>
    </row>
    <row r="21" spans="1:17" x14ac:dyDescent="0.45">
      <c r="A21" s="21" t="s">
        <v>12</v>
      </c>
      <c r="B21" s="14">
        <v>344</v>
      </c>
      <c r="C21" s="8">
        <f>IF(B$19=0,0,B21/B$19)</f>
        <v>0.46298788694481829</v>
      </c>
      <c r="E21" s="29" t="s">
        <v>77</v>
      </c>
      <c r="F21" s="26" t="s">
        <v>32</v>
      </c>
      <c r="G21" s="14">
        <v>4</v>
      </c>
      <c r="H21" s="92">
        <f>IF(B$19=0,0,G21/B$19)</f>
        <v>5.3835800807537013E-3</v>
      </c>
      <c r="I21" s="60">
        <v>4</v>
      </c>
      <c r="K21" s="7">
        <v>19</v>
      </c>
      <c r="L21" s="65">
        <v>-27.100000000000009</v>
      </c>
      <c r="N21" s="78" t="s">
        <v>196</v>
      </c>
      <c r="O21" s="87">
        <f>IF(P21=0,0,Q21/P21)</f>
        <v>-3.6000000000000023</v>
      </c>
      <c r="P21" s="81">
        <v>18</v>
      </c>
      <c r="Q21" s="72">
        <v>-64.80000000000004</v>
      </c>
    </row>
    <row r="22" spans="1:17" x14ac:dyDescent="0.45">
      <c r="A22" s="21" t="s">
        <v>11</v>
      </c>
      <c r="B22" s="14">
        <v>399</v>
      </c>
      <c r="C22" s="8">
        <f>IF(B$19=0,0,B22/B$19)</f>
        <v>0.53701211305518171</v>
      </c>
      <c r="E22" s="29" t="s">
        <v>85</v>
      </c>
      <c r="F22" s="26" t="s">
        <v>40</v>
      </c>
      <c r="G22" s="14">
        <v>3</v>
      </c>
      <c r="H22" s="92">
        <f>IF(B$19=0,0,G22/B$19)</f>
        <v>4.0376850605652759E-3</v>
      </c>
      <c r="I22" s="60">
        <v>3</v>
      </c>
      <c r="K22" s="7">
        <v>20</v>
      </c>
      <c r="L22" s="65">
        <v>-28.600000000000009</v>
      </c>
      <c r="N22" s="78" t="s">
        <v>193</v>
      </c>
      <c r="O22" s="87">
        <f>IF(P22=0,0,Q22/P22)</f>
        <v>-3.8409090909090895</v>
      </c>
      <c r="P22" s="81">
        <v>66</v>
      </c>
      <c r="Q22" s="72">
        <v>-253.49999999999991</v>
      </c>
    </row>
    <row r="23" spans="1:17" x14ac:dyDescent="0.45">
      <c r="A23" s="21" t="s">
        <v>184</v>
      </c>
      <c r="B23" s="14">
        <v>334</v>
      </c>
      <c r="C23" s="8">
        <f>IF(B$19=0,0,B23/B$19)</f>
        <v>0.44952893674293404</v>
      </c>
      <c r="E23" s="29" t="s">
        <v>73</v>
      </c>
      <c r="F23" s="26" t="s">
        <v>28</v>
      </c>
      <c r="G23" s="14">
        <v>2</v>
      </c>
      <c r="H23" s="92">
        <f>IF(B$19=0,0,G23/B$19)</f>
        <v>2.6917900403768506E-3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>IF(P23=0,0,Q23/P23)</f>
        <v>-13.353749999999994</v>
      </c>
      <c r="P23" s="81">
        <v>160</v>
      </c>
      <c r="Q23" s="72">
        <v>-2136.599999999999</v>
      </c>
    </row>
    <row r="24" spans="1:17" x14ac:dyDescent="0.45">
      <c r="A24" s="21" t="s">
        <v>182</v>
      </c>
      <c r="B24" s="14">
        <v>226</v>
      </c>
      <c r="C24" s="8">
        <f>IF(B$19=0,0,B24/B$19)</f>
        <v>0.30417227456258411</v>
      </c>
      <c r="E24" s="29" t="s">
        <v>75</v>
      </c>
      <c r="F24" s="26" t="s">
        <v>30</v>
      </c>
      <c r="G24" s="14">
        <v>2</v>
      </c>
      <c r="H24" s="92">
        <f>IF(B$19=0,0,G24/B$19)</f>
        <v>2.6917900403768506E-3</v>
      </c>
      <c r="I24" s="60">
        <v>3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183</v>
      </c>
      <c r="C25" s="8">
        <f>IF(B$19=0,0,B25/B$19)</f>
        <v>0.24629878869448182</v>
      </c>
      <c r="E25" s="29" t="s">
        <v>87</v>
      </c>
      <c r="F25" s="26" t="s">
        <v>42</v>
      </c>
      <c r="G25" s="14">
        <v>2</v>
      </c>
      <c r="H25" s="92">
        <f>IF(B$19=0,0,G25/B$19)</f>
        <v>2.6917900403768506E-3</v>
      </c>
      <c r="I25" s="60">
        <v>3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8794.0780619111702</v>
      </c>
      <c r="C26" s="10">
        <v>6534000</v>
      </c>
      <c r="E26" s="29" t="s">
        <v>93</v>
      </c>
      <c r="F26" s="26" t="s">
        <v>48</v>
      </c>
      <c r="G26" s="14">
        <v>2</v>
      </c>
      <c r="H26" s="92">
        <f>IF(B$19=0,0,G26/B$19)</f>
        <v>2.6917900403768506E-3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9389.7485493230179</v>
      </c>
      <c r="C27" s="100">
        <v>4854500</v>
      </c>
      <c r="E27" s="29" t="s">
        <v>74</v>
      </c>
      <c r="F27" s="26" t="s">
        <v>29</v>
      </c>
      <c r="G27" s="14">
        <v>1</v>
      </c>
      <c r="H27" s="92">
        <f>IF(B$19=0,0,G27/B$19)</f>
        <v>1.3458950201884253E-3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7431.4159292035401</v>
      </c>
      <c r="C28" s="100">
        <v>1679500</v>
      </c>
      <c r="E28" s="29" t="s">
        <v>84</v>
      </c>
      <c r="F28" s="26" t="s">
        <v>39</v>
      </c>
      <c r="G28" s="14">
        <v>1</v>
      </c>
      <c r="H28" s="92">
        <f>IF(B$19=0,0,G28/B$19)</f>
        <v>1.3458950201884253E-3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-7975.3148614609572</v>
      </c>
      <c r="C29" s="100">
        <v>-3166200</v>
      </c>
      <c r="E29" s="29" t="s">
        <v>88</v>
      </c>
      <c r="F29" s="26" t="s">
        <v>43</v>
      </c>
      <c r="G29" s="14">
        <v>1</v>
      </c>
      <c r="H29" s="92">
        <f>IF(B$19=0,0,G29/B$19)</f>
        <v>1.3458950201884253E-3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1</v>
      </c>
      <c r="E30" s="29" t="s">
        <v>95</v>
      </c>
      <c r="F30" s="26" t="s">
        <v>50</v>
      </c>
      <c r="G30" s="14">
        <v>1</v>
      </c>
      <c r="H30" s="92">
        <f>IF(B$19=0,0,G30/B$19)</f>
        <v>1.3458950201884253E-3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38</v>
      </c>
      <c r="C31" s="94">
        <v>16</v>
      </c>
      <c r="E31" s="29" t="s">
        <v>97</v>
      </c>
      <c r="F31" s="26" t="s">
        <v>52</v>
      </c>
      <c r="G31" s="14">
        <v>1</v>
      </c>
      <c r="H31" s="92">
        <f>IF(B$19=0,0,G31/B$19)</f>
        <v>1.3458950201884253E-3</v>
      </c>
      <c r="I31" s="60">
        <v>2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7</v>
      </c>
      <c r="C32" s="126"/>
      <c r="E32" s="29" t="s">
        <v>102</v>
      </c>
      <c r="F32" s="26" t="s">
        <v>57</v>
      </c>
      <c r="G32" s="14">
        <v>1</v>
      </c>
      <c r="H32" s="92">
        <f>IF(B$19=0,0,G32/B$19)</f>
        <v>1.3458950201884253E-3</v>
      </c>
      <c r="I32" s="60">
        <v>2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116000</v>
      </c>
      <c r="C33" s="128"/>
      <c r="E33" s="29" t="s">
        <v>106</v>
      </c>
      <c r="F33" s="26" t="s">
        <v>113</v>
      </c>
      <c r="G33" s="14">
        <v>1</v>
      </c>
      <c r="H33" s="92">
        <f>IF(B$19=0,0,G33/B$19)</f>
        <v>1.3458950201884253E-3</v>
      </c>
      <c r="I33" s="60">
        <v>2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6</v>
      </c>
      <c r="C34" s="11">
        <f>IF(B$3=0,0,B34/B$3)</f>
        <v>2.34192037470726E-3</v>
      </c>
      <c r="E34" s="29" t="s">
        <v>76</v>
      </c>
      <c r="F34" s="26" t="s">
        <v>31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80</v>
      </c>
      <c r="F35" s="26" t="s">
        <v>35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56</v>
      </c>
      <c r="C36" s="102">
        <f t="shared" ref="C36:C48" si="2">IF(B$19=0,0,B36/B$19)</f>
        <v>7.5370121130551818E-2</v>
      </c>
      <c r="E36" s="29" t="s">
        <v>82</v>
      </c>
      <c r="F36" s="26" t="s">
        <v>37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134</v>
      </c>
      <c r="C37" s="8">
        <f t="shared" si="2"/>
        <v>0.18034993270524899</v>
      </c>
      <c r="E37" s="29" t="s">
        <v>90</v>
      </c>
      <c r="F37" s="26" t="s">
        <v>45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129</v>
      </c>
      <c r="C38" s="8">
        <f t="shared" si="2"/>
        <v>0.17362045760430686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138</v>
      </c>
      <c r="C39" s="8">
        <f t="shared" si="2"/>
        <v>0.1857335127860027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107</v>
      </c>
      <c r="C40" s="8">
        <f t="shared" si="2"/>
        <v>0.14401076716016151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72</v>
      </c>
      <c r="C41" s="8">
        <f t="shared" si="2"/>
        <v>9.6904441453566623E-2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45</v>
      </c>
      <c r="C42" s="8">
        <f t="shared" si="2"/>
        <v>6.0565275908479141E-2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18</v>
      </c>
      <c r="C43" s="8">
        <f t="shared" si="2"/>
        <v>2.4226110363391656E-2</v>
      </c>
      <c r="E43" s="29" t="s">
        <v>101</v>
      </c>
      <c r="F43" s="26" t="s">
        <v>56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12</v>
      </c>
      <c r="C44" s="8">
        <f t="shared" si="2"/>
        <v>1.6150740242261104E-2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9</v>
      </c>
      <c r="C45" s="8">
        <f t="shared" si="2"/>
        <v>1.2113055181695828E-2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4</v>
      </c>
      <c r="C46" s="8">
        <f t="shared" si="2"/>
        <v>5.3835800807537013E-3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4</v>
      </c>
      <c r="C47" s="8">
        <f t="shared" si="2"/>
        <v>5.3835800807537013E-3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15</v>
      </c>
      <c r="C48" s="11">
        <f t="shared" si="2"/>
        <v>2.0188425302826378E-2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  <row r="207" spans="11:12" x14ac:dyDescent="0.45">
      <c r="K207" s="7">
        <v>205</v>
      </c>
      <c r="L207" s="65">
        <v>40.099999999999987</v>
      </c>
    </row>
    <row r="208" spans="11:12" x14ac:dyDescent="0.45">
      <c r="K208" s="7">
        <v>206</v>
      </c>
      <c r="L208" s="65">
        <v>4.7999999999999901</v>
      </c>
    </row>
    <row r="209" spans="11:12" x14ac:dyDescent="0.45">
      <c r="K209" s="7">
        <v>207</v>
      </c>
      <c r="L209" s="65">
        <v>-9.7699626167013776E-15</v>
      </c>
    </row>
    <row r="210" spans="11:12" x14ac:dyDescent="0.45">
      <c r="K210" s="7">
        <v>208</v>
      </c>
      <c r="L210" s="65">
        <v>5.4999999999999902</v>
      </c>
    </row>
    <row r="211" spans="11:12" x14ac:dyDescent="0.45">
      <c r="K211" s="7">
        <v>209</v>
      </c>
      <c r="L211" s="65">
        <v>-45.100000000000009</v>
      </c>
    </row>
    <row r="212" spans="11:12" x14ac:dyDescent="0.45">
      <c r="K212" s="7">
        <v>210</v>
      </c>
      <c r="L212" s="65">
        <v>-7.1054273576010019E-15</v>
      </c>
    </row>
    <row r="213" spans="11:12" x14ac:dyDescent="0.45">
      <c r="K213" s="7">
        <v>211</v>
      </c>
      <c r="L213" s="65">
        <v>-25.900000000000006</v>
      </c>
    </row>
    <row r="214" spans="11:12" x14ac:dyDescent="0.45">
      <c r="K214" s="7">
        <v>212</v>
      </c>
      <c r="L214" s="65">
        <v>-21.000000000000007</v>
      </c>
    </row>
    <row r="215" spans="11:12" x14ac:dyDescent="0.45">
      <c r="K215" s="7">
        <v>213</v>
      </c>
      <c r="L215" s="65">
        <v>-7.1054273576010019E-15</v>
      </c>
    </row>
    <row r="216" spans="11:12" x14ac:dyDescent="0.45">
      <c r="K216" s="7">
        <v>214</v>
      </c>
      <c r="L216" s="65">
        <v>73.699999999999989</v>
      </c>
    </row>
    <row r="217" spans="11:12" x14ac:dyDescent="0.45">
      <c r="K217" s="7">
        <v>215</v>
      </c>
      <c r="L217" s="65">
        <v>51.199999999999989</v>
      </c>
    </row>
    <row r="218" spans="11:12" x14ac:dyDescent="0.45">
      <c r="K218" s="7">
        <v>216</v>
      </c>
      <c r="L218" s="65">
        <v>-1.4210854715202004E-14</v>
      </c>
    </row>
    <row r="219" spans="11:12" x14ac:dyDescent="0.45">
      <c r="K219" s="7">
        <v>217</v>
      </c>
      <c r="L219" s="65">
        <v>-65.200000000000017</v>
      </c>
    </row>
    <row r="220" spans="11:12" x14ac:dyDescent="0.45">
      <c r="K220" s="7">
        <v>218</v>
      </c>
      <c r="L220" s="65">
        <v>-45.800000000000018</v>
      </c>
    </row>
    <row r="221" spans="11:12" x14ac:dyDescent="0.45">
      <c r="K221" s="7">
        <v>219</v>
      </c>
      <c r="L221" s="65">
        <v>-2.1316282072803006E-14</v>
      </c>
    </row>
    <row r="222" spans="11:12" x14ac:dyDescent="0.45">
      <c r="K222" s="7">
        <v>220</v>
      </c>
      <c r="L222" s="65">
        <v>6.4999999999999787</v>
      </c>
    </row>
    <row r="223" spans="11:12" x14ac:dyDescent="0.45">
      <c r="K223" s="7">
        <v>221</v>
      </c>
      <c r="L223" s="65">
        <v>-32.500000000000021</v>
      </c>
    </row>
    <row r="224" spans="11:12" x14ac:dyDescent="0.45">
      <c r="K224" s="7">
        <v>222</v>
      </c>
      <c r="L224" s="65">
        <v>-2.1316282072803006E-14</v>
      </c>
    </row>
    <row r="225" spans="11:12" x14ac:dyDescent="0.45">
      <c r="K225" s="7">
        <v>223</v>
      </c>
      <c r="L225" s="65">
        <v>-23.300000000000022</v>
      </c>
    </row>
    <row r="226" spans="11:12" x14ac:dyDescent="0.45">
      <c r="K226" s="7">
        <v>224</v>
      </c>
      <c r="L226" s="65">
        <v>-57.90000000000002</v>
      </c>
    </row>
    <row r="227" spans="11:12" x14ac:dyDescent="0.45">
      <c r="K227" s="7">
        <v>225</v>
      </c>
      <c r="L227" s="65">
        <v>-2.1316282072803006E-14</v>
      </c>
    </row>
    <row r="228" spans="11:12" x14ac:dyDescent="0.45">
      <c r="K228" s="7">
        <v>226</v>
      </c>
      <c r="L228" s="65">
        <v>-39.100000000000023</v>
      </c>
    </row>
    <row r="229" spans="11:12" x14ac:dyDescent="0.45">
      <c r="K229" s="7">
        <v>227</v>
      </c>
      <c r="L229" s="65">
        <v>-25.300000000000022</v>
      </c>
    </row>
    <row r="230" spans="11:12" x14ac:dyDescent="0.45">
      <c r="K230" s="7">
        <v>228</v>
      </c>
      <c r="L230" s="65">
        <v>-2.1316282072803006E-14</v>
      </c>
    </row>
    <row r="231" spans="11:12" x14ac:dyDescent="0.45">
      <c r="K231" s="7">
        <v>229</v>
      </c>
      <c r="L231" s="65">
        <v>-6.3000000000000211</v>
      </c>
    </row>
    <row r="232" spans="11:12" x14ac:dyDescent="0.45">
      <c r="K232" s="7">
        <v>230</v>
      </c>
      <c r="L232" s="65">
        <v>45.59999999999998</v>
      </c>
    </row>
    <row r="233" spans="11:12" x14ac:dyDescent="0.45">
      <c r="K233" s="7">
        <v>231</v>
      </c>
      <c r="L233" s="65">
        <v>-2.1316282072803006E-14</v>
      </c>
    </row>
    <row r="234" spans="11:12" x14ac:dyDescent="0.45">
      <c r="K234" s="7">
        <v>232</v>
      </c>
      <c r="L234" s="65">
        <v>28.499999999999979</v>
      </c>
    </row>
    <row r="235" spans="11:12" x14ac:dyDescent="0.45">
      <c r="K235" s="7">
        <v>233</v>
      </c>
      <c r="L235" s="65">
        <v>8.2999999999999794</v>
      </c>
    </row>
    <row r="236" spans="11:12" x14ac:dyDescent="0.45">
      <c r="K236" s="7">
        <v>234</v>
      </c>
      <c r="L236" s="65">
        <v>-2.1316282072803006E-14</v>
      </c>
    </row>
    <row r="237" spans="11:12" x14ac:dyDescent="0.45">
      <c r="K237" s="7">
        <v>235</v>
      </c>
      <c r="L237" s="65">
        <v>-25.700000000000021</v>
      </c>
    </row>
    <row r="238" spans="11:12" x14ac:dyDescent="0.45">
      <c r="K238" s="7">
        <v>236</v>
      </c>
      <c r="L238" s="65">
        <v>-18.600000000000023</v>
      </c>
    </row>
    <row r="239" spans="11:12" x14ac:dyDescent="0.45">
      <c r="K239" s="7">
        <v>237</v>
      </c>
      <c r="L239" s="65">
        <v>-2.1316282072803006E-14</v>
      </c>
    </row>
    <row r="240" spans="11:12" x14ac:dyDescent="0.45">
      <c r="K240" s="7">
        <v>238</v>
      </c>
      <c r="L240" s="65">
        <v>-1.4000000000000212</v>
      </c>
    </row>
    <row r="241" spans="11:12" x14ac:dyDescent="0.45">
      <c r="K241" s="7">
        <v>239</v>
      </c>
      <c r="L241" s="65">
        <v>21.799999999999979</v>
      </c>
    </row>
    <row r="242" spans="11:12" x14ac:dyDescent="0.45">
      <c r="K242" s="7">
        <v>240</v>
      </c>
      <c r="L242" s="65">
        <v>-2.1316282072803006E-14</v>
      </c>
    </row>
    <row r="243" spans="11:12" x14ac:dyDescent="0.45">
      <c r="K243" s="7">
        <v>241</v>
      </c>
      <c r="L243" s="65">
        <v>-33.000000000000021</v>
      </c>
    </row>
    <row r="244" spans="11:12" x14ac:dyDescent="0.45">
      <c r="K244" s="7">
        <v>242</v>
      </c>
      <c r="L244" s="65">
        <v>-40.90000000000002</v>
      </c>
    </row>
    <row r="245" spans="11:12" x14ac:dyDescent="0.45">
      <c r="K245" s="7">
        <v>243</v>
      </c>
      <c r="L245" s="65">
        <v>-2.1316282072803006E-14</v>
      </c>
    </row>
    <row r="246" spans="11:12" x14ac:dyDescent="0.45">
      <c r="K246" s="7">
        <v>244</v>
      </c>
      <c r="L246" s="65">
        <v>-3.4000000000000212</v>
      </c>
    </row>
    <row r="247" spans="11:12" x14ac:dyDescent="0.45">
      <c r="K247" s="7">
        <v>245</v>
      </c>
      <c r="L247" s="65">
        <v>14.499999999999977</v>
      </c>
    </row>
    <row r="248" spans="11:12" x14ac:dyDescent="0.45">
      <c r="K248" s="7">
        <v>246</v>
      </c>
      <c r="L248" s="65">
        <v>-2.3092638912203256E-14</v>
      </c>
    </row>
    <row r="249" spans="11:12" x14ac:dyDescent="0.45">
      <c r="K249" s="7">
        <v>247</v>
      </c>
      <c r="L249" s="65">
        <v>-29.800000000000026</v>
      </c>
    </row>
    <row r="250" spans="11:12" x14ac:dyDescent="0.45">
      <c r="K250" s="7">
        <v>248</v>
      </c>
      <c r="L250" s="65">
        <v>4.099999999999973</v>
      </c>
    </row>
    <row r="251" spans="11:12" x14ac:dyDescent="0.45">
      <c r="K251" s="7">
        <v>249</v>
      </c>
      <c r="L251" s="65">
        <v>-2.6645352591003757E-14</v>
      </c>
    </row>
    <row r="252" spans="11:12" x14ac:dyDescent="0.45">
      <c r="K252" s="7">
        <v>250</v>
      </c>
      <c r="L252" s="65">
        <v>13.499999999999973</v>
      </c>
    </row>
    <row r="253" spans="11:12" x14ac:dyDescent="0.45">
      <c r="K253" s="7">
        <v>251</v>
      </c>
      <c r="L253" s="65">
        <v>-34.500000000000028</v>
      </c>
    </row>
    <row r="254" spans="11:12" x14ac:dyDescent="0.45">
      <c r="K254" s="7">
        <v>252</v>
      </c>
      <c r="L254" s="65">
        <v>-2.8421709430404007E-14</v>
      </c>
    </row>
    <row r="255" spans="11:12" x14ac:dyDescent="0.45">
      <c r="K255" s="7">
        <v>253</v>
      </c>
      <c r="L255" s="65">
        <v>-46.300000000000026</v>
      </c>
    </row>
    <row r="256" spans="11:12" x14ac:dyDescent="0.45">
      <c r="K256" s="7">
        <v>254</v>
      </c>
      <c r="L256" s="65">
        <v>-43.500000000000028</v>
      </c>
    </row>
    <row r="257" spans="11:12" x14ac:dyDescent="0.45">
      <c r="K257" s="7">
        <v>255</v>
      </c>
      <c r="L257" s="65">
        <v>-2.8421709430404007E-14</v>
      </c>
    </row>
    <row r="258" spans="11:12" x14ac:dyDescent="0.45">
      <c r="K258" s="7">
        <v>256</v>
      </c>
      <c r="L258" s="65">
        <v>-23.60000000000003</v>
      </c>
    </row>
    <row r="259" spans="11:12" x14ac:dyDescent="0.45">
      <c r="K259" s="7">
        <v>257</v>
      </c>
      <c r="L259" s="65">
        <v>45.499999999999964</v>
      </c>
    </row>
    <row r="260" spans="11:12" x14ac:dyDescent="0.45">
      <c r="K260" s="7">
        <v>258</v>
      </c>
      <c r="L260" s="65">
        <v>-3.5527136788005009E-14</v>
      </c>
    </row>
    <row r="261" spans="11:12" x14ac:dyDescent="0.45">
      <c r="K261" s="7">
        <v>259</v>
      </c>
      <c r="L261" s="65">
        <v>3.3999999999999644</v>
      </c>
    </row>
    <row r="262" spans="11:12" x14ac:dyDescent="0.45">
      <c r="K262" s="7">
        <v>260</v>
      </c>
      <c r="L262" s="65">
        <v>-15.300000000000034</v>
      </c>
    </row>
    <row r="263" spans="11:12" x14ac:dyDescent="0.45">
      <c r="K263" s="7">
        <v>261</v>
      </c>
      <c r="L263" s="65">
        <v>-3.3750779948604759E-14</v>
      </c>
    </row>
    <row r="264" spans="11:12" x14ac:dyDescent="0.45">
      <c r="K264" s="7">
        <v>262</v>
      </c>
      <c r="L264" s="65">
        <v>-20.700000000000031</v>
      </c>
    </row>
    <row r="265" spans="11:12" x14ac:dyDescent="0.45">
      <c r="K265" s="7">
        <v>263</v>
      </c>
      <c r="L265" s="65">
        <v>-19.500000000000032</v>
      </c>
    </row>
    <row r="266" spans="11:12" x14ac:dyDescent="0.45">
      <c r="K266" s="7">
        <v>264</v>
      </c>
      <c r="L266" s="65">
        <v>-3.1974423109204508E-14</v>
      </c>
    </row>
    <row r="267" spans="11:12" x14ac:dyDescent="0.45">
      <c r="K267" s="7">
        <v>265</v>
      </c>
      <c r="L267" s="65">
        <v>-8.9000000000000323</v>
      </c>
    </row>
    <row r="268" spans="11:12" x14ac:dyDescent="0.45">
      <c r="K268" s="7">
        <v>266</v>
      </c>
      <c r="L268" s="65">
        <v>27.099999999999966</v>
      </c>
    </row>
    <row r="269" spans="11:12" x14ac:dyDescent="0.45">
      <c r="K269" s="7">
        <v>267</v>
      </c>
      <c r="L269" s="65">
        <v>-3.5527136788005009E-14</v>
      </c>
    </row>
    <row r="270" spans="11:12" x14ac:dyDescent="0.45">
      <c r="K270" s="7">
        <v>268</v>
      </c>
      <c r="L270" s="65">
        <v>-15.700000000000035</v>
      </c>
    </row>
    <row r="271" spans="11:12" x14ac:dyDescent="0.45">
      <c r="K271" s="7">
        <v>269</v>
      </c>
      <c r="L271" s="65">
        <v>4.6999999999999638</v>
      </c>
    </row>
    <row r="272" spans="11:12" x14ac:dyDescent="0.45">
      <c r="K272" s="7">
        <v>270</v>
      </c>
      <c r="L272" s="65">
        <v>-3.6415315207705135E-14</v>
      </c>
    </row>
    <row r="273" spans="11:12" x14ac:dyDescent="0.45">
      <c r="K273" s="7">
        <v>271</v>
      </c>
      <c r="L273" s="65">
        <v>-16.000000000000036</v>
      </c>
    </row>
    <row r="274" spans="11:12" x14ac:dyDescent="0.45">
      <c r="K274" s="7">
        <v>272</v>
      </c>
      <c r="L274" s="65">
        <v>1.4999999999999645</v>
      </c>
    </row>
    <row r="275" spans="11:12" x14ac:dyDescent="0.45">
      <c r="K275" s="7">
        <v>273</v>
      </c>
      <c r="L275" s="65">
        <v>-3.5527136788005009E-14</v>
      </c>
    </row>
    <row r="276" spans="11:12" x14ac:dyDescent="0.45">
      <c r="K276" s="7">
        <v>274</v>
      </c>
      <c r="L276" s="65">
        <v>-34.800000000000033</v>
      </c>
    </row>
    <row r="277" spans="11:12" x14ac:dyDescent="0.45">
      <c r="K277" s="7">
        <v>275</v>
      </c>
      <c r="L277" s="65">
        <v>-50.800000000000033</v>
      </c>
    </row>
    <row r="278" spans="11:12" x14ac:dyDescent="0.45">
      <c r="K278" s="7">
        <v>276</v>
      </c>
      <c r="L278" s="65">
        <v>-3.5527136788005009E-14</v>
      </c>
    </row>
    <row r="279" spans="11:12" x14ac:dyDescent="0.45">
      <c r="K279" s="7">
        <v>277</v>
      </c>
      <c r="L279" s="65">
        <v>33.199999999999967</v>
      </c>
    </row>
    <row r="280" spans="11:12" x14ac:dyDescent="0.45">
      <c r="K280" s="7">
        <v>278</v>
      </c>
      <c r="L280" s="65">
        <v>41.599999999999966</v>
      </c>
    </row>
    <row r="281" spans="11:12" x14ac:dyDescent="0.45">
      <c r="K281" s="7">
        <v>279</v>
      </c>
      <c r="L281" s="65">
        <v>-3.5527136788005009E-14</v>
      </c>
    </row>
    <row r="282" spans="11:12" x14ac:dyDescent="0.45">
      <c r="K282" s="7">
        <v>280</v>
      </c>
      <c r="L282" s="65">
        <v>11.899999999999965</v>
      </c>
    </row>
    <row r="283" spans="11:12" x14ac:dyDescent="0.45">
      <c r="K283" s="7">
        <v>281</v>
      </c>
      <c r="L283" s="65">
        <v>36.199999999999967</v>
      </c>
    </row>
    <row r="284" spans="11:12" x14ac:dyDescent="0.45">
      <c r="K284" s="7">
        <v>282</v>
      </c>
      <c r="L284" s="65">
        <v>-3.5527136788005009E-14</v>
      </c>
    </row>
    <row r="285" spans="11:12" x14ac:dyDescent="0.45">
      <c r="K285" s="7">
        <v>283</v>
      </c>
      <c r="L285" s="65">
        <v>6.1999999999999647</v>
      </c>
    </row>
    <row r="286" spans="11:12" x14ac:dyDescent="0.45">
      <c r="K286" s="7">
        <v>284</v>
      </c>
      <c r="L286" s="65">
        <v>-28.100000000000033</v>
      </c>
    </row>
    <row r="287" spans="11:12" x14ac:dyDescent="0.45">
      <c r="K287" s="7">
        <v>285</v>
      </c>
      <c r="L287" s="65">
        <v>-3.1974423109204508E-14</v>
      </c>
    </row>
    <row r="288" spans="11:12" x14ac:dyDescent="0.45">
      <c r="K288" s="7">
        <v>286</v>
      </c>
      <c r="L288" s="65">
        <v>-40.800000000000026</v>
      </c>
    </row>
    <row r="289" spans="11:12" x14ac:dyDescent="0.45">
      <c r="K289" s="7">
        <v>287</v>
      </c>
      <c r="L289" s="65">
        <v>-33.700000000000024</v>
      </c>
    </row>
    <row r="290" spans="11:12" x14ac:dyDescent="0.45">
      <c r="K290" s="7">
        <v>288</v>
      </c>
      <c r="L290" s="65">
        <v>-2.1316282072803006E-14</v>
      </c>
    </row>
    <row r="291" spans="11:12" x14ac:dyDescent="0.45">
      <c r="K291" s="7">
        <v>289</v>
      </c>
      <c r="L291" s="65">
        <v>0.99999999999997868</v>
      </c>
    </row>
    <row r="292" spans="11:12" x14ac:dyDescent="0.45">
      <c r="K292" s="7">
        <v>290</v>
      </c>
      <c r="L292" s="65">
        <v>-24.40000000000002</v>
      </c>
    </row>
    <row r="293" spans="11:12" x14ac:dyDescent="0.45">
      <c r="K293" s="7">
        <v>291</v>
      </c>
      <c r="L293" s="65">
        <v>-2.1316282072803006E-14</v>
      </c>
    </row>
    <row r="294" spans="11:12" x14ac:dyDescent="0.45">
      <c r="K294" s="7">
        <v>292</v>
      </c>
      <c r="L294" s="65">
        <v>-0.10000000000002132</v>
      </c>
    </row>
    <row r="295" spans="11:12" x14ac:dyDescent="0.45">
      <c r="K295" s="7">
        <v>293</v>
      </c>
      <c r="L295" s="65">
        <v>-19.400000000000023</v>
      </c>
    </row>
    <row r="296" spans="11:12" x14ac:dyDescent="0.45">
      <c r="K296" s="7">
        <v>294</v>
      </c>
      <c r="L296" s="65">
        <v>-2.4868995751603507E-14</v>
      </c>
    </row>
    <row r="297" spans="11:12" x14ac:dyDescent="0.45">
      <c r="K297" s="7">
        <v>295</v>
      </c>
      <c r="L297" s="65">
        <v>60.499999999999972</v>
      </c>
    </row>
    <row r="298" spans="11:12" x14ac:dyDescent="0.45">
      <c r="K298" s="7">
        <v>296</v>
      </c>
      <c r="L298" s="65">
        <v>54.699999999999974</v>
      </c>
    </row>
    <row r="299" spans="11:12" x14ac:dyDescent="0.45">
      <c r="K299" s="7">
        <v>297</v>
      </c>
      <c r="L299" s="65">
        <v>-2.8421709430404007E-14</v>
      </c>
    </row>
    <row r="300" spans="11:12" x14ac:dyDescent="0.45">
      <c r="K300" s="7">
        <v>298</v>
      </c>
      <c r="L300" s="65">
        <v>20.199999999999971</v>
      </c>
    </row>
    <row r="301" spans="11:12" x14ac:dyDescent="0.45">
      <c r="K301" s="7">
        <v>299</v>
      </c>
      <c r="L301" s="65">
        <v>18.199999999999971</v>
      </c>
    </row>
    <row r="302" spans="11:12" x14ac:dyDescent="0.45">
      <c r="K302" s="7">
        <v>300</v>
      </c>
      <c r="L302" s="65">
        <v>-2.8421709430404007E-14</v>
      </c>
    </row>
    <row r="303" spans="11:12" x14ac:dyDescent="0.45">
      <c r="K303" s="7">
        <v>301</v>
      </c>
      <c r="L303" s="65">
        <v>-27.500000000000028</v>
      </c>
    </row>
    <row r="304" spans="11:12" x14ac:dyDescent="0.45">
      <c r="K304" s="7">
        <v>302</v>
      </c>
      <c r="L304" s="65">
        <v>-19.10000000000003</v>
      </c>
    </row>
    <row r="305" spans="11:12" x14ac:dyDescent="0.45">
      <c r="K305" s="7">
        <v>303</v>
      </c>
      <c r="L305" s="65">
        <v>-2.8421709430404007E-14</v>
      </c>
    </row>
    <row r="306" spans="11:12" x14ac:dyDescent="0.45">
      <c r="K306" s="7">
        <v>304</v>
      </c>
      <c r="L306" s="65">
        <v>29.499999999999972</v>
      </c>
    </row>
    <row r="307" spans="11:12" x14ac:dyDescent="0.45">
      <c r="K307" s="7">
        <v>305</v>
      </c>
      <c r="L307" s="65">
        <v>30.799999999999972</v>
      </c>
    </row>
    <row r="308" spans="11:12" x14ac:dyDescent="0.45">
      <c r="K308" s="7">
        <v>306</v>
      </c>
      <c r="L308" s="65">
        <v>-2.8421709430404007E-14</v>
      </c>
    </row>
    <row r="309" spans="11:12" x14ac:dyDescent="0.45">
      <c r="K309" s="7">
        <v>307</v>
      </c>
      <c r="L309" s="65">
        <v>14.099999999999971</v>
      </c>
    </row>
    <row r="310" spans="11:12" x14ac:dyDescent="0.45">
      <c r="K310" s="7">
        <v>308</v>
      </c>
      <c r="L310" s="65">
        <v>50.299999999999976</v>
      </c>
    </row>
    <row r="311" spans="11:12" x14ac:dyDescent="0.45">
      <c r="K311" s="7">
        <v>309</v>
      </c>
      <c r="L311" s="65">
        <v>-2.1316282072803006E-14</v>
      </c>
    </row>
    <row r="312" spans="11:12" x14ac:dyDescent="0.45">
      <c r="K312" s="7">
        <v>310</v>
      </c>
      <c r="L312" s="65">
        <v>8.399999999999979</v>
      </c>
    </row>
    <row r="313" spans="11:12" x14ac:dyDescent="0.45">
      <c r="K313" s="7">
        <v>311</v>
      </c>
      <c r="L313" s="65">
        <v>42.499999999999979</v>
      </c>
    </row>
    <row r="314" spans="11:12" x14ac:dyDescent="0.45">
      <c r="K314" s="7">
        <v>312</v>
      </c>
      <c r="L314" s="65">
        <v>-2.1316282072803006E-14</v>
      </c>
    </row>
    <row r="315" spans="11:12" x14ac:dyDescent="0.45">
      <c r="K315" s="7">
        <v>313</v>
      </c>
      <c r="L315" s="65">
        <v>-19.200000000000021</v>
      </c>
    </row>
    <row r="316" spans="11:12" x14ac:dyDescent="0.45">
      <c r="K316" s="7">
        <v>314</v>
      </c>
      <c r="L316" s="65">
        <v>-15.80000000000002</v>
      </c>
    </row>
    <row r="317" spans="11:12" x14ac:dyDescent="0.45">
      <c r="K317" s="7">
        <v>315</v>
      </c>
      <c r="L317" s="65">
        <v>-1.9539925233402755E-14</v>
      </c>
    </row>
    <row r="318" spans="11:12" x14ac:dyDescent="0.45">
      <c r="K318" s="7">
        <v>316</v>
      </c>
      <c r="L318" s="65">
        <v>7.0999999999999801</v>
      </c>
    </row>
    <row r="319" spans="11:12" x14ac:dyDescent="0.45">
      <c r="K319" s="7">
        <v>317</v>
      </c>
      <c r="L319" s="65">
        <v>28.199999999999982</v>
      </c>
    </row>
    <row r="320" spans="11:12" x14ac:dyDescent="0.45">
      <c r="K320" s="7">
        <v>318</v>
      </c>
      <c r="L320" s="65">
        <v>-1.7763568394002505E-14</v>
      </c>
    </row>
    <row r="321" spans="11:12" x14ac:dyDescent="0.45">
      <c r="K321" s="7">
        <v>319</v>
      </c>
      <c r="L321" s="65">
        <v>-20.400000000000016</v>
      </c>
    </row>
    <row r="322" spans="11:12" x14ac:dyDescent="0.45">
      <c r="K322" s="7">
        <v>320</v>
      </c>
      <c r="L322" s="65">
        <v>-16.300000000000018</v>
      </c>
    </row>
    <row r="323" spans="11:12" x14ac:dyDescent="0.45">
      <c r="K323" s="7">
        <v>321</v>
      </c>
      <c r="L323" s="65">
        <v>-1.7763568394002505E-14</v>
      </c>
    </row>
    <row r="324" spans="11:12" x14ac:dyDescent="0.45">
      <c r="K324" s="7">
        <v>322</v>
      </c>
      <c r="L324" s="65">
        <v>4.7999999999999821</v>
      </c>
    </row>
    <row r="325" spans="11:12" x14ac:dyDescent="0.45">
      <c r="K325" s="7">
        <v>323</v>
      </c>
      <c r="L325" s="65">
        <v>-28.500000000000014</v>
      </c>
    </row>
    <row r="326" spans="11:12" x14ac:dyDescent="0.45">
      <c r="K326" s="7">
        <v>324</v>
      </c>
      <c r="L326" s="65">
        <v>-1.4210854715202004E-14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46315-2903-48E4-91F6-AADE9C8976B2}">
  <sheetPr codeName="Sheet7"/>
  <dimension ref="A1:Q61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59</v>
      </c>
      <c r="C2" s="132"/>
      <c r="E2" s="28" t="s">
        <v>66</v>
      </c>
      <c r="F2" s="25" t="s">
        <v>22</v>
      </c>
      <c r="G2" s="13">
        <v>114</v>
      </c>
      <c r="H2" s="91">
        <f>IF(B$19=0,0,G2/B$19)</f>
        <v>0.90476190476190477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-647.36842105263156</v>
      </c>
      <c r="P2" s="80">
        <v>57</v>
      </c>
      <c r="Q2" s="67">
        <v>-36900</v>
      </c>
    </row>
    <row r="3" spans="1:17" x14ac:dyDescent="0.45">
      <c r="A3" s="21" t="s">
        <v>8</v>
      </c>
      <c r="B3" s="133">
        <v>467</v>
      </c>
      <c r="C3" s="134"/>
      <c r="E3" s="29" t="s">
        <v>64</v>
      </c>
      <c r="F3" s="26" t="s">
        <v>20</v>
      </c>
      <c r="G3" s="14">
        <v>65</v>
      </c>
      <c r="H3" s="92">
        <f>IF(B$19=0,0,G3/B$19)</f>
        <v>0.51587301587301593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-1886.2068965517242</v>
      </c>
      <c r="P3" s="81">
        <v>58</v>
      </c>
      <c r="Q3" s="68">
        <v>-109400</v>
      </c>
    </row>
    <row r="4" spans="1:17" x14ac:dyDescent="0.45">
      <c r="A4" s="21" t="s">
        <v>6</v>
      </c>
      <c r="B4" s="135">
        <v>-105.20000000000006</v>
      </c>
      <c r="C4" s="136"/>
      <c r="E4" s="29" t="s">
        <v>72</v>
      </c>
      <c r="F4" s="26" t="s">
        <v>27</v>
      </c>
      <c r="G4" s="14">
        <v>64</v>
      </c>
      <c r="H4" s="92">
        <f>IF(B$19=0,0,G4/B$19)</f>
        <v>0.50793650793650791</v>
      </c>
      <c r="I4" s="60">
        <v>8</v>
      </c>
      <c r="K4" s="7">
        <v>2</v>
      </c>
      <c r="L4" s="65">
        <v>32.9</v>
      </c>
      <c r="N4" s="78" t="s">
        <v>130</v>
      </c>
      <c r="O4" s="84">
        <f t="shared" si="0"/>
        <v>253.7037037037037</v>
      </c>
      <c r="P4" s="81">
        <v>54</v>
      </c>
      <c r="Q4" s="68">
        <v>13700</v>
      </c>
    </row>
    <row r="5" spans="1:17" x14ac:dyDescent="0.45">
      <c r="A5" s="21" t="s">
        <v>7</v>
      </c>
      <c r="B5" s="123">
        <f>IF(B$2=0,0,B$4/B$2)</f>
        <v>-1.7830508474576281</v>
      </c>
      <c r="C5" s="124"/>
      <c r="E5" s="29" t="s">
        <v>160</v>
      </c>
      <c r="F5" s="26" t="s">
        <v>161</v>
      </c>
      <c r="G5" s="14">
        <v>60</v>
      </c>
      <c r="H5" s="92">
        <f>IF(B$19=0,0,G5/B$19)</f>
        <v>0.47619047619047616</v>
      </c>
      <c r="I5" s="60">
        <v>3</v>
      </c>
      <c r="K5" s="7">
        <v>3</v>
      </c>
      <c r="L5" s="65">
        <v>61.5</v>
      </c>
      <c r="N5" s="78" t="s">
        <v>131</v>
      </c>
      <c r="O5" s="84">
        <f t="shared" si="0"/>
        <v>-1428.5714285714287</v>
      </c>
      <c r="P5" s="81">
        <v>49</v>
      </c>
      <c r="Q5" s="68">
        <v>-70000</v>
      </c>
    </row>
    <row r="6" spans="1:17" x14ac:dyDescent="0.45">
      <c r="A6" s="21" t="s">
        <v>1</v>
      </c>
      <c r="B6" s="137">
        <f>IF(B$2=0,0,(B$7*1+B$8*2+B$9*3)/B$2)</f>
        <v>2.0338983050847457</v>
      </c>
      <c r="C6" s="138"/>
      <c r="E6" s="29" t="s">
        <v>68</v>
      </c>
      <c r="F6" s="26" t="s">
        <v>12</v>
      </c>
      <c r="G6" s="14">
        <v>39</v>
      </c>
      <c r="H6" s="92">
        <f>IF(B$19=0,0,G6/B$19)</f>
        <v>0.30952380952380953</v>
      </c>
      <c r="I6" s="60">
        <v>4</v>
      </c>
      <c r="K6" s="7">
        <v>4</v>
      </c>
      <c r="L6" s="65">
        <v>27.4</v>
      </c>
      <c r="N6" s="78" t="s">
        <v>132</v>
      </c>
      <c r="O6" s="84">
        <f t="shared" si="0"/>
        <v>104.16666666666667</v>
      </c>
      <c r="P6" s="81">
        <v>48</v>
      </c>
      <c r="Q6" s="68">
        <v>5000</v>
      </c>
    </row>
    <row r="7" spans="1:17" x14ac:dyDescent="0.45">
      <c r="A7" s="21" t="s">
        <v>2</v>
      </c>
      <c r="B7" s="14">
        <v>21</v>
      </c>
      <c r="C7" s="8">
        <f t="shared" ref="C7:C14" si="1">IF(B$2=0,0,B7/B$2)</f>
        <v>0.3559322033898305</v>
      </c>
      <c r="E7" s="29" t="s">
        <v>67</v>
      </c>
      <c r="F7" s="26" t="s">
        <v>23</v>
      </c>
      <c r="G7" s="14">
        <v>32</v>
      </c>
      <c r="H7" s="92">
        <f>IF(B$19=0,0,G7/B$19)</f>
        <v>0.25396825396825395</v>
      </c>
      <c r="I7" s="60">
        <v>4</v>
      </c>
      <c r="K7" s="7">
        <v>5</v>
      </c>
      <c r="L7" s="65">
        <v>18</v>
      </c>
      <c r="N7" s="79" t="s">
        <v>133</v>
      </c>
      <c r="O7" s="85">
        <f t="shared" si="0"/>
        <v>2685.7142857142858</v>
      </c>
      <c r="P7" s="82">
        <v>35</v>
      </c>
      <c r="Q7" s="69">
        <v>94000</v>
      </c>
    </row>
    <row r="8" spans="1:17" x14ac:dyDescent="0.45">
      <c r="A8" s="21" t="s">
        <v>3</v>
      </c>
      <c r="B8" s="14">
        <v>15</v>
      </c>
      <c r="C8" s="8">
        <f t="shared" si="1"/>
        <v>0.25423728813559321</v>
      </c>
      <c r="E8" s="29" t="s">
        <v>89</v>
      </c>
      <c r="F8" s="26" t="s">
        <v>44</v>
      </c>
      <c r="G8" s="14">
        <v>17</v>
      </c>
      <c r="H8" s="92">
        <f>IF(B$19=0,0,G8/B$19)</f>
        <v>0.13492063492063491</v>
      </c>
      <c r="I8" s="60">
        <v>5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23</v>
      </c>
      <c r="C9" s="9">
        <f t="shared" si="1"/>
        <v>0.38983050847457629</v>
      </c>
      <c r="E9" s="29" t="s">
        <v>70</v>
      </c>
      <c r="F9" s="26" t="s">
        <v>25</v>
      </c>
      <c r="G9" s="14">
        <v>15</v>
      </c>
      <c r="H9" s="92">
        <f>IF(B$19=0,0,G9/B$19)</f>
        <v>0.11904761904761904</v>
      </c>
      <c r="I9" s="60">
        <v>3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39.038095238095245</v>
      </c>
      <c r="C10" s="114">
        <v>819.80000000000018</v>
      </c>
      <c r="E10" s="29" t="s">
        <v>65</v>
      </c>
      <c r="F10" s="26" t="s">
        <v>21</v>
      </c>
      <c r="G10" s="14">
        <v>13</v>
      </c>
      <c r="H10" s="92">
        <f>IF(B$19=0,0,G10/B$19)</f>
        <v>0.10317460317460317</v>
      </c>
      <c r="I10" s="60">
        <v>5</v>
      </c>
      <c r="K10" s="7">
        <v>8</v>
      </c>
      <c r="L10" s="65">
        <v>-9.9999999999999964</v>
      </c>
      <c r="N10" s="77" t="s">
        <v>152</v>
      </c>
      <c r="O10" s="86">
        <f>IF(P10=0,0,Q10/P10)</f>
        <v>-11.015789473684213</v>
      </c>
      <c r="P10" s="80">
        <v>19</v>
      </c>
      <c r="Q10" s="71">
        <v>-209.30000000000004</v>
      </c>
    </row>
    <row r="11" spans="1:17" x14ac:dyDescent="0.45">
      <c r="A11" s="22" t="s">
        <v>186</v>
      </c>
      <c r="B11" s="113">
        <f>IF(B8=0,0,C11/B8)</f>
        <v>-1.8933333333333335</v>
      </c>
      <c r="C11" s="114">
        <v>-28.400000000000002</v>
      </c>
      <c r="E11" s="29" t="s">
        <v>69</v>
      </c>
      <c r="F11" s="26" t="s">
        <v>24</v>
      </c>
      <c r="G11" s="14">
        <v>12</v>
      </c>
      <c r="H11" s="92">
        <f>IF(B$19=0,0,G11/B$19)</f>
        <v>9.5238095238095233E-2</v>
      </c>
      <c r="I11" s="60">
        <v>9</v>
      </c>
      <c r="K11" s="7">
        <v>9</v>
      </c>
      <c r="L11" s="65">
        <v>33.5</v>
      </c>
      <c r="N11" s="78" t="s">
        <v>153</v>
      </c>
      <c r="O11" s="87">
        <f>IF(P11=0,0,Q11/P11)</f>
        <v>9.6263157894736846</v>
      </c>
      <c r="P11" s="81">
        <v>19</v>
      </c>
      <c r="Q11" s="72">
        <v>182.9</v>
      </c>
    </row>
    <row r="12" spans="1:17" x14ac:dyDescent="0.45">
      <c r="A12" s="22" t="s">
        <v>187</v>
      </c>
      <c r="B12" s="113">
        <f>IF(B9=0,0,C12/B9)</f>
        <v>-38.982608695652168</v>
      </c>
      <c r="C12" s="114">
        <v>-896.5999999999998</v>
      </c>
      <c r="E12" s="29" t="s">
        <v>86</v>
      </c>
      <c r="F12" s="26" t="s">
        <v>41</v>
      </c>
      <c r="G12" s="14">
        <v>12</v>
      </c>
      <c r="H12" s="92">
        <f>IF(B$19=0,0,G12/B$19)</f>
        <v>9.5238095238095233E-2</v>
      </c>
      <c r="I12" s="60">
        <v>2</v>
      </c>
      <c r="K12" s="7">
        <v>10</v>
      </c>
      <c r="L12" s="65">
        <v>26</v>
      </c>
      <c r="N12" s="79" t="s">
        <v>154</v>
      </c>
      <c r="O12" s="88">
        <f>IF(P12=0,0,Q12/P12)</f>
        <v>-3.7523809523809515</v>
      </c>
      <c r="P12" s="82">
        <v>21</v>
      </c>
      <c r="Q12" s="73">
        <v>-78.799999999999983</v>
      </c>
    </row>
    <row r="13" spans="1:17" x14ac:dyDescent="0.45">
      <c r="A13" s="22" t="s">
        <v>188</v>
      </c>
      <c r="B13" s="123">
        <f>AVERAGE(B10:B12)</f>
        <v>-0.61261559696341783</v>
      </c>
      <c r="C13" s="124"/>
      <c r="E13" s="29" t="s">
        <v>91</v>
      </c>
      <c r="F13" s="26" t="s">
        <v>46</v>
      </c>
      <c r="G13" s="14">
        <v>10</v>
      </c>
      <c r="H13" s="92">
        <f>IF(B$19=0,0,G13/B$19)</f>
        <v>7.9365079365079361E-2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10</v>
      </c>
      <c r="C14" s="11">
        <f t="shared" si="1"/>
        <v>0.16949152542372881</v>
      </c>
      <c r="E14" s="29" t="s">
        <v>71</v>
      </c>
      <c r="F14" s="26" t="s">
        <v>26</v>
      </c>
      <c r="G14" s="14">
        <v>7</v>
      </c>
      <c r="H14" s="92">
        <f>IF(B$19=0,0,G14/B$19)</f>
        <v>5.5555555555555552E-2</v>
      </c>
      <c r="I14" s="60">
        <v>6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138</v>
      </c>
      <c r="C15" s="12">
        <f>IF(B$3=0,0,B15/B$3)</f>
        <v>0.2955032119914347</v>
      </c>
      <c r="E15" s="29" t="s">
        <v>81</v>
      </c>
      <c r="F15" s="26" t="s">
        <v>36</v>
      </c>
      <c r="G15" s="14">
        <v>6</v>
      </c>
      <c r="H15" s="92">
        <f>IF(B$19=0,0,G15/B$19)</f>
        <v>4.7619047619047616E-2</v>
      </c>
      <c r="I15" s="60">
        <v>2</v>
      </c>
      <c r="K15" s="7">
        <v>13</v>
      </c>
      <c r="L15" s="65">
        <v>-33.5</v>
      </c>
      <c r="N15" s="77" t="s">
        <v>189</v>
      </c>
      <c r="O15" s="86">
        <f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94</v>
      </c>
      <c r="C16" s="8">
        <f>IF(B$3=0,0,B16/B$3)</f>
        <v>0.2012847965738758</v>
      </c>
      <c r="E16" s="29" t="s">
        <v>78</v>
      </c>
      <c r="F16" s="26" t="s">
        <v>33</v>
      </c>
      <c r="G16" s="14">
        <v>4</v>
      </c>
      <c r="H16" s="92">
        <f>IF(B$19=0,0,G16/B$19)</f>
        <v>3.1746031746031744E-2</v>
      </c>
      <c r="I16" s="60">
        <v>8</v>
      </c>
      <c r="K16" s="7">
        <v>14</v>
      </c>
      <c r="L16" s="65">
        <v>15.100000000000001</v>
      </c>
      <c r="N16" s="78" t="s">
        <v>205</v>
      </c>
      <c r="O16" s="87">
        <f>IF(P16=0,0,Q16/P16)</f>
        <v>10.113333333333333</v>
      </c>
      <c r="P16" s="81">
        <v>15</v>
      </c>
      <c r="Q16" s="72">
        <v>151.69999999999999</v>
      </c>
    </row>
    <row r="17" spans="1:17" x14ac:dyDescent="0.45">
      <c r="A17" s="20" t="s">
        <v>123</v>
      </c>
      <c r="B17" s="13">
        <f>B23</f>
        <v>64</v>
      </c>
      <c r="C17" s="6">
        <f>IF(B$15=0,0,B17/B$15)</f>
        <v>0.46376811594202899</v>
      </c>
      <c r="E17" s="29" t="s">
        <v>79</v>
      </c>
      <c r="F17" s="26" t="s">
        <v>34</v>
      </c>
      <c r="G17" s="14">
        <v>3</v>
      </c>
      <c r="H17" s="92">
        <f>IF(B$19=0,0,G17/B$19)</f>
        <v>2.3809523809523808E-2</v>
      </c>
      <c r="I17" s="60">
        <v>6</v>
      </c>
      <c r="K17" s="7">
        <v>15</v>
      </c>
      <c r="L17" s="65">
        <v>-33.1</v>
      </c>
      <c r="N17" s="78" t="s">
        <v>212</v>
      </c>
      <c r="O17" s="87">
        <f>IF(P17=0,0,Q17/P17)</f>
        <v>9.1222222222222218</v>
      </c>
      <c r="P17" s="81">
        <v>9</v>
      </c>
      <c r="Q17" s="72">
        <v>82.1</v>
      </c>
    </row>
    <row r="18" spans="1:17" x14ac:dyDescent="0.45">
      <c r="A18" s="20" t="s">
        <v>124</v>
      </c>
      <c r="B18" s="13">
        <f>B24</f>
        <v>33</v>
      </c>
      <c r="C18" s="6">
        <f>IF(B$16=0,0,B18/B$16)</f>
        <v>0.35106382978723405</v>
      </c>
      <c r="E18" s="29" t="s">
        <v>83</v>
      </c>
      <c r="F18" s="26" t="s">
        <v>38</v>
      </c>
      <c r="G18" s="14">
        <v>3</v>
      </c>
      <c r="H18" s="92">
        <f>IF(B$19=0,0,G18/B$19)</f>
        <v>2.3809523809523808E-2</v>
      </c>
      <c r="I18" s="60">
        <v>7</v>
      </c>
      <c r="K18" s="7">
        <v>16</v>
      </c>
      <c r="L18" s="65">
        <v>-10.8</v>
      </c>
      <c r="N18" s="78" t="s">
        <v>126</v>
      </c>
      <c r="O18" s="87">
        <f>IF(P18=0,0,Q18/P18)</f>
        <v>-1.582608695652169</v>
      </c>
      <c r="P18" s="81">
        <v>46</v>
      </c>
      <c r="Q18" s="72">
        <v>-72.79999999999977</v>
      </c>
    </row>
    <row r="19" spans="1:17" x14ac:dyDescent="0.45">
      <c r="A19" s="20" t="s">
        <v>10</v>
      </c>
      <c r="B19" s="13">
        <f>B22+B21</f>
        <v>126</v>
      </c>
      <c r="C19" s="6">
        <f>IF(B$3=0,0,B19/B$3)</f>
        <v>0.26980728051391861</v>
      </c>
      <c r="E19" s="29" t="s">
        <v>92</v>
      </c>
      <c r="F19" s="26" t="s">
        <v>47</v>
      </c>
      <c r="G19" s="14">
        <v>2</v>
      </c>
      <c r="H19" s="92">
        <f>IF(B$19=0,0,G19/B$19)</f>
        <v>1.5873015873015872E-2</v>
      </c>
      <c r="I19" s="60">
        <v>1</v>
      </c>
      <c r="K19" s="7">
        <v>17</v>
      </c>
      <c r="L19" s="65">
        <v>-32.900000000000006</v>
      </c>
      <c r="N19" s="78" t="s">
        <v>192</v>
      </c>
      <c r="O19" s="87">
        <f>IF(P19=0,0,Q19/P19)</f>
        <v>-4.5136363636363646</v>
      </c>
      <c r="P19" s="81">
        <v>22</v>
      </c>
      <c r="Q19" s="72">
        <v>-99.300000000000011</v>
      </c>
    </row>
    <row r="20" spans="1:17" x14ac:dyDescent="0.45">
      <c r="A20" s="21" t="s">
        <v>13</v>
      </c>
      <c r="B20" s="14">
        <v>87</v>
      </c>
      <c r="C20" s="8">
        <f>IF(B$3=0,0,B20/B$3)</f>
        <v>0.18629550321199143</v>
      </c>
      <c r="E20" s="29" t="s">
        <v>75</v>
      </c>
      <c r="F20" s="26" t="s">
        <v>30</v>
      </c>
      <c r="G20" s="14">
        <v>1</v>
      </c>
      <c r="H20" s="92">
        <f>IF(B$19=0,0,G20/B$19)</f>
        <v>7.9365079365079361E-3</v>
      </c>
      <c r="I20" s="60">
        <v>2</v>
      </c>
      <c r="K20" s="7">
        <v>18</v>
      </c>
      <c r="L20" s="65">
        <v>-69.300000000000011</v>
      </c>
      <c r="N20" s="78" t="s">
        <v>196</v>
      </c>
      <c r="O20" s="87">
        <f>IF(P20=0,0,Q20/P20)</f>
        <v>-16.324999999999992</v>
      </c>
      <c r="P20" s="81">
        <v>4</v>
      </c>
      <c r="Q20" s="72">
        <v>-65.299999999999969</v>
      </c>
    </row>
    <row r="21" spans="1:17" x14ac:dyDescent="0.45">
      <c r="A21" s="21" t="s">
        <v>12</v>
      </c>
      <c r="B21" s="14">
        <v>57</v>
      </c>
      <c r="C21" s="8">
        <f>IF(B$19=0,0,B21/B$19)</f>
        <v>0.45238095238095238</v>
      </c>
      <c r="E21" s="29" t="s">
        <v>97</v>
      </c>
      <c r="F21" s="26" t="s">
        <v>52</v>
      </c>
      <c r="G21" s="14">
        <v>1</v>
      </c>
      <c r="H21" s="92">
        <f>IF(B$19=0,0,G21/B$19)</f>
        <v>7.9365079365079361E-3</v>
      </c>
      <c r="I21" s="60">
        <v>1</v>
      </c>
      <c r="K21" s="7">
        <v>19</v>
      </c>
      <c r="L21" s="65">
        <v>-44.500000000000014</v>
      </c>
      <c r="N21" s="78" t="s">
        <v>194</v>
      </c>
      <c r="O21" s="87">
        <f>IF(P21=0,0,Q21/P21)</f>
        <v>-19.970000000000006</v>
      </c>
      <c r="P21" s="81">
        <v>10</v>
      </c>
      <c r="Q21" s="72">
        <v>-199.70000000000005</v>
      </c>
    </row>
    <row r="22" spans="1:17" x14ac:dyDescent="0.45">
      <c r="A22" s="21" t="s">
        <v>11</v>
      </c>
      <c r="B22" s="14">
        <v>69</v>
      </c>
      <c r="C22" s="8">
        <f>IF(B$19=0,0,B22/B$19)</f>
        <v>0.54761904761904767</v>
      </c>
      <c r="E22" s="29" t="s">
        <v>156</v>
      </c>
      <c r="F22" s="26" t="s">
        <v>157</v>
      </c>
      <c r="G22" s="14">
        <v>1</v>
      </c>
      <c r="H22" s="92">
        <f>IF(B$19=0,0,G22/B$19)</f>
        <v>7.9365079365079361E-3</v>
      </c>
      <c r="I22" s="60">
        <v>3</v>
      </c>
      <c r="K22" s="7">
        <v>20</v>
      </c>
      <c r="L22" s="65">
        <v>-72.000000000000014</v>
      </c>
      <c r="N22" s="78" t="s">
        <v>193</v>
      </c>
      <c r="O22" s="87">
        <f>IF(P22=0,0,Q22/P22)</f>
        <v>-27.375</v>
      </c>
      <c r="P22" s="81">
        <v>8</v>
      </c>
      <c r="Q22" s="72">
        <v>-219</v>
      </c>
    </row>
    <row r="23" spans="1:17" x14ac:dyDescent="0.45">
      <c r="A23" s="21" t="s">
        <v>184</v>
      </c>
      <c r="B23" s="14">
        <v>64</v>
      </c>
      <c r="C23" s="8">
        <f>IF(B$19=0,0,B23/B$19)</f>
        <v>0.50793650793650791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33</v>
      </c>
      <c r="C24" s="8">
        <f>IF(B$19=0,0,B24/B$19)</f>
        <v>0.26190476190476192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3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29</v>
      </c>
      <c r="C25" s="8">
        <f>IF(B$19=0,0,B25/B$19)</f>
        <v>0.23015873015873015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10306.349206349207</v>
      </c>
      <c r="C26" s="10">
        <v>1298600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10950.537634408602</v>
      </c>
      <c r="C27" s="100">
        <v>1018400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8490.9090909090901</v>
      </c>
      <c r="C28" s="100">
        <v>280200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-8120.6896551724139</v>
      </c>
      <c r="C29" s="100">
        <v>-706500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25</v>
      </c>
      <c r="C31" s="94">
        <v>4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5">
        <v>7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3</v>
      </c>
      <c r="C34" s="11">
        <f>IF(B$3=0,0,B34/B$3)</f>
        <v>6.4239828693790149E-3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4</v>
      </c>
      <c r="C36" s="102">
        <f t="shared" ref="C36:C48" si="2">IF(B$19=0,0,B36/B$19)</f>
        <v>3.1746031746031744E-2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14</v>
      </c>
      <c r="C37" s="8">
        <f t="shared" si="2"/>
        <v>0.1111111111111111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13</v>
      </c>
      <c r="C38" s="8">
        <f t="shared" si="2"/>
        <v>0.10317460317460317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34</v>
      </c>
      <c r="C39" s="8">
        <f t="shared" si="2"/>
        <v>0.26984126984126983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24</v>
      </c>
      <c r="C40" s="8">
        <f t="shared" si="2"/>
        <v>0.19047619047619047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14</v>
      </c>
      <c r="C41" s="8">
        <f t="shared" si="2"/>
        <v>0.1111111111111111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5">
      <c r="A42" s="21" t="s">
        <v>174</v>
      </c>
      <c r="B42" s="122">
        <v>10</v>
      </c>
      <c r="C42" s="8">
        <f t="shared" si="2"/>
        <v>7.9365079365079361E-2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5">
      <c r="A43" s="21" t="s">
        <v>175</v>
      </c>
      <c r="B43" s="122">
        <v>5</v>
      </c>
      <c r="C43" s="8">
        <f t="shared" si="2"/>
        <v>3.968253968253968E-2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5">
      <c r="A44" s="21" t="s">
        <v>176</v>
      </c>
      <c r="B44" s="122">
        <v>2</v>
      </c>
      <c r="C44" s="8">
        <f t="shared" si="2"/>
        <v>1.5873015873015872E-2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-202.10000000000005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-184.20000000000005</v>
      </c>
    </row>
    <row r="47" spans="1:12" x14ac:dyDescent="0.45">
      <c r="A47" s="21" t="s">
        <v>179</v>
      </c>
      <c r="B47" s="122">
        <v>3</v>
      </c>
      <c r="C47" s="8">
        <f t="shared" si="2"/>
        <v>2.3809523809523808E-2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-214.00000000000006</v>
      </c>
    </row>
    <row r="48" spans="1:12" x14ac:dyDescent="0.45">
      <c r="A48" s="23" t="s">
        <v>180</v>
      </c>
      <c r="B48" s="101">
        <v>3</v>
      </c>
      <c r="C48" s="11">
        <f t="shared" si="2"/>
        <v>2.3809523809523808E-2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-200.50000000000006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-157.00000000000006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-87.900000000000063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-106.60000000000007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-122.60000000000007</v>
      </c>
    </row>
    <row r="53" spans="5:12" x14ac:dyDescent="0.45">
      <c r="K53" s="7">
        <v>51</v>
      </c>
      <c r="L53" s="65">
        <v>-114.20000000000006</v>
      </c>
    </row>
    <row r="54" spans="5:12" x14ac:dyDescent="0.45">
      <c r="K54" s="7">
        <v>52</v>
      </c>
      <c r="L54" s="65">
        <v>-89.900000000000063</v>
      </c>
    </row>
    <row r="55" spans="5:12" x14ac:dyDescent="0.45">
      <c r="K55" s="7">
        <v>53</v>
      </c>
      <c r="L55" s="65">
        <v>-61.800000000000061</v>
      </c>
    </row>
    <row r="56" spans="5:12" x14ac:dyDescent="0.45">
      <c r="K56" s="7">
        <v>54</v>
      </c>
      <c r="L56" s="65">
        <v>-63.800000000000061</v>
      </c>
    </row>
    <row r="57" spans="5:12" x14ac:dyDescent="0.45">
      <c r="K57" s="7">
        <v>55</v>
      </c>
      <c r="L57" s="65">
        <v>-114.10000000000005</v>
      </c>
    </row>
    <row r="58" spans="5:12" x14ac:dyDescent="0.45">
      <c r="K58" s="7">
        <v>56</v>
      </c>
      <c r="L58" s="65">
        <v>-110.70000000000005</v>
      </c>
    </row>
    <row r="59" spans="5:12" x14ac:dyDescent="0.45">
      <c r="K59" s="7">
        <v>57</v>
      </c>
      <c r="L59" s="65">
        <v>-89.600000000000051</v>
      </c>
    </row>
    <row r="60" spans="5:12" x14ac:dyDescent="0.45">
      <c r="K60" s="7">
        <v>58</v>
      </c>
      <c r="L60" s="65">
        <v>-110.00000000000006</v>
      </c>
    </row>
    <row r="61" spans="5:12" x14ac:dyDescent="0.45">
      <c r="K61" s="7">
        <v>59</v>
      </c>
      <c r="L61" s="65">
        <v>-105.20000000000006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78AC7-600F-4D93-BD3A-C5B4FF0B6BD9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2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3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7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10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2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2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6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2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3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7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10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88E22-7249-44F8-858A-468D9C96E270}">
  <sheetPr codeName="Sheet11"/>
  <dimension ref="A1:Q8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80</v>
      </c>
      <c r="C2" s="132"/>
      <c r="E2" s="28" t="s">
        <v>66</v>
      </c>
      <c r="F2" s="25" t="s">
        <v>22</v>
      </c>
      <c r="G2" s="13">
        <v>134</v>
      </c>
      <c r="H2" s="91">
        <f>IF(B$19=0,0,G2/B$19)</f>
        <v>0.68020304568527923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1008.75</v>
      </c>
      <c r="P2" s="80">
        <v>80</v>
      </c>
      <c r="Q2" s="67">
        <v>80700</v>
      </c>
    </row>
    <row r="3" spans="1:17" x14ac:dyDescent="0.45">
      <c r="A3" s="21" t="s">
        <v>8</v>
      </c>
      <c r="B3" s="133">
        <v>635</v>
      </c>
      <c r="C3" s="134"/>
      <c r="E3" s="29" t="s">
        <v>72</v>
      </c>
      <c r="F3" s="26" t="s">
        <v>27</v>
      </c>
      <c r="G3" s="14">
        <v>101</v>
      </c>
      <c r="H3" s="92">
        <f>IF(B$19=0,0,G3/B$19)</f>
        <v>0.51269035532994922</v>
      </c>
      <c r="I3" s="60">
        <v>7</v>
      </c>
      <c r="K3" s="7">
        <v>1</v>
      </c>
      <c r="L3" s="65">
        <v>39.200000000000003</v>
      </c>
      <c r="N3" s="78" t="s">
        <v>129</v>
      </c>
      <c r="O3" s="84">
        <f t="shared" si="0"/>
        <v>2089.8734177215188</v>
      </c>
      <c r="P3" s="81">
        <v>79</v>
      </c>
      <c r="Q3" s="68">
        <v>165100</v>
      </c>
    </row>
    <row r="4" spans="1:17" x14ac:dyDescent="0.45">
      <c r="A4" s="21" t="s">
        <v>6</v>
      </c>
      <c r="B4" s="135">
        <v>712.20000000000016</v>
      </c>
      <c r="C4" s="136"/>
      <c r="E4" s="29" t="s">
        <v>160</v>
      </c>
      <c r="F4" s="26" t="s">
        <v>161</v>
      </c>
      <c r="G4" s="14">
        <v>83</v>
      </c>
      <c r="H4" s="92">
        <f>IF(B$19=0,0,G4/B$19)</f>
        <v>0.42131979695431471</v>
      </c>
      <c r="I4" s="60">
        <v>6</v>
      </c>
      <c r="K4" s="7">
        <v>2</v>
      </c>
      <c r="L4" s="65">
        <v>99.6</v>
      </c>
      <c r="N4" s="78" t="s">
        <v>130</v>
      </c>
      <c r="O4" s="84">
        <f t="shared" si="0"/>
        <v>2172</v>
      </c>
      <c r="P4" s="81">
        <v>75</v>
      </c>
      <c r="Q4" s="68">
        <v>162900</v>
      </c>
    </row>
    <row r="5" spans="1:17" x14ac:dyDescent="0.45">
      <c r="A5" s="21" t="s">
        <v>7</v>
      </c>
      <c r="B5" s="123">
        <f>IF(B$2=0,0,B$4/B$2)</f>
        <v>8.9025000000000016</v>
      </c>
      <c r="C5" s="124"/>
      <c r="E5" s="29" t="s">
        <v>64</v>
      </c>
      <c r="F5" s="26" t="s">
        <v>20</v>
      </c>
      <c r="G5" s="14">
        <v>82</v>
      </c>
      <c r="H5" s="92">
        <f>IF(B$19=0,0,G5/B$19)</f>
        <v>0.41624365482233505</v>
      </c>
      <c r="I5" s="60">
        <v>8</v>
      </c>
      <c r="K5" s="7">
        <v>3</v>
      </c>
      <c r="L5" s="65">
        <v>98.1</v>
      </c>
      <c r="N5" s="78" t="s">
        <v>131</v>
      </c>
      <c r="O5" s="84">
        <f t="shared" si="0"/>
        <v>1131.3432835820895</v>
      </c>
      <c r="P5" s="81">
        <v>67</v>
      </c>
      <c r="Q5" s="68">
        <v>75800</v>
      </c>
    </row>
    <row r="6" spans="1:17" x14ac:dyDescent="0.45">
      <c r="A6" s="21" t="s">
        <v>1</v>
      </c>
      <c r="B6" s="137">
        <f>IF(B$2=0,0,(B$7*1+B$8*2+B$9*3)/B$2)</f>
        <v>1.7625</v>
      </c>
      <c r="C6" s="138"/>
      <c r="E6" s="29" t="s">
        <v>68</v>
      </c>
      <c r="F6" s="26" t="s">
        <v>12</v>
      </c>
      <c r="G6" s="14">
        <v>78</v>
      </c>
      <c r="H6" s="92">
        <f>IF(B$19=0,0,G6/B$19)</f>
        <v>0.39593908629441626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0"/>
        <v>-867.1875</v>
      </c>
      <c r="P6" s="81">
        <v>64</v>
      </c>
      <c r="Q6" s="68">
        <v>-55500</v>
      </c>
    </row>
    <row r="7" spans="1:17" x14ac:dyDescent="0.45">
      <c r="A7" s="21" t="s">
        <v>2</v>
      </c>
      <c r="B7" s="14">
        <v>36</v>
      </c>
      <c r="C7" s="8">
        <f t="shared" ref="C7:C14" si="1">IF(B$2=0,0,B7/B$2)</f>
        <v>0.45</v>
      </c>
      <c r="E7" s="29" t="s">
        <v>67</v>
      </c>
      <c r="F7" s="26" t="s">
        <v>23</v>
      </c>
      <c r="G7" s="14">
        <v>51</v>
      </c>
      <c r="H7" s="92">
        <f>IF(B$19=0,0,G7/B$19)</f>
        <v>0.25888324873096447</v>
      </c>
      <c r="I7" s="60">
        <v>3</v>
      </c>
      <c r="K7" s="7">
        <v>5</v>
      </c>
      <c r="L7" s="65">
        <v>143.1</v>
      </c>
      <c r="N7" s="79" t="s">
        <v>133</v>
      </c>
      <c r="O7" s="85">
        <f t="shared" si="0"/>
        <v>3092</v>
      </c>
      <c r="P7" s="82">
        <v>50</v>
      </c>
      <c r="Q7" s="69">
        <v>154600</v>
      </c>
    </row>
    <row r="8" spans="1:17" x14ac:dyDescent="0.45">
      <c r="A8" s="21" t="s">
        <v>3</v>
      </c>
      <c r="B8" s="14">
        <v>27</v>
      </c>
      <c r="C8" s="8">
        <f t="shared" si="1"/>
        <v>0.33750000000000002</v>
      </c>
      <c r="E8" s="29" t="s">
        <v>69</v>
      </c>
      <c r="F8" s="26" t="s">
        <v>24</v>
      </c>
      <c r="G8" s="14">
        <v>35</v>
      </c>
      <c r="H8" s="92">
        <f>IF(B$19=0,0,G8/B$19)</f>
        <v>0.17766497461928935</v>
      </c>
      <c r="I8" s="60">
        <v>1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17</v>
      </c>
      <c r="C9" s="9">
        <f t="shared" si="1"/>
        <v>0.21249999999999999</v>
      </c>
      <c r="E9" s="29" t="s">
        <v>89</v>
      </c>
      <c r="F9" s="26" t="s">
        <v>44</v>
      </c>
      <c r="G9" s="14">
        <v>35</v>
      </c>
      <c r="H9" s="92">
        <f>IF(B$19=0,0,G9/B$19)</f>
        <v>0.17766497461928935</v>
      </c>
      <c r="I9" s="60">
        <v>3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38.449999999999996</v>
      </c>
      <c r="C10" s="114">
        <v>1384.1999999999998</v>
      </c>
      <c r="E10" s="29" t="s">
        <v>65</v>
      </c>
      <c r="F10" s="26" t="s">
        <v>21</v>
      </c>
      <c r="G10" s="14">
        <v>21</v>
      </c>
      <c r="H10" s="92">
        <f>IF(B$19=0,0,G10/B$19)</f>
        <v>0.1065989847715736</v>
      </c>
      <c r="I10" s="60">
        <v>3</v>
      </c>
      <c r="K10" s="7">
        <v>8</v>
      </c>
      <c r="L10" s="65">
        <v>132.6</v>
      </c>
      <c r="N10" s="77" t="s">
        <v>152</v>
      </c>
      <c r="O10" s="86">
        <f>IF(P10=0,0,Q10/P10)</f>
        <v>3.1280000000000001</v>
      </c>
      <c r="P10" s="80">
        <v>25</v>
      </c>
      <c r="Q10" s="71">
        <v>78.2</v>
      </c>
    </row>
    <row r="11" spans="1:17" x14ac:dyDescent="0.45">
      <c r="A11" s="22" t="s">
        <v>186</v>
      </c>
      <c r="B11" s="113">
        <f>IF(B8=0,0,C11/B8)</f>
        <v>-0.82592592592592584</v>
      </c>
      <c r="C11" s="114">
        <v>-22.299999999999997</v>
      </c>
      <c r="E11" s="29" t="s">
        <v>70</v>
      </c>
      <c r="F11" s="26" t="s">
        <v>25</v>
      </c>
      <c r="G11" s="14">
        <v>16</v>
      </c>
      <c r="H11" s="92">
        <f>IF(B$19=0,0,G11/B$19)</f>
        <v>8.1218274111675121E-2</v>
      </c>
      <c r="I11" s="60">
        <v>6</v>
      </c>
      <c r="K11" s="7">
        <v>9</v>
      </c>
      <c r="L11" s="65">
        <v>151.29999999999998</v>
      </c>
      <c r="N11" s="78" t="s">
        <v>153</v>
      </c>
      <c r="O11" s="87">
        <f>IF(P11=0,0,Q11/P11)</f>
        <v>7.5379310344827557</v>
      </c>
      <c r="P11" s="81">
        <v>29</v>
      </c>
      <c r="Q11" s="72">
        <v>218.59999999999991</v>
      </c>
    </row>
    <row r="12" spans="1:17" x14ac:dyDescent="0.45">
      <c r="A12" s="22" t="s">
        <v>187</v>
      </c>
      <c r="B12" s="113">
        <f>IF(B9=0,0,C12/B9)</f>
        <v>-38.21764705882353</v>
      </c>
      <c r="C12" s="114">
        <v>-649.70000000000005</v>
      </c>
      <c r="E12" s="29" t="s">
        <v>86</v>
      </c>
      <c r="F12" s="26" t="s">
        <v>41</v>
      </c>
      <c r="G12" s="14">
        <v>15</v>
      </c>
      <c r="H12" s="92">
        <f>IF(B$19=0,0,G12/B$19)</f>
        <v>7.6142131979695438E-2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15.976923076923082</v>
      </c>
      <c r="P12" s="82">
        <v>26</v>
      </c>
      <c r="Q12" s="73">
        <v>415.40000000000015</v>
      </c>
    </row>
    <row r="13" spans="1:17" x14ac:dyDescent="0.45">
      <c r="A13" s="22" t="s">
        <v>188</v>
      </c>
      <c r="B13" s="123">
        <f>AVERAGE(B10:B12)</f>
        <v>-0.19785766158315235</v>
      </c>
      <c r="C13" s="124"/>
      <c r="E13" s="29" t="s">
        <v>71</v>
      </c>
      <c r="F13" s="26" t="s">
        <v>26</v>
      </c>
      <c r="G13" s="14">
        <v>14</v>
      </c>
      <c r="H13" s="92">
        <f>IF(B$19=0,0,G13/B$19)</f>
        <v>7.1065989847715741E-2</v>
      </c>
      <c r="I13" s="60">
        <v>3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6.25E-2</v>
      </c>
      <c r="E14" s="29" t="s">
        <v>83</v>
      </c>
      <c r="F14" s="26" t="s">
        <v>38</v>
      </c>
      <c r="G14" s="14">
        <v>9</v>
      </c>
      <c r="H14" s="92">
        <f>IF(B$19=0,0,G14/B$19)</f>
        <v>4.5685279187817257E-2</v>
      </c>
      <c r="I14" s="60">
        <v>6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157</v>
      </c>
      <c r="C15" s="12">
        <f>IF(B$3=0,0,B15/B$3)</f>
        <v>0.24724409448818899</v>
      </c>
      <c r="E15" s="29" t="s">
        <v>156</v>
      </c>
      <c r="F15" s="26" t="s">
        <v>157</v>
      </c>
      <c r="G15" s="14">
        <v>9</v>
      </c>
      <c r="H15" s="92">
        <f>IF(B$19=0,0,G15/B$19)</f>
        <v>4.5685279187817257E-2</v>
      </c>
      <c r="I15" s="60">
        <v>1</v>
      </c>
      <c r="K15" s="7">
        <v>13</v>
      </c>
      <c r="L15" s="65">
        <v>197</v>
      </c>
      <c r="N15" s="77" t="s">
        <v>196</v>
      </c>
      <c r="O15" s="86">
        <f>IF(P15=0,0,Q15/P15)</f>
        <v>34.9</v>
      </c>
      <c r="P15" s="80">
        <v>2</v>
      </c>
      <c r="Q15" s="71">
        <v>69.8</v>
      </c>
    </row>
    <row r="16" spans="1:17" x14ac:dyDescent="0.45">
      <c r="A16" s="21" t="s">
        <v>118</v>
      </c>
      <c r="B16" s="14">
        <v>101</v>
      </c>
      <c r="C16" s="8">
        <f>IF(B$3=0,0,B16/B$3)</f>
        <v>0.15905511811023623</v>
      </c>
      <c r="E16" s="29" t="s">
        <v>78</v>
      </c>
      <c r="F16" s="26" t="s">
        <v>33</v>
      </c>
      <c r="G16" s="14">
        <v>7</v>
      </c>
      <c r="H16" s="92">
        <f>IF(B$19=0,0,G16/B$19)</f>
        <v>3.553299492385787E-2</v>
      </c>
      <c r="I16" s="60">
        <v>7</v>
      </c>
      <c r="K16" s="7">
        <v>14</v>
      </c>
      <c r="L16" s="65">
        <v>249.2</v>
      </c>
      <c r="N16" s="78" t="s">
        <v>189</v>
      </c>
      <c r="O16" s="87">
        <f>IF(P16=0,0,Q16/P16)</f>
        <v>29.983333333333331</v>
      </c>
      <c r="P16" s="81">
        <v>6</v>
      </c>
      <c r="Q16" s="72">
        <v>179.89999999999998</v>
      </c>
    </row>
    <row r="17" spans="1:17" x14ac:dyDescent="0.45">
      <c r="A17" s="20" t="s">
        <v>123</v>
      </c>
      <c r="B17" s="13">
        <f>B23</f>
        <v>92</v>
      </c>
      <c r="C17" s="6">
        <f>IF(B$15=0,0,B17/B$15)</f>
        <v>0.5859872611464968</v>
      </c>
      <c r="E17" s="29" t="s">
        <v>81</v>
      </c>
      <c r="F17" s="26" t="s">
        <v>36</v>
      </c>
      <c r="G17" s="14">
        <v>6</v>
      </c>
      <c r="H17" s="92">
        <f>IF(B$19=0,0,G17/B$19)</f>
        <v>3.0456852791878174E-2</v>
      </c>
      <c r="I17" s="60">
        <v>4</v>
      </c>
      <c r="K17" s="7">
        <v>15</v>
      </c>
      <c r="L17" s="65">
        <v>213.5</v>
      </c>
      <c r="N17" s="78" t="s">
        <v>193</v>
      </c>
      <c r="O17" s="87">
        <f>IF(P17=0,0,Q17/P17)</f>
        <v>24.1875</v>
      </c>
      <c r="P17" s="81">
        <v>16</v>
      </c>
      <c r="Q17" s="72">
        <v>387</v>
      </c>
    </row>
    <row r="18" spans="1:17" x14ac:dyDescent="0.45">
      <c r="A18" s="20" t="s">
        <v>124</v>
      </c>
      <c r="B18" s="13">
        <f>B24</f>
        <v>49</v>
      </c>
      <c r="C18" s="6">
        <f>IF(B$16=0,0,B18/B$16)</f>
        <v>0.48514851485148514</v>
      </c>
      <c r="E18" s="29" t="s">
        <v>79</v>
      </c>
      <c r="F18" s="26" t="s">
        <v>34</v>
      </c>
      <c r="G18" s="14">
        <v>5</v>
      </c>
      <c r="H18" s="92">
        <f>IF(B$19=0,0,G18/B$19)</f>
        <v>2.5380710659898477E-2</v>
      </c>
      <c r="I18" s="60">
        <v>3</v>
      </c>
      <c r="K18" s="7">
        <v>16</v>
      </c>
      <c r="L18" s="65">
        <v>273.8</v>
      </c>
      <c r="N18" s="78" t="s">
        <v>194</v>
      </c>
      <c r="O18" s="87">
        <f>IF(P18=0,0,Q18/P18)</f>
        <v>22.18571428571429</v>
      </c>
      <c r="P18" s="81">
        <v>21</v>
      </c>
      <c r="Q18" s="72">
        <v>465.90000000000009</v>
      </c>
    </row>
    <row r="19" spans="1:17" x14ac:dyDescent="0.45">
      <c r="A19" s="20" t="s">
        <v>10</v>
      </c>
      <c r="B19" s="13">
        <f>B22+B21</f>
        <v>197</v>
      </c>
      <c r="C19" s="6">
        <f>IF(B$3=0,0,B19/B$3)</f>
        <v>0.31023622047244093</v>
      </c>
      <c r="E19" s="29" t="s">
        <v>92</v>
      </c>
      <c r="F19" s="26" t="s">
        <v>47</v>
      </c>
      <c r="G19" s="14">
        <v>3</v>
      </c>
      <c r="H19" s="92">
        <f>IF(B$19=0,0,G19/B$19)</f>
        <v>1.5228426395939087E-2</v>
      </c>
      <c r="I19" s="60">
        <v>3</v>
      </c>
      <c r="K19" s="7">
        <v>17</v>
      </c>
      <c r="L19" s="65">
        <v>242.8</v>
      </c>
      <c r="N19" s="78" t="s">
        <v>192</v>
      </c>
      <c r="O19" s="87">
        <f>IF(P19=0,0,Q19/P19)</f>
        <v>20.896774193548389</v>
      </c>
      <c r="P19" s="81">
        <v>31</v>
      </c>
      <c r="Q19" s="72">
        <v>647.80000000000007</v>
      </c>
    </row>
    <row r="20" spans="1:17" x14ac:dyDescent="0.45">
      <c r="A20" s="21" t="s">
        <v>13</v>
      </c>
      <c r="B20" s="14">
        <v>93</v>
      </c>
      <c r="C20" s="8">
        <f>IF(B$3=0,0,B20/B$3)</f>
        <v>0.14645669291338584</v>
      </c>
      <c r="E20" s="29" t="s">
        <v>91</v>
      </c>
      <c r="F20" s="26" t="s">
        <v>46</v>
      </c>
      <c r="G20" s="14">
        <v>2</v>
      </c>
      <c r="H20" s="92">
        <f>IF(B$19=0,0,G20/B$19)</f>
        <v>1.015228426395939E-2</v>
      </c>
      <c r="I20" s="60">
        <v>5</v>
      </c>
      <c r="K20" s="7">
        <v>18</v>
      </c>
      <c r="L20" s="65">
        <v>280</v>
      </c>
      <c r="N20" s="78" t="s">
        <v>205</v>
      </c>
      <c r="O20" s="87">
        <f>IF(P20=0,0,Q20/P20)</f>
        <v>9.3344827586206893</v>
      </c>
      <c r="P20" s="81">
        <v>29</v>
      </c>
      <c r="Q20" s="72">
        <v>270.7</v>
      </c>
    </row>
    <row r="21" spans="1:17" x14ac:dyDescent="0.45">
      <c r="A21" s="21" t="s">
        <v>12</v>
      </c>
      <c r="B21" s="14">
        <v>101</v>
      </c>
      <c r="C21" s="8">
        <f>IF(B$19=0,0,B21/B$19)</f>
        <v>0.51269035532994922</v>
      </c>
      <c r="E21" s="29" t="s">
        <v>93</v>
      </c>
      <c r="F21" s="26" t="s">
        <v>48</v>
      </c>
      <c r="G21" s="14">
        <v>2</v>
      </c>
      <c r="H21" s="92">
        <f>IF(B$19=0,0,G21/B$19)</f>
        <v>1.015228426395939E-2</v>
      </c>
      <c r="I21" s="60">
        <v>1</v>
      </c>
      <c r="K21" s="7">
        <v>19</v>
      </c>
      <c r="L21" s="65">
        <v>281.5</v>
      </c>
      <c r="N21" s="78" t="s">
        <v>212</v>
      </c>
      <c r="O21" s="87">
        <f>IF(P21=0,0,Q21/P21)</f>
        <v>4.7444444444444436</v>
      </c>
      <c r="P21" s="81">
        <v>9</v>
      </c>
      <c r="Q21" s="72">
        <v>42.699999999999989</v>
      </c>
    </row>
    <row r="22" spans="1:17" x14ac:dyDescent="0.45">
      <c r="A22" s="21" t="s">
        <v>11</v>
      </c>
      <c r="B22" s="14">
        <v>96</v>
      </c>
      <c r="C22" s="8">
        <f>IF(B$19=0,0,B22/B$19)</f>
        <v>0.48730964467005078</v>
      </c>
      <c r="E22" s="29" t="s">
        <v>73</v>
      </c>
      <c r="F22" s="26" t="s">
        <v>28</v>
      </c>
      <c r="G22" s="14">
        <v>1</v>
      </c>
      <c r="H22" s="92">
        <f>IF(B$19=0,0,G22/B$19)</f>
        <v>5.076142131979695E-3</v>
      </c>
      <c r="I22" s="60">
        <v>2</v>
      </c>
      <c r="K22" s="7">
        <v>20</v>
      </c>
      <c r="L22" s="65">
        <v>287.2</v>
      </c>
      <c r="N22" s="78" t="s">
        <v>164</v>
      </c>
      <c r="O22" s="87">
        <f>IF(P22=0,0,Q22/P22)</f>
        <v>1.5826086956521705</v>
      </c>
      <c r="P22" s="81">
        <v>46</v>
      </c>
      <c r="Q22" s="72">
        <v>72.799999999999841</v>
      </c>
    </row>
    <row r="23" spans="1:17" x14ac:dyDescent="0.45">
      <c r="A23" s="21" t="s">
        <v>184</v>
      </c>
      <c r="B23" s="14">
        <v>92</v>
      </c>
      <c r="C23" s="8">
        <f>IF(B$19=0,0,B23/B$19)</f>
        <v>0.46700507614213199</v>
      </c>
      <c r="E23" s="29" t="s">
        <v>77</v>
      </c>
      <c r="F23" s="26" t="s">
        <v>32</v>
      </c>
      <c r="G23" s="14">
        <v>1</v>
      </c>
      <c r="H23" s="92">
        <f>IF(B$19=0,0,G23/B$19)</f>
        <v>5.076142131979695E-3</v>
      </c>
      <c r="I23" s="60">
        <v>5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49</v>
      </c>
      <c r="C24" s="8">
        <f>IF(B$19=0,0,B24/B$19)</f>
        <v>0.24873096446700507</v>
      </c>
      <c r="E24" s="29" t="s">
        <v>84</v>
      </c>
      <c r="F24" s="26" t="s">
        <v>39</v>
      </c>
      <c r="G24" s="14">
        <v>1</v>
      </c>
      <c r="H24" s="92">
        <f>IF(B$19=0,0,G24/B$19)</f>
        <v>5.076142131979695E-3</v>
      </c>
      <c r="I24" s="60">
        <v>1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56</v>
      </c>
      <c r="C25" s="8">
        <f>IF(B$19=0,0,B25/B$19)</f>
        <v>0.28426395939086296</v>
      </c>
      <c r="E25" s="29" t="s">
        <v>87</v>
      </c>
      <c r="F25" s="26" t="s">
        <v>42</v>
      </c>
      <c r="G25" s="14">
        <v>1</v>
      </c>
      <c r="H25" s="92">
        <f>IF(B$19=0,0,G25/B$19)</f>
        <v>5.076142131979695E-3</v>
      </c>
      <c r="I25" s="60">
        <v>2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9794.4162436548231</v>
      </c>
      <c r="C26" s="10">
        <v>1929500</v>
      </c>
      <c r="E26" s="29" t="s">
        <v>95</v>
      </c>
      <c r="F26" s="26" t="s">
        <v>50</v>
      </c>
      <c r="G26" s="14">
        <v>1</v>
      </c>
      <c r="H26" s="92">
        <f>IF(B$19=0,0,G26/B$19)</f>
        <v>5.076142131979695E-3</v>
      </c>
      <c r="I26" s="60">
        <v>1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10162.837837837838</v>
      </c>
      <c r="C27" s="100">
        <v>1504100</v>
      </c>
      <c r="E27" s="29" t="s">
        <v>106</v>
      </c>
      <c r="F27" s="26" t="s">
        <v>113</v>
      </c>
      <c r="G27" s="14">
        <v>1</v>
      </c>
      <c r="H27" s="92">
        <f>IF(B$19=0,0,G27/B$19)</f>
        <v>5.076142131979695E-3</v>
      </c>
      <c r="I27" s="60">
        <v>1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8681.6326530612241</v>
      </c>
      <c r="C28" s="100">
        <v>425400</v>
      </c>
      <c r="E28" s="29" t="s">
        <v>74</v>
      </c>
      <c r="F28" s="26" t="s">
        <v>29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-7973.1182795698924</v>
      </c>
      <c r="C29" s="100">
        <v>-741500</v>
      </c>
      <c r="E29" s="29" t="s">
        <v>75</v>
      </c>
      <c r="F29" s="26" t="s">
        <v>30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5</v>
      </c>
      <c r="C30" s="94">
        <v>0</v>
      </c>
      <c r="E30" s="29" t="s">
        <v>76</v>
      </c>
      <c r="F30" s="26" t="s">
        <v>31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9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5">
        <v>6</v>
      </c>
      <c r="C32" s="126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27">
        <v>102700</v>
      </c>
      <c r="C33" s="128"/>
      <c r="E33" s="29" t="s">
        <v>85</v>
      </c>
      <c r="F33" s="26" t="s">
        <v>40</v>
      </c>
      <c r="G33" s="14">
        <v>0</v>
      </c>
      <c r="H33" s="92">
        <f>IF(B$19=0,0,G33/B$19)</f>
        <v>0</v>
      </c>
      <c r="I33" s="60">
        <v>4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88</v>
      </c>
      <c r="F34" s="26" t="s">
        <v>43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583.00000000000011</v>
      </c>
    </row>
    <row r="35" spans="1:12" x14ac:dyDescent="0.45">
      <c r="E35" s="29" t="s">
        <v>90</v>
      </c>
      <c r="F35" s="26" t="s">
        <v>45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12</v>
      </c>
      <c r="C36" s="102">
        <f t="shared" ref="C36:C48" si="2">IF(B$19=0,0,B36/B$19)</f>
        <v>6.0913705583756347E-2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28</v>
      </c>
      <c r="C37" s="8">
        <f t="shared" si="2"/>
        <v>0.14213197969543148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33</v>
      </c>
      <c r="C38" s="8">
        <f t="shared" si="2"/>
        <v>0.16751269035532995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39</v>
      </c>
      <c r="C39" s="8">
        <f t="shared" si="2"/>
        <v>0.19796954314720813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33</v>
      </c>
      <c r="C40" s="8">
        <f t="shared" si="2"/>
        <v>0.16751269035532995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17</v>
      </c>
      <c r="C41" s="8">
        <f t="shared" si="2"/>
        <v>8.6294416243654817E-2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12</v>
      </c>
      <c r="C42" s="8">
        <f t="shared" si="2"/>
        <v>6.0913705583756347E-2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6</v>
      </c>
      <c r="C43" s="8">
        <f t="shared" si="2"/>
        <v>3.0456852791878174E-2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3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5</v>
      </c>
      <c r="C44" s="8">
        <f t="shared" si="2"/>
        <v>2.5380710659898477E-2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3</v>
      </c>
      <c r="C45" s="8">
        <f t="shared" si="2"/>
        <v>1.5228426395939087E-2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1</v>
      </c>
      <c r="C46" s="8">
        <f t="shared" si="2"/>
        <v>5.076142131979695E-3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1</v>
      </c>
      <c r="C47" s="8">
        <f t="shared" si="2"/>
        <v>5.076142131979695E-3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7</v>
      </c>
      <c r="C48" s="11">
        <f t="shared" si="2"/>
        <v>3.553299492385787E-2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5">
      <c r="K53" s="7">
        <v>51</v>
      </c>
      <c r="L53" s="65">
        <v>639.30000000000007</v>
      </c>
    </row>
    <row r="54" spans="5:12" x14ac:dyDescent="0.45">
      <c r="K54" s="7">
        <v>52</v>
      </c>
      <c r="L54" s="65">
        <v>644.20000000000005</v>
      </c>
    </row>
    <row r="55" spans="5:12" x14ac:dyDescent="0.45">
      <c r="K55" s="7">
        <v>53</v>
      </c>
      <c r="L55" s="65">
        <v>605.20000000000005</v>
      </c>
    </row>
    <row r="56" spans="5:12" x14ac:dyDescent="0.45">
      <c r="K56" s="7">
        <v>54</v>
      </c>
      <c r="L56" s="65">
        <v>598.90000000000009</v>
      </c>
    </row>
    <row r="57" spans="5:12" x14ac:dyDescent="0.45">
      <c r="K57" s="7">
        <v>55</v>
      </c>
      <c r="L57" s="65">
        <v>627.40000000000009</v>
      </c>
    </row>
    <row r="58" spans="5:12" x14ac:dyDescent="0.45">
      <c r="K58" s="7">
        <v>56</v>
      </c>
      <c r="L58" s="65">
        <v>646.00000000000011</v>
      </c>
    </row>
    <row r="59" spans="5:12" x14ac:dyDescent="0.45">
      <c r="K59" s="7">
        <v>57</v>
      </c>
      <c r="L59" s="65">
        <v>644.60000000000014</v>
      </c>
    </row>
    <row r="60" spans="5:12" x14ac:dyDescent="0.45">
      <c r="K60" s="7">
        <v>58</v>
      </c>
      <c r="L60" s="65">
        <v>636.70000000000016</v>
      </c>
    </row>
    <row r="61" spans="5:12" x14ac:dyDescent="0.45">
      <c r="K61" s="7">
        <v>59</v>
      </c>
      <c r="L61" s="65">
        <v>633.30000000000018</v>
      </c>
    </row>
    <row r="62" spans="5:12" x14ac:dyDescent="0.45">
      <c r="K62" s="7">
        <v>60</v>
      </c>
      <c r="L62" s="65">
        <v>629.20000000000016</v>
      </c>
    </row>
    <row r="63" spans="5:12" x14ac:dyDescent="0.45">
      <c r="K63" s="7">
        <v>61</v>
      </c>
      <c r="L63" s="65">
        <v>581.20000000000016</v>
      </c>
    </row>
    <row r="64" spans="5:12" x14ac:dyDescent="0.45">
      <c r="K64" s="7">
        <v>62</v>
      </c>
      <c r="L64" s="65">
        <v>534.9000000000002</v>
      </c>
    </row>
    <row r="65" spans="11:12" x14ac:dyDescent="0.45">
      <c r="K65" s="7">
        <v>63</v>
      </c>
      <c r="L65" s="65">
        <v>511.30000000000018</v>
      </c>
    </row>
    <row r="66" spans="11:12" x14ac:dyDescent="0.45">
      <c r="K66" s="7">
        <v>64</v>
      </c>
      <c r="L66" s="65">
        <v>512.50000000000023</v>
      </c>
    </row>
    <row r="67" spans="11:12" x14ac:dyDescent="0.45">
      <c r="K67" s="7">
        <v>65</v>
      </c>
      <c r="L67" s="65">
        <v>548.50000000000023</v>
      </c>
    </row>
    <row r="68" spans="11:12" x14ac:dyDescent="0.45">
      <c r="K68" s="7">
        <v>66</v>
      </c>
      <c r="L68" s="65">
        <v>568.9000000000002</v>
      </c>
    </row>
    <row r="69" spans="11:12" x14ac:dyDescent="0.45">
      <c r="K69" s="7">
        <v>67</v>
      </c>
      <c r="L69" s="65">
        <v>586.4000000000002</v>
      </c>
    </row>
    <row r="70" spans="11:12" x14ac:dyDescent="0.45">
      <c r="K70" s="7">
        <v>68</v>
      </c>
      <c r="L70" s="65">
        <v>619.60000000000025</v>
      </c>
    </row>
    <row r="71" spans="11:12" x14ac:dyDescent="0.45">
      <c r="K71" s="7">
        <v>69</v>
      </c>
      <c r="L71" s="65">
        <v>631.50000000000023</v>
      </c>
    </row>
    <row r="72" spans="11:12" x14ac:dyDescent="0.45">
      <c r="K72" s="7">
        <v>70</v>
      </c>
      <c r="L72" s="65">
        <v>597.20000000000027</v>
      </c>
    </row>
    <row r="73" spans="11:12" x14ac:dyDescent="0.45">
      <c r="K73" s="7">
        <v>71</v>
      </c>
      <c r="L73" s="65">
        <v>616.60000000000025</v>
      </c>
    </row>
    <row r="74" spans="11:12" x14ac:dyDescent="0.45">
      <c r="K74" s="7">
        <v>72</v>
      </c>
      <c r="L74" s="65">
        <v>677.10000000000025</v>
      </c>
    </row>
    <row r="75" spans="11:12" x14ac:dyDescent="0.45">
      <c r="K75" s="7">
        <v>73</v>
      </c>
      <c r="L75" s="65">
        <v>658.9000000000002</v>
      </c>
    </row>
    <row r="76" spans="11:12" x14ac:dyDescent="0.45">
      <c r="K76" s="7">
        <v>74</v>
      </c>
      <c r="L76" s="65">
        <v>678.00000000000023</v>
      </c>
    </row>
    <row r="77" spans="11:12" x14ac:dyDescent="0.45">
      <c r="K77" s="7">
        <v>75</v>
      </c>
      <c r="L77" s="65">
        <v>707.50000000000023</v>
      </c>
    </row>
    <row r="78" spans="11:12" x14ac:dyDescent="0.45">
      <c r="K78" s="7">
        <v>76</v>
      </c>
      <c r="L78" s="65">
        <v>741.60000000000025</v>
      </c>
    </row>
    <row r="79" spans="11:12" x14ac:dyDescent="0.45">
      <c r="K79" s="7">
        <v>77</v>
      </c>
      <c r="L79" s="65">
        <v>757.4000000000002</v>
      </c>
    </row>
    <row r="80" spans="11:12" x14ac:dyDescent="0.45">
      <c r="K80" s="7">
        <v>78</v>
      </c>
      <c r="L80" s="65">
        <v>729.20000000000016</v>
      </c>
    </row>
    <row r="81" spans="11:12" x14ac:dyDescent="0.45">
      <c r="K81" s="7">
        <v>79</v>
      </c>
      <c r="L81" s="65">
        <v>745.50000000000011</v>
      </c>
    </row>
    <row r="82" spans="11:12" x14ac:dyDescent="0.45">
      <c r="K82" s="7">
        <v>80</v>
      </c>
      <c r="L82" s="65">
        <v>712.20000000000016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214D5-DF1B-4880-A0E6-DFFB0CA1016C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35</v>
      </c>
      <c r="C2" s="132"/>
      <c r="E2" s="28" t="s">
        <v>66</v>
      </c>
      <c r="F2" s="25" t="s">
        <v>22</v>
      </c>
      <c r="G2" s="13">
        <v>52</v>
      </c>
      <c r="H2" s="91">
        <f>IF(B$19=0,0,G2/B$19)</f>
        <v>0.70270270270270274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-3911.7647058823532</v>
      </c>
      <c r="P2" s="80">
        <v>34</v>
      </c>
      <c r="Q2" s="67">
        <v>-133000</v>
      </c>
    </row>
    <row r="3" spans="1:17" x14ac:dyDescent="0.45">
      <c r="A3" s="21" t="s">
        <v>8</v>
      </c>
      <c r="B3" s="133">
        <v>270</v>
      </c>
      <c r="C3" s="134"/>
      <c r="E3" s="29" t="s">
        <v>72</v>
      </c>
      <c r="F3" s="26" t="s">
        <v>27</v>
      </c>
      <c r="G3" s="14">
        <v>41</v>
      </c>
      <c r="H3" s="92">
        <f>IF(B$19=0,0,G3/B$19)</f>
        <v>0.55405405405405406</v>
      </c>
      <c r="I3" s="60">
        <v>6</v>
      </c>
      <c r="K3" s="7">
        <v>1</v>
      </c>
      <c r="L3" s="65">
        <v>-55.5</v>
      </c>
      <c r="N3" s="78" t="s">
        <v>129</v>
      </c>
      <c r="O3" s="84">
        <f t="shared" si="0"/>
        <v>1852.9411764705883</v>
      </c>
      <c r="P3" s="81">
        <v>34</v>
      </c>
      <c r="Q3" s="68">
        <v>63000</v>
      </c>
    </row>
    <row r="4" spans="1:17" x14ac:dyDescent="0.45">
      <c r="A4" s="21" t="s">
        <v>6</v>
      </c>
      <c r="B4" s="135">
        <v>-288.2999999999999</v>
      </c>
      <c r="C4" s="136"/>
      <c r="E4" s="29" t="s">
        <v>160</v>
      </c>
      <c r="F4" s="26" t="s">
        <v>161</v>
      </c>
      <c r="G4" s="14">
        <v>36</v>
      </c>
      <c r="H4" s="92">
        <f>IF(B$19=0,0,G4/B$19)</f>
        <v>0.48648648648648651</v>
      </c>
      <c r="I4" s="60">
        <v>2</v>
      </c>
      <c r="K4" s="7">
        <v>2</v>
      </c>
      <c r="L4" s="65">
        <v>-106.5</v>
      </c>
      <c r="N4" s="78" t="s">
        <v>130</v>
      </c>
      <c r="O4" s="84">
        <f t="shared" si="0"/>
        <v>-2203.125</v>
      </c>
      <c r="P4" s="81">
        <v>32</v>
      </c>
      <c r="Q4" s="68">
        <v>-70500</v>
      </c>
    </row>
    <row r="5" spans="1:17" x14ac:dyDescent="0.45">
      <c r="A5" s="21" t="s">
        <v>7</v>
      </c>
      <c r="B5" s="123">
        <f>IF(B$2=0,0,B$4/B$2)</f>
        <v>-8.2371428571428549</v>
      </c>
      <c r="C5" s="124"/>
      <c r="E5" s="29" t="s">
        <v>64</v>
      </c>
      <c r="F5" s="26" t="s">
        <v>20</v>
      </c>
      <c r="G5" s="14">
        <v>31</v>
      </c>
      <c r="H5" s="92">
        <f>IF(B$19=0,0,G5/B$19)</f>
        <v>0.41891891891891891</v>
      </c>
      <c r="I5" s="60">
        <v>7</v>
      </c>
      <c r="K5" s="7">
        <v>3</v>
      </c>
      <c r="L5" s="65">
        <v>-108</v>
      </c>
      <c r="N5" s="78" t="s">
        <v>131</v>
      </c>
      <c r="O5" s="84">
        <f t="shared" si="0"/>
        <v>-1344.4444444444443</v>
      </c>
      <c r="P5" s="81">
        <v>27</v>
      </c>
      <c r="Q5" s="68">
        <v>-36300</v>
      </c>
    </row>
    <row r="6" spans="1:17" x14ac:dyDescent="0.45">
      <c r="A6" s="21" t="s">
        <v>1</v>
      </c>
      <c r="B6" s="137">
        <f>IF(B$2=0,0,(B$7*1+B$8*2+B$9*3)/B$2)</f>
        <v>2.3142857142857145</v>
      </c>
      <c r="C6" s="138"/>
      <c r="E6" s="29" t="s">
        <v>68</v>
      </c>
      <c r="F6" s="26" t="s">
        <v>12</v>
      </c>
      <c r="G6" s="14">
        <v>21</v>
      </c>
      <c r="H6" s="92">
        <f>IF(B$19=0,0,G6/B$19)</f>
        <v>0.28378378378378377</v>
      </c>
      <c r="I6" s="60">
        <v>6</v>
      </c>
      <c r="K6" s="7">
        <v>4</v>
      </c>
      <c r="L6" s="65">
        <v>-115.5</v>
      </c>
      <c r="N6" s="78" t="s">
        <v>132</v>
      </c>
      <c r="O6" s="84">
        <f t="shared" si="0"/>
        <v>3139.1304347826085</v>
      </c>
      <c r="P6" s="81">
        <v>23</v>
      </c>
      <c r="Q6" s="68">
        <v>72200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0.17142857142857143</v>
      </c>
      <c r="E7" s="29" t="s">
        <v>67</v>
      </c>
      <c r="F7" s="26" t="s">
        <v>23</v>
      </c>
      <c r="G7" s="14">
        <v>18</v>
      </c>
      <c r="H7" s="92">
        <f>IF(B$19=0,0,G7/B$19)</f>
        <v>0.24324324324324326</v>
      </c>
      <c r="I7" s="60">
        <v>7</v>
      </c>
      <c r="K7" s="7">
        <v>5</v>
      </c>
      <c r="L7" s="65">
        <v>-116</v>
      </c>
      <c r="N7" s="79" t="s">
        <v>133</v>
      </c>
      <c r="O7" s="85">
        <f t="shared" si="0"/>
        <v>-4047.3684210526317</v>
      </c>
      <c r="P7" s="82">
        <v>19</v>
      </c>
      <c r="Q7" s="69">
        <v>-76900</v>
      </c>
    </row>
    <row r="8" spans="1:17" x14ac:dyDescent="0.45">
      <c r="A8" s="21" t="s">
        <v>3</v>
      </c>
      <c r="B8" s="14">
        <v>12</v>
      </c>
      <c r="C8" s="8">
        <f t="shared" si="1"/>
        <v>0.34285714285714286</v>
      </c>
      <c r="E8" s="29" t="s">
        <v>69</v>
      </c>
      <c r="F8" s="26" t="s">
        <v>24</v>
      </c>
      <c r="G8" s="14">
        <v>9</v>
      </c>
      <c r="H8" s="92">
        <f>IF(B$19=0,0,G8/B$19)</f>
        <v>0.12162162162162163</v>
      </c>
      <c r="I8" s="60">
        <v>7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17</v>
      </c>
      <c r="C9" s="9">
        <f t="shared" si="1"/>
        <v>0.48571428571428571</v>
      </c>
      <c r="E9" s="29" t="s">
        <v>89</v>
      </c>
      <c r="F9" s="26" t="s">
        <v>44</v>
      </c>
      <c r="G9" s="14">
        <v>9</v>
      </c>
      <c r="H9" s="92">
        <f>IF(B$19=0,0,G9/B$19)</f>
        <v>0.12162162162162163</v>
      </c>
      <c r="I9" s="60">
        <v>7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48.816666666666663</v>
      </c>
      <c r="C10" s="114">
        <v>292.89999999999998</v>
      </c>
      <c r="E10" s="29" t="s">
        <v>70</v>
      </c>
      <c r="F10" s="26" t="s">
        <v>25</v>
      </c>
      <c r="G10" s="14">
        <v>8</v>
      </c>
      <c r="H10" s="92">
        <f>IF(B$19=0,0,G10/B$19)</f>
        <v>0.10810810810810811</v>
      </c>
      <c r="I10" s="60">
        <v>4</v>
      </c>
      <c r="K10" s="7">
        <v>8</v>
      </c>
      <c r="L10" s="65">
        <v>-157.19999999999999</v>
      </c>
      <c r="N10" s="77" t="s">
        <v>152</v>
      </c>
      <c r="O10" s="86">
        <f>IF(P10=0,0,Q10/P10)</f>
        <v>-24.983333333333331</v>
      </c>
      <c r="P10" s="80">
        <v>12</v>
      </c>
      <c r="Q10" s="71">
        <v>-299.79999999999995</v>
      </c>
    </row>
    <row r="11" spans="1:17" x14ac:dyDescent="0.45">
      <c r="A11" s="22" t="s">
        <v>186</v>
      </c>
      <c r="B11" s="113">
        <f>IF(B8=0,0,C11/B8)</f>
        <v>-1.2333333333333336</v>
      </c>
      <c r="C11" s="114">
        <v>-14.800000000000002</v>
      </c>
      <c r="E11" s="29" t="s">
        <v>65</v>
      </c>
      <c r="F11" s="26" t="s">
        <v>21</v>
      </c>
      <c r="G11" s="14">
        <v>5</v>
      </c>
      <c r="H11" s="92">
        <f>IF(B$19=0,0,G11/B$19)</f>
        <v>6.7567567567567571E-2</v>
      </c>
      <c r="I11" s="60">
        <v>10</v>
      </c>
      <c r="K11" s="7">
        <v>9</v>
      </c>
      <c r="L11" s="65">
        <v>-172.39999999999998</v>
      </c>
      <c r="N11" s="78" t="s">
        <v>153</v>
      </c>
      <c r="O11" s="87">
        <f>IF(P11=0,0,Q11/P11)</f>
        <v>-7.8461538461538458</v>
      </c>
      <c r="P11" s="81">
        <v>13</v>
      </c>
      <c r="Q11" s="72">
        <v>-102</v>
      </c>
    </row>
    <row r="12" spans="1:17" x14ac:dyDescent="0.45">
      <c r="A12" s="22" t="s">
        <v>187</v>
      </c>
      <c r="B12" s="113">
        <f>IF(B9=0,0,C12/B9)</f>
        <v>-33.317647058823532</v>
      </c>
      <c r="C12" s="114">
        <v>-566.40000000000009</v>
      </c>
      <c r="E12" s="29" t="s">
        <v>71</v>
      </c>
      <c r="F12" s="26" t="s">
        <v>26</v>
      </c>
      <c r="G12" s="14">
        <v>4</v>
      </c>
      <c r="H12" s="92">
        <f>IF(B$19=0,0,G12/B$19)</f>
        <v>5.4054054054054057E-2</v>
      </c>
      <c r="I12" s="60">
        <v>7</v>
      </c>
      <c r="K12" s="7">
        <v>10</v>
      </c>
      <c r="L12" s="65">
        <v>-217.59999999999997</v>
      </c>
      <c r="N12" s="79" t="s">
        <v>154</v>
      </c>
      <c r="O12" s="88">
        <f>IF(P12=0,0,Q12/P12)</f>
        <v>11.35</v>
      </c>
      <c r="P12" s="82">
        <v>10</v>
      </c>
      <c r="Q12" s="73">
        <v>113.5</v>
      </c>
    </row>
    <row r="13" spans="1:17" x14ac:dyDescent="0.45">
      <c r="A13" s="22" t="s">
        <v>188</v>
      </c>
      <c r="B13" s="123">
        <f>AVERAGE(B10:B12)</f>
        <v>4.755228758169932</v>
      </c>
      <c r="C13" s="124"/>
      <c r="E13" s="29" t="s">
        <v>86</v>
      </c>
      <c r="F13" s="26" t="s">
        <v>41</v>
      </c>
      <c r="G13" s="14">
        <v>4</v>
      </c>
      <c r="H13" s="92">
        <f>IF(B$19=0,0,G13/B$19)</f>
        <v>5.4054054054054057E-2</v>
      </c>
      <c r="I13" s="60">
        <v>5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0.17142857142857143</v>
      </c>
      <c r="E14" s="29" t="s">
        <v>78</v>
      </c>
      <c r="F14" s="26" t="s">
        <v>33</v>
      </c>
      <c r="G14" s="14">
        <v>3</v>
      </c>
      <c r="H14" s="92">
        <f>IF(B$19=0,0,G14/B$19)</f>
        <v>4.0540540540540543E-2</v>
      </c>
      <c r="I14" s="60">
        <v>3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58</v>
      </c>
      <c r="C15" s="12">
        <f>IF(B$3=0,0,B15/B$3)</f>
        <v>0.21481481481481482</v>
      </c>
      <c r="E15" s="29" t="s">
        <v>81</v>
      </c>
      <c r="F15" s="26" t="s">
        <v>36</v>
      </c>
      <c r="G15" s="14">
        <v>2</v>
      </c>
      <c r="H15" s="92">
        <f>IF(B$19=0,0,G15/B$19)</f>
        <v>2.7027027027027029E-2</v>
      </c>
      <c r="I15" s="60">
        <v>5</v>
      </c>
      <c r="K15" s="7">
        <v>13</v>
      </c>
      <c r="L15" s="65">
        <v>-280.59999999999997</v>
      </c>
      <c r="N15" s="77" t="s">
        <v>164</v>
      </c>
      <c r="O15" s="86">
        <f t="shared" ref="O15:O20" si="2">IF(P15=0,0,Q15/P15)</f>
        <v>19.970000000000006</v>
      </c>
      <c r="P15" s="80">
        <v>10</v>
      </c>
      <c r="Q15" s="71">
        <v>199.70000000000005</v>
      </c>
    </row>
    <row r="16" spans="1:17" x14ac:dyDescent="0.45">
      <c r="A16" s="21" t="s">
        <v>118</v>
      </c>
      <c r="B16" s="14">
        <v>45</v>
      </c>
      <c r="C16" s="8">
        <f>IF(B$3=0,0,B16/B$3)</f>
        <v>0.16666666666666666</v>
      </c>
      <c r="E16" s="29" t="s">
        <v>87</v>
      </c>
      <c r="F16" s="26" t="s">
        <v>42</v>
      </c>
      <c r="G16" s="14">
        <v>1</v>
      </c>
      <c r="H16" s="92">
        <f>IF(B$19=0,0,G16/B$19)</f>
        <v>1.3513513513513514E-2</v>
      </c>
      <c r="I16" s="60">
        <v>1</v>
      </c>
      <c r="K16" s="7">
        <v>14</v>
      </c>
      <c r="L16" s="65">
        <v>-330.7</v>
      </c>
      <c r="N16" s="78" t="s">
        <v>192</v>
      </c>
      <c r="O16" s="87">
        <f t="shared" si="2"/>
        <v>-4.0250000000000004</v>
      </c>
      <c r="P16" s="81">
        <v>16</v>
      </c>
      <c r="Q16" s="72">
        <v>-64.400000000000006</v>
      </c>
    </row>
    <row r="17" spans="1:17" x14ac:dyDescent="0.45">
      <c r="A17" s="20" t="s">
        <v>123</v>
      </c>
      <c r="B17" s="13">
        <f>B23</f>
        <v>29</v>
      </c>
      <c r="C17" s="6">
        <f>IF(B$15=0,0,B17/B$15)</f>
        <v>0.5</v>
      </c>
      <c r="E17" s="29" t="s">
        <v>91</v>
      </c>
      <c r="F17" s="26" t="s">
        <v>46</v>
      </c>
      <c r="G17" s="14">
        <v>1</v>
      </c>
      <c r="H17" s="92">
        <f>IF(B$19=0,0,G17/B$19)</f>
        <v>1.3513513513513514E-2</v>
      </c>
      <c r="I17" s="60">
        <v>4</v>
      </c>
      <c r="K17" s="7">
        <v>15</v>
      </c>
      <c r="L17" s="65">
        <v>-284.09999999999997</v>
      </c>
      <c r="N17" s="78" t="s">
        <v>205</v>
      </c>
      <c r="O17" s="87">
        <f t="shared" si="2"/>
        <v>-4.1272727272727261</v>
      </c>
      <c r="P17" s="81">
        <v>11</v>
      </c>
      <c r="Q17" s="72">
        <v>-45.399999999999991</v>
      </c>
    </row>
    <row r="18" spans="1:17" x14ac:dyDescent="0.45">
      <c r="A18" s="20" t="s">
        <v>124</v>
      </c>
      <c r="B18" s="13">
        <f>B24</f>
        <v>26</v>
      </c>
      <c r="C18" s="6">
        <f>IF(B$16=0,0,B18/B$16)</f>
        <v>0.57777777777777772</v>
      </c>
      <c r="E18" s="29" t="s">
        <v>92</v>
      </c>
      <c r="F18" s="26" t="s">
        <v>47</v>
      </c>
      <c r="G18" s="14">
        <v>1</v>
      </c>
      <c r="H18" s="92">
        <f>IF(B$19=0,0,G18/B$19)</f>
        <v>1.3513513513513514E-2</v>
      </c>
      <c r="I18" s="60">
        <v>4</v>
      </c>
      <c r="K18" s="7">
        <v>16</v>
      </c>
      <c r="L18" s="65">
        <v>-234.59999999999997</v>
      </c>
      <c r="N18" s="78" t="s">
        <v>196</v>
      </c>
      <c r="O18" s="87">
        <f t="shared" si="2"/>
        <v>-20.5</v>
      </c>
      <c r="P18" s="81">
        <v>1</v>
      </c>
      <c r="Q18" s="72">
        <v>-20.5</v>
      </c>
    </row>
    <row r="19" spans="1:17" x14ac:dyDescent="0.45">
      <c r="A19" s="20" t="s">
        <v>10</v>
      </c>
      <c r="B19" s="13">
        <f>B22+B21</f>
        <v>74</v>
      </c>
      <c r="C19" s="6">
        <f>IF(B$3=0,0,B19/B$3)</f>
        <v>0.27407407407407408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-233.19999999999996</v>
      </c>
      <c r="N19" s="78" t="s">
        <v>126</v>
      </c>
      <c r="O19" s="87">
        <f t="shared" si="2"/>
        <v>-22.18571428571429</v>
      </c>
      <c r="P19" s="81">
        <v>21</v>
      </c>
      <c r="Q19" s="72">
        <v>-465.90000000000009</v>
      </c>
    </row>
    <row r="20" spans="1:17" x14ac:dyDescent="0.45">
      <c r="A20" s="21" t="s">
        <v>13</v>
      </c>
      <c r="B20" s="14">
        <v>46</v>
      </c>
      <c r="C20" s="8">
        <f>IF(B$3=0,0,B20/B$3)</f>
        <v>0.17037037037037037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3</v>
      </c>
      <c r="K20" s="7">
        <v>18</v>
      </c>
      <c r="L20" s="65">
        <v>-154.09999999999997</v>
      </c>
      <c r="N20" s="78" t="s">
        <v>193</v>
      </c>
      <c r="O20" s="87">
        <f t="shared" si="2"/>
        <v>-42.581818181818178</v>
      </c>
      <c r="P20" s="81">
        <v>11</v>
      </c>
      <c r="Q20" s="72">
        <v>-468.4</v>
      </c>
    </row>
    <row r="21" spans="1:17" x14ac:dyDescent="0.45">
      <c r="A21" s="21" t="s">
        <v>12</v>
      </c>
      <c r="B21" s="14">
        <v>36</v>
      </c>
      <c r="C21" s="8">
        <f>IF(B$19=0,0,B21/B$19)</f>
        <v>0.48648648648648651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-167.29999999999995</v>
      </c>
    </row>
    <row r="22" spans="1:17" x14ac:dyDescent="0.45">
      <c r="A22" s="21" t="s">
        <v>11</v>
      </c>
      <c r="B22" s="14">
        <v>38</v>
      </c>
      <c r="C22" s="8">
        <f>IF(B$19=0,0,B22/B$19)</f>
        <v>0.51351351351351349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45">
      <c r="A23" s="21" t="s">
        <v>184</v>
      </c>
      <c r="B23" s="14">
        <v>29</v>
      </c>
      <c r="C23" s="8">
        <f>IF(B$19=0,0,B23/B$19)</f>
        <v>0.39189189189189189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6</v>
      </c>
      <c r="K23" s="7">
        <v>21</v>
      </c>
      <c r="L23" s="65">
        <v>-225.09999999999997</v>
      </c>
    </row>
    <row r="24" spans="1:17" x14ac:dyDescent="0.45">
      <c r="A24" s="21" t="s">
        <v>182</v>
      </c>
      <c r="B24" s="14">
        <v>26</v>
      </c>
      <c r="C24" s="8">
        <f>IF(B$19=0,0,B24/B$19)</f>
        <v>0.35135135135135137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7</v>
      </c>
      <c r="K24" s="7">
        <v>22</v>
      </c>
      <c r="L24" s="65">
        <v>-290.29999999999995</v>
      </c>
    </row>
    <row r="25" spans="1:17" x14ac:dyDescent="0.45">
      <c r="A25" s="21" t="s">
        <v>183</v>
      </c>
      <c r="B25" s="14">
        <v>19</v>
      </c>
      <c r="C25" s="8">
        <f>IF(B$19=0,0,B25/B$19)</f>
        <v>0.25675675675675674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-232.39999999999995</v>
      </c>
    </row>
    <row r="26" spans="1:17" x14ac:dyDescent="0.45">
      <c r="A26" s="21" t="s">
        <v>5</v>
      </c>
      <c r="B26" s="18">
        <f>IF(B$19=0,0,C26/B$19)</f>
        <v>7848.6486486486483</v>
      </c>
      <c r="C26" s="10">
        <v>580800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5">
      <c r="A27" s="22" t="s">
        <v>166</v>
      </c>
      <c r="B27" s="99">
        <f>IF($B$19-B$18=0,0,C27/($B$19-B$18))</f>
        <v>9364.5833333333339</v>
      </c>
      <c r="C27" s="100">
        <v>449500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  <c r="K27" s="7">
        <v>25</v>
      </c>
      <c r="L27" s="65">
        <v>-227.29999999999993</v>
      </c>
    </row>
    <row r="28" spans="1:17" x14ac:dyDescent="0.45">
      <c r="A28" s="22" t="s">
        <v>167</v>
      </c>
      <c r="B28" s="99">
        <f>IF(B$18=0,0,C28/B$18)</f>
        <v>5050</v>
      </c>
      <c r="C28" s="100">
        <v>131300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-260.29999999999995</v>
      </c>
    </row>
    <row r="29" spans="1:17" x14ac:dyDescent="0.45">
      <c r="A29" s="22" t="s">
        <v>165</v>
      </c>
      <c r="B29" s="99">
        <f>IF(B$20=0,0,C29/B$20)</f>
        <v>-7428.260869565217</v>
      </c>
      <c r="C29" s="100">
        <v>-341700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-225.79999999999995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-222.39999999999995</v>
      </c>
    </row>
    <row r="31" spans="1:17" x14ac:dyDescent="0.45">
      <c r="A31" s="21" t="s">
        <v>159</v>
      </c>
      <c r="B31" s="14">
        <v>26</v>
      </c>
      <c r="C31" s="94">
        <v>7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-243.09999999999994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-270.19999999999993</v>
      </c>
    </row>
    <row r="33" spans="1:12" x14ac:dyDescent="0.45">
      <c r="A33" s="24" t="s">
        <v>181</v>
      </c>
      <c r="B33" s="127">
        <v>104100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-285.89999999999992</v>
      </c>
    </row>
    <row r="34" spans="1:12" x14ac:dyDescent="0.45">
      <c r="A34" s="23" t="s">
        <v>137</v>
      </c>
      <c r="B34" s="31">
        <v>1</v>
      </c>
      <c r="C34" s="11">
        <f>IF(B$3=0,0,B34/B$3)</f>
        <v>3.7037037037037038E-3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-277.49999999999994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-276.19999999999993</v>
      </c>
    </row>
    <row r="36" spans="1:12" x14ac:dyDescent="0.45">
      <c r="A36" s="56" t="s">
        <v>172</v>
      </c>
      <c r="B36" s="121">
        <v>10</v>
      </c>
      <c r="C36" s="102">
        <f t="shared" ref="C36:C48" si="3">IF(B$19=0,0,B36/B$19)</f>
        <v>0.13513513513513514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-295.39999999999992</v>
      </c>
    </row>
    <row r="37" spans="1:12" x14ac:dyDescent="0.45">
      <c r="A37" s="21" t="s">
        <v>168</v>
      </c>
      <c r="B37" s="14">
        <v>15</v>
      </c>
      <c r="C37" s="8">
        <f t="shared" si="3"/>
        <v>0.20270270270270271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-288.2999999999999</v>
      </c>
    </row>
    <row r="38" spans="1:12" x14ac:dyDescent="0.45">
      <c r="A38" s="21" t="s">
        <v>169</v>
      </c>
      <c r="B38" s="122">
        <v>15</v>
      </c>
      <c r="C38" s="8">
        <f t="shared" si="3"/>
        <v>0.20270270270270271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170</v>
      </c>
      <c r="B39" s="122">
        <v>9</v>
      </c>
      <c r="C39" s="8">
        <f t="shared" si="3"/>
        <v>0.12162162162162163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6</v>
      </c>
      <c r="C40" s="8">
        <f t="shared" si="3"/>
        <v>8.1081081081081086E-2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11</v>
      </c>
      <c r="C41" s="8">
        <f t="shared" si="3"/>
        <v>0.14864864864864866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12" x14ac:dyDescent="0.45">
      <c r="A42" s="21" t="s">
        <v>174</v>
      </c>
      <c r="B42" s="122">
        <v>4</v>
      </c>
      <c r="C42" s="8">
        <f t="shared" si="3"/>
        <v>5.4054054054054057E-2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175</v>
      </c>
      <c r="B43" s="122">
        <v>1</v>
      </c>
      <c r="C43" s="8">
        <f t="shared" si="3"/>
        <v>1.3513513513513514E-2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3"/>
        <v>1.3513513513513514E-2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3"/>
        <v>1.3513513513513514E-2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1.3513513513513514E-2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2D5FA-3F71-4EA1-B049-0D5B81FFA4EC}">
  <sheetPr codeName="Sheet15"/>
  <dimension ref="A1:Q57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55</v>
      </c>
      <c r="C2" s="132"/>
      <c r="E2" s="28" t="s">
        <v>72</v>
      </c>
      <c r="F2" s="25" t="s">
        <v>27</v>
      </c>
      <c r="G2" s="13">
        <v>88</v>
      </c>
      <c r="H2" s="91">
        <f>IF(B$19=0,0,G2/B$19)</f>
        <v>0.69291338582677164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-131.4814814814815</v>
      </c>
      <c r="P2" s="80">
        <v>54</v>
      </c>
      <c r="Q2" s="67">
        <v>-7100</v>
      </c>
    </row>
    <row r="3" spans="1:17" x14ac:dyDescent="0.45">
      <c r="A3" s="21" t="s">
        <v>8</v>
      </c>
      <c r="B3" s="133">
        <v>446</v>
      </c>
      <c r="C3" s="134"/>
      <c r="E3" s="29" t="s">
        <v>66</v>
      </c>
      <c r="F3" s="26" t="s">
        <v>22</v>
      </c>
      <c r="G3" s="14">
        <v>84</v>
      </c>
      <c r="H3" s="92">
        <f>IF(B$19=0,0,G3/B$19)</f>
        <v>0.66141732283464572</v>
      </c>
      <c r="I3" s="60">
        <v>7</v>
      </c>
      <c r="K3" s="7">
        <v>1</v>
      </c>
      <c r="L3" s="65">
        <v>-0.5</v>
      </c>
      <c r="N3" s="78" t="s">
        <v>129</v>
      </c>
      <c r="O3" s="84">
        <f t="shared" si="0"/>
        <v>-207.40740740740742</v>
      </c>
      <c r="P3" s="81">
        <v>54</v>
      </c>
      <c r="Q3" s="68">
        <v>-11200</v>
      </c>
    </row>
    <row r="4" spans="1:17" x14ac:dyDescent="0.45">
      <c r="A4" s="21" t="s">
        <v>6</v>
      </c>
      <c r="B4" s="135">
        <v>-68.199999999999974</v>
      </c>
      <c r="C4" s="136"/>
      <c r="E4" s="29" t="s">
        <v>64</v>
      </c>
      <c r="F4" s="26" t="s">
        <v>20</v>
      </c>
      <c r="G4" s="14">
        <v>56</v>
      </c>
      <c r="H4" s="92">
        <f>IF(B$19=0,0,G4/B$19)</f>
        <v>0.44094488188976377</v>
      </c>
      <c r="I4" s="60">
        <v>5</v>
      </c>
      <c r="K4" s="7">
        <v>2</v>
      </c>
      <c r="L4" s="65">
        <v>-62.8</v>
      </c>
      <c r="N4" s="78" t="s">
        <v>130</v>
      </c>
      <c r="O4" s="84">
        <f t="shared" si="0"/>
        <v>-538.88888888888891</v>
      </c>
      <c r="P4" s="81">
        <v>54</v>
      </c>
      <c r="Q4" s="68">
        <v>-29100</v>
      </c>
    </row>
    <row r="5" spans="1:17" x14ac:dyDescent="0.45">
      <c r="A5" s="21" t="s">
        <v>7</v>
      </c>
      <c r="B5" s="123">
        <f>IF(B$2=0,0,B$4/B$2)</f>
        <v>-1.2399999999999995</v>
      </c>
      <c r="C5" s="124"/>
      <c r="E5" s="29" t="s">
        <v>160</v>
      </c>
      <c r="F5" s="26" t="s">
        <v>161</v>
      </c>
      <c r="G5" s="14">
        <v>50</v>
      </c>
      <c r="H5" s="92">
        <f>IF(B$19=0,0,G5/B$19)</f>
        <v>0.39370078740157483</v>
      </c>
      <c r="I5" s="60">
        <v>8</v>
      </c>
      <c r="K5" s="7">
        <v>3</v>
      </c>
      <c r="L5" s="65">
        <v>-48.5</v>
      </c>
      <c r="N5" s="78" t="s">
        <v>131</v>
      </c>
      <c r="O5" s="84">
        <f t="shared" si="0"/>
        <v>1413.7254901960785</v>
      </c>
      <c r="P5" s="81">
        <v>51</v>
      </c>
      <c r="Q5" s="68">
        <v>72100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67</v>
      </c>
      <c r="F6" s="26" t="s">
        <v>23</v>
      </c>
      <c r="G6" s="14">
        <v>31</v>
      </c>
      <c r="H6" s="92">
        <f>IF(B$19=0,0,G6/B$19)</f>
        <v>0.24409448818897639</v>
      </c>
      <c r="I6" s="60">
        <v>6</v>
      </c>
      <c r="K6" s="7">
        <v>4</v>
      </c>
      <c r="L6" s="65">
        <v>-75.599999999999994</v>
      </c>
      <c r="N6" s="78" t="s">
        <v>132</v>
      </c>
      <c r="O6" s="84">
        <f t="shared" si="0"/>
        <v>-986.95652173913038</v>
      </c>
      <c r="P6" s="81">
        <v>46</v>
      </c>
      <c r="Q6" s="68">
        <v>-45400</v>
      </c>
    </row>
    <row r="7" spans="1:17" x14ac:dyDescent="0.45">
      <c r="A7" s="21" t="s">
        <v>2</v>
      </c>
      <c r="B7" s="14">
        <v>18</v>
      </c>
      <c r="C7" s="8">
        <f t="shared" ref="C7:C14" si="1">IF(B$2=0,0,B7/B$2)</f>
        <v>0.32727272727272727</v>
      </c>
      <c r="E7" s="29" t="s">
        <v>68</v>
      </c>
      <c r="F7" s="26" t="s">
        <v>12</v>
      </c>
      <c r="G7" s="14">
        <v>30</v>
      </c>
      <c r="H7" s="92">
        <f>IF(B$19=0,0,G7/B$19)</f>
        <v>0.23622047244094488</v>
      </c>
      <c r="I7" s="60">
        <v>8</v>
      </c>
      <c r="K7" s="7">
        <v>5</v>
      </c>
      <c r="L7" s="65">
        <v>-96.5</v>
      </c>
      <c r="N7" s="79" t="s">
        <v>133</v>
      </c>
      <c r="O7" s="85">
        <f t="shared" si="0"/>
        <v>-1566.6666666666667</v>
      </c>
      <c r="P7" s="82">
        <v>36</v>
      </c>
      <c r="Q7" s="69">
        <v>-56400</v>
      </c>
    </row>
    <row r="8" spans="1:17" x14ac:dyDescent="0.45">
      <c r="A8" s="21" t="s">
        <v>3</v>
      </c>
      <c r="B8" s="14">
        <v>19</v>
      </c>
      <c r="C8" s="8">
        <f t="shared" si="1"/>
        <v>0.34545454545454546</v>
      </c>
      <c r="E8" s="29" t="s">
        <v>89</v>
      </c>
      <c r="F8" s="26" t="s">
        <v>44</v>
      </c>
      <c r="G8" s="14">
        <v>15</v>
      </c>
      <c r="H8" s="92">
        <f>IF(B$19=0,0,G8/B$19)</f>
        <v>0.11811023622047244</v>
      </c>
      <c r="I8" s="60">
        <v>8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18</v>
      </c>
      <c r="C9" s="9">
        <f t="shared" si="1"/>
        <v>0.32727272727272727</v>
      </c>
      <c r="E9" s="29" t="s">
        <v>69</v>
      </c>
      <c r="F9" s="26" t="s">
        <v>24</v>
      </c>
      <c r="G9" s="14">
        <v>13</v>
      </c>
      <c r="H9" s="92">
        <f>IF(B$19=0,0,G9/B$19)</f>
        <v>0.10236220472440945</v>
      </c>
      <c r="I9" s="60">
        <v>8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36.250000000000007</v>
      </c>
      <c r="C10" s="114">
        <v>652.50000000000011</v>
      </c>
      <c r="E10" s="29" t="s">
        <v>65</v>
      </c>
      <c r="F10" s="26" t="s">
        <v>21</v>
      </c>
      <c r="G10" s="14">
        <v>9</v>
      </c>
      <c r="H10" s="92">
        <f>IF(B$19=0,0,G10/B$19)</f>
        <v>7.0866141732283464E-2</v>
      </c>
      <c r="I10" s="60">
        <v>9</v>
      </c>
      <c r="K10" s="7">
        <v>8</v>
      </c>
      <c r="L10" s="65">
        <v>-28.3</v>
      </c>
      <c r="N10" s="77" t="s">
        <v>152</v>
      </c>
      <c r="O10" s="86">
        <f>IF(P10=0,0,Q10/P10)</f>
        <v>-6.666666666666667</v>
      </c>
      <c r="P10" s="80">
        <v>18</v>
      </c>
      <c r="Q10" s="71">
        <v>-120</v>
      </c>
    </row>
    <row r="11" spans="1:17" x14ac:dyDescent="0.45">
      <c r="A11" s="22" t="s">
        <v>186</v>
      </c>
      <c r="B11" s="113">
        <f>IF(B8=0,0,C11/B8)</f>
        <v>-3.3157894736842106</v>
      </c>
      <c r="C11" s="114">
        <v>-63</v>
      </c>
      <c r="E11" s="29" t="s">
        <v>71</v>
      </c>
      <c r="F11" s="26" t="s">
        <v>26</v>
      </c>
      <c r="G11" s="14">
        <v>8</v>
      </c>
      <c r="H11" s="92">
        <f>IF(B$19=0,0,G11/B$19)</f>
        <v>6.2992125984251968E-2</v>
      </c>
      <c r="I11" s="60">
        <v>4</v>
      </c>
      <c r="K11" s="7">
        <v>9</v>
      </c>
      <c r="L11" s="65">
        <v>-20.3</v>
      </c>
      <c r="N11" s="78" t="s">
        <v>153</v>
      </c>
      <c r="O11" s="87">
        <f>IF(P11=0,0,Q11/P11)</f>
        <v>-1.357894736842105</v>
      </c>
      <c r="P11" s="81">
        <v>19</v>
      </c>
      <c r="Q11" s="72">
        <v>-25.799999999999997</v>
      </c>
    </row>
    <row r="12" spans="1:17" x14ac:dyDescent="0.45">
      <c r="A12" s="22" t="s">
        <v>187</v>
      </c>
      <c r="B12" s="113">
        <f>IF(B9=0,0,C12/B9)</f>
        <v>-36.538888888888884</v>
      </c>
      <c r="C12" s="114">
        <v>-657.69999999999993</v>
      </c>
      <c r="E12" s="29" t="s">
        <v>83</v>
      </c>
      <c r="F12" s="26" t="s">
        <v>38</v>
      </c>
      <c r="G12" s="14">
        <v>8</v>
      </c>
      <c r="H12" s="92">
        <f>IF(B$19=0,0,G12/B$19)</f>
        <v>6.2992125984251968E-2</v>
      </c>
      <c r="I12" s="60">
        <v>2</v>
      </c>
      <c r="K12" s="7">
        <v>10</v>
      </c>
      <c r="L12" s="65">
        <v>-14.9</v>
      </c>
      <c r="N12" s="79" t="s">
        <v>154</v>
      </c>
      <c r="O12" s="88">
        <f>IF(P12=0,0,Q12/P12)</f>
        <v>4.3111111111111127</v>
      </c>
      <c r="P12" s="82">
        <v>18</v>
      </c>
      <c r="Q12" s="73">
        <v>77.600000000000023</v>
      </c>
    </row>
    <row r="13" spans="1:17" x14ac:dyDescent="0.45">
      <c r="A13" s="22" t="s">
        <v>188</v>
      </c>
      <c r="B13" s="123">
        <f>AVERAGE(B10:B12)</f>
        <v>-1.2015594541910299</v>
      </c>
      <c r="C13" s="124"/>
      <c r="E13" s="29" t="s">
        <v>70</v>
      </c>
      <c r="F13" s="26" t="s">
        <v>25</v>
      </c>
      <c r="G13" s="14">
        <v>7</v>
      </c>
      <c r="H13" s="92">
        <f>IF(B$19=0,0,G13/B$19)</f>
        <v>5.5118110236220472E-2</v>
      </c>
      <c r="I13" s="60">
        <v>7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9.0909090909090912E-2</v>
      </c>
      <c r="E14" s="29" t="s">
        <v>79</v>
      </c>
      <c r="F14" s="26" t="s">
        <v>34</v>
      </c>
      <c r="G14" s="14">
        <v>6</v>
      </c>
      <c r="H14" s="92">
        <f>IF(B$19=0,0,G14/B$19)</f>
        <v>4.7244094488188976E-2</v>
      </c>
      <c r="I14" s="60">
        <v>2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106</v>
      </c>
      <c r="C15" s="12">
        <f>IF(B$3=0,0,B15/B$3)</f>
        <v>0.23766816143497757</v>
      </c>
      <c r="E15" s="29" t="s">
        <v>78</v>
      </c>
      <c r="F15" s="26" t="s">
        <v>33</v>
      </c>
      <c r="G15" s="14">
        <v>5</v>
      </c>
      <c r="H15" s="92">
        <f>IF(B$19=0,0,G15/B$19)</f>
        <v>3.937007874015748E-2</v>
      </c>
      <c r="I15" s="60">
        <v>4</v>
      </c>
      <c r="K15" s="7">
        <v>13</v>
      </c>
      <c r="L15" s="65">
        <v>-125.89999999999999</v>
      </c>
      <c r="N15" s="77" t="s">
        <v>189</v>
      </c>
      <c r="O15" s="86">
        <f t="shared" ref="O15:O21" si="2"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115</v>
      </c>
      <c r="C16" s="8">
        <f>IF(B$3=0,0,B16/B$3)</f>
        <v>0.25784753363228702</v>
      </c>
      <c r="E16" s="29" t="s">
        <v>91</v>
      </c>
      <c r="F16" s="26" t="s">
        <v>46</v>
      </c>
      <c r="G16" s="14">
        <v>4</v>
      </c>
      <c r="H16" s="92">
        <f>IF(B$19=0,0,G16/B$19)</f>
        <v>3.1496062992125984E-2</v>
      </c>
      <c r="I16" s="60">
        <v>2</v>
      </c>
      <c r="K16" s="7">
        <v>14</v>
      </c>
      <c r="L16" s="65">
        <v>-149.39999999999998</v>
      </c>
      <c r="N16" s="78" t="s">
        <v>193</v>
      </c>
      <c r="O16" s="87">
        <f t="shared" si="2"/>
        <v>13.480000000000004</v>
      </c>
      <c r="P16" s="81">
        <v>20</v>
      </c>
      <c r="Q16" s="72">
        <v>269.60000000000008</v>
      </c>
    </row>
    <row r="17" spans="1:17" x14ac:dyDescent="0.45">
      <c r="A17" s="20" t="s">
        <v>123</v>
      </c>
      <c r="B17" s="13">
        <f>B23</f>
        <v>58</v>
      </c>
      <c r="C17" s="6">
        <f>IF(B$15=0,0,B17/B$15)</f>
        <v>0.54716981132075471</v>
      </c>
      <c r="E17" s="29" t="s">
        <v>81</v>
      </c>
      <c r="F17" s="26" t="s">
        <v>36</v>
      </c>
      <c r="G17" s="14">
        <v>3</v>
      </c>
      <c r="H17" s="92">
        <f>IF(B$19=0,0,G17/B$19)</f>
        <v>2.3622047244094488E-2</v>
      </c>
      <c r="I17" s="60">
        <v>6</v>
      </c>
      <c r="K17" s="7">
        <v>15</v>
      </c>
      <c r="L17" s="65">
        <v>-121.39999999999998</v>
      </c>
      <c r="N17" s="78" t="s">
        <v>205</v>
      </c>
      <c r="O17" s="87">
        <f t="shared" si="2"/>
        <v>5.2400000000000011</v>
      </c>
      <c r="P17" s="81">
        <v>10</v>
      </c>
      <c r="Q17" s="72">
        <v>52.400000000000013</v>
      </c>
    </row>
    <row r="18" spans="1:17" x14ac:dyDescent="0.45">
      <c r="A18" s="20" t="s">
        <v>124</v>
      </c>
      <c r="B18" s="13">
        <f>B24</f>
        <v>45</v>
      </c>
      <c r="C18" s="6">
        <f>IF(B$16=0,0,B18/B$16)</f>
        <v>0.39130434782608697</v>
      </c>
      <c r="E18" s="29" t="s">
        <v>86</v>
      </c>
      <c r="F18" s="26" t="s">
        <v>41</v>
      </c>
      <c r="G18" s="14">
        <v>3</v>
      </c>
      <c r="H18" s="92">
        <f>IF(B$19=0,0,G18/B$19)</f>
        <v>2.3622047244094488E-2</v>
      </c>
      <c r="I18" s="60">
        <v>8</v>
      </c>
      <c r="K18" s="7">
        <v>16</v>
      </c>
      <c r="L18" s="65">
        <v>-141.29999999999998</v>
      </c>
      <c r="N18" s="78" t="s">
        <v>164</v>
      </c>
      <c r="O18" s="87">
        <f t="shared" si="2"/>
        <v>4.5136363636363646</v>
      </c>
      <c r="P18" s="81">
        <v>22</v>
      </c>
      <c r="Q18" s="72">
        <v>99.300000000000026</v>
      </c>
    </row>
    <row r="19" spans="1:17" x14ac:dyDescent="0.45">
      <c r="A19" s="20" t="s">
        <v>10</v>
      </c>
      <c r="B19" s="13">
        <f>B22+B21</f>
        <v>127</v>
      </c>
      <c r="C19" s="6">
        <f>IF(B$3=0,0,B19/B$3)</f>
        <v>0.28475336322869954</v>
      </c>
      <c r="E19" s="29" t="s">
        <v>92</v>
      </c>
      <c r="F19" s="26" t="s">
        <v>47</v>
      </c>
      <c r="G19" s="14">
        <v>2</v>
      </c>
      <c r="H19" s="92">
        <f>IF(B$19=0,0,G19/B$19)</f>
        <v>1.5748031496062992E-2</v>
      </c>
      <c r="I19" s="60">
        <v>2</v>
      </c>
      <c r="K19" s="7">
        <v>17</v>
      </c>
      <c r="L19" s="65">
        <v>-149.1</v>
      </c>
      <c r="N19" s="78" t="s">
        <v>194</v>
      </c>
      <c r="O19" s="87">
        <f t="shared" si="2"/>
        <v>4.0250000000000021</v>
      </c>
      <c r="P19" s="81">
        <v>16</v>
      </c>
      <c r="Q19" s="72">
        <v>64.400000000000034</v>
      </c>
    </row>
    <row r="20" spans="1:17" x14ac:dyDescent="0.45">
      <c r="A20" s="21" t="s">
        <v>13</v>
      </c>
      <c r="B20" s="14">
        <v>52</v>
      </c>
      <c r="C20" s="8">
        <f>IF(B$3=0,0,B20/B$3)</f>
        <v>0.11659192825112108</v>
      </c>
      <c r="E20" s="29" t="s">
        <v>85</v>
      </c>
      <c r="F20" s="26" t="s">
        <v>40</v>
      </c>
      <c r="G20" s="14">
        <v>1</v>
      </c>
      <c r="H20" s="92">
        <f>IF(B$19=0,0,G20/B$19)</f>
        <v>7.874015748031496E-3</v>
      </c>
      <c r="I20" s="60">
        <v>2</v>
      </c>
      <c r="K20" s="7">
        <v>18</v>
      </c>
      <c r="L20" s="65">
        <v>-201.89999999999998</v>
      </c>
      <c r="N20" s="78" t="s">
        <v>196</v>
      </c>
      <c r="O20" s="87">
        <f t="shared" si="2"/>
        <v>-14.1625</v>
      </c>
      <c r="P20" s="81">
        <v>8</v>
      </c>
      <c r="Q20" s="72">
        <v>-113.3</v>
      </c>
    </row>
    <row r="21" spans="1:17" x14ac:dyDescent="0.45">
      <c r="A21" s="21" t="s">
        <v>12</v>
      </c>
      <c r="B21" s="14">
        <v>53</v>
      </c>
      <c r="C21" s="8">
        <f>IF(B$19=0,0,B21/B$19)</f>
        <v>0.41732283464566927</v>
      </c>
      <c r="E21" s="29" t="s">
        <v>156</v>
      </c>
      <c r="F21" s="26" t="s">
        <v>157</v>
      </c>
      <c r="G21" s="14">
        <v>1</v>
      </c>
      <c r="H21" s="92">
        <f>IF(B$19=0,0,G21/B$19)</f>
        <v>7.874015748031496E-3</v>
      </c>
      <c r="I21" s="60">
        <v>4</v>
      </c>
      <c r="K21" s="7">
        <v>19</v>
      </c>
      <c r="L21" s="65">
        <v>-152.39999999999998</v>
      </c>
      <c r="N21" s="78" t="s">
        <v>126</v>
      </c>
      <c r="O21" s="87">
        <f t="shared" si="2"/>
        <v>-20.896774193548389</v>
      </c>
      <c r="P21" s="81">
        <v>31</v>
      </c>
      <c r="Q21" s="72">
        <v>-647.80000000000007</v>
      </c>
    </row>
    <row r="22" spans="1:17" x14ac:dyDescent="0.45">
      <c r="A22" s="21" t="s">
        <v>11</v>
      </c>
      <c r="B22" s="14">
        <v>74</v>
      </c>
      <c r="C22" s="8">
        <f>IF(B$19=0,0,B22/B$19)</f>
        <v>0.58267716535433067</v>
      </c>
      <c r="E22" s="29" t="s">
        <v>73</v>
      </c>
      <c r="F22" s="26" t="s">
        <v>28</v>
      </c>
      <c r="G22" s="14">
        <v>0</v>
      </c>
      <c r="H22" s="92">
        <f>IF(B$19=0,0,G22/B$19)</f>
        <v>0</v>
      </c>
      <c r="I22" s="60">
        <v>4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58</v>
      </c>
      <c r="C23" s="8">
        <f>IF(B$19=0,0,B23/B$19)</f>
        <v>0.45669291338582679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3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45</v>
      </c>
      <c r="C24" s="8">
        <f>IF(B$19=0,0,B24/B$19)</f>
        <v>0.3543307086614173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24</v>
      </c>
      <c r="C25" s="8">
        <f>IF(B$19=0,0,B25/B$19)</f>
        <v>0.1889763779527559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7690.5511811023625</v>
      </c>
      <c r="C26" s="10">
        <v>976700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8148.7804878048782</v>
      </c>
      <c r="C27" s="100">
        <v>668200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6855.5555555555557</v>
      </c>
      <c r="C28" s="100">
        <v>308500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-7998.0769230769229</v>
      </c>
      <c r="C29" s="100">
        <v>-415900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8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3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27">
        <v>98700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11</v>
      </c>
      <c r="C36" s="102">
        <f t="shared" ref="C36:C48" si="3">IF(B$19=0,0,B36/B$19)</f>
        <v>8.6614173228346455E-2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24</v>
      </c>
      <c r="C37" s="8">
        <f t="shared" si="3"/>
        <v>0.1889763779527559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32</v>
      </c>
      <c r="C38" s="8">
        <f t="shared" si="3"/>
        <v>0.25196850393700787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21</v>
      </c>
      <c r="C39" s="8">
        <f t="shared" si="3"/>
        <v>0.16535433070866143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5">
      <c r="A40" s="21" t="s">
        <v>171</v>
      </c>
      <c r="B40" s="122">
        <v>12</v>
      </c>
      <c r="C40" s="8">
        <f t="shared" si="3"/>
        <v>9.4488188976377951E-2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5">
      <c r="A41" s="21" t="s">
        <v>173</v>
      </c>
      <c r="B41" s="122">
        <v>8</v>
      </c>
      <c r="C41" s="8">
        <f t="shared" si="3"/>
        <v>6.2992125984251968E-2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5">
      <c r="A42" s="21" t="s">
        <v>174</v>
      </c>
      <c r="B42" s="122">
        <v>8</v>
      </c>
      <c r="C42" s="8">
        <f t="shared" si="3"/>
        <v>6.2992125984251968E-2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5">
      <c r="A43" s="21" t="s">
        <v>175</v>
      </c>
      <c r="B43" s="122">
        <v>3</v>
      </c>
      <c r="C43" s="8">
        <f t="shared" si="3"/>
        <v>2.3622047244094488E-2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5">
      <c r="A44" s="21" t="s">
        <v>176</v>
      </c>
      <c r="B44" s="122">
        <v>2</v>
      </c>
      <c r="C44" s="8">
        <f t="shared" si="3"/>
        <v>1.5748031496062992E-2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5">
      <c r="A45" s="21" t="s">
        <v>177</v>
      </c>
      <c r="B45" s="122">
        <v>3</v>
      </c>
      <c r="C45" s="8">
        <f t="shared" si="3"/>
        <v>2.3622047244094488E-2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-117.99999999999997</v>
      </c>
    </row>
    <row r="46" spans="1:12" x14ac:dyDescent="0.45">
      <c r="A46" s="21" t="s">
        <v>178</v>
      </c>
      <c r="B46" s="122">
        <v>1</v>
      </c>
      <c r="C46" s="8">
        <f t="shared" si="3"/>
        <v>7.874015748031496E-3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-94.799999999999969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-60.89999999999997</v>
      </c>
    </row>
    <row r="48" spans="1:12" x14ac:dyDescent="0.45">
      <c r="A48" s="23" t="s">
        <v>180</v>
      </c>
      <c r="B48" s="101">
        <v>2</v>
      </c>
      <c r="C48" s="11">
        <f t="shared" si="3"/>
        <v>1.5748031496062992E-2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-76.899999999999977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-26.09999999999998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-19.899999999999981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13.800000000000022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-11.599999999999977</v>
      </c>
    </row>
    <row r="53" spans="5:12" x14ac:dyDescent="0.45">
      <c r="K53" s="7">
        <v>51</v>
      </c>
      <c r="L53" s="65">
        <v>-66.299999999999983</v>
      </c>
    </row>
    <row r="54" spans="5:12" x14ac:dyDescent="0.45">
      <c r="K54" s="7">
        <v>52</v>
      </c>
      <c r="L54" s="65">
        <v>-46.09999999999998</v>
      </c>
    </row>
    <row r="55" spans="5:12" x14ac:dyDescent="0.45">
      <c r="K55" s="7">
        <v>53</v>
      </c>
      <c r="L55" s="65">
        <v>-73.59999999999998</v>
      </c>
    </row>
    <row r="56" spans="5:12" x14ac:dyDescent="0.45">
      <c r="K56" s="7">
        <v>54</v>
      </c>
      <c r="L56" s="65">
        <v>-104.39999999999998</v>
      </c>
    </row>
    <row r="57" spans="5:12" x14ac:dyDescent="0.45">
      <c r="K57" s="7">
        <v>55</v>
      </c>
      <c r="L57" s="65">
        <v>-68.199999999999974</v>
      </c>
    </row>
  </sheetData>
  <sortState xmlns:xlrd2="http://schemas.microsoft.com/office/spreadsheetml/2017/richdata2" ref="E2:I58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46C72-88AB-423C-8534-D0602949E4EA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33</v>
      </c>
      <c r="C2" s="132"/>
      <c r="E2" s="28" t="s">
        <v>72</v>
      </c>
      <c r="F2" s="25" t="s">
        <v>27</v>
      </c>
      <c r="G2" s="13">
        <v>56</v>
      </c>
      <c r="H2" s="91">
        <f>IF(B$19=0,0,G2/B$19)</f>
        <v>0.70886075949367089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-1715.1515151515152</v>
      </c>
      <c r="P2" s="80">
        <v>33</v>
      </c>
      <c r="Q2" s="67">
        <v>-56600</v>
      </c>
    </row>
    <row r="3" spans="1:17" x14ac:dyDescent="0.45">
      <c r="A3" s="21" t="s">
        <v>8</v>
      </c>
      <c r="B3" s="133">
        <v>251</v>
      </c>
      <c r="C3" s="134"/>
      <c r="E3" s="29" t="s">
        <v>66</v>
      </c>
      <c r="F3" s="26" t="s">
        <v>22</v>
      </c>
      <c r="G3" s="14">
        <v>51</v>
      </c>
      <c r="H3" s="92">
        <f>IF(B$19=0,0,G3/B$19)</f>
        <v>0.64556962025316456</v>
      </c>
      <c r="I3" s="60">
        <v>8</v>
      </c>
      <c r="K3" s="7">
        <v>1</v>
      </c>
      <c r="L3" s="65">
        <v>56</v>
      </c>
      <c r="N3" s="78" t="s">
        <v>129</v>
      </c>
      <c r="O3" s="84">
        <f t="shared" si="0"/>
        <v>-468.75</v>
      </c>
      <c r="P3" s="81">
        <v>32</v>
      </c>
      <c r="Q3" s="68">
        <v>-15000</v>
      </c>
    </row>
    <row r="4" spans="1:17" x14ac:dyDescent="0.45">
      <c r="A4" s="21" t="s">
        <v>6</v>
      </c>
      <c r="B4" s="135">
        <v>84.500000000000014</v>
      </c>
      <c r="C4" s="136"/>
      <c r="E4" s="29" t="s">
        <v>160</v>
      </c>
      <c r="F4" s="26" t="s">
        <v>161</v>
      </c>
      <c r="G4" s="14">
        <v>25</v>
      </c>
      <c r="H4" s="92">
        <f>IF(B$19=0,0,G4/B$19)</f>
        <v>0.31645569620253167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0"/>
        <v>2675.8620689655172</v>
      </c>
      <c r="P4" s="81">
        <v>29</v>
      </c>
      <c r="Q4" s="68">
        <v>77600</v>
      </c>
    </row>
    <row r="5" spans="1:17" x14ac:dyDescent="0.45">
      <c r="A5" s="21" t="s">
        <v>7</v>
      </c>
      <c r="B5" s="123">
        <f>IF(B$2=0,0,B$4/B$2)</f>
        <v>2.560606060606061</v>
      </c>
      <c r="C5" s="124"/>
      <c r="E5" s="29" t="s">
        <v>64</v>
      </c>
      <c r="F5" s="26" t="s">
        <v>20</v>
      </c>
      <c r="G5" s="14">
        <v>21</v>
      </c>
      <c r="H5" s="92">
        <f>IF(B$19=0,0,G5/B$19)</f>
        <v>0.26582278481012656</v>
      </c>
      <c r="I5" s="60">
        <v>10</v>
      </c>
      <c r="K5" s="7">
        <v>3</v>
      </c>
      <c r="L5" s="65">
        <v>159</v>
      </c>
      <c r="N5" s="78" t="s">
        <v>131</v>
      </c>
      <c r="O5" s="84">
        <f t="shared" si="0"/>
        <v>-1565.3846153846155</v>
      </c>
      <c r="P5" s="81">
        <v>26</v>
      </c>
      <c r="Q5" s="68">
        <v>-40700</v>
      </c>
    </row>
    <row r="6" spans="1:17" x14ac:dyDescent="0.45">
      <c r="A6" s="21" t="s">
        <v>1</v>
      </c>
      <c r="B6" s="137">
        <f>IF(B$2=0,0,(B$7*1+B$8*2+B$9*3)/B$2)</f>
        <v>1.9696969696969697</v>
      </c>
      <c r="C6" s="138"/>
      <c r="E6" s="29" t="s">
        <v>68</v>
      </c>
      <c r="F6" s="26" t="s">
        <v>12</v>
      </c>
      <c r="G6" s="14">
        <v>18</v>
      </c>
      <c r="H6" s="92">
        <f>IF(B$19=0,0,G6/B$19)</f>
        <v>0.22784810126582278</v>
      </c>
      <c r="I6" s="60">
        <v>9</v>
      </c>
      <c r="K6" s="7">
        <v>4</v>
      </c>
      <c r="L6" s="65">
        <v>112.4</v>
      </c>
      <c r="N6" s="78" t="s">
        <v>132</v>
      </c>
      <c r="O6" s="84">
        <f t="shared" si="0"/>
        <v>2733.3333333333335</v>
      </c>
      <c r="P6" s="81">
        <v>21</v>
      </c>
      <c r="Q6" s="68">
        <v>57400</v>
      </c>
    </row>
    <row r="7" spans="1:17" x14ac:dyDescent="0.45">
      <c r="A7" s="21" t="s">
        <v>2</v>
      </c>
      <c r="B7" s="14">
        <v>11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16</v>
      </c>
      <c r="H7" s="92">
        <f>IF(B$19=0,0,G7/B$19)</f>
        <v>0.20253164556962025</v>
      </c>
      <c r="I7" s="60">
        <v>9</v>
      </c>
      <c r="K7" s="7">
        <v>5</v>
      </c>
      <c r="L7" s="65">
        <v>140.30000000000001</v>
      </c>
      <c r="N7" s="79" t="s">
        <v>133</v>
      </c>
      <c r="O7" s="85">
        <f t="shared" si="0"/>
        <v>1489.4736842105262</v>
      </c>
      <c r="P7" s="82">
        <v>19</v>
      </c>
      <c r="Q7" s="69">
        <v>28300</v>
      </c>
    </row>
    <row r="8" spans="1:17" x14ac:dyDescent="0.45">
      <c r="A8" s="21" t="s">
        <v>3</v>
      </c>
      <c r="B8" s="14">
        <v>12</v>
      </c>
      <c r="C8" s="8">
        <f t="shared" si="1"/>
        <v>0.36363636363636365</v>
      </c>
      <c r="E8" s="29" t="s">
        <v>69</v>
      </c>
      <c r="F8" s="26" t="s">
        <v>24</v>
      </c>
      <c r="G8" s="14">
        <v>11</v>
      </c>
      <c r="H8" s="92">
        <f>IF(B$19=0,0,G8/B$19)</f>
        <v>0.13924050632911392</v>
      </c>
      <c r="I8" s="60">
        <v>3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10</v>
      </c>
      <c r="C9" s="9">
        <f t="shared" si="1"/>
        <v>0.30303030303030304</v>
      </c>
      <c r="E9" s="29" t="s">
        <v>83</v>
      </c>
      <c r="F9" s="26" t="s">
        <v>38</v>
      </c>
      <c r="G9" s="14">
        <v>11</v>
      </c>
      <c r="H9" s="92">
        <f>IF(B$19=0,0,G9/B$19)</f>
        <v>0.13924050632911392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41.427272727272729</v>
      </c>
      <c r="C10" s="114">
        <v>455.7</v>
      </c>
      <c r="E10" s="29" t="s">
        <v>89</v>
      </c>
      <c r="F10" s="26" t="s">
        <v>44</v>
      </c>
      <c r="G10" s="14">
        <v>10</v>
      </c>
      <c r="H10" s="92">
        <f>IF(B$19=0,0,G10/B$19)</f>
        <v>0.12658227848101267</v>
      </c>
      <c r="I10" s="60">
        <v>6</v>
      </c>
      <c r="K10" s="7">
        <v>8</v>
      </c>
      <c r="L10" s="65">
        <v>96.800000000000011</v>
      </c>
      <c r="N10" s="77" t="s">
        <v>152</v>
      </c>
      <c r="O10" s="86">
        <f>IF(P10=0,0,Q10/P10)</f>
        <v>-7.8636363636363624</v>
      </c>
      <c r="P10" s="80">
        <v>11</v>
      </c>
      <c r="Q10" s="71">
        <v>-86.499999999999986</v>
      </c>
    </row>
    <row r="11" spans="1:17" x14ac:dyDescent="0.45">
      <c r="A11" s="22" t="s">
        <v>186</v>
      </c>
      <c r="B11" s="113">
        <f>IF(B8=0,0,C11/B8)</f>
        <v>1.7999999999999996</v>
      </c>
      <c r="C11" s="114">
        <v>21.599999999999994</v>
      </c>
      <c r="E11" s="29" t="s">
        <v>65</v>
      </c>
      <c r="F11" s="26" t="s">
        <v>21</v>
      </c>
      <c r="G11" s="14">
        <v>6</v>
      </c>
      <c r="H11" s="92">
        <f>IF(B$19=0,0,G11/B$19)</f>
        <v>7.5949367088607597E-2</v>
      </c>
      <c r="I11" s="60">
        <v>7</v>
      </c>
      <c r="K11" s="7">
        <v>9</v>
      </c>
      <c r="L11" s="65">
        <v>51.600000000000009</v>
      </c>
      <c r="N11" s="78" t="s">
        <v>153</v>
      </c>
      <c r="O11" s="87">
        <f>IF(P11=0,0,Q11/P11)</f>
        <v>2.8299999999999992</v>
      </c>
      <c r="P11" s="81">
        <v>10</v>
      </c>
      <c r="Q11" s="72">
        <v>28.299999999999994</v>
      </c>
    </row>
    <row r="12" spans="1:17" x14ac:dyDescent="0.45">
      <c r="A12" s="22" t="s">
        <v>187</v>
      </c>
      <c r="B12" s="113">
        <f>IF(B9=0,0,C12/B9)</f>
        <v>-39.28</v>
      </c>
      <c r="C12" s="114">
        <v>-392.8</v>
      </c>
      <c r="E12" s="29" t="s">
        <v>81</v>
      </c>
      <c r="F12" s="26" t="s">
        <v>36</v>
      </c>
      <c r="G12" s="14">
        <v>5</v>
      </c>
      <c r="H12" s="92">
        <f>IF(B$19=0,0,G12/B$19)</f>
        <v>6.3291139240506333E-2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11.891666666666666</v>
      </c>
      <c r="P12" s="82">
        <v>12</v>
      </c>
      <c r="Q12" s="73">
        <v>142.69999999999999</v>
      </c>
    </row>
    <row r="13" spans="1:17" x14ac:dyDescent="0.45">
      <c r="A13" s="22" t="s">
        <v>188</v>
      </c>
      <c r="B13" s="123">
        <f>AVERAGE(B10:B12)</f>
        <v>1.3157575757575752</v>
      </c>
      <c r="C13" s="124"/>
      <c r="E13" s="29" t="s">
        <v>70</v>
      </c>
      <c r="F13" s="26" t="s">
        <v>25</v>
      </c>
      <c r="G13" s="14">
        <v>3</v>
      </c>
      <c r="H13" s="92">
        <f>IF(B$19=0,0,G13/B$19)</f>
        <v>3.7974683544303799E-2</v>
      </c>
      <c r="I13" s="60">
        <v>8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0.18181818181818182</v>
      </c>
      <c r="E14" s="29" t="s">
        <v>78</v>
      </c>
      <c r="F14" s="26" t="s">
        <v>33</v>
      </c>
      <c r="G14" s="14">
        <v>3</v>
      </c>
      <c r="H14" s="92">
        <f>IF(B$19=0,0,G14/B$19)</f>
        <v>3.7974683544303799E-2</v>
      </c>
      <c r="I14" s="60">
        <v>5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35</v>
      </c>
      <c r="C15" s="12">
        <f>IF(B$3=0,0,B15/B$3)</f>
        <v>0.1394422310756972</v>
      </c>
      <c r="E15" s="29" t="s">
        <v>71</v>
      </c>
      <c r="F15" s="26" t="s">
        <v>26</v>
      </c>
      <c r="G15" s="14">
        <v>2</v>
      </c>
      <c r="H15" s="92">
        <f>IF(B$19=0,0,G15/B$19)</f>
        <v>2.5316455696202531E-2</v>
      </c>
      <c r="I15" s="60">
        <v>9</v>
      </c>
      <c r="K15" s="7">
        <v>13</v>
      </c>
      <c r="L15" s="65">
        <v>83.1</v>
      </c>
      <c r="N15" s="77" t="s">
        <v>194</v>
      </c>
      <c r="O15" s="86">
        <f t="shared" ref="O15:O21" si="2">IF(P15=0,0,Q15/P15)</f>
        <v>42.581818181818178</v>
      </c>
      <c r="P15" s="80">
        <v>11</v>
      </c>
      <c r="Q15" s="71">
        <v>468.4</v>
      </c>
    </row>
    <row r="16" spans="1:17" x14ac:dyDescent="0.45">
      <c r="A16" s="21" t="s">
        <v>118</v>
      </c>
      <c r="B16" s="14">
        <v>91</v>
      </c>
      <c r="C16" s="8">
        <f>IF(B$3=0,0,B16/B$3)</f>
        <v>0.36254980079681276</v>
      </c>
      <c r="E16" s="29" t="s">
        <v>79</v>
      </c>
      <c r="F16" s="26" t="s">
        <v>34</v>
      </c>
      <c r="G16" s="14">
        <v>2</v>
      </c>
      <c r="H16" s="92">
        <f>IF(B$19=0,0,G16/B$19)</f>
        <v>2.5316455696202531E-2</v>
      </c>
      <c r="I16" s="60">
        <v>4</v>
      </c>
      <c r="K16" s="7">
        <v>14</v>
      </c>
      <c r="L16" s="65">
        <v>89.399999999999991</v>
      </c>
      <c r="N16" s="78" t="s">
        <v>205</v>
      </c>
      <c r="O16" s="87">
        <f t="shared" si="2"/>
        <v>35.35</v>
      </c>
      <c r="P16" s="81">
        <v>4</v>
      </c>
      <c r="Q16" s="72">
        <v>141.4</v>
      </c>
    </row>
    <row r="17" spans="1:17" x14ac:dyDescent="0.45">
      <c r="A17" s="20" t="s">
        <v>123</v>
      </c>
      <c r="B17" s="13">
        <f>B23</f>
        <v>21</v>
      </c>
      <c r="C17" s="6">
        <f>IF(B$15=0,0,B17/B$15)</f>
        <v>0.6</v>
      </c>
      <c r="E17" s="29" t="s">
        <v>85</v>
      </c>
      <c r="F17" s="26" t="s">
        <v>40</v>
      </c>
      <c r="G17" s="14">
        <v>2</v>
      </c>
      <c r="H17" s="92">
        <f>IF(B$19=0,0,G17/B$19)</f>
        <v>2.5316455696202531E-2</v>
      </c>
      <c r="I17" s="60">
        <v>1</v>
      </c>
      <c r="K17" s="7">
        <v>15</v>
      </c>
      <c r="L17" s="65">
        <v>112.6</v>
      </c>
      <c r="N17" s="78" t="s">
        <v>164</v>
      </c>
      <c r="O17" s="87">
        <f t="shared" si="2"/>
        <v>27.375</v>
      </c>
      <c r="P17" s="81">
        <v>8</v>
      </c>
      <c r="Q17" s="72">
        <v>219</v>
      </c>
    </row>
    <row r="18" spans="1:17" x14ac:dyDescent="0.45">
      <c r="A18" s="20" t="s">
        <v>124</v>
      </c>
      <c r="B18" s="13">
        <f>B24</f>
        <v>38</v>
      </c>
      <c r="C18" s="6">
        <f>IF(B$16=0,0,B18/B$16)</f>
        <v>0.4175824175824176</v>
      </c>
      <c r="E18" s="29" t="s">
        <v>74</v>
      </c>
      <c r="F18" s="26" t="s">
        <v>29</v>
      </c>
      <c r="G18" s="14">
        <v>1</v>
      </c>
      <c r="H18" s="92">
        <f>IF(B$19=0,0,G18/B$19)</f>
        <v>1.2658227848101266E-2</v>
      </c>
      <c r="I18" s="60">
        <v>1</v>
      </c>
      <c r="K18" s="7">
        <v>16</v>
      </c>
      <c r="L18" s="65">
        <v>119.3</v>
      </c>
      <c r="N18" s="78" t="s">
        <v>196</v>
      </c>
      <c r="O18" s="87">
        <f t="shared" si="2"/>
        <v>21.5</v>
      </c>
      <c r="P18" s="81">
        <v>3</v>
      </c>
      <c r="Q18" s="72">
        <v>64.5</v>
      </c>
    </row>
    <row r="19" spans="1:17" x14ac:dyDescent="0.45">
      <c r="A19" s="20" t="s">
        <v>10</v>
      </c>
      <c r="B19" s="13">
        <f>B22+B21</f>
        <v>79</v>
      </c>
      <c r="C19" s="6">
        <f>IF(B$3=0,0,B19/B$3)</f>
        <v>0.3147410358565737</v>
      </c>
      <c r="E19" s="29" t="s">
        <v>75</v>
      </c>
      <c r="F19" s="26" t="s">
        <v>30</v>
      </c>
      <c r="G19" s="14">
        <v>1</v>
      </c>
      <c r="H19" s="92">
        <f>IF(B$19=0,0,G19/B$19)</f>
        <v>1.2658227848101266E-2</v>
      </c>
      <c r="I19" s="60">
        <v>1</v>
      </c>
      <c r="K19" s="7">
        <v>17</v>
      </c>
      <c r="L19" s="65">
        <v>71.699999999999989</v>
      </c>
      <c r="N19" s="78" t="s">
        <v>189</v>
      </c>
      <c r="O19" s="87">
        <f t="shared" si="2"/>
        <v>4.2000000000000011</v>
      </c>
      <c r="P19" s="81">
        <v>4</v>
      </c>
      <c r="Q19" s="72">
        <v>16.800000000000004</v>
      </c>
    </row>
    <row r="20" spans="1:17" x14ac:dyDescent="0.45">
      <c r="A20" s="21" t="s">
        <v>13</v>
      </c>
      <c r="B20" s="14">
        <v>35</v>
      </c>
      <c r="C20" s="8">
        <f>IF(B$3=0,0,B20/B$3)</f>
        <v>0.1394422310756972</v>
      </c>
      <c r="E20" s="29" t="s">
        <v>77</v>
      </c>
      <c r="F20" s="26" t="s">
        <v>32</v>
      </c>
      <c r="G20" s="14">
        <v>1</v>
      </c>
      <c r="H20" s="92">
        <f>IF(B$19=0,0,G20/B$19)</f>
        <v>1.2658227848101266E-2</v>
      </c>
      <c r="I20" s="60">
        <v>3</v>
      </c>
      <c r="K20" s="7">
        <v>18</v>
      </c>
      <c r="L20" s="65">
        <v>45.399999999999991</v>
      </c>
      <c r="N20" s="78" t="s">
        <v>192</v>
      </c>
      <c r="O20" s="87">
        <f t="shared" si="2"/>
        <v>-13.480000000000004</v>
      </c>
      <c r="P20" s="81">
        <v>20</v>
      </c>
      <c r="Q20" s="72">
        <v>-269.60000000000008</v>
      </c>
    </row>
    <row r="21" spans="1:17" x14ac:dyDescent="0.45">
      <c r="A21" s="21" t="s">
        <v>12</v>
      </c>
      <c r="B21" s="14">
        <v>35</v>
      </c>
      <c r="C21" s="8">
        <f>IF(B$19=0,0,B21/B$19)</f>
        <v>0.44303797468354428</v>
      </c>
      <c r="E21" s="29" t="s">
        <v>86</v>
      </c>
      <c r="F21" s="26" t="s">
        <v>41</v>
      </c>
      <c r="G21" s="14">
        <v>1</v>
      </c>
      <c r="H21" s="92">
        <f>IF(B$19=0,0,G21/B$19)</f>
        <v>1.2658227848101266E-2</v>
      </c>
      <c r="I21" s="60">
        <v>9</v>
      </c>
      <c r="K21" s="7">
        <v>19</v>
      </c>
      <c r="L21" s="65">
        <v>100.1</v>
      </c>
      <c r="N21" s="78" t="s">
        <v>126</v>
      </c>
      <c r="O21" s="87">
        <f t="shared" si="2"/>
        <v>-24.1875</v>
      </c>
      <c r="P21" s="81">
        <v>16</v>
      </c>
      <c r="Q21" s="72">
        <v>-387</v>
      </c>
    </row>
    <row r="22" spans="1:17" x14ac:dyDescent="0.45">
      <c r="A22" s="21" t="s">
        <v>11</v>
      </c>
      <c r="B22" s="14">
        <v>44</v>
      </c>
      <c r="C22" s="8">
        <f>IF(B$19=0,0,B22/B$19)</f>
        <v>0.55696202531645567</v>
      </c>
      <c r="E22" s="29" t="s">
        <v>88</v>
      </c>
      <c r="F22" s="26" t="s">
        <v>43</v>
      </c>
      <c r="G22" s="14">
        <v>1</v>
      </c>
      <c r="H22" s="92">
        <f>IF(B$19=0,0,G22/B$19)</f>
        <v>1.2658227848101266E-2</v>
      </c>
      <c r="I22" s="60">
        <v>1</v>
      </c>
      <c r="K22" s="7">
        <v>20</v>
      </c>
      <c r="L22" s="65">
        <v>52.8</v>
      </c>
    </row>
    <row r="23" spans="1:17" x14ac:dyDescent="0.45">
      <c r="A23" s="21" t="s">
        <v>184</v>
      </c>
      <c r="B23" s="14">
        <v>21</v>
      </c>
      <c r="C23" s="8">
        <f>IF(B$19=0,0,B23/B$19)</f>
        <v>0.26582278481012656</v>
      </c>
      <c r="E23" s="29" t="s">
        <v>102</v>
      </c>
      <c r="F23" s="26" t="s">
        <v>57</v>
      </c>
      <c r="G23" s="14">
        <v>1</v>
      </c>
      <c r="H23" s="92">
        <f>IF(B$19=0,0,G23/B$19)</f>
        <v>1.2658227848101266E-2</v>
      </c>
      <c r="I23" s="60">
        <v>1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38</v>
      </c>
      <c r="C24" s="8">
        <f>IF(B$19=0,0,B24/B$19)</f>
        <v>0.48101265822784811</v>
      </c>
      <c r="E24" s="29" t="s">
        <v>73</v>
      </c>
      <c r="F24" s="26" t="s">
        <v>28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20</v>
      </c>
      <c r="C25" s="8">
        <f>IF(B$19=0,0,B25/B$19)</f>
        <v>0.25316455696202533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7745.5696202531644</v>
      </c>
      <c r="C26" s="10">
        <v>611900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5">
      <c r="A27" s="22" t="s">
        <v>166</v>
      </c>
      <c r="B27" s="99">
        <f>IF($B$19-B$18=0,0,C27/($B$19-B$18))</f>
        <v>8848.7804878048773</v>
      </c>
      <c r="C27" s="100">
        <v>362800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5">
      <c r="A28" s="22" t="s">
        <v>167</v>
      </c>
      <c r="B28" s="99">
        <f>IF(B$18=0,0,C28/B$18)</f>
        <v>6555.2631578947367</v>
      </c>
      <c r="C28" s="100">
        <v>249100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86.8</v>
      </c>
    </row>
    <row r="29" spans="1:17" x14ac:dyDescent="0.45">
      <c r="A29" s="22" t="s">
        <v>165</v>
      </c>
      <c r="B29" s="99">
        <f>IF(B$20=0,0,C29/B$20)</f>
        <v>-7008.5714285714284</v>
      </c>
      <c r="C29" s="100">
        <v>-245300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85.3</v>
      </c>
    </row>
    <row r="30" spans="1:17" x14ac:dyDescent="0.45">
      <c r="A30" s="21" t="s">
        <v>158</v>
      </c>
      <c r="B30" s="14">
        <v>7</v>
      </c>
      <c r="C30" s="94">
        <v>2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50.5</v>
      </c>
    </row>
    <row r="31" spans="1:17" x14ac:dyDescent="0.45">
      <c r="A31" s="21" t="s">
        <v>159</v>
      </c>
      <c r="B31" s="14">
        <v>27</v>
      </c>
      <c r="C31" s="94">
        <v>7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57.6</v>
      </c>
    </row>
    <row r="32" spans="1:17" x14ac:dyDescent="0.45">
      <c r="A32" s="56" t="s">
        <v>136</v>
      </c>
      <c r="B32" s="125">
        <v>6</v>
      </c>
      <c r="C32" s="126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82</v>
      </c>
    </row>
    <row r="33" spans="1:12" x14ac:dyDescent="0.45">
      <c r="A33" s="24" t="s">
        <v>181</v>
      </c>
      <c r="B33" s="127">
        <v>106500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81.900000000000006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76.100000000000009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84.500000000000014</v>
      </c>
    </row>
    <row r="36" spans="1:12" x14ac:dyDescent="0.45">
      <c r="A36" s="56" t="s">
        <v>172</v>
      </c>
      <c r="B36" s="121">
        <v>7</v>
      </c>
      <c r="C36" s="102">
        <f t="shared" ref="C36:C48" si="3">IF(B$19=0,0,B36/B$19)</f>
        <v>8.8607594936708861E-2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12" x14ac:dyDescent="0.45">
      <c r="A37" s="21" t="s">
        <v>168</v>
      </c>
      <c r="B37" s="14">
        <v>20</v>
      </c>
      <c r="C37" s="8">
        <f t="shared" si="3"/>
        <v>0.25316455696202533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12" x14ac:dyDescent="0.45">
      <c r="A38" s="21" t="s">
        <v>169</v>
      </c>
      <c r="B38" s="122">
        <v>15</v>
      </c>
      <c r="C38" s="8">
        <f t="shared" si="3"/>
        <v>0.189873417721519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170</v>
      </c>
      <c r="B39" s="122">
        <v>10</v>
      </c>
      <c r="C39" s="8">
        <f t="shared" si="3"/>
        <v>0.12658227848101267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15</v>
      </c>
      <c r="C40" s="8">
        <f t="shared" si="3"/>
        <v>0.189873417721519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4</v>
      </c>
      <c r="C41" s="8">
        <f t="shared" si="3"/>
        <v>5.0632911392405063E-2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12" x14ac:dyDescent="0.45">
      <c r="A42" s="21" t="s">
        <v>174</v>
      </c>
      <c r="B42" s="122">
        <v>5</v>
      </c>
      <c r="C42" s="8">
        <f t="shared" si="3"/>
        <v>6.3291139240506333E-2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175</v>
      </c>
      <c r="B43" s="122">
        <v>1</v>
      </c>
      <c r="C43" s="8">
        <f t="shared" si="3"/>
        <v>1.2658227848101266E-2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3"/>
        <v>1.2658227848101266E-2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1.2658227848101266E-2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F360D-9E68-48C1-AF47-AB2591A838E2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0.63157894736842102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3744.4444444444443</v>
      </c>
      <c r="P2" s="80">
        <v>9</v>
      </c>
      <c r="Q2" s="67">
        <v>33700</v>
      </c>
    </row>
    <row r="3" spans="1:17" x14ac:dyDescent="0.45">
      <c r="A3" s="21" t="s">
        <v>8</v>
      </c>
      <c r="B3" s="133">
        <v>73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0.52631578947368418</v>
      </c>
      <c r="I3" s="60">
        <v>9</v>
      </c>
      <c r="K3" s="7">
        <v>1</v>
      </c>
      <c r="L3" s="65">
        <v>-30.5</v>
      </c>
      <c r="N3" s="78" t="s">
        <v>129</v>
      </c>
      <c r="O3" s="84">
        <f t="shared" si="0"/>
        <v>11.111111111111111</v>
      </c>
      <c r="P3" s="81">
        <v>9</v>
      </c>
      <c r="Q3" s="68">
        <v>100</v>
      </c>
    </row>
    <row r="4" spans="1:17" x14ac:dyDescent="0.45">
      <c r="A4" s="21" t="s">
        <v>6</v>
      </c>
      <c r="B4" s="135">
        <v>21.599999999999987</v>
      </c>
      <c r="C4" s="136"/>
      <c r="E4" s="29" t="s">
        <v>160</v>
      </c>
      <c r="F4" s="26" t="s">
        <v>161</v>
      </c>
      <c r="G4" s="14">
        <v>9</v>
      </c>
      <c r="H4" s="92">
        <f>IF(B$19=0,0,G4/B$19)</f>
        <v>0.47368421052631576</v>
      </c>
      <c r="I4" s="60">
        <v>4</v>
      </c>
      <c r="K4" s="7">
        <v>2</v>
      </c>
      <c r="L4" s="65">
        <v>-28.6</v>
      </c>
      <c r="N4" s="78" t="s">
        <v>130</v>
      </c>
      <c r="O4" s="84">
        <f t="shared" si="0"/>
        <v>-4000</v>
      </c>
      <c r="P4" s="81">
        <v>9</v>
      </c>
      <c r="Q4" s="68">
        <v>-36000</v>
      </c>
    </row>
    <row r="5" spans="1:17" x14ac:dyDescent="0.45">
      <c r="A5" s="21" t="s">
        <v>7</v>
      </c>
      <c r="B5" s="123">
        <f>IF(B$2=0,0,B$4/B$2)</f>
        <v>2.3999999999999986</v>
      </c>
      <c r="C5" s="124"/>
      <c r="E5" s="29" t="s">
        <v>68</v>
      </c>
      <c r="F5" s="26" t="s">
        <v>12</v>
      </c>
      <c r="G5" s="14">
        <v>8</v>
      </c>
      <c r="H5" s="92">
        <f>IF(B$19=0,0,G5/B$19)</f>
        <v>0.42105263157894735</v>
      </c>
      <c r="I5" s="60">
        <v>2</v>
      </c>
      <c r="K5" s="7">
        <v>3</v>
      </c>
      <c r="L5" s="65">
        <v>-41.400000000000006</v>
      </c>
      <c r="N5" s="78" t="s">
        <v>131</v>
      </c>
      <c r="O5" s="84">
        <f t="shared" si="0"/>
        <v>-5014.2857142857147</v>
      </c>
      <c r="P5" s="81">
        <v>7</v>
      </c>
      <c r="Q5" s="68">
        <v>-35100</v>
      </c>
    </row>
    <row r="6" spans="1:17" x14ac:dyDescent="0.45">
      <c r="A6" s="21" t="s">
        <v>1</v>
      </c>
      <c r="B6" s="137">
        <f>IF(B$2=0,0,(B$7*1+B$8*2+B$9*3)/B$2)</f>
        <v>1.8888888888888888</v>
      </c>
      <c r="C6" s="138"/>
      <c r="E6" s="29" t="s">
        <v>72</v>
      </c>
      <c r="F6" s="26" t="s">
        <v>27</v>
      </c>
      <c r="G6" s="14">
        <v>7</v>
      </c>
      <c r="H6" s="92">
        <f>IF(B$19=0,0,G6/B$19)</f>
        <v>0.36842105263157893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0"/>
        <v>6333.333333333333</v>
      </c>
      <c r="P6" s="81">
        <v>6</v>
      </c>
      <c r="Q6" s="68">
        <v>38000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5</v>
      </c>
      <c r="H7" s="92">
        <f>IF(B$19=0,0,G7/B$19)</f>
        <v>0.26315789473684209</v>
      </c>
      <c r="I7" s="60">
        <v>2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6</v>
      </c>
      <c r="C8" s="8">
        <f t="shared" si="1"/>
        <v>0.66666666666666663</v>
      </c>
      <c r="E8" s="29" t="s">
        <v>71</v>
      </c>
      <c r="F8" s="26" t="s">
        <v>26</v>
      </c>
      <c r="G8" s="14">
        <v>3</v>
      </c>
      <c r="H8" s="92">
        <f>IF(B$19=0,0,G8/B$19)</f>
        <v>0.15789473684210525</v>
      </c>
      <c r="I8" s="60">
        <v>1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0.1111111111111111</v>
      </c>
      <c r="E9" s="29" t="s">
        <v>65</v>
      </c>
      <c r="F9" s="26" t="s">
        <v>21</v>
      </c>
      <c r="G9" s="14">
        <v>2</v>
      </c>
      <c r="H9" s="92">
        <f>IF(B$19=0,0,G9/B$19)</f>
        <v>0.10526315789473684</v>
      </c>
      <c r="I9" s="60">
        <v>4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0.10526315789473684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7.5250000000000004</v>
      </c>
      <c r="P10" s="80">
        <v>4</v>
      </c>
      <c r="Q10" s="71">
        <v>30.1</v>
      </c>
    </row>
    <row r="11" spans="1:17" x14ac:dyDescent="0.45">
      <c r="A11" s="22" t="s">
        <v>186</v>
      </c>
      <c r="B11" s="113">
        <f>IF(B8=0,0,C11/B8)</f>
        <v>-11.816666666666668</v>
      </c>
      <c r="C11" s="114">
        <v>-70.900000000000006</v>
      </c>
      <c r="E11" s="29" t="s">
        <v>89</v>
      </c>
      <c r="F11" s="26" t="s">
        <v>44</v>
      </c>
      <c r="G11" s="14">
        <v>2</v>
      </c>
      <c r="H11" s="92">
        <f>IF(B$19=0,0,G11/B$19)</f>
        <v>0.10526315789473684</v>
      </c>
      <c r="I11" s="60">
        <v>9</v>
      </c>
      <c r="K11" s="7">
        <v>9</v>
      </c>
      <c r="L11" s="65">
        <v>21.599999999999987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69</v>
      </c>
      <c r="F12" s="26" t="s">
        <v>24</v>
      </c>
      <c r="G12" s="14">
        <v>1</v>
      </c>
      <c r="H12" s="92">
        <f>IF(B$19=0,0,G12/B$19)</f>
        <v>5.2631578947368418E-2</v>
      </c>
      <c r="I12" s="60">
        <v>10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9.3444444444444432</v>
      </c>
      <c r="C13" s="124"/>
      <c r="E13" s="29" t="s">
        <v>73</v>
      </c>
      <c r="F13" s="26" t="s">
        <v>28</v>
      </c>
      <c r="G13" s="14">
        <v>1</v>
      </c>
      <c r="H13" s="92">
        <f>IF(B$19=0,0,G13/B$19)</f>
        <v>5.2631578947368418E-2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77</v>
      </c>
      <c r="F14" s="26" t="s">
        <v>32</v>
      </c>
      <c r="G14" s="14">
        <v>1</v>
      </c>
      <c r="H14" s="92">
        <f>IF(B$19=0,0,G14/B$19)</f>
        <v>5.2631578947368418E-2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20</v>
      </c>
      <c r="C15" s="12">
        <f>IF(B$3=0,0,B15/B$3)</f>
        <v>0.27397260273972601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9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11</v>
      </c>
      <c r="C16" s="8">
        <f>IF(B$3=0,0,B16/B$3)</f>
        <v>0.15068493150684931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3</v>
      </c>
      <c r="N16" s="78" t="s">
        <v>164</v>
      </c>
      <c r="O16" s="87">
        <f>IF(P16=0,0,Q16/P16)</f>
        <v>16.324999999999999</v>
      </c>
      <c r="P16" s="81">
        <v>4</v>
      </c>
      <c r="Q16" s="72">
        <v>65.3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0.65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14.162500000000003</v>
      </c>
      <c r="P17" s="81">
        <v>8</v>
      </c>
      <c r="Q17" s="72">
        <v>113.30000000000003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0.36363636363636365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19</v>
      </c>
      <c r="C19" s="6">
        <f>IF(B$3=0,0,B19/B$3)</f>
        <v>0.26027397260273971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6.8493150684931503E-2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7</v>
      </c>
    </row>
    <row r="21" spans="1:17" x14ac:dyDescent="0.45">
      <c r="A21" s="21" t="s">
        <v>12</v>
      </c>
      <c r="B21" s="14">
        <v>9</v>
      </c>
      <c r="C21" s="8">
        <f>IF(B$19=0,0,B21/B$19)</f>
        <v>0.47368421052631576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10</v>
      </c>
      <c r="C22" s="8">
        <f>IF(B$19=0,0,B22/B$19)</f>
        <v>0.52631578947368418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13</v>
      </c>
      <c r="C23" s="8">
        <f>IF(B$19=0,0,B23/B$19)</f>
        <v>0.68421052631578949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0.21052631578947367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2</v>
      </c>
      <c r="C25" s="8">
        <f>IF(B$19=0,0,B25/B$19)</f>
        <v>0.10526315789473684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7736.8421052631575</v>
      </c>
      <c r="C26" s="10">
        <v>147000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8186.666666666667</v>
      </c>
      <c r="C27" s="100">
        <v>122800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6050</v>
      </c>
      <c r="C28" s="100">
        <v>24200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23</v>
      </c>
      <c r="C31" s="94">
        <v>23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0.10526315789473684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0.15789473684210525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6</v>
      </c>
      <c r="C38" s="8">
        <f t="shared" si="2"/>
        <v>0.31578947368421051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2"/>
        <v>0.21052631578947367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5.2631578947368418E-2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0.10526315789473684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5.2631578947368418E-2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AA15D-2F39-44B4-BBD0-7DAB5AD475E5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35</v>
      </c>
      <c r="C2" s="132"/>
      <c r="E2" s="28" t="s">
        <v>66</v>
      </c>
      <c r="F2" s="25" t="s">
        <v>22</v>
      </c>
      <c r="G2" s="13">
        <v>71</v>
      </c>
      <c r="H2" s="91">
        <f>IF(B$19=0,0,G2/B$19)</f>
        <v>0.86585365853658536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882.35294117647061</v>
      </c>
      <c r="P2" s="80">
        <v>34</v>
      </c>
      <c r="Q2" s="67">
        <v>30000</v>
      </c>
    </row>
    <row r="3" spans="1:17" x14ac:dyDescent="0.45">
      <c r="A3" s="21" t="s">
        <v>8</v>
      </c>
      <c r="B3" s="133">
        <v>272</v>
      </c>
      <c r="C3" s="134"/>
      <c r="E3" s="29" t="s">
        <v>72</v>
      </c>
      <c r="F3" s="26" t="s">
        <v>27</v>
      </c>
      <c r="G3" s="14">
        <v>49</v>
      </c>
      <c r="H3" s="92">
        <f>IF(B$19=0,0,G3/B$19)</f>
        <v>0.59756097560975607</v>
      </c>
      <c r="I3" s="60">
        <v>4</v>
      </c>
      <c r="K3" s="7">
        <v>1</v>
      </c>
      <c r="L3" s="65">
        <v>68.2</v>
      </c>
      <c r="N3" s="78" t="s">
        <v>129</v>
      </c>
      <c r="O3" s="84">
        <f t="shared" si="0"/>
        <v>-2205.7142857142858</v>
      </c>
      <c r="P3" s="81">
        <v>35</v>
      </c>
      <c r="Q3" s="68">
        <v>-77200</v>
      </c>
    </row>
    <row r="4" spans="1:17" x14ac:dyDescent="0.45">
      <c r="A4" s="21" t="s">
        <v>6</v>
      </c>
      <c r="B4" s="135">
        <v>-209.50000000000003</v>
      </c>
      <c r="C4" s="136"/>
      <c r="E4" s="29" t="s">
        <v>64</v>
      </c>
      <c r="F4" s="26" t="s">
        <v>20</v>
      </c>
      <c r="G4" s="14">
        <v>30</v>
      </c>
      <c r="H4" s="92">
        <f>IF(B$19=0,0,G4/B$19)</f>
        <v>0.36585365853658536</v>
      </c>
      <c r="I4" s="60">
        <v>9</v>
      </c>
      <c r="K4" s="7">
        <v>2</v>
      </c>
      <c r="L4" s="65">
        <v>41.2</v>
      </c>
      <c r="N4" s="78" t="s">
        <v>130</v>
      </c>
      <c r="O4" s="84">
        <f t="shared" si="0"/>
        <v>-1603.030303030303</v>
      </c>
      <c r="P4" s="81">
        <v>33</v>
      </c>
      <c r="Q4" s="68">
        <v>-52900</v>
      </c>
    </row>
    <row r="5" spans="1:17" x14ac:dyDescent="0.45">
      <c r="A5" s="21" t="s">
        <v>7</v>
      </c>
      <c r="B5" s="123">
        <f>IF(B$2=0,0,B$4/B$2)</f>
        <v>-5.9857142857142867</v>
      </c>
      <c r="C5" s="124"/>
      <c r="E5" s="29" t="s">
        <v>160</v>
      </c>
      <c r="F5" s="26" t="s">
        <v>161</v>
      </c>
      <c r="G5" s="14">
        <v>29</v>
      </c>
      <c r="H5" s="92">
        <f>IF(B$19=0,0,G5/B$19)</f>
        <v>0.35365853658536583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1036.6666666666667</v>
      </c>
      <c r="P5" s="81">
        <v>30</v>
      </c>
      <c r="Q5" s="68">
        <v>31100</v>
      </c>
    </row>
    <row r="6" spans="1:17" x14ac:dyDescent="0.45">
      <c r="A6" s="21" t="s">
        <v>1</v>
      </c>
      <c r="B6" s="137">
        <f>IF(B$2=0,0,(B$7*1+B$8*2+B$9*3)/B$2)</f>
        <v>2.1428571428571428</v>
      </c>
      <c r="C6" s="138"/>
      <c r="E6" s="29" t="s">
        <v>67</v>
      </c>
      <c r="F6" s="26" t="s">
        <v>23</v>
      </c>
      <c r="G6" s="14">
        <v>19</v>
      </c>
      <c r="H6" s="92">
        <f>IF(B$19=0,0,G6/B$19)</f>
        <v>0.23170731707317074</v>
      </c>
      <c r="I6" s="60">
        <v>8</v>
      </c>
      <c r="K6" s="7">
        <v>4</v>
      </c>
      <c r="L6" s="65">
        <v>-41.199999999999996</v>
      </c>
      <c r="N6" s="78" t="s">
        <v>132</v>
      </c>
      <c r="O6" s="84">
        <f t="shared" si="0"/>
        <v>-1531.0344827586207</v>
      </c>
      <c r="P6" s="81">
        <v>29</v>
      </c>
      <c r="Q6" s="68">
        <v>-44400</v>
      </c>
    </row>
    <row r="7" spans="1:17" x14ac:dyDescent="0.45">
      <c r="A7" s="21" t="s">
        <v>2</v>
      </c>
      <c r="B7" s="14">
        <v>10</v>
      </c>
      <c r="C7" s="8">
        <f t="shared" ref="C7:C14" si="1">IF(B$2=0,0,B7/B$2)</f>
        <v>0.2857142857142857</v>
      </c>
      <c r="E7" s="29" t="s">
        <v>68</v>
      </c>
      <c r="F7" s="26" t="s">
        <v>12</v>
      </c>
      <c r="G7" s="14">
        <v>18</v>
      </c>
      <c r="H7" s="92">
        <f>IF(B$19=0,0,G7/B$19)</f>
        <v>0.21951219512195122</v>
      </c>
      <c r="I7" s="60">
        <v>10</v>
      </c>
      <c r="K7" s="7">
        <v>5</v>
      </c>
      <c r="L7" s="65">
        <v>-72.899999999999991</v>
      </c>
      <c r="N7" s="79" t="s">
        <v>133</v>
      </c>
      <c r="O7" s="85">
        <f t="shared" si="0"/>
        <v>-3454.5454545454545</v>
      </c>
      <c r="P7" s="82">
        <v>22</v>
      </c>
      <c r="Q7" s="69">
        <v>-76000</v>
      </c>
    </row>
    <row r="8" spans="1:17" x14ac:dyDescent="0.45">
      <c r="A8" s="21" t="s">
        <v>3</v>
      </c>
      <c r="B8" s="14">
        <v>10</v>
      </c>
      <c r="C8" s="8">
        <f t="shared" si="1"/>
        <v>0.2857142857142857</v>
      </c>
      <c r="E8" s="29" t="s">
        <v>89</v>
      </c>
      <c r="F8" s="26" t="s">
        <v>44</v>
      </c>
      <c r="G8" s="14">
        <v>16</v>
      </c>
      <c r="H8" s="92">
        <f>IF(B$19=0,0,G8/B$19)</f>
        <v>0.1951219512195122</v>
      </c>
      <c r="I8" s="60">
        <v>1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15</v>
      </c>
      <c r="C9" s="9">
        <f t="shared" si="1"/>
        <v>0.42857142857142855</v>
      </c>
      <c r="E9" s="29" t="s">
        <v>69</v>
      </c>
      <c r="F9" s="26" t="s">
        <v>24</v>
      </c>
      <c r="G9" s="14">
        <v>13</v>
      </c>
      <c r="H9" s="92">
        <f>IF(B$19=0,0,G9/B$19)</f>
        <v>0.15853658536585366</v>
      </c>
      <c r="I9" s="60">
        <v>2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35.730000000000004</v>
      </c>
      <c r="C10" s="114">
        <v>357.3</v>
      </c>
      <c r="E10" s="29" t="s">
        <v>70</v>
      </c>
      <c r="F10" s="26" t="s">
        <v>25</v>
      </c>
      <c r="G10" s="14">
        <v>11</v>
      </c>
      <c r="H10" s="92">
        <f>IF(B$19=0,0,G10/B$19)</f>
        <v>0.13414634146341464</v>
      </c>
      <c r="I10" s="60">
        <v>1</v>
      </c>
      <c r="K10" s="7">
        <v>8</v>
      </c>
      <c r="L10" s="65">
        <v>-128.6</v>
      </c>
      <c r="N10" s="77" t="s">
        <v>152</v>
      </c>
      <c r="O10" s="86">
        <f>IF(P10=0,0,Q10/P10)</f>
        <v>-5.1636363636363631</v>
      </c>
      <c r="P10" s="80">
        <v>11</v>
      </c>
      <c r="Q10" s="71">
        <v>-56.8</v>
      </c>
    </row>
    <row r="11" spans="1:17" x14ac:dyDescent="0.45">
      <c r="A11" s="22" t="s">
        <v>186</v>
      </c>
      <c r="B11" s="113">
        <f>IF(B8=0,0,C11/B8)</f>
        <v>-1.43</v>
      </c>
      <c r="C11" s="114">
        <v>-14.299999999999999</v>
      </c>
      <c r="E11" s="29" t="s">
        <v>65</v>
      </c>
      <c r="F11" s="26" t="s">
        <v>21</v>
      </c>
      <c r="G11" s="14">
        <v>6</v>
      </c>
      <c r="H11" s="92">
        <f>IF(B$19=0,0,G11/B$19)</f>
        <v>7.3170731707317069E-2</v>
      </c>
      <c r="I11" s="60">
        <v>8</v>
      </c>
      <c r="K11" s="7">
        <v>9</v>
      </c>
      <c r="L11" s="65">
        <v>-120</v>
      </c>
      <c r="N11" s="78" t="s">
        <v>153</v>
      </c>
      <c r="O11" s="87">
        <f>IF(P11=0,0,Q11/P11)</f>
        <v>1.7374999999999996</v>
      </c>
      <c r="P11" s="81">
        <v>8</v>
      </c>
      <c r="Q11" s="72">
        <v>13.899999999999997</v>
      </c>
    </row>
    <row r="12" spans="1:17" x14ac:dyDescent="0.45">
      <c r="A12" s="22" t="s">
        <v>187</v>
      </c>
      <c r="B12" s="113">
        <f>IF(B9=0,0,C12/B9)</f>
        <v>-36.833333333333336</v>
      </c>
      <c r="C12" s="114">
        <v>-552.5</v>
      </c>
      <c r="E12" s="29" t="s">
        <v>83</v>
      </c>
      <c r="F12" s="26" t="s">
        <v>38</v>
      </c>
      <c r="G12" s="14">
        <v>5</v>
      </c>
      <c r="H12" s="92">
        <f>IF(B$19=0,0,G12/B$19)</f>
        <v>6.097560975609756E-2</v>
      </c>
      <c r="I12" s="60">
        <v>4</v>
      </c>
      <c r="K12" s="7">
        <v>10</v>
      </c>
      <c r="L12" s="65">
        <v>-112.8</v>
      </c>
      <c r="N12" s="79" t="s">
        <v>154</v>
      </c>
      <c r="O12" s="88">
        <f>IF(P12=0,0,Q12/P12)</f>
        <v>-10.412500000000001</v>
      </c>
      <c r="P12" s="82">
        <v>16</v>
      </c>
      <c r="Q12" s="73">
        <v>-166.60000000000002</v>
      </c>
    </row>
    <row r="13" spans="1:17" x14ac:dyDescent="0.45">
      <c r="A13" s="22" t="s">
        <v>188</v>
      </c>
      <c r="B13" s="123">
        <f>AVERAGE(B10:B12)</f>
        <v>-0.84444444444444378</v>
      </c>
      <c r="C13" s="124"/>
      <c r="E13" s="29" t="s">
        <v>71</v>
      </c>
      <c r="F13" s="26" t="s">
        <v>26</v>
      </c>
      <c r="G13" s="14">
        <v>4</v>
      </c>
      <c r="H13" s="92">
        <f>IF(B$19=0,0,G13/B$19)</f>
        <v>4.878048780487805E-2</v>
      </c>
      <c r="I13" s="60">
        <v>8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0.11428571428571428</v>
      </c>
      <c r="E14" s="29" t="s">
        <v>78</v>
      </c>
      <c r="F14" s="26" t="s">
        <v>33</v>
      </c>
      <c r="G14" s="14">
        <v>4</v>
      </c>
      <c r="H14" s="92">
        <f>IF(B$19=0,0,G14/B$19)</f>
        <v>4.878048780487805E-2</v>
      </c>
      <c r="I14" s="60">
        <v>1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47</v>
      </c>
      <c r="C15" s="12">
        <f>IF(B$3=0,0,B15/B$3)</f>
        <v>0.17279411764705882</v>
      </c>
      <c r="E15" s="29" t="s">
        <v>86</v>
      </c>
      <c r="F15" s="26" t="s">
        <v>41</v>
      </c>
      <c r="G15" s="14">
        <v>4</v>
      </c>
      <c r="H15" s="92">
        <f>IF(B$19=0,0,G15/B$19)</f>
        <v>4.878048780487805E-2</v>
      </c>
      <c r="I15" s="60">
        <v>6</v>
      </c>
      <c r="K15" s="7">
        <v>13</v>
      </c>
      <c r="L15" s="65">
        <v>-63.4</v>
      </c>
      <c r="N15" s="77" t="s">
        <v>194</v>
      </c>
      <c r="O15" s="86">
        <f>IF(P15=0,0,Q15/P15)</f>
        <v>4.127272727272727</v>
      </c>
      <c r="P15" s="80">
        <v>11</v>
      </c>
      <c r="Q15" s="71">
        <v>45.4</v>
      </c>
    </row>
    <row r="16" spans="1:17" x14ac:dyDescent="0.45">
      <c r="A16" s="21" t="s">
        <v>118</v>
      </c>
      <c r="B16" s="14">
        <v>77</v>
      </c>
      <c r="C16" s="8">
        <f>IF(B$3=0,0,B16/B$3)</f>
        <v>0.28308823529411764</v>
      </c>
      <c r="E16" s="29" t="s">
        <v>81</v>
      </c>
      <c r="F16" s="26" t="s">
        <v>36</v>
      </c>
      <c r="G16" s="14">
        <v>1</v>
      </c>
      <c r="H16" s="92">
        <f>IF(B$19=0,0,G16/B$19)</f>
        <v>1.2195121951219513E-2</v>
      </c>
      <c r="I16" s="60">
        <v>7</v>
      </c>
      <c r="K16" s="7">
        <v>14</v>
      </c>
      <c r="L16" s="65">
        <v>-42.4</v>
      </c>
      <c r="N16" s="78" t="s">
        <v>192</v>
      </c>
      <c r="O16" s="87">
        <f>IF(P16=0,0,Q16/P16)</f>
        <v>-5.2400000000000011</v>
      </c>
      <c r="P16" s="81">
        <v>10</v>
      </c>
      <c r="Q16" s="72">
        <v>-52.400000000000013</v>
      </c>
    </row>
    <row r="17" spans="1:17" x14ac:dyDescent="0.45">
      <c r="A17" s="20" t="s">
        <v>123</v>
      </c>
      <c r="B17" s="13">
        <f>B23</f>
        <v>30</v>
      </c>
      <c r="C17" s="6">
        <f>IF(B$15=0,0,B17/B$15)</f>
        <v>0.63829787234042556</v>
      </c>
      <c r="E17" s="29" t="s">
        <v>92</v>
      </c>
      <c r="F17" s="26" t="s">
        <v>47</v>
      </c>
      <c r="G17" s="14">
        <v>1</v>
      </c>
      <c r="H17" s="92">
        <f>IF(B$19=0,0,G17/B$19)</f>
        <v>1.2195121951219513E-2</v>
      </c>
      <c r="I17" s="60">
        <v>5</v>
      </c>
      <c r="K17" s="7">
        <v>15</v>
      </c>
      <c r="L17" s="65">
        <v>-65.7</v>
      </c>
      <c r="N17" s="78" t="s">
        <v>126</v>
      </c>
      <c r="O17" s="87">
        <f>IF(P17=0,0,Q17/P17)</f>
        <v>-9.3344827586206911</v>
      </c>
      <c r="P17" s="81">
        <v>29</v>
      </c>
      <c r="Q17" s="72">
        <v>-270.70000000000005</v>
      </c>
    </row>
    <row r="18" spans="1:17" x14ac:dyDescent="0.45">
      <c r="A18" s="20" t="s">
        <v>124</v>
      </c>
      <c r="B18" s="13">
        <f>B24</f>
        <v>24</v>
      </c>
      <c r="C18" s="6">
        <f>IF(B$16=0,0,B18/B$16)</f>
        <v>0.31168831168831168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4</v>
      </c>
      <c r="K18" s="7">
        <v>16</v>
      </c>
      <c r="L18" s="65">
        <v>-104.80000000000001</v>
      </c>
      <c r="N18" s="78" t="s">
        <v>164</v>
      </c>
      <c r="O18" s="87">
        <f>IF(P18=0,0,Q18/P18)</f>
        <v>-10.113333333333337</v>
      </c>
      <c r="P18" s="81">
        <v>15</v>
      </c>
      <c r="Q18" s="72">
        <v>-151.70000000000005</v>
      </c>
    </row>
    <row r="19" spans="1:17" x14ac:dyDescent="0.45">
      <c r="A19" s="20" t="s">
        <v>10</v>
      </c>
      <c r="B19" s="13">
        <f>B22+B21</f>
        <v>82</v>
      </c>
      <c r="C19" s="6">
        <f>IF(B$3=0,0,B19/B$3)</f>
        <v>0.3014705882352941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3</v>
      </c>
      <c r="K19" s="7">
        <v>17</v>
      </c>
      <c r="L19" s="65">
        <v>-52.900000000000013</v>
      </c>
      <c r="N19" s="78" t="s">
        <v>193</v>
      </c>
      <c r="O19" s="87">
        <f>IF(P19=0,0,Q19/P19)</f>
        <v>-35.35</v>
      </c>
      <c r="P19" s="81">
        <v>4</v>
      </c>
      <c r="Q19" s="72">
        <v>-141.4</v>
      </c>
    </row>
    <row r="20" spans="1:17" x14ac:dyDescent="0.45">
      <c r="A20" s="21" t="s">
        <v>13</v>
      </c>
      <c r="B20" s="14">
        <v>48</v>
      </c>
      <c r="C20" s="8">
        <f>IF(B$3=0,0,B20/B$3)</f>
        <v>0.17647058823529413</v>
      </c>
      <c r="E20" s="29" t="s">
        <v>75</v>
      </c>
      <c r="F20" s="26" t="s">
        <v>30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-45.800000000000011</v>
      </c>
      <c r="N20" s="78" t="s">
        <v>189</v>
      </c>
      <c r="O20" s="87">
        <f>IF(P20=0,0,Q20/P20)</f>
        <v>-57.7</v>
      </c>
      <c r="P20" s="81">
        <v>1</v>
      </c>
      <c r="Q20" s="72">
        <v>-57.7</v>
      </c>
    </row>
    <row r="21" spans="1:17" x14ac:dyDescent="0.45">
      <c r="A21" s="21" t="s">
        <v>12</v>
      </c>
      <c r="B21" s="14">
        <v>32</v>
      </c>
      <c r="C21" s="8">
        <f>IF(B$19=0,0,B21/B$19)</f>
        <v>0.3902439024390244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-67.600000000000009</v>
      </c>
    </row>
    <row r="22" spans="1:17" x14ac:dyDescent="0.45">
      <c r="A22" s="21" t="s">
        <v>11</v>
      </c>
      <c r="B22" s="14">
        <v>50</v>
      </c>
      <c r="C22" s="8">
        <f>IF(B$19=0,0,B22/B$19)</f>
        <v>0.6097560975609756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6</v>
      </c>
      <c r="K22" s="7">
        <v>20</v>
      </c>
      <c r="L22" s="65">
        <v>-26.70000000000001</v>
      </c>
    </row>
    <row r="23" spans="1:17" x14ac:dyDescent="0.45">
      <c r="A23" s="21" t="s">
        <v>184</v>
      </c>
      <c r="B23" s="14">
        <v>30</v>
      </c>
      <c r="C23" s="8">
        <f>IF(B$19=0,0,B23/B$19)</f>
        <v>0.36585365853658536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-41.20000000000001</v>
      </c>
    </row>
    <row r="24" spans="1:17" x14ac:dyDescent="0.45">
      <c r="A24" s="21" t="s">
        <v>182</v>
      </c>
      <c r="B24" s="14">
        <v>24</v>
      </c>
      <c r="C24" s="8">
        <f>IF(B$19=0,0,B24/B$19)</f>
        <v>0.29268292682926828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-38.400000000000013</v>
      </c>
    </row>
    <row r="25" spans="1:17" x14ac:dyDescent="0.45">
      <c r="A25" s="21" t="s">
        <v>183</v>
      </c>
      <c r="B25" s="14">
        <v>28</v>
      </c>
      <c r="C25" s="8">
        <f>IF(B$19=0,0,B25/B$19)</f>
        <v>0.34146341463414637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-83.9</v>
      </c>
    </row>
    <row r="26" spans="1:17" x14ac:dyDescent="0.45">
      <c r="A26" s="21" t="s">
        <v>5</v>
      </c>
      <c r="B26" s="18">
        <f>IF(B$19=0,0,C26/B$19)</f>
        <v>8186.5853658536589</v>
      </c>
      <c r="C26" s="10">
        <v>671300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  <c r="K26" s="7">
        <v>24</v>
      </c>
      <c r="L26" s="65">
        <v>-68.600000000000009</v>
      </c>
    </row>
    <row r="27" spans="1:17" x14ac:dyDescent="0.45">
      <c r="A27" s="22" t="s">
        <v>166</v>
      </c>
      <c r="B27" s="99">
        <f>IF($B$19-B$18=0,0,C27/($B$19-B$18))</f>
        <v>8417.2413793103442</v>
      </c>
      <c r="C27" s="100">
        <v>488200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-49.100000000000009</v>
      </c>
    </row>
    <row r="28" spans="1:17" x14ac:dyDescent="0.45">
      <c r="A28" s="22" t="s">
        <v>167</v>
      </c>
      <c r="B28" s="99">
        <f>IF(B$18=0,0,C28/B$18)</f>
        <v>7629.166666666667</v>
      </c>
      <c r="C28" s="100">
        <v>183100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  <c r="K28" s="7">
        <v>26</v>
      </c>
      <c r="L28" s="65">
        <v>-58.000000000000007</v>
      </c>
    </row>
    <row r="29" spans="1:17" x14ac:dyDescent="0.45">
      <c r="A29" s="22" t="s">
        <v>165</v>
      </c>
      <c r="B29" s="99">
        <f>IF(B$20=0,0,C29/B$20)</f>
        <v>-9333.3333333333339</v>
      </c>
      <c r="C29" s="100">
        <v>-448000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-62.70000000000001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-104.30000000000001</v>
      </c>
    </row>
    <row r="31" spans="1:17" x14ac:dyDescent="0.45">
      <c r="A31" s="21" t="s">
        <v>159</v>
      </c>
      <c r="B31" s="14">
        <v>13</v>
      </c>
      <c r="C31" s="94">
        <v>12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-140.5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-181.3</v>
      </c>
    </row>
    <row r="33" spans="1:12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-180.3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-199.60000000000002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-242.10000000000002</v>
      </c>
    </row>
    <row r="36" spans="1:12" x14ac:dyDescent="0.45">
      <c r="A36" s="56" t="s">
        <v>172</v>
      </c>
      <c r="B36" s="121">
        <v>7</v>
      </c>
      <c r="C36" s="102">
        <f t="shared" ref="C36:C48" si="2">IF(B$19=0,0,B36/B$19)</f>
        <v>8.5365853658536592E-2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-238.00000000000003</v>
      </c>
    </row>
    <row r="37" spans="1:12" x14ac:dyDescent="0.45">
      <c r="A37" s="21" t="s">
        <v>168</v>
      </c>
      <c r="B37" s="14">
        <v>21</v>
      </c>
      <c r="C37" s="8">
        <f t="shared" si="2"/>
        <v>0.25609756097560976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-209.50000000000003</v>
      </c>
    </row>
    <row r="38" spans="1:12" x14ac:dyDescent="0.45">
      <c r="A38" s="21" t="s">
        <v>169</v>
      </c>
      <c r="B38" s="122">
        <v>11</v>
      </c>
      <c r="C38" s="8">
        <f t="shared" si="2"/>
        <v>0.13414634146341464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170</v>
      </c>
      <c r="B39" s="122">
        <v>16</v>
      </c>
      <c r="C39" s="8">
        <f t="shared" si="2"/>
        <v>0.1951219512195122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10</v>
      </c>
      <c r="C40" s="8">
        <f t="shared" si="2"/>
        <v>0.12195121951219512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7</v>
      </c>
      <c r="C41" s="8">
        <f t="shared" si="2"/>
        <v>8.5365853658536592E-2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12" x14ac:dyDescent="0.45">
      <c r="A42" s="21" t="s">
        <v>174</v>
      </c>
      <c r="B42" s="122">
        <v>3</v>
      </c>
      <c r="C42" s="8">
        <f t="shared" si="2"/>
        <v>3.6585365853658534E-2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175</v>
      </c>
      <c r="B43" s="122">
        <v>2</v>
      </c>
      <c r="C43" s="8">
        <f t="shared" si="2"/>
        <v>2.4390243902439025E-2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2"/>
        <v>1.2195121951219513E-2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2"/>
        <v>1.2195121951219513E-2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2</v>
      </c>
      <c r="C46" s="8">
        <f t="shared" si="2"/>
        <v>2.4390243902439025E-2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2"/>
        <v>1.2195121951219513E-2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84CEB-C91F-4C5B-92D9-C37B27CE90F3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212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9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5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1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5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2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2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3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6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8DBED-E05B-4D37-B811-AE55893EF611}">
  <sheetPr codeName="Sheet24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212</v>
      </c>
      <c r="B1" s="36" t="s">
        <v>212</v>
      </c>
      <c r="C1" s="36" t="s">
        <v>212</v>
      </c>
      <c r="D1" s="37" t="s">
        <v>212</v>
      </c>
      <c r="E1" s="36" t="s">
        <v>212</v>
      </c>
      <c r="F1" s="36" t="s">
        <v>212</v>
      </c>
      <c r="G1" s="36" t="s">
        <v>212</v>
      </c>
      <c r="H1" s="36" t="s">
        <v>212</v>
      </c>
      <c r="I1" s="36" t="s">
        <v>212</v>
      </c>
      <c r="J1" s="36" t="s">
        <v>212</v>
      </c>
      <c r="K1" s="36" t="s">
        <v>212</v>
      </c>
      <c r="L1" s="36" t="s">
        <v>212</v>
      </c>
      <c r="M1" s="36" t="s">
        <v>212</v>
      </c>
      <c r="N1" s="36" t="s">
        <v>212</v>
      </c>
      <c r="O1" s="36" t="s">
        <v>212</v>
      </c>
      <c r="P1" s="36" t="s">
        <v>212</v>
      </c>
      <c r="Q1" s="36" t="s">
        <v>212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56685-A7FA-4349-97BA-FD686999AD40}">
  <sheetPr codeName="Sheet22"/>
  <dimension ref="A1:Q38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5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5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5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5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45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  <row r="21" spans="1:16" x14ac:dyDescent="0.45">
      <c r="A21" s="35">
        <v>18</v>
      </c>
      <c r="B21" s="32">
        <v>-45.800000000000011</v>
      </c>
      <c r="C21" s="32">
        <v>-2.5444444444444452</v>
      </c>
      <c r="D21" s="37">
        <v>2.0555555555555554</v>
      </c>
      <c r="E21" s="33">
        <v>0.33333333333333331</v>
      </c>
      <c r="F21" s="33">
        <v>0.3888888888888889</v>
      </c>
      <c r="G21" s="33">
        <v>0.32846715328467152</v>
      </c>
      <c r="H21" s="33">
        <v>0.21897810218978103</v>
      </c>
      <c r="I21" s="34">
        <v>9720</v>
      </c>
      <c r="J21" s="34">
        <v>-9336.6666666666661</v>
      </c>
      <c r="K21" s="33">
        <v>0.16666666666666666</v>
      </c>
      <c r="L21" s="33">
        <v>0.18978102189781021</v>
      </c>
      <c r="M21" s="33">
        <v>0.29927007299270075</v>
      </c>
      <c r="N21" s="33">
        <v>0.57692307692307687</v>
      </c>
      <c r="O21" s="33">
        <v>0.29268292682926828</v>
      </c>
      <c r="P21" s="33">
        <v>0.35555555555555557</v>
      </c>
    </row>
    <row r="22" spans="1:16" x14ac:dyDescent="0.45">
      <c r="A22" s="35">
        <v>19</v>
      </c>
      <c r="B22" s="32">
        <v>-67.600000000000009</v>
      </c>
      <c r="C22" s="32">
        <v>-3.5578947368421057</v>
      </c>
      <c r="D22" s="37">
        <v>2.1052631578947367</v>
      </c>
      <c r="E22" s="33">
        <v>0.31578947368421051</v>
      </c>
      <c r="F22" s="33">
        <v>0.42105263157894735</v>
      </c>
      <c r="G22" s="33">
        <v>0.32167832167832167</v>
      </c>
      <c r="H22" s="33">
        <v>0.21678321678321677</v>
      </c>
      <c r="I22" s="34">
        <v>9676.0869565217399</v>
      </c>
      <c r="J22" s="34">
        <v>-9551.6129032258068</v>
      </c>
      <c r="K22" s="33">
        <v>0.15789473684210525</v>
      </c>
      <c r="L22" s="33">
        <v>0.18181818181818182</v>
      </c>
      <c r="M22" s="33">
        <v>0.30769230769230771</v>
      </c>
      <c r="N22" s="33">
        <v>0.57692307692307687</v>
      </c>
      <c r="O22" s="33">
        <v>0.29545454545454547</v>
      </c>
      <c r="P22" s="33">
        <v>0.36956521739130432</v>
      </c>
    </row>
    <row r="23" spans="1:16" x14ac:dyDescent="0.45">
      <c r="A23" s="35">
        <v>20</v>
      </c>
      <c r="B23" s="32">
        <v>-26.70000000000001</v>
      </c>
      <c r="C23" s="32">
        <v>-1.3350000000000004</v>
      </c>
      <c r="D23" s="37">
        <v>2.0499999999999998</v>
      </c>
      <c r="E23" s="33">
        <v>0.35</v>
      </c>
      <c r="F23" s="33">
        <v>0.4</v>
      </c>
      <c r="G23" s="33">
        <v>0.33774834437086093</v>
      </c>
      <c r="H23" s="33">
        <v>0.20529801324503311</v>
      </c>
      <c r="I23" s="34">
        <v>9411.7647058823532</v>
      </c>
      <c r="J23" s="34">
        <v>-9551.6129032258068</v>
      </c>
      <c r="K23" s="33">
        <v>0.15</v>
      </c>
      <c r="L23" s="33">
        <v>0.19205298013245034</v>
      </c>
      <c r="M23" s="33">
        <v>0.31125827814569534</v>
      </c>
      <c r="N23" s="33">
        <v>0.62068965517241381</v>
      </c>
      <c r="O23" s="33">
        <v>0.2978723404255319</v>
      </c>
      <c r="P23" s="33">
        <v>0.35294117647058826</v>
      </c>
    </row>
    <row r="24" spans="1:16" x14ac:dyDescent="0.45">
      <c r="A24" s="35">
        <v>21</v>
      </c>
      <c r="B24" s="32">
        <v>-41.20000000000001</v>
      </c>
      <c r="C24" s="32">
        <v>-1.9619047619047625</v>
      </c>
      <c r="D24" s="37">
        <v>2.0952380952380953</v>
      </c>
      <c r="E24" s="33">
        <v>0.33333333333333331</v>
      </c>
      <c r="F24" s="33">
        <v>0.42857142857142855</v>
      </c>
      <c r="G24" s="33">
        <v>0.34375</v>
      </c>
      <c r="H24" s="33">
        <v>0.2</v>
      </c>
      <c r="I24" s="34">
        <v>9172.7272727272721</v>
      </c>
      <c r="J24" s="34">
        <v>-9753.125</v>
      </c>
      <c r="K24" s="33">
        <v>0.14285714285714285</v>
      </c>
      <c r="L24" s="33">
        <v>0.20624999999999999</v>
      </c>
      <c r="M24" s="33">
        <v>0.30625000000000002</v>
      </c>
      <c r="N24" s="33">
        <v>0.63636363636363635</v>
      </c>
      <c r="O24" s="33">
        <v>0.2857142857142857</v>
      </c>
      <c r="P24" s="33">
        <v>0.36363636363636365</v>
      </c>
    </row>
    <row r="25" spans="1:16" x14ac:dyDescent="0.45">
      <c r="A25" s="35">
        <v>22</v>
      </c>
      <c r="B25" s="32">
        <v>-38.400000000000013</v>
      </c>
      <c r="C25" s="32">
        <v>-1.745454545454546</v>
      </c>
      <c r="D25" s="37">
        <v>2.0909090909090908</v>
      </c>
      <c r="E25" s="33">
        <v>0.31818181818181818</v>
      </c>
      <c r="F25" s="33">
        <v>0.40909090909090912</v>
      </c>
      <c r="G25" s="33">
        <v>0.33720930232558138</v>
      </c>
      <c r="H25" s="33">
        <v>0.19767441860465115</v>
      </c>
      <c r="I25" s="34">
        <v>9141.3793103448279</v>
      </c>
      <c r="J25" s="34">
        <v>-9464.7058823529405</v>
      </c>
      <c r="K25" s="33">
        <v>0.13636363636363635</v>
      </c>
      <c r="L25" s="33">
        <v>0.19186046511627908</v>
      </c>
      <c r="M25" s="33">
        <v>0.31395348837209303</v>
      </c>
      <c r="N25" s="33">
        <v>0.63636363636363635</v>
      </c>
      <c r="O25" s="33">
        <v>0.29629629629629628</v>
      </c>
      <c r="P25" s="33">
        <v>0.37931034482758619</v>
      </c>
    </row>
    <row r="26" spans="1:16" x14ac:dyDescent="0.45">
      <c r="A26" s="35">
        <v>23</v>
      </c>
      <c r="B26" s="32">
        <v>-83.9</v>
      </c>
      <c r="C26" s="32">
        <v>-3.6478260869565218</v>
      </c>
      <c r="D26" s="37">
        <v>2.1304347826086958</v>
      </c>
      <c r="E26" s="33">
        <v>0.30434782608695654</v>
      </c>
      <c r="F26" s="33">
        <v>0.43478260869565216</v>
      </c>
      <c r="G26" s="33">
        <v>0.32240437158469948</v>
      </c>
      <c r="H26" s="33">
        <v>0.19672131147540983</v>
      </c>
      <c r="I26" s="34">
        <v>9116.9491525423728</v>
      </c>
      <c r="J26" s="34">
        <v>-9605.5555555555547</v>
      </c>
      <c r="K26" s="33">
        <v>0.17391304347826086</v>
      </c>
      <c r="L26" s="33">
        <v>0.18579234972677597</v>
      </c>
      <c r="M26" s="33">
        <v>0.31693989071038253</v>
      </c>
      <c r="N26" s="33">
        <v>0.61764705882352944</v>
      </c>
      <c r="O26" s="33">
        <v>0.29310344827586204</v>
      </c>
      <c r="P26" s="33">
        <v>0.3728813559322034</v>
      </c>
    </row>
    <row r="27" spans="1:16" x14ac:dyDescent="0.45">
      <c r="A27" s="35">
        <v>24</v>
      </c>
      <c r="B27" s="32">
        <v>-68.600000000000009</v>
      </c>
      <c r="C27" s="32">
        <v>-2.8583333333333338</v>
      </c>
      <c r="D27" s="37">
        <v>2.0833333333333335</v>
      </c>
      <c r="E27" s="33">
        <v>0.33333333333333331</v>
      </c>
      <c r="F27" s="33">
        <v>0.41666666666666669</v>
      </c>
      <c r="G27" s="33">
        <v>0.3193717277486911</v>
      </c>
      <c r="H27" s="33">
        <v>0.19895287958115182</v>
      </c>
      <c r="I27" s="34">
        <v>9042.622950819672</v>
      </c>
      <c r="J27" s="34">
        <v>-9378.9473684210534</v>
      </c>
      <c r="K27" s="33">
        <v>0.16666666666666666</v>
      </c>
      <c r="L27" s="33">
        <v>0.18324607329842932</v>
      </c>
      <c r="M27" s="33">
        <v>0.31413612565445026</v>
      </c>
      <c r="N27" s="33">
        <v>0.62857142857142856</v>
      </c>
      <c r="O27" s="33">
        <v>0.28333333333333333</v>
      </c>
      <c r="P27" s="33">
        <v>0.39344262295081966</v>
      </c>
    </row>
    <row r="28" spans="1:16" x14ac:dyDescent="0.45">
      <c r="A28" s="35">
        <v>25</v>
      </c>
      <c r="B28" s="32">
        <v>-49.100000000000009</v>
      </c>
      <c r="C28" s="32">
        <v>-1.9640000000000004</v>
      </c>
      <c r="D28" s="37">
        <v>2.04</v>
      </c>
      <c r="E28" s="33">
        <v>0.36</v>
      </c>
      <c r="F28" s="33">
        <v>0.4</v>
      </c>
      <c r="G28" s="33">
        <v>0.32663316582914576</v>
      </c>
      <c r="H28" s="33">
        <v>0.19597989949748743</v>
      </c>
      <c r="I28" s="34">
        <v>8783.0769230769238</v>
      </c>
      <c r="J28" s="34">
        <v>-9212.8205128205136</v>
      </c>
      <c r="K28" s="33">
        <v>0.16</v>
      </c>
      <c r="L28" s="33">
        <v>0.17587939698492464</v>
      </c>
      <c r="M28" s="33">
        <v>0.30150753768844218</v>
      </c>
      <c r="N28" s="33">
        <v>0.62857142857142856</v>
      </c>
      <c r="O28" s="33">
        <v>0.28333333333333333</v>
      </c>
      <c r="P28" s="33">
        <v>0.36923076923076925</v>
      </c>
    </row>
    <row r="29" spans="1:16" x14ac:dyDescent="0.45">
      <c r="A29" s="35">
        <v>26</v>
      </c>
      <c r="B29" s="32">
        <v>-58.000000000000007</v>
      </c>
      <c r="C29" s="32">
        <v>-2.2307692307692308</v>
      </c>
      <c r="D29" s="37">
        <v>2.0384615384615383</v>
      </c>
      <c r="E29" s="33">
        <v>0.34615384615384615</v>
      </c>
      <c r="F29" s="33">
        <v>0.38461538461538464</v>
      </c>
      <c r="G29" s="33">
        <v>0.32038834951456313</v>
      </c>
      <c r="H29" s="33">
        <v>0.1941747572815534</v>
      </c>
      <c r="I29" s="34">
        <v>8681.818181818182</v>
      </c>
      <c r="J29" s="34">
        <v>-9007.5</v>
      </c>
      <c r="K29" s="33">
        <v>0.15384615384615385</v>
      </c>
      <c r="L29" s="33">
        <v>0.17475728155339806</v>
      </c>
      <c r="M29" s="33">
        <v>0.30582524271844658</v>
      </c>
      <c r="N29" s="33">
        <v>0.61111111111111116</v>
      </c>
      <c r="O29" s="33">
        <v>0.2857142857142857</v>
      </c>
      <c r="P29" s="33">
        <v>0.37878787878787878</v>
      </c>
    </row>
    <row r="30" spans="1:16" x14ac:dyDescent="0.45">
      <c r="A30" s="35">
        <v>27</v>
      </c>
      <c r="B30" s="32">
        <v>-62.70000000000001</v>
      </c>
      <c r="C30" s="32">
        <v>-2.3222222222222224</v>
      </c>
      <c r="D30" s="37">
        <v>2.0370370370370372</v>
      </c>
      <c r="E30" s="33">
        <v>0.33333333333333331</v>
      </c>
      <c r="F30" s="33">
        <v>0.37037037037037035</v>
      </c>
      <c r="G30" s="33">
        <v>0.31627906976744186</v>
      </c>
      <c r="H30" s="33">
        <v>0.18604651162790697</v>
      </c>
      <c r="I30" s="34">
        <v>8617.6470588235297</v>
      </c>
      <c r="J30" s="34">
        <v>-9007.5</v>
      </c>
      <c r="K30" s="33">
        <v>0.14814814814814814</v>
      </c>
      <c r="L30" s="33">
        <v>0.16744186046511628</v>
      </c>
      <c r="M30" s="33">
        <v>0.30232558139534882</v>
      </c>
      <c r="N30" s="33">
        <v>0.61111111111111116</v>
      </c>
      <c r="O30" s="33">
        <v>0.29230769230769232</v>
      </c>
      <c r="P30" s="33">
        <v>0.39705882352941174</v>
      </c>
    </row>
    <row r="31" spans="1:16" x14ac:dyDescent="0.45">
      <c r="A31" s="35">
        <v>28</v>
      </c>
      <c r="B31" s="32">
        <v>-104.30000000000001</v>
      </c>
      <c r="C31" s="32">
        <v>-3.7250000000000005</v>
      </c>
      <c r="D31" s="37">
        <v>2.0714285714285716</v>
      </c>
      <c r="E31" s="33">
        <v>0.32142857142857145</v>
      </c>
      <c r="F31" s="33">
        <v>0.39285714285714285</v>
      </c>
      <c r="G31" s="33">
        <v>0.3108108108108108</v>
      </c>
      <c r="H31" s="33">
        <v>0.18468468468468469</v>
      </c>
      <c r="I31" s="34">
        <v>8523.188405797102</v>
      </c>
      <c r="J31" s="34">
        <v>-8975.6097560975613</v>
      </c>
      <c r="K31" s="33">
        <v>0.14285714285714285</v>
      </c>
      <c r="L31" s="33">
        <v>0.16216216216216217</v>
      </c>
      <c r="M31" s="33">
        <v>0.30180180180180183</v>
      </c>
      <c r="N31" s="33">
        <v>0.61111111111111116</v>
      </c>
      <c r="O31" s="33">
        <v>0.29850746268656714</v>
      </c>
      <c r="P31" s="33">
        <v>0.40579710144927539</v>
      </c>
    </row>
    <row r="32" spans="1:16" x14ac:dyDescent="0.45">
      <c r="A32" s="35">
        <v>29</v>
      </c>
      <c r="B32" s="32">
        <v>-140.5</v>
      </c>
      <c r="C32" s="32">
        <v>-4.8448275862068968</v>
      </c>
      <c r="D32" s="37">
        <v>2.103448275862069</v>
      </c>
      <c r="E32" s="33">
        <v>0.31034482758620691</v>
      </c>
      <c r="F32" s="33">
        <v>0.41379310344827586</v>
      </c>
      <c r="G32" s="33">
        <v>0.30735930735930733</v>
      </c>
      <c r="H32" s="33">
        <v>0.18181818181818182</v>
      </c>
      <c r="I32" s="34">
        <v>8347.8873239436616</v>
      </c>
      <c r="J32" s="34">
        <v>-9142.8571428571431</v>
      </c>
      <c r="K32" s="33">
        <v>0.13793103448275862</v>
      </c>
      <c r="L32" s="33">
        <v>0.16883116883116883</v>
      </c>
      <c r="M32" s="33">
        <v>0.29870129870129869</v>
      </c>
      <c r="N32" s="33">
        <v>0.61538461538461542</v>
      </c>
      <c r="O32" s="33">
        <v>0.28985507246376813</v>
      </c>
      <c r="P32" s="33">
        <v>0.39436619718309857</v>
      </c>
    </row>
    <row r="33" spans="1:16" x14ac:dyDescent="0.45">
      <c r="A33" s="35">
        <v>30</v>
      </c>
      <c r="B33" s="32">
        <v>-181.3</v>
      </c>
      <c r="C33" s="32">
        <v>-6.0433333333333339</v>
      </c>
      <c r="D33" s="37">
        <v>2.1333333333333333</v>
      </c>
      <c r="E33" s="33">
        <v>0.3</v>
      </c>
      <c r="F33" s="33">
        <v>0.43333333333333335</v>
      </c>
      <c r="G33" s="33">
        <v>0.29957805907172996</v>
      </c>
      <c r="H33" s="33">
        <v>0.18143459915611815</v>
      </c>
      <c r="I33" s="34">
        <v>8347.8873239436616</v>
      </c>
      <c r="J33" s="34">
        <v>-9116.2790697674427</v>
      </c>
      <c r="K33" s="33">
        <v>0.13333333333333333</v>
      </c>
      <c r="L33" s="33">
        <v>0.16877637130801687</v>
      </c>
      <c r="M33" s="33">
        <v>0.29535864978902954</v>
      </c>
      <c r="N33" s="33">
        <v>0.6</v>
      </c>
      <c r="O33" s="33">
        <v>0.2857142857142857</v>
      </c>
      <c r="P33" s="33">
        <v>0.39436619718309857</v>
      </c>
    </row>
    <row r="34" spans="1:16" x14ac:dyDescent="0.45">
      <c r="A34" s="35">
        <v>31</v>
      </c>
      <c r="B34" s="32">
        <v>-180.3</v>
      </c>
      <c r="C34" s="32">
        <v>-5.8161290322580648</v>
      </c>
      <c r="D34" s="37">
        <v>2.129032258064516</v>
      </c>
      <c r="E34" s="33">
        <v>0.29032258064516131</v>
      </c>
      <c r="F34" s="33">
        <v>0.41935483870967744</v>
      </c>
      <c r="G34" s="33">
        <v>0.29629629629629628</v>
      </c>
      <c r="H34" s="33">
        <v>0.17695473251028807</v>
      </c>
      <c r="I34" s="34">
        <v>8343.0555555555547</v>
      </c>
      <c r="J34" s="34">
        <v>-9116.2790697674427</v>
      </c>
      <c r="K34" s="33">
        <v>0.12903225806451613</v>
      </c>
      <c r="L34" s="33">
        <v>0.16460905349794239</v>
      </c>
      <c r="M34" s="33">
        <v>0.29218106995884774</v>
      </c>
      <c r="N34" s="33">
        <v>0.6</v>
      </c>
      <c r="O34" s="33">
        <v>0.29577464788732394</v>
      </c>
      <c r="P34" s="33">
        <v>0.3888888888888889</v>
      </c>
    </row>
    <row r="35" spans="1:16" x14ac:dyDescent="0.45">
      <c r="A35" s="35">
        <v>32</v>
      </c>
      <c r="B35" s="32">
        <v>-199.60000000000002</v>
      </c>
      <c r="C35" s="32">
        <v>-6.2375000000000007</v>
      </c>
      <c r="D35" s="37">
        <v>2.15625</v>
      </c>
      <c r="E35" s="33">
        <v>0.28125</v>
      </c>
      <c r="F35" s="33">
        <v>0.4375</v>
      </c>
      <c r="G35" s="33">
        <v>0.3</v>
      </c>
      <c r="H35" s="33">
        <v>0.17599999999999999</v>
      </c>
      <c r="I35" s="34">
        <v>8145.333333333333</v>
      </c>
      <c r="J35" s="34">
        <v>-9090.9090909090901</v>
      </c>
      <c r="K35" s="33">
        <v>0.125</v>
      </c>
      <c r="L35" s="33">
        <v>0.16400000000000001</v>
      </c>
      <c r="M35" s="33">
        <v>0.29599999999999999</v>
      </c>
      <c r="N35" s="33">
        <v>0.6097560975609756</v>
      </c>
      <c r="O35" s="33">
        <v>0.3108108108108108</v>
      </c>
      <c r="P35" s="33">
        <v>0.38666666666666666</v>
      </c>
    </row>
    <row r="36" spans="1:16" x14ac:dyDescent="0.45">
      <c r="A36" s="35">
        <v>33</v>
      </c>
      <c r="B36" s="32">
        <v>-242.10000000000002</v>
      </c>
      <c r="C36" s="32">
        <v>-7.3363636363636369</v>
      </c>
      <c r="D36" s="37">
        <v>2.1818181818181817</v>
      </c>
      <c r="E36" s="33">
        <v>0.27272727272727271</v>
      </c>
      <c r="F36" s="33">
        <v>0.45454545454545453</v>
      </c>
      <c r="G36" s="33">
        <v>0.29615384615384616</v>
      </c>
      <c r="H36" s="33">
        <v>0.18461538461538463</v>
      </c>
      <c r="I36" s="34">
        <v>8141.5584415584417</v>
      </c>
      <c r="J36" s="34">
        <v>-9333.3333333333339</v>
      </c>
      <c r="K36" s="33">
        <v>0.12121212121212122</v>
      </c>
      <c r="L36" s="33">
        <v>0.16923076923076924</v>
      </c>
      <c r="M36" s="33">
        <v>0.28846153846153844</v>
      </c>
      <c r="N36" s="33">
        <v>0.61363636363636365</v>
      </c>
      <c r="O36" s="33">
        <v>0.30666666666666664</v>
      </c>
      <c r="P36" s="33">
        <v>0.38961038961038963</v>
      </c>
    </row>
    <row r="37" spans="1:16" x14ac:dyDescent="0.45">
      <c r="A37" s="35">
        <v>34</v>
      </c>
      <c r="B37" s="32">
        <v>-238.00000000000003</v>
      </c>
      <c r="C37" s="32">
        <v>-7.0000000000000009</v>
      </c>
      <c r="D37" s="37">
        <v>2.1764705882352939</v>
      </c>
      <c r="E37" s="33">
        <v>0.26470588235294118</v>
      </c>
      <c r="F37" s="33">
        <v>0.44117647058823528</v>
      </c>
      <c r="G37" s="33">
        <v>0.29699248120300753</v>
      </c>
      <c r="H37" s="33">
        <v>0.18045112781954886</v>
      </c>
      <c r="I37" s="34">
        <v>8153.164556962025</v>
      </c>
      <c r="J37" s="34">
        <v>-9333.3333333333339</v>
      </c>
      <c r="K37" s="33">
        <v>0.11764705882352941</v>
      </c>
      <c r="L37" s="33">
        <v>0.16917293233082706</v>
      </c>
      <c r="M37" s="33">
        <v>0.28195488721804512</v>
      </c>
      <c r="N37" s="33">
        <v>0.62222222222222223</v>
      </c>
      <c r="O37" s="33">
        <v>0.30666666666666664</v>
      </c>
      <c r="P37" s="33">
        <v>0.379746835443038</v>
      </c>
    </row>
    <row r="38" spans="1:16" x14ac:dyDescent="0.45">
      <c r="A38" s="35">
        <v>35</v>
      </c>
      <c r="B38" s="32">
        <v>-209.50000000000003</v>
      </c>
      <c r="C38" s="32">
        <v>-5.9857142857142867</v>
      </c>
      <c r="D38" s="37">
        <v>2.1428571428571428</v>
      </c>
      <c r="E38" s="33">
        <v>0.2857142857142857</v>
      </c>
      <c r="F38" s="33">
        <v>0.42857142857142855</v>
      </c>
      <c r="G38" s="33">
        <v>0.3014705882352941</v>
      </c>
      <c r="H38" s="33">
        <v>0.17647058823529413</v>
      </c>
      <c r="I38" s="34">
        <v>8186.5853658536589</v>
      </c>
      <c r="J38" s="34">
        <v>-9333.3333333333339</v>
      </c>
      <c r="K38" s="33">
        <v>0.11428571428571428</v>
      </c>
      <c r="L38" s="33">
        <v>0.17279411764705882</v>
      </c>
      <c r="M38" s="33">
        <v>0.28308823529411764</v>
      </c>
      <c r="N38" s="33">
        <v>0.63829787234042556</v>
      </c>
      <c r="O38" s="33">
        <v>0.31168831168831168</v>
      </c>
      <c r="P38" s="33">
        <v>0.3902439024390244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41051-9763-4F69-8384-2612E5FC2847}">
  <sheetPr codeName="Sheet20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  <row r="12" spans="1:17" x14ac:dyDescent="0.45">
      <c r="A12" s="35">
        <v>9</v>
      </c>
      <c r="B12" s="32">
        <v>21.599999999999987</v>
      </c>
      <c r="C12" s="32">
        <v>2.3999999999999986</v>
      </c>
      <c r="D12" s="37">
        <v>1.8888888888888888</v>
      </c>
      <c r="E12" s="33">
        <v>0.22222222222222221</v>
      </c>
      <c r="F12" s="33">
        <v>0.1111111111111111</v>
      </c>
      <c r="G12" s="33">
        <v>0.26027397260273971</v>
      </c>
      <c r="H12" s="33">
        <v>6.8493150684931503E-2</v>
      </c>
      <c r="I12" s="34">
        <v>7736.8421052631575</v>
      </c>
      <c r="J12" s="34">
        <v>-4300</v>
      </c>
      <c r="K12" s="33">
        <v>0</v>
      </c>
      <c r="L12" s="33">
        <v>0.27397260273972601</v>
      </c>
      <c r="M12" s="33">
        <v>0.15068493150684931</v>
      </c>
      <c r="N12" s="33">
        <v>0.65</v>
      </c>
      <c r="O12" s="33">
        <v>0.36363636363636365</v>
      </c>
      <c r="P12" s="33">
        <v>0.47368421052631576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6FB93-E7C7-4BB7-8240-FB11CC61D43E}">
  <sheetPr codeName="Sheet18"/>
  <dimension ref="A1:Q3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5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5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5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  <row r="30" spans="1:16" x14ac:dyDescent="0.45">
      <c r="A30" s="35">
        <v>27</v>
      </c>
      <c r="B30" s="32">
        <v>85.3</v>
      </c>
      <c r="C30" s="32">
        <v>3.159259259259259</v>
      </c>
      <c r="D30" s="37">
        <v>1.962962962962963</v>
      </c>
      <c r="E30" s="33">
        <v>0.37037037037037035</v>
      </c>
      <c r="F30" s="33">
        <v>0.33333333333333331</v>
      </c>
      <c r="G30" s="33">
        <v>0.30964467005076141</v>
      </c>
      <c r="H30" s="33">
        <v>0.14213197969543148</v>
      </c>
      <c r="I30" s="34">
        <v>8236.065573770491</v>
      </c>
      <c r="J30" s="34">
        <v>-7385.7142857142853</v>
      </c>
      <c r="K30" s="33">
        <v>0.22222222222222221</v>
      </c>
      <c r="L30" s="33">
        <v>0.13705583756345177</v>
      </c>
      <c r="M30" s="33">
        <v>0.32487309644670048</v>
      </c>
      <c r="N30" s="33">
        <v>0.62962962962962965</v>
      </c>
      <c r="O30" s="33">
        <v>0.40625</v>
      </c>
      <c r="P30" s="33">
        <v>0.45901639344262296</v>
      </c>
    </row>
    <row r="31" spans="1:16" x14ac:dyDescent="0.45">
      <c r="A31" s="35">
        <v>28</v>
      </c>
      <c r="B31" s="32">
        <v>50.5</v>
      </c>
      <c r="C31" s="32">
        <v>1.8035714285714286</v>
      </c>
      <c r="D31" s="37">
        <v>2</v>
      </c>
      <c r="E31" s="33">
        <v>0.35714285714285715</v>
      </c>
      <c r="F31" s="33">
        <v>0.35714285714285715</v>
      </c>
      <c r="G31" s="33">
        <v>0.30582524271844658</v>
      </c>
      <c r="H31" s="33">
        <v>0.14563106796116504</v>
      </c>
      <c r="I31" s="34">
        <v>8120.6349206349205</v>
      </c>
      <c r="J31" s="34">
        <v>-7280</v>
      </c>
      <c r="K31" s="33">
        <v>0.21428571428571427</v>
      </c>
      <c r="L31" s="33">
        <v>0.14077669902912621</v>
      </c>
      <c r="M31" s="33">
        <v>0.32524271844660196</v>
      </c>
      <c r="N31" s="33">
        <v>0.62068965517241381</v>
      </c>
      <c r="O31" s="33">
        <v>0.40298507462686567</v>
      </c>
      <c r="P31" s="33">
        <v>0.46031746031746029</v>
      </c>
    </row>
    <row r="32" spans="1:16" x14ac:dyDescent="0.45">
      <c r="A32" s="35">
        <v>29</v>
      </c>
      <c r="B32" s="32">
        <v>57.6</v>
      </c>
      <c r="C32" s="32">
        <v>1.9862068965517241</v>
      </c>
      <c r="D32" s="37">
        <v>2</v>
      </c>
      <c r="E32" s="33">
        <v>0.34482758620689657</v>
      </c>
      <c r="F32" s="33">
        <v>0.34482758620689657</v>
      </c>
      <c r="G32" s="33">
        <v>0.31132075471698112</v>
      </c>
      <c r="H32" s="33">
        <v>0.14150943396226415</v>
      </c>
      <c r="I32" s="34">
        <v>8086.363636363636</v>
      </c>
      <c r="J32" s="34">
        <v>-7280</v>
      </c>
      <c r="K32" s="33">
        <v>0.20689655172413793</v>
      </c>
      <c r="L32" s="33">
        <v>0.14150943396226415</v>
      </c>
      <c r="M32" s="33">
        <v>0.32075471698113206</v>
      </c>
      <c r="N32" s="33">
        <v>0.6333333333333333</v>
      </c>
      <c r="O32" s="33">
        <v>0.41176470588235292</v>
      </c>
      <c r="P32" s="33">
        <v>0.46969696969696972</v>
      </c>
    </row>
    <row r="33" spans="1:16" x14ac:dyDescent="0.45">
      <c r="A33" s="35">
        <v>30</v>
      </c>
      <c r="B33" s="32">
        <v>82</v>
      </c>
      <c r="C33" s="32">
        <v>2.7333333333333334</v>
      </c>
      <c r="D33" s="37">
        <v>1.9666666666666666</v>
      </c>
      <c r="E33" s="33">
        <v>0.36666666666666664</v>
      </c>
      <c r="F33" s="33">
        <v>0.33333333333333331</v>
      </c>
      <c r="G33" s="33">
        <v>0.31192660550458717</v>
      </c>
      <c r="H33" s="33">
        <v>0.13761467889908258</v>
      </c>
      <c r="I33" s="34">
        <v>7964.7058823529414</v>
      </c>
      <c r="J33" s="34">
        <v>-7280</v>
      </c>
      <c r="K33" s="33">
        <v>0.2</v>
      </c>
      <c r="L33" s="33">
        <v>0.13761467889908258</v>
      </c>
      <c r="M33" s="33">
        <v>0.33027522935779818</v>
      </c>
      <c r="N33" s="33">
        <v>0.6333333333333333</v>
      </c>
      <c r="O33" s="33">
        <v>0.41666666666666669</v>
      </c>
      <c r="P33" s="33">
        <v>0.47058823529411764</v>
      </c>
    </row>
    <row r="34" spans="1:16" x14ac:dyDescent="0.45">
      <c r="A34" s="35">
        <v>31</v>
      </c>
      <c r="B34" s="32">
        <v>81.900000000000006</v>
      </c>
      <c r="C34" s="32">
        <v>2.6419354838709679</v>
      </c>
      <c r="D34" s="37">
        <v>1.967741935483871</v>
      </c>
      <c r="E34" s="33">
        <v>0.35483870967741937</v>
      </c>
      <c r="F34" s="33">
        <v>0.32258064516129031</v>
      </c>
      <c r="G34" s="33">
        <v>0.31555555555555553</v>
      </c>
      <c r="H34" s="33">
        <v>0.13333333333333333</v>
      </c>
      <c r="I34" s="34">
        <v>7805.6338028169012</v>
      </c>
      <c r="J34" s="34">
        <v>-7280</v>
      </c>
      <c r="K34" s="33">
        <v>0.19354838709677419</v>
      </c>
      <c r="L34" s="33">
        <v>0.13333333333333333</v>
      </c>
      <c r="M34" s="33">
        <v>0.33333333333333331</v>
      </c>
      <c r="N34" s="33">
        <v>0.6333333333333333</v>
      </c>
      <c r="O34" s="33">
        <v>0.42666666666666669</v>
      </c>
      <c r="P34" s="33">
        <v>0.46478873239436619</v>
      </c>
    </row>
    <row r="35" spans="1:16" x14ac:dyDescent="0.45">
      <c r="A35" s="35">
        <v>32</v>
      </c>
      <c r="B35" s="32">
        <v>76.100000000000009</v>
      </c>
      <c r="C35" s="32">
        <v>2.3781250000000003</v>
      </c>
      <c r="D35" s="37">
        <v>1.96875</v>
      </c>
      <c r="E35" s="33">
        <v>0.34375</v>
      </c>
      <c r="F35" s="33">
        <v>0.3125</v>
      </c>
      <c r="G35" s="33">
        <v>0.31120331950207469</v>
      </c>
      <c r="H35" s="33">
        <v>0.13692946058091288</v>
      </c>
      <c r="I35" s="34">
        <v>7746.666666666667</v>
      </c>
      <c r="J35" s="34">
        <v>-6827.272727272727</v>
      </c>
      <c r="K35" s="33">
        <v>0.1875</v>
      </c>
      <c r="L35" s="33">
        <v>0.13278008298755187</v>
      </c>
      <c r="M35" s="33">
        <v>0.35269709543568467</v>
      </c>
      <c r="N35" s="33">
        <v>0.625</v>
      </c>
      <c r="O35" s="33">
        <v>0.41176470588235292</v>
      </c>
      <c r="P35" s="33">
        <v>0.46666666666666667</v>
      </c>
    </row>
    <row r="36" spans="1:16" x14ac:dyDescent="0.45">
      <c r="A36" s="35">
        <v>33</v>
      </c>
      <c r="B36" s="32">
        <v>84.500000000000014</v>
      </c>
      <c r="C36" s="32">
        <v>2.560606060606061</v>
      </c>
      <c r="D36" s="37">
        <v>1.9696969696969697</v>
      </c>
      <c r="E36" s="33">
        <v>0.33333333333333331</v>
      </c>
      <c r="F36" s="33">
        <v>0.30303030303030304</v>
      </c>
      <c r="G36" s="33">
        <v>0.3147410358565737</v>
      </c>
      <c r="H36" s="33">
        <v>0.1394422310756972</v>
      </c>
      <c r="I36" s="34">
        <v>7745.5696202531644</v>
      </c>
      <c r="J36" s="34">
        <v>-7008.5714285714284</v>
      </c>
      <c r="K36" s="33">
        <v>0.18181818181818182</v>
      </c>
      <c r="L36" s="33">
        <v>0.1394422310756972</v>
      </c>
      <c r="M36" s="33">
        <v>0.36254980079681276</v>
      </c>
      <c r="N36" s="33">
        <v>0.6</v>
      </c>
      <c r="O36" s="33">
        <v>0.4175824175824176</v>
      </c>
      <c r="P36" s="33">
        <v>0.44303797468354428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D540A-ED1C-438D-8FAA-1A53808905F0}">
  <sheetPr codeName="Sheet16"/>
  <dimension ref="A1:Q58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5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5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5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5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5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5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  <row r="46" spans="1:16" x14ac:dyDescent="0.45">
      <c r="A46" s="35">
        <v>43</v>
      </c>
      <c r="B46" s="32">
        <v>-117.99999999999997</v>
      </c>
      <c r="C46" s="32">
        <v>-2.7441860465116275</v>
      </c>
      <c r="D46" s="37">
        <v>2.0232558139534884</v>
      </c>
      <c r="E46" s="33">
        <v>0.27906976744186046</v>
      </c>
      <c r="F46" s="33">
        <v>0.30232558139534882</v>
      </c>
      <c r="G46" s="33">
        <v>0.27696793002915454</v>
      </c>
      <c r="H46" s="33">
        <v>0.11661807580174927</v>
      </c>
      <c r="I46" s="34">
        <v>7565.2631578947367</v>
      </c>
      <c r="J46" s="34">
        <v>-7855</v>
      </c>
      <c r="K46" s="33">
        <v>9.3023255813953487E-2</v>
      </c>
      <c r="L46" s="33">
        <v>0.24198250728862974</v>
      </c>
      <c r="M46" s="33">
        <v>0.24781341107871721</v>
      </c>
      <c r="N46" s="33">
        <v>0.54216867469879515</v>
      </c>
      <c r="O46" s="33">
        <v>0.36470588235294116</v>
      </c>
      <c r="P46" s="33">
        <v>0.41052631578947368</v>
      </c>
    </row>
    <row r="47" spans="1:16" x14ac:dyDescent="0.45">
      <c r="A47" s="35">
        <v>44</v>
      </c>
      <c r="B47" s="32">
        <v>-94.799999999999969</v>
      </c>
      <c r="C47" s="32">
        <v>-2.1545454545454539</v>
      </c>
      <c r="D47" s="37">
        <v>2</v>
      </c>
      <c r="E47" s="33">
        <v>0.29545454545454547</v>
      </c>
      <c r="F47" s="33">
        <v>0.29545454545454547</v>
      </c>
      <c r="G47" s="33">
        <v>0.27793696275071633</v>
      </c>
      <c r="H47" s="33">
        <v>0.11461318051575932</v>
      </c>
      <c r="I47" s="34">
        <v>7615.4639175257735</v>
      </c>
      <c r="J47" s="34">
        <v>-7855</v>
      </c>
      <c r="K47" s="33">
        <v>9.0909090909090912E-2</v>
      </c>
      <c r="L47" s="33">
        <v>0.24928366762177651</v>
      </c>
      <c r="M47" s="33">
        <v>0.24355300859598855</v>
      </c>
      <c r="N47" s="33">
        <v>0.54022988505747127</v>
      </c>
      <c r="O47" s="33">
        <v>0.36470588235294116</v>
      </c>
      <c r="P47" s="33">
        <v>0.40206185567010311</v>
      </c>
    </row>
    <row r="48" spans="1:16" x14ac:dyDescent="0.45">
      <c r="A48" s="35">
        <v>45</v>
      </c>
      <c r="B48" s="32">
        <v>-60.89999999999997</v>
      </c>
      <c r="C48" s="32">
        <v>-1.3533333333333326</v>
      </c>
      <c r="D48" s="37">
        <v>1.9777777777777779</v>
      </c>
      <c r="E48" s="33">
        <v>0.31111111111111112</v>
      </c>
      <c r="F48" s="33">
        <v>0.28888888888888886</v>
      </c>
      <c r="G48" s="33">
        <v>0.28055555555555556</v>
      </c>
      <c r="H48" s="33">
        <v>0.1111111111111111</v>
      </c>
      <c r="I48" s="34">
        <v>7611.8811881188121</v>
      </c>
      <c r="J48" s="34">
        <v>-7855</v>
      </c>
      <c r="K48" s="33">
        <v>8.8888888888888892E-2</v>
      </c>
      <c r="L48" s="33">
        <v>0.25</v>
      </c>
      <c r="M48" s="33">
        <v>0.24722222222222223</v>
      </c>
      <c r="N48" s="33">
        <v>0.53333333333333333</v>
      </c>
      <c r="O48" s="33">
        <v>0.3707865168539326</v>
      </c>
      <c r="P48" s="33">
        <v>0.41584158415841582</v>
      </c>
    </row>
    <row r="49" spans="1:16" x14ac:dyDescent="0.45">
      <c r="A49" s="35">
        <v>46</v>
      </c>
      <c r="B49" s="32">
        <v>-76.899999999999977</v>
      </c>
      <c r="C49" s="32">
        <v>-1.6717391304347822</v>
      </c>
      <c r="D49" s="37">
        <v>2</v>
      </c>
      <c r="E49" s="33">
        <v>0.30434782608695654</v>
      </c>
      <c r="F49" s="33">
        <v>0.30434782608695654</v>
      </c>
      <c r="G49" s="33">
        <v>0.28142076502732238</v>
      </c>
      <c r="H49" s="33">
        <v>0.11475409836065574</v>
      </c>
      <c r="I49" s="34">
        <v>7539.8058252427181</v>
      </c>
      <c r="J49" s="34">
        <v>-7726.1904761904761</v>
      </c>
      <c r="K49" s="33">
        <v>8.6956521739130432E-2</v>
      </c>
      <c r="L49" s="33">
        <v>0.25409836065573771</v>
      </c>
      <c r="M49" s="33">
        <v>0.24316939890710382</v>
      </c>
      <c r="N49" s="33">
        <v>0.5268817204301075</v>
      </c>
      <c r="O49" s="33">
        <v>0.3707865168539326</v>
      </c>
      <c r="P49" s="33">
        <v>0.40776699029126212</v>
      </c>
    </row>
    <row r="50" spans="1:16" x14ac:dyDescent="0.45">
      <c r="A50" s="35">
        <v>47</v>
      </c>
      <c r="B50" s="32">
        <v>-26.09999999999998</v>
      </c>
      <c r="C50" s="32">
        <v>-0.55531914893616974</v>
      </c>
      <c r="D50" s="37">
        <v>1.9787234042553192</v>
      </c>
      <c r="E50" s="33">
        <v>0.31914893617021278</v>
      </c>
      <c r="F50" s="33">
        <v>0.2978723404255319</v>
      </c>
      <c r="G50" s="33">
        <v>0.28533333333333333</v>
      </c>
      <c r="H50" s="33">
        <v>0.112</v>
      </c>
      <c r="I50" s="34">
        <v>7702.8037383177571</v>
      </c>
      <c r="J50" s="34">
        <v>-7726.1904761904761</v>
      </c>
      <c r="K50" s="33">
        <v>8.5106382978723402E-2</v>
      </c>
      <c r="L50" s="33">
        <v>0.25333333333333335</v>
      </c>
      <c r="M50" s="33">
        <v>0.24266666666666667</v>
      </c>
      <c r="N50" s="33">
        <v>0.5368421052631579</v>
      </c>
      <c r="O50" s="33">
        <v>0.37362637362637363</v>
      </c>
      <c r="P50" s="33">
        <v>0.41121495327102803</v>
      </c>
    </row>
    <row r="51" spans="1:16" x14ac:dyDescent="0.45">
      <c r="A51" s="35">
        <v>48</v>
      </c>
      <c r="B51" s="32">
        <v>-19.899999999999981</v>
      </c>
      <c r="C51" s="32">
        <v>-0.41458333333333292</v>
      </c>
      <c r="D51" s="37">
        <v>1.9791666666666667</v>
      </c>
      <c r="E51" s="33">
        <v>0.3125</v>
      </c>
      <c r="F51" s="33">
        <v>0.29166666666666669</v>
      </c>
      <c r="G51" s="33">
        <v>0.28720626631853785</v>
      </c>
      <c r="H51" s="33">
        <v>0.11488250652741515</v>
      </c>
      <c r="I51" s="34">
        <v>7708.181818181818</v>
      </c>
      <c r="J51" s="34">
        <v>-7829.545454545455</v>
      </c>
      <c r="K51" s="33">
        <v>8.3333333333333329E-2</v>
      </c>
      <c r="L51" s="33">
        <v>0.25848563968668409</v>
      </c>
      <c r="M51" s="33">
        <v>0.23759791122715404</v>
      </c>
      <c r="N51" s="33">
        <v>0.54545454545454541</v>
      </c>
      <c r="O51" s="33">
        <v>0.37362637362637363</v>
      </c>
      <c r="P51" s="33">
        <v>0.41818181818181815</v>
      </c>
    </row>
    <row r="52" spans="1:16" x14ac:dyDescent="0.45">
      <c r="A52" s="35">
        <v>49</v>
      </c>
      <c r="B52" s="32">
        <v>13.800000000000022</v>
      </c>
      <c r="C52" s="32">
        <v>0.28163265306122492</v>
      </c>
      <c r="D52" s="37">
        <v>1.9591836734693877</v>
      </c>
      <c r="E52" s="33">
        <v>0.32653061224489793</v>
      </c>
      <c r="F52" s="33">
        <v>0.2857142857142857</v>
      </c>
      <c r="G52" s="33">
        <v>0.2879177377892031</v>
      </c>
      <c r="H52" s="33">
        <v>0.11311053984575835</v>
      </c>
      <c r="I52" s="34">
        <v>7820.5357142857147</v>
      </c>
      <c r="J52" s="34">
        <v>-7829.545454545455</v>
      </c>
      <c r="K52" s="33">
        <v>8.1632653061224483E-2</v>
      </c>
      <c r="L52" s="33">
        <v>0.25706940874035988</v>
      </c>
      <c r="M52" s="33">
        <v>0.2416452442159383</v>
      </c>
      <c r="N52" s="33">
        <v>0.55000000000000004</v>
      </c>
      <c r="O52" s="33">
        <v>0.36170212765957449</v>
      </c>
      <c r="P52" s="33">
        <v>0.42857142857142855</v>
      </c>
    </row>
    <row r="53" spans="1:16" x14ac:dyDescent="0.45">
      <c r="A53" s="35">
        <v>50</v>
      </c>
      <c r="B53" s="32">
        <v>-11.599999999999977</v>
      </c>
      <c r="C53" s="32">
        <v>-0.23199999999999954</v>
      </c>
      <c r="D53" s="37">
        <v>1.98</v>
      </c>
      <c r="E53" s="33">
        <v>0.32</v>
      </c>
      <c r="F53" s="33">
        <v>0.3</v>
      </c>
      <c r="G53" s="33">
        <v>0.28607594936708863</v>
      </c>
      <c r="H53" s="33">
        <v>0.11645569620253164</v>
      </c>
      <c r="I53" s="34">
        <v>7786.7256637168139</v>
      </c>
      <c r="J53" s="34">
        <v>-7747.826086956522</v>
      </c>
      <c r="K53" s="33">
        <v>0.08</v>
      </c>
      <c r="L53" s="33">
        <v>0.25569620253164554</v>
      </c>
      <c r="M53" s="33">
        <v>0.2481012658227848</v>
      </c>
      <c r="N53" s="33">
        <v>0.54455445544554459</v>
      </c>
      <c r="O53" s="33">
        <v>0.35714285714285715</v>
      </c>
      <c r="P53" s="33">
        <v>0.4336283185840708</v>
      </c>
    </row>
    <row r="54" spans="1:16" x14ac:dyDescent="0.45">
      <c r="A54" s="35">
        <v>51</v>
      </c>
      <c r="B54" s="32">
        <v>-66.299999999999983</v>
      </c>
      <c r="C54" s="32">
        <v>-1.2999999999999996</v>
      </c>
      <c r="D54" s="37">
        <v>2</v>
      </c>
      <c r="E54" s="33">
        <v>0.31372549019607843</v>
      </c>
      <c r="F54" s="33">
        <v>0.31372549019607843</v>
      </c>
      <c r="G54" s="33">
        <v>0.27980535279805352</v>
      </c>
      <c r="H54" s="33">
        <v>0.11922141119221411</v>
      </c>
      <c r="I54" s="34">
        <v>7701.739130434783</v>
      </c>
      <c r="J54" s="34">
        <v>-7618.3673469387759</v>
      </c>
      <c r="K54" s="33">
        <v>9.8039215686274508E-2</v>
      </c>
      <c r="L54" s="33">
        <v>0.24574209245742093</v>
      </c>
      <c r="M54" s="33">
        <v>0.24574209245742093</v>
      </c>
      <c r="N54" s="33">
        <v>0.54455445544554459</v>
      </c>
      <c r="O54" s="33">
        <v>0.35643564356435642</v>
      </c>
      <c r="P54" s="33">
        <v>0.42608695652173911</v>
      </c>
    </row>
    <row r="55" spans="1:16" x14ac:dyDescent="0.45">
      <c r="A55" s="35">
        <v>52</v>
      </c>
      <c r="B55" s="32">
        <v>-46.09999999999998</v>
      </c>
      <c r="C55" s="32">
        <v>-0.88653846153846116</v>
      </c>
      <c r="D55" s="37">
        <v>1.9807692307692308</v>
      </c>
      <c r="E55" s="33">
        <v>0.32692307692307693</v>
      </c>
      <c r="F55" s="33">
        <v>0.30769230769230771</v>
      </c>
      <c r="G55" s="33">
        <v>0.28297362110311752</v>
      </c>
      <c r="H55" s="33">
        <v>0.11990407673860912</v>
      </c>
      <c r="I55" s="34">
        <v>7774.5762711864409</v>
      </c>
      <c r="J55" s="34">
        <v>-7786</v>
      </c>
      <c r="K55" s="33">
        <v>9.6153846153846159E-2</v>
      </c>
      <c r="L55" s="33">
        <v>0.2446043165467626</v>
      </c>
      <c r="M55" s="33">
        <v>0.25179856115107913</v>
      </c>
      <c r="N55" s="33">
        <v>0.5490196078431373</v>
      </c>
      <c r="O55" s="33">
        <v>0.3619047619047619</v>
      </c>
      <c r="P55" s="33">
        <v>0.43220338983050849</v>
      </c>
    </row>
    <row r="56" spans="1:16" x14ac:dyDescent="0.45">
      <c r="A56" s="35">
        <v>53</v>
      </c>
      <c r="B56" s="32">
        <v>-73.59999999999998</v>
      </c>
      <c r="C56" s="32">
        <v>-1.3886792452830186</v>
      </c>
      <c r="D56" s="37">
        <v>2</v>
      </c>
      <c r="E56" s="33">
        <v>0.32075471698113206</v>
      </c>
      <c r="F56" s="33">
        <v>0.32075471698113206</v>
      </c>
      <c r="G56" s="33">
        <v>0.28235294117647058</v>
      </c>
      <c r="H56" s="33">
        <v>0.11764705882352941</v>
      </c>
      <c r="I56" s="34">
        <v>7695</v>
      </c>
      <c r="J56" s="34">
        <v>-7786</v>
      </c>
      <c r="K56" s="33">
        <v>9.4339622641509441E-2</v>
      </c>
      <c r="L56" s="33">
        <v>0.24235294117647058</v>
      </c>
      <c r="M56" s="33">
        <v>0.2541176470588235</v>
      </c>
      <c r="N56" s="33">
        <v>0.5436893203883495</v>
      </c>
      <c r="O56" s="33">
        <v>0.37037037037037035</v>
      </c>
      <c r="P56" s="33">
        <v>0.43333333333333335</v>
      </c>
    </row>
    <row r="57" spans="1:16" x14ac:dyDescent="0.45">
      <c r="A57" s="35">
        <v>54</v>
      </c>
      <c r="B57" s="32">
        <v>-104.39999999999998</v>
      </c>
      <c r="C57" s="32">
        <v>-1.9333333333333329</v>
      </c>
      <c r="D57" s="37">
        <v>2.0185185185185186</v>
      </c>
      <c r="E57" s="33">
        <v>0.31481481481481483</v>
      </c>
      <c r="F57" s="33">
        <v>0.33333333333333331</v>
      </c>
      <c r="G57" s="33">
        <v>0.28310502283105021</v>
      </c>
      <c r="H57" s="33">
        <v>0.11872146118721461</v>
      </c>
      <c r="I57" s="34">
        <v>7693.5483870967746</v>
      </c>
      <c r="J57" s="34">
        <v>-7998.0769230769229</v>
      </c>
      <c r="K57" s="33">
        <v>9.2592592592592587E-2</v>
      </c>
      <c r="L57" s="33">
        <v>0.24200913242009131</v>
      </c>
      <c r="M57" s="33">
        <v>0.25342465753424659</v>
      </c>
      <c r="N57" s="33">
        <v>0.54716981132075471</v>
      </c>
      <c r="O57" s="33">
        <v>0.3783783783783784</v>
      </c>
      <c r="P57" s="33">
        <v>0.41935483870967744</v>
      </c>
    </row>
    <row r="58" spans="1:16" x14ac:dyDescent="0.45">
      <c r="A58" s="35">
        <v>55</v>
      </c>
      <c r="B58" s="32">
        <v>-68.199999999999974</v>
      </c>
      <c r="C58" s="32">
        <v>-1.2399999999999995</v>
      </c>
      <c r="D58" s="37">
        <v>2</v>
      </c>
      <c r="E58" s="33">
        <v>0.32727272727272727</v>
      </c>
      <c r="F58" s="33">
        <v>0.32727272727272727</v>
      </c>
      <c r="G58" s="33">
        <v>0.28475336322869954</v>
      </c>
      <c r="H58" s="33">
        <v>0.11659192825112108</v>
      </c>
      <c r="I58" s="34">
        <v>7690.5511811023625</v>
      </c>
      <c r="J58" s="34">
        <v>-7998.0769230769229</v>
      </c>
      <c r="K58" s="33">
        <v>9.0909090909090912E-2</v>
      </c>
      <c r="L58" s="33">
        <v>0.23766816143497757</v>
      </c>
      <c r="M58" s="33">
        <v>0.25784753363228702</v>
      </c>
      <c r="N58" s="33">
        <v>0.54716981132075471</v>
      </c>
      <c r="O58" s="33">
        <v>0.39130434782608697</v>
      </c>
      <c r="P58" s="33">
        <v>0.41732283464566927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48E81-B496-4E0B-8B41-0F484153F2BA}">
  <sheetPr codeName="Sheet14"/>
  <dimension ref="A1:Q38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5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5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5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5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5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  <row r="28" spans="1:16" x14ac:dyDescent="0.45">
      <c r="A28" s="35">
        <v>25</v>
      </c>
      <c r="B28" s="32">
        <v>-227.29999999999993</v>
      </c>
      <c r="C28" s="32">
        <v>-9.091999999999997</v>
      </c>
      <c r="D28" s="37">
        <v>2.2799999999999998</v>
      </c>
      <c r="E28" s="33">
        <v>0.2</v>
      </c>
      <c r="F28" s="33">
        <v>0.48</v>
      </c>
      <c r="G28" s="33">
        <v>0.27513227513227512</v>
      </c>
      <c r="H28" s="33">
        <v>0.16402116402116401</v>
      </c>
      <c r="I28" s="34">
        <v>8023.0769230769229</v>
      </c>
      <c r="J28" s="34">
        <v>-7961.2903225806449</v>
      </c>
      <c r="K28" s="33">
        <v>0.24</v>
      </c>
      <c r="L28" s="33">
        <v>0.21693121693121692</v>
      </c>
      <c r="M28" s="33">
        <v>0.14814814814814814</v>
      </c>
      <c r="N28" s="33">
        <v>0.48780487804878048</v>
      </c>
      <c r="O28" s="33">
        <v>0.5714285714285714</v>
      </c>
      <c r="P28" s="33">
        <v>0.42307692307692307</v>
      </c>
    </row>
    <row r="29" spans="1:16" x14ac:dyDescent="0.45">
      <c r="A29" s="35">
        <v>26</v>
      </c>
      <c r="B29" s="32">
        <v>-260.29999999999995</v>
      </c>
      <c r="C29" s="32">
        <v>-10.011538461538461</v>
      </c>
      <c r="D29" s="37">
        <v>2.3076923076923075</v>
      </c>
      <c r="E29" s="33">
        <v>0.19230769230769232</v>
      </c>
      <c r="F29" s="33">
        <v>0.5</v>
      </c>
      <c r="G29" s="33">
        <v>0.26903553299492383</v>
      </c>
      <c r="H29" s="33">
        <v>0.17766497461928935</v>
      </c>
      <c r="I29" s="34">
        <v>8022.6415094339627</v>
      </c>
      <c r="J29" s="34">
        <v>-7828.5714285714284</v>
      </c>
      <c r="K29" s="33">
        <v>0.23076923076923078</v>
      </c>
      <c r="L29" s="33">
        <v>0.2233502538071066</v>
      </c>
      <c r="M29" s="33">
        <v>0.14213197969543148</v>
      </c>
      <c r="N29" s="33">
        <v>0.47727272727272729</v>
      </c>
      <c r="O29" s="33">
        <v>0.5714285714285714</v>
      </c>
      <c r="P29" s="33">
        <v>0.43396226415094341</v>
      </c>
    </row>
    <row r="30" spans="1:16" x14ac:dyDescent="0.45">
      <c r="A30" s="35">
        <v>27</v>
      </c>
      <c r="B30" s="32">
        <v>-225.79999999999995</v>
      </c>
      <c r="C30" s="32">
        <v>-8.3629629629629605</v>
      </c>
      <c r="D30" s="37">
        <v>2.2592592592592591</v>
      </c>
      <c r="E30" s="33">
        <v>0.22222222222222221</v>
      </c>
      <c r="F30" s="33">
        <v>0.48148148148148145</v>
      </c>
      <c r="G30" s="33">
        <v>0.27941176470588236</v>
      </c>
      <c r="H30" s="33">
        <v>0.17156862745098039</v>
      </c>
      <c r="I30" s="34">
        <v>7915.7894736842109</v>
      </c>
      <c r="J30" s="34">
        <v>-7828.5714285714284</v>
      </c>
      <c r="K30" s="33">
        <v>0.22222222222222221</v>
      </c>
      <c r="L30" s="33">
        <v>0.22549019607843138</v>
      </c>
      <c r="M30" s="33">
        <v>0.14215686274509803</v>
      </c>
      <c r="N30" s="33">
        <v>0.5</v>
      </c>
      <c r="O30" s="33">
        <v>0.58620689655172409</v>
      </c>
      <c r="P30" s="33">
        <v>0.45614035087719296</v>
      </c>
    </row>
    <row r="31" spans="1:16" x14ac:dyDescent="0.45">
      <c r="A31" s="35">
        <v>28</v>
      </c>
      <c r="B31" s="32">
        <v>-222.39999999999995</v>
      </c>
      <c r="C31" s="32">
        <v>-7.9428571428571413</v>
      </c>
      <c r="D31" s="37">
        <v>2.25</v>
      </c>
      <c r="E31" s="33">
        <v>0.21428571428571427</v>
      </c>
      <c r="F31" s="33">
        <v>0.4642857142857143</v>
      </c>
      <c r="G31" s="33">
        <v>0.28773584905660377</v>
      </c>
      <c r="H31" s="33">
        <v>0.1650943396226415</v>
      </c>
      <c r="I31" s="34">
        <v>7760.6557377049185</v>
      </c>
      <c r="J31" s="34">
        <v>-7828.5714285714284</v>
      </c>
      <c r="K31" s="33">
        <v>0.21428571428571427</v>
      </c>
      <c r="L31" s="33">
        <v>0.22169811320754718</v>
      </c>
      <c r="M31" s="33">
        <v>0.14622641509433962</v>
      </c>
      <c r="N31" s="33">
        <v>0.51063829787234039</v>
      </c>
      <c r="O31" s="33">
        <v>0.61290322580645162</v>
      </c>
      <c r="P31" s="33">
        <v>0.44262295081967212</v>
      </c>
    </row>
    <row r="32" spans="1:16" x14ac:dyDescent="0.45">
      <c r="A32" s="35">
        <v>29</v>
      </c>
      <c r="B32" s="32">
        <v>-243.09999999999994</v>
      </c>
      <c r="C32" s="32">
        <v>-8.3827586206896534</v>
      </c>
      <c r="D32" s="37">
        <v>2.2758620689655173</v>
      </c>
      <c r="E32" s="33">
        <v>0.20689655172413793</v>
      </c>
      <c r="F32" s="33">
        <v>0.48275862068965519</v>
      </c>
      <c r="G32" s="33">
        <v>0.28636363636363638</v>
      </c>
      <c r="H32" s="33">
        <v>0.17272727272727273</v>
      </c>
      <c r="I32" s="34">
        <v>7642.8571428571431</v>
      </c>
      <c r="J32" s="34">
        <v>-7550</v>
      </c>
      <c r="K32" s="33">
        <v>0.20689655172413793</v>
      </c>
      <c r="L32" s="33">
        <v>0.21363636363636362</v>
      </c>
      <c r="M32" s="33">
        <v>0.15</v>
      </c>
      <c r="N32" s="33">
        <v>0.51063829787234039</v>
      </c>
      <c r="O32" s="33">
        <v>0.63636363636363635</v>
      </c>
      <c r="P32" s="33">
        <v>0.42857142857142855</v>
      </c>
    </row>
    <row r="33" spans="1:16" x14ac:dyDescent="0.45">
      <c r="A33" s="35">
        <v>30</v>
      </c>
      <c r="B33" s="32">
        <v>-270.19999999999993</v>
      </c>
      <c r="C33" s="32">
        <v>-9.0066666666666642</v>
      </c>
      <c r="D33" s="37">
        <v>2.2999999999999998</v>
      </c>
      <c r="E33" s="33">
        <v>0.2</v>
      </c>
      <c r="F33" s="33">
        <v>0.5</v>
      </c>
      <c r="G33" s="33">
        <v>0.27753303964757708</v>
      </c>
      <c r="H33" s="33">
        <v>0.1762114537444934</v>
      </c>
      <c r="I33" s="34">
        <v>7642.8571428571431</v>
      </c>
      <c r="J33" s="34">
        <v>-7342.5</v>
      </c>
      <c r="K33" s="33">
        <v>0.2</v>
      </c>
      <c r="L33" s="33">
        <v>0.21145374449339208</v>
      </c>
      <c r="M33" s="33">
        <v>0.15418502202643172</v>
      </c>
      <c r="N33" s="33">
        <v>0.5</v>
      </c>
      <c r="O33" s="33">
        <v>0.6</v>
      </c>
      <c r="P33" s="33">
        <v>0.42857142857142855</v>
      </c>
    </row>
    <row r="34" spans="1:16" x14ac:dyDescent="0.45">
      <c r="A34" s="35">
        <v>31</v>
      </c>
      <c r="B34" s="32">
        <v>-285.89999999999992</v>
      </c>
      <c r="C34" s="32">
        <v>-9.2225806451612886</v>
      </c>
      <c r="D34" s="37">
        <v>2.3225806451612905</v>
      </c>
      <c r="E34" s="33">
        <v>0.19354838709677419</v>
      </c>
      <c r="F34" s="33">
        <v>0.5161290322580645</v>
      </c>
      <c r="G34" s="33">
        <v>0.27542372881355931</v>
      </c>
      <c r="H34" s="33">
        <v>0.16949152542372881</v>
      </c>
      <c r="I34" s="34">
        <v>7644.6153846153848</v>
      </c>
      <c r="J34" s="34">
        <v>-7342.5</v>
      </c>
      <c r="K34" s="33">
        <v>0.19354838709677419</v>
      </c>
      <c r="L34" s="33">
        <v>0.21186440677966101</v>
      </c>
      <c r="M34" s="33">
        <v>0.16101694915254236</v>
      </c>
      <c r="N34" s="33">
        <v>0.48</v>
      </c>
      <c r="O34" s="33">
        <v>0.60526315789473684</v>
      </c>
      <c r="P34" s="33">
        <v>0.43076923076923079</v>
      </c>
    </row>
    <row r="35" spans="1:16" x14ac:dyDescent="0.45">
      <c r="A35" s="35">
        <v>32</v>
      </c>
      <c r="B35" s="32">
        <v>-277.49999999999994</v>
      </c>
      <c r="C35" s="32">
        <v>-8.6718749999999982</v>
      </c>
      <c r="D35" s="37">
        <v>2.3125</v>
      </c>
      <c r="E35" s="33">
        <v>0.1875</v>
      </c>
      <c r="F35" s="33">
        <v>0.5</v>
      </c>
      <c r="G35" s="33">
        <v>0.27049180327868855</v>
      </c>
      <c r="H35" s="33">
        <v>0.16803278688524589</v>
      </c>
      <c r="I35" s="34">
        <v>7892.424242424242</v>
      </c>
      <c r="J35" s="34">
        <v>-7195.1219512195121</v>
      </c>
      <c r="K35" s="33">
        <v>0.1875</v>
      </c>
      <c r="L35" s="33">
        <v>0.21311475409836064</v>
      </c>
      <c r="M35" s="33">
        <v>0.1598360655737705</v>
      </c>
      <c r="N35" s="33">
        <v>0.48076923076923078</v>
      </c>
      <c r="O35" s="33">
        <v>0.58974358974358976</v>
      </c>
      <c r="P35" s="33">
        <v>0.43939393939393939</v>
      </c>
    </row>
    <row r="36" spans="1:16" x14ac:dyDescent="0.45">
      <c r="A36" s="35">
        <v>33</v>
      </c>
      <c r="B36" s="32">
        <v>-276.19999999999993</v>
      </c>
      <c r="C36" s="32">
        <v>-8.3696969696969674</v>
      </c>
      <c r="D36" s="37">
        <v>2.3030303030303032</v>
      </c>
      <c r="E36" s="33">
        <v>0.18181818181818182</v>
      </c>
      <c r="F36" s="33">
        <v>0.48484848484848486</v>
      </c>
      <c r="G36" s="33">
        <v>0.2723735408560311</v>
      </c>
      <c r="H36" s="33">
        <v>0.17120622568093385</v>
      </c>
      <c r="I36" s="34">
        <v>8015.7142857142853</v>
      </c>
      <c r="J36" s="34">
        <v>-7452.272727272727</v>
      </c>
      <c r="K36" s="33">
        <v>0.18181818181818182</v>
      </c>
      <c r="L36" s="33">
        <v>0.21789883268482491</v>
      </c>
      <c r="M36" s="33">
        <v>0.15953307392996108</v>
      </c>
      <c r="N36" s="33">
        <v>0.5</v>
      </c>
      <c r="O36" s="33">
        <v>0.58536585365853655</v>
      </c>
      <c r="P36" s="33">
        <v>0.45714285714285713</v>
      </c>
    </row>
    <row r="37" spans="1:16" x14ac:dyDescent="0.45">
      <c r="A37" s="35">
        <v>34</v>
      </c>
      <c r="B37" s="32">
        <v>-295.39999999999992</v>
      </c>
      <c r="C37" s="32">
        <v>-8.6882352941176446</v>
      </c>
      <c r="D37" s="37">
        <v>2.3235294117647061</v>
      </c>
      <c r="E37" s="33">
        <v>0.17647058823529413</v>
      </c>
      <c r="F37" s="33">
        <v>0.5</v>
      </c>
      <c r="G37" s="33">
        <v>0.27376425855513309</v>
      </c>
      <c r="H37" s="33">
        <v>0.17490494296577946</v>
      </c>
      <c r="I37" s="34">
        <v>7877.7777777777774</v>
      </c>
      <c r="J37" s="34">
        <v>-7428.260869565217</v>
      </c>
      <c r="K37" s="33">
        <v>0.17647058823529413</v>
      </c>
      <c r="L37" s="33">
        <v>0.21292775665399238</v>
      </c>
      <c r="M37" s="33">
        <v>0.16730038022813687</v>
      </c>
      <c r="N37" s="33">
        <v>0.5</v>
      </c>
      <c r="O37" s="33">
        <v>0.59090909090909094</v>
      </c>
      <c r="P37" s="33">
        <v>0.47222222222222221</v>
      </c>
    </row>
    <row r="38" spans="1:16" x14ac:dyDescent="0.45">
      <c r="A38" s="35">
        <v>35</v>
      </c>
      <c r="B38" s="32">
        <v>-288.2999999999999</v>
      </c>
      <c r="C38" s="32">
        <v>-8.2371428571428549</v>
      </c>
      <c r="D38" s="37">
        <v>2.3142857142857145</v>
      </c>
      <c r="E38" s="33">
        <v>0.17142857142857143</v>
      </c>
      <c r="F38" s="33">
        <v>0.48571428571428571</v>
      </c>
      <c r="G38" s="33">
        <v>0.27407407407407408</v>
      </c>
      <c r="H38" s="33">
        <v>0.17037037037037037</v>
      </c>
      <c r="I38" s="34">
        <v>7848.6486486486483</v>
      </c>
      <c r="J38" s="34">
        <v>-7428.260869565217</v>
      </c>
      <c r="K38" s="33">
        <v>0.17142857142857143</v>
      </c>
      <c r="L38" s="33">
        <v>0.21481481481481482</v>
      </c>
      <c r="M38" s="33">
        <v>0.16666666666666666</v>
      </c>
      <c r="N38" s="33">
        <v>0.5</v>
      </c>
      <c r="O38" s="33">
        <v>0.57777777777777772</v>
      </c>
      <c r="P38" s="33">
        <v>0.48648648648648651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652FD-D1C2-453D-8583-1CA8940CD3A5}">
  <sheetPr codeName="Sheet12"/>
  <dimension ref="A1:Q8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5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5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5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45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  <row r="58" spans="1:16" x14ac:dyDescent="0.45">
      <c r="A58" s="35">
        <v>55</v>
      </c>
      <c r="B58" s="32">
        <v>627.40000000000009</v>
      </c>
      <c r="C58" s="32">
        <v>11.407272727272728</v>
      </c>
      <c r="D58" s="37">
        <v>1.7636363636363637</v>
      </c>
      <c r="E58" s="33">
        <v>0.43636363636363634</v>
      </c>
      <c r="F58" s="33">
        <v>0.2</v>
      </c>
      <c r="G58" s="33">
        <v>0.33333333333333331</v>
      </c>
      <c r="H58" s="33">
        <v>0.14184397163120568</v>
      </c>
      <c r="I58" s="34">
        <v>10036.879432624113</v>
      </c>
      <c r="J58" s="34">
        <v>-8511.6666666666661</v>
      </c>
      <c r="K58" s="33">
        <v>5.4545454545454543E-2</v>
      </c>
      <c r="L58" s="33">
        <v>0.25295508274231676</v>
      </c>
      <c r="M58" s="33">
        <v>0.16548463356973994</v>
      </c>
      <c r="N58" s="33">
        <v>0.62616822429906538</v>
      </c>
      <c r="O58" s="33">
        <v>0.51428571428571423</v>
      </c>
      <c r="P58" s="33">
        <v>0.51773049645390068</v>
      </c>
    </row>
    <row r="59" spans="1:16" x14ac:dyDescent="0.45">
      <c r="A59" s="35">
        <v>56</v>
      </c>
      <c r="B59" s="32">
        <v>646.00000000000011</v>
      </c>
      <c r="C59" s="32">
        <v>11.535714285714288</v>
      </c>
      <c r="D59" s="37">
        <v>1.75</v>
      </c>
      <c r="E59" s="33">
        <v>0.44642857142857145</v>
      </c>
      <c r="F59" s="33">
        <v>0.19642857142857142</v>
      </c>
      <c r="G59" s="33">
        <v>0.33101851851851855</v>
      </c>
      <c r="H59" s="33">
        <v>0.14120370370370369</v>
      </c>
      <c r="I59" s="34">
        <v>10022.377622377622</v>
      </c>
      <c r="J59" s="34">
        <v>-8411.4754098360663</v>
      </c>
      <c r="K59" s="33">
        <v>5.3571428571428568E-2</v>
      </c>
      <c r="L59" s="33">
        <v>0.25462962962962965</v>
      </c>
      <c r="M59" s="33">
        <v>0.16203703703703703</v>
      </c>
      <c r="N59" s="33">
        <v>0.62727272727272732</v>
      </c>
      <c r="O59" s="33">
        <v>0.51428571428571423</v>
      </c>
      <c r="P59" s="33">
        <v>0.5174825174825175</v>
      </c>
    </row>
    <row r="60" spans="1:16" x14ac:dyDescent="0.45">
      <c r="A60" s="35">
        <v>57</v>
      </c>
      <c r="B60" s="32">
        <v>644.60000000000014</v>
      </c>
      <c r="C60" s="32">
        <v>11.308771929824564</v>
      </c>
      <c r="D60" s="37">
        <v>1.7543859649122806</v>
      </c>
      <c r="E60" s="33">
        <v>0.43859649122807015</v>
      </c>
      <c r="F60" s="33">
        <v>0.19298245614035087</v>
      </c>
      <c r="G60" s="33">
        <v>0.33105022831050229</v>
      </c>
      <c r="H60" s="33">
        <v>0.14383561643835616</v>
      </c>
      <c r="I60" s="34">
        <v>10022.068965517241</v>
      </c>
      <c r="J60" s="34">
        <v>-8461.9047619047615</v>
      </c>
      <c r="K60" s="33">
        <v>5.2631578947368418E-2</v>
      </c>
      <c r="L60" s="33">
        <v>0.25114155251141551</v>
      </c>
      <c r="M60" s="33">
        <v>0.15981735159817351</v>
      </c>
      <c r="N60" s="33">
        <v>0.62727272727272732</v>
      </c>
      <c r="O60" s="33">
        <v>0.51428571428571423</v>
      </c>
      <c r="P60" s="33">
        <v>0.51724137931034486</v>
      </c>
    </row>
    <row r="61" spans="1:16" x14ac:dyDescent="0.45">
      <c r="A61" s="35">
        <v>58</v>
      </c>
      <c r="B61" s="32">
        <v>636.70000000000016</v>
      </c>
      <c r="C61" s="32">
        <v>10.977586206896554</v>
      </c>
      <c r="D61" s="37">
        <v>1.7586206896551724</v>
      </c>
      <c r="E61" s="33">
        <v>0.43103448275862066</v>
      </c>
      <c r="F61" s="33">
        <v>0.18965517241379309</v>
      </c>
      <c r="G61" s="33">
        <v>0.32511210762331838</v>
      </c>
      <c r="H61" s="33">
        <v>0.14125560538116591</v>
      </c>
      <c r="I61" s="34">
        <v>10022.068965517241</v>
      </c>
      <c r="J61" s="34">
        <v>-8461.9047619047615</v>
      </c>
      <c r="K61" s="33">
        <v>5.1724137931034482E-2</v>
      </c>
      <c r="L61" s="33">
        <v>0.24663677130044842</v>
      </c>
      <c r="M61" s="33">
        <v>0.15919282511210761</v>
      </c>
      <c r="N61" s="33">
        <v>0.62727272727272732</v>
      </c>
      <c r="O61" s="33">
        <v>0.50704225352112675</v>
      </c>
      <c r="P61" s="33">
        <v>0.51724137931034486</v>
      </c>
    </row>
    <row r="62" spans="1:16" x14ac:dyDescent="0.45">
      <c r="A62" s="35">
        <v>59</v>
      </c>
      <c r="B62" s="32">
        <v>633.30000000000018</v>
      </c>
      <c r="C62" s="32">
        <v>10.733898305084749</v>
      </c>
      <c r="D62" s="37">
        <v>1.7627118644067796</v>
      </c>
      <c r="E62" s="33">
        <v>0.42372881355932202</v>
      </c>
      <c r="F62" s="33">
        <v>0.1864406779661017</v>
      </c>
      <c r="G62" s="33">
        <v>0.32527472527472528</v>
      </c>
      <c r="H62" s="33">
        <v>0.14285714285714285</v>
      </c>
      <c r="I62" s="34">
        <v>10129.72972972973</v>
      </c>
      <c r="J62" s="34">
        <v>-8615.3846153846152</v>
      </c>
      <c r="K62" s="33">
        <v>5.0847457627118647E-2</v>
      </c>
      <c r="L62" s="33">
        <v>0.25274725274725274</v>
      </c>
      <c r="M62" s="33">
        <v>0.15824175824175823</v>
      </c>
      <c r="N62" s="33">
        <v>0.62608695652173918</v>
      </c>
      <c r="O62" s="33">
        <v>0.5</v>
      </c>
      <c r="P62" s="33">
        <v>0.51351351351351349</v>
      </c>
    </row>
    <row r="63" spans="1:16" x14ac:dyDescent="0.45">
      <c r="A63" s="35">
        <v>60</v>
      </c>
      <c r="B63" s="32">
        <v>629.20000000000016</v>
      </c>
      <c r="C63" s="32">
        <v>10.48666666666667</v>
      </c>
      <c r="D63" s="37">
        <v>1.7666666666666666</v>
      </c>
      <c r="E63" s="33">
        <v>0.41666666666666669</v>
      </c>
      <c r="F63" s="33">
        <v>0.18333333333333332</v>
      </c>
      <c r="G63" s="33">
        <v>0.32188841201716739</v>
      </c>
      <c r="H63" s="33">
        <v>0.13948497854077252</v>
      </c>
      <c r="I63" s="34">
        <v>10082.666666666666</v>
      </c>
      <c r="J63" s="34">
        <v>-8615.3846153846152</v>
      </c>
      <c r="K63" s="33">
        <v>0.05</v>
      </c>
      <c r="L63" s="33">
        <v>0.24892703862660945</v>
      </c>
      <c r="M63" s="33">
        <v>0.1609442060085837</v>
      </c>
      <c r="N63" s="33">
        <v>0.62931034482758619</v>
      </c>
      <c r="O63" s="33">
        <v>0.49333333333333335</v>
      </c>
      <c r="P63" s="33">
        <v>0.52</v>
      </c>
    </row>
    <row r="64" spans="1:16" x14ac:dyDescent="0.45">
      <c r="A64" s="35">
        <v>61</v>
      </c>
      <c r="B64" s="32">
        <v>581.20000000000016</v>
      </c>
      <c r="C64" s="32">
        <v>9.5278688524590187</v>
      </c>
      <c r="D64" s="37">
        <v>1.7868852459016393</v>
      </c>
      <c r="E64" s="33">
        <v>0.4098360655737705</v>
      </c>
      <c r="F64" s="33">
        <v>0.19672131147540983</v>
      </c>
      <c r="G64" s="33">
        <v>0.31923890063424948</v>
      </c>
      <c r="H64" s="33">
        <v>0.14164904862579281</v>
      </c>
      <c r="I64" s="34">
        <v>10042.384105960266</v>
      </c>
      <c r="J64" s="34">
        <v>-8656.7164179104475</v>
      </c>
      <c r="K64" s="33">
        <v>6.5573770491803282E-2</v>
      </c>
      <c r="L64" s="33">
        <v>0.25158562367864695</v>
      </c>
      <c r="M64" s="33">
        <v>0.15856236786469344</v>
      </c>
      <c r="N64" s="33">
        <v>0.62184873949579833</v>
      </c>
      <c r="O64" s="33">
        <v>0.49333333333333335</v>
      </c>
      <c r="P64" s="33">
        <v>0.52317880794701987</v>
      </c>
    </row>
    <row r="65" spans="1:16" x14ac:dyDescent="0.45">
      <c r="A65" s="35">
        <v>62</v>
      </c>
      <c r="B65" s="32">
        <v>534.9000000000002</v>
      </c>
      <c r="C65" s="32">
        <v>8.6274193548387128</v>
      </c>
      <c r="D65" s="37">
        <v>1.8064516129032258</v>
      </c>
      <c r="E65" s="33">
        <v>0.40322580645161288</v>
      </c>
      <c r="F65" s="33">
        <v>0.20967741935483872</v>
      </c>
      <c r="G65" s="33">
        <v>0.3134020618556701</v>
      </c>
      <c r="H65" s="33">
        <v>0.14020618556701031</v>
      </c>
      <c r="I65" s="34">
        <v>10015.78947368421</v>
      </c>
      <c r="J65" s="34">
        <v>-8623.5294117647063</v>
      </c>
      <c r="K65" s="33">
        <v>8.0645161290322578E-2</v>
      </c>
      <c r="L65" s="33">
        <v>0.25567010309278349</v>
      </c>
      <c r="M65" s="33">
        <v>0.16082474226804125</v>
      </c>
      <c r="N65" s="33">
        <v>0.60483870967741937</v>
      </c>
      <c r="O65" s="33">
        <v>0.47435897435897434</v>
      </c>
      <c r="P65" s="33">
        <v>0.52631578947368418</v>
      </c>
    </row>
    <row r="66" spans="1:16" x14ac:dyDescent="0.45">
      <c r="A66" s="35">
        <v>63</v>
      </c>
      <c r="B66" s="32">
        <v>511.30000000000018</v>
      </c>
      <c r="C66" s="32">
        <v>8.115873015873019</v>
      </c>
      <c r="D66" s="37">
        <v>1.8095238095238095</v>
      </c>
      <c r="E66" s="33">
        <v>0.3968253968253968</v>
      </c>
      <c r="F66" s="33">
        <v>0.20634920634920634</v>
      </c>
      <c r="G66" s="33">
        <v>0.30645161290322581</v>
      </c>
      <c r="H66" s="33">
        <v>0.13709677419354838</v>
      </c>
      <c r="I66" s="34">
        <v>10015.78947368421</v>
      </c>
      <c r="J66" s="34">
        <v>-8623.5294117647063</v>
      </c>
      <c r="K66" s="33">
        <v>7.9365079365079361E-2</v>
      </c>
      <c r="L66" s="33">
        <v>0.25403225806451613</v>
      </c>
      <c r="M66" s="33">
        <v>0.16129032258064516</v>
      </c>
      <c r="N66" s="33">
        <v>0.59523809523809523</v>
      </c>
      <c r="O66" s="33">
        <v>0.46250000000000002</v>
      </c>
      <c r="P66" s="33">
        <v>0.52631578947368418</v>
      </c>
    </row>
    <row r="67" spans="1:16" x14ac:dyDescent="0.45">
      <c r="A67" s="35">
        <v>64</v>
      </c>
      <c r="B67" s="32">
        <v>512.50000000000023</v>
      </c>
      <c r="C67" s="32">
        <v>8.0078125000000036</v>
      </c>
      <c r="D67" s="37">
        <v>1.8125</v>
      </c>
      <c r="E67" s="33">
        <v>0.390625</v>
      </c>
      <c r="F67" s="33">
        <v>0.203125</v>
      </c>
      <c r="G67" s="33">
        <v>0.30555555555555558</v>
      </c>
      <c r="H67" s="33">
        <v>0.1388888888888889</v>
      </c>
      <c r="I67" s="34">
        <v>9988.3116883116891</v>
      </c>
      <c r="J67" s="34">
        <v>-8542.8571428571431</v>
      </c>
      <c r="K67" s="33">
        <v>7.8125E-2</v>
      </c>
      <c r="L67" s="33">
        <v>0.25595238095238093</v>
      </c>
      <c r="M67" s="33">
        <v>0.15873015873015872</v>
      </c>
      <c r="N67" s="33">
        <v>0.5968992248062015</v>
      </c>
      <c r="O67" s="33">
        <v>0.46250000000000002</v>
      </c>
      <c r="P67" s="33">
        <v>0.53246753246753242</v>
      </c>
    </row>
    <row r="68" spans="1:16" x14ac:dyDescent="0.45">
      <c r="A68" s="35">
        <v>65</v>
      </c>
      <c r="B68" s="32">
        <v>548.50000000000023</v>
      </c>
      <c r="C68" s="32">
        <v>8.4384615384615422</v>
      </c>
      <c r="D68" s="37">
        <v>1.8</v>
      </c>
      <c r="E68" s="33">
        <v>0.4</v>
      </c>
      <c r="F68" s="33">
        <v>0.2</v>
      </c>
      <c r="G68" s="33">
        <v>0.31115459882583169</v>
      </c>
      <c r="H68" s="33">
        <v>0.13698630136986301</v>
      </c>
      <c r="I68" s="34">
        <v>9849.0566037735844</v>
      </c>
      <c r="J68" s="34">
        <v>-8542.8571428571431</v>
      </c>
      <c r="K68" s="33">
        <v>7.6923076923076927E-2</v>
      </c>
      <c r="L68" s="33">
        <v>0.25440313111545987</v>
      </c>
      <c r="M68" s="33">
        <v>0.16438356164383561</v>
      </c>
      <c r="N68" s="33">
        <v>0.6</v>
      </c>
      <c r="O68" s="33">
        <v>0.48809523809523808</v>
      </c>
      <c r="P68" s="33">
        <v>0.52830188679245282</v>
      </c>
    </row>
    <row r="69" spans="1:16" x14ac:dyDescent="0.45">
      <c r="A69" s="35">
        <v>66</v>
      </c>
      <c r="B69" s="32">
        <v>568.9000000000002</v>
      </c>
      <c r="C69" s="32">
        <v>8.6196969696969727</v>
      </c>
      <c r="D69" s="37">
        <v>1.7878787878787878</v>
      </c>
      <c r="E69" s="33">
        <v>0.40909090909090912</v>
      </c>
      <c r="F69" s="33">
        <v>0.19696969696969696</v>
      </c>
      <c r="G69" s="33">
        <v>0.31153846153846154</v>
      </c>
      <c r="H69" s="33">
        <v>0.13653846153846153</v>
      </c>
      <c r="I69" s="34">
        <v>9828.3950617283954</v>
      </c>
      <c r="J69" s="34">
        <v>-8530.9859154929582</v>
      </c>
      <c r="K69" s="33">
        <v>7.575757575757576E-2</v>
      </c>
      <c r="L69" s="33">
        <v>0.25384615384615383</v>
      </c>
      <c r="M69" s="33">
        <v>0.16346153846153846</v>
      </c>
      <c r="N69" s="33">
        <v>0.60606060606060608</v>
      </c>
      <c r="O69" s="33">
        <v>0.4823529411764706</v>
      </c>
      <c r="P69" s="33">
        <v>0.53703703703703709</v>
      </c>
    </row>
    <row r="70" spans="1:16" x14ac:dyDescent="0.45">
      <c r="A70" s="35">
        <v>67</v>
      </c>
      <c r="B70" s="32">
        <v>586.4000000000002</v>
      </c>
      <c r="C70" s="32">
        <v>8.752238805970153</v>
      </c>
      <c r="D70" s="37">
        <v>1.7761194029850746</v>
      </c>
      <c r="E70" s="33">
        <v>0.41791044776119401</v>
      </c>
      <c r="F70" s="33">
        <v>0.19402985074626866</v>
      </c>
      <c r="G70" s="33">
        <v>0.31368821292775667</v>
      </c>
      <c r="H70" s="33">
        <v>0.13878326996197718</v>
      </c>
      <c r="I70" s="34">
        <v>9735.757575757576</v>
      </c>
      <c r="J70" s="34">
        <v>-8457.534246575342</v>
      </c>
      <c r="K70" s="33">
        <v>7.4626865671641784E-2</v>
      </c>
      <c r="L70" s="33">
        <v>0.25665399239543724</v>
      </c>
      <c r="M70" s="33">
        <v>0.1634980988593156</v>
      </c>
      <c r="N70" s="33">
        <v>0.6074074074074074</v>
      </c>
      <c r="O70" s="33">
        <v>0.48837209302325579</v>
      </c>
      <c r="P70" s="33">
        <v>0.52727272727272723</v>
      </c>
    </row>
    <row r="71" spans="1:16" x14ac:dyDescent="0.45">
      <c r="A71" s="35">
        <v>68</v>
      </c>
      <c r="B71" s="32">
        <v>619.60000000000025</v>
      </c>
      <c r="C71" s="32">
        <v>9.1117647058823561</v>
      </c>
      <c r="D71" s="37">
        <v>1.7647058823529411</v>
      </c>
      <c r="E71" s="33">
        <v>0.4264705882352941</v>
      </c>
      <c r="F71" s="33">
        <v>0.19117647058823528</v>
      </c>
      <c r="G71" s="33">
        <v>0.31332082551594748</v>
      </c>
      <c r="H71" s="33">
        <v>0.13883677298311445</v>
      </c>
      <c r="I71" s="34">
        <v>9858.6826347305396</v>
      </c>
      <c r="J71" s="34">
        <v>-8451.3513513513517</v>
      </c>
      <c r="K71" s="33">
        <v>7.3529411764705885E-2</v>
      </c>
      <c r="L71" s="33">
        <v>0.25515947467166977</v>
      </c>
      <c r="M71" s="33">
        <v>0.16510318949343339</v>
      </c>
      <c r="N71" s="33">
        <v>0.61029411764705888</v>
      </c>
      <c r="O71" s="33">
        <v>0.47727272727272729</v>
      </c>
      <c r="P71" s="33">
        <v>0.52694610778443118</v>
      </c>
    </row>
    <row r="72" spans="1:16" x14ac:dyDescent="0.45">
      <c r="A72" s="35">
        <v>69</v>
      </c>
      <c r="B72" s="32">
        <v>631.50000000000023</v>
      </c>
      <c r="C72" s="32">
        <v>9.152173913043482</v>
      </c>
      <c r="D72" s="37">
        <v>1.7681159420289856</v>
      </c>
      <c r="E72" s="33">
        <v>0.42028985507246375</v>
      </c>
      <c r="F72" s="33">
        <v>0.18840579710144928</v>
      </c>
      <c r="G72" s="33">
        <v>0.31365313653136534</v>
      </c>
      <c r="H72" s="33">
        <v>0.14022140221402213</v>
      </c>
      <c r="I72" s="34">
        <v>9828.823529411764</v>
      </c>
      <c r="J72" s="34">
        <v>-8289.4736842105267</v>
      </c>
      <c r="K72" s="33">
        <v>7.2463768115942032E-2</v>
      </c>
      <c r="L72" s="33">
        <v>0.26014760147601473</v>
      </c>
      <c r="M72" s="33">
        <v>0.16420664206642066</v>
      </c>
      <c r="N72" s="33">
        <v>0.6028368794326241</v>
      </c>
      <c r="O72" s="33">
        <v>0.47191011235955055</v>
      </c>
      <c r="P72" s="33">
        <v>0.52352941176470591</v>
      </c>
    </row>
    <row r="73" spans="1:16" x14ac:dyDescent="0.45">
      <c r="A73" s="35">
        <v>70</v>
      </c>
      <c r="B73" s="32">
        <v>597.20000000000027</v>
      </c>
      <c r="C73" s="32">
        <v>8.5314285714285756</v>
      </c>
      <c r="D73" s="37">
        <v>1.7857142857142858</v>
      </c>
      <c r="E73" s="33">
        <v>0.41428571428571431</v>
      </c>
      <c r="F73" s="33">
        <v>0.2</v>
      </c>
      <c r="G73" s="33">
        <v>0.31090909090909091</v>
      </c>
      <c r="H73" s="33">
        <v>0.14181818181818182</v>
      </c>
      <c r="I73" s="34">
        <v>9818.1286549707602</v>
      </c>
      <c r="J73" s="34">
        <v>-8333.3333333333339</v>
      </c>
      <c r="K73" s="33">
        <v>7.1428571428571425E-2</v>
      </c>
      <c r="L73" s="33">
        <v>0.25818181818181818</v>
      </c>
      <c r="M73" s="33">
        <v>0.16727272727272727</v>
      </c>
      <c r="N73" s="33">
        <v>0.59859154929577463</v>
      </c>
      <c r="O73" s="33">
        <v>0.46739130434782611</v>
      </c>
      <c r="P73" s="33">
        <v>0.52046783625730997</v>
      </c>
    </row>
    <row r="74" spans="1:16" x14ac:dyDescent="0.45">
      <c r="A74" s="35">
        <v>71</v>
      </c>
      <c r="B74" s="32">
        <v>616.60000000000025</v>
      </c>
      <c r="C74" s="32">
        <v>8.6845070422535251</v>
      </c>
      <c r="D74" s="37">
        <v>1.7746478873239437</v>
      </c>
      <c r="E74" s="33">
        <v>0.42253521126760563</v>
      </c>
      <c r="F74" s="33">
        <v>0.19718309859154928</v>
      </c>
      <c r="G74" s="33">
        <v>0.30879712746858168</v>
      </c>
      <c r="H74" s="33">
        <v>0.14542190305206462</v>
      </c>
      <c r="I74" s="34">
        <v>9900.5813953488378</v>
      </c>
      <c r="J74" s="34">
        <v>-8155.5555555555557</v>
      </c>
      <c r="K74" s="33">
        <v>7.0422535211267609E-2</v>
      </c>
      <c r="L74" s="33">
        <v>0.25673249551166966</v>
      </c>
      <c r="M74" s="33">
        <v>0.16696588868940754</v>
      </c>
      <c r="N74" s="33">
        <v>0.59440559440559437</v>
      </c>
      <c r="O74" s="33">
        <v>0.4731182795698925</v>
      </c>
      <c r="P74" s="33">
        <v>0.52325581395348841</v>
      </c>
    </row>
    <row r="75" spans="1:16" x14ac:dyDescent="0.45">
      <c r="A75" s="35">
        <v>72</v>
      </c>
      <c r="B75" s="32">
        <v>677.10000000000025</v>
      </c>
      <c r="C75" s="32">
        <v>9.4041666666666703</v>
      </c>
      <c r="D75" s="37">
        <v>1.7638888888888888</v>
      </c>
      <c r="E75" s="33">
        <v>0.43055555555555558</v>
      </c>
      <c r="F75" s="33">
        <v>0.19444444444444445</v>
      </c>
      <c r="G75" s="33">
        <v>0.31413612565445026</v>
      </c>
      <c r="H75" s="33">
        <v>0.14485165794066318</v>
      </c>
      <c r="I75" s="34">
        <v>9749.4444444444453</v>
      </c>
      <c r="J75" s="34">
        <v>-8025.3012048192768</v>
      </c>
      <c r="K75" s="33">
        <v>6.9444444444444448E-2</v>
      </c>
      <c r="L75" s="33">
        <v>0.2513089005235602</v>
      </c>
      <c r="M75" s="33">
        <v>0.16753926701570682</v>
      </c>
      <c r="N75" s="33">
        <v>0.59027777777777779</v>
      </c>
      <c r="O75" s="33">
        <v>0.48958333333333331</v>
      </c>
      <c r="P75" s="33">
        <v>0.52222222222222225</v>
      </c>
    </row>
    <row r="76" spans="1:16" x14ac:dyDescent="0.45">
      <c r="A76" s="35">
        <v>73</v>
      </c>
      <c r="B76" s="32">
        <v>658.9000000000002</v>
      </c>
      <c r="C76" s="32">
        <v>9.0260273972602771</v>
      </c>
      <c r="D76" s="37">
        <v>1.7808219178082192</v>
      </c>
      <c r="E76" s="33">
        <v>0.42465753424657532</v>
      </c>
      <c r="F76" s="33">
        <v>0.20547945205479451</v>
      </c>
      <c r="G76" s="33">
        <v>0.31260794473229708</v>
      </c>
      <c r="H76" s="33">
        <v>0.14507772020725387</v>
      </c>
      <c r="I76" s="34">
        <v>9761.8784530386747</v>
      </c>
      <c r="J76" s="34">
        <v>-8021.4285714285716</v>
      </c>
      <c r="K76" s="33">
        <v>6.8493150684931503E-2</v>
      </c>
      <c r="L76" s="33">
        <v>0.25215889464594127</v>
      </c>
      <c r="M76" s="33">
        <v>0.16580310880829016</v>
      </c>
      <c r="N76" s="33">
        <v>0.58904109589041098</v>
      </c>
      <c r="O76" s="33">
        <v>0.48958333333333331</v>
      </c>
      <c r="P76" s="33">
        <v>0.52486187845303867</v>
      </c>
    </row>
    <row r="77" spans="1:16" x14ac:dyDescent="0.45">
      <c r="A77" s="35">
        <v>74</v>
      </c>
      <c r="B77" s="32">
        <v>678.00000000000023</v>
      </c>
      <c r="C77" s="32">
        <v>9.1621621621621649</v>
      </c>
      <c r="D77" s="37">
        <v>1.7702702702702702</v>
      </c>
      <c r="E77" s="33">
        <v>0.43243243243243246</v>
      </c>
      <c r="F77" s="33">
        <v>0.20270270270270271</v>
      </c>
      <c r="G77" s="33">
        <v>0.31175468483816016</v>
      </c>
      <c r="H77" s="33">
        <v>0.14480408858603067</v>
      </c>
      <c r="I77" s="34">
        <v>9760.6557377049176</v>
      </c>
      <c r="J77" s="34">
        <v>-7972.9411764705883</v>
      </c>
      <c r="K77" s="33">
        <v>6.7567567567567571E-2</v>
      </c>
      <c r="L77" s="33">
        <v>0.25212947189097101</v>
      </c>
      <c r="M77" s="33">
        <v>0.16524701873935263</v>
      </c>
      <c r="N77" s="33">
        <v>0.58783783783783783</v>
      </c>
      <c r="O77" s="33">
        <v>0.4845360824742268</v>
      </c>
      <c r="P77" s="33">
        <v>0.52459016393442626</v>
      </c>
    </row>
    <row r="78" spans="1:16" x14ac:dyDescent="0.45">
      <c r="A78" s="35">
        <v>75</v>
      </c>
      <c r="B78" s="32">
        <v>707.50000000000023</v>
      </c>
      <c r="C78" s="32">
        <v>9.4333333333333371</v>
      </c>
      <c r="D78" s="37">
        <v>1.76</v>
      </c>
      <c r="E78" s="33">
        <v>0.44</v>
      </c>
      <c r="F78" s="33">
        <v>0.2</v>
      </c>
      <c r="G78" s="33">
        <v>0.31</v>
      </c>
      <c r="H78" s="33">
        <v>0.14499999999999999</v>
      </c>
      <c r="I78" s="34">
        <v>9893.5483870967746</v>
      </c>
      <c r="J78" s="34">
        <v>-7970.1149425287358</v>
      </c>
      <c r="K78" s="33">
        <v>6.6666666666666666E-2</v>
      </c>
      <c r="L78" s="33">
        <v>0.255</v>
      </c>
      <c r="M78" s="33">
        <v>0.16333333333333333</v>
      </c>
      <c r="N78" s="33">
        <v>0.58823529411764708</v>
      </c>
      <c r="O78" s="33">
        <v>0.47959183673469385</v>
      </c>
      <c r="P78" s="33">
        <v>0.521505376344086</v>
      </c>
    </row>
    <row r="79" spans="1:16" x14ac:dyDescent="0.45">
      <c r="A79" s="35">
        <v>76</v>
      </c>
      <c r="B79" s="32">
        <v>741.60000000000025</v>
      </c>
      <c r="C79" s="32">
        <v>9.7578947368421094</v>
      </c>
      <c r="D79" s="37">
        <v>1.75</v>
      </c>
      <c r="E79" s="33">
        <v>0.44736842105263158</v>
      </c>
      <c r="F79" s="33">
        <v>0.19736842105263158</v>
      </c>
      <c r="G79" s="33">
        <v>0.30983606557377047</v>
      </c>
      <c r="H79" s="33">
        <v>0.14590163934426228</v>
      </c>
      <c r="I79" s="34">
        <v>9948.1481481481478</v>
      </c>
      <c r="J79" s="34">
        <v>-7913.4831460674159</v>
      </c>
      <c r="K79" s="33">
        <v>6.5789473684210523E-2</v>
      </c>
      <c r="L79" s="33">
        <v>0.25081967213114753</v>
      </c>
      <c r="M79" s="33">
        <v>0.16393442622950818</v>
      </c>
      <c r="N79" s="33">
        <v>0.58823529411764708</v>
      </c>
      <c r="O79" s="33">
        <v>0.48</v>
      </c>
      <c r="P79" s="33">
        <v>0.51322751322751325</v>
      </c>
    </row>
    <row r="80" spans="1:16" x14ac:dyDescent="0.45">
      <c r="A80" s="35">
        <v>77</v>
      </c>
      <c r="B80" s="32">
        <v>757.4000000000002</v>
      </c>
      <c r="C80" s="32">
        <v>9.8363636363636395</v>
      </c>
      <c r="D80" s="37">
        <v>1.7402597402597402</v>
      </c>
      <c r="E80" s="33">
        <v>0.45454545454545453</v>
      </c>
      <c r="F80" s="33">
        <v>0.19480519480519481</v>
      </c>
      <c r="G80" s="33">
        <v>0.31006493506493504</v>
      </c>
      <c r="H80" s="33">
        <v>0.1461038961038961</v>
      </c>
      <c r="I80" s="34">
        <v>9916.2303664921474</v>
      </c>
      <c r="J80" s="34">
        <v>-7883.333333333333</v>
      </c>
      <c r="K80" s="33">
        <v>6.4935064935064929E-2</v>
      </c>
      <c r="L80" s="33">
        <v>0.24837662337662339</v>
      </c>
      <c r="M80" s="33">
        <v>0.16233766233766234</v>
      </c>
      <c r="N80" s="33">
        <v>0.58823529411764708</v>
      </c>
      <c r="O80" s="33">
        <v>0.48</v>
      </c>
      <c r="P80" s="33">
        <v>0.50785340314136129</v>
      </c>
    </row>
    <row r="81" spans="1:16" x14ac:dyDescent="0.45">
      <c r="A81" s="35">
        <v>78</v>
      </c>
      <c r="B81" s="32">
        <v>729.20000000000016</v>
      </c>
      <c r="C81" s="32">
        <v>9.348717948717951</v>
      </c>
      <c r="D81" s="37">
        <v>1.7564102564102564</v>
      </c>
      <c r="E81" s="33">
        <v>0.44871794871794873</v>
      </c>
      <c r="F81" s="33">
        <v>0.20512820512820512</v>
      </c>
      <c r="G81" s="33">
        <v>0.3097913322632424</v>
      </c>
      <c r="H81" s="33">
        <v>0.1476725521669342</v>
      </c>
      <c r="I81" s="34">
        <v>9868.3937823834203</v>
      </c>
      <c r="J81" s="34">
        <v>-7929.347826086957</v>
      </c>
      <c r="K81" s="33">
        <v>6.4102564102564097E-2</v>
      </c>
      <c r="L81" s="33">
        <v>0.24879614767255218</v>
      </c>
      <c r="M81" s="33">
        <v>0.16211878009630817</v>
      </c>
      <c r="N81" s="33">
        <v>0.58709677419354833</v>
      </c>
      <c r="O81" s="33">
        <v>0.48514851485148514</v>
      </c>
      <c r="P81" s="33">
        <v>0.50259067357512954</v>
      </c>
    </row>
    <row r="82" spans="1:16" x14ac:dyDescent="0.45">
      <c r="A82" s="35">
        <v>79</v>
      </c>
      <c r="B82" s="32">
        <v>745.50000000000011</v>
      </c>
      <c r="C82" s="32">
        <v>9.4367088607594951</v>
      </c>
      <c r="D82" s="37">
        <v>1.7468354430379747</v>
      </c>
      <c r="E82" s="33">
        <v>0.45569620253164556</v>
      </c>
      <c r="F82" s="33">
        <v>0.20253164556962025</v>
      </c>
      <c r="G82" s="33">
        <v>0.31160572337042924</v>
      </c>
      <c r="H82" s="33">
        <v>0.14785373608903021</v>
      </c>
      <c r="I82" s="34">
        <v>9828.0612244897966</v>
      </c>
      <c r="J82" s="34">
        <v>-7973.1182795698924</v>
      </c>
      <c r="K82" s="33">
        <v>6.3291139240506333E-2</v>
      </c>
      <c r="L82" s="33">
        <v>0.24960254372019078</v>
      </c>
      <c r="M82" s="33">
        <v>0.16057233704292528</v>
      </c>
      <c r="N82" s="33">
        <v>0.5859872611464968</v>
      </c>
      <c r="O82" s="33">
        <v>0.48514851485148514</v>
      </c>
      <c r="P82" s="33">
        <v>0.51020408163265307</v>
      </c>
    </row>
    <row r="83" spans="1:16" x14ac:dyDescent="0.45">
      <c r="A83" s="35">
        <v>80</v>
      </c>
      <c r="B83" s="32">
        <v>712.20000000000016</v>
      </c>
      <c r="C83" s="32">
        <v>8.9025000000000016</v>
      </c>
      <c r="D83" s="37">
        <v>1.7625</v>
      </c>
      <c r="E83" s="33">
        <v>0.45</v>
      </c>
      <c r="F83" s="33">
        <v>0.21249999999999999</v>
      </c>
      <c r="G83" s="33">
        <v>0.31023622047244093</v>
      </c>
      <c r="H83" s="33">
        <v>0.14645669291338584</v>
      </c>
      <c r="I83" s="34">
        <v>9794.4162436548231</v>
      </c>
      <c r="J83" s="34">
        <v>-7973.1182795698924</v>
      </c>
      <c r="K83" s="33">
        <v>6.25E-2</v>
      </c>
      <c r="L83" s="33">
        <v>0.24724409448818899</v>
      </c>
      <c r="M83" s="33">
        <v>0.15905511811023623</v>
      </c>
      <c r="N83" s="33">
        <v>0.5859872611464968</v>
      </c>
      <c r="O83" s="33">
        <v>0.48514851485148514</v>
      </c>
      <c r="P83" s="33">
        <v>0.51269035532994922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820F6-42AF-4B78-8327-BC31CBD27D7F}">
  <sheetPr codeName="Sheet10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69FC5-E1CA-4B9B-95A6-8DA9C932342E}">
  <sheetPr codeName="Sheet8"/>
  <dimension ref="A1:Q6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5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5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5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45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  <row r="46" spans="1:16" x14ac:dyDescent="0.45">
      <c r="A46" s="35">
        <v>43</v>
      </c>
      <c r="B46" s="32">
        <v>-202.10000000000005</v>
      </c>
      <c r="C46" s="32">
        <v>-4.7000000000000011</v>
      </c>
      <c r="D46" s="37">
        <v>2.0930232558139537</v>
      </c>
      <c r="E46" s="33">
        <v>0.34883720930232559</v>
      </c>
      <c r="F46" s="33">
        <v>0.44186046511627908</v>
      </c>
      <c r="G46" s="33">
        <v>0.26112759643916916</v>
      </c>
      <c r="H46" s="33">
        <v>0.20474777448071216</v>
      </c>
      <c r="I46" s="34">
        <v>10453.40909090909</v>
      </c>
      <c r="J46" s="34">
        <v>-8340.579710144928</v>
      </c>
      <c r="K46" s="33">
        <v>0.20930232558139536</v>
      </c>
      <c r="L46" s="33">
        <v>0.28783382789317508</v>
      </c>
      <c r="M46" s="33">
        <v>0.20474777448071216</v>
      </c>
      <c r="N46" s="33">
        <v>0.42268041237113402</v>
      </c>
      <c r="O46" s="33">
        <v>0.39130434782608697</v>
      </c>
      <c r="P46" s="33">
        <v>0.39772727272727271</v>
      </c>
    </row>
    <row r="47" spans="1:16" x14ac:dyDescent="0.45">
      <c r="A47" s="35">
        <v>44</v>
      </c>
      <c r="B47" s="32">
        <v>-184.20000000000005</v>
      </c>
      <c r="C47" s="32">
        <v>-4.1863636363636374</v>
      </c>
      <c r="D47" s="37">
        <v>2.0681818181818183</v>
      </c>
      <c r="E47" s="33">
        <v>0.36363636363636365</v>
      </c>
      <c r="F47" s="33">
        <v>0.43181818181818182</v>
      </c>
      <c r="G47" s="33">
        <v>0.26011560693641617</v>
      </c>
      <c r="H47" s="33">
        <v>0.20520231213872833</v>
      </c>
      <c r="I47" s="34">
        <v>10621.111111111111</v>
      </c>
      <c r="J47" s="34">
        <v>-8311.2676056338023</v>
      </c>
      <c r="K47" s="33">
        <v>0.20454545454545456</v>
      </c>
      <c r="L47" s="33">
        <v>0.28901734104046245</v>
      </c>
      <c r="M47" s="33">
        <v>0.20231213872832371</v>
      </c>
      <c r="N47" s="33">
        <v>0.43</v>
      </c>
      <c r="O47" s="33">
        <v>0.38571428571428573</v>
      </c>
      <c r="P47" s="33">
        <v>0.4</v>
      </c>
    </row>
    <row r="48" spans="1:16" x14ac:dyDescent="0.45">
      <c r="A48" s="35">
        <v>45</v>
      </c>
      <c r="B48" s="32">
        <v>-214.00000000000006</v>
      </c>
      <c r="C48" s="32">
        <v>-4.7555555555555564</v>
      </c>
      <c r="D48" s="37">
        <v>2.088888888888889</v>
      </c>
      <c r="E48" s="33">
        <v>0.35555555555555557</v>
      </c>
      <c r="F48" s="33">
        <v>0.44444444444444442</v>
      </c>
      <c r="G48" s="33">
        <v>0.25770308123249297</v>
      </c>
      <c r="H48" s="33">
        <v>0.20168067226890757</v>
      </c>
      <c r="I48" s="34">
        <v>10435.869565217392</v>
      </c>
      <c r="J48" s="34">
        <v>-8362.5</v>
      </c>
      <c r="K48" s="33">
        <v>0.2</v>
      </c>
      <c r="L48" s="33">
        <v>0.28851540616246496</v>
      </c>
      <c r="M48" s="33">
        <v>0.20728291316526612</v>
      </c>
      <c r="N48" s="33">
        <v>0.41747572815533979</v>
      </c>
      <c r="O48" s="33">
        <v>0.39189189189189189</v>
      </c>
      <c r="P48" s="33">
        <v>0.41304347826086957</v>
      </c>
    </row>
    <row r="49" spans="1:16" x14ac:dyDescent="0.45">
      <c r="A49" s="35">
        <v>46</v>
      </c>
      <c r="B49" s="32">
        <v>-200.50000000000006</v>
      </c>
      <c r="C49" s="32">
        <v>-4.358695652173914</v>
      </c>
      <c r="D49" s="37">
        <v>2.0869565217391304</v>
      </c>
      <c r="E49" s="33">
        <v>0.34782608695652173</v>
      </c>
      <c r="F49" s="33">
        <v>0.43478260869565216</v>
      </c>
      <c r="G49" s="33">
        <v>0.25824175824175827</v>
      </c>
      <c r="H49" s="33">
        <v>0.19780219780219779</v>
      </c>
      <c r="I49" s="34">
        <v>10532.978723404256</v>
      </c>
      <c r="J49" s="34">
        <v>-8362.5</v>
      </c>
      <c r="K49" s="33">
        <v>0.19565217391304349</v>
      </c>
      <c r="L49" s="33">
        <v>0.29120879120879123</v>
      </c>
      <c r="M49" s="33">
        <v>0.2087912087912088</v>
      </c>
      <c r="N49" s="33">
        <v>0.42452830188679247</v>
      </c>
      <c r="O49" s="33">
        <v>0.38157894736842107</v>
      </c>
      <c r="P49" s="33">
        <v>0.41489361702127658</v>
      </c>
    </row>
    <row r="50" spans="1:16" x14ac:dyDescent="0.45">
      <c r="A50" s="35">
        <v>47</v>
      </c>
      <c r="B50" s="32">
        <v>-157.00000000000006</v>
      </c>
      <c r="C50" s="32">
        <v>-3.340425531914895</v>
      </c>
      <c r="D50" s="37">
        <v>2.0638297872340425</v>
      </c>
      <c r="E50" s="33">
        <v>0.36170212765957449</v>
      </c>
      <c r="F50" s="33">
        <v>0.42553191489361702</v>
      </c>
      <c r="G50" s="33">
        <v>0.26861702127659576</v>
      </c>
      <c r="H50" s="33">
        <v>0.19414893617021275</v>
      </c>
      <c r="I50" s="34">
        <v>10270.29702970297</v>
      </c>
      <c r="J50" s="34">
        <v>-8353.4246575342459</v>
      </c>
      <c r="K50" s="33">
        <v>0.19148936170212766</v>
      </c>
      <c r="L50" s="33">
        <v>0.29521276595744683</v>
      </c>
      <c r="M50" s="33">
        <v>0.20212765957446807</v>
      </c>
      <c r="N50" s="33">
        <v>0.45045045045045046</v>
      </c>
      <c r="O50" s="33">
        <v>0.38157894736842107</v>
      </c>
      <c r="P50" s="33">
        <v>0.42574257425742573</v>
      </c>
    </row>
    <row r="51" spans="1:16" x14ac:dyDescent="0.45">
      <c r="A51" s="35">
        <v>48</v>
      </c>
      <c r="B51" s="32">
        <v>-87.900000000000063</v>
      </c>
      <c r="C51" s="32">
        <v>-1.8312500000000014</v>
      </c>
      <c r="D51" s="37">
        <v>2.0416666666666665</v>
      </c>
      <c r="E51" s="33">
        <v>0.375</v>
      </c>
      <c r="F51" s="33">
        <v>0.41666666666666669</v>
      </c>
      <c r="G51" s="33">
        <v>0.27648578811369506</v>
      </c>
      <c r="H51" s="33">
        <v>0.19121447028423771</v>
      </c>
      <c r="I51" s="34">
        <v>10267.289719626167</v>
      </c>
      <c r="J51" s="34">
        <v>-8344.594594594595</v>
      </c>
      <c r="K51" s="33">
        <v>0.1875</v>
      </c>
      <c r="L51" s="33">
        <v>0.29715762273901808</v>
      </c>
      <c r="M51" s="33">
        <v>0.20155038759689922</v>
      </c>
      <c r="N51" s="33">
        <v>0.46086956521739131</v>
      </c>
      <c r="O51" s="33">
        <v>0.38461538461538464</v>
      </c>
      <c r="P51" s="33">
        <v>0.43925233644859812</v>
      </c>
    </row>
    <row r="52" spans="1:16" x14ac:dyDescent="0.45">
      <c r="A52" s="35">
        <v>49</v>
      </c>
      <c r="B52" s="32">
        <v>-106.60000000000007</v>
      </c>
      <c r="C52" s="32">
        <v>-2.1755102040816339</v>
      </c>
      <c r="D52" s="37">
        <v>2.0612244897959182</v>
      </c>
      <c r="E52" s="33">
        <v>0.36734693877551022</v>
      </c>
      <c r="F52" s="33">
        <v>0.42857142857142855</v>
      </c>
      <c r="G52" s="33">
        <v>0.27088607594936709</v>
      </c>
      <c r="H52" s="33">
        <v>0.189873417721519</v>
      </c>
      <c r="I52" s="34">
        <v>10267.289719626167</v>
      </c>
      <c r="J52" s="34">
        <v>-8285.3333333333339</v>
      </c>
      <c r="K52" s="33">
        <v>0.18367346938775511</v>
      </c>
      <c r="L52" s="33">
        <v>0.29367088607594938</v>
      </c>
      <c r="M52" s="33">
        <v>0.19746835443037974</v>
      </c>
      <c r="N52" s="33">
        <v>0.45689655172413796</v>
      </c>
      <c r="O52" s="33">
        <v>0.38461538461538464</v>
      </c>
      <c r="P52" s="33">
        <v>0.43925233644859812</v>
      </c>
    </row>
    <row r="53" spans="1:16" x14ac:dyDescent="0.45">
      <c r="A53" s="35">
        <v>50</v>
      </c>
      <c r="B53" s="32">
        <v>-122.60000000000007</v>
      </c>
      <c r="C53" s="32">
        <v>-2.4520000000000013</v>
      </c>
      <c r="D53" s="37">
        <v>2.06</v>
      </c>
      <c r="E53" s="33">
        <v>0.36</v>
      </c>
      <c r="F53" s="33">
        <v>0.42</v>
      </c>
      <c r="G53" s="33">
        <v>0.26980198019801982</v>
      </c>
      <c r="H53" s="33">
        <v>0.18811881188118812</v>
      </c>
      <c r="I53" s="34">
        <v>10259.633027522936</v>
      </c>
      <c r="J53" s="34">
        <v>-8281.5789473684217</v>
      </c>
      <c r="K53" s="33">
        <v>0.18</v>
      </c>
      <c r="L53" s="33">
        <v>0.29207920792079206</v>
      </c>
      <c r="M53" s="33">
        <v>0.20049504950495051</v>
      </c>
      <c r="N53" s="33">
        <v>0.46610169491525422</v>
      </c>
      <c r="O53" s="33">
        <v>0.37037037037037035</v>
      </c>
      <c r="P53" s="33">
        <v>0.44954128440366975</v>
      </c>
    </row>
    <row r="54" spans="1:16" x14ac:dyDescent="0.45">
      <c r="A54" s="35">
        <v>51</v>
      </c>
      <c r="B54" s="32">
        <v>-114.20000000000006</v>
      </c>
      <c r="C54" s="32">
        <v>-2.2392156862745112</v>
      </c>
      <c r="D54" s="37">
        <v>2.0588235294117645</v>
      </c>
      <c r="E54" s="33">
        <v>0.35294117647058826</v>
      </c>
      <c r="F54" s="33">
        <v>0.41176470588235292</v>
      </c>
      <c r="G54" s="33">
        <v>0.27250608272506083</v>
      </c>
      <c r="H54" s="33">
        <v>0.18734793187347931</v>
      </c>
      <c r="I54" s="34">
        <v>10232.142857142857</v>
      </c>
      <c r="J54" s="34">
        <v>-8277.9220779220777</v>
      </c>
      <c r="K54" s="33">
        <v>0.17647058823529413</v>
      </c>
      <c r="L54" s="33">
        <v>0.29197080291970801</v>
      </c>
      <c r="M54" s="33">
        <v>0.19951338199513383</v>
      </c>
      <c r="N54" s="33">
        <v>0.46666666666666667</v>
      </c>
      <c r="O54" s="33">
        <v>0.36585365853658536</v>
      </c>
      <c r="P54" s="33">
        <v>0.44642857142857145</v>
      </c>
    </row>
    <row r="55" spans="1:16" x14ac:dyDescent="0.45">
      <c r="A55" s="35">
        <v>52</v>
      </c>
      <c r="B55" s="32">
        <v>-89.900000000000063</v>
      </c>
      <c r="C55" s="32">
        <v>-1.728846153846155</v>
      </c>
      <c r="D55" s="37">
        <v>2.0384615384615383</v>
      </c>
      <c r="E55" s="33">
        <v>0.36538461538461536</v>
      </c>
      <c r="F55" s="33">
        <v>0.40384615384615385</v>
      </c>
      <c r="G55" s="33">
        <v>0.27380952380952384</v>
      </c>
      <c r="H55" s="33">
        <v>0.18809523809523809</v>
      </c>
      <c r="I55" s="34">
        <v>10295.652173913044</v>
      </c>
      <c r="J55" s="34">
        <v>-8281.0126582278481</v>
      </c>
      <c r="K55" s="33">
        <v>0.17307692307692307</v>
      </c>
      <c r="L55" s="33">
        <v>0.29523809523809524</v>
      </c>
      <c r="M55" s="33">
        <v>0.19761904761904761</v>
      </c>
      <c r="N55" s="33">
        <v>0.47580645161290325</v>
      </c>
      <c r="O55" s="33">
        <v>0.36144578313253012</v>
      </c>
      <c r="P55" s="33">
        <v>0.45217391304347826</v>
      </c>
    </row>
    <row r="56" spans="1:16" x14ac:dyDescent="0.45">
      <c r="A56" s="35">
        <v>53</v>
      </c>
      <c r="B56" s="32">
        <v>-61.800000000000061</v>
      </c>
      <c r="C56" s="32">
        <v>-1.1660377358490577</v>
      </c>
      <c r="D56" s="37">
        <v>2.0188679245283021</v>
      </c>
      <c r="E56" s="33">
        <v>0.37735849056603776</v>
      </c>
      <c r="F56" s="33">
        <v>0.39622641509433965</v>
      </c>
      <c r="G56" s="33">
        <v>0.27570093457943923</v>
      </c>
      <c r="H56" s="33">
        <v>0.18457943925233644</v>
      </c>
      <c r="I56" s="34">
        <v>10262.71186440678</v>
      </c>
      <c r="J56" s="34">
        <v>-8281.0126582278481</v>
      </c>
      <c r="K56" s="33">
        <v>0.16981132075471697</v>
      </c>
      <c r="L56" s="33">
        <v>0.29906542056074764</v>
      </c>
      <c r="M56" s="33">
        <v>0.19626168224299065</v>
      </c>
      <c r="N56" s="33">
        <v>0.4765625</v>
      </c>
      <c r="O56" s="33">
        <v>0.36904761904761907</v>
      </c>
      <c r="P56" s="33">
        <v>0.44915254237288138</v>
      </c>
    </row>
    <row r="57" spans="1:16" x14ac:dyDescent="0.45">
      <c r="A57" s="35">
        <v>54</v>
      </c>
      <c r="B57" s="32">
        <v>-63.800000000000061</v>
      </c>
      <c r="C57" s="32">
        <v>-1.1814814814814827</v>
      </c>
      <c r="D57" s="37">
        <v>2.0185185185185186</v>
      </c>
      <c r="E57" s="33">
        <v>0.37037037037037035</v>
      </c>
      <c r="F57" s="33">
        <v>0.3888888888888889</v>
      </c>
      <c r="G57" s="33">
        <v>0.27419354838709675</v>
      </c>
      <c r="H57" s="33">
        <v>0.18202764976958524</v>
      </c>
      <c r="I57" s="34">
        <v>10310.9243697479</v>
      </c>
      <c r="J57" s="34">
        <v>-8281.0126582278481</v>
      </c>
      <c r="K57" s="33">
        <v>0.16666666666666666</v>
      </c>
      <c r="L57" s="33">
        <v>0.29723502304147464</v>
      </c>
      <c r="M57" s="33">
        <v>0.19354838709677419</v>
      </c>
      <c r="N57" s="33">
        <v>0.47286821705426357</v>
      </c>
      <c r="O57" s="33">
        <v>0.36904761904761907</v>
      </c>
      <c r="P57" s="33">
        <v>0.44537815126050423</v>
      </c>
    </row>
    <row r="58" spans="1:16" x14ac:dyDescent="0.45">
      <c r="A58" s="35">
        <v>55</v>
      </c>
      <c r="B58" s="32">
        <v>-114.10000000000005</v>
      </c>
      <c r="C58" s="32">
        <v>-2.0745454545454556</v>
      </c>
      <c r="D58" s="37">
        <v>2.0363636363636362</v>
      </c>
      <c r="E58" s="33">
        <v>0.36363636363636365</v>
      </c>
      <c r="F58" s="33">
        <v>0.4</v>
      </c>
      <c r="G58" s="33">
        <v>0.27149321266968324</v>
      </c>
      <c r="H58" s="33">
        <v>0.18778280542986425</v>
      </c>
      <c r="I58" s="34">
        <v>10291.666666666666</v>
      </c>
      <c r="J58" s="34">
        <v>-8259.0361445783128</v>
      </c>
      <c r="K58" s="33">
        <v>0.18181818181818182</v>
      </c>
      <c r="L58" s="33">
        <v>0.29638009049773756</v>
      </c>
      <c r="M58" s="33">
        <v>0.19683257918552036</v>
      </c>
      <c r="N58" s="33">
        <v>0.46564885496183206</v>
      </c>
      <c r="O58" s="33">
        <v>0.36781609195402298</v>
      </c>
      <c r="P58" s="33">
        <v>0.45</v>
      </c>
    </row>
    <row r="59" spans="1:16" x14ac:dyDescent="0.45">
      <c r="A59" s="35">
        <v>56</v>
      </c>
      <c r="B59" s="32">
        <v>-110.70000000000005</v>
      </c>
      <c r="C59" s="32">
        <v>-1.976785714285715</v>
      </c>
      <c r="D59" s="37">
        <v>2.0357142857142856</v>
      </c>
      <c r="E59" s="33">
        <v>0.35714285714285715</v>
      </c>
      <c r="F59" s="33">
        <v>0.39285714285714285</v>
      </c>
      <c r="G59" s="33">
        <v>0.2700892857142857</v>
      </c>
      <c r="H59" s="33">
        <v>0.18526785714285715</v>
      </c>
      <c r="I59" s="34">
        <v>10249.586776859504</v>
      </c>
      <c r="J59" s="34">
        <v>-8259.0361445783128</v>
      </c>
      <c r="K59" s="33">
        <v>0.17857142857142858</v>
      </c>
      <c r="L59" s="33">
        <v>0.296875</v>
      </c>
      <c r="M59" s="33">
        <v>0.19642857142857142</v>
      </c>
      <c r="N59" s="33">
        <v>0.46616541353383456</v>
      </c>
      <c r="O59" s="33">
        <v>0.36363636363636365</v>
      </c>
      <c r="P59" s="33">
        <v>0.4462809917355372</v>
      </c>
    </row>
    <row r="60" spans="1:16" x14ac:dyDescent="0.45">
      <c r="A60" s="35">
        <v>57</v>
      </c>
      <c r="B60" s="32">
        <v>-89.600000000000051</v>
      </c>
      <c r="C60" s="32">
        <v>-1.5719298245614044</v>
      </c>
      <c r="D60" s="37">
        <v>2.0175438596491229</v>
      </c>
      <c r="E60" s="33">
        <v>0.36842105263157893</v>
      </c>
      <c r="F60" s="33">
        <v>0.38596491228070173</v>
      </c>
      <c r="G60" s="33">
        <v>0.2725274725274725</v>
      </c>
      <c r="H60" s="33">
        <v>0.18681318681318682</v>
      </c>
      <c r="I60" s="34">
        <v>10227.41935483871</v>
      </c>
      <c r="J60" s="34">
        <v>-8189.411764705882</v>
      </c>
      <c r="K60" s="33">
        <v>0.17543859649122806</v>
      </c>
      <c r="L60" s="33">
        <v>0.29450549450549451</v>
      </c>
      <c r="M60" s="33">
        <v>0.2021978021978022</v>
      </c>
      <c r="N60" s="33">
        <v>0.47014925373134331</v>
      </c>
      <c r="O60" s="33">
        <v>0.35869565217391303</v>
      </c>
      <c r="P60" s="33">
        <v>0.44354838709677419</v>
      </c>
    </row>
    <row r="61" spans="1:16" x14ac:dyDescent="0.45">
      <c r="A61" s="35">
        <v>58</v>
      </c>
      <c r="B61" s="32">
        <v>-110.00000000000006</v>
      </c>
      <c r="C61" s="32">
        <v>-1.8965517241379319</v>
      </c>
      <c r="D61" s="37">
        <v>2.0344827586206895</v>
      </c>
      <c r="E61" s="33">
        <v>0.36206896551724138</v>
      </c>
      <c r="F61" s="33">
        <v>0.39655172413793105</v>
      </c>
      <c r="G61" s="33">
        <v>0.27114967462039047</v>
      </c>
      <c r="H61" s="33">
        <v>0.18655097613882862</v>
      </c>
      <c r="I61" s="34">
        <v>10196.799999999999</v>
      </c>
      <c r="J61" s="34">
        <v>-8154.6511627906975</v>
      </c>
      <c r="K61" s="33">
        <v>0.17241379310344829</v>
      </c>
      <c r="L61" s="33">
        <v>0.29284164859002171</v>
      </c>
      <c r="M61" s="33">
        <v>0.2017353579175705</v>
      </c>
      <c r="N61" s="33">
        <v>0.47407407407407409</v>
      </c>
      <c r="O61" s="33">
        <v>0.35483870967741937</v>
      </c>
      <c r="P61" s="33">
        <v>0.44800000000000001</v>
      </c>
    </row>
    <row r="62" spans="1:16" x14ac:dyDescent="0.45">
      <c r="A62" s="35">
        <v>59</v>
      </c>
      <c r="B62" s="32">
        <v>-105.20000000000006</v>
      </c>
      <c r="C62" s="32">
        <v>-1.7830508474576281</v>
      </c>
      <c r="D62" s="37">
        <v>2.0338983050847457</v>
      </c>
      <c r="E62" s="33">
        <v>0.3559322033898305</v>
      </c>
      <c r="F62" s="33">
        <v>0.38983050847457629</v>
      </c>
      <c r="G62" s="33">
        <v>0.26980728051391861</v>
      </c>
      <c r="H62" s="33">
        <v>0.18629550321199143</v>
      </c>
      <c r="I62" s="34">
        <v>10306.349206349207</v>
      </c>
      <c r="J62" s="34">
        <v>-8120.6896551724139</v>
      </c>
      <c r="K62" s="33">
        <v>0.16949152542372881</v>
      </c>
      <c r="L62" s="33">
        <v>0.2955032119914347</v>
      </c>
      <c r="M62" s="33">
        <v>0.2012847965738758</v>
      </c>
      <c r="N62" s="33">
        <v>0.46376811594202899</v>
      </c>
      <c r="O62" s="33">
        <v>0.35106382978723405</v>
      </c>
      <c r="P62" s="33">
        <v>0.45238095238095238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2315F-3D69-49EE-AC78-B893D71DFCF8}">
  <sheetPr codeName="Sheet6"/>
  <dimension ref="A1:Q111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5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5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5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5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5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5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5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5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45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  <row r="81" spans="1:16" x14ac:dyDescent="0.45">
      <c r="A81" s="35">
        <v>78</v>
      </c>
      <c r="B81" s="32">
        <v>-2.1316282072803006E-14</v>
      </c>
      <c r="C81" s="32">
        <v>-9.1095222533346175E-17</v>
      </c>
      <c r="D81" s="37">
        <v>2</v>
      </c>
      <c r="E81" s="33">
        <v>0.33333333333333331</v>
      </c>
      <c r="F81" s="33">
        <v>0.33333333333333331</v>
      </c>
      <c r="G81" s="33">
        <v>0.29311294765840218</v>
      </c>
      <c r="H81" s="33">
        <v>0.15977961432506887</v>
      </c>
      <c r="I81" s="34">
        <v>9084.5864661654141</v>
      </c>
      <c r="J81" s="34">
        <v>-8194.4827586206902</v>
      </c>
      <c r="K81" s="33">
        <v>0.13675213675213677</v>
      </c>
      <c r="L81" s="33">
        <v>0.24407713498622591</v>
      </c>
      <c r="M81" s="33">
        <v>0.20440771349862258</v>
      </c>
      <c r="N81" s="33">
        <v>0.55304740406320541</v>
      </c>
      <c r="O81" s="33">
        <v>0.42318059299191374</v>
      </c>
      <c r="P81" s="33">
        <v>0.45300751879699247</v>
      </c>
    </row>
    <row r="82" spans="1:16" x14ac:dyDescent="0.45">
      <c r="A82" s="35">
        <v>79</v>
      </c>
      <c r="B82" s="32">
        <v>-2.1316282072803006E-14</v>
      </c>
      <c r="C82" s="32">
        <v>-8.9942118450645592E-17</v>
      </c>
      <c r="D82" s="37">
        <v>2</v>
      </c>
      <c r="E82" s="33">
        <v>0.33333333333333331</v>
      </c>
      <c r="F82" s="33">
        <v>0.33333333333333331</v>
      </c>
      <c r="G82" s="33">
        <v>0.29261672095548319</v>
      </c>
      <c r="H82" s="33">
        <v>0.15960912052117263</v>
      </c>
      <c r="I82" s="34">
        <v>9051.0204081632655</v>
      </c>
      <c r="J82" s="34">
        <v>-8162.925170068027</v>
      </c>
      <c r="K82" s="33">
        <v>0.13502109704641349</v>
      </c>
      <c r="L82" s="33">
        <v>0.24321389793702497</v>
      </c>
      <c r="M82" s="33">
        <v>0.20358306188925082</v>
      </c>
      <c r="N82" s="33">
        <v>0.5513392857142857</v>
      </c>
      <c r="O82" s="33">
        <v>0.42133333333333334</v>
      </c>
      <c r="P82" s="33">
        <v>0.45269016697588127</v>
      </c>
    </row>
    <row r="83" spans="1:16" x14ac:dyDescent="0.45">
      <c r="A83" s="35">
        <v>80</v>
      </c>
      <c r="B83" s="32">
        <v>-2.1316282072803006E-14</v>
      </c>
      <c r="C83" s="32">
        <v>-8.8817841970012528E-17</v>
      </c>
      <c r="D83" s="37">
        <v>2</v>
      </c>
      <c r="E83" s="33">
        <v>0.33333333333333331</v>
      </c>
      <c r="F83" s="33">
        <v>0.33333333333333331</v>
      </c>
      <c r="G83" s="33">
        <v>0.2924731182795699</v>
      </c>
      <c r="H83" s="33">
        <v>0.1596774193548387</v>
      </c>
      <c r="I83" s="34">
        <v>9055.5147058823532</v>
      </c>
      <c r="J83" s="34">
        <v>-8201.6835016835012</v>
      </c>
      <c r="K83" s="33">
        <v>0.13333333333333333</v>
      </c>
      <c r="L83" s="33">
        <v>0.24301075268817204</v>
      </c>
      <c r="M83" s="33">
        <v>0.20322580645161289</v>
      </c>
      <c r="N83" s="33">
        <v>0.55088495575221241</v>
      </c>
      <c r="O83" s="33">
        <v>0.42063492063492064</v>
      </c>
      <c r="P83" s="33">
        <v>0.45220588235294118</v>
      </c>
    </row>
    <row r="84" spans="1:16" x14ac:dyDescent="0.45">
      <c r="A84" s="35">
        <v>81</v>
      </c>
      <c r="B84" s="32">
        <v>-2.1316282072803006E-14</v>
      </c>
      <c r="C84" s="32">
        <v>-8.77213254024815E-17</v>
      </c>
      <c r="D84" s="37">
        <v>2</v>
      </c>
      <c r="E84" s="33">
        <v>0.33333333333333331</v>
      </c>
      <c r="F84" s="33">
        <v>0.33333333333333331</v>
      </c>
      <c r="G84" s="33">
        <v>0.29193205944798301</v>
      </c>
      <c r="H84" s="33">
        <v>0.15976645435244161</v>
      </c>
      <c r="I84" s="34">
        <v>9034.7272727272721</v>
      </c>
      <c r="J84" s="34">
        <v>-8183.0564784053158</v>
      </c>
      <c r="K84" s="33">
        <v>0.13168724279835392</v>
      </c>
      <c r="L84" s="33">
        <v>0.24309978768577495</v>
      </c>
      <c r="M84" s="33">
        <v>0.20276008492569003</v>
      </c>
      <c r="N84" s="33">
        <v>0.55240174672489084</v>
      </c>
      <c r="O84" s="33">
        <v>0.41884816753926701</v>
      </c>
      <c r="P84" s="33">
        <v>0.45090909090909093</v>
      </c>
    </row>
    <row r="85" spans="1:16" x14ac:dyDescent="0.45">
      <c r="A85" s="35">
        <v>82</v>
      </c>
      <c r="B85" s="32">
        <v>-2.3092638912203256E-14</v>
      </c>
      <c r="C85" s="32">
        <v>-9.3872515903265274E-17</v>
      </c>
      <c r="D85" s="37">
        <v>2</v>
      </c>
      <c r="E85" s="33">
        <v>0.33333333333333331</v>
      </c>
      <c r="F85" s="33">
        <v>0.33333333333333331</v>
      </c>
      <c r="G85" s="33">
        <v>0.29251700680272108</v>
      </c>
      <c r="H85" s="33">
        <v>0.16012558869701726</v>
      </c>
      <c r="I85" s="34">
        <v>9079.7853309481216</v>
      </c>
      <c r="J85" s="34">
        <v>-8237.254901960785</v>
      </c>
      <c r="K85" s="33">
        <v>0.13008130081300814</v>
      </c>
      <c r="L85" s="33">
        <v>0.24594453165881738</v>
      </c>
      <c r="M85" s="33">
        <v>0.20198848770277342</v>
      </c>
      <c r="N85" s="33">
        <v>0.55531914893617018</v>
      </c>
      <c r="O85" s="33">
        <v>0.41450777202072536</v>
      </c>
      <c r="P85" s="33">
        <v>0.45080500894454384</v>
      </c>
    </row>
    <row r="86" spans="1:16" x14ac:dyDescent="0.45">
      <c r="A86" s="35">
        <v>83</v>
      </c>
      <c r="B86" s="32">
        <v>-2.6645352591003757E-14</v>
      </c>
      <c r="C86" s="32">
        <v>-1.0700944815664159E-16</v>
      </c>
      <c r="D86" s="37">
        <v>2</v>
      </c>
      <c r="E86" s="33">
        <v>0.33333333333333331</v>
      </c>
      <c r="F86" s="33">
        <v>0.33333333333333331</v>
      </c>
      <c r="G86" s="33">
        <v>0.29166666666666669</v>
      </c>
      <c r="H86" s="33">
        <v>0.15792181069958847</v>
      </c>
      <c r="I86" s="34">
        <v>9035.4497354497362</v>
      </c>
      <c r="J86" s="34">
        <v>-8249.511400651465</v>
      </c>
      <c r="K86" s="33">
        <v>0.12851405622489959</v>
      </c>
      <c r="L86" s="33">
        <v>0.24537037037037038</v>
      </c>
      <c r="M86" s="33">
        <v>0.20421810699588477</v>
      </c>
      <c r="N86" s="33">
        <v>0.55136268343815509</v>
      </c>
      <c r="O86" s="33">
        <v>0.41561712846347609</v>
      </c>
      <c r="P86" s="33">
        <v>0.4567901234567901</v>
      </c>
    </row>
    <row r="87" spans="1:16" x14ac:dyDescent="0.45">
      <c r="A87" s="35">
        <v>84</v>
      </c>
      <c r="B87" s="32">
        <v>-2.8421709430404007E-14</v>
      </c>
      <c r="C87" s="32">
        <v>-1.1278456123176193E-16</v>
      </c>
      <c r="D87" s="37">
        <v>2</v>
      </c>
      <c r="E87" s="33">
        <v>0.33333333333333331</v>
      </c>
      <c r="F87" s="33">
        <v>0.33333333333333331</v>
      </c>
      <c r="G87" s="33">
        <v>0.29211195928753181</v>
      </c>
      <c r="H87" s="33">
        <v>0.15725190839694655</v>
      </c>
      <c r="I87" s="34">
        <v>9029.7909407665502</v>
      </c>
      <c r="J87" s="34">
        <v>-8260.8414239482208</v>
      </c>
      <c r="K87" s="33">
        <v>0.13095238095238096</v>
      </c>
      <c r="L87" s="33">
        <v>0.24681933842239187</v>
      </c>
      <c r="M87" s="33">
        <v>0.20356234096692111</v>
      </c>
      <c r="N87" s="33">
        <v>0.5525773195876289</v>
      </c>
      <c r="O87" s="33">
        <v>0.41499999999999998</v>
      </c>
      <c r="P87" s="33">
        <v>0.45993031358885017</v>
      </c>
    </row>
    <row r="88" spans="1:16" x14ac:dyDescent="0.45">
      <c r="A88" s="35">
        <v>85</v>
      </c>
      <c r="B88" s="32">
        <v>-2.8421709430404007E-14</v>
      </c>
      <c r="C88" s="32">
        <v>-1.1145768404080003E-16</v>
      </c>
      <c r="D88" s="37">
        <v>2</v>
      </c>
      <c r="E88" s="33">
        <v>0.33333333333333331</v>
      </c>
      <c r="F88" s="33">
        <v>0.33333333333333331</v>
      </c>
      <c r="G88" s="33">
        <v>0.29235382308845576</v>
      </c>
      <c r="H88" s="33">
        <v>0.15642178910544727</v>
      </c>
      <c r="I88" s="34">
        <v>8994.8717948717949</v>
      </c>
      <c r="J88" s="34">
        <v>-8231.3099041533551</v>
      </c>
      <c r="K88" s="33">
        <v>0.13333333333333333</v>
      </c>
      <c r="L88" s="33">
        <v>0.24737631184407796</v>
      </c>
      <c r="M88" s="33">
        <v>0.20389805097451275</v>
      </c>
      <c r="N88" s="33">
        <v>0.55353535353535355</v>
      </c>
      <c r="O88" s="33">
        <v>0.41176470588235292</v>
      </c>
      <c r="P88" s="33">
        <v>0.46324786324786327</v>
      </c>
    </row>
    <row r="89" spans="1:16" x14ac:dyDescent="0.45">
      <c r="A89" s="35">
        <v>86</v>
      </c>
      <c r="B89" s="32">
        <v>-3.5527136788005009E-14</v>
      </c>
      <c r="C89" s="32">
        <v>-1.3770208057366282E-16</v>
      </c>
      <c r="D89" s="37">
        <v>2</v>
      </c>
      <c r="E89" s="33">
        <v>0.33333333333333331</v>
      </c>
      <c r="F89" s="33">
        <v>0.33333333333333331</v>
      </c>
      <c r="G89" s="33">
        <v>0.2910521140609636</v>
      </c>
      <c r="H89" s="33">
        <v>0.15535889872173059</v>
      </c>
      <c r="I89" s="34">
        <v>9005.0675675675684</v>
      </c>
      <c r="J89" s="34">
        <v>-8253.481012658227</v>
      </c>
      <c r="K89" s="33">
        <v>0.13565891472868216</v>
      </c>
      <c r="L89" s="33">
        <v>0.24680432645034414</v>
      </c>
      <c r="M89" s="33">
        <v>0.20452310717797442</v>
      </c>
      <c r="N89" s="33">
        <v>0.55179282868525892</v>
      </c>
      <c r="O89" s="33">
        <v>0.40865384615384615</v>
      </c>
      <c r="P89" s="33">
        <v>0.46452702702702703</v>
      </c>
    </row>
    <row r="90" spans="1:16" x14ac:dyDescent="0.45">
      <c r="A90" s="35">
        <v>87</v>
      </c>
      <c r="B90" s="32">
        <v>-3.3750779948604759E-14</v>
      </c>
      <c r="C90" s="32">
        <v>-1.2931333313641671E-16</v>
      </c>
      <c r="D90" s="37">
        <v>2</v>
      </c>
      <c r="E90" s="33">
        <v>0.33333333333333331</v>
      </c>
      <c r="F90" s="33">
        <v>0.33333333333333331</v>
      </c>
      <c r="G90" s="33">
        <v>0.29057337220602525</v>
      </c>
      <c r="H90" s="33">
        <v>0.15500485908649175</v>
      </c>
      <c r="I90" s="34">
        <v>8974.7491638795982</v>
      </c>
      <c r="J90" s="34">
        <v>-8221.3166144200623</v>
      </c>
      <c r="K90" s="33">
        <v>0.13409961685823754</v>
      </c>
      <c r="L90" s="33">
        <v>0.24538386783284744</v>
      </c>
      <c r="M90" s="33">
        <v>0.20408163265306123</v>
      </c>
      <c r="N90" s="33">
        <v>0.55247524752475252</v>
      </c>
      <c r="O90" s="33">
        <v>0.40952380952380951</v>
      </c>
      <c r="P90" s="33">
        <v>0.46488294314381273</v>
      </c>
    </row>
    <row r="91" spans="1:16" x14ac:dyDescent="0.45">
      <c r="A91" s="35">
        <v>88</v>
      </c>
      <c r="B91" s="32">
        <v>-3.1974423109204508E-14</v>
      </c>
      <c r="C91" s="32">
        <v>-1.2111523905001707E-16</v>
      </c>
      <c r="D91" s="37">
        <v>2</v>
      </c>
      <c r="E91" s="33">
        <v>0.33333333333333331</v>
      </c>
      <c r="F91" s="33">
        <v>0.33333333333333331</v>
      </c>
      <c r="G91" s="33">
        <v>0.29106628242074928</v>
      </c>
      <c r="H91" s="33">
        <v>0.15609990393852066</v>
      </c>
      <c r="I91" s="34">
        <v>8927.5577557755769</v>
      </c>
      <c r="J91" s="34">
        <v>-8153.8461538461543</v>
      </c>
      <c r="K91" s="33">
        <v>0.13257575757575757</v>
      </c>
      <c r="L91" s="33">
        <v>0.24399615754082613</v>
      </c>
      <c r="M91" s="33">
        <v>0.20268972142170991</v>
      </c>
      <c r="N91" s="33">
        <v>0.55314960629921262</v>
      </c>
      <c r="O91" s="33">
        <v>0.41232227488151657</v>
      </c>
      <c r="P91" s="33">
        <v>0.46204620462046203</v>
      </c>
    </row>
    <row r="92" spans="1:16" x14ac:dyDescent="0.45">
      <c r="A92" s="35">
        <v>89</v>
      </c>
      <c r="B92" s="32">
        <v>-3.5527136788005009E-14</v>
      </c>
      <c r="C92" s="32">
        <v>-1.3306043740825847E-16</v>
      </c>
      <c r="D92" s="37">
        <v>2</v>
      </c>
      <c r="E92" s="33">
        <v>0.33333333333333331</v>
      </c>
      <c r="F92" s="33">
        <v>0.33333333333333331</v>
      </c>
      <c r="G92" s="33">
        <v>0.29101283880171186</v>
      </c>
      <c r="H92" s="33">
        <v>0.15596766524013314</v>
      </c>
      <c r="I92" s="34">
        <v>8888.8888888888887</v>
      </c>
      <c r="J92" s="34">
        <v>-8103.0487804878048</v>
      </c>
      <c r="K92" s="33">
        <v>0.13108614232209737</v>
      </c>
      <c r="L92" s="33">
        <v>0.24298621017593913</v>
      </c>
      <c r="M92" s="33">
        <v>0.20494531621493106</v>
      </c>
      <c r="N92" s="33">
        <v>0.55185909980430525</v>
      </c>
      <c r="O92" s="33">
        <v>0.41531322505800466</v>
      </c>
      <c r="P92" s="33">
        <v>0.46241830065359479</v>
      </c>
    </row>
    <row r="93" spans="1:16" x14ac:dyDescent="0.45">
      <c r="A93" s="35">
        <v>90</v>
      </c>
      <c r="B93" s="32">
        <v>-3.6415315207705135E-14</v>
      </c>
      <c r="C93" s="32">
        <v>-1.3487153780631531E-16</v>
      </c>
      <c r="D93" s="37">
        <v>2</v>
      </c>
      <c r="E93" s="33">
        <v>0.33333333333333331</v>
      </c>
      <c r="F93" s="33">
        <v>0.33333333333333331</v>
      </c>
      <c r="G93" s="33">
        <v>0.29061032863849767</v>
      </c>
      <c r="H93" s="33">
        <v>0.15446009389671361</v>
      </c>
      <c r="I93" s="34">
        <v>8876.5751211631668</v>
      </c>
      <c r="J93" s="34">
        <v>-8101.8237082066871</v>
      </c>
      <c r="K93" s="33">
        <v>0.12962962962962962</v>
      </c>
      <c r="L93" s="33">
        <v>0.24178403755868544</v>
      </c>
      <c r="M93" s="33">
        <v>0.2051643192488263</v>
      </c>
      <c r="N93" s="33">
        <v>0.55145631067961165</v>
      </c>
      <c r="O93" s="33">
        <v>0.41647597254004576</v>
      </c>
      <c r="P93" s="33">
        <v>0.46688206785137321</v>
      </c>
    </row>
    <row r="94" spans="1:16" x14ac:dyDescent="0.45">
      <c r="A94" s="35">
        <v>91</v>
      </c>
      <c r="B94" s="32">
        <v>-3.5527136788005009E-14</v>
      </c>
      <c r="C94" s="32">
        <v>-1.3013603219049455E-16</v>
      </c>
      <c r="D94" s="37">
        <v>2</v>
      </c>
      <c r="E94" s="33">
        <v>0.33333333333333331</v>
      </c>
      <c r="F94" s="33">
        <v>0.33333333333333331</v>
      </c>
      <c r="G94" s="33">
        <v>0.29096834264432031</v>
      </c>
      <c r="H94" s="33">
        <v>0.15549348230912477</v>
      </c>
      <c r="I94" s="34">
        <v>8832.7999999999993</v>
      </c>
      <c r="J94" s="34">
        <v>-8058.0838323353291</v>
      </c>
      <c r="K94" s="33">
        <v>0.12820512820512819</v>
      </c>
      <c r="L94" s="33">
        <v>0.24255121042830541</v>
      </c>
      <c r="M94" s="33">
        <v>0.20577281191806332</v>
      </c>
      <c r="N94" s="33">
        <v>0.55086372360844527</v>
      </c>
      <c r="O94" s="33">
        <v>0.41402714932126694</v>
      </c>
      <c r="P94" s="33">
        <v>0.46239999999999998</v>
      </c>
    </row>
    <row r="95" spans="1:16" x14ac:dyDescent="0.45">
      <c r="A95" s="35">
        <v>92</v>
      </c>
      <c r="B95" s="32">
        <v>-3.5527136788005009E-14</v>
      </c>
      <c r="C95" s="32">
        <v>-1.2872151010146743E-16</v>
      </c>
      <c r="D95" s="37">
        <v>2</v>
      </c>
      <c r="E95" s="33">
        <v>0.33333333333333331</v>
      </c>
      <c r="F95" s="33">
        <v>0.33333333333333331</v>
      </c>
      <c r="G95" s="33">
        <v>0.29103448275862071</v>
      </c>
      <c r="H95" s="33">
        <v>0.15494252873563219</v>
      </c>
      <c r="I95" s="34">
        <v>8842.022116903634</v>
      </c>
      <c r="J95" s="34">
        <v>-8044.5103857566764</v>
      </c>
      <c r="K95" s="33">
        <v>0.12681159420289856</v>
      </c>
      <c r="L95" s="33">
        <v>0.24229885057471265</v>
      </c>
      <c r="M95" s="33">
        <v>0.20689655172413793</v>
      </c>
      <c r="N95" s="33">
        <v>0.5540796963946869</v>
      </c>
      <c r="O95" s="33">
        <v>0.41111111111111109</v>
      </c>
      <c r="P95" s="33">
        <v>0.46445497630331756</v>
      </c>
    </row>
    <row r="96" spans="1:16" x14ac:dyDescent="0.45">
      <c r="A96" s="35">
        <v>93</v>
      </c>
      <c r="B96" s="32">
        <v>-3.5527136788005009E-14</v>
      </c>
      <c r="C96" s="32">
        <v>-1.2733740784231185E-16</v>
      </c>
      <c r="D96" s="37">
        <v>2</v>
      </c>
      <c r="E96" s="33">
        <v>0.33333333333333331</v>
      </c>
      <c r="F96" s="33">
        <v>0.33333333333333331</v>
      </c>
      <c r="G96" s="33">
        <v>0.29098360655737704</v>
      </c>
      <c r="H96" s="33">
        <v>0.15482695810564662</v>
      </c>
      <c r="I96" s="34">
        <v>8868.2316118935832</v>
      </c>
      <c r="J96" s="34">
        <v>-8043.2352941176468</v>
      </c>
      <c r="K96" s="33">
        <v>0.12544802867383512</v>
      </c>
      <c r="L96" s="33">
        <v>0.24134790528233152</v>
      </c>
      <c r="M96" s="33">
        <v>0.20719489981785064</v>
      </c>
      <c r="N96" s="33">
        <v>0.55471698113207546</v>
      </c>
      <c r="O96" s="33">
        <v>0.40879120879120878</v>
      </c>
      <c r="P96" s="33">
        <v>0.46478873239436619</v>
      </c>
    </row>
    <row r="97" spans="1:16" x14ac:dyDescent="0.45">
      <c r="A97" s="35">
        <v>94</v>
      </c>
      <c r="B97" s="32">
        <v>-3.5527136788005009E-14</v>
      </c>
      <c r="C97" s="32">
        <v>-1.2598275456739366E-16</v>
      </c>
      <c r="D97" s="37">
        <v>2</v>
      </c>
      <c r="E97" s="33">
        <v>0.33333333333333331</v>
      </c>
      <c r="F97" s="33">
        <v>0.33333333333333331</v>
      </c>
      <c r="G97" s="33">
        <v>0.29104813315339634</v>
      </c>
      <c r="H97" s="33">
        <v>0.15519568151147098</v>
      </c>
      <c r="I97" s="34">
        <v>8862.287480680061</v>
      </c>
      <c r="J97" s="34">
        <v>-8035.072463768116</v>
      </c>
      <c r="K97" s="33">
        <v>0.12411347517730496</v>
      </c>
      <c r="L97" s="33">
        <v>0.24381466486729644</v>
      </c>
      <c r="M97" s="33">
        <v>0.20647773279352227</v>
      </c>
      <c r="N97" s="33">
        <v>0.55535055350553508</v>
      </c>
      <c r="O97" s="33">
        <v>0.40522875816993464</v>
      </c>
      <c r="P97" s="33">
        <v>0.46367851622874806</v>
      </c>
    </row>
    <row r="98" spans="1:16" x14ac:dyDescent="0.45">
      <c r="A98" s="35">
        <v>95</v>
      </c>
      <c r="B98" s="32">
        <v>-3.1974423109204508E-14</v>
      </c>
      <c r="C98" s="32">
        <v>-1.1219095827791056E-16</v>
      </c>
      <c r="D98" s="37">
        <v>2</v>
      </c>
      <c r="E98" s="33">
        <v>0.33333333333333331</v>
      </c>
      <c r="F98" s="33">
        <v>0.33333333333333331</v>
      </c>
      <c r="G98" s="33">
        <v>0.29105473965287049</v>
      </c>
      <c r="H98" s="33">
        <v>0.155318202047174</v>
      </c>
      <c r="I98" s="34">
        <v>8857.1865443425067</v>
      </c>
      <c r="J98" s="34">
        <v>-8057.5931232091689</v>
      </c>
      <c r="K98" s="33">
        <v>0.12280701754385964</v>
      </c>
      <c r="L98" s="33">
        <v>0.24521584334668448</v>
      </c>
      <c r="M98" s="33">
        <v>0.20605251446372941</v>
      </c>
      <c r="N98" s="33">
        <v>0.55535390199637025</v>
      </c>
      <c r="O98" s="33">
        <v>0.40604751619870411</v>
      </c>
      <c r="P98" s="33">
        <v>0.46330275229357798</v>
      </c>
    </row>
    <row r="99" spans="1:16" x14ac:dyDescent="0.45">
      <c r="A99" s="35">
        <v>96</v>
      </c>
      <c r="B99" s="32">
        <v>-2.1316282072803006E-14</v>
      </c>
      <c r="C99" s="32">
        <v>-7.4014868308343765E-17</v>
      </c>
      <c r="D99" s="37">
        <v>2</v>
      </c>
      <c r="E99" s="33">
        <v>0.33333333333333331</v>
      </c>
      <c r="F99" s="33">
        <v>0.33333333333333331</v>
      </c>
      <c r="G99" s="33">
        <v>0.29094922737306844</v>
      </c>
      <c r="H99" s="33">
        <v>0.1545253863134658</v>
      </c>
      <c r="I99" s="34">
        <v>8866.0091047040969</v>
      </c>
      <c r="J99" s="34">
        <v>-8057.4285714285716</v>
      </c>
      <c r="K99" s="33">
        <v>0.12152777777777778</v>
      </c>
      <c r="L99" s="33">
        <v>0.24459161147902869</v>
      </c>
      <c r="M99" s="33">
        <v>0.20662251655629138</v>
      </c>
      <c r="N99" s="33">
        <v>0.55595667870036103</v>
      </c>
      <c r="O99" s="33">
        <v>0.40384615384615385</v>
      </c>
      <c r="P99" s="33">
        <v>0.46585735963581182</v>
      </c>
    </row>
    <row r="100" spans="1:16" x14ac:dyDescent="0.45">
      <c r="A100" s="35">
        <v>97</v>
      </c>
      <c r="B100" s="32">
        <v>-2.1316282072803006E-14</v>
      </c>
      <c r="C100" s="32">
        <v>-7.3251828428876306E-17</v>
      </c>
      <c r="D100" s="37">
        <v>2</v>
      </c>
      <c r="E100" s="33">
        <v>0.33333333333333331</v>
      </c>
      <c r="F100" s="33">
        <v>0.33333333333333331</v>
      </c>
      <c r="G100" s="33">
        <v>0.29040735873850199</v>
      </c>
      <c r="H100" s="33">
        <v>0.15418309242225142</v>
      </c>
      <c r="I100" s="34">
        <v>8842.5339366515836</v>
      </c>
      <c r="J100" s="34">
        <v>-8045.454545454545</v>
      </c>
      <c r="K100" s="33">
        <v>0.12027491408934708</v>
      </c>
      <c r="L100" s="33">
        <v>0.24310118265440211</v>
      </c>
      <c r="M100" s="33">
        <v>0.20893561103810776</v>
      </c>
      <c r="N100" s="33">
        <v>0.55495495495495495</v>
      </c>
      <c r="O100" s="33">
        <v>0.40461215932914046</v>
      </c>
      <c r="P100" s="33">
        <v>0.4660633484162896</v>
      </c>
    </row>
    <row r="101" spans="1:16" x14ac:dyDescent="0.45">
      <c r="A101" s="35">
        <v>98</v>
      </c>
      <c r="B101" s="32">
        <v>-2.4868995751603507E-14</v>
      </c>
      <c r="C101" s="32">
        <v>-8.4588420923821446E-17</v>
      </c>
      <c r="D101" s="37">
        <v>2</v>
      </c>
      <c r="E101" s="33">
        <v>0.33333333333333331</v>
      </c>
      <c r="F101" s="33">
        <v>0.33333333333333331</v>
      </c>
      <c r="G101" s="33">
        <v>0.2907986111111111</v>
      </c>
      <c r="H101" s="33">
        <v>0.1545138888888889</v>
      </c>
      <c r="I101" s="34">
        <v>8820</v>
      </c>
      <c r="J101" s="34">
        <v>-8007.303370786517</v>
      </c>
      <c r="K101" s="33">
        <v>0.11904761904761904</v>
      </c>
      <c r="L101" s="33">
        <v>0.24175347222222221</v>
      </c>
      <c r="M101" s="33">
        <v>0.21006944444444445</v>
      </c>
      <c r="N101" s="33">
        <v>0.55475763016157986</v>
      </c>
      <c r="O101" s="33">
        <v>0.40909090909090912</v>
      </c>
      <c r="P101" s="33">
        <v>0.46567164179104475</v>
      </c>
    </row>
    <row r="102" spans="1:16" x14ac:dyDescent="0.45">
      <c r="A102" s="35">
        <v>99</v>
      </c>
      <c r="B102" s="32">
        <v>-2.8421709430404007E-14</v>
      </c>
      <c r="C102" s="32">
        <v>-9.5695991348161637E-17</v>
      </c>
      <c r="D102" s="37">
        <v>2</v>
      </c>
      <c r="E102" s="33">
        <v>0.33333333333333331</v>
      </c>
      <c r="F102" s="33">
        <v>0.33333333333333331</v>
      </c>
      <c r="G102" s="33">
        <v>0.29081632653061223</v>
      </c>
      <c r="H102" s="33">
        <v>0.15476190476190477</v>
      </c>
      <c r="I102" s="34">
        <v>8763.1578947368416</v>
      </c>
      <c r="J102" s="34">
        <v>-7911.8131868131868</v>
      </c>
      <c r="K102" s="33">
        <v>0.12121212121212122</v>
      </c>
      <c r="L102" s="33">
        <v>0.23809523809523808</v>
      </c>
      <c r="M102" s="33">
        <v>0.21258503401360543</v>
      </c>
      <c r="N102" s="33">
        <v>0.5535714285714286</v>
      </c>
      <c r="O102" s="33">
        <v>0.41</v>
      </c>
      <c r="P102" s="33">
        <v>0.46491228070175439</v>
      </c>
    </row>
    <row r="103" spans="1:16" x14ac:dyDescent="0.45">
      <c r="A103" s="35">
        <v>100</v>
      </c>
      <c r="B103" s="32">
        <v>-2.8421709430404007E-14</v>
      </c>
      <c r="C103" s="32">
        <v>-9.4739031434680031E-17</v>
      </c>
      <c r="D103" s="37">
        <v>2</v>
      </c>
      <c r="E103" s="33">
        <v>0.33333333333333331</v>
      </c>
      <c r="F103" s="33">
        <v>0.33333333333333331</v>
      </c>
      <c r="G103" s="33">
        <v>0.29071729957805909</v>
      </c>
      <c r="H103" s="33">
        <v>0.15443037974683543</v>
      </c>
      <c r="I103" s="34">
        <v>8786.2119013062402</v>
      </c>
      <c r="J103" s="34">
        <v>-7933.333333333333</v>
      </c>
      <c r="K103" s="33">
        <v>0.12</v>
      </c>
      <c r="L103" s="33">
        <v>0.23797468354430379</v>
      </c>
      <c r="M103" s="33">
        <v>0.21265822784810126</v>
      </c>
      <c r="N103" s="33">
        <v>0.55319148936170215</v>
      </c>
      <c r="O103" s="33">
        <v>0.4107142857142857</v>
      </c>
      <c r="P103" s="33">
        <v>0.46589259796806964</v>
      </c>
    </row>
    <row r="104" spans="1:16" x14ac:dyDescent="0.45">
      <c r="A104" s="35">
        <v>101</v>
      </c>
      <c r="B104" s="32">
        <v>-2.8421709430404007E-14</v>
      </c>
      <c r="C104" s="32">
        <v>-9.3801021222455471E-17</v>
      </c>
      <c r="D104" s="37">
        <v>2</v>
      </c>
      <c r="E104" s="33">
        <v>0.33333333333333331</v>
      </c>
      <c r="F104" s="33">
        <v>0.33333333333333331</v>
      </c>
      <c r="G104" s="33">
        <v>0.28989139515455303</v>
      </c>
      <c r="H104" s="33">
        <v>0.15371762740183792</v>
      </c>
      <c r="I104" s="34">
        <v>8793.9481268011532</v>
      </c>
      <c r="J104" s="34">
        <v>-7904.347826086957</v>
      </c>
      <c r="K104" s="33">
        <v>0.11881188118811881</v>
      </c>
      <c r="L104" s="33">
        <v>0.23767752715121135</v>
      </c>
      <c r="M104" s="33">
        <v>0.21261487050960734</v>
      </c>
      <c r="N104" s="33">
        <v>0.55184534270650265</v>
      </c>
      <c r="O104" s="33">
        <v>0.41060903732809428</v>
      </c>
      <c r="P104" s="33">
        <v>0.4668587896253602</v>
      </c>
    </row>
    <row r="105" spans="1:16" x14ac:dyDescent="0.45">
      <c r="A105" s="35">
        <v>102</v>
      </c>
      <c r="B105" s="32">
        <v>-2.8421709430404007E-14</v>
      </c>
      <c r="C105" s="32">
        <v>-9.288140336733336E-17</v>
      </c>
      <c r="D105" s="37">
        <v>2</v>
      </c>
      <c r="E105" s="33">
        <v>0.33333333333333331</v>
      </c>
      <c r="F105" s="33">
        <v>0.33333333333333331</v>
      </c>
      <c r="G105" s="33">
        <v>0.28976572133168926</v>
      </c>
      <c r="H105" s="33">
        <v>0.15413070283600494</v>
      </c>
      <c r="I105" s="34">
        <v>8833.7588652482264</v>
      </c>
      <c r="J105" s="34">
        <v>-7957.333333333333</v>
      </c>
      <c r="K105" s="33">
        <v>0.11764705882352941</v>
      </c>
      <c r="L105" s="33">
        <v>0.23879983559391699</v>
      </c>
      <c r="M105" s="33">
        <v>0.21167283189478012</v>
      </c>
      <c r="N105" s="33">
        <v>0.55421686746987953</v>
      </c>
      <c r="O105" s="33">
        <v>0.4116504854368932</v>
      </c>
      <c r="P105" s="33">
        <v>0.46524822695035462</v>
      </c>
    </row>
    <row r="106" spans="1:16" x14ac:dyDescent="0.45">
      <c r="A106" s="35">
        <v>103</v>
      </c>
      <c r="B106" s="32">
        <v>-2.1316282072803006E-14</v>
      </c>
      <c r="C106" s="32">
        <v>-6.8984731627194187E-17</v>
      </c>
      <c r="D106" s="37">
        <v>2</v>
      </c>
      <c r="E106" s="33">
        <v>0.33333333333333331</v>
      </c>
      <c r="F106" s="33">
        <v>0.33333333333333331</v>
      </c>
      <c r="G106" s="33">
        <v>0.2893772893772894</v>
      </c>
      <c r="H106" s="33">
        <v>0.15425315425315425</v>
      </c>
      <c r="I106" s="34">
        <v>8818.706047819971</v>
      </c>
      <c r="J106" s="34">
        <v>-7955.9366754617413</v>
      </c>
      <c r="K106" s="33">
        <v>0.11974110032362459</v>
      </c>
      <c r="L106" s="33">
        <v>0.23768823768823769</v>
      </c>
      <c r="M106" s="33">
        <v>0.21326821326821327</v>
      </c>
      <c r="N106" s="33">
        <v>0.55136986301369861</v>
      </c>
      <c r="O106" s="33">
        <v>0.41412213740458015</v>
      </c>
      <c r="P106" s="33">
        <v>0.46413502109704641</v>
      </c>
    </row>
    <row r="107" spans="1:16" x14ac:dyDescent="0.45">
      <c r="A107" s="35">
        <v>104</v>
      </c>
      <c r="B107" s="32">
        <v>-2.1316282072803006E-14</v>
      </c>
      <c r="C107" s="32">
        <v>-6.8321416900009637E-17</v>
      </c>
      <c r="D107" s="37">
        <v>2</v>
      </c>
      <c r="E107" s="33">
        <v>0.33333333333333331</v>
      </c>
      <c r="F107" s="33">
        <v>0.33333333333333331</v>
      </c>
      <c r="G107" s="33">
        <v>0.28950542822677927</v>
      </c>
      <c r="H107" s="33">
        <v>0.15560916767189384</v>
      </c>
      <c r="I107" s="34">
        <v>8829.1666666666661</v>
      </c>
      <c r="J107" s="34">
        <v>-7995.3488372093025</v>
      </c>
      <c r="K107" s="33">
        <v>0.11858974358974358</v>
      </c>
      <c r="L107" s="33">
        <v>0.2372336147969441</v>
      </c>
      <c r="M107" s="33">
        <v>0.21431443506232409</v>
      </c>
      <c r="N107" s="33">
        <v>0.55084745762711862</v>
      </c>
      <c r="O107" s="33">
        <v>0.41463414634146339</v>
      </c>
      <c r="P107" s="33">
        <v>0.4597222222222222</v>
      </c>
    </row>
    <row r="108" spans="1:16" x14ac:dyDescent="0.45">
      <c r="A108" s="35">
        <v>105</v>
      </c>
      <c r="B108" s="32">
        <v>-1.9539925233402755E-14</v>
      </c>
      <c r="C108" s="32">
        <v>-6.2031508677469065E-17</v>
      </c>
      <c r="D108" s="37">
        <v>2</v>
      </c>
      <c r="E108" s="33">
        <v>0.33333333333333331</v>
      </c>
      <c r="F108" s="33">
        <v>0.33333333333333331</v>
      </c>
      <c r="G108" s="33">
        <v>0.28942115768463073</v>
      </c>
      <c r="H108" s="33">
        <v>0.15568862275449102</v>
      </c>
      <c r="I108" s="34">
        <v>8802.8965517241377</v>
      </c>
      <c r="J108" s="34">
        <v>-7982.5641025641025</v>
      </c>
      <c r="K108" s="33">
        <v>0.11746031746031746</v>
      </c>
      <c r="L108" s="33">
        <v>0.23632734530938124</v>
      </c>
      <c r="M108" s="33">
        <v>0.21437125748502994</v>
      </c>
      <c r="N108" s="33">
        <v>0.55067567567567566</v>
      </c>
      <c r="O108" s="33">
        <v>0.41527001862197394</v>
      </c>
      <c r="P108" s="33">
        <v>0.4593103448275862</v>
      </c>
    </row>
    <row r="109" spans="1:16" x14ac:dyDescent="0.45">
      <c r="A109" s="35">
        <v>106</v>
      </c>
      <c r="B109" s="32">
        <v>-1.7763568394002505E-14</v>
      </c>
      <c r="C109" s="32">
        <v>-5.5860277968561335E-17</v>
      </c>
      <c r="D109" s="37">
        <v>2</v>
      </c>
      <c r="E109" s="33">
        <v>0.33333333333333331</v>
      </c>
      <c r="F109" s="33">
        <v>0.33333333333333331</v>
      </c>
      <c r="G109" s="33">
        <v>0.28978622327790976</v>
      </c>
      <c r="H109" s="33">
        <v>0.15597783056215361</v>
      </c>
      <c r="I109" s="34">
        <v>8790.0273224043722</v>
      </c>
      <c r="J109" s="34">
        <v>-7979.1878172588831</v>
      </c>
      <c r="K109" s="33">
        <v>0.11635220125786164</v>
      </c>
      <c r="L109" s="33">
        <v>0.23634204275534443</v>
      </c>
      <c r="M109" s="33">
        <v>0.21496437054631828</v>
      </c>
      <c r="N109" s="33">
        <v>0.5510887772194305</v>
      </c>
      <c r="O109" s="33">
        <v>0.4143646408839779</v>
      </c>
      <c r="P109" s="33">
        <v>0.45901639344262296</v>
      </c>
    </row>
    <row r="110" spans="1:16" x14ac:dyDescent="0.45">
      <c r="A110" s="35">
        <v>107</v>
      </c>
      <c r="B110" s="32">
        <v>-1.7763568394002505E-14</v>
      </c>
      <c r="C110" s="32">
        <v>-5.5338219295957958E-17</v>
      </c>
      <c r="D110" s="37">
        <v>2</v>
      </c>
      <c r="E110" s="33">
        <v>0.33333333333333331</v>
      </c>
      <c r="F110" s="33">
        <v>0.33333333333333331</v>
      </c>
      <c r="G110" s="33">
        <v>0.29009433962264153</v>
      </c>
      <c r="H110" s="33">
        <v>0.15566037735849056</v>
      </c>
      <c r="I110" s="34">
        <v>8779.9457994579952</v>
      </c>
      <c r="J110" s="34">
        <v>-7982.3232323232323</v>
      </c>
      <c r="K110" s="33">
        <v>0.11526479750778816</v>
      </c>
      <c r="L110" s="33">
        <v>0.23624213836477986</v>
      </c>
      <c r="M110" s="33">
        <v>0.21383647798742139</v>
      </c>
      <c r="N110" s="33">
        <v>0.55241264559068215</v>
      </c>
      <c r="O110" s="33">
        <v>0.41360294117647056</v>
      </c>
      <c r="P110" s="33">
        <v>0.46070460704607047</v>
      </c>
    </row>
    <row r="111" spans="1:16" x14ac:dyDescent="0.45">
      <c r="A111" s="35">
        <v>108</v>
      </c>
      <c r="B111" s="32">
        <v>-1.4210854715202004E-14</v>
      </c>
      <c r="C111" s="32">
        <v>-4.386066270124075E-17</v>
      </c>
      <c r="D111" s="37">
        <v>2</v>
      </c>
      <c r="E111" s="33">
        <v>0.33333333333333331</v>
      </c>
      <c r="F111" s="33">
        <v>0.33333333333333331</v>
      </c>
      <c r="G111" s="33">
        <v>0.29000780640124901</v>
      </c>
      <c r="H111" s="33">
        <v>0.15495706479313037</v>
      </c>
      <c r="I111" s="34">
        <v>8794.0780619111702</v>
      </c>
      <c r="J111" s="34">
        <v>-7975.3148614609572</v>
      </c>
      <c r="K111" s="33">
        <v>0.11419753086419752</v>
      </c>
      <c r="L111" s="33">
        <v>0.23653395784543327</v>
      </c>
      <c r="M111" s="33">
        <v>0.21350507416081185</v>
      </c>
      <c r="N111" s="33">
        <v>0.55115511551155116</v>
      </c>
      <c r="O111" s="33">
        <v>0.41316270566727603</v>
      </c>
      <c r="P111" s="33">
        <v>0.46298788694481829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2020-07-12T16:22:44Z</dcterms:modified>
</cp:coreProperties>
</file>