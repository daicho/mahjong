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95472B9E-15AA-4FD0-8C1F-076C2106F6BA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1" i="6180"/>
  <c r="O16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5" i="6190"/>
  <c r="O16" i="6178"/>
  <c r="O18" i="6186"/>
  <c r="O19" i="6190" l="1"/>
  <c r="O15" i="6178"/>
  <c r="O18" i="6190"/>
  <c r="O17" i="6176"/>
  <c r="O15" i="6184" l="1"/>
  <c r="O17" i="6178"/>
  <c r="O22" i="6180"/>
  <c r="O18" i="6184"/>
  <c r="O19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1" i="6190"/>
  <c r="H14" i="6190"/>
  <c r="C24" i="6190"/>
  <c r="H17" i="6190"/>
  <c r="H21" i="6190"/>
  <c r="H42" i="6190"/>
  <c r="H33" i="6190"/>
  <c r="H3" i="6190"/>
  <c r="H27" i="6190"/>
  <c r="C42" i="6190"/>
  <c r="H9" i="6190"/>
  <c r="C19" i="6190"/>
  <c r="C25" i="6190"/>
  <c r="H36" i="6190"/>
  <c r="H16" i="6190"/>
  <c r="C36" i="6190"/>
  <c r="H48" i="6190"/>
  <c r="C46" i="6190"/>
  <c r="H15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6" i="6190"/>
  <c r="H20" i="6190"/>
  <c r="H23" i="6190"/>
  <c r="C21" i="6190"/>
  <c r="H31" i="6190"/>
  <c r="H41" i="6190"/>
  <c r="H49" i="6190"/>
  <c r="C38" i="6190"/>
  <c r="H44" i="6190"/>
  <c r="H8" i="6190"/>
  <c r="H12" i="6190"/>
  <c r="B26" i="6190"/>
  <c r="H34" i="6190"/>
  <c r="H39" i="6190"/>
  <c r="C44" i="6190"/>
  <c r="H51" i="6190"/>
  <c r="H18" i="6190"/>
  <c r="H5" i="6190"/>
  <c r="H10" i="6190"/>
  <c r="H22" i="6190"/>
  <c r="H24" i="6190"/>
  <c r="C22" i="6190"/>
  <c r="B27" i="6190"/>
  <c r="H40" i="6190"/>
  <c r="H45" i="6190"/>
  <c r="H4" i="6190"/>
  <c r="C23" i="6190"/>
  <c r="H7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7" i="6180" l="1"/>
  <c r="O19" i="6182"/>
  <c r="O21" i="6176"/>
  <c r="O18" i="6176"/>
  <c r="O15" i="6182"/>
  <c r="O19" i="6184"/>
  <c r="O16" i="6188" l="1"/>
  <c r="O19" i="6188"/>
  <c r="O20" i="6184"/>
  <c r="O21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5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8" i="6174"/>
  <c r="O20" i="6176"/>
  <c r="O15" i="6176"/>
  <c r="C34" i="6176"/>
  <c r="B29" i="6176"/>
  <c r="C20" i="6176"/>
  <c r="B19" i="6176"/>
  <c r="H5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2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3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7" i="6176"/>
  <c r="B27" i="6176"/>
  <c r="B26" i="6176"/>
  <c r="C40" i="6176"/>
  <c r="H2" i="6176"/>
  <c r="C21" i="6176"/>
  <c r="H4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6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9" i="6180"/>
  <c r="H25" i="6180"/>
  <c r="H22" i="6180"/>
  <c r="H9" i="6180"/>
  <c r="C18" i="6180"/>
  <c r="H26" i="6180"/>
  <c r="C21" i="6180"/>
  <c r="H23" i="6180"/>
  <c r="H36" i="6180"/>
  <c r="H14" i="6180"/>
  <c r="C40" i="6180"/>
  <c r="H3" i="6180"/>
  <c r="H18" i="6180"/>
  <c r="C22" i="6180"/>
  <c r="H42" i="6180"/>
  <c r="H2" i="6180"/>
  <c r="H28" i="6180"/>
  <c r="H4" i="6180"/>
  <c r="C25" i="6180"/>
  <c r="C42" i="6180"/>
  <c r="H46" i="6180"/>
  <c r="H19" i="6180"/>
  <c r="C46" i="6180"/>
  <c r="B26" i="6180"/>
  <c r="H37" i="6180"/>
  <c r="H48" i="6180"/>
  <c r="H7" i="6180"/>
  <c r="H13" i="6180"/>
  <c r="H8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7" i="6180"/>
  <c r="C19" i="6180"/>
  <c r="C24" i="6180"/>
  <c r="H38" i="6180"/>
  <c r="H45" i="6180"/>
  <c r="H5" i="6180"/>
  <c r="H15" i="6180"/>
  <c r="H12" i="6180"/>
  <c r="H20" i="6180"/>
  <c r="C38" i="6180"/>
  <c r="C44" i="6180"/>
  <c r="H52" i="6180"/>
  <c r="C39" i="6180"/>
  <c r="C43" i="6180"/>
  <c r="C47" i="6180"/>
  <c r="H24" i="6180"/>
  <c r="H33" i="6180"/>
  <c r="H21" i="6180"/>
  <c r="C37" i="6180"/>
  <c r="C41" i="6180"/>
  <c r="C45" i="6180"/>
  <c r="H51" i="6180"/>
  <c r="H17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3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5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2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1" i="6174"/>
  <c r="H18" i="6174"/>
  <c r="H44" i="6174"/>
  <c r="H41" i="6174"/>
  <c r="H25" i="6174"/>
  <c r="H2" i="6174"/>
  <c r="H3" i="6174"/>
  <c r="H24" i="6174"/>
  <c r="C21" i="6174"/>
  <c r="B26" i="6174"/>
  <c r="C40" i="6174"/>
  <c r="H47" i="6174"/>
  <c r="H52" i="6174"/>
  <c r="H17" i="6174"/>
  <c r="H35" i="6174"/>
  <c r="H13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<sst xmlns="http://schemas.openxmlformats.org/spreadsheetml/2006/main" count="2690" uniqueCount="231">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</sst>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全体!$K$2:$K$275</c:f>
              <c:numCache>
                <c:formatCode>General</c:formatCode>
                <c:ptCount val="2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</c:numCache>
            </c:numRef>
          </c:xVal>
          <c:yVal>
            <c:numRef>
              <c:f>全体!$L$2:$L$275</c:f>
              <c:numCache>
                <c:formatCode>\+0.0;\-0.0;\±0</c:formatCode>
                <c:ptCount val="27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-11.235955056179776</c:v>
                </c:pt>
                <c:pt idx="1">
                  <c:v>-3.7878787878787881</c:v>
                </c:pt>
                <c:pt idx="2">
                  <c:v>-8.0321285140562253</c:v>
                </c:pt>
                <c:pt idx="3">
                  <c:v>22.522522522522522</c:v>
                </c:pt>
                <c:pt idx="4">
                  <c:v>-71.794871794871796</c:v>
                </c:pt>
                <c:pt idx="5">
                  <c:v>97.222222222222229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49</c:v>
                </c:pt>
                <c:pt idx="1">
                  <c:v>110</c:v>
                </c:pt>
                <c:pt idx="2">
                  <c:v>113</c:v>
                </c:pt>
                <c:pt idx="3">
                  <c:v>117</c:v>
                </c:pt>
                <c:pt idx="4">
                  <c:v>88</c:v>
                </c:pt>
                <c:pt idx="5">
                  <c:v>58</c:v>
                </c:pt>
                <c:pt idx="6">
                  <c:v>38</c:v>
                </c:pt>
                <c:pt idx="7">
                  <c:v>15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れんたろう!$L$2:$L$52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-1268.75</c:v>
                </c:pt>
                <c:pt idx="1">
                  <c:v>-1450</c:v>
                </c:pt>
                <c:pt idx="2">
                  <c:v>343.18181818181819</c:v>
                </c:pt>
                <c:pt idx="3">
                  <c:v>-1930</c:v>
                </c:pt>
                <c:pt idx="4">
                  <c:v>481.08108108108109</c:v>
                </c:pt>
                <c:pt idx="5">
                  <c:v>3448.1481481481483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11</c:v>
                </c:pt>
                <c:pt idx="3">
                  <c:v>30</c:v>
                </c:pt>
                <c:pt idx="4">
                  <c:v>20</c:v>
                </c:pt>
                <c:pt idx="5">
                  <c:v>11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76.119402985074629</c:v>
                </c:pt>
                <c:pt idx="1">
                  <c:v>3470.7692307692309</c:v>
                </c:pt>
                <c:pt idx="2">
                  <c:v>3267.2131147540986</c:v>
                </c:pt>
                <c:pt idx="3">
                  <c:v>1948.148148148148</c:v>
                </c:pt>
                <c:pt idx="4">
                  <c:v>-1397.9591836734694</c:v>
                </c:pt>
                <c:pt idx="5">
                  <c:v>1155.2631578947369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30</c:v>
                </c:pt>
                <c:pt idx="3">
                  <c:v>31</c:v>
                </c:pt>
                <c:pt idx="4">
                  <c:v>28</c:v>
                </c:pt>
                <c:pt idx="5">
                  <c:v>15</c:v>
                </c:pt>
                <c:pt idx="6">
                  <c:v>9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-3853.3333333333335</c:v>
                </c:pt>
                <c:pt idx="1">
                  <c:v>1280</c:v>
                </c:pt>
                <c:pt idx="2">
                  <c:v>-2770.3703703703704</c:v>
                </c:pt>
                <c:pt idx="3">
                  <c:v>-939.13043478260875</c:v>
                </c:pt>
                <c:pt idx="4">
                  <c:v>1294.7368421052631</c:v>
                </c:pt>
                <c:pt idx="5">
                  <c:v>-4016.6666666666665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14</c:v>
                </c:pt>
                <c:pt idx="3">
                  <c:v>9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602.27272727272725</c:v>
                </c:pt>
                <c:pt idx="1">
                  <c:v>-406.81818181818181</c:v>
                </c:pt>
                <c:pt idx="2">
                  <c:v>-1200</c:v>
                </c:pt>
                <c:pt idx="3">
                  <c:v>960.97560975609758</c:v>
                </c:pt>
                <c:pt idx="4">
                  <c:v>-1591.4285714285713</c:v>
                </c:pt>
                <c:pt idx="5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17</c:v>
                </c:pt>
                <c:pt idx="2">
                  <c:v>28</c:v>
                </c:pt>
                <c:pt idx="3">
                  <c:v>15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-1011.1111111111111</c:v>
                </c:pt>
                <c:pt idx="1">
                  <c:v>-1676.9230769230769</c:v>
                </c:pt>
                <c:pt idx="2">
                  <c:v>2821.7391304347825</c:v>
                </c:pt>
                <c:pt idx="3">
                  <c:v>-1210</c:v>
                </c:pt>
                <c:pt idx="4">
                  <c:v>4386.666666666667</c:v>
                </c:pt>
                <c:pt idx="5">
                  <c:v>-858.33333333333337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1896.1538461538462</c:v>
                </c:pt>
                <c:pt idx="1">
                  <c:v>-4638.4615384615381</c:v>
                </c:pt>
                <c:pt idx="2">
                  <c:v>-1764</c:v>
                </c:pt>
                <c:pt idx="3">
                  <c:v>427.27272727272725</c:v>
                </c:pt>
                <c:pt idx="4">
                  <c:v>625</c:v>
                </c:pt>
                <c:pt idx="5">
                  <c:v>-1938.4615384615386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8</c:v>
                </c:pt>
                <c:pt idx="3">
                  <c:v>15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たかの2!$B$3:$B$30</c:f>
              <c:numCache>
                <c:formatCode>\+0.0;\-0.0;\±0</c:formatCode>
                <c:ptCount val="28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たかの2!$C$3:$C$30</c:f>
              <c:numCache>
                <c:formatCode>\+0.0;\-0.0;\±0</c:formatCode>
                <c:ptCount val="28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301360321904945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たかの2!$D$3:$D$30</c:f>
              <c:numCache>
                <c:formatCode>0.00\ "位"</c:formatCode>
                <c:ptCount val="2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たかの2!$E$3:$E$30</c:f>
              <c:numCache>
                <c:formatCode>0.0%</c:formatCode>
                <c:ptCount val="2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たかの2!$F$3:$F$30</c:f>
              <c:numCache>
                <c:formatCode>0.0%</c:formatCode>
                <c:ptCount val="2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たかの2!$G$3:$G$30</c:f>
              <c:numCache>
                <c:formatCode>0.0%</c:formatCode>
                <c:ptCount val="28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968342644320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たかの2!$H$3:$H$30</c:f>
              <c:numCache>
                <c:formatCode>0.0%</c:formatCode>
                <c:ptCount val="28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49348230912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たかの2!$I$3:$I$30</c:f>
              <c:numCache>
                <c:formatCode>0</c:formatCode>
                <c:ptCount val="28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32.79999999999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たかの2!$J$3:$J$30</c:f>
              <c:numCache>
                <c:formatCode>0</c:formatCode>
                <c:ptCount val="28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58.0838323353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たかの2!$K$3:$K$30</c:f>
              <c:numCache>
                <c:formatCode>0.0%</c:formatCode>
                <c:ptCount val="2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820512820512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たかの2!$L$3:$L$30</c:f>
              <c:numCache>
                <c:formatCode>0.0%</c:formatCode>
                <c:ptCount val="28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55121042830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たかの2!$M$3:$M$30</c:f>
              <c:numCache>
                <c:formatCode>0.0%</c:formatCode>
                <c:ptCount val="28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77281191806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たかの2!$N$3:$N$30</c:f>
              <c:numCache>
                <c:formatCode>0.0%</c:formatCode>
                <c:ptCount val="28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863723608445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たかの2!$O$3:$O$30</c:f>
              <c:numCache>
                <c:formatCode>0.0%</c:formatCode>
                <c:ptCount val="28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027149321266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たかの2!$A$3:$A$30</c:f>
              <c:numCache>
                <c:formatCode>0\ "回"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たかの2!$P$3:$P$30</c:f>
              <c:numCache>
                <c:formatCode>0.0%</c:formatCode>
                <c:ptCount val="28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2399999999999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6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5" x14ac:dyDescent="0.45">
      <c r="A22" s="2" t="s">
        <v>226</v>
      </c>
      <c r="B22" s="3">
        <v>44002.934583333335</v>
      </c>
      <c r="C22" s="2" t="s">
        <v>127</v>
      </c>
    </row>
    <row r="23" spans="1:5" x14ac:dyDescent="0.45">
      <c r="A23" s="2" t="s">
        <v>227</v>
      </c>
      <c r="B23" s="3">
        <v>44004.533136574071</v>
      </c>
      <c r="C23" s="2" t="s">
        <v>127</v>
      </c>
    </row>
    <row r="24" spans="1:5" x14ac:dyDescent="0.45">
      <c r="A24" s="2" t="s">
        <v>228</v>
      </c>
      <c r="B24" s="3">
        <v>44007.061574074076</v>
      </c>
      <c r="C24" s="2" t="s">
        <v>127</v>
      </c>
      <c r="D24" s="2" t="s">
        <v>191</v>
      </c>
      <c r="E24" s="2" t="s">
        <v>195</v>
      </c>
    </row>
    <row r="25" spans="1:5" x14ac:dyDescent="0.45">
      <c r="A25" s="2" t="s">
        <v>229</v>
      </c>
      <c r="B25" s="3">
        <v>44008.832615740743</v>
      </c>
      <c r="C25" s="2" t="s">
        <v>127</v>
      </c>
      <c r="D25" s="2" t="s">
        <v>191</v>
      </c>
      <c r="E25" s="2" t="s">
        <v>195</v>
      </c>
    </row>
    <row r="26" spans="1:5" x14ac:dyDescent="0.45">
      <c r="A26" s="2" t="s">
        <v>230</v>
      </c>
      <c r="B26" s="3">
        <v>44009.833437499998</v>
      </c>
      <c r="C26" s="2" t="s">
        <v>127</v>
      </c>
      <c r="D26" s="2" t="s">
        <v>191</v>
      </c>
      <c r="E26" s="2" t="s">
        <v>195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273</v>
      </c>
    </row>
    <row r="2" spans="1:2" x14ac:dyDescent="0.45">
      <c r="A2" t="s">
        <v>164</v>
      </c>
      <c r="B2">
        <v>50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67</v>
      </c>
    </row>
    <row r="5" spans="1:2" x14ac:dyDescent="0.45">
      <c r="A5" t="s">
        <v>194</v>
      </c>
      <c r="B5">
        <v>31</v>
      </c>
    </row>
    <row r="6" spans="1:2" x14ac:dyDescent="0.45">
      <c r="A6" t="s">
        <v>192</v>
      </c>
      <c r="B6">
        <v>45</v>
      </c>
    </row>
    <row r="7" spans="1:2" x14ac:dyDescent="0.45">
      <c r="A7" t="s">
        <v>193</v>
      </c>
      <c r="B7">
        <v>27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27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0.68644921249493551</v>
      </c>
      <c r="C2" s="140"/>
      <c r="D2" s="145"/>
      <c r="E2" s="146"/>
      <c r="F2" s="145"/>
      <c r="G2" s="146"/>
      <c r="H2" s="139">
        <v>-0.33835740652035118</v>
      </c>
      <c r="I2" s="140"/>
      <c r="J2" s="139">
        <v>0.89692225526059921</v>
      </c>
      <c r="K2" s="140"/>
      <c r="L2" s="139">
        <v>0.79238712119567645</v>
      </c>
      <c r="M2" s="140"/>
      <c r="N2" s="139">
        <v>0.88039481514531293</v>
      </c>
      <c r="O2" s="140"/>
      <c r="P2" s="139">
        <v>0.65026571342789785</v>
      </c>
      <c r="Q2" s="140"/>
      <c r="R2" s="139">
        <v>0.3996969564123814</v>
      </c>
      <c r="S2" s="140"/>
      <c r="T2" s="139">
        <v>0.47866632325716263</v>
      </c>
      <c r="U2" s="140"/>
      <c r="V2" s="139">
        <v>-0.32807324022545525</v>
      </c>
      <c r="W2" s="140"/>
      <c r="X2" s="139">
        <v>0.5689044716616064</v>
      </c>
      <c r="Y2" s="140"/>
      <c r="Z2" s="139">
        <v>9.8042290353439476E-2</v>
      </c>
      <c r="AA2" s="140"/>
      <c r="AB2" s="139">
        <v>-0.11983926037679038</v>
      </c>
      <c r="AC2" s="140"/>
      <c r="AD2" s="139">
        <v>0.61652628966737799</v>
      </c>
      <c r="AE2" s="140"/>
      <c r="AF2" s="139">
        <v>3.9979169255117521E-3</v>
      </c>
      <c r="AG2" s="140"/>
      <c r="AH2" s="139">
        <v>0.87364473311733615</v>
      </c>
      <c r="AI2" s="140"/>
      <c r="AJ2" s="139">
        <v>-8.5113653257157695E-2</v>
      </c>
      <c r="AK2" s="140"/>
    </row>
    <row r="3" spans="1:37" x14ac:dyDescent="0.45">
      <c r="A3" s="40">
        <v>1</v>
      </c>
      <c r="B3" s="43" t="s">
        <v>139</v>
      </c>
      <c r="C3" s="117">
        <v>91</v>
      </c>
      <c r="D3" s="41" t="s">
        <v>126</v>
      </c>
      <c r="E3" s="42">
        <v>586.4000000000002</v>
      </c>
      <c r="F3" s="43" t="s">
        <v>126</v>
      </c>
      <c r="G3" s="62">
        <v>8.752238805970153</v>
      </c>
      <c r="H3" s="43" t="s">
        <v>196</v>
      </c>
      <c r="I3" s="62">
        <v>7.6166666666666663</v>
      </c>
      <c r="J3" s="43" t="s">
        <v>126</v>
      </c>
      <c r="K3" s="44">
        <v>1.7761194029850746</v>
      </c>
      <c r="L3" s="43" t="s">
        <v>126</v>
      </c>
      <c r="M3" s="45">
        <v>0.41791044776119401</v>
      </c>
      <c r="N3" s="43" t="s">
        <v>196</v>
      </c>
      <c r="O3" s="45">
        <v>0.125</v>
      </c>
      <c r="P3" s="43" t="s">
        <v>205</v>
      </c>
      <c r="Q3" s="46">
        <v>0.31627906976744186</v>
      </c>
      <c r="R3" s="43" t="s">
        <v>196</v>
      </c>
      <c r="S3" s="46">
        <v>7.6923076923076927E-2</v>
      </c>
      <c r="T3" s="43" t="s">
        <v>164</v>
      </c>
      <c r="U3" s="47">
        <v>10150.458715596331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0.32487309644670048</v>
      </c>
      <c r="AD3" s="43" t="s">
        <v>213</v>
      </c>
      <c r="AE3" s="46">
        <v>0.70833333333333337</v>
      </c>
      <c r="AF3" s="43" t="s">
        <v>194</v>
      </c>
      <c r="AG3" s="46">
        <v>0.60526315789473684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67</v>
      </c>
      <c r="D4" s="49" t="s">
        <v>193</v>
      </c>
      <c r="E4" s="50">
        <v>85.3</v>
      </c>
      <c r="F4" s="51" t="s">
        <v>193</v>
      </c>
      <c r="G4" s="63">
        <v>3.159259259259259</v>
      </c>
      <c r="H4" s="51" t="s">
        <v>194</v>
      </c>
      <c r="I4" s="63">
        <v>3.7018518518518491</v>
      </c>
      <c r="J4" s="51" t="s">
        <v>196</v>
      </c>
      <c r="K4" s="52">
        <v>1.875</v>
      </c>
      <c r="L4" s="51" t="s">
        <v>193</v>
      </c>
      <c r="M4" s="53">
        <v>0.37037037037037035</v>
      </c>
      <c r="N4" s="51" t="s">
        <v>126</v>
      </c>
      <c r="O4" s="53">
        <v>0.19402985074626866</v>
      </c>
      <c r="P4" s="51" t="s">
        <v>126</v>
      </c>
      <c r="Q4" s="54">
        <v>0.31368821292775667</v>
      </c>
      <c r="R4" s="51" t="s">
        <v>192</v>
      </c>
      <c r="S4" s="54">
        <v>0.1111111111111111</v>
      </c>
      <c r="T4" s="51" t="s">
        <v>126</v>
      </c>
      <c r="U4" s="55">
        <v>9735.757575757576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0.29675810473815462</v>
      </c>
      <c r="AB4" s="51" t="s">
        <v>205</v>
      </c>
      <c r="AC4" s="54">
        <v>0.30232558139534882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50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1.962962962962963</v>
      </c>
      <c r="L5" s="51" t="s">
        <v>164</v>
      </c>
      <c r="M5" s="53">
        <v>0.36</v>
      </c>
      <c r="N5" s="51" t="s">
        <v>192</v>
      </c>
      <c r="O5" s="53">
        <v>0.28888888888888886</v>
      </c>
      <c r="P5" s="51" t="s">
        <v>213</v>
      </c>
      <c r="Q5" s="54">
        <v>0.3108108108108108</v>
      </c>
      <c r="R5" s="51" t="s">
        <v>126</v>
      </c>
      <c r="S5" s="54">
        <v>0.13878326996197718</v>
      </c>
      <c r="T5" s="51" t="s">
        <v>189</v>
      </c>
      <c r="U5" s="55">
        <v>9062.5</v>
      </c>
      <c r="V5" s="51" t="s">
        <v>194</v>
      </c>
      <c r="W5" s="55">
        <v>-7342.5</v>
      </c>
      <c r="X5" s="51" t="s">
        <v>126</v>
      </c>
      <c r="Y5" s="53">
        <v>7.4626865671641784E-2</v>
      </c>
      <c r="Z5" s="51" t="s">
        <v>196</v>
      </c>
      <c r="AA5" s="54">
        <v>0.29230769230769232</v>
      </c>
      <c r="AB5" s="51" t="s">
        <v>192</v>
      </c>
      <c r="AC5" s="54">
        <v>0.24722222222222223</v>
      </c>
      <c r="AD5" s="51" t="s">
        <v>193</v>
      </c>
      <c r="AE5" s="54">
        <v>0.62962962962962965</v>
      </c>
      <c r="AF5" s="51" t="s">
        <v>189</v>
      </c>
      <c r="AG5" s="54">
        <v>0.5</v>
      </c>
      <c r="AH5" s="51" t="s">
        <v>126</v>
      </c>
      <c r="AI5" s="54">
        <v>0.52727272727272723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45</v>
      </c>
      <c r="D6" s="49" t="s">
        <v>139</v>
      </c>
      <c r="E6" s="50">
        <v>-3.5527136788005009E-14</v>
      </c>
      <c r="F6" s="51" t="s">
        <v>139</v>
      </c>
      <c r="G6" s="63">
        <v>-1.3013603219049455E-16</v>
      </c>
      <c r="H6" s="51" t="s">
        <v>193</v>
      </c>
      <c r="I6" s="63">
        <v>1.6174074074074081</v>
      </c>
      <c r="J6" s="51" t="s">
        <v>192</v>
      </c>
      <c r="K6" s="52">
        <v>1.9777777777777779</v>
      </c>
      <c r="L6" s="51" t="s">
        <v>205</v>
      </c>
      <c r="M6" s="53">
        <v>0.33333333333333331</v>
      </c>
      <c r="N6" s="51" t="s">
        <v>193</v>
      </c>
      <c r="O6" s="53">
        <v>0.33333333333333331</v>
      </c>
      <c r="P6" s="51" t="s">
        <v>193</v>
      </c>
      <c r="Q6" s="54">
        <v>0.30964467005076141</v>
      </c>
      <c r="R6" s="51" t="s">
        <v>193</v>
      </c>
      <c r="S6" s="54">
        <v>0.14213197969543148</v>
      </c>
      <c r="T6" s="51" t="s">
        <v>139</v>
      </c>
      <c r="U6" s="55">
        <v>8832.7999999999993</v>
      </c>
      <c r="V6" s="51" t="s">
        <v>193</v>
      </c>
      <c r="W6" s="55">
        <v>-7385.7142857142853</v>
      </c>
      <c r="X6" s="51" t="s">
        <v>192</v>
      </c>
      <c r="Y6" s="53">
        <v>8.8888888888888892E-2</v>
      </c>
      <c r="Z6" s="51" t="s">
        <v>189</v>
      </c>
      <c r="AA6" s="54">
        <v>0.28378378378378377</v>
      </c>
      <c r="AB6" s="51" t="s">
        <v>139</v>
      </c>
      <c r="AC6" s="54">
        <v>0.20577281191806332</v>
      </c>
      <c r="AD6" s="51" t="s">
        <v>205</v>
      </c>
      <c r="AE6" s="54">
        <v>0.61111111111111116</v>
      </c>
      <c r="AF6" s="51" t="s">
        <v>126</v>
      </c>
      <c r="AG6" s="54">
        <v>0.48837209302325579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31</v>
      </c>
      <c r="D7" s="49" t="s">
        <v>213</v>
      </c>
      <c r="E7" s="50">
        <v>-41.599999999999994</v>
      </c>
      <c r="F7" s="51" t="s">
        <v>192</v>
      </c>
      <c r="G7" s="63">
        <v>-1.3533333333333326</v>
      </c>
      <c r="H7" s="51" t="s">
        <v>164</v>
      </c>
      <c r="I7" s="63">
        <v>0.1643097643097704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139</v>
      </c>
      <c r="O7" s="53">
        <v>0.33333333333333331</v>
      </c>
      <c r="P7" s="51" t="s">
        <v>139</v>
      </c>
      <c r="Q7" s="54">
        <v>0.29096834264432031</v>
      </c>
      <c r="R7" s="51" t="s">
        <v>139</v>
      </c>
      <c r="S7" s="54">
        <v>0.15549348230912477</v>
      </c>
      <c r="T7" s="51" t="s">
        <v>205</v>
      </c>
      <c r="U7" s="55">
        <v>8617.6470588235297</v>
      </c>
      <c r="V7" s="51" t="s">
        <v>192</v>
      </c>
      <c r="W7" s="55">
        <v>-7855</v>
      </c>
      <c r="X7" s="51" t="s">
        <v>189</v>
      </c>
      <c r="Y7" s="53">
        <v>0.1111111111111111</v>
      </c>
      <c r="Z7" s="51" t="s">
        <v>126</v>
      </c>
      <c r="AA7" s="54">
        <v>0.25665399239543724</v>
      </c>
      <c r="AB7" s="51" t="s">
        <v>164</v>
      </c>
      <c r="AC7" s="54">
        <v>0.19451371571072318</v>
      </c>
      <c r="AD7" s="51" t="s">
        <v>126</v>
      </c>
      <c r="AE7" s="54">
        <v>0.6074074074074074</v>
      </c>
      <c r="AF7" s="51" t="s">
        <v>139</v>
      </c>
      <c r="AG7" s="54">
        <v>0.41402714932126694</v>
      </c>
      <c r="AH7" s="51" t="s">
        <v>139</v>
      </c>
      <c r="AI7" s="54">
        <v>0.46239999999999998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27</v>
      </c>
      <c r="D8" s="49" t="s">
        <v>192</v>
      </c>
      <c r="E8" s="50">
        <v>-60.89999999999997</v>
      </c>
      <c r="F8" s="51" t="s">
        <v>205</v>
      </c>
      <c r="G8" s="63">
        <v>-2.3222222222222224</v>
      </c>
      <c r="H8" s="51" t="s">
        <v>139</v>
      </c>
      <c r="I8" s="63">
        <v>0</v>
      </c>
      <c r="J8" s="51" t="s">
        <v>205</v>
      </c>
      <c r="K8" s="52">
        <v>2.0370370370370372</v>
      </c>
      <c r="L8" s="51" t="s">
        <v>192</v>
      </c>
      <c r="M8" s="53">
        <v>0.31111111111111112</v>
      </c>
      <c r="N8" s="51" t="s">
        <v>213</v>
      </c>
      <c r="O8" s="53">
        <v>0.33333333333333331</v>
      </c>
      <c r="P8" s="51" t="s">
        <v>192</v>
      </c>
      <c r="Q8" s="54">
        <v>0.28055555555555556</v>
      </c>
      <c r="R8" s="51" t="s">
        <v>194</v>
      </c>
      <c r="S8" s="54">
        <v>0.16949152542372881</v>
      </c>
      <c r="T8" s="51" t="s">
        <v>193</v>
      </c>
      <c r="U8" s="55">
        <v>8236.065573770491</v>
      </c>
      <c r="V8" s="51" t="s">
        <v>139</v>
      </c>
      <c r="W8" s="55">
        <v>-8058.0838323353291</v>
      </c>
      <c r="X8" s="51" t="s">
        <v>139</v>
      </c>
      <c r="Y8" s="53">
        <v>0.12820512820512819</v>
      </c>
      <c r="Z8" s="51" t="s">
        <v>192</v>
      </c>
      <c r="AA8" s="54">
        <v>0.25</v>
      </c>
      <c r="AB8" s="51" t="s">
        <v>126</v>
      </c>
      <c r="AC8" s="54">
        <v>0.1634980988593156</v>
      </c>
      <c r="AD8" s="51" t="s">
        <v>139</v>
      </c>
      <c r="AE8" s="54">
        <v>0.55086372360844527</v>
      </c>
      <c r="AF8" s="51" t="s">
        <v>193</v>
      </c>
      <c r="AG8" s="54">
        <v>0.40625</v>
      </c>
      <c r="AH8" s="51" t="s">
        <v>193</v>
      </c>
      <c r="AI8" s="54">
        <v>0.45901639344262296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27</v>
      </c>
      <c r="D9" s="49" t="s">
        <v>205</v>
      </c>
      <c r="E9" s="50">
        <v>-62.70000000000001</v>
      </c>
      <c r="F9" s="51" t="s">
        <v>164</v>
      </c>
      <c r="G9" s="63">
        <v>-2.4520000000000013</v>
      </c>
      <c r="H9" s="51" t="s">
        <v>126</v>
      </c>
      <c r="I9" s="63">
        <v>-0.40888278388278582</v>
      </c>
      <c r="J9" s="51" t="s">
        <v>164</v>
      </c>
      <c r="K9" s="52">
        <v>2.08</v>
      </c>
      <c r="L9" s="51" t="s">
        <v>196</v>
      </c>
      <c r="M9" s="53">
        <v>0.25</v>
      </c>
      <c r="N9" s="51" t="s">
        <v>205</v>
      </c>
      <c r="O9" s="53">
        <v>0.37037037037037035</v>
      </c>
      <c r="P9" s="51" t="s">
        <v>194</v>
      </c>
      <c r="Q9" s="54">
        <v>0.27542372881355931</v>
      </c>
      <c r="R9" s="51" t="s">
        <v>205</v>
      </c>
      <c r="S9" s="54">
        <v>0.18604651162790697</v>
      </c>
      <c r="T9" s="51" t="s">
        <v>196</v>
      </c>
      <c r="U9" s="55">
        <v>7964.7058823529414</v>
      </c>
      <c r="V9" s="51" t="s">
        <v>164</v>
      </c>
      <c r="W9" s="55">
        <v>-8203.8961038961043</v>
      </c>
      <c r="X9" s="51" t="s">
        <v>205</v>
      </c>
      <c r="Y9" s="53">
        <v>0.14814814814814814</v>
      </c>
      <c r="Z9" s="51" t="s">
        <v>139</v>
      </c>
      <c r="AA9" s="54">
        <v>0.24255121042830541</v>
      </c>
      <c r="AB9" s="51" t="s">
        <v>194</v>
      </c>
      <c r="AC9" s="54">
        <v>0.16101694915254236</v>
      </c>
      <c r="AD9" s="51" t="s">
        <v>192</v>
      </c>
      <c r="AE9" s="54">
        <v>0.53333333333333333</v>
      </c>
      <c r="AF9" s="51" t="s">
        <v>164</v>
      </c>
      <c r="AG9" s="54">
        <v>0.38461538461538464</v>
      </c>
      <c r="AH9" s="51" t="s">
        <v>164</v>
      </c>
      <c r="AI9" s="54">
        <v>0.43119266055045874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205</v>
      </c>
      <c r="I10" s="63">
        <v>-1.0338888888888889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0.44</v>
      </c>
      <c r="P10" s="51" t="s">
        <v>164</v>
      </c>
      <c r="Q10" s="54">
        <v>0.27182044887780549</v>
      </c>
      <c r="R10" s="51" t="s">
        <v>213</v>
      </c>
      <c r="S10" s="54">
        <v>0.1891891891891892</v>
      </c>
      <c r="T10" s="51" t="s">
        <v>194</v>
      </c>
      <c r="U10" s="55">
        <v>7644.6153846153848</v>
      </c>
      <c r="V10" s="51" t="s">
        <v>126</v>
      </c>
      <c r="W10" s="55">
        <v>-8457.534246575342</v>
      </c>
      <c r="X10" s="51" t="s">
        <v>164</v>
      </c>
      <c r="Y10" s="53">
        <v>0.18</v>
      </c>
      <c r="Z10" s="51" t="s">
        <v>194</v>
      </c>
      <c r="AA10" s="54">
        <v>0.21186440677966101</v>
      </c>
      <c r="AB10" s="51" t="s">
        <v>196</v>
      </c>
      <c r="AC10" s="54">
        <v>0.13846153846153847</v>
      </c>
      <c r="AD10" s="51" t="s">
        <v>194</v>
      </c>
      <c r="AE10" s="54">
        <v>0.48</v>
      </c>
      <c r="AF10" s="51" t="s">
        <v>192</v>
      </c>
      <c r="AG10" s="54">
        <v>0.3707865168539326</v>
      </c>
      <c r="AH10" s="51" t="s">
        <v>194</v>
      </c>
      <c r="AI10" s="54">
        <v>0.43076923076923079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-122.60000000000007</v>
      </c>
      <c r="F11" s="51" t="s">
        <v>194</v>
      </c>
      <c r="G11" s="63">
        <v>-9.2225806451612886</v>
      </c>
      <c r="H11" s="51" t="s">
        <v>192</v>
      </c>
      <c r="I11" s="63">
        <v>-2.0056573056573064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164</v>
      </c>
      <c r="S11" s="54">
        <v>0.19201995012468828</v>
      </c>
      <c r="T11" s="51" t="s">
        <v>192</v>
      </c>
      <c r="U11" s="55">
        <v>7611.8811881188121</v>
      </c>
      <c r="V11" s="51" t="s">
        <v>213</v>
      </c>
      <c r="W11" s="55">
        <v>-8671.4285714285706</v>
      </c>
      <c r="X11" s="51" t="s">
        <v>194</v>
      </c>
      <c r="Y11" s="53">
        <v>0.19354838709677419</v>
      </c>
      <c r="Z11" s="51" t="s">
        <v>205</v>
      </c>
      <c r="AA11" s="54">
        <v>0.16744186046511628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192</v>
      </c>
      <c r="AI11" s="54">
        <v>0.41584158415841582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-285.89999999999992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2.3225806451612905</v>
      </c>
      <c r="L12" s="51" t="s">
        <v>194</v>
      </c>
      <c r="M12" s="53">
        <v>0.19354838709677419</v>
      </c>
      <c r="N12" s="51" t="s">
        <v>194</v>
      </c>
      <c r="O12" s="53">
        <v>0.5161290322580645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-9007.5</v>
      </c>
      <c r="X12" s="51" t="s">
        <v>193</v>
      </c>
      <c r="Y12" s="53">
        <v>0.22222222222222221</v>
      </c>
      <c r="Z12" s="51" t="s">
        <v>193</v>
      </c>
      <c r="AA12" s="54">
        <v>0.13705583756345177</v>
      </c>
      <c r="AB12" s="51" t="s">
        <v>189</v>
      </c>
      <c r="AC12" s="54">
        <v>8.1081081081081086E-2</v>
      </c>
      <c r="AD12" s="51" t="s">
        <v>164</v>
      </c>
      <c r="AE12" s="54">
        <v>0.45378151260504201</v>
      </c>
      <c r="AF12" s="51" t="s">
        <v>205</v>
      </c>
      <c r="AG12" s="54">
        <v>0.29230769230769232</v>
      </c>
      <c r="AH12" s="51" t="s">
        <v>205</v>
      </c>
      <c r="AI12" s="54">
        <v>0.39705882352941174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7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273</v>
      </c>
      <c r="C2" s="132"/>
      <c r="E2" s="28" t="s">
        <v>66</v>
      </c>
      <c r="F2" s="25" t="s">
        <v>22</v>
      </c>
      <c r="G2" s="13">
        <v>447</v>
      </c>
      <c r="H2" s="91">
        <f>IF(B$19=0,0,G2/B$19)</f>
        <v>0.71519999999999995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-11.235955056179776</v>
      </c>
      <c r="P2" s="80">
        <v>267</v>
      </c>
      <c r="Q2" s="67">
        <v>-3000</v>
      </c>
    </row>
    <row r="3" spans="1:17" x14ac:dyDescent="0.45">
      <c r="A3" s="21" t="s">
        <v>8</v>
      </c>
      <c r="B3" s="133">
        <v>2148</v>
      </c>
      <c r="C3" s="134"/>
      <c r="E3" s="29" t="s">
        <v>72</v>
      </c>
      <c r="F3" s="26" t="s">
        <v>27</v>
      </c>
      <c r="G3" s="14">
        <v>355</v>
      </c>
      <c r="H3" s="92">
        <f>IF(B$19=0,0,G3/B$19)</f>
        <v>0.56799999999999995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-3.7878787878787881</v>
      </c>
      <c r="P3" s="81">
        <v>264</v>
      </c>
      <c r="Q3" s="68">
        <v>-1000</v>
      </c>
    </row>
    <row r="4" spans="1:17" x14ac:dyDescent="0.45">
      <c r="A4" s="21" t="s">
        <v>6</v>
      </c>
      <c r="B4" s="135">
        <v>-3.5527136788005009E-14</v>
      </c>
      <c r="C4" s="136"/>
      <c r="E4" s="29" t="s">
        <v>64</v>
      </c>
      <c r="F4" s="26" t="s">
        <v>20</v>
      </c>
      <c r="G4" s="14">
        <v>280</v>
      </c>
      <c r="H4" s="92">
        <f>IF(B$19=0,0,G4/B$19)</f>
        <v>0.44800000000000001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-8.0321285140562253</v>
      </c>
      <c r="P4" s="81">
        <v>249</v>
      </c>
      <c r="Q4" s="68">
        <v>-2000</v>
      </c>
    </row>
    <row r="5" spans="1:17" x14ac:dyDescent="0.45">
      <c r="A5" s="21" t="s">
        <v>7</v>
      </c>
      <c r="B5" s="123">
        <f>IF(B$2=0,0,B$4/B$2)</f>
        <v>-1.3013603219049455E-16</v>
      </c>
      <c r="C5" s="124"/>
      <c r="E5" s="29" t="s">
        <v>160</v>
      </c>
      <c r="F5" s="26" t="s">
        <v>161</v>
      </c>
      <c r="G5" s="14">
        <v>264</v>
      </c>
      <c r="H5" s="92">
        <f>IF(B$19=0,0,G5/B$19)</f>
        <v>0.4224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22.522522522522522</v>
      </c>
      <c r="P5" s="81">
        <v>222</v>
      </c>
      <c r="Q5" s="68">
        <v>5000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192</v>
      </c>
      <c r="H6" s="92">
        <f>IF(B$19=0,0,G6/B$19)</f>
        <v>0.30719999999999997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-71.794871794871796</v>
      </c>
      <c r="P6" s="81">
        <v>195</v>
      </c>
      <c r="Q6" s="68">
        <v>-14000</v>
      </c>
    </row>
    <row r="7" spans="1:17" x14ac:dyDescent="0.45">
      <c r="A7" s="21" t="s">
        <v>2</v>
      </c>
      <c r="B7" s="14">
        <v>91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152</v>
      </c>
      <c r="H7" s="92">
        <f>IF(B$19=0,0,G7/B$19)</f>
        <v>0.2432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97.222222222222229</v>
      </c>
      <c r="P7" s="82">
        <v>144</v>
      </c>
      <c r="Q7" s="69">
        <v>14000</v>
      </c>
    </row>
    <row r="8" spans="1:17" x14ac:dyDescent="0.45">
      <c r="A8" s="21" t="s">
        <v>3</v>
      </c>
      <c r="B8" s="14">
        <v>91</v>
      </c>
      <c r="C8" s="8">
        <f t="shared" si="1"/>
        <v>0.33333333333333331</v>
      </c>
      <c r="E8" s="29" t="s">
        <v>89</v>
      </c>
      <c r="F8" s="26" t="s">
        <v>44</v>
      </c>
      <c r="G8" s="14">
        <v>92</v>
      </c>
      <c r="H8" s="92">
        <f>IF(B$19=0,0,G8/B$19)</f>
        <v>0.1472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91</v>
      </c>
      <c r="C9" s="9">
        <f t="shared" si="1"/>
        <v>0.33333333333333331</v>
      </c>
      <c r="E9" s="29" t="s">
        <v>69</v>
      </c>
      <c r="F9" s="26" t="s">
        <v>24</v>
      </c>
      <c r="G9" s="14">
        <v>84</v>
      </c>
      <c r="H9" s="92">
        <f>IF(B$19=0,0,G9/B$19)</f>
        <v>0.13439999999999999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41.013186813186813</v>
      </c>
      <c r="C10" s="114">
        <v>3732.2</v>
      </c>
      <c r="E10" s="29" t="s">
        <v>65</v>
      </c>
      <c r="F10" s="26" t="s">
        <v>21</v>
      </c>
      <c r="G10" s="14">
        <v>61</v>
      </c>
      <c r="H10" s="92">
        <f>IF(B$19=0,0,G10/B$19)</f>
        <v>9.7600000000000006E-2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-7.6780219780219756</v>
      </c>
      <c r="P10" s="80">
        <v>91</v>
      </c>
      <c r="Q10" s="71">
        <v>-698.69999999999982</v>
      </c>
    </row>
    <row r="11" spans="1:17" x14ac:dyDescent="0.45">
      <c r="A11" s="22" t="s">
        <v>186</v>
      </c>
      <c r="B11" s="113">
        <f>IF(B8=0,0,C11/B8)</f>
        <v>-3.6571428571428584</v>
      </c>
      <c r="C11" s="114">
        <v>-332.80000000000013</v>
      </c>
      <c r="E11" s="29" t="s">
        <v>70</v>
      </c>
      <c r="F11" s="26" t="s">
        <v>25</v>
      </c>
      <c r="G11" s="14">
        <v>51</v>
      </c>
      <c r="H11" s="92">
        <f>IF(B$19=0,0,G11/B$19)</f>
        <v>8.1600000000000006E-2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1.94065934065934</v>
      </c>
      <c r="P11" s="81">
        <v>91</v>
      </c>
      <c r="Q11" s="72">
        <v>176.59999999999994</v>
      </c>
    </row>
    <row r="12" spans="1:17" x14ac:dyDescent="0.45">
      <c r="A12" s="22" t="s">
        <v>187</v>
      </c>
      <c r="B12" s="113">
        <f>IF(B9=0,0,C12/B9)</f>
        <v>-37.356043956043948</v>
      </c>
      <c r="C12" s="114">
        <v>-3399.3999999999992</v>
      </c>
      <c r="E12" s="29" t="s">
        <v>71</v>
      </c>
      <c r="F12" s="26" t="s">
        <v>26</v>
      </c>
      <c r="G12" s="14">
        <v>41</v>
      </c>
      <c r="H12" s="92">
        <f>IF(B$19=0,0,G12/B$19)</f>
        <v>6.5600000000000006E-2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5.7373626373626339</v>
      </c>
      <c r="P12" s="82">
        <v>91</v>
      </c>
      <c r="Q12" s="73">
        <v>522.09999999999968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35</v>
      </c>
      <c r="H13" s="92">
        <f>IF(B$19=0,0,G13/B$19)</f>
        <v>5.6000000000000001E-2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35</v>
      </c>
      <c r="C14" s="11">
        <f t="shared" si="1"/>
        <v>0.12820512820512819</v>
      </c>
      <c r="E14" s="29" t="s">
        <v>83</v>
      </c>
      <c r="F14" s="26" t="s">
        <v>38</v>
      </c>
      <c r="G14" s="14">
        <v>32</v>
      </c>
      <c r="H14" s="92">
        <f>IF(B$19=0,0,G14/B$19)</f>
        <v>5.1200000000000002E-2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521</v>
      </c>
      <c r="C15" s="12">
        <f>IF(B$3=0,0,B15/B$3)</f>
        <v>0.24255121042830541</v>
      </c>
      <c r="E15" s="29" t="s">
        <v>78</v>
      </c>
      <c r="F15" s="26" t="s">
        <v>33</v>
      </c>
      <c r="G15" s="14">
        <v>20</v>
      </c>
      <c r="H15" s="92">
        <f>IF(B$19=0,0,G15/B$19)</f>
        <v>3.2000000000000001E-2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 t="shared" ref="O15:O23" si="2"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442</v>
      </c>
      <c r="C16" s="8">
        <f>IF(B$3=0,0,B16/B$3)</f>
        <v>0.20577281191806332</v>
      </c>
      <c r="E16" s="29" t="s">
        <v>81</v>
      </c>
      <c r="F16" s="26" t="s">
        <v>36</v>
      </c>
      <c r="G16" s="14">
        <v>17</v>
      </c>
      <c r="H16" s="92">
        <f>IF(B$19=0,0,G16/B$19)</f>
        <v>2.7199999999999998E-2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 t="shared" si="2"/>
        <v>13.833870967741937</v>
      </c>
      <c r="P16" s="81">
        <v>62</v>
      </c>
      <c r="Q16" s="72">
        <v>857.70000000000016</v>
      </c>
    </row>
    <row r="17" spans="1:17" x14ac:dyDescent="0.45">
      <c r="A17" s="20" t="s">
        <v>123</v>
      </c>
      <c r="B17" s="13">
        <f>B23</f>
        <v>287</v>
      </c>
      <c r="C17" s="6">
        <f>IF(B$15=0,0,B17/B$15)</f>
        <v>0.55086372360844527</v>
      </c>
      <c r="E17" s="29" t="s">
        <v>79</v>
      </c>
      <c r="F17" s="26" t="s">
        <v>34</v>
      </c>
      <c r="G17" s="14">
        <v>13</v>
      </c>
      <c r="H17" s="92">
        <f>IF(B$19=0,0,G17/B$19)</f>
        <v>2.0799999999999999E-2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 t="shared" si="2"/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183</v>
      </c>
      <c r="C18" s="6">
        <f>IF(B$16=0,0,B18/B$16)</f>
        <v>0.41402714932126694</v>
      </c>
      <c r="E18" s="29" t="s">
        <v>91</v>
      </c>
      <c r="F18" s="26" t="s">
        <v>46</v>
      </c>
      <c r="G18" s="14">
        <v>13</v>
      </c>
      <c r="H18" s="92">
        <f>IF(B$19=0,0,G18/B$19)</f>
        <v>2.0799999999999999E-2</v>
      </c>
      <c r="I18" s="60">
        <v>3</v>
      </c>
      <c r="K18" s="7">
        <v>16</v>
      </c>
      <c r="L18" s="65">
        <v>3.4000000000000017</v>
      </c>
      <c r="N18" s="78" t="s">
        <v>164</v>
      </c>
      <c r="O18" s="87">
        <f t="shared" si="2"/>
        <v>3.6779999999999955</v>
      </c>
      <c r="P18" s="81">
        <v>100</v>
      </c>
      <c r="Q18" s="72">
        <v>367.79999999999956</v>
      </c>
    </row>
    <row r="19" spans="1:17" x14ac:dyDescent="0.45">
      <c r="A19" s="20" t="s">
        <v>10</v>
      </c>
      <c r="B19" s="13">
        <f>B22+B21</f>
        <v>625</v>
      </c>
      <c r="C19" s="6">
        <f>IF(B$3=0,0,B19/B$3)</f>
        <v>0.29096834264432031</v>
      </c>
      <c r="E19" s="29" t="s">
        <v>92</v>
      </c>
      <c r="F19" s="26" t="s">
        <v>47</v>
      </c>
      <c r="G19" s="14">
        <v>8</v>
      </c>
      <c r="H19" s="92">
        <f>IF(B$19=0,0,G19/B$19)</f>
        <v>1.2800000000000001E-2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 t="shared" si="2"/>
        <v>3.4833333333333343</v>
      </c>
      <c r="P19" s="81">
        <v>54</v>
      </c>
      <c r="Q19" s="72">
        <v>188.10000000000005</v>
      </c>
    </row>
    <row r="20" spans="1:17" x14ac:dyDescent="0.45">
      <c r="A20" s="21" t="s">
        <v>13</v>
      </c>
      <c r="B20" s="14">
        <v>334</v>
      </c>
      <c r="C20" s="8">
        <f>IF(B$3=0,0,B20/B$3)</f>
        <v>0.15549348230912477</v>
      </c>
      <c r="E20" s="29" t="s">
        <v>156</v>
      </c>
      <c r="F20" s="26" t="s">
        <v>157</v>
      </c>
      <c r="G20" s="14">
        <v>8</v>
      </c>
      <c r="H20" s="92">
        <f>IF(B$19=0,0,G20/B$19)</f>
        <v>1.2800000000000001E-2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 t="shared" si="2"/>
        <v>2.0300000000000047</v>
      </c>
      <c r="P20" s="81">
        <v>90</v>
      </c>
      <c r="Q20" s="72">
        <v>182.70000000000041</v>
      </c>
    </row>
    <row r="21" spans="1:17" x14ac:dyDescent="0.45">
      <c r="A21" s="21" t="s">
        <v>12</v>
      </c>
      <c r="B21" s="14">
        <v>289</v>
      </c>
      <c r="C21" s="8">
        <f>IF(B$19=0,0,B21/B$19)</f>
        <v>0.46239999999999998</v>
      </c>
      <c r="E21" s="29" t="s">
        <v>77</v>
      </c>
      <c r="F21" s="26" t="s">
        <v>32</v>
      </c>
      <c r="G21" s="14">
        <v>3</v>
      </c>
      <c r="H21" s="92">
        <f>IF(B$19=0,0,G21/B$19)</f>
        <v>4.7999999999999996E-3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 t="shared" si="2"/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336</v>
      </c>
      <c r="C22" s="8">
        <f>IF(B$19=0,0,B22/B$19)</f>
        <v>0.53759999999999997</v>
      </c>
      <c r="E22" s="29" t="s">
        <v>85</v>
      </c>
      <c r="F22" s="26" t="s">
        <v>40</v>
      </c>
      <c r="G22" s="14">
        <v>3</v>
      </c>
      <c r="H22" s="92">
        <f>IF(B$19=0,0,G22/B$19)</f>
        <v>4.7999999999999996E-3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 t="shared" si="2"/>
        <v>-4.738888888888888</v>
      </c>
      <c r="P22" s="81">
        <v>54</v>
      </c>
      <c r="Q22" s="72">
        <v>-255.89999999999998</v>
      </c>
    </row>
    <row r="23" spans="1:17" x14ac:dyDescent="0.45">
      <c r="A23" s="21" t="s">
        <v>184</v>
      </c>
      <c r="B23" s="14">
        <v>287</v>
      </c>
      <c r="C23" s="8">
        <f>IF(B$19=0,0,B23/B$19)</f>
        <v>0.4592</v>
      </c>
      <c r="E23" s="29" t="s">
        <v>73</v>
      </c>
      <c r="F23" s="26" t="s">
        <v>28</v>
      </c>
      <c r="G23" s="14">
        <v>2</v>
      </c>
      <c r="H23" s="92">
        <f>IF(B$19=0,0,G23/B$19)</f>
        <v>3.2000000000000002E-3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 t="shared" si="2"/>
        <v>-13.128358208955213</v>
      </c>
      <c r="P23" s="81">
        <v>134</v>
      </c>
      <c r="Q23" s="72">
        <v>-1759.1999999999985</v>
      </c>
    </row>
    <row r="24" spans="1:17" x14ac:dyDescent="0.45">
      <c r="A24" s="21" t="s">
        <v>182</v>
      </c>
      <c r="B24" s="14">
        <v>183</v>
      </c>
      <c r="C24" s="8">
        <f>IF(B$19=0,0,B24/B$19)</f>
        <v>0.2928</v>
      </c>
      <c r="E24" s="29" t="s">
        <v>75</v>
      </c>
      <c r="F24" s="26" t="s">
        <v>30</v>
      </c>
      <c r="G24" s="14">
        <v>2</v>
      </c>
      <c r="H24" s="92">
        <f>IF(B$19=0,0,G24/B$19)</f>
        <v>3.2000000000000002E-3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155</v>
      </c>
      <c r="C25" s="8">
        <f>IF(B$19=0,0,B25/B$19)</f>
        <v>0.248</v>
      </c>
      <c r="E25" s="29" t="s">
        <v>87</v>
      </c>
      <c r="F25" s="26" t="s">
        <v>42</v>
      </c>
      <c r="G25" s="14">
        <v>2</v>
      </c>
      <c r="H25" s="92">
        <f>IF(B$19=0,0,G25/B$19)</f>
        <v>3.2000000000000002E-3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8832.7999999999993</v>
      </c>
      <c r="C26" s="10">
        <v>5520500</v>
      </c>
      <c r="E26" s="29" t="s">
        <v>93</v>
      </c>
      <c r="F26" s="26" t="s">
        <v>48</v>
      </c>
      <c r="G26" s="14">
        <v>2</v>
      </c>
      <c r="H26" s="92">
        <f>IF(B$19=0,0,G26/B$19)</f>
        <v>3.2000000000000002E-3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9295.7013574660632</v>
      </c>
      <c r="C27" s="100">
        <v>4108700</v>
      </c>
      <c r="E27" s="29" t="s">
        <v>84</v>
      </c>
      <c r="F27" s="26" t="s">
        <v>39</v>
      </c>
      <c r="G27" s="14">
        <v>1</v>
      </c>
      <c r="H27" s="92">
        <f>IF(B$19=0,0,G27/B$19)</f>
        <v>1.6000000000000001E-3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7714.7540983606559</v>
      </c>
      <c r="C28" s="100">
        <v>1411800</v>
      </c>
      <c r="E28" s="29" t="s">
        <v>88</v>
      </c>
      <c r="F28" s="26" t="s">
        <v>43</v>
      </c>
      <c r="G28" s="14">
        <v>1</v>
      </c>
      <c r="H28" s="92">
        <f>IF(B$19=0,0,G28/B$19)</f>
        <v>1.6000000000000001E-3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-8058.0838323353291</v>
      </c>
      <c r="C29" s="100">
        <v>-2691400</v>
      </c>
      <c r="E29" s="29" t="s">
        <v>95</v>
      </c>
      <c r="F29" s="26" t="s">
        <v>50</v>
      </c>
      <c r="G29" s="14">
        <v>1</v>
      </c>
      <c r="H29" s="92">
        <f>IF(B$19=0,0,G29/B$19)</f>
        <v>1.6000000000000001E-3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1.6000000000000001E-3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5</v>
      </c>
      <c r="E31" s="29" t="s">
        <v>102</v>
      </c>
      <c r="F31" s="26" t="s">
        <v>57</v>
      </c>
      <c r="G31" s="14">
        <v>1</v>
      </c>
      <c r="H31" s="92">
        <f>IF(B$19=0,0,G31/B$19)</f>
        <v>1.6000000000000001E-3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5</v>
      </c>
      <c r="C34" s="11">
        <f>IF(B$3=0,0,B34/B$3)</f>
        <v>2.3277467411545625E-3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49</v>
      </c>
      <c r="C36" s="102">
        <f t="shared" ref="C36:C48" si="3">IF(B$19=0,0,B36/B$19)</f>
        <v>7.8399999999999997E-2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110</v>
      </c>
      <c r="C37" s="8">
        <f t="shared" si="3"/>
        <v>0.17599999999999999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113</v>
      </c>
      <c r="C38" s="8">
        <f t="shared" si="3"/>
        <v>0.18079999999999999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117</v>
      </c>
      <c r="C39" s="8">
        <f t="shared" si="3"/>
        <v>0.18720000000000001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88</v>
      </c>
      <c r="C40" s="8">
        <f t="shared" si="3"/>
        <v>0.14080000000000001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58</v>
      </c>
      <c r="C41" s="8">
        <f t="shared" si="3"/>
        <v>9.2799999999999994E-2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38</v>
      </c>
      <c r="C42" s="8">
        <f t="shared" si="3"/>
        <v>6.08E-2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15</v>
      </c>
      <c r="C43" s="8">
        <f t="shared" si="3"/>
        <v>2.4E-2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3"/>
        <v>1.6E-2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8</v>
      </c>
      <c r="C45" s="8">
        <f t="shared" si="3"/>
        <v>1.2800000000000001E-2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3"/>
        <v>6.4000000000000003E-3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3"/>
        <v>3.2000000000000002E-3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3"/>
        <v>2.0799999999999999E-2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</sheetData>
  <sortState xmlns:xlrd2="http://schemas.microsoft.com/office/spreadsheetml/2017/richdata2" ref="E2:I27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50</v>
      </c>
      <c r="C2" s="132"/>
      <c r="E2" s="28" t="s">
        <v>66</v>
      </c>
      <c r="F2" s="25" t="s">
        <v>22</v>
      </c>
      <c r="G2" s="13">
        <v>92</v>
      </c>
      <c r="H2" s="91">
        <f>IF(B$19=0,0,G2/B$19)</f>
        <v>0.84403669724770647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-1268.75</v>
      </c>
      <c r="P2" s="80">
        <v>48</v>
      </c>
      <c r="Q2" s="67">
        <v>-60900</v>
      </c>
    </row>
    <row r="3" spans="1:17" x14ac:dyDescent="0.45">
      <c r="A3" s="21" t="s">
        <v>8</v>
      </c>
      <c r="B3" s="133">
        <v>401</v>
      </c>
      <c r="C3" s="134"/>
      <c r="E3" s="29" t="s">
        <v>72</v>
      </c>
      <c r="F3" s="26" t="s">
        <v>27</v>
      </c>
      <c r="G3" s="14">
        <v>56</v>
      </c>
      <c r="H3" s="92">
        <f>IF(B$19=0,0,G3/B$19)</f>
        <v>0.51376146788990829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-1450</v>
      </c>
      <c r="P3" s="81">
        <v>48</v>
      </c>
      <c r="Q3" s="68">
        <v>-69600</v>
      </c>
    </row>
    <row r="4" spans="1:17" x14ac:dyDescent="0.45">
      <c r="A4" s="21" t="s">
        <v>6</v>
      </c>
      <c r="B4" s="135">
        <v>-122.60000000000007</v>
      </c>
      <c r="C4" s="136"/>
      <c r="E4" s="29" t="s">
        <v>64</v>
      </c>
      <c r="F4" s="26" t="s">
        <v>20</v>
      </c>
      <c r="G4" s="14">
        <v>55</v>
      </c>
      <c r="H4" s="92">
        <f>IF(B$19=0,0,G4/B$19)</f>
        <v>0.50458715596330272</v>
      </c>
      <c r="I4" s="60">
        <v>4</v>
      </c>
      <c r="K4" s="7">
        <v>2</v>
      </c>
      <c r="L4" s="65">
        <v>32.9</v>
      </c>
      <c r="N4" s="78" t="s">
        <v>130</v>
      </c>
      <c r="O4" s="84">
        <f t="shared" si="0"/>
        <v>343.18181818181819</v>
      </c>
      <c r="P4" s="81">
        <v>44</v>
      </c>
      <c r="Q4" s="68">
        <v>15100</v>
      </c>
    </row>
    <row r="5" spans="1:17" x14ac:dyDescent="0.45">
      <c r="A5" s="21" t="s">
        <v>7</v>
      </c>
      <c r="B5" s="123">
        <f>IF(B$2=0,0,B$4/B$2)</f>
        <v>-2.4520000000000013</v>
      </c>
      <c r="C5" s="124"/>
      <c r="E5" s="29" t="s">
        <v>160</v>
      </c>
      <c r="F5" s="26" t="s">
        <v>161</v>
      </c>
      <c r="G5" s="14">
        <v>53</v>
      </c>
      <c r="H5" s="92">
        <f>IF(B$19=0,0,G5/B$19)</f>
        <v>0.48623853211009177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-1930</v>
      </c>
      <c r="P5" s="81">
        <v>40</v>
      </c>
      <c r="Q5" s="68">
        <v>-77200</v>
      </c>
    </row>
    <row r="6" spans="1:17" x14ac:dyDescent="0.45">
      <c r="A6" s="21" t="s">
        <v>1</v>
      </c>
      <c r="B6" s="137">
        <f>IF(B$2=0,0,(B$7*1+B$8*2+B$9*3)/B$2)</f>
        <v>2.08</v>
      </c>
      <c r="C6" s="138"/>
      <c r="E6" s="29" t="s">
        <v>68</v>
      </c>
      <c r="F6" s="26" t="s">
        <v>12</v>
      </c>
      <c r="G6" s="14">
        <v>30</v>
      </c>
      <c r="H6" s="92">
        <f>IF(B$19=0,0,G6/B$19)</f>
        <v>0.27522935779816515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481.08108108108109</v>
      </c>
      <c r="P6" s="81">
        <v>37</v>
      </c>
      <c r="Q6" s="68">
        <v>17800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0.36</v>
      </c>
      <c r="E7" s="29" t="s">
        <v>67</v>
      </c>
      <c r="F7" s="26" t="s">
        <v>23</v>
      </c>
      <c r="G7" s="14">
        <v>27</v>
      </c>
      <c r="H7" s="92">
        <f>IF(B$19=0,0,G7/B$19)</f>
        <v>0.24770642201834864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3448.1481481481483</v>
      </c>
      <c r="P7" s="82">
        <v>27</v>
      </c>
      <c r="Q7" s="69">
        <v>93100</v>
      </c>
    </row>
    <row r="8" spans="1:17" x14ac:dyDescent="0.45">
      <c r="A8" s="21" t="s">
        <v>3</v>
      </c>
      <c r="B8" s="14">
        <v>10</v>
      </c>
      <c r="C8" s="8">
        <f t="shared" si="1"/>
        <v>0.2</v>
      </c>
      <c r="E8" s="29" t="s">
        <v>89</v>
      </c>
      <c r="F8" s="26" t="s">
        <v>44</v>
      </c>
      <c r="G8" s="14">
        <v>15</v>
      </c>
      <c r="H8" s="92">
        <f>IF(B$19=0,0,G8/B$19)</f>
        <v>0.13761467889908258</v>
      </c>
      <c r="I8" s="60">
        <v>7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22</v>
      </c>
      <c r="C9" s="9">
        <f t="shared" si="1"/>
        <v>0.44</v>
      </c>
      <c r="E9" s="29" t="s">
        <v>70</v>
      </c>
      <c r="F9" s="26" t="s">
        <v>25</v>
      </c>
      <c r="G9" s="14">
        <v>13</v>
      </c>
      <c r="H9" s="92">
        <f>IF(B$19=0,0,G9/B$19)</f>
        <v>0.11926605504587157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41.461111111111123</v>
      </c>
      <c r="C10" s="114">
        <v>746.30000000000018</v>
      </c>
      <c r="E10" s="29" t="s">
        <v>65</v>
      </c>
      <c r="F10" s="26" t="s">
        <v>21</v>
      </c>
      <c r="G10" s="14">
        <v>12</v>
      </c>
      <c r="H10" s="92">
        <f>IF(B$19=0,0,G10/B$19)</f>
        <v>0.11009174311926606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-11.650000000000002</v>
      </c>
      <c r="P10" s="80">
        <v>18</v>
      </c>
      <c r="Q10" s="71">
        <v>-209.70000000000005</v>
      </c>
    </row>
    <row r="11" spans="1:17" x14ac:dyDescent="0.45">
      <c r="A11" s="22" t="s">
        <v>186</v>
      </c>
      <c r="B11" s="113">
        <f>IF(B8=0,0,C11/B8)</f>
        <v>-2.7</v>
      </c>
      <c r="C11" s="114">
        <v>-27</v>
      </c>
      <c r="E11" s="29" t="s">
        <v>69</v>
      </c>
      <c r="F11" s="26" t="s">
        <v>24</v>
      </c>
      <c r="G11" s="14">
        <v>11</v>
      </c>
      <c r="H11" s="92">
        <f>IF(B$19=0,0,G11/B$19)</f>
        <v>0.10091743119266056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11.053846153846154</v>
      </c>
      <c r="P11" s="81">
        <v>13</v>
      </c>
      <c r="Q11" s="72">
        <v>143.69999999999999</v>
      </c>
    </row>
    <row r="12" spans="1:17" x14ac:dyDescent="0.45">
      <c r="A12" s="22" t="s">
        <v>187</v>
      </c>
      <c r="B12" s="113">
        <f>IF(B9=0,0,C12/B9)</f>
        <v>-38.268181818181809</v>
      </c>
      <c r="C12" s="114">
        <v>-841.89999999999986</v>
      </c>
      <c r="E12" s="29" t="s">
        <v>86</v>
      </c>
      <c r="F12" s="26" t="s">
        <v>41</v>
      </c>
      <c r="G12" s="14">
        <v>10</v>
      </c>
      <c r="H12" s="92">
        <f>IF(B$19=0,0,G12/B$19)</f>
        <v>9.1743119266055051E-2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-2.9789473684210517</v>
      </c>
      <c r="P12" s="82">
        <v>19</v>
      </c>
      <c r="Q12" s="73">
        <v>-56.59999999999998</v>
      </c>
    </row>
    <row r="13" spans="1:17" x14ac:dyDescent="0.45">
      <c r="A13" s="22" t="s">
        <v>188</v>
      </c>
      <c r="B13" s="123">
        <f>AVERAGE(B10:B12)</f>
        <v>0.1643097643097704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6.4220183486238536E-2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0.18</v>
      </c>
      <c r="E14" s="29" t="s">
        <v>71</v>
      </c>
      <c r="F14" s="26" t="s">
        <v>26</v>
      </c>
      <c r="G14" s="14">
        <v>6</v>
      </c>
      <c r="H14" s="92">
        <f>IF(B$19=0,0,G14/B$19)</f>
        <v>5.5045871559633031E-2</v>
      </c>
      <c r="I14" s="60">
        <v>8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119</v>
      </c>
      <c r="C15" s="12">
        <f>IF(B$3=0,0,B15/B$3)</f>
        <v>0.29675810473815462</v>
      </c>
      <c r="E15" s="29" t="s">
        <v>78</v>
      </c>
      <c r="F15" s="26" t="s">
        <v>33</v>
      </c>
      <c r="G15" s="14">
        <v>4</v>
      </c>
      <c r="H15" s="92">
        <f>IF(B$19=0,0,G15/B$19)</f>
        <v>3.669724770642202E-2</v>
      </c>
      <c r="I15" s="60">
        <v>5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78</v>
      </c>
      <c r="C16" s="8">
        <f>IF(B$3=0,0,B16/B$3)</f>
        <v>0.19451371571072318</v>
      </c>
      <c r="E16" s="29" t="s">
        <v>81</v>
      </c>
      <c r="F16" s="26" t="s">
        <v>36</v>
      </c>
      <c r="G16" s="14">
        <v>4</v>
      </c>
      <c r="H16" s="92">
        <f>IF(B$19=0,0,G16/B$19)</f>
        <v>3.669724770642202E-2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54</v>
      </c>
      <c r="C17" s="6">
        <f>IF(B$15=0,0,B17/B$15)</f>
        <v>0.45378151260504201</v>
      </c>
      <c r="E17" s="29" t="s">
        <v>79</v>
      </c>
      <c r="F17" s="26" t="s">
        <v>34</v>
      </c>
      <c r="G17" s="14">
        <v>3</v>
      </c>
      <c r="H17" s="92">
        <f>IF(B$19=0,0,G17/B$19)</f>
        <v>2.7522935779816515E-2</v>
      </c>
      <c r="I17" s="60">
        <v>3</v>
      </c>
      <c r="K17" s="7">
        <v>15</v>
      </c>
      <c r="L17" s="65">
        <v>-33.1</v>
      </c>
      <c r="N17" s="78" t="s">
        <v>205</v>
      </c>
      <c r="O17" s="87">
        <f t="shared" si="2"/>
        <v>8.1272727272727252</v>
      </c>
      <c r="P17" s="81">
        <v>11</v>
      </c>
      <c r="Q17" s="72">
        <v>89.399999999999977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0.38461538461538464</v>
      </c>
      <c r="E18" s="29" t="s">
        <v>83</v>
      </c>
      <c r="F18" s="26" t="s">
        <v>38</v>
      </c>
      <c r="G18" s="14">
        <v>3</v>
      </c>
      <c r="H18" s="92">
        <f>IF(B$19=0,0,G18/B$19)</f>
        <v>2.7522935779816515E-2</v>
      </c>
      <c r="I18" s="60">
        <v>7</v>
      </c>
      <c r="K18" s="7">
        <v>16</v>
      </c>
      <c r="L18" s="65">
        <v>-10.8</v>
      </c>
      <c r="N18" s="78" t="s">
        <v>192</v>
      </c>
      <c r="O18" s="87">
        <f t="shared" si="2"/>
        <v>3.0166666666666653</v>
      </c>
      <c r="P18" s="81">
        <v>18</v>
      </c>
      <c r="Q18" s="72">
        <v>54.299999999999976</v>
      </c>
    </row>
    <row r="19" spans="1:17" x14ac:dyDescent="0.45">
      <c r="A19" s="20" t="s">
        <v>10</v>
      </c>
      <c r="B19" s="13">
        <f>B22+B21</f>
        <v>109</v>
      </c>
      <c r="C19" s="6">
        <f>IF(B$3=0,0,B19/B$3)</f>
        <v>0.27182044887780549</v>
      </c>
      <c r="E19" s="29" t="s">
        <v>92</v>
      </c>
      <c r="F19" s="26" t="s">
        <v>47</v>
      </c>
      <c r="G19" s="14">
        <v>2</v>
      </c>
      <c r="H19" s="92">
        <f>IF(B$19=0,0,G19/B$19)</f>
        <v>1.834862385321101E-2</v>
      </c>
      <c r="I19" s="60">
        <v>1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77</v>
      </c>
      <c r="C20" s="8">
        <f>IF(B$3=0,0,B20/B$3)</f>
        <v>0.19201995012468828</v>
      </c>
      <c r="E20" s="29" t="s">
        <v>75</v>
      </c>
      <c r="F20" s="26" t="s">
        <v>30</v>
      </c>
      <c r="G20" s="14">
        <v>1</v>
      </c>
      <c r="H20" s="92">
        <f>IF(B$19=0,0,G20/B$19)</f>
        <v>9.1743119266055051E-3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-5.4051282051281992</v>
      </c>
      <c r="P20" s="81">
        <v>39</v>
      </c>
      <c r="Q20" s="72">
        <v>-210.79999999999978</v>
      </c>
    </row>
    <row r="21" spans="1:17" x14ac:dyDescent="0.45">
      <c r="A21" s="21" t="s">
        <v>12</v>
      </c>
      <c r="B21" s="14">
        <v>47</v>
      </c>
      <c r="C21" s="8">
        <f>IF(B$19=0,0,B21/B$19)</f>
        <v>0.43119266055045874</v>
      </c>
      <c r="E21" s="29" t="s">
        <v>97</v>
      </c>
      <c r="F21" s="26" t="s">
        <v>52</v>
      </c>
      <c r="G21" s="14">
        <v>1</v>
      </c>
      <c r="H21" s="92">
        <f>IF(B$19=0,0,G21/B$19)</f>
        <v>9.1743119266055051E-3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-29.537500000000005</v>
      </c>
      <c r="P21" s="81">
        <v>8</v>
      </c>
      <c r="Q21" s="72">
        <v>-236.30000000000004</v>
      </c>
    </row>
    <row r="22" spans="1:17" x14ac:dyDescent="0.45">
      <c r="A22" s="21" t="s">
        <v>11</v>
      </c>
      <c r="B22" s="14">
        <v>62</v>
      </c>
      <c r="C22" s="8">
        <f>IF(B$19=0,0,B22/B$19)</f>
        <v>0.56880733944954132</v>
      </c>
      <c r="E22" s="29" t="s">
        <v>156</v>
      </c>
      <c r="F22" s="26" t="s">
        <v>157</v>
      </c>
      <c r="G22" s="14">
        <v>1</v>
      </c>
      <c r="H22" s="92">
        <f>IF(B$19=0,0,G22/B$19)</f>
        <v>9.1743119266055051E-3</v>
      </c>
      <c r="I22" s="60">
        <v>5</v>
      </c>
      <c r="K22" s="7">
        <v>20</v>
      </c>
      <c r="L22" s="65">
        <v>-72.000000000000014</v>
      </c>
      <c r="N22" s="78" t="s">
        <v>193</v>
      </c>
      <c r="O22" s="87">
        <f t="shared" si="2"/>
        <v>-31.537499999999998</v>
      </c>
      <c r="P22" s="81">
        <v>8</v>
      </c>
      <c r="Q22" s="72">
        <v>-252.29999999999998</v>
      </c>
    </row>
    <row r="23" spans="1:17" x14ac:dyDescent="0.45">
      <c r="A23" s="21" t="s">
        <v>184</v>
      </c>
      <c r="B23" s="14">
        <v>54</v>
      </c>
      <c r="C23" s="8">
        <f>IF(B$19=0,0,B23/B$19)</f>
        <v>0.49541284403669728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30</v>
      </c>
      <c r="C24" s="8">
        <f>IF(B$19=0,0,B24/B$19)</f>
        <v>0.27522935779816515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25</v>
      </c>
      <c r="C25" s="8">
        <f>IF(B$19=0,0,B25/B$19)</f>
        <v>0.22935779816513763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10150.458715596331</v>
      </c>
      <c r="C26" s="10">
        <v>1106400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5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10863.291139240506</v>
      </c>
      <c r="C27" s="100">
        <v>858200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8273.3333333333339</v>
      </c>
      <c r="C28" s="100">
        <v>248200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-8203.8961038961043</v>
      </c>
      <c r="C29" s="100">
        <v>-631700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4.9875311720698253E-3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3.669724770642202E-2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3"/>
        <v>0.12844036697247707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11</v>
      </c>
      <c r="C38" s="8">
        <f t="shared" si="3"/>
        <v>0.10091743119266056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30</v>
      </c>
      <c r="C39" s="8">
        <f t="shared" si="3"/>
        <v>0.27522935779816515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20</v>
      </c>
      <c r="C40" s="8">
        <f t="shared" si="3"/>
        <v>0.1834862385321101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11</v>
      </c>
      <c r="C41" s="8">
        <f t="shared" si="3"/>
        <v>0.10091743119266056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9</v>
      </c>
      <c r="C42" s="8">
        <f t="shared" si="3"/>
        <v>8.2568807339449546E-2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3"/>
        <v>3.669724770642202E-2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3"/>
        <v>9.1743119266055051E-3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3"/>
        <v>1.834862385321101E-2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2.7522935779816515E-2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6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67</v>
      </c>
      <c r="C2" s="132"/>
      <c r="E2" s="28" t="s">
        <v>66</v>
      </c>
      <c r="F2" s="25" t="s">
        <v>22</v>
      </c>
      <c r="G2" s="13">
        <v>108</v>
      </c>
      <c r="H2" s="91">
        <f>IF(B$19=0,0,G2/B$19)</f>
        <v>0.65454545454545454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76.119402985074629</v>
      </c>
      <c r="P2" s="80">
        <v>67</v>
      </c>
      <c r="Q2" s="67">
        <v>5100</v>
      </c>
    </row>
    <row r="3" spans="1:17" x14ac:dyDescent="0.45">
      <c r="A3" s="21" t="s">
        <v>8</v>
      </c>
      <c r="B3" s="133">
        <v>526</v>
      </c>
      <c r="C3" s="134"/>
      <c r="E3" s="29" t="s">
        <v>72</v>
      </c>
      <c r="F3" s="26" t="s">
        <v>27</v>
      </c>
      <c r="G3" s="14">
        <v>82</v>
      </c>
      <c r="H3" s="92">
        <f>IF(B$19=0,0,G3/B$19)</f>
        <v>0.49696969696969695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3470.7692307692309</v>
      </c>
      <c r="P3" s="81">
        <v>65</v>
      </c>
      <c r="Q3" s="68">
        <v>225600</v>
      </c>
    </row>
    <row r="4" spans="1:17" x14ac:dyDescent="0.45">
      <c r="A4" s="21" t="s">
        <v>6</v>
      </c>
      <c r="B4" s="135">
        <v>586.4000000000002</v>
      </c>
      <c r="C4" s="136"/>
      <c r="E4" s="29" t="s">
        <v>64</v>
      </c>
      <c r="F4" s="26" t="s">
        <v>20</v>
      </c>
      <c r="G4" s="14">
        <v>74</v>
      </c>
      <c r="H4" s="92">
        <f>IF(B$19=0,0,G4/B$19)</f>
        <v>0.44848484848484849</v>
      </c>
      <c r="I4" s="60">
        <v>6</v>
      </c>
      <c r="K4" s="7">
        <v>2</v>
      </c>
      <c r="L4" s="65">
        <v>99.6</v>
      </c>
      <c r="N4" s="78" t="s">
        <v>130</v>
      </c>
      <c r="O4" s="84">
        <f t="shared" si="0"/>
        <v>3267.2131147540986</v>
      </c>
      <c r="P4" s="81">
        <v>61</v>
      </c>
      <c r="Q4" s="68">
        <v>199300</v>
      </c>
    </row>
    <row r="5" spans="1:17" x14ac:dyDescent="0.45">
      <c r="A5" s="21" t="s">
        <v>7</v>
      </c>
      <c r="B5" s="123">
        <f>IF(B$2=0,0,B$4/B$2)</f>
        <v>8.752238805970153</v>
      </c>
      <c r="C5" s="124"/>
      <c r="E5" s="29" t="s">
        <v>160</v>
      </c>
      <c r="F5" s="26" t="s">
        <v>161</v>
      </c>
      <c r="G5" s="14">
        <v>71</v>
      </c>
      <c r="H5" s="92">
        <f>IF(B$19=0,0,G5/B$19)</f>
        <v>0.4303030303030303</v>
      </c>
      <c r="I5" s="60">
        <v>5</v>
      </c>
      <c r="K5" s="7">
        <v>3</v>
      </c>
      <c r="L5" s="65">
        <v>98.1</v>
      </c>
      <c r="N5" s="78" t="s">
        <v>131</v>
      </c>
      <c r="O5" s="84">
        <f t="shared" si="0"/>
        <v>1948.148148148148</v>
      </c>
      <c r="P5" s="81">
        <v>54</v>
      </c>
      <c r="Q5" s="68">
        <v>105200</v>
      </c>
    </row>
    <row r="6" spans="1:17" x14ac:dyDescent="0.45">
      <c r="A6" s="21" t="s">
        <v>1</v>
      </c>
      <c r="B6" s="137">
        <f>IF(B$2=0,0,(B$7*1+B$8*2+B$9*3)/B$2)</f>
        <v>1.7761194029850746</v>
      </c>
      <c r="C6" s="138"/>
      <c r="E6" s="29" t="s">
        <v>68</v>
      </c>
      <c r="F6" s="26" t="s">
        <v>12</v>
      </c>
      <c r="G6" s="14">
        <v>68</v>
      </c>
      <c r="H6" s="92">
        <f>IF(B$19=0,0,G6/B$19)</f>
        <v>0.41212121212121211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-1397.9591836734694</v>
      </c>
      <c r="P6" s="81">
        <v>49</v>
      </c>
      <c r="Q6" s="68">
        <v>-68500</v>
      </c>
    </row>
    <row r="7" spans="1:17" x14ac:dyDescent="0.45">
      <c r="A7" s="21" t="s">
        <v>2</v>
      </c>
      <c r="B7" s="14">
        <v>28</v>
      </c>
      <c r="C7" s="8">
        <f t="shared" ref="C7:C14" si="1">IF(B$2=0,0,B7/B$2)</f>
        <v>0.41791044776119401</v>
      </c>
      <c r="E7" s="29" t="s">
        <v>67</v>
      </c>
      <c r="F7" s="26" t="s">
        <v>23</v>
      </c>
      <c r="G7" s="14">
        <v>45</v>
      </c>
      <c r="H7" s="92">
        <f>IF(B$19=0,0,G7/B$19)</f>
        <v>0.27272727272727271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1155.2631578947369</v>
      </c>
      <c r="P7" s="82">
        <v>38</v>
      </c>
      <c r="Q7" s="69">
        <v>43900</v>
      </c>
    </row>
    <row r="8" spans="1:17" x14ac:dyDescent="0.45">
      <c r="A8" s="21" t="s">
        <v>3</v>
      </c>
      <c r="B8" s="14">
        <v>26</v>
      </c>
      <c r="C8" s="8">
        <f t="shared" si="1"/>
        <v>0.38805970149253732</v>
      </c>
      <c r="E8" s="29" t="s">
        <v>89</v>
      </c>
      <c r="F8" s="26" t="s">
        <v>44</v>
      </c>
      <c r="G8" s="14">
        <v>29</v>
      </c>
      <c r="H8" s="92">
        <f>IF(B$19=0,0,G8/B$19)</f>
        <v>0.17575757575757575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0.19402985074626866</v>
      </c>
      <c r="E9" s="29" t="s">
        <v>69</v>
      </c>
      <c r="F9" s="26" t="s">
        <v>24</v>
      </c>
      <c r="G9" s="14">
        <v>28</v>
      </c>
      <c r="H9" s="92">
        <f>IF(B$19=0,0,G9/B$19)</f>
        <v>0.16969696969696971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41.296428571428571</v>
      </c>
      <c r="C10" s="114">
        <v>1156.3</v>
      </c>
      <c r="E10" s="29" t="s">
        <v>65</v>
      </c>
      <c r="F10" s="26" t="s">
        <v>21</v>
      </c>
      <c r="G10" s="14">
        <v>19</v>
      </c>
      <c r="H10" s="92">
        <f>IF(B$19=0,0,G10/B$19)</f>
        <v>0.11515151515151516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-2.7095238095238097</v>
      </c>
      <c r="P10" s="80">
        <v>21</v>
      </c>
      <c r="Q10" s="71">
        <v>-56.9</v>
      </c>
    </row>
    <row r="11" spans="1:17" x14ac:dyDescent="0.45">
      <c r="A11" s="22" t="s">
        <v>186</v>
      </c>
      <c r="B11" s="113">
        <f>IF(B8=0,0,C11/B8)</f>
        <v>-1.3153846153846152</v>
      </c>
      <c r="C11" s="114">
        <v>-34.199999999999996</v>
      </c>
      <c r="E11" s="29" t="s">
        <v>71</v>
      </c>
      <c r="F11" s="26" t="s">
        <v>26</v>
      </c>
      <c r="G11" s="14">
        <v>13</v>
      </c>
      <c r="H11" s="92">
        <f>IF(B$19=0,0,G11/B$19)</f>
        <v>7.8787878787878782E-2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9.6961538461538428</v>
      </c>
      <c r="P11" s="81">
        <v>26</v>
      </c>
      <c r="Q11" s="72">
        <v>252.09999999999991</v>
      </c>
    </row>
    <row r="12" spans="1:17" x14ac:dyDescent="0.45">
      <c r="A12" s="22" t="s">
        <v>187</v>
      </c>
      <c r="B12" s="113">
        <f>IF(B9=0,0,C12/B9)</f>
        <v>-41.207692307692312</v>
      </c>
      <c r="C12" s="114">
        <v>-535.70000000000005</v>
      </c>
      <c r="E12" s="29" t="s">
        <v>86</v>
      </c>
      <c r="F12" s="26" t="s">
        <v>41</v>
      </c>
      <c r="G12" s="14">
        <v>13</v>
      </c>
      <c r="H12" s="92">
        <f>IF(B$19=0,0,G12/B$19)</f>
        <v>7.8787878787878782E-2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19.560000000000006</v>
      </c>
      <c r="P12" s="82">
        <v>20</v>
      </c>
      <c r="Q12" s="73">
        <v>391.2000000000001</v>
      </c>
    </row>
    <row r="13" spans="1:17" x14ac:dyDescent="0.45">
      <c r="A13" s="22" t="s">
        <v>188</v>
      </c>
      <c r="B13" s="123">
        <f>AVERAGE(B10:B12)</f>
        <v>-0.40888278388278582</v>
      </c>
      <c r="C13" s="124"/>
      <c r="E13" s="29" t="s">
        <v>70</v>
      </c>
      <c r="F13" s="26" t="s">
        <v>25</v>
      </c>
      <c r="G13" s="14">
        <v>12</v>
      </c>
      <c r="H13" s="92">
        <f>IF(B$19=0,0,G13/B$19)</f>
        <v>7.2727272727272724E-2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7.4626865671641784E-2</v>
      </c>
      <c r="E14" s="29" t="s">
        <v>83</v>
      </c>
      <c r="F14" s="26" t="s">
        <v>38</v>
      </c>
      <c r="G14" s="14">
        <v>7</v>
      </c>
      <c r="H14" s="92">
        <f>IF(B$19=0,0,G14/B$19)</f>
        <v>4.2424242424242427E-2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135</v>
      </c>
      <c r="C15" s="12">
        <f>IF(B$3=0,0,B15/B$3)</f>
        <v>0.25665399239543724</v>
      </c>
      <c r="E15" s="29" t="s">
        <v>81</v>
      </c>
      <c r="F15" s="26" t="s">
        <v>36</v>
      </c>
      <c r="G15" s="14">
        <v>5</v>
      </c>
      <c r="H15" s="92">
        <f>IF(B$19=0,0,G15/B$19)</f>
        <v>3.0303030303030304E-2</v>
      </c>
      <c r="I15" s="60">
        <v>3</v>
      </c>
      <c r="K15" s="7">
        <v>13</v>
      </c>
      <c r="L15" s="65">
        <v>197</v>
      </c>
      <c r="N15" s="77" t="s">
        <v>196</v>
      </c>
      <c r="O15" s="86">
        <f t="shared" ref="O15:O22" si="2"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86</v>
      </c>
      <c r="C16" s="8">
        <f>IF(B$3=0,0,B16/B$3)</f>
        <v>0.1634980988593156</v>
      </c>
      <c r="E16" s="29" t="s">
        <v>156</v>
      </c>
      <c r="F16" s="26" t="s">
        <v>157</v>
      </c>
      <c r="G16" s="14">
        <v>5</v>
      </c>
      <c r="H16" s="92">
        <f>IF(B$19=0,0,G16/B$19)</f>
        <v>3.0303030303030304E-2</v>
      </c>
      <c r="I16" s="60">
        <v>1</v>
      </c>
      <c r="K16" s="7">
        <v>14</v>
      </c>
      <c r="L16" s="65">
        <v>249.2</v>
      </c>
      <c r="N16" s="78" t="s">
        <v>189</v>
      </c>
      <c r="O16" s="87">
        <f t="shared" si="2"/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82</v>
      </c>
      <c r="C17" s="6">
        <f>IF(B$15=0,0,B17/B$15)</f>
        <v>0.6074074074074074</v>
      </c>
      <c r="E17" s="29" t="s">
        <v>78</v>
      </c>
      <c r="F17" s="26" t="s">
        <v>33</v>
      </c>
      <c r="G17" s="14">
        <v>3</v>
      </c>
      <c r="H17" s="92">
        <f>IF(B$19=0,0,G17/B$19)</f>
        <v>1.8181818181818181E-2</v>
      </c>
      <c r="I17" s="60">
        <v>8</v>
      </c>
      <c r="K17" s="7">
        <v>15</v>
      </c>
      <c r="L17" s="65">
        <v>213.5</v>
      </c>
      <c r="N17" s="78" t="s">
        <v>194</v>
      </c>
      <c r="O17" s="87">
        <f t="shared" si="2"/>
        <v>25.135294117647064</v>
      </c>
      <c r="P17" s="81">
        <v>17</v>
      </c>
      <c r="Q17" s="72">
        <v>427.30000000000007</v>
      </c>
    </row>
    <row r="18" spans="1:17" x14ac:dyDescent="0.45">
      <c r="A18" s="20" t="s">
        <v>124</v>
      </c>
      <c r="B18" s="13">
        <f>B24</f>
        <v>42</v>
      </c>
      <c r="C18" s="6">
        <f>IF(B$16=0,0,B18/B$16)</f>
        <v>0.48837209302325579</v>
      </c>
      <c r="E18" s="29" t="s">
        <v>79</v>
      </c>
      <c r="F18" s="26" t="s">
        <v>34</v>
      </c>
      <c r="G18" s="14">
        <v>3</v>
      </c>
      <c r="H18" s="92">
        <f>IF(B$19=0,0,G18/B$19)</f>
        <v>1.8181818181818181E-2</v>
      </c>
      <c r="I18" s="60">
        <v>5</v>
      </c>
      <c r="K18" s="7">
        <v>16</v>
      </c>
      <c r="L18" s="65">
        <v>273.8</v>
      </c>
      <c r="N18" s="78" t="s">
        <v>193</v>
      </c>
      <c r="O18" s="87">
        <f t="shared" si="2"/>
        <v>21.192307692307686</v>
      </c>
      <c r="P18" s="81">
        <v>13</v>
      </c>
      <c r="Q18" s="72">
        <v>275.49999999999994</v>
      </c>
    </row>
    <row r="19" spans="1:17" x14ac:dyDescent="0.45">
      <c r="A19" s="20" t="s">
        <v>10</v>
      </c>
      <c r="B19" s="13">
        <f>B22+B21</f>
        <v>165</v>
      </c>
      <c r="C19" s="6">
        <f>IF(B$3=0,0,B19/B$3)</f>
        <v>0.31368821292775667</v>
      </c>
      <c r="E19" s="29" t="s">
        <v>92</v>
      </c>
      <c r="F19" s="26" t="s">
        <v>47</v>
      </c>
      <c r="G19" s="14">
        <v>3</v>
      </c>
      <c r="H19" s="92">
        <f>IF(B$19=0,0,G19/B$19)</f>
        <v>1.8181818181818181E-2</v>
      </c>
      <c r="I19" s="60">
        <v>2</v>
      </c>
      <c r="K19" s="7">
        <v>17</v>
      </c>
      <c r="L19" s="65">
        <v>242.8</v>
      </c>
      <c r="N19" s="78" t="s">
        <v>192</v>
      </c>
      <c r="O19" s="87">
        <f t="shared" si="2"/>
        <v>18.844000000000008</v>
      </c>
      <c r="P19" s="81">
        <v>25</v>
      </c>
      <c r="Q19" s="72">
        <v>471.10000000000019</v>
      </c>
    </row>
    <row r="20" spans="1:17" x14ac:dyDescent="0.45">
      <c r="A20" s="21" t="s">
        <v>13</v>
      </c>
      <c r="B20" s="14">
        <v>73</v>
      </c>
      <c r="C20" s="8">
        <f>IF(B$3=0,0,B20/B$3)</f>
        <v>0.13878326996197718</v>
      </c>
      <c r="E20" s="29" t="s">
        <v>91</v>
      </c>
      <c r="F20" s="26" t="s">
        <v>46</v>
      </c>
      <c r="G20" s="14">
        <v>2</v>
      </c>
      <c r="H20" s="92">
        <f>IF(B$19=0,0,G20/B$19)</f>
        <v>1.2121212121212121E-2</v>
      </c>
      <c r="I20" s="60">
        <v>5</v>
      </c>
      <c r="K20" s="7">
        <v>18</v>
      </c>
      <c r="L20" s="65">
        <v>280</v>
      </c>
      <c r="N20" s="78" t="s">
        <v>164</v>
      </c>
      <c r="O20" s="87">
        <f t="shared" si="2"/>
        <v>5.4051282051282028</v>
      </c>
      <c r="P20" s="81">
        <v>39</v>
      </c>
      <c r="Q20" s="72">
        <v>210.7999999999999</v>
      </c>
    </row>
    <row r="21" spans="1:17" x14ac:dyDescent="0.45">
      <c r="A21" s="21" t="s">
        <v>12</v>
      </c>
      <c r="B21" s="14">
        <v>87</v>
      </c>
      <c r="C21" s="8">
        <f>IF(B$19=0,0,B21/B$19)</f>
        <v>0.52727272727272723</v>
      </c>
      <c r="E21" s="29" t="s">
        <v>93</v>
      </c>
      <c r="F21" s="26" t="s">
        <v>48</v>
      </c>
      <c r="G21" s="14">
        <v>2</v>
      </c>
      <c r="H21" s="92">
        <f>IF(B$19=0,0,G21/B$19)</f>
        <v>1.2121212121212121E-2</v>
      </c>
      <c r="I21" s="60">
        <v>1</v>
      </c>
      <c r="K21" s="7">
        <v>19</v>
      </c>
      <c r="L21" s="65">
        <v>281.5</v>
      </c>
      <c r="N21" s="78" t="s">
        <v>213</v>
      </c>
      <c r="O21" s="87">
        <f t="shared" si="2"/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78</v>
      </c>
      <c r="C22" s="8">
        <f>IF(B$19=0,0,B22/B$19)</f>
        <v>0.47272727272727272</v>
      </c>
      <c r="E22" s="29" t="s">
        <v>73</v>
      </c>
      <c r="F22" s="26" t="s">
        <v>28</v>
      </c>
      <c r="G22" s="14">
        <v>1</v>
      </c>
      <c r="H22" s="92">
        <f>IF(B$19=0,0,G22/B$19)</f>
        <v>6.0606060606060606E-3</v>
      </c>
      <c r="I22" s="60">
        <v>2</v>
      </c>
      <c r="K22" s="7">
        <v>20</v>
      </c>
      <c r="L22" s="65">
        <v>287.2</v>
      </c>
      <c r="N22" s="78" t="s">
        <v>205</v>
      </c>
      <c r="O22" s="87">
        <f t="shared" si="2"/>
        <v>3.5695652173913039</v>
      </c>
      <c r="P22" s="81">
        <v>23</v>
      </c>
      <c r="Q22" s="72">
        <v>82.1</v>
      </c>
    </row>
    <row r="23" spans="1:17" x14ac:dyDescent="0.45">
      <c r="A23" s="21" t="s">
        <v>184</v>
      </c>
      <c r="B23" s="14">
        <v>82</v>
      </c>
      <c r="C23" s="8">
        <f>IF(B$19=0,0,B23/B$19)</f>
        <v>0.49696969696969695</v>
      </c>
      <c r="E23" s="29" t="s">
        <v>77</v>
      </c>
      <c r="F23" s="26" t="s">
        <v>32</v>
      </c>
      <c r="G23" s="14">
        <v>1</v>
      </c>
      <c r="H23" s="92">
        <f>IF(B$19=0,0,G23/B$19)</f>
        <v>6.0606060606060606E-3</v>
      </c>
      <c r="I23" s="60">
        <v>3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42</v>
      </c>
      <c r="C24" s="8">
        <f>IF(B$19=0,0,B24/B$19)</f>
        <v>0.25454545454545452</v>
      </c>
      <c r="E24" s="29" t="s">
        <v>84</v>
      </c>
      <c r="F24" s="26" t="s">
        <v>39</v>
      </c>
      <c r="G24" s="14">
        <v>1</v>
      </c>
      <c r="H24" s="92">
        <f>IF(B$19=0,0,G24/B$19)</f>
        <v>6.0606060606060606E-3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41</v>
      </c>
      <c r="C25" s="8">
        <f>IF(B$19=0,0,B25/B$19)</f>
        <v>0.24848484848484848</v>
      </c>
      <c r="E25" s="29" t="s">
        <v>87</v>
      </c>
      <c r="F25" s="26" t="s">
        <v>42</v>
      </c>
      <c r="G25" s="14">
        <v>1</v>
      </c>
      <c r="H25" s="92">
        <f>IF(B$19=0,0,G25/B$19)</f>
        <v>6.0606060606060606E-3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9735.757575757576</v>
      </c>
      <c r="C26" s="10">
        <v>1606400</v>
      </c>
      <c r="E26" s="29" t="s">
        <v>95</v>
      </c>
      <c r="F26" s="26" t="s">
        <v>50</v>
      </c>
      <c r="G26" s="14">
        <v>1</v>
      </c>
      <c r="H26" s="92">
        <f>IF(B$19=0,0,G26/B$19)</f>
        <v>6.0606060606060606E-3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10208.943089430893</v>
      </c>
      <c r="C27" s="100">
        <v>1255700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8350</v>
      </c>
      <c r="C28" s="100">
        <v>350700</v>
      </c>
      <c r="E28" s="29" t="s">
        <v>75</v>
      </c>
      <c r="F28" s="26" t="s">
        <v>30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-8457.534246575342</v>
      </c>
      <c r="C29" s="100">
        <v>-617400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6.0606060606060608E-2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3"/>
        <v>0.1393939393939394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30</v>
      </c>
      <c r="C38" s="8">
        <f t="shared" si="3"/>
        <v>0.18181818181818182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31</v>
      </c>
      <c r="C39" s="8">
        <f t="shared" si="3"/>
        <v>0.18787878787878787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28</v>
      </c>
      <c r="C40" s="8">
        <f t="shared" si="3"/>
        <v>0.16969696969696971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15</v>
      </c>
      <c r="C41" s="8">
        <f t="shared" si="3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9</v>
      </c>
      <c r="C42" s="8">
        <f t="shared" si="3"/>
        <v>5.4545454545454543E-2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5</v>
      </c>
      <c r="C43" s="8">
        <f t="shared" si="3"/>
        <v>3.0303030303030304E-2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3"/>
        <v>2.4242424242424242E-2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3"/>
        <v>1.8181818181818181E-2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3"/>
        <v>6.0606060606060606E-3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3"/>
        <v>3.6363636363636362E-2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</sheetData>
  <sortState xmlns:xlrd2="http://schemas.microsoft.com/office/spreadsheetml/2017/richdata2" ref="E2:I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31</v>
      </c>
      <c r="C2" s="132"/>
      <c r="E2" s="28" t="s">
        <v>66</v>
      </c>
      <c r="F2" s="25" t="s">
        <v>22</v>
      </c>
      <c r="G2" s="13">
        <v>50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-3853.3333333333335</v>
      </c>
      <c r="P2" s="80">
        <v>30</v>
      </c>
      <c r="Q2" s="67">
        <v>-115600</v>
      </c>
    </row>
    <row r="3" spans="1:17" x14ac:dyDescent="0.45">
      <c r="A3" s="21" t="s">
        <v>8</v>
      </c>
      <c r="B3" s="133">
        <v>236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0.58461538461538465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1280</v>
      </c>
      <c r="P3" s="81">
        <v>30</v>
      </c>
      <c r="Q3" s="68">
        <v>38400</v>
      </c>
    </row>
    <row r="4" spans="1:17" x14ac:dyDescent="0.45">
      <c r="A4" s="21" t="s">
        <v>6</v>
      </c>
      <c r="B4" s="135">
        <v>-285.89999999999992</v>
      </c>
      <c r="C4" s="136"/>
      <c r="E4" s="29" t="s">
        <v>160</v>
      </c>
      <c r="F4" s="26" t="s">
        <v>161</v>
      </c>
      <c r="G4" s="14">
        <v>31</v>
      </c>
      <c r="H4" s="92">
        <f>IF(B$19=0,0,G4/B$19)</f>
        <v>0.47692307692307695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-2770.3703703703704</v>
      </c>
      <c r="P4" s="81">
        <v>27</v>
      </c>
      <c r="Q4" s="68">
        <v>-74800</v>
      </c>
    </row>
    <row r="5" spans="1:17" x14ac:dyDescent="0.45">
      <c r="A5" s="21" t="s">
        <v>7</v>
      </c>
      <c r="B5" s="123">
        <f>IF(B$2=0,0,B$4/B$2)</f>
        <v>-9.2225806451612886</v>
      </c>
      <c r="C5" s="124"/>
      <c r="E5" s="29" t="s">
        <v>64</v>
      </c>
      <c r="F5" s="26" t="s">
        <v>20</v>
      </c>
      <c r="G5" s="14">
        <v>26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-939.13043478260875</v>
      </c>
      <c r="P5" s="81">
        <v>23</v>
      </c>
      <c r="Q5" s="68">
        <v>-21600</v>
      </c>
    </row>
    <row r="6" spans="1:17" x14ac:dyDescent="0.45">
      <c r="A6" s="21" t="s">
        <v>1</v>
      </c>
      <c r="B6" s="137">
        <f>IF(B$2=0,0,(B$7*1+B$8*2+B$9*3)/B$2)</f>
        <v>2.3225806451612905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0.24615384615384617</v>
      </c>
      <c r="I6" s="60">
        <v>8</v>
      </c>
      <c r="K6" s="7">
        <v>4</v>
      </c>
      <c r="L6" s="65">
        <v>-115.5</v>
      </c>
      <c r="N6" s="78" t="s">
        <v>132</v>
      </c>
      <c r="O6" s="84">
        <f t="shared" si="0"/>
        <v>1294.7368421052631</v>
      </c>
      <c r="P6" s="81">
        <v>19</v>
      </c>
      <c r="Q6" s="68">
        <v>24600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0.19354838709677419</v>
      </c>
      <c r="E7" s="29" t="s">
        <v>67</v>
      </c>
      <c r="F7" s="26" t="s">
        <v>23</v>
      </c>
      <c r="G7" s="14">
        <v>10</v>
      </c>
      <c r="H7" s="92">
        <f>IF(B$19=0,0,G7/B$19)</f>
        <v>0.15384615384615385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-4016.6666666666665</v>
      </c>
      <c r="P7" s="82">
        <v>12</v>
      </c>
      <c r="Q7" s="69">
        <v>-48200</v>
      </c>
    </row>
    <row r="8" spans="1:17" x14ac:dyDescent="0.45">
      <c r="A8" s="21" t="s">
        <v>3</v>
      </c>
      <c r="B8" s="14">
        <v>9</v>
      </c>
      <c r="C8" s="8">
        <f t="shared" si="1"/>
        <v>0.29032258064516131</v>
      </c>
      <c r="E8" s="29" t="s">
        <v>89</v>
      </c>
      <c r="F8" s="26" t="s">
        <v>44</v>
      </c>
      <c r="G8" s="14">
        <v>9</v>
      </c>
      <c r="H8" s="92">
        <f>IF(B$19=0,0,G8/B$19)</f>
        <v>0.13846153846153847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0.5161290322580645</v>
      </c>
      <c r="E9" s="29" t="s">
        <v>69</v>
      </c>
      <c r="F9" s="26" t="s">
        <v>24</v>
      </c>
      <c r="G9" s="14">
        <v>8</v>
      </c>
      <c r="H9" s="92">
        <f>IF(B$19=0,0,G9/B$19)</f>
        <v>0.12307692307692308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0.1076923076923077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-28.77</v>
      </c>
      <c r="P10" s="80">
        <v>10</v>
      </c>
      <c r="Q10" s="71">
        <v>-287.7</v>
      </c>
    </row>
    <row r="11" spans="1:17" x14ac:dyDescent="0.45">
      <c r="A11" s="22" t="s">
        <v>186</v>
      </c>
      <c r="B11" s="113">
        <f>IF(B8=0,0,C11/B8)</f>
        <v>-3.5111111111111111</v>
      </c>
      <c r="C11" s="114">
        <v>-31.6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9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-34.200000000000003</v>
      </c>
      <c r="C12" s="114">
        <v>-547.20000000000005</v>
      </c>
      <c r="E12" s="29" t="s">
        <v>71</v>
      </c>
      <c r="F12" s="26" t="s">
        <v>26</v>
      </c>
      <c r="G12" s="14">
        <v>4</v>
      </c>
      <c r="H12" s="92">
        <f>IF(B$19=0,0,G12/B$19)</f>
        <v>6.1538461538461542E-2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3.7018518518518491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4.6153846153846156E-2</v>
      </c>
      <c r="I13" s="60">
        <v>6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0.19354838709677419</v>
      </c>
      <c r="E14" s="29" t="s">
        <v>78</v>
      </c>
      <c r="F14" s="26" t="s">
        <v>33</v>
      </c>
      <c r="G14" s="14">
        <v>2</v>
      </c>
      <c r="H14" s="92">
        <f>IF(B$19=0,0,G14/B$19)</f>
        <v>3.0769230769230771E-2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50</v>
      </c>
      <c r="C15" s="12">
        <f>IF(B$3=0,0,B15/B$3)</f>
        <v>0.21186440677966101</v>
      </c>
      <c r="E15" s="29" t="s">
        <v>81</v>
      </c>
      <c r="F15" s="26" t="s">
        <v>36</v>
      </c>
      <c r="G15" s="14">
        <v>1</v>
      </c>
      <c r="H15" s="92">
        <f>IF(B$19=0,0,G15/B$19)</f>
        <v>1.5384615384615385E-2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29.537500000000005</v>
      </c>
      <c r="P15" s="80">
        <v>8</v>
      </c>
      <c r="Q15" s="71">
        <v>236.30000000000004</v>
      </c>
    </row>
    <row r="16" spans="1:17" x14ac:dyDescent="0.45">
      <c r="A16" s="21" t="s">
        <v>118</v>
      </c>
      <c r="B16" s="14">
        <v>38</v>
      </c>
      <c r="C16" s="8">
        <f>IF(B$3=0,0,B16/B$3)</f>
        <v>0.16101694915254236</v>
      </c>
      <c r="E16" s="29" t="s">
        <v>87</v>
      </c>
      <c r="F16" s="26" t="s">
        <v>42</v>
      </c>
      <c r="G16" s="14">
        <v>1</v>
      </c>
      <c r="H16" s="92">
        <f>IF(B$19=0,0,G16/B$19)</f>
        <v>1.5384615384615385E-2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-4.1272727272727261</v>
      </c>
      <c r="P16" s="81">
        <v>11</v>
      </c>
      <c r="Q16" s="72">
        <v>-45.399999999999991</v>
      </c>
    </row>
    <row r="17" spans="1:17" x14ac:dyDescent="0.45">
      <c r="A17" s="20" t="s">
        <v>123</v>
      </c>
      <c r="B17" s="13">
        <f>B23</f>
        <v>24</v>
      </c>
      <c r="C17" s="6">
        <f>IF(B$15=0,0,B17/B$15)</f>
        <v>0.48</v>
      </c>
      <c r="E17" s="29" t="s">
        <v>91</v>
      </c>
      <c r="F17" s="26" t="s">
        <v>46</v>
      </c>
      <c r="G17" s="14">
        <v>1</v>
      </c>
      <c r="H17" s="92">
        <f>IF(B$19=0,0,G17/B$19)</f>
        <v>1.5384615384615385E-2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0.60526315789473684</v>
      </c>
      <c r="E18" s="29" t="s">
        <v>92</v>
      </c>
      <c r="F18" s="26" t="s">
        <v>47</v>
      </c>
      <c r="G18" s="14">
        <v>1</v>
      </c>
      <c r="H18" s="92">
        <f>IF(B$19=0,0,G18/B$19)</f>
        <v>1.5384615384615385E-2</v>
      </c>
      <c r="I18" s="60">
        <v>3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65</v>
      </c>
      <c r="C19" s="6">
        <f>IF(B$3=0,0,B19/B$3)</f>
        <v>0.27542372881355931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-25.135294117647064</v>
      </c>
      <c r="P19" s="81">
        <v>17</v>
      </c>
      <c r="Q19" s="72">
        <v>-427.30000000000007</v>
      </c>
    </row>
    <row r="20" spans="1:17" x14ac:dyDescent="0.45">
      <c r="A20" s="21" t="s">
        <v>13</v>
      </c>
      <c r="B20" s="14">
        <v>40</v>
      </c>
      <c r="C20" s="8">
        <f>IF(B$3=0,0,B20/B$3)</f>
        <v>0.16949152542372881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28</v>
      </c>
      <c r="C21" s="8">
        <f>IF(B$19=0,0,B21/B$19)</f>
        <v>0.43076923076923079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37</v>
      </c>
      <c r="C22" s="8">
        <f>IF(B$19=0,0,B22/B$19)</f>
        <v>0.56923076923076921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24</v>
      </c>
      <c r="C23" s="8">
        <f>IF(B$19=0,0,B23/B$19)</f>
        <v>0.36923076923076925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5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23</v>
      </c>
      <c r="C24" s="8">
        <f>IF(B$19=0,0,B24/B$19)</f>
        <v>0.35384615384615387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18</v>
      </c>
      <c r="C25" s="8">
        <f>IF(B$19=0,0,B25/B$19)</f>
        <v>0.27692307692307694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7644.6153846153848</v>
      </c>
      <c r="C26" s="10">
        <v>496900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8888.0952380952385</v>
      </c>
      <c r="C27" s="100">
        <v>373300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5373.913043478261</v>
      </c>
      <c r="C28" s="100">
        <v>123600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-7342.5</v>
      </c>
      <c r="C29" s="100">
        <v>-293700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4.2372881355932203E-3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5">
      <c r="A37" s="21" t="s">
        <v>168</v>
      </c>
      <c r="B37" s="14">
        <v>13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5">
      <c r="A38" s="21" t="s">
        <v>169</v>
      </c>
      <c r="B38" s="122">
        <v>14</v>
      </c>
      <c r="C38" s="8">
        <f t="shared" si="3"/>
        <v>0.2153846153846154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9</v>
      </c>
      <c r="C39" s="8">
        <f t="shared" si="3"/>
        <v>0.13846153846153847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3"/>
        <v>9.2307692307692313E-2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3</v>
      </c>
      <c r="C42" s="8">
        <f t="shared" si="3"/>
        <v>4.6153846153846156E-2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1.5384615384615385E-2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1.5384615384615385E-2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45</v>
      </c>
      <c r="C2" s="132"/>
      <c r="E2" s="28" t="s">
        <v>72</v>
      </c>
      <c r="F2" s="25" t="s">
        <v>27</v>
      </c>
      <c r="G2" s="13">
        <v>67</v>
      </c>
      <c r="H2" s="91">
        <f>IF(B$19=0,0,G2/B$19)</f>
        <v>0.6633663366336634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602.27272727272725</v>
      </c>
      <c r="P2" s="80">
        <v>44</v>
      </c>
      <c r="Q2" s="67">
        <v>26500</v>
      </c>
    </row>
    <row r="3" spans="1:17" x14ac:dyDescent="0.45">
      <c r="A3" s="21" t="s">
        <v>8</v>
      </c>
      <c r="B3" s="133">
        <v>360</v>
      </c>
      <c r="C3" s="134"/>
      <c r="E3" s="29" t="s">
        <v>66</v>
      </c>
      <c r="F3" s="26" t="s">
        <v>22</v>
      </c>
      <c r="G3" s="14">
        <v>59</v>
      </c>
      <c r="H3" s="92">
        <f>IF(B$19=0,0,G3/B$19)</f>
        <v>0.58415841584158412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-406.81818181818181</v>
      </c>
      <c r="P3" s="81">
        <v>44</v>
      </c>
      <c r="Q3" s="68">
        <v>-17900</v>
      </c>
    </row>
    <row r="4" spans="1:17" x14ac:dyDescent="0.45">
      <c r="A4" s="21" t="s">
        <v>6</v>
      </c>
      <c r="B4" s="135">
        <v>-60.89999999999997</v>
      </c>
      <c r="C4" s="136"/>
      <c r="E4" s="29" t="s">
        <v>64</v>
      </c>
      <c r="F4" s="26" t="s">
        <v>20</v>
      </c>
      <c r="G4" s="14">
        <v>46</v>
      </c>
      <c r="H4" s="92">
        <f>IF(B$19=0,0,G4/B$19)</f>
        <v>0.45544554455445546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-1200</v>
      </c>
      <c r="P4" s="81">
        <v>44</v>
      </c>
      <c r="Q4" s="68">
        <v>-52800</v>
      </c>
    </row>
    <row r="5" spans="1:17" x14ac:dyDescent="0.45">
      <c r="A5" s="21" t="s">
        <v>7</v>
      </c>
      <c r="B5" s="123">
        <f>IF(B$2=0,0,B$4/B$2)</f>
        <v>-1.3533333333333326</v>
      </c>
      <c r="C5" s="124"/>
      <c r="E5" s="29" t="s">
        <v>160</v>
      </c>
      <c r="F5" s="26" t="s">
        <v>161</v>
      </c>
      <c r="G5" s="14">
        <v>40</v>
      </c>
      <c r="H5" s="92">
        <f>IF(B$19=0,0,G5/B$19)</f>
        <v>0.39603960396039606</v>
      </c>
      <c r="I5" s="60">
        <v>9</v>
      </c>
      <c r="K5" s="7">
        <v>3</v>
      </c>
      <c r="L5" s="65">
        <v>-48.5</v>
      </c>
      <c r="N5" s="78" t="s">
        <v>131</v>
      </c>
      <c r="O5" s="84">
        <f t="shared" si="0"/>
        <v>960.97560975609758</v>
      </c>
      <c r="P5" s="81">
        <v>41</v>
      </c>
      <c r="Q5" s="68">
        <v>39400</v>
      </c>
    </row>
    <row r="6" spans="1:17" x14ac:dyDescent="0.45">
      <c r="A6" s="21" t="s">
        <v>1</v>
      </c>
      <c r="B6" s="137">
        <f>IF(B$2=0,0,(B$7*1+B$8*2+B$9*3)/B$2)</f>
        <v>1.9777777777777779</v>
      </c>
      <c r="C6" s="138"/>
      <c r="E6" s="29" t="s">
        <v>67</v>
      </c>
      <c r="F6" s="26" t="s">
        <v>23</v>
      </c>
      <c r="G6" s="14">
        <v>27</v>
      </c>
      <c r="H6" s="92">
        <f>IF(B$19=0,0,G6/B$19)</f>
        <v>0.26732673267326734</v>
      </c>
      <c r="I6" s="60">
        <v>4</v>
      </c>
      <c r="K6" s="7">
        <v>4</v>
      </c>
      <c r="L6" s="65">
        <v>-75.599999999999994</v>
      </c>
      <c r="N6" s="78" t="s">
        <v>132</v>
      </c>
      <c r="O6" s="84">
        <f t="shared" si="0"/>
        <v>-1591.4285714285713</v>
      </c>
      <c r="P6" s="81">
        <v>35</v>
      </c>
      <c r="Q6" s="68">
        <v>-55700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0.31111111111111112</v>
      </c>
      <c r="E7" s="29" t="s">
        <v>68</v>
      </c>
      <c r="F7" s="26" t="s">
        <v>12</v>
      </c>
      <c r="G7" s="14">
        <v>25</v>
      </c>
      <c r="H7" s="92">
        <f>IF(B$19=0,0,G7/B$19)</f>
        <v>0.24752475247524752</v>
      </c>
      <c r="I7" s="60">
        <v>7</v>
      </c>
      <c r="K7" s="7">
        <v>5</v>
      </c>
      <c r="L7" s="65">
        <v>-96.5</v>
      </c>
      <c r="N7" s="79" t="s">
        <v>133</v>
      </c>
      <c r="O7" s="85">
        <f t="shared" si="0"/>
        <v>532</v>
      </c>
      <c r="P7" s="82">
        <v>25</v>
      </c>
      <c r="Q7" s="69">
        <v>13300</v>
      </c>
    </row>
    <row r="8" spans="1:17" x14ac:dyDescent="0.45">
      <c r="A8" s="21" t="s">
        <v>3</v>
      </c>
      <c r="B8" s="14">
        <v>18</v>
      </c>
      <c r="C8" s="8">
        <f t="shared" si="1"/>
        <v>0.4</v>
      </c>
      <c r="E8" s="29" t="s">
        <v>89</v>
      </c>
      <c r="F8" s="26" t="s">
        <v>44</v>
      </c>
      <c r="G8" s="14">
        <v>14</v>
      </c>
      <c r="H8" s="92">
        <f>IF(B$19=0,0,G8/B$19)</f>
        <v>0.13861386138613863</v>
      </c>
      <c r="I8" s="60">
        <v>5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0.28888888888888886</v>
      </c>
      <c r="E9" s="29" t="s">
        <v>69</v>
      </c>
      <c r="F9" s="26" t="s">
        <v>24</v>
      </c>
      <c r="G9" s="14">
        <v>10</v>
      </c>
      <c r="H9" s="92">
        <f>IF(B$19=0,0,G9/B$19)</f>
        <v>9.9009900990099015E-2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36.542857142857137</v>
      </c>
      <c r="C10" s="114">
        <v>511.59999999999997</v>
      </c>
      <c r="E10" s="29" t="s">
        <v>65</v>
      </c>
      <c r="F10" s="26" t="s">
        <v>21</v>
      </c>
      <c r="G10" s="14">
        <v>8</v>
      </c>
      <c r="H10" s="92">
        <f>IF(B$19=0,0,G10/B$19)</f>
        <v>7.9207920792079209E-2</v>
      </c>
      <c r="I10" s="60">
        <v>8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8</v>
      </c>
      <c r="H11" s="92">
        <f>IF(B$19=0,0,G11/B$19)</f>
        <v>7.9207920792079209E-2</v>
      </c>
      <c r="I11" s="60">
        <v>3</v>
      </c>
      <c r="K11" s="7">
        <v>9</v>
      </c>
      <c r="L11" s="65">
        <v>-20.3</v>
      </c>
      <c r="N11" s="78" t="s">
        <v>153</v>
      </c>
      <c r="O11" s="87">
        <f>IF(P11=0,0,Q11/P11)</f>
        <v>-2.1529411764705881</v>
      </c>
      <c r="P11" s="81">
        <v>17</v>
      </c>
      <c r="Q11" s="72">
        <v>-36.6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6.9306930693069313E-2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-2.0056573056573064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4.9504950495049507E-2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8.8888888888888892E-2</v>
      </c>
      <c r="E14" s="29" t="s">
        <v>79</v>
      </c>
      <c r="F14" s="26" t="s">
        <v>34</v>
      </c>
      <c r="G14" s="14">
        <v>5</v>
      </c>
      <c r="H14" s="92">
        <f>IF(B$19=0,0,G14/B$19)</f>
        <v>4.9504950495049507E-2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90</v>
      </c>
      <c r="C15" s="12">
        <f>IF(B$3=0,0,B15/B$3)</f>
        <v>0.25</v>
      </c>
      <c r="E15" s="29" t="s">
        <v>78</v>
      </c>
      <c r="F15" s="26" t="s">
        <v>33</v>
      </c>
      <c r="G15" s="14">
        <v>4</v>
      </c>
      <c r="H15" s="92">
        <f>IF(B$19=0,0,G15/B$19)</f>
        <v>3.9603960396039604E-2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89</v>
      </c>
      <c r="C16" s="8">
        <f>IF(B$3=0,0,B16/B$3)</f>
        <v>0.24722222222222223</v>
      </c>
      <c r="E16" s="29" t="s">
        <v>91</v>
      </c>
      <c r="F16" s="26" t="s">
        <v>46</v>
      </c>
      <c r="G16" s="14">
        <v>3</v>
      </c>
      <c r="H16" s="92">
        <f>IF(B$19=0,0,G16/B$19)</f>
        <v>2.9702970297029702E-2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0.53333333333333333</v>
      </c>
      <c r="E17" s="29" t="s">
        <v>81</v>
      </c>
      <c r="F17" s="26" t="s">
        <v>36</v>
      </c>
      <c r="G17" s="14">
        <v>2</v>
      </c>
      <c r="H17" s="92">
        <f>IF(B$19=0,0,G17/B$19)</f>
        <v>1.9801980198019802E-2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0.3707865168539326</v>
      </c>
      <c r="E18" s="29" t="s">
        <v>86</v>
      </c>
      <c r="F18" s="26" t="s">
        <v>41</v>
      </c>
      <c r="G18" s="14">
        <v>2</v>
      </c>
      <c r="H18" s="92">
        <f>IF(B$19=0,0,G18/B$19)</f>
        <v>1.9801980198019802E-2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101</v>
      </c>
      <c r="C19" s="6">
        <f>IF(B$3=0,0,B19/B$3)</f>
        <v>0.28055555555555556</v>
      </c>
      <c r="E19" s="29" t="s">
        <v>85</v>
      </c>
      <c r="F19" s="26" t="s">
        <v>40</v>
      </c>
      <c r="G19" s="14">
        <v>1</v>
      </c>
      <c r="H19" s="92">
        <f>IF(B$19=0,0,G19/B$19)</f>
        <v>9.9009900990099011E-3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-3.0166666666666648</v>
      </c>
      <c r="P19" s="81">
        <v>18</v>
      </c>
      <c r="Q19" s="72">
        <v>-54.299999999999969</v>
      </c>
    </row>
    <row r="20" spans="1:17" x14ac:dyDescent="0.45">
      <c r="A20" s="21" t="s">
        <v>13</v>
      </c>
      <c r="B20" s="14">
        <v>40</v>
      </c>
      <c r="C20" s="8">
        <f>IF(B$3=0,0,B20/B$3)</f>
        <v>0.1111111111111111</v>
      </c>
      <c r="E20" s="29" t="s">
        <v>92</v>
      </c>
      <c r="F20" s="26" t="s">
        <v>47</v>
      </c>
      <c r="G20" s="14">
        <v>1</v>
      </c>
      <c r="H20" s="92">
        <f>IF(B$19=0,0,G20/B$19)</f>
        <v>9.9009900990099011E-3</v>
      </c>
      <c r="I20" s="60">
        <v>6</v>
      </c>
      <c r="K20" s="7">
        <v>18</v>
      </c>
      <c r="L20" s="65">
        <v>-201.89999999999998</v>
      </c>
      <c r="N20" s="78" t="s">
        <v>126</v>
      </c>
      <c r="O20" s="87">
        <f t="shared" si="2"/>
        <v>-18.844000000000008</v>
      </c>
      <c r="P20" s="81">
        <v>25</v>
      </c>
      <c r="Q20" s="72">
        <v>-471.10000000000019</v>
      </c>
    </row>
    <row r="21" spans="1:17" x14ac:dyDescent="0.45">
      <c r="A21" s="21" t="s">
        <v>12</v>
      </c>
      <c r="B21" s="14">
        <v>42</v>
      </c>
      <c r="C21" s="8">
        <f>IF(B$19=0,0,B21/B$19)</f>
        <v>0.41584158415841582</v>
      </c>
      <c r="E21" s="29" t="s">
        <v>156</v>
      </c>
      <c r="F21" s="26" t="s">
        <v>157</v>
      </c>
      <c r="G21" s="14">
        <v>1</v>
      </c>
      <c r="H21" s="92">
        <f>IF(B$19=0,0,G21/B$19)</f>
        <v>9.9009900990099011E-3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 t="shared" si="2"/>
        <v>-19.342857142857145</v>
      </c>
      <c r="P21" s="81">
        <v>7</v>
      </c>
      <c r="Q21" s="72">
        <v>-135.4</v>
      </c>
    </row>
    <row r="22" spans="1:17" x14ac:dyDescent="0.45">
      <c r="A22" s="21" t="s">
        <v>11</v>
      </c>
      <c r="B22" s="14">
        <v>59</v>
      </c>
      <c r="C22" s="8">
        <f>IF(B$19=0,0,B22/B$19)</f>
        <v>0.58415841584158412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48</v>
      </c>
      <c r="C23" s="8">
        <f>IF(B$19=0,0,B23/B$19)</f>
        <v>0.47524752475247523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33</v>
      </c>
      <c r="C24" s="8">
        <f>IF(B$19=0,0,B24/B$19)</f>
        <v>0.32673267326732675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20</v>
      </c>
      <c r="C25" s="8">
        <f>IF(B$19=0,0,B25/B$19)</f>
        <v>0.19801980198019803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7611.8811881188121</v>
      </c>
      <c r="C26" s="10">
        <v>768800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5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7847.0588235294117</v>
      </c>
      <c r="C27" s="100">
        <v>533600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7127.272727272727</v>
      </c>
      <c r="C28" s="100">
        <v>235200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0.10891089108910891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17</v>
      </c>
      <c r="C37" s="8">
        <f t="shared" si="3"/>
        <v>0.16831683168316833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28</v>
      </c>
      <c r="C38" s="8">
        <f t="shared" si="3"/>
        <v>0.27722772277227725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15</v>
      </c>
      <c r="C39" s="8">
        <f t="shared" si="3"/>
        <v>0.14851485148514851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9</v>
      </c>
      <c r="C40" s="8">
        <f t="shared" si="3"/>
        <v>8.9108910891089105E-2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3.9603960396039604E-2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7.9207920792079209E-2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2.9702970297029702E-2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1.9801980198019802E-2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1.9801980198019802E-2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9.9009900990099011E-3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1</v>
      </c>
      <c r="C48" s="11">
        <f t="shared" si="3"/>
        <v>9.9009900990099011E-3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0.70491803278688525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-1011.1111111111111</v>
      </c>
      <c r="P2" s="80">
        <v>27</v>
      </c>
      <c r="Q2" s="67">
        <v>-27300</v>
      </c>
    </row>
    <row r="3" spans="1:17" x14ac:dyDescent="0.45">
      <c r="A3" s="21" t="s">
        <v>8</v>
      </c>
      <c r="B3" s="133">
        <v>197</v>
      </c>
      <c r="C3" s="134"/>
      <c r="E3" s="29" t="s">
        <v>66</v>
      </c>
      <c r="F3" s="26" t="s">
        <v>22</v>
      </c>
      <c r="G3" s="14">
        <v>41</v>
      </c>
      <c r="H3" s="92">
        <f>IF(B$19=0,0,G3/B$19)</f>
        <v>0.67213114754098358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-1676.9230769230769</v>
      </c>
      <c r="P3" s="81">
        <v>26</v>
      </c>
      <c r="Q3" s="68">
        <v>-43600</v>
      </c>
    </row>
    <row r="4" spans="1:17" x14ac:dyDescent="0.45">
      <c r="A4" s="21" t="s">
        <v>6</v>
      </c>
      <c r="B4" s="135">
        <v>85.3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0.27868852459016391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2821.7391304347825</v>
      </c>
      <c r="P4" s="81">
        <v>23</v>
      </c>
      <c r="Q4" s="68">
        <v>64900</v>
      </c>
    </row>
    <row r="5" spans="1:17" x14ac:dyDescent="0.45">
      <c r="A5" s="21" t="s">
        <v>7</v>
      </c>
      <c r="B5" s="123">
        <f>IF(B$2=0,0,B$4/B$2)</f>
        <v>3.159259259259259</v>
      </c>
      <c r="C5" s="124"/>
      <c r="E5" s="29" t="s">
        <v>160</v>
      </c>
      <c r="F5" s="26" t="s">
        <v>161</v>
      </c>
      <c r="G5" s="14">
        <v>16</v>
      </c>
      <c r="H5" s="92">
        <f>IF(B$19=0,0,G5/B$19)</f>
        <v>0.26229508196721313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-1210</v>
      </c>
      <c r="P5" s="81">
        <v>20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1.962962962962963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0.24590163934426229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4386.666666666667</v>
      </c>
      <c r="P6" s="81">
        <v>15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0.37037037037037035</v>
      </c>
      <c r="E7" s="29" t="s">
        <v>67</v>
      </c>
      <c r="F7" s="26" t="s">
        <v>23</v>
      </c>
      <c r="G7" s="14">
        <v>12</v>
      </c>
      <c r="H7" s="92">
        <f>IF(B$19=0,0,G7/B$19)</f>
        <v>0.19672131147540983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-858.33333333333337</v>
      </c>
      <c r="P7" s="82">
        <v>12</v>
      </c>
      <c r="Q7" s="69">
        <v>-10300</v>
      </c>
    </row>
    <row r="8" spans="1:17" x14ac:dyDescent="0.45">
      <c r="A8" s="21" t="s">
        <v>3</v>
      </c>
      <c r="B8" s="14">
        <v>8</v>
      </c>
      <c r="C8" s="8">
        <f t="shared" si="1"/>
        <v>0.29629629629629628</v>
      </c>
      <c r="E8" s="29" t="s">
        <v>69</v>
      </c>
      <c r="F8" s="26" t="s">
        <v>24</v>
      </c>
      <c r="G8" s="14">
        <v>10</v>
      </c>
      <c r="H8" s="92">
        <f>IF(B$19=0,0,G8/B$19)</f>
        <v>0.16393442622950818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0.33333333333333331</v>
      </c>
      <c r="E9" s="29" t="s">
        <v>83</v>
      </c>
      <c r="F9" s="26" t="s">
        <v>38</v>
      </c>
      <c r="G9" s="14">
        <v>9</v>
      </c>
      <c r="H9" s="92">
        <f>IF(B$19=0,0,G9/B$19)</f>
        <v>0.14754098360655737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9.8360655737704916E-2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1.4999999999999996</v>
      </c>
      <c r="C11" s="114">
        <v>11.999999999999996</v>
      </c>
      <c r="E11" s="29" t="s">
        <v>65</v>
      </c>
      <c r="F11" s="26" t="s">
        <v>21</v>
      </c>
      <c r="G11" s="14">
        <v>5</v>
      </c>
      <c r="H11" s="92">
        <f>IF(B$19=0,0,G11/B$19)</f>
        <v>8.1967213114754092E-2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6.5573770491803282E-2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10.754545454545454</v>
      </c>
      <c r="P12" s="82">
        <v>11</v>
      </c>
      <c r="Q12" s="73">
        <v>118.3</v>
      </c>
    </row>
    <row r="13" spans="1:17" x14ac:dyDescent="0.45">
      <c r="A13" s="22" t="s">
        <v>188</v>
      </c>
      <c r="B13" s="123">
        <f>AVERAGE(B10:B12)</f>
        <v>1.6174074074074081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4.9180327868852458E-2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0.22222222222222221</v>
      </c>
      <c r="E14" s="29" t="s">
        <v>78</v>
      </c>
      <c r="F14" s="26" t="s">
        <v>33</v>
      </c>
      <c r="G14" s="14">
        <v>3</v>
      </c>
      <c r="H14" s="92">
        <f>IF(B$19=0,0,G14/B$19)</f>
        <v>4.9180327868852458E-2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0.13705583756345177</v>
      </c>
      <c r="E15" s="29" t="s">
        <v>71</v>
      </c>
      <c r="F15" s="26" t="s">
        <v>26</v>
      </c>
      <c r="G15" s="14">
        <v>2</v>
      </c>
      <c r="H15" s="92">
        <f>IF(B$19=0,0,G15/B$19)</f>
        <v>3.2786885245901641E-2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64</v>
      </c>
      <c r="C16" s="8">
        <f>IF(B$3=0,0,B16/B$3)</f>
        <v>0.32487309644670048</v>
      </c>
      <c r="E16" s="29" t="s">
        <v>85</v>
      </c>
      <c r="F16" s="26" t="s">
        <v>40</v>
      </c>
      <c r="G16" s="14">
        <v>2</v>
      </c>
      <c r="H16" s="92">
        <f>IF(B$19=0,0,G16/B$19)</f>
        <v>3.2786885245901641E-2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31.537499999999998</v>
      </c>
      <c r="P16" s="81">
        <v>8</v>
      </c>
      <c r="Q16" s="72">
        <v>252.29999999999998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1.6393442622950821E-2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0.40625</v>
      </c>
      <c r="E18" s="29" t="s">
        <v>88</v>
      </c>
      <c r="F18" s="26" t="s">
        <v>43</v>
      </c>
      <c r="G18" s="14">
        <v>1</v>
      </c>
      <c r="H18" s="92">
        <f>IF(B$19=0,0,G18/B$19)</f>
        <v>1.6393442622950821E-2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61</v>
      </c>
      <c r="C19" s="6">
        <f>IF(B$3=0,0,B19/B$3)</f>
        <v>0.30964467005076141</v>
      </c>
      <c r="E19" s="29" t="s">
        <v>102</v>
      </c>
      <c r="F19" s="26" t="s">
        <v>57</v>
      </c>
      <c r="G19" s="14">
        <v>1</v>
      </c>
      <c r="H19" s="92">
        <f>IF(B$19=0,0,G19/B$19)</f>
        <v>1.6393442622950821E-2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28</v>
      </c>
      <c r="C20" s="8">
        <f>IF(B$3=0,0,B20/B$3)</f>
        <v>0.14213197969543148</v>
      </c>
      <c r="E20" s="29" t="s">
        <v>156</v>
      </c>
      <c r="F20" s="26" t="s">
        <v>157</v>
      </c>
      <c r="G20" s="14">
        <v>1</v>
      </c>
      <c r="H20" s="92">
        <f>IF(B$19=0,0,G20/B$19)</f>
        <v>1.6393442622950821E-2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-21.192307692307686</v>
      </c>
      <c r="P20" s="81">
        <v>13</v>
      </c>
      <c r="Q20" s="72">
        <v>-275.49999999999994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0.45901639344262296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33</v>
      </c>
      <c r="C22" s="8">
        <f>IF(B$19=0,0,B22/B$19)</f>
        <v>0.54098360655737709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0.27868852459016391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0.42622950819672129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18</v>
      </c>
      <c r="C25" s="8">
        <f>IF(B$19=0,0,B25/B$19)</f>
        <v>0.29508196721311475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8236.065573770491</v>
      </c>
      <c r="C26" s="10">
        <v>502400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8945.7142857142862</v>
      </c>
      <c r="C27" s="100">
        <v>313100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-7385.7142857142853</v>
      </c>
      <c r="C29" s="100">
        <v>-206800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9.8360655737704916E-2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0.21311475409836064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13</v>
      </c>
      <c r="C38" s="8">
        <f t="shared" si="3"/>
        <v>0.21311475409836064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0.14754098360655737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0.18032786885245902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4.9180327868852458E-2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4.9180327868852458E-2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1.6393442622950821E-2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1.6393442622950821E-2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1.6393442622950821E-2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</v>
      </c>
      <c r="C2" s="132"/>
      <c r="E2" s="28" t="s">
        <v>66</v>
      </c>
      <c r="F2" s="25" t="s">
        <v>22</v>
      </c>
      <c r="G2" s="13">
        <v>62</v>
      </c>
      <c r="H2" s="91">
        <f>IF(B$19=0,0,G2/B$19)</f>
        <v>0.91176470588235292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1896.1538461538462</v>
      </c>
      <c r="P2" s="80">
        <v>26</v>
      </c>
      <c r="Q2" s="67">
        <v>49300</v>
      </c>
    </row>
    <row r="3" spans="1:17" x14ac:dyDescent="0.45">
      <c r="A3" s="21" t="s">
        <v>8</v>
      </c>
      <c r="B3" s="133">
        <v>215</v>
      </c>
      <c r="C3" s="134"/>
      <c r="E3" s="29" t="s">
        <v>72</v>
      </c>
      <c r="F3" s="26" t="s">
        <v>27</v>
      </c>
      <c r="G3" s="14">
        <v>41</v>
      </c>
      <c r="H3" s="92">
        <f>IF(B$19=0,0,G3/B$19)</f>
        <v>0.6029411764705882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-4638.4615384615381</v>
      </c>
      <c r="P3" s="81">
        <v>26</v>
      </c>
      <c r="Q3" s="68">
        <v>-120600</v>
      </c>
    </row>
    <row r="4" spans="1:17" x14ac:dyDescent="0.45">
      <c r="A4" s="21" t="s">
        <v>6</v>
      </c>
      <c r="B4" s="135">
        <v>-62.70000000000001</v>
      </c>
      <c r="C4" s="136"/>
      <c r="E4" s="29" t="s">
        <v>160</v>
      </c>
      <c r="F4" s="26" t="s">
        <v>161</v>
      </c>
      <c r="G4" s="14">
        <v>27</v>
      </c>
      <c r="H4" s="92">
        <f>IF(B$19=0,0,G4/B$19)</f>
        <v>0.39705882352941174</v>
      </c>
      <c r="I4" s="60">
        <v>8</v>
      </c>
      <c r="K4" s="7">
        <v>2</v>
      </c>
      <c r="L4" s="65">
        <v>41.2</v>
      </c>
      <c r="N4" s="78" t="s">
        <v>130</v>
      </c>
      <c r="O4" s="84">
        <f t="shared" si="0"/>
        <v>-1764</v>
      </c>
      <c r="P4" s="81">
        <v>25</v>
      </c>
      <c r="Q4" s="68">
        <v>-44100</v>
      </c>
    </row>
    <row r="5" spans="1:17" x14ac:dyDescent="0.45">
      <c r="A5" s="21" t="s">
        <v>7</v>
      </c>
      <c r="B5" s="123">
        <f>IF(B$2=0,0,B$4/B$2)</f>
        <v>-2.3222222222222224</v>
      </c>
      <c r="C5" s="124"/>
      <c r="E5" s="29" t="s">
        <v>64</v>
      </c>
      <c r="F5" s="26" t="s">
        <v>20</v>
      </c>
      <c r="G5" s="14">
        <v>22</v>
      </c>
      <c r="H5" s="92">
        <f>IF(B$19=0,0,G5/B$19)</f>
        <v>0.3235294117647059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427.27272727272725</v>
      </c>
      <c r="P5" s="81">
        <v>22</v>
      </c>
      <c r="Q5" s="68">
        <v>9400</v>
      </c>
    </row>
    <row r="6" spans="1:17" x14ac:dyDescent="0.45">
      <c r="A6" s="21" t="s">
        <v>1</v>
      </c>
      <c r="B6" s="137">
        <f>IF(B$2=0,0,(B$7*1+B$8*2+B$9*3)/B$2)</f>
        <v>2.0370370370370372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0.22058823529411764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625</v>
      </c>
      <c r="P6" s="81">
        <v>20</v>
      </c>
      <c r="Q6" s="68">
        <v>12500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0.33333333333333331</v>
      </c>
      <c r="E7" s="29" t="s">
        <v>89</v>
      </c>
      <c r="F7" s="26" t="s">
        <v>44</v>
      </c>
      <c r="G7" s="14">
        <v>14</v>
      </c>
      <c r="H7" s="92">
        <f>IF(B$19=0,0,G7/B$19)</f>
        <v>0.20588235294117646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-1938.4615384615386</v>
      </c>
      <c r="P7" s="82">
        <v>13</v>
      </c>
      <c r="Q7" s="69">
        <v>-25200</v>
      </c>
    </row>
    <row r="8" spans="1:17" x14ac:dyDescent="0.45">
      <c r="A8" s="21" t="s">
        <v>3</v>
      </c>
      <c r="B8" s="14">
        <v>8</v>
      </c>
      <c r="C8" s="8">
        <f t="shared" si="1"/>
        <v>0.29629629629629628</v>
      </c>
      <c r="E8" s="29" t="s">
        <v>67</v>
      </c>
      <c r="F8" s="26" t="s">
        <v>23</v>
      </c>
      <c r="G8" s="14">
        <v>12</v>
      </c>
      <c r="H8" s="92">
        <f>IF(B$19=0,0,G8/B$19)</f>
        <v>0.17647058823529413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0.37037037037037035</v>
      </c>
      <c r="E9" s="29" t="s">
        <v>69</v>
      </c>
      <c r="F9" s="26" t="s">
        <v>24</v>
      </c>
      <c r="G9" s="14">
        <v>12</v>
      </c>
      <c r="H9" s="92">
        <f>IF(B$19=0,0,G9/B$19)</f>
        <v>0.17647058823529413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8</v>
      </c>
      <c r="H10" s="92">
        <f>IF(B$19=0,0,G10/B$19)</f>
        <v>0.11764705882352941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-1.8888888888888888</v>
      </c>
      <c r="P10" s="80">
        <v>9</v>
      </c>
      <c r="Q10" s="71">
        <v>-17</v>
      </c>
    </row>
    <row r="11" spans="1:17" x14ac:dyDescent="0.45">
      <c r="A11" s="22" t="s">
        <v>186</v>
      </c>
      <c r="B11" s="113">
        <f>IF(B8=0,0,C11/B8)</f>
        <v>-2.4249999999999998</v>
      </c>
      <c r="C11" s="114">
        <v>-19.399999999999999</v>
      </c>
      <c r="E11" s="29" t="s">
        <v>65</v>
      </c>
      <c r="F11" s="26" t="s">
        <v>21</v>
      </c>
      <c r="G11" s="14">
        <v>5</v>
      </c>
      <c r="H11" s="92">
        <f>IF(B$19=0,0,G11/B$19)</f>
        <v>7.3529411764705885E-2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4.8499999999999996</v>
      </c>
      <c r="P11" s="81">
        <v>6</v>
      </c>
      <c r="Q11" s="72">
        <v>29.099999999999998</v>
      </c>
    </row>
    <row r="12" spans="1:17" x14ac:dyDescent="0.45">
      <c r="A12" s="22" t="s">
        <v>187</v>
      </c>
      <c r="B12" s="113">
        <f>IF(B9=0,0,C12/B9)</f>
        <v>-37.21</v>
      </c>
      <c r="C12" s="114">
        <v>-372.1</v>
      </c>
      <c r="E12" s="29" t="s">
        <v>83</v>
      </c>
      <c r="F12" s="26" t="s">
        <v>38</v>
      </c>
      <c r="G12" s="14">
        <v>5</v>
      </c>
      <c r="H12" s="92">
        <f>IF(B$19=0,0,G12/B$19)</f>
        <v>7.3529411764705885E-2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-6.2333333333333343</v>
      </c>
      <c r="P12" s="82">
        <v>12</v>
      </c>
      <c r="Q12" s="73">
        <v>-74.800000000000011</v>
      </c>
    </row>
    <row r="13" spans="1:17" x14ac:dyDescent="0.45">
      <c r="A13" s="22" t="s">
        <v>188</v>
      </c>
      <c r="B13" s="123">
        <f>AVERAGE(B10:B12)</f>
        <v>-1.0338888888888889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5.8823529411764705E-2</v>
      </c>
      <c r="I13" s="60">
        <v>7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0.14814814814814814</v>
      </c>
      <c r="E14" s="29" t="s">
        <v>86</v>
      </c>
      <c r="F14" s="26" t="s">
        <v>41</v>
      </c>
      <c r="G14" s="14">
        <v>4</v>
      </c>
      <c r="H14" s="92">
        <f>IF(B$19=0,0,G14/B$19)</f>
        <v>5.8823529411764705E-2</v>
      </c>
      <c r="I14" s="60">
        <v>4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36</v>
      </c>
      <c r="C15" s="12">
        <f>IF(B$3=0,0,B15/B$3)</f>
        <v>0.16744186046511628</v>
      </c>
      <c r="E15" s="29" t="s">
        <v>78</v>
      </c>
      <c r="F15" s="26" t="s">
        <v>33</v>
      </c>
      <c r="G15" s="14">
        <v>3</v>
      </c>
      <c r="H15" s="92">
        <f>IF(B$19=0,0,G15/B$19)</f>
        <v>4.4117647058823532E-2</v>
      </c>
      <c r="I15" s="60">
        <v>2</v>
      </c>
      <c r="K15" s="7">
        <v>13</v>
      </c>
      <c r="L15" s="65">
        <v>-63.4</v>
      </c>
      <c r="N15" s="77" t="s">
        <v>194</v>
      </c>
      <c r="O15" s="86">
        <f>IF(P15=0,0,Q15/P15)</f>
        <v>4.127272727272727</v>
      </c>
      <c r="P15" s="80">
        <v>11</v>
      </c>
      <c r="Q15" s="71">
        <v>45.4</v>
      </c>
    </row>
    <row r="16" spans="1:17" x14ac:dyDescent="0.45">
      <c r="A16" s="21" t="s">
        <v>118</v>
      </c>
      <c r="B16" s="14">
        <v>65</v>
      </c>
      <c r="C16" s="8">
        <f>IF(B$3=0,0,B16/B$3)</f>
        <v>0.30232558139534882</v>
      </c>
      <c r="E16" s="29" t="s">
        <v>81</v>
      </c>
      <c r="F16" s="26" t="s">
        <v>36</v>
      </c>
      <c r="G16" s="14">
        <v>1</v>
      </c>
      <c r="H16" s="92">
        <f>IF(B$19=0,0,G16/B$19)</f>
        <v>1.4705882352941176E-2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22</v>
      </c>
      <c r="C17" s="6">
        <f>IF(B$15=0,0,B17/B$15)</f>
        <v>0.61111111111111116</v>
      </c>
      <c r="E17" s="29" t="s">
        <v>92</v>
      </c>
      <c r="F17" s="26" t="s">
        <v>47</v>
      </c>
      <c r="G17" s="14">
        <v>1</v>
      </c>
      <c r="H17" s="92">
        <f>IF(B$19=0,0,G17/B$19)</f>
        <v>1.4705882352941176E-2</v>
      </c>
      <c r="I17" s="60">
        <v>4</v>
      </c>
      <c r="K17" s="7">
        <v>15</v>
      </c>
      <c r="L17" s="65">
        <v>-65.7</v>
      </c>
      <c r="N17" s="78" t="s">
        <v>126</v>
      </c>
      <c r="O17" s="87">
        <f>IF(P17=0,0,Q17/P17)</f>
        <v>-3.5695652173913066</v>
      </c>
      <c r="P17" s="81">
        <v>23</v>
      </c>
      <c r="Q17" s="72">
        <v>-82.100000000000051</v>
      </c>
    </row>
    <row r="18" spans="1:17" x14ac:dyDescent="0.45">
      <c r="A18" s="20" t="s">
        <v>124</v>
      </c>
      <c r="B18" s="13">
        <f>B24</f>
        <v>19</v>
      </c>
      <c r="C18" s="6">
        <f>IF(B$16=0,0,B18/B$16)</f>
        <v>0.29230769230769232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-8.127272727272727</v>
      </c>
      <c r="P18" s="81">
        <v>11</v>
      </c>
      <c r="Q18" s="72">
        <v>-89.4</v>
      </c>
    </row>
    <row r="19" spans="1:17" x14ac:dyDescent="0.45">
      <c r="A19" s="20" t="s">
        <v>10</v>
      </c>
      <c r="B19" s="13">
        <f>B22+B21</f>
        <v>68</v>
      </c>
      <c r="C19" s="6">
        <f>IF(B$3=0,0,B19/B$3)</f>
        <v>0.31627906976744186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40</v>
      </c>
      <c r="C20" s="8">
        <f>IF(B$3=0,0,B20/B$3)</f>
        <v>0.18604651162790697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27</v>
      </c>
      <c r="C21" s="8">
        <f>IF(B$19=0,0,B21/B$19)</f>
        <v>0.39705882352941174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41</v>
      </c>
      <c r="C22" s="8">
        <f>IF(B$19=0,0,B22/B$19)</f>
        <v>0.6029411764705882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5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22</v>
      </c>
      <c r="C23" s="8">
        <f>IF(B$19=0,0,B23/B$19)</f>
        <v>0.3235294117647059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19</v>
      </c>
      <c r="C24" s="8">
        <f>IF(B$19=0,0,B24/B$19)</f>
        <v>0.27941176470588236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27</v>
      </c>
      <c r="C25" s="8">
        <f>IF(B$19=0,0,B25/B$19)</f>
        <v>0.39705882352941174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8617.6470588235297</v>
      </c>
      <c r="C26" s="10">
        <v>586000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8555.1020408163258</v>
      </c>
      <c r="C27" s="100">
        <v>419200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8778.9473684210534</v>
      </c>
      <c r="C28" s="100">
        <v>166800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-9007.5</v>
      </c>
      <c r="C29" s="100">
        <v>-360300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9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7.3529411764705885E-2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18</v>
      </c>
      <c r="C37" s="8">
        <f t="shared" si="2"/>
        <v>0.26470588235294118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2"/>
        <v>0.11764705882352941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15</v>
      </c>
      <c r="C39" s="8">
        <f t="shared" si="2"/>
        <v>0.22058823529411764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7</v>
      </c>
      <c r="C40" s="8">
        <f t="shared" si="2"/>
        <v>0.10294117647058823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7.3529411764705885E-2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4.4117647058823532E-2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1.4705882352941176E-2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1.4705882352941176E-2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2.9411764705882353E-2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1.4705882352941176E-2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5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3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5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2.08</v>
      </c>
      <c r="E53" s="33">
        <v>0.36</v>
      </c>
      <c r="F53" s="33">
        <v>0.44</v>
      </c>
      <c r="G53" s="33">
        <v>0.27182044887780549</v>
      </c>
      <c r="H53" s="33">
        <v>0.19201995012468828</v>
      </c>
      <c r="I53" s="34">
        <v>10150.458715596331</v>
      </c>
      <c r="J53" s="34">
        <v>-8203.8961038961043</v>
      </c>
      <c r="K53" s="33">
        <v>0.18</v>
      </c>
      <c r="L53" s="33">
        <v>0.29675810473815462</v>
      </c>
      <c r="M53" s="33">
        <v>0.19451371571072318</v>
      </c>
      <c r="N53" s="33">
        <v>0.45378151260504201</v>
      </c>
      <c r="O53" s="33">
        <v>0.38461538461538464</v>
      </c>
      <c r="P53" s="33">
        <v>0.43119266055045874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9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2020-06-27T11:14:57Z</dcterms:modified>
</cp:coreProperties>
</file>