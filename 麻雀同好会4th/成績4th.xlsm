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25375F1D-0CF0-49A7-801A-4D6647EF52AF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8" i="6176"/>
  <c r="O17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6" i="6190"/>
  <c r="O16" i="6178"/>
  <c r="O20" i="6186"/>
  <c r="O19" i="6190" l="1"/>
  <c r="O15" i="6178"/>
  <c r="O18" i="6190"/>
  <c r="O15" i="6176"/>
  <c r="O15" i="6184" l="1"/>
  <c r="O18" i="6178"/>
  <c r="O18" i="6180"/>
  <c r="O19" i="6184"/>
  <c r="O16" i="6174"/>
  <c r="O17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0" i="6190"/>
  <c r="H26" i="6190"/>
  <c r="C24" i="6190"/>
  <c r="H31" i="6190"/>
  <c r="H18" i="6190"/>
  <c r="H42" i="6190"/>
  <c r="H33" i="6190"/>
  <c r="H3" i="6190"/>
  <c r="H25" i="6190"/>
  <c r="C42" i="6190"/>
  <c r="H9" i="6190"/>
  <c r="C19" i="6190"/>
  <c r="C25" i="6190"/>
  <c r="H36" i="6190"/>
  <c r="H22" i="6190"/>
  <c r="C36" i="6190"/>
  <c r="H48" i="6190"/>
  <c r="C46" i="6190"/>
  <c r="H12" i="6190"/>
  <c r="H27" i="6190"/>
  <c r="H47" i="6190"/>
  <c r="H16" i="6190"/>
  <c r="H23" i="6190"/>
  <c r="C48" i="6190"/>
  <c r="H2" i="6190"/>
  <c r="H43" i="6190"/>
  <c r="H29" i="6190"/>
  <c r="H37" i="6190"/>
  <c r="H14" i="6190"/>
  <c r="H38" i="6190"/>
  <c r="H6" i="6190"/>
  <c r="H17" i="6190"/>
  <c r="H20" i="6190"/>
  <c r="C21" i="6190"/>
  <c r="H30" i="6190"/>
  <c r="H41" i="6190"/>
  <c r="H49" i="6190"/>
  <c r="C38" i="6190"/>
  <c r="H44" i="6190"/>
  <c r="H11" i="6190"/>
  <c r="H13" i="6190"/>
  <c r="B26" i="6190"/>
  <c r="H34" i="6190"/>
  <c r="H39" i="6190"/>
  <c r="C44" i="6190"/>
  <c r="H51" i="6190"/>
  <c r="H15" i="6190"/>
  <c r="H4" i="6190"/>
  <c r="H8" i="6190"/>
  <c r="H19" i="6190"/>
  <c r="H21" i="6190"/>
  <c r="C22" i="6190"/>
  <c r="B27" i="6190"/>
  <c r="H40" i="6190"/>
  <c r="H45" i="6190"/>
  <c r="H5" i="6190"/>
  <c r="C23" i="6190"/>
  <c r="H7" i="6190"/>
  <c r="H35" i="6190"/>
  <c r="C40" i="6190"/>
  <c r="H46" i="6190"/>
  <c r="H52" i="6190"/>
  <c r="C39" i="6190"/>
  <c r="C43" i="6190"/>
  <c r="C47" i="6190"/>
  <c r="H24" i="6190"/>
  <c r="H28" i="6190"/>
  <c r="H32" i="6190"/>
  <c r="C37" i="6190"/>
  <c r="C41" i="6190"/>
  <c r="C45" i="6190"/>
  <c r="O17" i="6180" l="1"/>
  <c r="O19" i="6186"/>
  <c r="O21" i="6176"/>
  <c r="O16" i="6186"/>
  <c r="O15" i="6180" l="1"/>
  <c r="O20" i="6182"/>
  <c r="O22" i="6176"/>
  <c r="O17" i="6176"/>
  <c r="O15" i="6182"/>
  <c r="O18" i="6184"/>
  <c r="O16" i="6188" l="1"/>
  <c r="O19" i="6188"/>
  <c r="O21" i="6184"/>
  <c r="O20" i="6184"/>
  <c r="O16" i="6180"/>
  <c r="O19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8" i="6186"/>
  <c r="O15" i="6186"/>
  <c r="C34" i="6186"/>
  <c r="B29" i="6186"/>
  <c r="C20" i="6186"/>
  <c r="B19" i="6186"/>
  <c r="H7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6" i="6184"/>
  <c r="O17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5" i="6174"/>
  <c r="O19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18" i="6174"/>
  <c r="O20" i="6180"/>
  <c r="O21" i="6180"/>
  <c r="C34" i="6180"/>
  <c r="B29" i="6180"/>
  <c r="C20" i="6180"/>
  <c r="B19" i="6180"/>
  <c r="H15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9" i="6178"/>
  <c r="O17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20" i="6174"/>
  <c r="O20" i="6176"/>
  <c r="O16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9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5" i="6182"/>
  <c r="H52" i="6182"/>
  <c r="H22" i="6182"/>
  <c r="C21" i="6182"/>
  <c r="H3" i="6182"/>
  <c r="H35" i="6182"/>
  <c r="H4" i="6182"/>
  <c r="H8" i="6182"/>
  <c r="H24" i="6182"/>
  <c r="C22" i="6182"/>
  <c r="H40" i="6182"/>
  <c r="H17" i="6182"/>
  <c r="H34" i="6182"/>
  <c r="C25" i="6182"/>
  <c r="C40" i="6182"/>
  <c r="H27" i="6182"/>
  <c r="H7" i="6182"/>
  <c r="H21" i="6182"/>
  <c r="H41" i="6182"/>
  <c r="H44" i="6182"/>
  <c r="C44" i="6182"/>
  <c r="H2" i="6182"/>
  <c r="H18" i="6182"/>
  <c r="H23" i="6182"/>
  <c r="B26" i="6182"/>
  <c r="H36" i="6182"/>
  <c r="H45" i="6182"/>
  <c r="H13" i="6182"/>
  <c r="H10" i="6182"/>
  <c r="H39" i="6182"/>
  <c r="C46" i="6182"/>
  <c r="H19" i="6182"/>
  <c r="H15" i="6182"/>
  <c r="H9" i="6182"/>
  <c r="H6" i="6182"/>
  <c r="H11" i="6182"/>
  <c r="H20" i="6182"/>
  <c r="H26" i="6182"/>
  <c r="C39" i="6182"/>
  <c r="H47" i="6182"/>
  <c r="H29" i="6182"/>
  <c r="H31" i="6182"/>
  <c r="C36" i="6182"/>
  <c r="C42" i="6182"/>
  <c r="C47" i="6182"/>
  <c r="H12" i="6182"/>
  <c r="C19" i="6182"/>
  <c r="C24" i="6182"/>
  <c r="H37" i="6182"/>
  <c r="H43" i="6182"/>
  <c r="H48" i="6182"/>
  <c r="H14" i="6182"/>
  <c r="H16" i="6182"/>
  <c r="C38" i="6182"/>
  <c r="C43" i="6182"/>
  <c r="C48" i="6182"/>
  <c r="H27" i="6176"/>
  <c r="H33" i="6176"/>
  <c r="H43" i="6176"/>
  <c r="H23" i="6176"/>
  <c r="H12" i="6176"/>
  <c r="C47" i="6176"/>
  <c r="H48" i="6176"/>
  <c r="H21" i="6176"/>
  <c r="H37" i="6176"/>
  <c r="H7" i="6176"/>
  <c r="C22" i="6176"/>
  <c r="C36" i="6176"/>
  <c r="H26" i="6176"/>
  <c r="H18" i="6176"/>
  <c r="H10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4" i="6178"/>
  <c r="H8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3" i="6178"/>
  <c r="H22" i="6178"/>
  <c r="H10" i="6178"/>
  <c r="H17" i="6178"/>
  <c r="B26" i="6178"/>
  <c r="H35" i="6178"/>
  <c r="H45" i="6178"/>
  <c r="H16" i="6178"/>
  <c r="H19" i="6178"/>
  <c r="H20" i="6178"/>
  <c r="H23" i="6178"/>
  <c r="H7" i="6178"/>
  <c r="C36" i="6178"/>
  <c r="C46" i="6178"/>
  <c r="H11" i="6178"/>
  <c r="H31" i="6178"/>
  <c r="H2" i="6178"/>
  <c r="H27" i="6178"/>
  <c r="H9" i="6178"/>
  <c r="H15" i="6178"/>
  <c r="H18" i="6178"/>
  <c r="C21" i="6178"/>
  <c r="H39" i="6178"/>
  <c r="H47" i="6178"/>
  <c r="H29" i="6180"/>
  <c r="H3" i="6188"/>
  <c r="H40" i="6188"/>
  <c r="H17" i="6184"/>
  <c r="H7" i="6184"/>
  <c r="H12" i="6184"/>
  <c r="H25" i="6184"/>
  <c r="H34" i="6184"/>
  <c r="H21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1" i="6186"/>
  <c r="H34" i="6186"/>
  <c r="H22" i="6186"/>
  <c r="H37" i="6186"/>
  <c r="H9" i="6186"/>
  <c r="H19" i="6186"/>
  <c r="H8" i="6186"/>
  <c r="C40" i="6186"/>
  <c r="H17" i="6186"/>
  <c r="C23" i="6186"/>
  <c r="H42" i="6186"/>
  <c r="H6" i="6186"/>
  <c r="H18" i="6186"/>
  <c r="H23" i="6186"/>
  <c r="H28" i="6186"/>
  <c r="C22" i="6186"/>
  <c r="B27" i="6186"/>
  <c r="H24" i="6186"/>
  <c r="H31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7" i="6186"/>
  <c r="H36" i="6186"/>
  <c r="C43" i="6186"/>
  <c r="C44" i="6186"/>
  <c r="H5" i="6186"/>
  <c r="B26" i="6186"/>
  <c r="H46" i="6186"/>
  <c r="H10" i="6186"/>
  <c r="H15" i="6186"/>
  <c r="H20" i="6186"/>
  <c r="C36" i="6186"/>
  <c r="H25" i="6186"/>
  <c r="H30" i="6186"/>
  <c r="H39" i="6186"/>
  <c r="H47" i="6186"/>
  <c r="H12" i="6186"/>
  <c r="H2" i="6186"/>
  <c r="H3" i="6186"/>
  <c r="H16" i="6186"/>
  <c r="C21" i="6186"/>
  <c r="C39" i="6186"/>
  <c r="C47" i="6186"/>
  <c r="C18" i="6186"/>
  <c r="H38" i="6186"/>
  <c r="H43" i="6186"/>
  <c r="H48" i="6186"/>
  <c r="C48" i="6186"/>
  <c r="C24" i="6186"/>
  <c r="H32" i="6186"/>
  <c r="H40" i="6186"/>
  <c r="H44" i="6186"/>
  <c r="H49" i="6186"/>
  <c r="H51" i="6186"/>
  <c r="C25" i="6186"/>
  <c r="H41" i="6186"/>
  <c r="H45" i="6186"/>
  <c r="H52" i="6186"/>
  <c r="B28" i="6186"/>
  <c r="H26" i="6186"/>
  <c r="H29" i="6186"/>
  <c r="H33" i="6186"/>
  <c r="C37" i="6186"/>
  <c r="C41" i="6186"/>
  <c r="C45" i="6186"/>
  <c r="H50" i="6186"/>
  <c r="H13" i="6186"/>
  <c r="H14" i="6186"/>
  <c r="H11" i="6186"/>
  <c r="H35" i="6186"/>
  <c r="C38" i="6186"/>
  <c r="C42" i="6186"/>
  <c r="C46" i="6186"/>
  <c r="H32" i="6174"/>
  <c r="H43" i="6184"/>
  <c r="H14" i="6184"/>
  <c r="H35" i="6184"/>
  <c r="C44" i="6184"/>
  <c r="H3" i="6184"/>
  <c r="H11" i="6184"/>
  <c r="H22" i="6184"/>
  <c r="C22" i="6184"/>
  <c r="H46" i="6184"/>
  <c r="H10" i="6184"/>
  <c r="H6" i="6184"/>
  <c r="C23" i="6184"/>
  <c r="C36" i="6184"/>
  <c r="H48" i="6184"/>
  <c r="H38" i="6184"/>
  <c r="H4" i="6184"/>
  <c r="H24" i="6184"/>
  <c r="H30" i="6184"/>
  <c r="H40" i="6184"/>
  <c r="H20" i="6184"/>
  <c r="H2" i="6184"/>
  <c r="C25" i="6184"/>
  <c r="H49" i="6184"/>
  <c r="H26" i="6184"/>
  <c r="H8" i="6184"/>
  <c r="H41" i="6184"/>
  <c r="H5" i="6184"/>
  <c r="H23" i="6184"/>
  <c r="C21" i="6184"/>
  <c r="B26" i="6184"/>
  <c r="C40" i="6184"/>
  <c r="H47" i="6184"/>
  <c r="H52" i="6184"/>
  <c r="H9" i="6184"/>
  <c r="H15" i="6184"/>
  <c r="B27" i="6184"/>
  <c r="H37" i="6184"/>
  <c r="H42" i="6184"/>
  <c r="C46" i="6184"/>
  <c r="H29" i="6184"/>
  <c r="H18" i="6184"/>
  <c r="H39" i="6184"/>
  <c r="H44" i="6184"/>
  <c r="C48" i="6184"/>
  <c r="C19" i="6184"/>
  <c r="C24" i="6184"/>
  <c r="H19" i="6184"/>
  <c r="C38" i="6184"/>
  <c r="H45" i="6184"/>
  <c r="H50" i="6184"/>
  <c r="H13" i="6184"/>
  <c r="H27" i="6184"/>
  <c r="H16" i="6184"/>
  <c r="H32" i="6184"/>
  <c r="H36" i="6184"/>
  <c r="C39" i="6184"/>
  <c r="C43" i="6184"/>
  <c r="C47" i="6184"/>
  <c r="H28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7" i="6180"/>
  <c r="H23" i="6180"/>
  <c r="H20" i="6180"/>
  <c r="H8" i="6180"/>
  <c r="C18" i="6180"/>
  <c r="H24" i="6180"/>
  <c r="C21" i="6180"/>
  <c r="H28" i="6180"/>
  <c r="H36" i="6180"/>
  <c r="H13" i="6180"/>
  <c r="C40" i="6180"/>
  <c r="H3" i="6180"/>
  <c r="H17" i="6180"/>
  <c r="C22" i="6180"/>
  <c r="H42" i="6180"/>
  <c r="H2" i="6180"/>
  <c r="H26" i="6180"/>
  <c r="H5" i="6180"/>
  <c r="C25" i="6180"/>
  <c r="C42" i="6180"/>
  <c r="H46" i="6180"/>
  <c r="H16" i="6180"/>
  <c r="C46" i="6180"/>
  <c r="B26" i="6180"/>
  <c r="H37" i="6180"/>
  <c r="H48" i="6180"/>
  <c r="H7" i="6180"/>
  <c r="H14" i="6180"/>
  <c r="H9" i="6180"/>
  <c r="H40" i="6180"/>
  <c r="H49" i="6180"/>
  <c r="H30" i="6180"/>
  <c r="H41" i="6180"/>
  <c r="C48" i="6180"/>
  <c r="H32" i="6180"/>
  <c r="H34" i="6180"/>
  <c r="C36" i="6180"/>
  <c r="H44" i="6180"/>
  <c r="H50" i="6180"/>
  <c r="H10" i="6180"/>
  <c r="H6" i="6180"/>
  <c r="H12" i="6180"/>
  <c r="H25" i="6180"/>
  <c r="C19" i="6180"/>
  <c r="C24" i="6180"/>
  <c r="H38" i="6180"/>
  <c r="H45" i="6180"/>
  <c r="H4" i="6180"/>
  <c r="H22" i="6180"/>
  <c r="H11" i="6180"/>
  <c r="H18" i="6180"/>
  <c r="C38" i="6180"/>
  <c r="C44" i="6180"/>
  <c r="H52" i="6180"/>
  <c r="C39" i="6180"/>
  <c r="C43" i="6180"/>
  <c r="C47" i="6180"/>
  <c r="H31" i="6180"/>
  <c r="H33" i="6180"/>
  <c r="H19" i="6180"/>
  <c r="C37" i="6180"/>
  <c r="C41" i="6180"/>
  <c r="C45" i="6180"/>
  <c r="H51" i="6180"/>
  <c r="H21" i="6180"/>
  <c r="C23" i="6180"/>
  <c r="B27" i="6180"/>
  <c r="H35" i="6180"/>
  <c r="H39" i="6180"/>
  <c r="H43" i="6180"/>
  <c r="H47" i="6180"/>
  <c r="C18" i="6174"/>
  <c r="H7" i="6174"/>
  <c r="C36" i="6174"/>
  <c r="H28" i="6174"/>
  <c r="H29" i="6174"/>
  <c r="H43" i="6174"/>
  <c r="H31" i="6174"/>
  <c r="H21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1" i="6176"/>
  <c r="H19" i="6176"/>
  <c r="H40" i="6176"/>
  <c r="H45" i="6176"/>
  <c r="H50" i="6176"/>
  <c r="H24" i="6176"/>
  <c r="H17" i="6176"/>
  <c r="H9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4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0" i="6174"/>
  <c r="H15" i="6174"/>
  <c r="H17" i="6174"/>
  <c r="H37" i="6174"/>
  <c r="C44" i="6174"/>
  <c r="H27" i="6174"/>
  <c r="H42" i="6174"/>
  <c r="H46" i="6174"/>
  <c r="H5" i="6174"/>
  <c r="H39" i="6174"/>
  <c r="H23" i="6174"/>
  <c r="H18" i="6174"/>
  <c r="H44" i="6174"/>
  <c r="H41" i="6174"/>
  <c r="H25" i="6174"/>
  <c r="H2" i="6174"/>
  <c r="H3" i="6174"/>
  <c r="H22" i="6174"/>
  <c r="C21" i="6174"/>
  <c r="B26" i="6174"/>
  <c r="C40" i="6174"/>
  <c r="H47" i="6174"/>
  <c r="H52" i="6174"/>
  <c r="H16" i="6174"/>
  <c r="H33" i="6174"/>
  <c r="H14" i="6174"/>
  <c r="H36" i="6174"/>
  <c r="H38" i="6174"/>
  <c r="C39" i="6174"/>
  <c r="C43" i="6174"/>
  <c r="C47" i="6174"/>
  <c r="H34" i="6174"/>
  <c r="H35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<sst xmlns="http://schemas.openxmlformats.org/spreadsheetml/2006/main" count="2645" uniqueCount="217">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</sst>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xVal>
          <c:yVal>
            <c:numRef>
              <c:f>全体!$L$2:$L$182</c:f>
              <c:numCache>
                <c:formatCode>\+0.0;\-0.0;\±0</c:formatCode>
                <c:ptCount val="181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-11.299435028248588</c:v>
                </c:pt>
                <c:pt idx="1">
                  <c:v>-11.494252873563218</c:v>
                </c:pt>
                <c:pt idx="2">
                  <c:v>6.1728395061728394</c:v>
                </c:pt>
                <c:pt idx="3">
                  <c:v>14.492753623188406</c:v>
                </c:pt>
                <c:pt idx="4">
                  <c:v>-48.780487804878049</c:v>
                </c:pt>
                <c:pt idx="5">
                  <c:v>70.707070707070713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30</c:v>
                </c:pt>
                <c:pt idx="1">
                  <c:v>70</c:v>
                </c:pt>
                <c:pt idx="2">
                  <c:v>64</c:v>
                </c:pt>
                <c:pt idx="3">
                  <c:v>70</c:v>
                </c:pt>
                <c:pt idx="4">
                  <c:v>63</c:v>
                </c:pt>
                <c:pt idx="5">
                  <c:v>38</c:v>
                </c:pt>
                <c:pt idx="6">
                  <c:v>26</c:v>
                </c:pt>
                <c:pt idx="7">
                  <c:v>9</c:v>
                </c:pt>
                <c:pt idx="8">
                  <c:v>4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れんたろう!$L$2:$L$37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-3226.4705882352941</c:v>
                </c:pt>
                <c:pt idx="1">
                  <c:v>-400</c:v>
                </c:pt>
                <c:pt idx="2">
                  <c:v>425.80645161290323</c:v>
                </c:pt>
                <c:pt idx="3">
                  <c:v>-1800</c:v>
                </c:pt>
                <c:pt idx="4">
                  <c:v>1648.148148148148</c:v>
                </c:pt>
                <c:pt idx="5">
                  <c:v>4210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4</c:v>
                </c:pt>
                <c:pt idx="3">
                  <c:v>20</c:v>
                </c:pt>
                <c:pt idx="4">
                  <c:v>16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2316.6666666666665</c:v>
                </c:pt>
                <c:pt idx="1">
                  <c:v>142.85714285714286</c:v>
                </c:pt>
                <c:pt idx="2">
                  <c:v>-3385.7142857142858</c:v>
                </c:pt>
                <c:pt idx="3">
                  <c:v>2485.7142857142858</c:v>
                </c:pt>
                <c:pt idx="4">
                  <c:v>1000</c:v>
                </c:pt>
                <c:pt idx="5">
                  <c:v>-6916.666666666667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だいち!$L$2:$L$44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-269.04761904761904</c:v>
                </c:pt>
                <c:pt idx="1">
                  <c:v>5014.6341463414637</c:v>
                </c:pt>
                <c:pt idx="2">
                  <c:v>5336.8421052631575</c:v>
                </c:pt>
                <c:pt idx="3">
                  <c:v>3806.25</c:v>
                </c:pt>
                <c:pt idx="4">
                  <c:v>-1440</c:v>
                </c:pt>
                <c:pt idx="5">
                  <c:v>-483.33333333333331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18</c:v>
                </c:pt>
                <c:pt idx="3">
                  <c:v>20</c:v>
                </c:pt>
                <c:pt idx="4">
                  <c:v>20</c:v>
                </c:pt>
                <c:pt idx="5">
                  <c:v>10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-4875</c:v>
                </c:pt>
                <c:pt idx="1">
                  <c:v>-1060</c:v>
                </c:pt>
                <c:pt idx="2">
                  <c:v>-7700</c:v>
                </c:pt>
                <c:pt idx="3">
                  <c:v>2066.6666666666665</c:v>
                </c:pt>
                <c:pt idx="4">
                  <c:v>400</c:v>
                </c:pt>
                <c:pt idx="5">
                  <c:v>-2850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</c:v>
                </c:pt>
                <c:pt idx="1">
                  <c:v>6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まっつん!$L$2:$L$34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922.58064516129036</c:v>
                </c:pt>
                <c:pt idx="1">
                  <c:v>-1293.5483870967741</c:v>
                </c:pt>
                <c:pt idx="2">
                  <c:v>-1112.9032258064517</c:v>
                </c:pt>
                <c:pt idx="3">
                  <c:v>-900</c:v>
                </c:pt>
                <c:pt idx="4">
                  <c:v>-3160</c:v>
                </c:pt>
                <c:pt idx="5">
                  <c:v>515.78947368421052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8</c:v>
                </c:pt>
                <c:pt idx="1">
                  <c:v>11</c:v>
                </c:pt>
                <c:pt idx="2">
                  <c:v>18</c:v>
                </c:pt>
                <c:pt idx="3">
                  <c:v>10</c:v>
                </c:pt>
                <c:pt idx="4">
                  <c:v>7</c:v>
                </c:pt>
                <c:pt idx="5">
                  <c:v>2</c:v>
                </c:pt>
                <c:pt idx="6">
                  <c:v>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-290</c:v>
                </c:pt>
                <c:pt idx="1">
                  <c:v>-1700</c:v>
                </c:pt>
                <c:pt idx="2">
                  <c:v>2931.25</c:v>
                </c:pt>
                <c:pt idx="3">
                  <c:v>0</c:v>
                </c:pt>
                <c:pt idx="4">
                  <c:v>2522.2222222222222</c:v>
                </c:pt>
                <c:pt idx="5">
                  <c:v>-1337.5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7</c:v>
                </c:pt>
                <c:pt idx="3">
                  <c:v>7</c:v>
                </c:pt>
                <c:pt idx="4">
                  <c:v>9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ただ!$L$2:$L$13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4290.909090909091</c:v>
                </c:pt>
                <c:pt idx="1">
                  <c:v>-9672.7272727272721</c:v>
                </c:pt>
                <c:pt idx="2">
                  <c:v>-2110</c:v>
                </c:pt>
                <c:pt idx="3">
                  <c:v>-4312.5</c:v>
                </c:pt>
                <c:pt idx="4">
                  <c:v>5828.5714285714284</c:v>
                </c:pt>
                <c:pt idx="5">
                  <c:v>-1166.6666666666667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たかの2!$B$3:$B$23</c:f>
              <c:numCache>
                <c:formatCode>\+0.0;\-0.0;\±0</c:formatCode>
                <c:ptCount val="21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たかの2!$C$3:$C$23</c:f>
              <c:numCache>
                <c:formatCode>\+0.0;\-0.0;\±0</c:formatCode>
                <c:ptCount val="21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  <c:pt idx="14">
                  <c:v>6.3857142857142852</c:v>
                </c:pt>
                <c:pt idx="15">
                  <c:v>7.5066666666666659</c:v>
                </c:pt>
                <c:pt idx="16">
                  <c:v>7.4562499999999998</c:v>
                </c:pt>
                <c:pt idx="17">
                  <c:v>4.2176470588235286</c:v>
                </c:pt>
                <c:pt idx="18">
                  <c:v>2.5222222222222217</c:v>
                </c:pt>
                <c:pt idx="19">
                  <c:v>5.2684210526315782</c:v>
                </c:pt>
                <c:pt idx="20">
                  <c:v>2.6399999999999997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947459643111667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たかの2!$D$3:$D$23</c:f>
              <c:numCache>
                <c:formatCode>0.00\ "位"</c:formatCode>
                <c:ptCount val="2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1.8666666666666667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2</c:v>
                </c:pt>
                <c:pt idx="19">
                  <c:v>1.9473684210526316</c:v>
                </c:pt>
                <c:pt idx="2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たかの2!$E$3:$E$23</c:f>
              <c:numCache>
                <c:formatCode>0.0%</c:formatCode>
                <c:ptCount val="2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たかの2!$F$3:$F$23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たかの2!$G$3:$G$23</c:f>
              <c:numCache>
                <c:formatCode>0.0%</c:formatCode>
                <c:ptCount val="21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  <c:pt idx="14">
                  <c:v>0.34375</c:v>
                </c:pt>
                <c:pt idx="15">
                  <c:v>0.34653465346534651</c:v>
                </c:pt>
                <c:pt idx="16">
                  <c:v>0.34862385321100919</c:v>
                </c:pt>
                <c:pt idx="17">
                  <c:v>0.33613445378151263</c:v>
                </c:pt>
                <c:pt idx="18">
                  <c:v>0.32539682539682541</c:v>
                </c:pt>
                <c:pt idx="19">
                  <c:v>0.33333333333333331</c:v>
                </c:pt>
                <c:pt idx="20">
                  <c:v>0.32116788321167883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592592592592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たかの2!$H$3:$H$23</c:f>
              <c:numCache>
                <c:formatCode>0.0%</c:formatCode>
                <c:ptCount val="21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  <c:pt idx="14">
                  <c:v>0.125</c:v>
                </c:pt>
                <c:pt idx="15">
                  <c:v>0.11881188118811881</c:v>
                </c:pt>
                <c:pt idx="16">
                  <c:v>0.11926605504587157</c:v>
                </c:pt>
                <c:pt idx="17">
                  <c:v>0.14285714285714285</c:v>
                </c:pt>
                <c:pt idx="18">
                  <c:v>0.14285714285714285</c:v>
                </c:pt>
                <c:pt idx="19">
                  <c:v>0.13636363636363635</c:v>
                </c:pt>
                <c:pt idx="20">
                  <c:v>0.145985401459854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5555555555555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たかの2!$I$3:$I$23</c:f>
              <c:numCache>
                <c:formatCode>0</c:formatCode>
                <c:ptCount val="21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  <c:pt idx="14">
                  <c:v>8221.2121212121219</c:v>
                </c:pt>
                <c:pt idx="15">
                  <c:v>8305.7142857142862</c:v>
                </c:pt>
                <c:pt idx="16">
                  <c:v>7971.0526315789475</c:v>
                </c:pt>
                <c:pt idx="17">
                  <c:v>7675</c:v>
                </c:pt>
                <c:pt idx="18">
                  <c:v>7682.9268292682927</c:v>
                </c:pt>
                <c:pt idx="19">
                  <c:v>8250</c:v>
                </c:pt>
                <c:pt idx="20">
                  <c:v>8250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196.45569620253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たかの2!$J$3:$J$23</c:f>
              <c:numCache>
                <c:formatCode>0</c:formatCode>
                <c:ptCount val="21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  <c:pt idx="14">
                  <c:v>-8041.666666666667</c:v>
                </c:pt>
                <c:pt idx="15">
                  <c:v>-8041.666666666667</c:v>
                </c:pt>
                <c:pt idx="16">
                  <c:v>-7576.9230769230771</c:v>
                </c:pt>
                <c:pt idx="17">
                  <c:v>-6929.411764705882</c:v>
                </c:pt>
                <c:pt idx="18">
                  <c:v>-7211.1111111111113</c:v>
                </c:pt>
                <c:pt idx="19">
                  <c:v>-7211.1111111111113</c:v>
                </c:pt>
                <c:pt idx="20">
                  <c:v>-7775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85.23809523809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たかの2!$K$3:$K$23</c:f>
              <c:numCache>
                <c:formatCode>0.0%</c:formatCode>
                <c:ptCount val="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88888888888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たかの2!$L$3:$L$23</c:f>
              <c:numCache>
                <c:formatCode>0.0%</c:formatCode>
                <c:ptCount val="21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  <c:pt idx="14">
                  <c:v>0.17708333333333334</c:v>
                </c:pt>
                <c:pt idx="15">
                  <c:v>0.18811881188118812</c:v>
                </c:pt>
                <c:pt idx="16">
                  <c:v>0.1743119266055046</c:v>
                </c:pt>
                <c:pt idx="17">
                  <c:v>0.16806722689075632</c:v>
                </c:pt>
                <c:pt idx="18">
                  <c:v>0.15873015873015872</c:v>
                </c:pt>
                <c:pt idx="19">
                  <c:v>0.15909090909090909</c:v>
                </c:pt>
                <c:pt idx="20">
                  <c:v>0.15328467153284672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8518518518518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たかの2!$M$3:$M$23</c:f>
              <c:numCache>
                <c:formatCode>0.0%</c:formatCode>
                <c:ptCount val="21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  <c:pt idx="14">
                  <c:v>0.36458333333333331</c:v>
                </c:pt>
                <c:pt idx="15">
                  <c:v>0.35643564356435642</c:v>
                </c:pt>
                <c:pt idx="16">
                  <c:v>0.3577981651376147</c:v>
                </c:pt>
                <c:pt idx="17">
                  <c:v>0.33613445378151263</c:v>
                </c:pt>
                <c:pt idx="18">
                  <c:v>0.34126984126984128</c:v>
                </c:pt>
                <c:pt idx="19">
                  <c:v>0.34090909090909088</c:v>
                </c:pt>
                <c:pt idx="20">
                  <c:v>0.33576642335766421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185185185185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たかの2!$N$3:$N$23</c:f>
              <c:numCache>
                <c:formatCode>0.0%</c:formatCode>
                <c:ptCount val="21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  <c:pt idx="14">
                  <c:v>0.6470588235294118</c:v>
                </c:pt>
                <c:pt idx="15">
                  <c:v>0.63157894736842102</c:v>
                </c:pt>
                <c:pt idx="16">
                  <c:v>0.63157894736842102</c:v>
                </c:pt>
                <c:pt idx="17">
                  <c:v>0.6</c:v>
                </c:pt>
                <c:pt idx="18">
                  <c:v>0.6</c:v>
                </c:pt>
                <c:pt idx="19">
                  <c:v>0.61904761904761907</c:v>
                </c:pt>
                <c:pt idx="20">
                  <c:v>0.61904761904761907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3008595988538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たかの2!$O$3:$O$23</c:f>
              <c:numCache>
                <c:formatCode>0.0%</c:formatCode>
                <c:ptCount val="21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  <c:pt idx="14">
                  <c:v>0.4</c:v>
                </c:pt>
                <c:pt idx="15">
                  <c:v>0.41666666666666669</c:v>
                </c:pt>
                <c:pt idx="16">
                  <c:v>0.41025641025641024</c:v>
                </c:pt>
                <c:pt idx="17">
                  <c:v>0.42499999999999999</c:v>
                </c:pt>
                <c:pt idx="18">
                  <c:v>0.41860465116279072</c:v>
                </c:pt>
                <c:pt idx="19">
                  <c:v>0.42222222222222222</c:v>
                </c:pt>
                <c:pt idx="20">
                  <c:v>0.41304347826086957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33212996389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たかの2!$A$3:$A$23</c:f>
              <c:numCache>
                <c:formatCode>0\ "回"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たかの2!$P$3:$P$23</c:f>
              <c:numCache>
                <c:formatCode>0.0%</c:formatCode>
                <c:ptCount val="21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  <c:pt idx="14">
                  <c:v>0.45454545454545453</c:v>
                </c:pt>
                <c:pt idx="15">
                  <c:v>0.48571428571428571</c:v>
                </c:pt>
                <c:pt idx="16">
                  <c:v>0.5</c:v>
                </c:pt>
                <c:pt idx="17">
                  <c:v>0.5</c:v>
                </c:pt>
                <c:pt idx="18">
                  <c:v>0.48780487804878048</c:v>
                </c:pt>
                <c:pt idx="19">
                  <c:v>0.52272727272727271</c:v>
                </c:pt>
                <c:pt idx="20">
                  <c:v>0.52272727272727271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5822784810126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2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180</v>
      </c>
    </row>
    <row r="2" spans="1:2" x14ac:dyDescent="0.45">
      <c r="A2" t="s">
        <v>164</v>
      </c>
      <c r="B2">
        <v>35</v>
      </c>
    </row>
    <row r="3" spans="1:2" x14ac:dyDescent="0.45">
      <c r="A3" t="s">
        <v>189</v>
      </c>
      <c r="B3">
        <v>7</v>
      </c>
    </row>
    <row r="4" spans="1:2" x14ac:dyDescent="0.45">
      <c r="A4" t="s">
        <v>126</v>
      </c>
      <c r="B4">
        <v>42</v>
      </c>
    </row>
    <row r="5" spans="1:2" x14ac:dyDescent="0.45">
      <c r="A5" t="s">
        <v>194</v>
      </c>
      <c r="B5">
        <v>16</v>
      </c>
    </row>
    <row r="6" spans="1:2" x14ac:dyDescent="0.45">
      <c r="A6" t="s">
        <v>192</v>
      </c>
      <c r="B6">
        <v>32</v>
      </c>
    </row>
    <row r="7" spans="1:2" x14ac:dyDescent="0.45">
      <c r="A7" t="s">
        <v>193</v>
      </c>
      <c r="B7">
        <v>20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11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5">
      <c r="A2" s="38" t="s">
        <v>149</v>
      </c>
      <c r="B2" s="141">
        <v>0.67941826865053367</v>
      </c>
      <c r="C2" s="142"/>
      <c r="D2" s="145"/>
      <c r="E2" s="146"/>
      <c r="F2" s="145"/>
      <c r="G2" s="146"/>
      <c r="H2" s="141">
        <v>0.15622844390398102</v>
      </c>
      <c r="I2" s="142"/>
      <c r="J2" s="141">
        <v>0.80372647491925631</v>
      </c>
      <c r="K2" s="142"/>
      <c r="L2" s="141">
        <v>0.71199604579614972</v>
      </c>
      <c r="M2" s="142"/>
      <c r="N2" s="141">
        <v>0.7971975361361554</v>
      </c>
      <c r="O2" s="142"/>
      <c r="P2" s="141">
        <v>0.70953888283652067</v>
      </c>
      <c r="Q2" s="142"/>
      <c r="R2" s="141">
        <v>0.46199280213522226</v>
      </c>
      <c r="S2" s="142"/>
      <c r="T2" s="141">
        <v>0.4132179295553764</v>
      </c>
      <c r="U2" s="142"/>
      <c r="V2" s="141">
        <v>-0.2439948970443083</v>
      </c>
      <c r="W2" s="142"/>
      <c r="X2" s="141">
        <v>0.79191191684060425</v>
      </c>
      <c r="Y2" s="142"/>
      <c r="Z2" s="141">
        <v>-8.2680375652988775E-2</v>
      </c>
      <c r="AA2" s="142"/>
      <c r="AB2" s="141">
        <v>-8.1508319111480737E-2</v>
      </c>
      <c r="AC2" s="142"/>
      <c r="AD2" s="141">
        <v>0.37546917896139909</v>
      </c>
      <c r="AE2" s="142"/>
      <c r="AF2" s="141">
        <v>0.81741546470822835</v>
      </c>
      <c r="AG2" s="142"/>
      <c r="AH2" s="141">
        <v>0.79286247119791287</v>
      </c>
      <c r="AI2" s="142"/>
      <c r="AJ2" s="141">
        <v>0.49291351450731491</v>
      </c>
      <c r="AK2" s="142"/>
    </row>
    <row r="3" spans="1:37" x14ac:dyDescent="0.45">
      <c r="A3" s="40">
        <v>1</v>
      </c>
      <c r="B3" s="43" t="s">
        <v>139</v>
      </c>
      <c r="C3" s="117">
        <v>60</v>
      </c>
      <c r="D3" s="41" t="s">
        <v>126</v>
      </c>
      <c r="E3" s="42">
        <v>530.70000000000016</v>
      </c>
      <c r="F3" s="43" t="s">
        <v>126</v>
      </c>
      <c r="G3" s="62">
        <v>12.63571428571429</v>
      </c>
      <c r="H3" s="43" t="s">
        <v>196</v>
      </c>
      <c r="I3" s="62">
        <v>7.6166666666666663</v>
      </c>
      <c r="J3" s="43" t="s">
        <v>126</v>
      </c>
      <c r="K3" s="44">
        <v>1.7619047619047619</v>
      </c>
      <c r="L3" s="43" t="s">
        <v>126</v>
      </c>
      <c r="M3" s="45">
        <v>0.42857142857142855</v>
      </c>
      <c r="N3" s="43" t="s">
        <v>196</v>
      </c>
      <c r="O3" s="45">
        <v>0.125</v>
      </c>
      <c r="P3" s="43" t="s">
        <v>126</v>
      </c>
      <c r="Q3" s="46">
        <v>0.33650793650793653</v>
      </c>
      <c r="R3" s="43" t="s">
        <v>196</v>
      </c>
      <c r="S3" s="46">
        <v>7.6923076923076927E-2</v>
      </c>
      <c r="T3" s="43" t="s">
        <v>164</v>
      </c>
      <c r="U3" s="47">
        <v>10676.315789473685</v>
      </c>
      <c r="V3" s="43" t="s">
        <v>196</v>
      </c>
      <c r="W3" s="47">
        <v>-4300</v>
      </c>
      <c r="X3" s="43" t="s">
        <v>189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0.33576642335766421</v>
      </c>
      <c r="AD3" s="43" t="s">
        <v>213</v>
      </c>
      <c r="AE3" s="46">
        <v>0.70833333333333337</v>
      </c>
      <c r="AF3" s="43" t="s">
        <v>189</v>
      </c>
      <c r="AG3" s="46">
        <v>0.6</v>
      </c>
      <c r="AH3" s="43" t="s">
        <v>189</v>
      </c>
      <c r="AI3" s="46">
        <v>0.6428571428571429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42</v>
      </c>
      <c r="D4" s="49" t="s">
        <v>193</v>
      </c>
      <c r="E4" s="50">
        <v>52.8</v>
      </c>
      <c r="F4" s="51" t="s">
        <v>193</v>
      </c>
      <c r="G4" s="63">
        <v>2.6399999999999997</v>
      </c>
      <c r="H4" s="51" t="s">
        <v>205</v>
      </c>
      <c r="I4" s="63">
        <v>7.3222222222222202</v>
      </c>
      <c r="J4" s="51" t="s">
        <v>196</v>
      </c>
      <c r="K4" s="52">
        <v>1.875</v>
      </c>
      <c r="L4" s="51" t="s">
        <v>164</v>
      </c>
      <c r="M4" s="53">
        <v>0.4</v>
      </c>
      <c r="N4" s="51" t="s">
        <v>126</v>
      </c>
      <c r="O4" s="53">
        <v>0.19047619047619047</v>
      </c>
      <c r="P4" s="51" t="s">
        <v>193</v>
      </c>
      <c r="Q4" s="54">
        <v>0.32116788321167883</v>
      </c>
      <c r="R4" s="51" t="s">
        <v>126</v>
      </c>
      <c r="S4" s="54">
        <v>0.10793650793650794</v>
      </c>
      <c r="T4" s="51" t="s">
        <v>126</v>
      </c>
      <c r="U4" s="55">
        <v>10065.094339622641</v>
      </c>
      <c r="V4" s="51" t="s">
        <v>189</v>
      </c>
      <c r="W4" s="55">
        <v>-6628.5714285714284</v>
      </c>
      <c r="X4" s="51" t="s">
        <v>196</v>
      </c>
      <c r="Y4" s="53">
        <v>0</v>
      </c>
      <c r="Z4" s="51" t="s">
        <v>164</v>
      </c>
      <c r="AA4" s="54">
        <v>0.29602888086642598</v>
      </c>
      <c r="AB4" s="51" t="s">
        <v>205</v>
      </c>
      <c r="AC4" s="54">
        <v>0.32926829268292684</v>
      </c>
      <c r="AD4" s="51" t="s">
        <v>205</v>
      </c>
      <c r="AE4" s="54">
        <v>0.69230769230769229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35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193</v>
      </c>
      <c r="I5" s="63">
        <v>3.1833333333333322</v>
      </c>
      <c r="J5" s="51" t="s">
        <v>164</v>
      </c>
      <c r="K5" s="52">
        <v>2</v>
      </c>
      <c r="L5" s="51" t="s">
        <v>193</v>
      </c>
      <c r="M5" s="53">
        <v>0.4</v>
      </c>
      <c r="N5" s="51" t="s">
        <v>189</v>
      </c>
      <c r="O5" s="53">
        <v>0.2857142857142857</v>
      </c>
      <c r="P5" s="51" t="s">
        <v>205</v>
      </c>
      <c r="Q5" s="54">
        <v>0.31707317073170732</v>
      </c>
      <c r="R5" s="51" t="s">
        <v>192</v>
      </c>
      <c r="S5" s="54">
        <v>0.12704918032786885</v>
      </c>
      <c r="T5" s="51" t="s">
        <v>189</v>
      </c>
      <c r="U5" s="55">
        <v>9985.7142857142862</v>
      </c>
      <c r="V5" s="51" t="s">
        <v>193</v>
      </c>
      <c r="W5" s="55">
        <v>-7775</v>
      </c>
      <c r="X5" s="51" t="s">
        <v>213</v>
      </c>
      <c r="Y5" s="53">
        <v>0</v>
      </c>
      <c r="Z5" s="51" t="s">
        <v>194</v>
      </c>
      <c r="AA5" s="54">
        <v>0.29411764705882354</v>
      </c>
      <c r="AB5" s="51" t="s">
        <v>192</v>
      </c>
      <c r="AC5" s="54">
        <v>0.22540983606557377</v>
      </c>
      <c r="AD5" s="51" t="s">
        <v>196</v>
      </c>
      <c r="AE5" s="54">
        <v>0.68421052631578949</v>
      </c>
      <c r="AF5" s="51" t="s">
        <v>126</v>
      </c>
      <c r="AG5" s="54">
        <v>0.5357142857142857</v>
      </c>
      <c r="AH5" s="51" t="s">
        <v>193</v>
      </c>
      <c r="AI5" s="54">
        <v>0.52272727272727271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32</v>
      </c>
      <c r="D6" s="49" t="s">
        <v>139</v>
      </c>
      <c r="E6" s="50">
        <v>7.1054273576010019E-15</v>
      </c>
      <c r="F6" s="51" t="s">
        <v>139</v>
      </c>
      <c r="G6" s="63">
        <v>3.9474596431116678E-17</v>
      </c>
      <c r="H6" s="51" t="s">
        <v>126</v>
      </c>
      <c r="I6" s="63">
        <v>2.8731481481481467</v>
      </c>
      <c r="J6" s="51" t="s">
        <v>192</v>
      </c>
      <c r="K6" s="52">
        <v>2</v>
      </c>
      <c r="L6" s="51" t="s">
        <v>139</v>
      </c>
      <c r="M6" s="53">
        <v>0.33333333333333331</v>
      </c>
      <c r="N6" s="51" t="s">
        <v>192</v>
      </c>
      <c r="O6" s="53">
        <v>0.3125</v>
      </c>
      <c r="P6" s="51" t="s">
        <v>213</v>
      </c>
      <c r="Q6" s="54">
        <v>0.3108108108108108</v>
      </c>
      <c r="R6" s="51" t="s">
        <v>193</v>
      </c>
      <c r="S6" s="54">
        <v>0.145985401459854</v>
      </c>
      <c r="T6" s="51" t="s">
        <v>205</v>
      </c>
      <c r="U6" s="55">
        <v>9503.8461538461543</v>
      </c>
      <c r="V6" s="51" t="s">
        <v>192</v>
      </c>
      <c r="W6" s="55">
        <v>-7790.322580645161</v>
      </c>
      <c r="X6" s="51" t="s">
        <v>126</v>
      </c>
      <c r="Y6" s="53">
        <v>2.3809523809523808E-2</v>
      </c>
      <c r="Z6" s="51" t="s">
        <v>196</v>
      </c>
      <c r="AA6" s="54">
        <v>0.29230769230769232</v>
      </c>
      <c r="AB6" s="51" t="s">
        <v>164</v>
      </c>
      <c r="AC6" s="54">
        <v>0.21299638989169675</v>
      </c>
      <c r="AD6" s="51" t="s">
        <v>193</v>
      </c>
      <c r="AE6" s="54">
        <v>0.61904761904761907</v>
      </c>
      <c r="AF6" s="51" t="s">
        <v>193</v>
      </c>
      <c r="AG6" s="54">
        <v>0.41304347826086957</v>
      </c>
      <c r="AH6" s="51" t="s">
        <v>213</v>
      </c>
      <c r="AI6" s="54">
        <v>0.52173913043478259</v>
      </c>
      <c r="AJ6" s="51" t="s">
        <v>126</v>
      </c>
      <c r="AK6" s="58">
        <v>102700</v>
      </c>
    </row>
    <row r="7" spans="1:37" x14ac:dyDescent="0.45">
      <c r="A7" s="48">
        <v>5</v>
      </c>
      <c r="B7" s="51" t="s">
        <v>193</v>
      </c>
      <c r="C7" s="118">
        <v>20</v>
      </c>
      <c r="D7" s="49" t="s">
        <v>189</v>
      </c>
      <c r="E7" s="50">
        <v>-26.899999999999988</v>
      </c>
      <c r="F7" s="51" t="s">
        <v>164</v>
      </c>
      <c r="G7" s="63">
        <v>-0.84000000000000052</v>
      </c>
      <c r="H7" s="51" t="s">
        <v>213</v>
      </c>
      <c r="I7" s="63">
        <v>2.1361111111111115</v>
      </c>
      <c r="J7" s="51" t="s">
        <v>193</v>
      </c>
      <c r="K7" s="52">
        <v>2</v>
      </c>
      <c r="L7" s="51" t="s">
        <v>192</v>
      </c>
      <c r="M7" s="53">
        <v>0.3125</v>
      </c>
      <c r="N7" s="51" t="s">
        <v>139</v>
      </c>
      <c r="O7" s="53">
        <v>0.33333333333333331</v>
      </c>
      <c r="P7" s="51" t="s">
        <v>139</v>
      </c>
      <c r="Q7" s="54">
        <v>0.29259259259259257</v>
      </c>
      <c r="R7" s="51" t="s">
        <v>194</v>
      </c>
      <c r="S7" s="54">
        <v>0.14705882352941177</v>
      </c>
      <c r="T7" s="51" t="s">
        <v>139</v>
      </c>
      <c r="U7" s="55">
        <v>9196.4556962025308</v>
      </c>
      <c r="V7" s="51" t="s">
        <v>164</v>
      </c>
      <c r="W7" s="55">
        <v>-8117.5438596491231</v>
      </c>
      <c r="X7" s="51" t="s">
        <v>192</v>
      </c>
      <c r="Y7" s="53">
        <v>0.125</v>
      </c>
      <c r="Z7" s="51" t="s">
        <v>189</v>
      </c>
      <c r="AA7" s="54">
        <v>0.27777777777777779</v>
      </c>
      <c r="AB7" s="51" t="s">
        <v>139</v>
      </c>
      <c r="AC7" s="54">
        <v>0.20518518518518519</v>
      </c>
      <c r="AD7" s="51" t="s">
        <v>126</v>
      </c>
      <c r="AE7" s="54">
        <v>0.60759493670886078</v>
      </c>
      <c r="AF7" s="51" t="s">
        <v>164</v>
      </c>
      <c r="AG7" s="54">
        <v>0.40677966101694918</v>
      </c>
      <c r="AH7" s="51" t="s">
        <v>126</v>
      </c>
      <c r="AI7" s="54">
        <v>0.51886792452830188</v>
      </c>
      <c r="AJ7" s="51" t="s">
        <v>213</v>
      </c>
      <c r="AK7" s="58">
        <v>95000</v>
      </c>
    </row>
    <row r="8" spans="1:37" x14ac:dyDescent="0.45">
      <c r="A8" s="48">
        <v>6</v>
      </c>
      <c r="B8" s="51" t="s">
        <v>194</v>
      </c>
      <c r="C8" s="118">
        <v>16</v>
      </c>
      <c r="D8" s="49" t="s">
        <v>164</v>
      </c>
      <c r="E8" s="50">
        <v>-29.40000000000002</v>
      </c>
      <c r="F8" s="51" t="s">
        <v>189</v>
      </c>
      <c r="G8" s="63">
        <v>-3.8428571428571412</v>
      </c>
      <c r="H8" s="51" t="s">
        <v>194</v>
      </c>
      <c r="I8" s="63">
        <v>2.0444444444444443</v>
      </c>
      <c r="J8" s="51" t="s">
        <v>139</v>
      </c>
      <c r="K8" s="52">
        <v>2</v>
      </c>
      <c r="L8" s="51" t="s">
        <v>189</v>
      </c>
      <c r="M8" s="53">
        <v>0.2857142857142857</v>
      </c>
      <c r="N8" s="51" t="s">
        <v>213</v>
      </c>
      <c r="O8" s="53">
        <v>0.33333333333333331</v>
      </c>
      <c r="P8" s="51" t="s">
        <v>192</v>
      </c>
      <c r="Q8" s="54">
        <v>0.27459016393442626</v>
      </c>
      <c r="R8" s="51" t="s">
        <v>139</v>
      </c>
      <c r="S8" s="54">
        <v>0.15555555555555556</v>
      </c>
      <c r="T8" s="51" t="s">
        <v>194</v>
      </c>
      <c r="U8" s="55">
        <v>8777.2727272727279</v>
      </c>
      <c r="V8" s="51" t="s">
        <v>139</v>
      </c>
      <c r="W8" s="55">
        <v>-8385.2380952380954</v>
      </c>
      <c r="X8" s="51" t="s">
        <v>139</v>
      </c>
      <c r="Y8" s="53">
        <v>0.1388888888888889</v>
      </c>
      <c r="Z8" s="51" t="s">
        <v>192</v>
      </c>
      <c r="AA8" s="54">
        <v>0.27049180327868855</v>
      </c>
      <c r="AB8" s="51" t="s">
        <v>126</v>
      </c>
      <c r="AC8" s="54">
        <v>0.17777777777777778</v>
      </c>
      <c r="AD8" s="51" t="s">
        <v>192</v>
      </c>
      <c r="AE8" s="54">
        <v>0.56060606060606055</v>
      </c>
      <c r="AF8" s="51" t="s">
        <v>139</v>
      </c>
      <c r="AG8" s="54">
        <v>0.40433212996389889</v>
      </c>
      <c r="AH8" s="51" t="s">
        <v>139</v>
      </c>
      <c r="AI8" s="54">
        <v>0.46582278481012657</v>
      </c>
      <c r="AJ8" s="51" t="s">
        <v>205</v>
      </c>
      <c r="AK8" s="58">
        <v>93200</v>
      </c>
    </row>
    <row r="9" spans="1:37" x14ac:dyDescent="0.45">
      <c r="A9" s="48">
        <v>7</v>
      </c>
      <c r="B9" s="51" t="s">
        <v>205</v>
      </c>
      <c r="C9" s="118">
        <v>11</v>
      </c>
      <c r="D9" s="49" t="s">
        <v>213</v>
      </c>
      <c r="E9" s="50">
        <v>-41.599999999999994</v>
      </c>
      <c r="F9" s="51" t="s">
        <v>192</v>
      </c>
      <c r="G9" s="63">
        <v>-4.296875</v>
      </c>
      <c r="H9" s="51" t="s">
        <v>139</v>
      </c>
      <c r="I9" s="63">
        <v>0</v>
      </c>
      <c r="J9" s="51" t="s">
        <v>189</v>
      </c>
      <c r="K9" s="52">
        <v>2</v>
      </c>
      <c r="L9" s="51" t="s">
        <v>196</v>
      </c>
      <c r="M9" s="53">
        <v>0.25</v>
      </c>
      <c r="N9" s="51" t="s">
        <v>164</v>
      </c>
      <c r="O9" s="53">
        <v>0.4</v>
      </c>
      <c r="P9" s="51" t="s">
        <v>164</v>
      </c>
      <c r="Q9" s="54">
        <v>0.27436823104693142</v>
      </c>
      <c r="R9" s="51" t="s">
        <v>213</v>
      </c>
      <c r="S9" s="54">
        <v>0.1891891891891892</v>
      </c>
      <c r="T9" s="51" t="s">
        <v>193</v>
      </c>
      <c r="U9" s="55">
        <v>8250</v>
      </c>
      <c r="V9" s="51" t="s">
        <v>213</v>
      </c>
      <c r="W9" s="55">
        <v>-8671.4285714285706</v>
      </c>
      <c r="X9" s="51" t="s">
        <v>164</v>
      </c>
      <c r="Y9" s="53">
        <v>0.2</v>
      </c>
      <c r="Z9" s="51" t="s">
        <v>139</v>
      </c>
      <c r="AA9" s="54">
        <v>0.25851851851851854</v>
      </c>
      <c r="AB9" s="51" t="s">
        <v>196</v>
      </c>
      <c r="AC9" s="54">
        <v>0.13846153846153847</v>
      </c>
      <c r="AD9" s="51" t="s">
        <v>139</v>
      </c>
      <c r="AE9" s="54">
        <v>0.55300859598853869</v>
      </c>
      <c r="AF9" s="51" t="s">
        <v>194</v>
      </c>
      <c r="AG9" s="54">
        <v>0.38461538461538464</v>
      </c>
      <c r="AH9" s="51" t="s">
        <v>164</v>
      </c>
      <c r="AI9" s="54">
        <v>0.43421052631578949</v>
      </c>
      <c r="AJ9" s="51" t="s">
        <v>196</v>
      </c>
      <c r="AK9" s="58">
        <v>89000</v>
      </c>
    </row>
    <row r="10" spans="1:37" x14ac:dyDescent="0.45">
      <c r="A10" s="48">
        <v>8</v>
      </c>
      <c r="B10" s="51" t="s">
        <v>213</v>
      </c>
      <c r="C10" s="118">
        <v>9</v>
      </c>
      <c r="D10" s="49" t="s">
        <v>205</v>
      </c>
      <c r="E10" s="50">
        <v>-121</v>
      </c>
      <c r="F10" s="51" t="s">
        <v>213</v>
      </c>
      <c r="G10" s="63">
        <v>-4.6222222222222218</v>
      </c>
      <c r="H10" s="51" t="s">
        <v>164</v>
      </c>
      <c r="I10" s="63">
        <v>-1.5976190476190411</v>
      </c>
      <c r="J10" s="51" t="s">
        <v>213</v>
      </c>
      <c r="K10" s="52">
        <v>2.1111111111111112</v>
      </c>
      <c r="L10" s="51" t="s">
        <v>213</v>
      </c>
      <c r="M10" s="53">
        <v>0.22222222222222221</v>
      </c>
      <c r="N10" s="51" t="s">
        <v>193</v>
      </c>
      <c r="O10" s="53">
        <v>0.4</v>
      </c>
      <c r="P10" s="51" t="s">
        <v>196</v>
      </c>
      <c r="Q10" s="54">
        <v>0.26153846153846155</v>
      </c>
      <c r="R10" s="51" t="s">
        <v>164</v>
      </c>
      <c r="S10" s="54">
        <v>0.20577617328519857</v>
      </c>
      <c r="T10" s="51" t="s">
        <v>196</v>
      </c>
      <c r="U10" s="55">
        <v>7964.7058823529414</v>
      </c>
      <c r="V10" s="51" t="s">
        <v>194</v>
      </c>
      <c r="W10" s="55">
        <v>-8773.3333333333339</v>
      </c>
      <c r="X10" s="51" t="s">
        <v>193</v>
      </c>
      <c r="Y10" s="53">
        <v>0.25</v>
      </c>
      <c r="Z10" s="51" t="s">
        <v>126</v>
      </c>
      <c r="AA10" s="54">
        <v>0.25079365079365079</v>
      </c>
      <c r="AB10" s="51" t="s">
        <v>194</v>
      </c>
      <c r="AC10" s="54">
        <v>0.12745098039215685</v>
      </c>
      <c r="AD10" s="51" t="s">
        <v>189</v>
      </c>
      <c r="AE10" s="54">
        <v>0.53333333333333333</v>
      </c>
      <c r="AF10" s="51" t="s">
        <v>196</v>
      </c>
      <c r="AG10" s="54">
        <v>0.33333333333333331</v>
      </c>
      <c r="AH10" s="51" t="s">
        <v>192</v>
      </c>
      <c r="AI10" s="54">
        <v>0.38805970149253732</v>
      </c>
      <c r="AJ10" s="51" t="s">
        <v>192</v>
      </c>
      <c r="AK10" s="58">
        <v>88500</v>
      </c>
    </row>
    <row r="11" spans="1:37" x14ac:dyDescent="0.45">
      <c r="A11" s="48">
        <v>9</v>
      </c>
      <c r="B11" s="51" t="s">
        <v>196</v>
      </c>
      <c r="C11" s="118">
        <v>8</v>
      </c>
      <c r="D11" s="49" t="s">
        <v>192</v>
      </c>
      <c r="E11" s="50">
        <v>-137.5</v>
      </c>
      <c r="F11" s="51" t="s">
        <v>205</v>
      </c>
      <c r="G11" s="63">
        <v>-11</v>
      </c>
      <c r="H11" s="51" t="s">
        <v>189</v>
      </c>
      <c r="I11" s="63">
        <v>-3.4222222222222221</v>
      </c>
      <c r="J11" s="51" t="s">
        <v>205</v>
      </c>
      <c r="K11" s="52">
        <v>2.3636363636363638</v>
      </c>
      <c r="L11" s="51" t="s">
        <v>205</v>
      </c>
      <c r="M11" s="53">
        <v>0.18181818181818182</v>
      </c>
      <c r="N11" s="51" t="s">
        <v>194</v>
      </c>
      <c r="O11" s="53">
        <v>0.5</v>
      </c>
      <c r="P11" s="51" t="s">
        <v>189</v>
      </c>
      <c r="Q11" s="54">
        <v>0.25925925925925924</v>
      </c>
      <c r="R11" s="51" t="s">
        <v>205</v>
      </c>
      <c r="S11" s="54">
        <v>0.24390243902439024</v>
      </c>
      <c r="T11" s="51" t="s">
        <v>213</v>
      </c>
      <c r="U11" s="55">
        <v>7530.434782608696</v>
      </c>
      <c r="V11" s="51" t="s">
        <v>126</v>
      </c>
      <c r="W11" s="55">
        <v>-9605.8823529411766</v>
      </c>
      <c r="X11" s="51" t="s">
        <v>205</v>
      </c>
      <c r="Y11" s="53">
        <v>0.27272727272727271</v>
      </c>
      <c r="Z11" s="51" t="s">
        <v>205</v>
      </c>
      <c r="AA11" s="54">
        <v>0.15853658536585366</v>
      </c>
      <c r="AB11" s="51" t="s">
        <v>213</v>
      </c>
      <c r="AC11" s="54">
        <v>9.45945945945946E-2</v>
      </c>
      <c r="AD11" s="51" t="s">
        <v>164</v>
      </c>
      <c r="AE11" s="54">
        <v>0.45121951219512196</v>
      </c>
      <c r="AF11" s="51" t="s">
        <v>192</v>
      </c>
      <c r="AG11" s="54">
        <v>0.30909090909090908</v>
      </c>
      <c r="AH11" s="51" t="s">
        <v>194</v>
      </c>
      <c r="AI11" s="54">
        <v>0.36363636363636365</v>
      </c>
      <c r="AJ11" s="51" t="s">
        <v>194</v>
      </c>
      <c r="AK11" s="58">
        <v>74500</v>
      </c>
    </row>
    <row r="12" spans="1:37" x14ac:dyDescent="0.45">
      <c r="A12" s="48">
        <v>10</v>
      </c>
      <c r="B12" s="51" t="s">
        <v>189</v>
      </c>
      <c r="C12" s="118">
        <v>7</v>
      </c>
      <c r="D12" s="49" t="s">
        <v>194</v>
      </c>
      <c r="E12" s="50">
        <v>-234.59999999999997</v>
      </c>
      <c r="F12" s="51" t="s">
        <v>194</v>
      </c>
      <c r="G12" s="63">
        <v>-14.662499999999998</v>
      </c>
      <c r="H12" s="51" t="s">
        <v>192</v>
      </c>
      <c r="I12" s="63">
        <v>-4.2561111111111103</v>
      </c>
      <c r="J12" s="51" t="s">
        <v>194</v>
      </c>
      <c r="K12" s="52">
        <v>2.375</v>
      </c>
      <c r="L12" s="51" t="s">
        <v>194</v>
      </c>
      <c r="M12" s="53">
        <v>0.125</v>
      </c>
      <c r="N12" s="51" t="s">
        <v>205</v>
      </c>
      <c r="O12" s="53">
        <v>0.54545454545454541</v>
      </c>
      <c r="P12" s="51" t="s">
        <v>194</v>
      </c>
      <c r="Q12" s="54">
        <v>0.21568627450980393</v>
      </c>
      <c r="R12" s="51" t="s">
        <v>189</v>
      </c>
      <c r="S12" s="54">
        <v>0.25925925925925924</v>
      </c>
      <c r="T12" s="51" t="s">
        <v>192</v>
      </c>
      <c r="U12" s="55">
        <v>7502.9850746268658</v>
      </c>
      <c r="V12" s="51" t="s">
        <v>205</v>
      </c>
      <c r="W12" s="55">
        <v>-10365</v>
      </c>
      <c r="X12" s="51" t="s">
        <v>194</v>
      </c>
      <c r="Y12" s="53">
        <v>0.3125</v>
      </c>
      <c r="Z12" s="51" t="s">
        <v>193</v>
      </c>
      <c r="AA12" s="54">
        <v>0.15328467153284672</v>
      </c>
      <c r="AB12" s="51" t="s">
        <v>189</v>
      </c>
      <c r="AC12" s="54">
        <v>9.2592592592592587E-2</v>
      </c>
      <c r="AD12" s="51" t="s">
        <v>194</v>
      </c>
      <c r="AE12" s="54">
        <v>0.36666666666666664</v>
      </c>
      <c r="AF12" s="51" t="s">
        <v>205</v>
      </c>
      <c r="AG12" s="54">
        <v>0.25925925925925924</v>
      </c>
      <c r="AH12" s="51" t="s">
        <v>205</v>
      </c>
      <c r="AI12" s="54">
        <v>0.34615384615384615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18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180</v>
      </c>
      <c r="C2" s="132"/>
      <c r="E2" s="28" t="s">
        <v>66</v>
      </c>
      <c r="F2" s="25" t="s">
        <v>22</v>
      </c>
      <c r="G2" s="13">
        <v>276</v>
      </c>
      <c r="H2" s="91">
        <f>IF(B$19=0,0,G2/B$19)</f>
        <v>0.69873417721518982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-11.299435028248588</v>
      </c>
      <c r="P2" s="80">
        <v>177</v>
      </c>
      <c r="Q2" s="67">
        <v>-2000</v>
      </c>
    </row>
    <row r="3" spans="1:17" x14ac:dyDescent="0.45">
      <c r="A3" s="21" t="s">
        <v>8</v>
      </c>
      <c r="B3" s="133">
        <v>1350</v>
      </c>
      <c r="C3" s="134"/>
      <c r="E3" s="29" t="s">
        <v>72</v>
      </c>
      <c r="F3" s="26" t="s">
        <v>27</v>
      </c>
      <c r="G3" s="14">
        <v>211</v>
      </c>
      <c r="H3" s="92">
        <f>IF(B$19=0,0,G3/B$19)</f>
        <v>0.53417721518987338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-11.494252873563218</v>
      </c>
      <c r="P3" s="81">
        <v>174</v>
      </c>
      <c r="Q3" s="68">
        <v>-2000</v>
      </c>
    </row>
    <row r="4" spans="1:17" x14ac:dyDescent="0.45">
      <c r="A4" s="21" t="s">
        <v>6</v>
      </c>
      <c r="B4" s="135">
        <v>7.1054273576010019E-15</v>
      </c>
      <c r="C4" s="136"/>
      <c r="E4" s="29" t="s">
        <v>64</v>
      </c>
      <c r="F4" s="26" t="s">
        <v>20</v>
      </c>
      <c r="G4" s="14">
        <v>184</v>
      </c>
      <c r="H4" s="92">
        <f>IF(B$19=0,0,G4/B$19)</f>
        <v>0.46582278481012657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6.1728395061728394</v>
      </c>
      <c r="P4" s="81">
        <v>162</v>
      </c>
      <c r="Q4" s="68">
        <v>1000</v>
      </c>
    </row>
    <row r="5" spans="1:17" x14ac:dyDescent="0.45">
      <c r="A5" s="21" t="s">
        <v>7</v>
      </c>
      <c r="B5" s="123">
        <f>IF(B$2=0,0,B$4/B$2)</f>
        <v>3.9474596431116678E-17</v>
      </c>
      <c r="C5" s="124"/>
      <c r="E5" s="29" t="s">
        <v>160</v>
      </c>
      <c r="F5" s="26" t="s">
        <v>161</v>
      </c>
      <c r="G5" s="14">
        <v>164</v>
      </c>
      <c r="H5" s="92">
        <f>IF(B$19=0,0,G5/B$19)</f>
        <v>0.41518987341772151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14.492753623188406</v>
      </c>
      <c r="P5" s="81">
        <v>138</v>
      </c>
      <c r="Q5" s="68">
        <v>2000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128</v>
      </c>
      <c r="H6" s="92">
        <f>IF(B$19=0,0,G6/B$19)</f>
        <v>0.32405063291139241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-48.780487804878049</v>
      </c>
      <c r="P6" s="81">
        <v>123</v>
      </c>
      <c r="Q6" s="68">
        <v>-6000</v>
      </c>
    </row>
    <row r="7" spans="1:17" x14ac:dyDescent="0.45">
      <c r="A7" s="21" t="s">
        <v>2</v>
      </c>
      <c r="B7" s="14">
        <v>60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96</v>
      </c>
      <c r="H7" s="92">
        <f>IF(B$19=0,0,G7/B$19)</f>
        <v>0.24303797468354429</v>
      </c>
      <c r="I7" s="60">
        <v>4</v>
      </c>
      <c r="K7" s="7">
        <v>5</v>
      </c>
      <c r="L7" s="65">
        <v>-55.999999999999993</v>
      </c>
      <c r="N7" s="79" t="s">
        <v>133</v>
      </c>
      <c r="O7" s="85">
        <f t="shared" si="0"/>
        <v>70.707070707070713</v>
      </c>
      <c r="P7" s="82">
        <v>99</v>
      </c>
      <c r="Q7" s="69">
        <v>7000</v>
      </c>
    </row>
    <row r="8" spans="1:17" x14ac:dyDescent="0.45">
      <c r="A8" s="21" t="s">
        <v>3</v>
      </c>
      <c r="B8" s="14">
        <v>60</v>
      </c>
      <c r="C8" s="8">
        <f t="shared" si="1"/>
        <v>0.33333333333333331</v>
      </c>
      <c r="E8" s="29" t="s">
        <v>89</v>
      </c>
      <c r="F8" s="26" t="s">
        <v>44</v>
      </c>
      <c r="G8" s="14">
        <v>56</v>
      </c>
      <c r="H8" s="92">
        <f>IF(B$19=0,0,G8/B$19)</f>
        <v>0.14177215189873418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60</v>
      </c>
      <c r="C9" s="9">
        <f t="shared" si="1"/>
        <v>0.33333333333333331</v>
      </c>
      <c r="E9" s="29" t="s">
        <v>69</v>
      </c>
      <c r="F9" s="26" t="s">
        <v>24</v>
      </c>
      <c r="G9" s="14">
        <v>51</v>
      </c>
      <c r="H9" s="92">
        <f>IF(B$19=0,0,G9/B$19)</f>
        <v>0.12911392405063291</v>
      </c>
      <c r="I9" s="60">
        <v>7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42.769999999999982</v>
      </c>
      <c r="C10" s="114">
        <v>2566.1999999999989</v>
      </c>
      <c r="E10" s="29" t="s">
        <v>65</v>
      </c>
      <c r="F10" s="26" t="s">
        <v>21</v>
      </c>
      <c r="G10" s="14">
        <v>42</v>
      </c>
      <c r="H10" s="92">
        <f>IF(B$19=0,0,G10/B$19)</f>
        <v>0.10632911392405063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-6.4483333333333324</v>
      </c>
      <c r="P10" s="80">
        <v>60</v>
      </c>
      <c r="Q10" s="71">
        <v>-386.89999999999992</v>
      </c>
    </row>
    <row r="11" spans="1:17" x14ac:dyDescent="0.45">
      <c r="A11" s="22" t="s">
        <v>186</v>
      </c>
      <c r="B11" s="113">
        <f>IF(B8=0,0,C11/B8)</f>
        <v>-3.8850000000000007</v>
      </c>
      <c r="C11" s="114">
        <v>-233.10000000000005</v>
      </c>
      <c r="E11" s="29" t="s">
        <v>70</v>
      </c>
      <c r="F11" s="26" t="s">
        <v>25</v>
      </c>
      <c r="G11" s="14">
        <v>25</v>
      </c>
      <c r="H11" s="92">
        <f>IF(B$19=0,0,G11/B$19)</f>
        <v>6.3291139240506333E-2</v>
      </c>
      <c r="I11" s="60">
        <v>4</v>
      </c>
      <c r="K11" s="7">
        <v>9</v>
      </c>
      <c r="L11" s="65">
        <v>0</v>
      </c>
      <c r="N11" s="78" t="s">
        <v>153</v>
      </c>
      <c r="O11" s="87">
        <f>IF(P11=0,0,Q11/P11)</f>
        <v>1.899999999999999</v>
      </c>
      <c r="P11" s="81">
        <v>60</v>
      </c>
      <c r="Q11" s="72">
        <v>113.99999999999994</v>
      </c>
    </row>
    <row r="12" spans="1:17" x14ac:dyDescent="0.45">
      <c r="A12" s="22" t="s">
        <v>187</v>
      </c>
      <c r="B12" s="113">
        <f>IF(B9=0,0,C12/B9)</f>
        <v>-38.885000000000005</v>
      </c>
      <c r="C12" s="114">
        <v>-2333.1000000000004</v>
      </c>
      <c r="E12" s="29" t="s">
        <v>71</v>
      </c>
      <c r="F12" s="26" t="s">
        <v>26</v>
      </c>
      <c r="G12" s="14">
        <v>24</v>
      </c>
      <c r="H12" s="92">
        <f>IF(B$19=0,0,G12/B$19)</f>
        <v>6.0759493670886074E-2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4.5483333333333311</v>
      </c>
      <c r="P12" s="82">
        <v>60</v>
      </c>
      <c r="Q12" s="73">
        <v>272.89999999999986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23</v>
      </c>
      <c r="H13" s="92">
        <f>IF(B$19=0,0,G13/B$19)</f>
        <v>5.8227848101265821E-2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25</v>
      </c>
      <c r="C14" s="11">
        <f t="shared" si="1"/>
        <v>0.1388888888888889</v>
      </c>
      <c r="E14" s="29" t="s">
        <v>86</v>
      </c>
      <c r="F14" s="26" t="s">
        <v>41</v>
      </c>
      <c r="G14" s="14">
        <v>23</v>
      </c>
      <c r="H14" s="92">
        <f>IF(B$19=0,0,G14/B$19)</f>
        <v>5.8227848101265821E-2</v>
      </c>
      <c r="I14" s="60">
        <v>4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349</v>
      </c>
      <c r="C15" s="12">
        <f>IF(B$3=0,0,B15/B$3)</f>
        <v>0.25851851851851854</v>
      </c>
      <c r="E15" s="29" t="s">
        <v>78</v>
      </c>
      <c r="F15" s="26" t="s">
        <v>33</v>
      </c>
      <c r="G15" s="14">
        <v>14</v>
      </c>
      <c r="H15" s="92">
        <f>IF(B$19=0,0,G15/B$19)</f>
        <v>3.5443037974683546E-2</v>
      </c>
      <c r="I15" s="60">
        <v>6</v>
      </c>
      <c r="K15" s="7">
        <v>13</v>
      </c>
      <c r="L15" s="65">
        <v>14.300000000000002</v>
      </c>
      <c r="N15" s="77" t="s">
        <v>194</v>
      </c>
      <c r="O15" s="86">
        <f>IF(P15=0,0,Q15/P15)</f>
        <v>21.993749999999999</v>
      </c>
      <c r="P15" s="80">
        <v>32</v>
      </c>
      <c r="Q15" s="71">
        <v>703.8</v>
      </c>
    </row>
    <row r="16" spans="1:17" x14ac:dyDescent="0.45">
      <c r="A16" s="21" t="s">
        <v>118</v>
      </c>
      <c r="B16" s="14">
        <v>277</v>
      </c>
      <c r="C16" s="8">
        <f>IF(B$3=0,0,B16/B$3)</f>
        <v>0.20518518518518519</v>
      </c>
      <c r="E16" s="29" t="s">
        <v>79</v>
      </c>
      <c r="F16" s="26" t="s">
        <v>34</v>
      </c>
      <c r="G16" s="14">
        <v>11</v>
      </c>
      <c r="H16" s="92">
        <f>IF(B$19=0,0,G16/B$19)</f>
        <v>2.7848101265822784E-2</v>
      </c>
      <c r="I16" s="60">
        <v>4</v>
      </c>
      <c r="K16" s="7">
        <v>14</v>
      </c>
      <c r="L16" s="65">
        <v>12.800000000000002</v>
      </c>
      <c r="N16" s="78" t="s">
        <v>205</v>
      </c>
      <c r="O16" s="87">
        <f>IF(P16=0,0,Q16/P16)</f>
        <v>16.5</v>
      </c>
      <c r="P16" s="81">
        <v>22</v>
      </c>
      <c r="Q16" s="72">
        <v>363</v>
      </c>
    </row>
    <row r="17" spans="1:17" x14ac:dyDescent="0.45">
      <c r="A17" s="20" t="s">
        <v>123</v>
      </c>
      <c r="B17" s="13">
        <f>B23</f>
        <v>193</v>
      </c>
      <c r="C17" s="6">
        <f>IF(B$15=0,0,B17/B$15)</f>
        <v>0.55300859598853869</v>
      </c>
      <c r="E17" s="29" t="s">
        <v>81</v>
      </c>
      <c r="F17" s="26" t="s">
        <v>36</v>
      </c>
      <c r="G17" s="14">
        <v>9</v>
      </c>
      <c r="H17" s="92">
        <f>IF(B$19=0,0,G17/B$19)</f>
        <v>2.2784810126582278E-2</v>
      </c>
      <c r="I17" s="60">
        <v>4</v>
      </c>
      <c r="K17" s="7">
        <v>15</v>
      </c>
      <c r="L17" s="65">
        <v>1.7763568394002505E-15</v>
      </c>
      <c r="N17" s="78" t="s">
        <v>213</v>
      </c>
      <c r="O17" s="87">
        <f>IF(P17=0,0,Q17/P17)</f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112</v>
      </c>
      <c r="C18" s="6">
        <f>IF(B$16=0,0,B18/B$16)</f>
        <v>0.40433212996389889</v>
      </c>
      <c r="E18" s="29" t="s">
        <v>91</v>
      </c>
      <c r="F18" s="26" t="s">
        <v>46</v>
      </c>
      <c r="G18" s="14">
        <v>9</v>
      </c>
      <c r="H18" s="92">
        <f>IF(B$19=0,0,G18/B$19)</f>
        <v>2.2784810126582278E-2</v>
      </c>
      <c r="I18" s="60">
        <v>3</v>
      </c>
      <c r="K18" s="7">
        <v>16</v>
      </c>
      <c r="L18" s="65">
        <v>3.4000000000000017</v>
      </c>
      <c r="N18" s="78" t="s">
        <v>192</v>
      </c>
      <c r="O18" s="87">
        <f>IF(P18=0,0,Q18/P18)</f>
        <v>6.4453125000000036</v>
      </c>
      <c r="P18" s="81">
        <v>64</v>
      </c>
      <c r="Q18" s="72">
        <v>412.50000000000023</v>
      </c>
    </row>
    <row r="19" spans="1:17" x14ac:dyDescent="0.45">
      <c r="A19" s="20" t="s">
        <v>10</v>
      </c>
      <c r="B19" s="13">
        <f>B22+B21</f>
        <v>395</v>
      </c>
      <c r="C19" s="6">
        <f>IF(B$3=0,0,B19/B$3)</f>
        <v>0.29259259259259257</v>
      </c>
      <c r="E19" s="29" t="s">
        <v>92</v>
      </c>
      <c r="F19" s="26" t="s">
        <v>47</v>
      </c>
      <c r="G19" s="14">
        <v>7</v>
      </c>
      <c r="H19" s="92">
        <f>IF(B$19=0,0,G19/B$19)</f>
        <v>1.7721518987341773E-2</v>
      </c>
      <c r="I19" s="60">
        <v>4</v>
      </c>
      <c r="K19" s="7">
        <v>17</v>
      </c>
      <c r="L19" s="65">
        <v>-35.800000000000004</v>
      </c>
      <c r="N19" s="78" t="s">
        <v>189</v>
      </c>
      <c r="O19" s="87">
        <f>IF(P19=0,0,Q19/P19)</f>
        <v>5.7642857142857142</v>
      </c>
      <c r="P19" s="81">
        <v>14</v>
      </c>
      <c r="Q19" s="72">
        <v>80.7</v>
      </c>
    </row>
    <row r="20" spans="1:17" x14ac:dyDescent="0.45">
      <c r="A20" s="21" t="s">
        <v>13</v>
      </c>
      <c r="B20" s="14">
        <v>210</v>
      </c>
      <c r="C20" s="8">
        <f>IF(B$3=0,0,B20/B$3)</f>
        <v>0.15555555555555556</v>
      </c>
      <c r="E20" s="29" t="s">
        <v>156</v>
      </c>
      <c r="F20" s="26" t="s">
        <v>157</v>
      </c>
      <c r="G20" s="14">
        <v>6</v>
      </c>
      <c r="H20" s="92">
        <f>IF(B$19=0,0,G20/B$19)</f>
        <v>1.5189873417721518E-2</v>
      </c>
      <c r="I20" s="60">
        <v>2</v>
      </c>
      <c r="K20" s="7">
        <v>18</v>
      </c>
      <c r="L20" s="65">
        <v>-7.1054273576010019E-15</v>
      </c>
      <c r="N20" s="78" t="s">
        <v>164</v>
      </c>
      <c r="O20" s="87">
        <f>IF(P20=0,0,Q20/P20)</f>
        <v>1.2599999999999991</v>
      </c>
      <c r="P20" s="81">
        <v>70</v>
      </c>
      <c r="Q20" s="72">
        <v>88.199999999999932</v>
      </c>
    </row>
    <row r="21" spans="1:17" x14ac:dyDescent="0.45">
      <c r="A21" s="21" t="s">
        <v>12</v>
      </c>
      <c r="B21" s="14">
        <v>184</v>
      </c>
      <c r="C21" s="8">
        <f>IF(B$19=0,0,B21/B$19)</f>
        <v>0.46582278481012657</v>
      </c>
      <c r="E21" s="29" t="s">
        <v>73</v>
      </c>
      <c r="F21" s="26" t="s">
        <v>28</v>
      </c>
      <c r="G21" s="14">
        <v>2</v>
      </c>
      <c r="H21" s="92">
        <f>IF(B$19=0,0,G21/B$19)</f>
        <v>5.0632911392405064E-3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211</v>
      </c>
      <c r="C22" s="8">
        <f>IF(B$19=0,0,B22/B$19)</f>
        <v>0.53417721518987338</v>
      </c>
      <c r="E22" s="29" t="s">
        <v>75</v>
      </c>
      <c r="F22" s="26" t="s">
        <v>30</v>
      </c>
      <c r="G22" s="14">
        <v>2</v>
      </c>
      <c r="H22" s="92">
        <f>IF(B$19=0,0,G22/B$19)</f>
        <v>5.0632911392405064E-3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-3.9599999999999995</v>
      </c>
      <c r="P22" s="81">
        <v>40</v>
      </c>
      <c r="Q22" s="72">
        <v>-158.39999999999998</v>
      </c>
    </row>
    <row r="23" spans="1:17" x14ac:dyDescent="0.45">
      <c r="A23" s="21" t="s">
        <v>184</v>
      </c>
      <c r="B23" s="14">
        <v>193</v>
      </c>
      <c r="C23" s="8">
        <f>IF(B$19=0,0,B23/B$19)</f>
        <v>0.48860759493670886</v>
      </c>
      <c r="E23" s="29" t="s">
        <v>77</v>
      </c>
      <c r="F23" s="26" t="s">
        <v>32</v>
      </c>
      <c r="G23" s="14">
        <v>2</v>
      </c>
      <c r="H23" s="92">
        <f>IF(B$19=0,0,G23/B$19)</f>
        <v>5.0632911392405064E-3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-18.953571428571415</v>
      </c>
      <c r="P23" s="81">
        <v>84</v>
      </c>
      <c r="Q23" s="72">
        <v>-1592.099999999999</v>
      </c>
    </row>
    <row r="24" spans="1:17" x14ac:dyDescent="0.45">
      <c r="A24" s="21" t="s">
        <v>182</v>
      </c>
      <c r="B24" s="14">
        <v>112</v>
      </c>
      <c r="C24" s="8">
        <f>IF(B$19=0,0,B24/B$19)</f>
        <v>0.28354430379746837</v>
      </c>
      <c r="E24" s="29" t="s">
        <v>85</v>
      </c>
      <c r="F24" s="26" t="s">
        <v>40</v>
      </c>
      <c r="G24" s="14">
        <v>2</v>
      </c>
      <c r="H24" s="92">
        <f>IF(B$19=0,0,G24/B$19)</f>
        <v>5.0632911392405064E-3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90</v>
      </c>
      <c r="C25" s="8">
        <f>IF(B$19=0,0,B25/B$19)</f>
        <v>0.22784810126582278</v>
      </c>
      <c r="E25" s="29" t="s">
        <v>87</v>
      </c>
      <c r="F25" s="26" t="s">
        <v>42</v>
      </c>
      <c r="G25" s="14">
        <v>2</v>
      </c>
      <c r="H25" s="92">
        <f>IF(B$19=0,0,G25/B$19)</f>
        <v>5.0632911392405064E-3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9196.4556962025308</v>
      </c>
      <c r="C26" s="10">
        <v>3632600</v>
      </c>
      <c r="E26" s="29" t="s">
        <v>93</v>
      </c>
      <c r="F26" s="26" t="s">
        <v>48</v>
      </c>
      <c r="G26" s="14">
        <v>2</v>
      </c>
      <c r="H26" s="92">
        <f>IF(B$19=0,0,G26/B$19)</f>
        <v>5.0632911392405064E-3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9536.3957597173139</v>
      </c>
      <c r="C27" s="100">
        <v>2698800</v>
      </c>
      <c r="E27" s="29" t="s">
        <v>95</v>
      </c>
      <c r="F27" s="26" t="s">
        <v>50</v>
      </c>
      <c r="G27" s="14">
        <v>1</v>
      </c>
      <c r="H27" s="92">
        <f>IF(B$19=0,0,G27/B$19)</f>
        <v>2.5316455696202532E-3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8337.5</v>
      </c>
      <c r="C28" s="100">
        <v>933800</v>
      </c>
      <c r="E28" s="29" t="s">
        <v>97</v>
      </c>
      <c r="F28" s="26" t="s">
        <v>52</v>
      </c>
      <c r="G28" s="14">
        <v>1</v>
      </c>
      <c r="H28" s="92">
        <f>IF(B$19=0,0,G28/B$19)</f>
        <v>2.5316455696202532E-3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-8385.2380952380954</v>
      </c>
      <c r="C29" s="100">
        <v>-1760900</v>
      </c>
      <c r="E29" s="29" t="s">
        <v>102</v>
      </c>
      <c r="F29" s="26" t="s">
        <v>57</v>
      </c>
      <c r="G29" s="14">
        <v>1</v>
      </c>
      <c r="H29" s="92">
        <f>IF(B$19=0,0,G29/B$19)</f>
        <v>2.5316455696202532E-3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74</v>
      </c>
      <c r="F30" s="26" t="s">
        <v>29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2</v>
      </c>
      <c r="E31" s="29" t="s">
        <v>76</v>
      </c>
      <c r="F31" s="26" t="s">
        <v>31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80</v>
      </c>
      <c r="F32" s="26" t="s">
        <v>35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82</v>
      </c>
      <c r="F33" s="26" t="s">
        <v>37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3</v>
      </c>
      <c r="C34" s="11">
        <f>IF(B$3=0,0,B34/B$3)</f>
        <v>2.2222222222222222E-3</v>
      </c>
      <c r="E34" s="29" t="s">
        <v>84</v>
      </c>
      <c r="F34" s="26" t="s">
        <v>39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88</v>
      </c>
      <c r="F35" s="26" t="s">
        <v>43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30</v>
      </c>
      <c r="C36" s="102">
        <f t="shared" ref="C36:C48" si="2">IF(B$19=0,0,B36/B$19)</f>
        <v>7.5949367088607597E-2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70</v>
      </c>
      <c r="C37" s="8">
        <f t="shared" si="2"/>
        <v>0.17721518987341772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64</v>
      </c>
      <c r="C38" s="8">
        <f t="shared" si="2"/>
        <v>0.16202531645569621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70</v>
      </c>
      <c r="C39" s="8">
        <f t="shared" si="2"/>
        <v>0.17721518987341772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63</v>
      </c>
      <c r="C40" s="8">
        <f t="shared" si="2"/>
        <v>0.15949367088607594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38</v>
      </c>
      <c r="C41" s="8">
        <f t="shared" si="2"/>
        <v>9.6202531645569619E-2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26</v>
      </c>
      <c r="C42" s="8">
        <f t="shared" si="2"/>
        <v>6.5822784810126586E-2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9</v>
      </c>
      <c r="C43" s="8">
        <f t="shared" si="2"/>
        <v>2.2784810126582278E-2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4</v>
      </c>
      <c r="C44" s="8">
        <f t="shared" si="2"/>
        <v>1.0126582278481013E-2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5</v>
      </c>
      <c r="C45" s="8">
        <f t="shared" si="2"/>
        <v>1.2658227848101266E-2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3</v>
      </c>
      <c r="C46" s="8">
        <f t="shared" si="2"/>
        <v>7.5949367088607592E-3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2.5316455696202532E-3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2"/>
        <v>3.0379746835443037E-2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35</v>
      </c>
      <c r="C2" s="132"/>
      <c r="E2" s="28" t="s">
        <v>66</v>
      </c>
      <c r="F2" s="25" t="s">
        <v>22</v>
      </c>
      <c r="G2" s="13">
        <v>69</v>
      </c>
      <c r="H2" s="91">
        <f>IF(B$19=0,0,G2/B$19)</f>
        <v>0.90789473684210531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-3226.4705882352941</v>
      </c>
      <c r="P2" s="80">
        <v>34</v>
      </c>
      <c r="Q2" s="67">
        <v>-109700</v>
      </c>
    </row>
    <row r="3" spans="1:17" x14ac:dyDescent="0.45">
      <c r="A3" s="21" t="s">
        <v>8</v>
      </c>
      <c r="B3" s="133">
        <v>277</v>
      </c>
      <c r="C3" s="134"/>
      <c r="E3" s="29" t="s">
        <v>72</v>
      </c>
      <c r="F3" s="26" t="s">
        <v>27</v>
      </c>
      <c r="G3" s="14">
        <v>40</v>
      </c>
      <c r="H3" s="92">
        <f>IF(B$19=0,0,G3/B$19)</f>
        <v>0.52631578947368418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-400</v>
      </c>
      <c r="P3" s="81">
        <v>34</v>
      </c>
      <c r="Q3" s="68">
        <v>-13600</v>
      </c>
    </row>
    <row r="4" spans="1:17" x14ac:dyDescent="0.45">
      <c r="A4" s="21" t="s">
        <v>6</v>
      </c>
      <c r="B4" s="135">
        <v>-29.40000000000002</v>
      </c>
      <c r="C4" s="136"/>
      <c r="E4" s="29" t="s">
        <v>160</v>
      </c>
      <c r="F4" s="26" t="s">
        <v>161</v>
      </c>
      <c r="G4" s="14">
        <v>40</v>
      </c>
      <c r="H4" s="92">
        <f>IF(B$19=0,0,G4/B$19)</f>
        <v>0.52631578947368418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425.80645161290323</v>
      </c>
      <c r="P4" s="81">
        <v>31</v>
      </c>
      <c r="Q4" s="68">
        <v>13200</v>
      </c>
    </row>
    <row r="5" spans="1:17" x14ac:dyDescent="0.45">
      <c r="A5" s="21" t="s">
        <v>7</v>
      </c>
      <c r="B5" s="123">
        <f>IF(B$2=0,0,B$4/B$2)</f>
        <v>-0.84000000000000052</v>
      </c>
      <c r="C5" s="124"/>
      <c r="E5" s="29" t="s">
        <v>64</v>
      </c>
      <c r="F5" s="26" t="s">
        <v>20</v>
      </c>
      <c r="G5" s="14">
        <v>38</v>
      </c>
      <c r="H5" s="92">
        <f>IF(B$19=0,0,G5/B$19)</f>
        <v>0.5</v>
      </c>
      <c r="I5" s="60">
        <v>5</v>
      </c>
      <c r="K5" s="7">
        <v>3</v>
      </c>
      <c r="L5" s="65">
        <v>61.5</v>
      </c>
      <c r="N5" s="78" t="s">
        <v>131</v>
      </c>
      <c r="O5" s="84">
        <f t="shared" si="0"/>
        <v>-1800</v>
      </c>
      <c r="P5" s="81">
        <v>28</v>
      </c>
      <c r="Q5" s="68">
        <v>-50400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20</v>
      </c>
      <c r="H6" s="92">
        <f>IF(B$19=0,0,G6/B$19)</f>
        <v>0.26315789473684209</v>
      </c>
      <c r="I6" s="60">
        <v>10</v>
      </c>
      <c r="K6" s="7">
        <v>4</v>
      </c>
      <c r="L6" s="65">
        <v>27.4</v>
      </c>
      <c r="N6" s="78" t="s">
        <v>132</v>
      </c>
      <c r="O6" s="84">
        <f t="shared" si="0"/>
        <v>1648.148148148148</v>
      </c>
      <c r="P6" s="81">
        <v>27</v>
      </c>
      <c r="Q6" s="68">
        <v>44500</v>
      </c>
    </row>
    <row r="7" spans="1:17" x14ac:dyDescent="0.45">
      <c r="A7" s="21" t="s">
        <v>2</v>
      </c>
      <c r="B7" s="14">
        <v>14</v>
      </c>
      <c r="C7" s="8">
        <f t="shared" ref="C7:C14" si="1">IF(B$2=0,0,B7/B$2)</f>
        <v>0.4</v>
      </c>
      <c r="E7" s="29" t="s">
        <v>67</v>
      </c>
      <c r="F7" s="26" t="s">
        <v>23</v>
      </c>
      <c r="G7" s="14">
        <v>18</v>
      </c>
      <c r="H7" s="92">
        <f>IF(B$19=0,0,G7/B$19)</f>
        <v>0.23684210526315788</v>
      </c>
      <c r="I7" s="60">
        <v>5</v>
      </c>
      <c r="K7" s="7">
        <v>5</v>
      </c>
      <c r="L7" s="65">
        <v>18</v>
      </c>
      <c r="N7" s="79" t="s">
        <v>133</v>
      </c>
      <c r="O7" s="85">
        <f t="shared" si="0"/>
        <v>4210</v>
      </c>
      <c r="P7" s="82">
        <v>20</v>
      </c>
      <c r="Q7" s="69">
        <v>84200</v>
      </c>
    </row>
    <row r="8" spans="1:17" x14ac:dyDescent="0.45">
      <c r="A8" s="21" t="s">
        <v>3</v>
      </c>
      <c r="B8" s="14">
        <v>7</v>
      </c>
      <c r="C8" s="8">
        <f t="shared" si="1"/>
        <v>0.2</v>
      </c>
      <c r="E8" s="29" t="s">
        <v>89</v>
      </c>
      <c r="F8" s="26" t="s">
        <v>44</v>
      </c>
      <c r="G8" s="14">
        <v>11</v>
      </c>
      <c r="H8" s="92">
        <f>IF(B$19=0,0,G8/B$19)</f>
        <v>0.14473684210526316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14</v>
      </c>
      <c r="C9" s="9">
        <f t="shared" si="1"/>
        <v>0.4</v>
      </c>
      <c r="E9" s="29" t="s">
        <v>65</v>
      </c>
      <c r="F9" s="26" t="s">
        <v>21</v>
      </c>
      <c r="G9" s="14">
        <v>9</v>
      </c>
      <c r="H9" s="92">
        <f>IF(B$19=0,0,G9/B$19)</f>
        <v>0.11842105263157894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41.664285714285725</v>
      </c>
      <c r="C10" s="114">
        <v>583.30000000000018</v>
      </c>
      <c r="E10" s="29" t="s">
        <v>70</v>
      </c>
      <c r="F10" s="26" t="s">
        <v>25</v>
      </c>
      <c r="G10" s="14">
        <v>7</v>
      </c>
      <c r="H10" s="92">
        <f>IF(B$19=0,0,G10/B$19)</f>
        <v>9.2105263157894732E-2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-8.5500000000000025</v>
      </c>
      <c r="P10" s="80">
        <v>12</v>
      </c>
      <c r="Q10" s="71">
        <v>-102.60000000000002</v>
      </c>
    </row>
    <row r="11" spans="1:17" x14ac:dyDescent="0.45">
      <c r="A11" s="22" t="s">
        <v>186</v>
      </c>
      <c r="B11" s="113">
        <f>IF(B8=0,0,C11/B8)</f>
        <v>-5.3857142857142861</v>
      </c>
      <c r="C11" s="114">
        <v>-37.700000000000003</v>
      </c>
      <c r="E11" s="29" t="s">
        <v>86</v>
      </c>
      <c r="F11" s="26" t="s">
        <v>41</v>
      </c>
      <c r="G11" s="14">
        <v>7</v>
      </c>
      <c r="H11" s="92">
        <f>IF(B$19=0,0,G11/B$19)</f>
        <v>9.2105263157894732E-2</v>
      </c>
      <c r="I11" s="60">
        <v>3</v>
      </c>
      <c r="K11" s="7">
        <v>9</v>
      </c>
      <c r="L11" s="65">
        <v>33.5</v>
      </c>
      <c r="N11" s="78" t="s">
        <v>153</v>
      </c>
      <c r="O11" s="87">
        <f>IF(P11=0,0,Q11/P11)</f>
        <v>12.366666666666665</v>
      </c>
      <c r="P11" s="81">
        <v>9</v>
      </c>
      <c r="Q11" s="72">
        <v>111.29999999999998</v>
      </c>
    </row>
    <row r="12" spans="1:17" x14ac:dyDescent="0.45">
      <c r="A12" s="22" t="s">
        <v>187</v>
      </c>
      <c r="B12" s="113">
        <f>IF(B9=0,0,C12/B9)</f>
        <v>-41.071428571428562</v>
      </c>
      <c r="C12" s="114">
        <v>-574.99999999999989</v>
      </c>
      <c r="E12" s="29" t="s">
        <v>69</v>
      </c>
      <c r="F12" s="26" t="s">
        <v>24</v>
      </c>
      <c r="G12" s="14">
        <v>5</v>
      </c>
      <c r="H12" s="92">
        <f>IF(B$19=0,0,G12/B$19)</f>
        <v>6.5789473684210523E-2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-2.7214285714285711</v>
      </c>
      <c r="P12" s="82">
        <v>14</v>
      </c>
      <c r="Q12" s="73">
        <v>-38.099999999999994</v>
      </c>
    </row>
    <row r="13" spans="1:17" x14ac:dyDescent="0.45">
      <c r="A13" s="22" t="s">
        <v>188</v>
      </c>
      <c r="B13" s="123">
        <f>AVERAGE(B10:B12)</f>
        <v>-1.5976190476190411</v>
      </c>
      <c r="C13" s="124"/>
      <c r="E13" s="29" t="s">
        <v>91</v>
      </c>
      <c r="F13" s="26" t="s">
        <v>46</v>
      </c>
      <c r="G13" s="14">
        <v>5</v>
      </c>
      <c r="H13" s="92">
        <f>IF(B$19=0,0,G13/B$19)</f>
        <v>6.5789473684210523E-2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7</v>
      </c>
      <c r="C14" s="11">
        <f t="shared" si="1"/>
        <v>0.2</v>
      </c>
      <c r="E14" s="29" t="s">
        <v>71</v>
      </c>
      <c r="F14" s="26" t="s">
        <v>26</v>
      </c>
      <c r="G14" s="14">
        <v>4</v>
      </c>
      <c r="H14" s="92">
        <f>IF(B$19=0,0,G14/B$19)</f>
        <v>5.2631578947368418E-2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82</v>
      </c>
      <c r="C15" s="12">
        <f>IF(B$3=0,0,B15/B$3)</f>
        <v>0.29602888086642598</v>
      </c>
      <c r="E15" s="29" t="s">
        <v>79</v>
      </c>
      <c r="F15" s="26" t="s">
        <v>34</v>
      </c>
      <c r="G15" s="14">
        <v>3</v>
      </c>
      <c r="H15" s="92">
        <f>IF(B$19=0,0,G15/B$19)</f>
        <v>3.9473684210526314E-2</v>
      </c>
      <c r="I15" s="60">
        <v>3</v>
      </c>
      <c r="K15" s="7">
        <v>13</v>
      </c>
      <c r="L15" s="65">
        <v>-33.5</v>
      </c>
      <c r="N15" s="77" t="s">
        <v>205</v>
      </c>
      <c r="O15" s="86">
        <f>IF(P15=0,0,Q15/P15)</f>
        <v>29.925000000000001</v>
      </c>
      <c r="P15" s="80">
        <v>4</v>
      </c>
      <c r="Q15" s="71">
        <v>119.7</v>
      </c>
    </row>
    <row r="16" spans="1:17" x14ac:dyDescent="0.45">
      <c r="A16" s="21" t="s">
        <v>118</v>
      </c>
      <c r="B16" s="14">
        <v>59</v>
      </c>
      <c r="C16" s="8">
        <f>IF(B$3=0,0,B16/B$3)</f>
        <v>0.21299638989169675</v>
      </c>
      <c r="E16" s="29" t="s">
        <v>81</v>
      </c>
      <c r="F16" s="26" t="s">
        <v>36</v>
      </c>
      <c r="G16" s="14">
        <v>3</v>
      </c>
      <c r="H16" s="92">
        <f>IF(B$19=0,0,G16/B$19)</f>
        <v>3.9473684210526314E-2</v>
      </c>
      <c r="I16" s="60">
        <v>3</v>
      </c>
      <c r="K16" s="7">
        <v>14</v>
      </c>
      <c r="L16" s="65">
        <v>15.100000000000001</v>
      </c>
      <c r="N16" s="78" t="s">
        <v>189</v>
      </c>
      <c r="O16" s="87">
        <f>IF(P16=0,0,Q16/P16)</f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0.45121951219512196</v>
      </c>
      <c r="E17" s="29" t="s">
        <v>78</v>
      </c>
      <c r="F17" s="26" t="s">
        <v>33</v>
      </c>
      <c r="G17" s="14">
        <v>2</v>
      </c>
      <c r="H17" s="92">
        <f>IF(B$19=0,0,G17/B$19)</f>
        <v>2.6315789473684209E-2</v>
      </c>
      <c r="I17" s="60">
        <v>7</v>
      </c>
      <c r="K17" s="7">
        <v>15</v>
      </c>
      <c r="L17" s="65">
        <v>-33.1</v>
      </c>
      <c r="N17" s="78" t="s">
        <v>192</v>
      </c>
      <c r="O17" s="87">
        <f>IF(P17=0,0,Q17/P17)</f>
        <v>11.835714285714285</v>
      </c>
      <c r="P17" s="81">
        <v>14</v>
      </c>
      <c r="Q17" s="72">
        <v>165.7</v>
      </c>
    </row>
    <row r="18" spans="1:17" x14ac:dyDescent="0.45">
      <c r="A18" s="20" t="s">
        <v>124</v>
      </c>
      <c r="B18" s="13">
        <f>B24</f>
        <v>24</v>
      </c>
      <c r="C18" s="6">
        <f>IF(B$16=0,0,B18/B$16)</f>
        <v>0.40677966101694918</v>
      </c>
      <c r="E18" s="29" t="s">
        <v>83</v>
      </c>
      <c r="F18" s="26" t="s">
        <v>38</v>
      </c>
      <c r="G18" s="14">
        <v>2</v>
      </c>
      <c r="H18" s="92">
        <f>IF(B$19=0,0,G18/B$19)</f>
        <v>2.6315789473684209E-2</v>
      </c>
      <c r="I18" s="60">
        <v>7</v>
      </c>
      <c r="K18" s="7">
        <v>16</v>
      </c>
      <c r="L18" s="65">
        <v>-10.8</v>
      </c>
      <c r="N18" s="78" t="s">
        <v>213</v>
      </c>
      <c r="O18" s="87">
        <f>IF(P18=0,0,Q18/P18)</f>
        <v>9.1222222222222218</v>
      </c>
      <c r="P18" s="81">
        <v>9</v>
      </c>
      <c r="Q18" s="72">
        <v>82.1</v>
      </c>
    </row>
    <row r="19" spans="1:17" x14ac:dyDescent="0.45">
      <c r="A19" s="20" t="s">
        <v>10</v>
      </c>
      <c r="B19" s="13">
        <f>B22+B21</f>
        <v>76</v>
      </c>
      <c r="C19" s="6">
        <f>IF(B$3=0,0,B19/B$3)</f>
        <v>0.27436823104693142</v>
      </c>
      <c r="E19" s="29" t="s">
        <v>92</v>
      </c>
      <c r="F19" s="26" t="s">
        <v>47</v>
      </c>
      <c r="G19" s="14">
        <v>2</v>
      </c>
      <c r="H19" s="92">
        <f>IF(B$19=0,0,G19/B$19)</f>
        <v>2.6315789473684209E-2</v>
      </c>
      <c r="I19" s="60">
        <v>3</v>
      </c>
      <c r="K19" s="7">
        <v>17</v>
      </c>
      <c r="L19" s="65">
        <v>-32.900000000000006</v>
      </c>
      <c r="N19" s="78" t="s">
        <v>196</v>
      </c>
      <c r="O19" s="87">
        <f>IF(P19=0,0,Q19/P19)</f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57</v>
      </c>
      <c r="C20" s="8">
        <f>IF(B$3=0,0,B20/B$3)</f>
        <v>0.20577617328519857</v>
      </c>
      <c r="E20" s="29" t="s">
        <v>75</v>
      </c>
      <c r="F20" s="26" t="s">
        <v>30</v>
      </c>
      <c r="G20" s="14">
        <v>1</v>
      </c>
      <c r="H20" s="92">
        <f>IF(B$19=0,0,G20/B$19)</f>
        <v>1.3157894736842105E-2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-6.4399999999999942</v>
      </c>
      <c r="P20" s="81">
        <v>25</v>
      </c>
      <c r="Q20" s="72">
        <v>-160.99999999999986</v>
      </c>
    </row>
    <row r="21" spans="1:17" x14ac:dyDescent="0.45">
      <c r="A21" s="21" t="s">
        <v>12</v>
      </c>
      <c r="B21" s="14">
        <v>33</v>
      </c>
      <c r="C21" s="8">
        <f>IF(B$19=0,0,B21/B$19)</f>
        <v>0.43421052631578949</v>
      </c>
      <c r="E21" s="29" t="s">
        <v>97</v>
      </c>
      <c r="F21" s="26" t="s">
        <v>52</v>
      </c>
      <c r="G21" s="14">
        <v>1</v>
      </c>
      <c r="H21" s="92">
        <f>IF(B$19=0,0,G21/B$19)</f>
        <v>1.3157894736842105E-2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>IF(P21=0,0,Q21/P21)</f>
        <v>-32.566666666666663</v>
      </c>
      <c r="P21" s="81">
        <v>6</v>
      </c>
      <c r="Q21" s="72">
        <v>-195.39999999999998</v>
      </c>
    </row>
    <row r="22" spans="1:17" x14ac:dyDescent="0.45">
      <c r="A22" s="21" t="s">
        <v>11</v>
      </c>
      <c r="B22" s="14">
        <v>43</v>
      </c>
      <c r="C22" s="8">
        <f>IF(B$19=0,0,B22/B$19)</f>
        <v>0.56578947368421051</v>
      </c>
      <c r="E22" s="29" t="s">
        <v>156</v>
      </c>
      <c r="F22" s="26" t="s">
        <v>157</v>
      </c>
      <c r="G22" s="14">
        <v>1</v>
      </c>
      <c r="H22" s="92">
        <f>IF(B$19=0,0,G22/B$19)</f>
        <v>1.3157894736842105E-2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>IF(P22=0,0,Q22/P22)</f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37</v>
      </c>
      <c r="C23" s="8">
        <f>IF(B$19=0,0,B23/B$19)</f>
        <v>0.48684210526315791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24</v>
      </c>
      <c r="C24" s="8">
        <f>IF(B$19=0,0,B24/B$19)</f>
        <v>0.31578947368421051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15</v>
      </c>
      <c r="C25" s="8">
        <f>IF(B$19=0,0,B25/B$19)</f>
        <v>0.19736842105263158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10676.315789473685</v>
      </c>
      <c r="C26" s="10">
        <v>811400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11601.923076923076</v>
      </c>
      <c r="C27" s="100">
        <v>603300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8670.8333333333339</v>
      </c>
      <c r="C28" s="100">
        <v>208100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-8117.5438596491231</v>
      </c>
      <c r="C29" s="100">
        <v>-462700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12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1</v>
      </c>
      <c r="C34" s="11">
        <f>IF(B$3=0,0,B34/B$3)</f>
        <v>3.6101083032490976E-3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2">IF(B$19=0,0,B36/B$19)</f>
        <v>2.6315789473684209E-2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11</v>
      </c>
      <c r="C37" s="8">
        <f t="shared" si="2"/>
        <v>0.14473684210526316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4</v>
      </c>
      <c r="C38" s="8">
        <f t="shared" si="2"/>
        <v>5.2631578947368418E-2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20</v>
      </c>
      <c r="C39" s="8">
        <f t="shared" si="2"/>
        <v>0.26315789473684209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16</v>
      </c>
      <c r="C40" s="8">
        <f t="shared" si="2"/>
        <v>0.21052631578947367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7</v>
      </c>
      <c r="C41" s="8">
        <f t="shared" si="2"/>
        <v>9.2105263157894732E-2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8</v>
      </c>
      <c r="C42" s="8">
        <f t="shared" si="2"/>
        <v>0.10526315789473684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3</v>
      </c>
      <c r="C43" s="8">
        <f t="shared" si="2"/>
        <v>3.9473684210526314E-2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1.3157894736842105E-2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2"/>
        <v>1.3157894736842105E-2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2"/>
        <v>3.9473684210526314E-2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7</v>
      </c>
      <c r="C2" s="132"/>
      <c r="E2" s="28" t="s">
        <v>66</v>
      </c>
      <c r="F2" s="25" t="s">
        <v>22</v>
      </c>
      <c r="G2" s="13">
        <v>14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2316.6666666666665</v>
      </c>
      <c r="P2" s="80">
        <v>6</v>
      </c>
      <c r="Q2" s="67">
        <v>13900</v>
      </c>
    </row>
    <row r="3" spans="1:17" x14ac:dyDescent="0.45">
      <c r="A3" s="21" t="s">
        <v>8</v>
      </c>
      <c r="B3" s="133">
        <v>54</v>
      </c>
      <c r="C3" s="134"/>
      <c r="E3" s="29" t="s">
        <v>72</v>
      </c>
      <c r="F3" s="26" t="s">
        <v>27</v>
      </c>
      <c r="G3" s="14">
        <v>11</v>
      </c>
      <c r="H3" s="92">
        <f>IF(B$19=0,0,G3/B$19)</f>
        <v>0.7857142857142857</v>
      </c>
      <c r="I3" s="60">
        <v>1</v>
      </c>
      <c r="K3" s="7">
        <v>1</v>
      </c>
      <c r="L3" s="65">
        <v>-36.299999999999997</v>
      </c>
      <c r="N3" s="78" t="s">
        <v>129</v>
      </c>
      <c r="O3" s="84">
        <f t="shared" si="0"/>
        <v>142.85714285714286</v>
      </c>
      <c r="P3" s="81">
        <v>7</v>
      </c>
      <c r="Q3" s="68">
        <v>1000</v>
      </c>
    </row>
    <row r="4" spans="1:17" x14ac:dyDescent="0.45">
      <c r="A4" s="21" t="s">
        <v>6</v>
      </c>
      <c r="B4" s="135">
        <v>-26.899999999999988</v>
      </c>
      <c r="C4" s="136"/>
      <c r="E4" s="29" t="s">
        <v>64</v>
      </c>
      <c r="F4" s="26" t="s">
        <v>20</v>
      </c>
      <c r="G4" s="14">
        <v>9</v>
      </c>
      <c r="H4" s="92">
        <f>IF(B$19=0,0,G4/B$19)</f>
        <v>0.6428571428571429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-3385.7142857142858</v>
      </c>
      <c r="P4" s="81">
        <v>7</v>
      </c>
      <c r="Q4" s="68">
        <v>-23700</v>
      </c>
    </row>
    <row r="5" spans="1:17" x14ac:dyDescent="0.45">
      <c r="A5" s="21" t="s">
        <v>7</v>
      </c>
      <c r="B5" s="123">
        <f>IF(B$2=0,0,B$4/B$2)</f>
        <v>-3.8428571428571412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0.6428571428571429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2485.7142857142858</v>
      </c>
      <c r="P5" s="81">
        <v>7</v>
      </c>
      <c r="Q5" s="68">
        <v>17400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0.2857142857142857</v>
      </c>
      <c r="I6" s="60">
        <v>6</v>
      </c>
      <c r="K6" s="7">
        <v>4</v>
      </c>
      <c r="L6" s="65">
        <v>-83.899999999999991</v>
      </c>
      <c r="N6" s="78" t="s">
        <v>132</v>
      </c>
      <c r="O6" s="84">
        <f t="shared" si="0"/>
        <v>1000</v>
      </c>
      <c r="P6" s="81">
        <v>6</v>
      </c>
      <c r="Q6" s="68">
        <v>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0.2857142857142857</v>
      </c>
      <c r="E7" s="29" t="s">
        <v>89</v>
      </c>
      <c r="F7" s="26" t="s">
        <v>44</v>
      </c>
      <c r="G7" s="14">
        <v>3</v>
      </c>
      <c r="H7" s="92">
        <f>IF(B$19=0,0,G7/B$19)</f>
        <v>0.21428571428571427</v>
      </c>
      <c r="I7" s="60">
        <v>2</v>
      </c>
      <c r="K7" s="7">
        <v>5</v>
      </c>
      <c r="L7" s="65">
        <v>-57.899999999999991</v>
      </c>
      <c r="N7" s="79" t="s">
        <v>133</v>
      </c>
      <c r="O7" s="85">
        <f t="shared" si="0"/>
        <v>-6916.666666666667</v>
      </c>
      <c r="P7" s="82">
        <v>6</v>
      </c>
      <c r="Q7" s="69">
        <v>-41500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65</v>
      </c>
      <c r="F8" s="26" t="s">
        <v>21</v>
      </c>
      <c r="G8" s="14">
        <v>2</v>
      </c>
      <c r="H8" s="92">
        <f>IF(B$19=0,0,G8/B$19)</f>
        <v>0.14285714285714285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0.2857142857142857</v>
      </c>
      <c r="E9" s="29" t="s">
        <v>67</v>
      </c>
      <c r="F9" s="26" t="s">
        <v>23</v>
      </c>
      <c r="G9" s="14">
        <v>2</v>
      </c>
      <c r="H9" s="92">
        <f>IF(B$19=0,0,G9/B$19)</f>
        <v>0.14285714285714285</v>
      </c>
      <c r="I9" s="60">
        <v>9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0.14285714285714285</v>
      </c>
      <c r="I10" s="60">
        <v>3</v>
      </c>
      <c r="N10" s="77" t="s">
        <v>152</v>
      </c>
      <c r="O10" s="86">
        <f>IF(P10=0,0,Q10/P10)</f>
        <v>1.7250000000000005</v>
      </c>
      <c r="P10" s="80">
        <v>4</v>
      </c>
      <c r="Q10" s="71">
        <v>6.9000000000000021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-11.266666666666666</v>
      </c>
      <c r="P11" s="81">
        <v>3</v>
      </c>
      <c r="Q11" s="72">
        <v>-33.799999999999997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77</v>
      </c>
      <c r="F12" s="26" t="s">
        <v>32</v>
      </c>
      <c r="G12" s="14">
        <v>1</v>
      </c>
      <c r="H12" s="92">
        <f>IF(B$19=0,0,G12/B$19)</f>
        <v>7.1428571428571425E-2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-3.4222222222222221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7.1428571428571425E-2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5</v>
      </c>
      <c r="C16" s="8">
        <f>IF(B$3=0,0,B16/B$3)</f>
        <v>9.2592592592592587E-2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49.75</v>
      </c>
      <c r="P16" s="81">
        <v>2</v>
      </c>
      <c r="Q16" s="72">
        <v>99.5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126</v>
      </c>
      <c r="O17" s="87">
        <f>IF(P17=0,0,Q17/P17)</f>
        <v>-15.100000000000001</v>
      </c>
      <c r="P17" s="81">
        <v>4</v>
      </c>
      <c r="Q17" s="72">
        <v>-60.400000000000006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0.6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-23.599999999999998</v>
      </c>
      <c r="P18" s="81">
        <v>3</v>
      </c>
      <c r="Q18" s="72">
        <v>-70.8</v>
      </c>
    </row>
    <row r="19" spans="1:17" x14ac:dyDescent="0.45">
      <c r="A19" s="20" t="s">
        <v>10</v>
      </c>
      <c r="B19" s="13">
        <f>B22+B21</f>
        <v>14</v>
      </c>
      <c r="C19" s="6">
        <f>IF(B$3=0,0,B19/B$3)</f>
        <v>0.25925925925925924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164</v>
      </c>
      <c r="O19" s="87">
        <f>IF(P19=0,0,Q19/P19)</f>
        <v>-26.674999999999997</v>
      </c>
      <c r="P19" s="81">
        <v>4</v>
      </c>
      <c r="Q19" s="72">
        <v>-106.69999999999999</v>
      </c>
    </row>
    <row r="20" spans="1:17" x14ac:dyDescent="0.45">
      <c r="A20" s="21" t="s">
        <v>13</v>
      </c>
      <c r="B20" s="14">
        <v>14</v>
      </c>
      <c r="C20" s="8">
        <f>IF(B$3=0,0,B20/B$3)</f>
        <v>0.25925925925925924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0.6428571428571429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0.35714285714285715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8</v>
      </c>
      <c r="C23" s="8">
        <f>IF(B$19=0,0,B23/B$19)</f>
        <v>0.5714285714285714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0.21428571428571427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0.21428571428571427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9985.7142857142862</v>
      </c>
      <c r="C26" s="10">
        <v>139800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9281.818181818182</v>
      </c>
      <c r="C27" s="100">
        <v>102100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-6628.5714285714284</v>
      </c>
      <c r="C29" s="100">
        <v>-92800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1.8518518518518517E-2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0.21428571428571427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0.14285714285714285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0.21428571428571427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0.35714285714285715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7.1428571428571425E-2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42</v>
      </c>
      <c r="C2" s="132"/>
      <c r="E2" s="28" t="s">
        <v>66</v>
      </c>
      <c r="F2" s="25" t="s">
        <v>22</v>
      </c>
      <c r="G2" s="13">
        <v>71</v>
      </c>
      <c r="H2" s="91">
        <f>IF(B$19=0,0,G2/B$19)</f>
        <v>0.66981132075471694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-269.04761904761904</v>
      </c>
      <c r="P2" s="80">
        <v>42</v>
      </c>
      <c r="Q2" s="67">
        <v>-11300</v>
      </c>
    </row>
    <row r="3" spans="1:17" x14ac:dyDescent="0.45">
      <c r="A3" s="21" t="s">
        <v>8</v>
      </c>
      <c r="B3" s="133">
        <v>315</v>
      </c>
      <c r="C3" s="134"/>
      <c r="E3" s="29" t="s">
        <v>72</v>
      </c>
      <c r="F3" s="26" t="s">
        <v>27</v>
      </c>
      <c r="G3" s="14">
        <v>45</v>
      </c>
      <c r="H3" s="92">
        <f>IF(B$19=0,0,G3/B$19)</f>
        <v>0.42452830188679247</v>
      </c>
      <c r="I3" s="60">
        <v>9</v>
      </c>
      <c r="K3" s="7">
        <v>1</v>
      </c>
      <c r="L3" s="65">
        <v>39.200000000000003</v>
      </c>
      <c r="N3" s="78" t="s">
        <v>129</v>
      </c>
      <c r="O3" s="84">
        <f t="shared" si="0"/>
        <v>5014.6341463414637</v>
      </c>
      <c r="P3" s="81">
        <v>41</v>
      </c>
      <c r="Q3" s="68">
        <v>205600</v>
      </c>
    </row>
    <row r="4" spans="1:17" x14ac:dyDescent="0.45">
      <c r="A4" s="21" t="s">
        <v>6</v>
      </c>
      <c r="B4" s="135">
        <v>530.70000000000016</v>
      </c>
      <c r="C4" s="136"/>
      <c r="E4" s="29" t="s">
        <v>160</v>
      </c>
      <c r="F4" s="26" t="s">
        <v>161</v>
      </c>
      <c r="G4" s="14">
        <v>43</v>
      </c>
      <c r="H4" s="92">
        <f>IF(B$19=0,0,G4/B$19)</f>
        <v>0.40566037735849059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5336.8421052631575</v>
      </c>
      <c r="P4" s="81">
        <v>38</v>
      </c>
      <c r="Q4" s="68">
        <v>202800</v>
      </c>
    </row>
    <row r="5" spans="1:17" x14ac:dyDescent="0.45">
      <c r="A5" s="21" t="s">
        <v>7</v>
      </c>
      <c r="B5" s="123">
        <f>IF(B$2=0,0,B$4/B$2)</f>
        <v>12.63571428571429</v>
      </c>
      <c r="C5" s="124"/>
      <c r="E5" s="29" t="s">
        <v>64</v>
      </c>
      <c r="F5" s="26" t="s">
        <v>20</v>
      </c>
      <c r="G5" s="14">
        <v>42</v>
      </c>
      <c r="H5" s="92">
        <f>IF(B$19=0,0,G5/B$19)</f>
        <v>0.39622641509433965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3806.25</v>
      </c>
      <c r="P5" s="81">
        <v>32</v>
      </c>
      <c r="Q5" s="68">
        <v>121800</v>
      </c>
    </row>
    <row r="6" spans="1:17" x14ac:dyDescent="0.45">
      <c r="A6" s="21" t="s">
        <v>1</v>
      </c>
      <c r="B6" s="137">
        <f>IF(B$2=0,0,(B$7*1+B$8*2+B$9*3)/B$2)</f>
        <v>1.7619047619047619</v>
      </c>
      <c r="C6" s="138"/>
      <c r="E6" s="29" t="s">
        <v>68</v>
      </c>
      <c r="F6" s="26" t="s">
        <v>12</v>
      </c>
      <c r="G6" s="14">
        <v>40</v>
      </c>
      <c r="H6" s="92">
        <f>IF(B$19=0,0,G6/B$19)</f>
        <v>0.37735849056603776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-1440</v>
      </c>
      <c r="P6" s="81">
        <v>30</v>
      </c>
      <c r="Q6" s="68">
        <v>-43200</v>
      </c>
    </row>
    <row r="7" spans="1:17" x14ac:dyDescent="0.45">
      <c r="A7" s="21" t="s">
        <v>2</v>
      </c>
      <c r="B7" s="14">
        <v>18</v>
      </c>
      <c r="C7" s="8">
        <f t="shared" ref="C7:C14" si="1">IF(B$2=0,0,B7/B$2)</f>
        <v>0.42857142857142855</v>
      </c>
      <c r="E7" s="29" t="s">
        <v>67</v>
      </c>
      <c r="F7" s="26" t="s">
        <v>23</v>
      </c>
      <c r="G7" s="14">
        <v>24</v>
      </c>
      <c r="H7" s="92">
        <f>IF(B$19=0,0,G7/B$19)</f>
        <v>0.22641509433962265</v>
      </c>
      <c r="I7" s="60">
        <v>7</v>
      </c>
      <c r="K7" s="7">
        <v>5</v>
      </c>
      <c r="L7" s="65">
        <v>143.1</v>
      </c>
      <c r="N7" s="79" t="s">
        <v>133</v>
      </c>
      <c r="O7" s="85">
        <f t="shared" si="0"/>
        <v>-483.33333333333331</v>
      </c>
      <c r="P7" s="82">
        <v>24</v>
      </c>
      <c r="Q7" s="69">
        <v>-11600</v>
      </c>
    </row>
    <row r="8" spans="1:17" x14ac:dyDescent="0.45">
      <c r="A8" s="21" t="s">
        <v>3</v>
      </c>
      <c r="B8" s="14">
        <v>16</v>
      </c>
      <c r="C8" s="8">
        <f t="shared" si="1"/>
        <v>0.38095238095238093</v>
      </c>
      <c r="E8" s="29" t="s">
        <v>69</v>
      </c>
      <c r="F8" s="26" t="s">
        <v>24</v>
      </c>
      <c r="G8" s="14">
        <v>20</v>
      </c>
      <c r="H8" s="92">
        <f>IF(B$19=0,0,G8/B$19)</f>
        <v>0.18867924528301888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0.19047619047619047</v>
      </c>
      <c r="E9" s="29" t="s">
        <v>89</v>
      </c>
      <c r="F9" s="26" t="s">
        <v>44</v>
      </c>
      <c r="G9" s="14">
        <v>19</v>
      </c>
      <c r="H9" s="92">
        <f>IF(B$19=0,0,G9/B$19)</f>
        <v>0.17924528301886791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45.694444444444443</v>
      </c>
      <c r="C10" s="114">
        <v>822.5</v>
      </c>
      <c r="E10" s="29" t="s">
        <v>65</v>
      </c>
      <c r="F10" s="26" t="s">
        <v>21</v>
      </c>
      <c r="G10" s="14">
        <v>11</v>
      </c>
      <c r="H10" s="92">
        <f>IF(B$19=0,0,G10/B$19)</f>
        <v>0.10377358490566038</v>
      </c>
      <c r="I10" s="60">
        <v>7</v>
      </c>
      <c r="K10" s="7">
        <v>8</v>
      </c>
      <c r="L10" s="65">
        <v>132.6</v>
      </c>
      <c r="N10" s="77" t="s">
        <v>152</v>
      </c>
      <c r="O10" s="86">
        <f>IF(P10=0,0,Q10/P10)</f>
        <v>-2.3916666666666662</v>
      </c>
      <c r="P10" s="80">
        <v>12</v>
      </c>
      <c r="Q10" s="71">
        <v>-28.699999999999996</v>
      </c>
    </row>
    <row r="11" spans="1:17" x14ac:dyDescent="0.45">
      <c r="A11" s="22" t="s">
        <v>186</v>
      </c>
      <c r="B11" s="113">
        <f>IF(B8=0,0,C11/B8)</f>
        <v>0.60000000000000009</v>
      </c>
      <c r="C11" s="114">
        <v>9.6000000000000014</v>
      </c>
      <c r="E11" s="29" t="s">
        <v>86</v>
      </c>
      <c r="F11" s="26" t="s">
        <v>41</v>
      </c>
      <c r="G11" s="14">
        <v>10</v>
      </c>
      <c r="H11" s="92">
        <f>IF(B$19=0,0,G11/B$19)</f>
        <v>9.4339622641509441E-2</v>
      </c>
      <c r="I11" s="60">
        <v>2</v>
      </c>
      <c r="K11" s="7">
        <v>9</v>
      </c>
      <c r="L11" s="65">
        <v>151.29999999999998</v>
      </c>
      <c r="N11" s="78" t="s">
        <v>153</v>
      </c>
      <c r="O11" s="87">
        <f>IF(P11=0,0,Q11/P11)</f>
        <v>16.393333333333331</v>
      </c>
      <c r="P11" s="81">
        <v>15</v>
      </c>
      <c r="Q11" s="72">
        <v>245.89999999999998</v>
      </c>
    </row>
    <row r="12" spans="1:17" x14ac:dyDescent="0.45">
      <c r="A12" s="22" t="s">
        <v>187</v>
      </c>
      <c r="B12" s="113">
        <f>IF(B9=0,0,C12/B9)</f>
        <v>-37.675000000000004</v>
      </c>
      <c r="C12" s="114">
        <v>-301.40000000000003</v>
      </c>
      <c r="E12" s="29" t="s">
        <v>71</v>
      </c>
      <c r="F12" s="26" t="s">
        <v>26</v>
      </c>
      <c r="G12" s="14">
        <v>7</v>
      </c>
      <c r="H12" s="92">
        <f>IF(B$19=0,0,G12/B$19)</f>
        <v>6.6037735849056603E-2</v>
      </c>
      <c r="I12" s="60">
        <v>5</v>
      </c>
      <c r="K12" s="7">
        <v>10</v>
      </c>
      <c r="L12" s="65">
        <v>229</v>
      </c>
      <c r="N12" s="79" t="s">
        <v>154</v>
      </c>
      <c r="O12" s="88">
        <f>IF(P12=0,0,Q12/P12)</f>
        <v>20.900000000000002</v>
      </c>
      <c r="P12" s="82">
        <v>15</v>
      </c>
      <c r="Q12" s="73">
        <v>313.50000000000006</v>
      </c>
    </row>
    <row r="13" spans="1:17" x14ac:dyDescent="0.45">
      <c r="A13" s="22" t="s">
        <v>188</v>
      </c>
      <c r="B13" s="123">
        <f>AVERAGE(B10:B12)</f>
        <v>2.8731481481481467</v>
      </c>
      <c r="C13" s="124"/>
      <c r="E13" s="29" t="s">
        <v>83</v>
      </c>
      <c r="F13" s="26" t="s">
        <v>38</v>
      </c>
      <c r="G13" s="14">
        <v>7</v>
      </c>
      <c r="H13" s="92">
        <f>IF(B$19=0,0,G13/B$19)</f>
        <v>6.6037735849056603E-2</v>
      </c>
      <c r="I13" s="60">
        <v>4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2.3809523809523808E-2</v>
      </c>
      <c r="E14" s="29" t="s">
        <v>70</v>
      </c>
      <c r="F14" s="26" t="s">
        <v>25</v>
      </c>
      <c r="G14" s="14">
        <v>6</v>
      </c>
      <c r="H14" s="92">
        <f>IF(B$19=0,0,G14/B$19)</f>
        <v>5.6603773584905662E-2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79</v>
      </c>
      <c r="C15" s="12">
        <f>IF(B$3=0,0,B15/B$3)</f>
        <v>0.25079365079365079</v>
      </c>
      <c r="E15" s="29" t="s">
        <v>156</v>
      </c>
      <c r="F15" s="26" t="s">
        <v>157</v>
      </c>
      <c r="G15" s="14">
        <v>4</v>
      </c>
      <c r="H15" s="92">
        <f>IF(B$19=0,0,G15/B$19)</f>
        <v>3.7735849056603772E-2</v>
      </c>
      <c r="I15" s="60">
        <v>1</v>
      </c>
      <c r="K15" s="7">
        <v>13</v>
      </c>
      <c r="L15" s="65">
        <v>197</v>
      </c>
      <c r="N15" s="77" t="s">
        <v>194</v>
      </c>
      <c r="O15" s="86">
        <f>IF(P15=0,0,Q15/P15)</f>
        <v>51.2</v>
      </c>
      <c r="P15" s="80">
        <v>8</v>
      </c>
      <c r="Q15" s="71">
        <v>409.6</v>
      </c>
    </row>
    <row r="16" spans="1:17" x14ac:dyDescent="0.45">
      <c r="A16" s="21" t="s">
        <v>118</v>
      </c>
      <c r="B16" s="14">
        <v>56</v>
      </c>
      <c r="C16" s="8">
        <f>IF(B$3=0,0,B16/B$3)</f>
        <v>0.17777777777777778</v>
      </c>
      <c r="E16" s="29" t="s">
        <v>92</v>
      </c>
      <c r="F16" s="26" t="s">
        <v>47</v>
      </c>
      <c r="G16" s="14">
        <v>3</v>
      </c>
      <c r="H16" s="92">
        <f>IF(B$19=0,0,G16/B$19)</f>
        <v>2.8301886792452831E-2</v>
      </c>
      <c r="I16" s="60">
        <v>2</v>
      </c>
      <c r="K16" s="7">
        <v>14</v>
      </c>
      <c r="L16" s="65">
        <v>249.2</v>
      </c>
      <c r="N16" s="78" t="s">
        <v>196</v>
      </c>
      <c r="O16" s="87">
        <f>IF(P16=0,0,Q16/P16)</f>
        <v>34.9</v>
      </c>
      <c r="P16" s="81">
        <v>2</v>
      </c>
      <c r="Q16" s="72">
        <v>69.8</v>
      </c>
    </row>
    <row r="17" spans="1:17" x14ac:dyDescent="0.45">
      <c r="A17" s="20" t="s">
        <v>123</v>
      </c>
      <c r="B17" s="13">
        <f>B23</f>
        <v>48</v>
      </c>
      <c r="C17" s="6">
        <f>IF(B$15=0,0,B17/B$15)</f>
        <v>0.60759493670886078</v>
      </c>
      <c r="E17" s="29" t="s">
        <v>79</v>
      </c>
      <c r="F17" s="26" t="s">
        <v>34</v>
      </c>
      <c r="G17" s="14">
        <v>2</v>
      </c>
      <c r="H17" s="92">
        <f>IF(B$19=0,0,G17/B$19)</f>
        <v>1.8867924528301886E-2</v>
      </c>
      <c r="I17" s="60">
        <v>5</v>
      </c>
      <c r="K17" s="7">
        <v>15</v>
      </c>
      <c r="L17" s="65">
        <v>213.5</v>
      </c>
      <c r="N17" s="78" t="s">
        <v>193</v>
      </c>
      <c r="O17" s="87">
        <f>IF(P17=0,0,Q17/P17)</f>
        <v>25.599999999999991</v>
      </c>
      <c r="P17" s="81">
        <v>9</v>
      </c>
      <c r="Q17" s="72">
        <v>230.39999999999992</v>
      </c>
    </row>
    <row r="18" spans="1:17" x14ac:dyDescent="0.45">
      <c r="A18" s="20" t="s">
        <v>124</v>
      </c>
      <c r="B18" s="13">
        <f>B24</f>
        <v>30</v>
      </c>
      <c r="C18" s="6">
        <f>IF(B$16=0,0,B18/B$16)</f>
        <v>0.5357142857142857</v>
      </c>
      <c r="E18" s="29" t="s">
        <v>91</v>
      </c>
      <c r="F18" s="26" t="s">
        <v>46</v>
      </c>
      <c r="G18" s="14">
        <v>2</v>
      </c>
      <c r="H18" s="92">
        <f>IF(B$19=0,0,G18/B$19)</f>
        <v>1.8867924528301886E-2</v>
      </c>
      <c r="I18" s="60">
        <v>4</v>
      </c>
      <c r="K18" s="7">
        <v>16</v>
      </c>
      <c r="L18" s="65">
        <v>273.8</v>
      </c>
      <c r="N18" s="78" t="s">
        <v>205</v>
      </c>
      <c r="O18" s="87">
        <f>IF(P18=0,0,Q18/P18)</f>
        <v>24.52</v>
      </c>
      <c r="P18" s="81">
        <v>10</v>
      </c>
      <c r="Q18" s="72">
        <v>245.2</v>
      </c>
    </row>
    <row r="19" spans="1:17" x14ac:dyDescent="0.45">
      <c r="A19" s="20" t="s">
        <v>10</v>
      </c>
      <c r="B19" s="13">
        <f>B22+B21</f>
        <v>106</v>
      </c>
      <c r="C19" s="6">
        <f>IF(B$3=0,0,B19/B$3)</f>
        <v>0.33650793650793653</v>
      </c>
      <c r="E19" s="29" t="s">
        <v>93</v>
      </c>
      <c r="F19" s="26" t="s">
        <v>48</v>
      </c>
      <c r="G19" s="14">
        <v>2</v>
      </c>
      <c r="H19" s="92">
        <f>IF(B$19=0,0,G19/B$19)</f>
        <v>1.8867924528301886E-2</v>
      </c>
      <c r="I19" s="60">
        <v>1</v>
      </c>
      <c r="K19" s="7">
        <v>17</v>
      </c>
      <c r="L19" s="65">
        <v>242.8</v>
      </c>
      <c r="N19" s="78" t="s">
        <v>192</v>
      </c>
      <c r="O19" s="87">
        <f>IF(P19=0,0,Q19/P19)</f>
        <v>21.941176470588232</v>
      </c>
      <c r="P19" s="81">
        <v>17</v>
      </c>
      <c r="Q19" s="72">
        <v>372.99999999999994</v>
      </c>
    </row>
    <row r="20" spans="1:17" x14ac:dyDescent="0.45">
      <c r="A20" s="21" t="s">
        <v>13</v>
      </c>
      <c r="B20" s="14">
        <v>34</v>
      </c>
      <c r="C20" s="8">
        <f>IF(B$3=0,0,B20/B$3)</f>
        <v>0.10793650793650794</v>
      </c>
      <c r="E20" s="29" t="s">
        <v>73</v>
      </c>
      <c r="F20" s="26" t="s">
        <v>28</v>
      </c>
      <c r="G20" s="14">
        <v>1</v>
      </c>
      <c r="H20" s="92">
        <f>IF(B$19=0,0,G20/B$19)</f>
        <v>9.433962264150943E-3</v>
      </c>
      <c r="I20" s="60">
        <v>2</v>
      </c>
      <c r="K20" s="7">
        <v>18</v>
      </c>
      <c r="L20" s="65">
        <v>280</v>
      </c>
      <c r="N20" s="78" t="s">
        <v>189</v>
      </c>
      <c r="O20" s="87">
        <f>IF(P20=0,0,Q20/P20)</f>
        <v>15.100000000000001</v>
      </c>
      <c r="P20" s="81">
        <v>4</v>
      </c>
      <c r="Q20" s="72">
        <v>60.400000000000006</v>
      </c>
    </row>
    <row r="21" spans="1:17" x14ac:dyDescent="0.45">
      <c r="A21" s="21" t="s">
        <v>12</v>
      </c>
      <c r="B21" s="14">
        <v>55</v>
      </c>
      <c r="C21" s="8">
        <f>IF(B$19=0,0,B21/B$19)</f>
        <v>0.51886792452830188</v>
      </c>
      <c r="E21" s="29" t="s">
        <v>78</v>
      </c>
      <c r="F21" s="26" t="s">
        <v>33</v>
      </c>
      <c r="G21" s="14">
        <v>1</v>
      </c>
      <c r="H21" s="92">
        <f>IF(B$19=0,0,G21/B$19)</f>
        <v>9.433962264150943E-3</v>
      </c>
      <c r="I21" s="60">
        <v>8</v>
      </c>
      <c r="K21" s="7">
        <v>19</v>
      </c>
      <c r="L21" s="65">
        <v>281.5</v>
      </c>
      <c r="N21" s="78" t="s">
        <v>164</v>
      </c>
      <c r="O21" s="87">
        <f>IF(P21=0,0,Q21/P21)</f>
        <v>6.4399999999999977</v>
      </c>
      <c r="P21" s="81">
        <v>25</v>
      </c>
      <c r="Q21" s="72">
        <v>160.99999999999994</v>
      </c>
    </row>
    <row r="22" spans="1:17" x14ac:dyDescent="0.45">
      <c r="A22" s="21" t="s">
        <v>11</v>
      </c>
      <c r="B22" s="14">
        <v>51</v>
      </c>
      <c r="C22" s="8">
        <f>IF(B$19=0,0,B22/B$19)</f>
        <v>0.48113207547169812</v>
      </c>
      <c r="E22" s="29" t="s">
        <v>81</v>
      </c>
      <c r="F22" s="26" t="s">
        <v>36</v>
      </c>
      <c r="G22" s="14">
        <v>1</v>
      </c>
      <c r="H22" s="92">
        <f>IF(B$19=0,0,G22/B$19)</f>
        <v>9.433962264150943E-3</v>
      </c>
      <c r="I22" s="60">
        <v>6</v>
      </c>
      <c r="K22" s="7">
        <v>20</v>
      </c>
      <c r="L22" s="65">
        <v>287.2</v>
      </c>
      <c r="N22" s="78" t="s">
        <v>213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48</v>
      </c>
      <c r="C23" s="8">
        <f>IF(B$19=0,0,B23/B$19)</f>
        <v>0.45283018867924529</v>
      </c>
      <c r="E23" s="29" t="s">
        <v>87</v>
      </c>
      <c r="F23" s="26" t="s">
        <v>42</v>
      </c>
      <c r="G23" s="14">
        <v>1</v>
      </c>
      <c r="H23" s="92">
        <f>IF(B$19=0,0,G23/B$19)</f>
        <v>9.433962264150943E-3</v>
      </c>
      <c r="I23" s="60">
        <v>2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30</v>
      </c>
      <c r="C24" s="8">
        <f>IF(B$19=0,0,B24/B$19)</f>
        <v>0.28301886792452829</v>
      </c>
      <c r="E24" s="29" t="s">
        <v>95</v>
      </c>
      <c r="F24" s="26" t="s">
        <v>50</v>
      </c>
      <c r="G24" s="14">
        <v>1</v>
      </c>
      <c r="H24" s="92">
        <f>IF(B$19=0,0,G24/B$19)</f>
        <v>9.433962264150943E-3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28</v>
      </c>
      <c r="C25" s="8">
        <f>IF(B$19=0,0,B25/B$19)</f>
        <v>0.26415094339622641</v>
      </c>
      <c r="E25" s="29" t="s">
        <v>74</v>
      </c>
      <c r="F25" s="26" t="s">
        <v>29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10065.094339622641</v>
      </c>
      <c r="C26" s="10">
        <v>1066900</v>
      </c>
      <c r="E26" s="29" t="s">
        <v>75</v>
      </c>
      <c r="F26" s="26" t="s">
        <v>30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10365.78947368421</v>
      </c>
      <c r="C27" s="100">
        <v>787800</v>
      </c>
      <c r="E27" s="29" t="s">
        <v>76</v>
      </c>
      <c r="F27" s="26" t="s">
        <v>31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9303.3333333333339</v>
      </c>
      <c r="C28" s="100">
        <v>279100</v>
      </c>
      <c r="E28" s="29" t="s">
        <v>77</v>
      </c>
      <c r="F28" s="26" t="s">
        <v>32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-9605.8823529411766</v>
      </c>
      <c r="C29" s="100">
        <v>-326600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1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14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6</v>
      </c>
      <c r="C36" s="102">
        <f t="shared" ref="C36:C48" si="2">IF(B$19=0,0,B36/B$19)</f>
        <v>5.6603773584905662E-2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15</v>
      </c>
      <c r="C37" s="8">
        <f t="shared" si="2"/>
        <v>0.14150943396226415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18</v>
      </c>
      <c r="C38" s="8">
        <f t="shared" si="2"/>
        <v>0.16981132075471697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20</v>
      </c>
      <c r="C39" s="8">
        <f t="shared" si="2"/>
        <v>0.18867924528301888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20</v>
      </c>
      <c r="C40" s="8">
        <f t="shared" si="2"/>
        <v>0.18867924528301888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2"/>
        <v>9.4339622641509441E-2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5</v>
      </c>
      <c r="C42" s="8">
        <f t="shared" si="2"/>
        <v>4.716981132075472E-2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2"/>
        <v>2.8301886792452831E-2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1</v>
      </c>
      <c r="C44" s="8">
        <f t="shared" si="2"/>
        <v>9.433962264150943E-3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2</v>
      </c>
      <c r="C45" s="8">
        <f t="shared" si="2"/>
        <v>1.8867924528301886E-2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6</v>
      </c>
      <c r="C48" s="11">
        <f t="shared" si="2"/>
        <v>5.6603773584905662E-2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16</v>
      </c>
      <c r="C2" s="132"/>
      <c r="E2" s="28" t="s">
        <v>64</v>
      </c>
      <c r="F2" s="25" t="s">
        <v>20</v>
      </c>
      <c r="G2" s="13">
        <v>11</v>
      </c>
      <c r="H2" s="91">
        <f>IF(B$19=0,0,G2/B$19)</f>
        <v>0.5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-4875</v>
      </c>
      <c r="P2" s="80">
        <v>16</v>
      </c>
      <c r="Q2" s="67">
        <v>-78000</v>
      </c>
    </row>
    <row r="3" spans="1:17" x14ac:dyDescent="0.45">
      <c r="A3" s="21" t="s">
        <v>8</v>
      </c>
      <c r="B3" s="133">
        <v>102</v>
      </c>
      <c r="C3" s="134"/>
      <c r="E3" s="29" t="s">
        <v>160</v>
      </c>
      <c r="F3" s="26" t="s">
        <v>161</v>
      </c>
      <c r="G3" s="14">
        <v>11</v>
      </c>
      <c r="H3" s="92">
        <f>IF(B$19=0,0,G3/B$19)</f>
        <v>0.5</v>
      </c>
      <c r="I3" s="60">
        <v>3</v>
      </c>
      <c r="K3" s="7">
        <v>1</v>
      </c>
      <c r="L3" s="65">
        <v>-55.5</v>
      </c>
      <c r="N3" s="78" t="s">
        <v>129</v>
      </c>
      <c r="O3" s="84">
        <f t="shared" si="0"/>
        <v>-1060</v>
      </c>
      <c r="P3" s="81">
        <v>15</v>
      </c>
      <c r="Q3" s="68">
        <v>-15900</v>
      </c>
    </row>
    <row r="4" spans="1:17" x14ac:dyDescent="0.45">
      <c r="A4" s="21" t="s">
        <v>6</v>
      </c>
      <c r="B4" s="135">
        <v>-234.59999999999997</v>
      </c>
      <c r="C4" s="136"/>
      <c r="E4" s="29" t="s">
        <v>66</v>
      </c>
      <c r="F4" s="26" t="s">
        <v>22</v>
      </c>
      <c r="G4" s="14">
        <v>10</v>
      </c>
      <c r="H4" s="92">
        <f>IF(B$19=0,0,G4/B$19)</f>
        <v>0.45454545454545453</v>
      </c>
      <c r="I4" s="60">
        <v>9</v>
      </c>
      <c r="K4" s="7">
        <v>2</v>
      </c>
      <c r="L4" s="65">
        <v>-106.5</v>
      </c>
      <c r="N4" s="78" t="s">
        <v>130</v>
      </c>
      <c r="O4" s="84">
        <f t="shared" si="0"/>
        <v>-7700</v>
      </c>
      <c r="P4" s="81">
        <v>13</v>
      </c>
      <c r="Q4" s="68">
        <v>-100100</v>
      </c>
    </row>
    <row r="5" spans="1:17" x14ac:dyDescent="0.45">
      <c r="A5" s="21" t="s">
        <v>7</v>
      </c>
      <c r="B5" s="123">
        <f>IF(B$2=0,0,B$4/B$2)</f>
        <v>-14.662499999999998</v>
      </c>
      <c r="C5" s="124"/>
      <c r="E5" s="29" t="s">
        <v>72</v>
      </c>
      <c r="F5" s="26" t="s">
        <v>27</v>
      </c>
      <c r="G5" s="14">
        <v>10</v>
      </c>
      <c r="H5" s="92">
        <f>IF(B$19=0,0,G5/B$19)</f>
        <v>0.45454545454545453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2066.6666666666665</v>
      </c>
      <c r="P5" s="81">
        <v>9</v>
      </c>
      <c r="Q5" s="68">
        <v>18600</v>
      </c>
    </row>
    <row r="6" spans="1:17" x14ac:dyDescent="0.45">
      <c r="A6" s="21" t="s">
        <v>1</v>
      </c>
      <c r="B6" s="137">
        <f>IF(B$2=0,0,(B$7*1+B$8*2+B$9*3)/B$2)</f>
        <v>2.375</v>
      </c>
      <c r="C6" s="138"/>
      <c r="E6" s="29" t="s">
        <v>68</v>
      </c>
      <c r="F6" s="26" t="s">
        <v>12</v>
      </c>
      <c r="G6" s="14">
        <v>6</v>
      </c>
      <c r="H6" s="92">
        <f>IF(B$19=0,0,G6/B$19)</f>
        <v>0.27272727272727271</v>
      </c>
      <c r="I6" s="60">
        <v>7</v>
      </c>
      <c r="K6" s="7">
        <v>4</v>
      </c>
      <c r="L6" s="65">
        <v>-115.5</v>
      </c>
      <c r="N6" s="78" t="s">
        <v>132</v>
      </c>
      <c r="O6" s="84">
        <f t="shared" si="0"/>
        <v>400</v>
      </c>
      <c r="P6" s="81">
        <v>7</v>
      </c>
      <c r="Q6" s="68">
        <v>2800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0.125</v>
      </c>
      <c r="E7" s="29" t="s">
        <v>67</v>
      </c>
      <c r="F7" s="26" t="s">
        <v>23</v>
      </c>
      <c r="G7" s="14">
        <v>5</v>
      </c>
      <c r="H7" s="92">
        <f>IF(B$19=0,0,G7/B$19)</f>
        <v>0.22727272727272727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0"/>
        <v>-2850</v>
      </c>
      <c r="P7" s="82">
        <v>6</v>
      </c>
      <c r="Q7" s="69">
        <v>-17100</v>
      </c>
    </row>
    <row r="8" spans="1:17" x14ac:dyDescent="0.45">
      <c r="A8" s="21" t="s">
        <v>3</v>
      </c>
      <c r="B8" s="14">
        <v>6</v>
      </c>
      <c r="C8" s="8">
        <f t="shared" si="1"/>
        <v>0.375</v>
      </c>
      <c r="E8" s="29" t="s">
        <v>69</v>
      </c>
      <c r="F8" s="26" t="s">
        <v>24</v>
      </c>
      <c r="G8" s="14">
        <v>3</v>
      </c>
      <c r="H8" s="92">
        <f>IF(B$19=0,0,G8/B$19)</f>
        <v>0.13636363636363635</v>
      </c>
      <c r="I8" s="60">
        <v>4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0.5</v>
      </c>
      <c r="E9" s="29" t="s">
        <v>65</v>
      </c>
      <c r="F9" s="26" t="s">
        <v>21</v>
      </c>
      <c r="G9" s="14">
        <v>2</v>
      </c>
      <c r="H9" s="92">
        <f>IF(B$19=0,0,G9/B$19)</f>
        <v>9.0909090909090912E-2</v>
      </c>
      <c r="I9" s="60">
        <v>8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48.05</v>
      </c>
      <c r="C10" s="114">
        <v>96.1</v>
      </c>
      <c r="E10" s="29" t="s">
        <v>89</v>
      </c>
      <c r="F10" s="26" t="s">
        <v>44</v>
      </c>
      <c r="G10" s="14">
        <v>2</v>
      </c>
      <c r="H10" s="92">
        <f>IF(B$19=0,0,G10/B$19)</f>
        <v>9.0909090909090912E-2</v>
      </c>
      <c r="I10" s="60">
        <v>7</v>
      </c>
      <c r="K10" s="7">
        <v>8</v>
      </c>
      <c r="L10" s="65">
        <v>-157.19999999999999</v>
      </c>
      <c r="N10" s="77" t="s">
        <v>152</v>
      </c>
      <c r="O10" s="86">
        <f>IF(P10=0,0,Q10/P10)</f>
        <v>-31.3</v>
      </c>
      <c r="P10" s="80">
        <v>5</v>
      </c>
      <c r="Q10" s="71">
        <v>-156.5</v>
      </c>
    </row>
    <row r="11" spans="1:17" x14ac:dyDescent="0.45">
      <c r="A11" s="22" t="s">
        <v>186</v>
      </c>
      <c r="B11" s="113">
        <f>IF(B8=0,0,C11/B8)</f>
        <v>-2.3166666666666664</v>
      </c>
      <c r="C11" s="114">
        <v>-13.899999999999999</v>
      </c>
      <c r="E11" s="29" t="s">
        <v>71</v>
      </c>
      <c r="F11" s="26" t="s">
        <v>26</v>
      </c>
      <c r="G11" s="14">
        <v>1</v>
      </c>
      <c r="H11" s="92">
        <f>IF(B$19=0,0,G11/B$19)</f>
        <v>4.5454545454545456E-2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-5.0142857142857142</v>
      </c>
      <c r="P11" s="81">
        <v>7</v>
      </c>
      <c r="Q11" s="72">
        <v>-35.1</v>
      </c>
    </row>
    <row r="12" spans="1:17" x14ac:dyDescent="0.45">
      <c r="A12" s="22" t="s">
        <v>187</v>
      </c>
      <c r="B12" s="113">
        <f>IF(B9=0,0,C12/B9)</f>
        <v>-39.6</v>
      </c>
      <c r="C12" s="114">
        <v>-316.8</v>
      </c>
      <c r="E12" s="29" t="s">
        <v>78</v>
      </c>
      <c r="F12" s="26" t="s">
        <v>33</v>
      </c>
      <c r="G12" s="14">
        <v>1</v>
      </c>
      <c r="H12" s="92">
        <f>IF(B$19=0,0,G12/B$19)</f>
        <v>4.5454545454545456E-2</v>
      </c>
      <c r="I12" s="60">
        <v>3</v>
      </c>
      <c r="K12" s="7">
        <v>10</v>
      </c>
      <c r="L12" s="65">
        <v>-217.59999999999997</v>
      </c>
      <c r="N12" s="79" t="s">
        <v>154</v>
      </c>
      <c r="O12" s="88">
        <f>IF(P12=0,0,Q12/P12)</f>
        <v>-10.75</v>
      </c>
      <c r="P12" s="82">
        <v>4</v>
      </c>
      <c r="Q12" s="73">
        <v>-43</v>
      </c>
    </row>
    <row r="13" spans="1:17" x14ac:dyDescent="0.45">
      <c r="A13" s="22" t="s">
        <v>188</v>
      </c>
      <c r="B13" s="123">
        <f>AVERAGE(B10:B12)</f>
        <v>2.0444444444444443</v>
      </c>
      <c r="C13" s="124"/>
      <c r="E13" s="29" t="s">
        <v>81</v>
      </c>
      <c r="F13" s="26" t="s">
        <v>36</v>
      </c>
      <c r="G13" s="14">
        <v>1</v>
      </c>
      <c r="H13" s="92">
        <f>IF(B$19=0,0,G13/B$19)</f>
        <v>4.5454545454545456E-2</v>
      </c>
      <c r="I13" s="60">
        <v>2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0.3125</v>
      </c>
      <c r="E14" s="29" t="s">
        <v>86</v>
      </c>
      <c r="F14" s="26" t="s">
        <v>41</v>
      </c>
      <c r="G14" s="14">
        <v>1</v>
      </c>
      <c r="H14" s="92">
        <f>IF(B$19=0,0,G14/B$19)</f>
        <v>4.5454545454545456E-2</v>
      </c>
      <c r="I14" s="60">
        <v>5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30</v>
      </c>
      <c r="C15" s="12">
        <f>IF(B$3=0,0,B15/B$3)</f>
        <v>0.29411764705882354</v>
      </c>
      <c r="E15" s="29" t="s">
        <v>87</v>
      </c>
      <c r="F15" s="26" t="s">
        <v>42</v>
      </c>
      <c r="G15" s="14">
        <v>1</v>
      </c>
      <c r="H15" s="92">
        <f>IF(B$19=0,0,G15/B$19)</f>
        <v>4.5454545454545456E-2</v>
      </c>
      <c r="I15" s="60">
        <v>1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13</v>
      </c>
      <c r="C16" s="8">
        <f>IF(B$3=0,0,B16/B$3)</f>
        <v>0.12745098039215685</v>
      </c>
      <c r="E16" s="29" t="s">
        <v>91</v>
      </c>
      <c r="F16" s="26" t="s">
        <v>46</v>
      </c>
      <c r="G16" s="14">
        <v>1</v>
      </c>
      <c r="H16" s="92">
        <f>IF(B$19=0,0,G16/B$19)</f>
        <v>4.5454545454545456E-2</v>
      </c>
      <c r="I16" s="60">
        <v>2</v>
      </c>
      <c r="K16" s="7">
        <v>14</v>
      </c>
      <c r="L16" s="65">
        <v>-330.7</v>
      </c>
      <c r="N16" s="78" t="s">
        <v>205</v>
      </c>
      <c r="O16" s="87">
        <f t="shared" si="2"/>
        <v>-3.3666666666666649</v>
      </c>
      <c r="P16" s="81">
        <v>3</v>
      </c>
      <c r="Q16" s="72">
        <v>-10.099999999999994</v>
      </c>
    </row>
    <row r="17" spans="1:17" x14ac:dyDescent="0.45">
      <c r="A17" s="20" t="s">
        <v>123</v>
      </c>
      <c r="B17" s="13">
        <f>B23</f>
        <v>11</v>
      </c>
      <c r="C17" s="6">
        <f>IF(B$15=0,0,B17/B$15)</f>
        <v>0.36666666666666664</v>
      </c>
      <c r="E17" s="29" t="s">
        <v>92</v>
      </c>
      <c r="F17" s="26" t="s">
        <v>47</v>
      </c>
      <c r="G17" s="14">
        <v>1</v>
      </c>
      <c r="H17" s="92">
        <f>IF(B$19=0,0,G17/B$19)</f>
        <v>4.5454545454545456E-2</v>
      </c>
      <c r="I17" s="60">
        <v>1</v>
      </c>
      <c r="K17" s="7">
        <v>15</v>
      </c>
      <c r="L17" s="65">
        <v>-284.09999999999997</v>
      </c>
      <c r="N17" s="78" t="s">
        <v>192</v>
      </c>
      <c r="O17" s="87">
        <f t="shared" si="2"/>
        <v>-16.157142857142858</v>
      </c>
      <c r="P17" s="81">
        <v>7</v>
      </c>
      <c r="Q17" s="72">
        <v>-113.10000000000001</v>
      </c>
    </row>
    <row r="18" spans="1:17" x14ac:dyDescent="0.45">
      <c r="A18" s="20" t="s">
        <v>124</v>
      </c>
      <c r="B18" s="13">
        <f>B24</f>
        <v>5</v>
      </c>
      <c r="C18" s="6">
        <f>IF(B$16=0,0,B18/B$16)</f>
        <v>0.38461538461538464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7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22</v>
      </c>
      <c r="C19" s="6">
        <f>IF(B$3=0,0,B19/B$3)</f>
        <v>0.21568627450980393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N19" s="78" t="s">
        <v>193</v>
      </c>
      <c r="O19" s="87">
        <f t="shared" si="2"/>
        <v>-44.449999999999996</v>
      </c>
      <c r="P19" s="81">
        <v>8</v>
      </c>
      <c r="Q19" s="72">
        <v>-355.59999999999997</v>
      </c>
    </row>
    <row r="20" spans="1:17" x14ac:dyDescent="0.45">
      <c r="A20" s="21" t="s">
        <v>13</v>
      </c>
      <c r="B20" s="14">
        <v>15</v>
      </c>
      <c r="C20" s="8">
        <f>IF(B$3=0,0,B20/B$3)</f>
        <v>0.14705882352941177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N20" s="78" t="s">
        <v>126</v>
      </c>
      <c r="O20" s="87">
        <f t="shared" si="2"/>
        <v>-51.2</v>
      </c>
      <c r="P20" s="81">
        <v>8</v>
      </c>
      <c r="Q20" s="72">
        <v>-409.6</v>
      </c>
    </row>
    <row r="21" spans="1:17" x14ac:dyDescent="0.45">
      <c r="A21" s="21" t="s">
        <v>12</v>
      </c>
      <c r="B21" s="14">
        <v>8</v>
      </c>
      <c r="C21" s="8">
        <f>IF(B$19=0,0,B21/B$19)</f>
        <v>0.36363636363636365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14</v>
      </c>
      <c r="C22" s="8">
        <f>IF(B$19=0,0,B22/B$19)</f>
        <v>0.63636363636363635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11</v>
      </c>
      <c r="C23" s="8">
        <f>IF(B$19=0,0,B23/B$19)</f>
        <v>0.5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</row>
    <row r="24" spans="1:17" x14ac:dyDescent="0.45">
      <c r="A24" s="21" t="s">
        <v>182</v>
      </c>
      <c r="B24" s="14">
        <v>5</v>
      </c>
      <c r="C24" s="8">
        <f>IF(B$19=0,0,B24/B$19)</f>
        <v>0.22727272727272727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</row>
    <row r="25" spans="1:17" x14ac:dyDescent="0.45">
      <c r="A25" s="21" t="s">
        <v>183</v>
      </c>
      <c r="B25" s="14">
        <v>6</v>
      </c>
      <c r="C25" s="8">
        <f>IF(B$19=0,0,B25/B$19)</f>
        <v>0.27272727272727271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8777.2727272727279</v>
      </c>
      <c r="C26" s="10">
        <v>193100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10223.529411764706</v>
      </c>
      <c r="C27" s="100">
        <v>173800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3860</v>
      </c>
      <c r="C28" s="100">
        <v>19300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-8773.3333333333339</v>
      </c>
      <c r="C29" s="100">
        <v>-131600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3</v>
      </c>
      <c r="C30" s="94">
        <v>2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25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3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74500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3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6</v>
      </c>
      <c r="C37" s="8">
        <f t="shared" si="3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3"/>
        <v>0.22727272727272727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</v>
      </c>
      <c r="C39" s="8">
        <f t="shared" si="3"/>
        <v>4.5454545454545456E-2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3"/>
        <v>4.5454545454545456E-2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3"/>
        <v>0.18181818181818182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3"/>
        <v>4.5454545454545456E-2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4.5454545454545456E-2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4.5454545454545456E-2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32</v>
      </c>
      <c r="C2" s="132"/>
      <c r="E2" s="28" t="s">
        <v>72</v>
      </c>
      <c r="F2" s="25" t="s">
        <v>27</v>
      </c>
      <c r="G2" s="13">
        <v>40</v>
      </c>
      <c r="H2" s="91">
        <f>IF(B$19=0,0,G2/B$19)</f>
        <v>0.59701492537313428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922.58064516129036</v>
      </c>
      <c r="P2" s="80">
        <v>31</v>
      </c>
      <c r="Q2" s="67">
        <v>28600</v>
      </c>
    </row>
    <row r="3" spans="1:17" x14ac:dyDescent="0.45">
      <c r="A3" s="21" t="s">
        <v>8</v>
      </c>
      <c r="B3" s="133">
        <v>244</v>
      </c>
      <c r="C3" s="134"/>
      <c r="E3" s="29" t="s">
        <v>64</v>
      </c>
      <c r="F3" s="26" t="s">
        <v>20</v>
      </c>
      <c r="G3" s="14">
        <v>34</v>
      </c>
      <c r="H3" s="92">
        <f>IF(B$19=0,0,G3/B$19)</f>
        <v>0.5074626865671642</v>
      </c>
      <c r="I3" s="60">
        <v>4</v>
      </c>
      <c r="K3" s="7">
        <v>1</v>
      </c>
      <c r="L3" s="65">
        <v>-0.5</v>
      </c>
      <c r="N3" s="78" t="s">
        <v>129</v>
      </c>
      <c r="O3" s="84">
        <f t="shared" si="0"/>
        <v>-1293.5483870967741</v>
      </c>
      <c r="P3" s="81">
        <v>31</v>
      </c>
      <c r="Q3" s="68">
        <v>-40100</v>
      </c>
    </row>
    <row r="4" spans="1:17" x14ac:dyDescent="0.45">
      <c r="A4" s="21" t="s">
        <v>6</v>
      </c>
      <c r="B4" s="135">
        <v>-137.5</v>
      </c>
      <c r="C4" s="136"/>
      <c r="E4" s="29" t="s">
        <v>66</v>
      </c>
      <c r="F4" s="26" t="s">
        <v>22</v>
      </c>
      <c r="G4" s="14">
        <v>32</v>
      </c>
      <c r="H4" s="92">
        <f>IF(B$19=0,0,G4/B$19)</f>
        <v>0.47761194029850745</v>
      </c>
      <c r="I4" s="60">
        <v>8</v>
      </c>
      <c r="K4" s="7">
        <v>2</v>
      </c>
      <c r="L4" s="65">
        <v>-62.8</v>
      </c>
      <c r="N4" s="78" t="s">
        <v>130</v>
      </c>
      <c r="O4" s="84">
        <f t="shared" si="0"/>
        <v>-1112.9032258064517</v>
      </c>
      <c r="P4" s="81">
        <v>31</v>
      </c>
      <c r="Q4" s="68">
        <v>-34500</v>
      </c>
    </row>
    <row r="5" spans="1:17" x14ac:dyDescent="0.45">
      <c r="A5" s="21" t="s">
        <v>7</v>
      </c>
      <c r="B5" s="123">
        <f>IF(B$2=0,0,B$4/B$2)</f>
        <v>-4.296875</v>
      </c>
      <c r="C5" s="124"/>
      <c r="E5" s="29" t="s">
        <v>160</v>
      </c>
      <c r="F5" s="26" t="s">
        <v>161</v>
      </c>
      <c r="G5" s="14">
        <v>28</v>
      </c>
      <c r="H5" s="92">
        <f>IF(B$19=0,0,G5/B$19)</f>
        <v>0.41791044776119401</v>
      </c>
      <c r="I5" s="60">
        <v>5</v>
      </c>
      <c r="K5" s="7">
        <v>3</v>
      </c>
      <c r="L5" s="65">
        <v>-48.5</v>
      </c>
      <c r="N5" s="78" t="s">
        <v>131</v>
      </c>
      <c r="O5" s="84">
        <f t="shared" si="0"/>
        <v>-900</v>
      </c>
      <c r="P5" s="81">
        <v>28</v>
      </c>
      <c r="Q5" s="68">
        <v>-25200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20</v>
      </c>
      <c r="H6" s="92">
        <f>IF(B$19=0,0,G6/B$19)</f>
        <v>0.29850746268656714</v>
      </c>
      <c r="I6" s="60">
        <v>5</v>
      </c>
      <c r="K6" s="7">
        <v>4</v>
      </c>
      <c r="L6" s="65">
        <v>-75.599999999999994</v>
      </c>
      <c r="N6" s="78" t="s">
        <v>132</v>
      </c>
      <c r="O6" s="84">
        <f t="shared" si="0"/>
        <v>-3160</v>
      </c>
      <c r="P6" s="81">
        <v>25</v>
      </c>
      <c r="Q6" s="68">
        <v>-79000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0.3125</v>
      </c>
      <c r="E7" s="29" t="s">
        <v>67</v>
      </c>
      <c r="F7" s="26" t="s">
        <v>23</v>
      </c>
      <c r="G7" s="14">
        <v>19</v>
      </c>
      <c r="H7" s="92">
        <f>IF(B$19=0,0,G7/B$19)</f>
        <v>0.28358208955223879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515.78947368421052</v>
      </c>
      <c r="P7" s="82">
        <v>19</v>
      </c>
      <c r="Q7" s="69">
        <v>9800</v>
      </c>
    </row>
    <row r="8" spans="1:17" x14ac:dyDescent="0.45">
      <c r="A8" s="21" t="s">
        <v>3</v>
      </c>
      <c r="B8" s="14">
        <v>12</v>
      </c>
      <c r="C8" s="8">
        <f t="shared" si="1"/>
        <v>0.375</v>
      </c>
      <c r="E8" s="29" t="s">
        <v>89</v>
      </c>
      <c r="F8" s="26" t="s">
        <v>44</v>
      </c>
      <c r="G8" s="14">
        <v>9</v>
      </c>
      <c r="H8" s="92">
        <f>IF(B$19=0,0,G8/B$19)</f>
        <v>0.13432835820895522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0.3125</v>
      </c>
      <c r="E9" s="29" t="s">
        <v>69</v>
      </c>
      <c r="F9" s="26" t="s">
        <v>24</v>
      </c>
      <c r="G9" s="14">
        <v>8</v>
      </c>
      <c r="H9" s="92">
        <f>IF(B$19=0,0,G9/B$19)</f>
        <v>0.11940298507462686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34.07</v>
      </c>
      <c r="C10" s="114">
        <v>340.7</v>
      </c>
      <c r="E10" s="29" t="s">
        <v>65</v>
      </c>
      <c r="F10" s="26" t="s">
        <v>21</v>
      </c>
      <c r="G10" s="14">
        <v>6</v>
      </c>
      <c r="H10" s="92">
        <f>IF(B$19=0,0,G10/B$19)</f>
        <v>8.9552238805970144E-2</v>
      </c>
      <c r="I10" s="60">
        <v>10</v>
      </c>
      <c r="K10" s="7">
        <v>8</v>
      </c>
      <c r="L10" s="65">
        <v>-28.3</v>
      </c>
      <c r="N10" s="77" t="s">
        <v>152</v>
      </c>
      <c r="O10" s="86">
        <f>IF(P10=0,0,Q10/P10)</f>
        <v>-19.311111111111114</v>
      </c>
      <c r="P10" s="80">
        <v>9</v>
      </c>
      <c r="Q10" s="71">
        <v>-173.8</v>
      </c>
    </row>
    <row r="11" spans="1:17" x14ac:dyDescent="0.45">
      <c r="A11" s="22" t="s">
        <v>186</v>
      </c>
      <c r="B11" s="113">
        <f>IF(B8=0,0,C11/B8)</f>
        <v>-4.9083333333333323</v>
      </c>
      <c r="C11" s="114">
        <v>-58.899999999999991</v>
      </c>
      <c r="E11" s="29" t="s">
        <v>71</v>
      </c>
      <c r="F11" s="26" t="s">
        <v>26</v>
      </c>
      <c r="G11" s="14">
        <v>5</v>
      </c>
      <c r="H11" s="92">
        <f>IF(B$19=0,0,G11/B$19)</f>
        <v>7.4626865671641784E-2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-5.8900000000000006</v>
      </c>
      <c r="P11" s="81">
        <v>10</v>
      </c>
      <c r="Q11" s="72">
        <v>-58.900000000000006</v>
      </c>
    </row>
    <row r="12" spans="1:17" x14ac:dyDescent="0.45">
      <c r="A12" s="22" t="s">
        <v>187</v>
      </c>
      <c r="B12" s="113">
        <f>IF(B9=0,0,C12/B9)</f>
        <v>-41.93</v>
      </c>
      <c r="C12" s="114">
        <v>-419.3</v>
      </c>
      <c r="E12" s="29" t="s">
        <v>70</v>
      </c>
      <c r="F12" s="26" t="s">
        <v>25</v>
      </c>
      <c r="G12" s="14">
        <v>4</v>
      </c>
      <c r="H12" s="92">
        <f>IF(B$19=0,0,G12/B$19)</f>
        <v>5.9701492537313432E-2</v>
      </c>
      <c r="I12" s="60">
        <v>5</v>
      </c>
      <c r="K12" s="7">
        <v>10</v>
      </c>
      <c r="L12" s="65">
        <v>-14.9</v>
      </c>
      <c r="N12" s="79" t="s">
        <v>154</v>
      </c>
      <c r="O12" s="88">
        <f>IF(P12=0,0,Q12/P12)</f>
        <v>7.3230769230769246</v>
      </c>
      <c r="P12" s="82">
        <v>13</v>
      </c>
      <c r="Q12" s="73">
        <v>95.200000000000017</v>
      </c>
    </row>
    <row r="13" spans="1:17" x14ac:dyDescent="0.45">
      <c r="A13" s="22" t="s">
        <v>188</v>
      </c>
      <c r="B13" s="123">
        <f>AVERAGE(B10:B12)</f>
        <v>-4.2561111111111103</v>
      </c>
      <c r="C13" s="124"/>
      <c r="E13" s="29" t="s">
        <v>79</v>
      </c>
      <c r="F13" s="26" t="s">
        <v>34</v>
      </c>
      <c r="G13" s="14">
        <v>4</v>
      </c>
      <c r="H13" s="92">
        <f>IF(B$19=0,0,G13/B$19)</f>
        <v>5.9701492537313432E-2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0.125</v>
      </c>
      <c r="E14" s="29" t="s">
        <v>78</v>
      </c>
      <c r="F14" s="26" t="s">
        <v>33</v>
      </c>
      <c r="G14" s="14">
        <v>3</v>
      </c>
      <c r="H14" s="92">
        <f>IF(B$19=0,0,G14/B$19)</f>
        <v>4.4776119402985072E-2</v>
      </c>
      <c r="I14" s="60">
        <v>4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66</v>
      </c>
      <c r="C15" s="12">
        <f>IF(B$3=0,0,B15/B$3)</f>
        <v>0.27049180327868855</v>
      </c>
      <c r="E15" s="29" t="s">
        <v>83</v>
      </c>
      <c r="F15" s="26" t="s">
        <v>38</v>
      </c>
      <c r="G15" s="14">
        <v>3</v>
      </c>
      <c r="H15" s="92">
        <f>IF(B$19=0,0,G15/B$19)</f>
        <v>4.4776119402985072E-2</v>
      </c>
      <c r="I15" s="60">
        <v>6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55</v>
      </c>
      <c r="C16" s="8">
        <f>IF(B$3=0,0,B16/B$3)</f>
        <v>0.22540983606557377</v>
      </c>
      <c r="E16" s="29" t="s">
        <v>86</v>
      </c>
      <c r="F16" s="26" t="s">
        <v>41</v>
      </c>
      <c r="G16" s="14">
        <v>2</v>
      </c>
      <c r="H16" s="92">
        <f>IF(B$19=0,0,G16/B$19)</f>
        <v>2.9850746268656716E-2</v>
      </c>
      <c r="I16" s="60">
        <v>7</v>
      </c>
      <c r="K16" s="7">
        <v>14</v>
      </c>
      <c r="L16" s="65">
        <v>-149.39999999999998</v>
      </c>
      <c r="N16" s="78" t="s">
        <v>194</v>
      </c>
      <c r="O16" s="87">
        <f t="shared" si="2"/>
        <v>16.157142857142858</v>
      </c>
      <c r="P16" s="81">
        <v>7</v>
      </c>
      <c r="Q16" s="72">
        <v>113.10000000000001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0.56060606060606055</v>
      </c>
      <c r="E17" s="29" t="s">
        <v>81</v>
      </c>
      <c r="F17" s="26" t="s">
        <v>36</v>
      </c>
      <c r="G17" s="14">
        <v>1</v>
      </c>
      <c r="H17" s="92">
        <f>IF(B$19=0,0,G17/B$19)</f>
        <v>1.4925373134328358E-2</v>
      </c>
      <c r="I17" s="60">
        <v>5</v>
      </c>
      <c r="K17" s="7">
        <v>15</v>
      </c>
      <c r="L17" s="65">
        <v>-121.39999999999998</v>
      </c>
      <c r="N17" s="78" t="s">
        <v>193</v>
      </c>
      <c r="O17" s="87">
        <f t="shared" si="2"/>
        <v>10.600000000000003</v>
      </c>
      <c r="P17" s="81">
        <v>12</v>
      </c>
      <c r="Q17" s="72">
        <v>127.20000000000005</v>
      </c>
    </row>
    <row r="18" spans="1:17" x14ac:dyDescent="0.45">
      <c r="A18" s="20" t="s">
        <v>124</v>
      </c>
      <c r="B18" s="13">
        <f>B24</f>
        <v>17</v>
      </c>
      <c r="C18" s="6">
        <f>IF(B$16=0,0,B18/B$16)</f>
        <v>0.30909090909090908</v>
      </c>
      <c r="E18" s="29" t="s">
        <v>91</v>
      </c>
      <c r="F18" s="26" t="s">
        <v>46</v>
      </c>
      <c r="G18" s="14">
        <v>1</v>
      </c>
      <c r="H18" s="92">
        <f>IF(B$19=0,0,G18/B$19)</f>
        <v>1.4925373134328358E-2</v>
      </c>
      <c r="I18" s="60">
        <v>5</v>
      </c>
      <c r="K18" s="7">
        <v>16</v>
      </c>
      <c r="L18" s="65">
        <v>-141.29999999999998</v>
      </c>
      <c r="N18" s="78" t="s">
        <v>164</v>
      </c>
      <c r="O18" s="87">
        <f t="shared" si="2"/>
        <v>-11.835714285714285</v>
      </c>
      <c r="P18" s="81">
        <v>14</v>
      </c>
      <c r="Q18" s="72">
        <v>-165.7</v>
      </c>
    </row>
    <row r="19" spans="1:17" x14ac:dyDescent="0.45">
      <c r="A19" s="20" t="s">
        <v>10</v>
      </c>
      <c r="B19" s="13">
        <f>B22+B21</f>
        <v>67</v>
      </c>
      <c r="C19" s="6">
        <f>IF(B$3=0,0,B19/B$3)</f>
        <v>0.27459016393442626</v>
      </c>
      <c r="E19" s="29" t="s">
        <v>92</v>
      </c>
      <c r="F19" s="26" t="s">
        <v>47</v>
      </c>
      <c r="G19" s="14">
        <v>1</v>
      </c>
      <c r="H19" s="92">
        <f>IF(B$19=0,0,G19/B$19)</f>
        <v>1.4925373134328358E-2</v>
      </c>
      <c r="I19" s="60">
        <v>5</v>
      </c>
      <c r="K19" s="7">
        <v>17</v>
      </c>
      <c r="L19" s="65">
        <v>-149.1</v>
      </c>
      <c r="N19" s="78" t="s">
        <v>205</v>
      </c>
      <c r="O19" s="87">
        <f t="shared" si="2"/>
        <v>-12.375</v>
      </c>
      <c r="P19" s="81">
        <v>4</v>
      </c>
      <c r="Q19" s="72">
        <v>-49.5</v>
      </c>
    </row>
    <row r="20" spans="1:17" x14ac:dyDescent="0.45">
      <c r="A20" s="21" t="s">
        <v>13</v>
      </c>
      <c r="B20" s="14">
        <v>31</v>
      </c>
      <c r="C20" s="8">
        <f>IF(B$3=0,0,B20/B$3)</f>
        <v>0.12704918032786885</v>
      </c>
      <c r="E20" s="29" t="s">
        <v>156</v>
      </c>
      <c r="F20" s="26" t="s">
        <v>157</v>
      </c>
      <c r="G20" s="14">
        <v>1</v>
      </c>
      <c r="H20" s="92">
        <f>IF(B$19=0,0,G20/B$19)</f>
        <v>1.4925373134328358E-2</v>
      </c>
      <c r="I20" s="60">
        <v>3</v>
      </c>
      <c r="K20" s="7">
        <v>18</v>
      </c>
      <c r="L20" s="65">
        <v>-201.89999999999998</v>
      </c>
      <c r="N20" s="78" t="s">
        <v>196</v>
      </c>
      <c r="O20" s="87">
        <f t="shared" si="2"/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26</v>
      </c>
      <c r="C21" s="8">
        <f>IF(B$19=0,0,B21/B$19)</f>
        <v>0.38805970149253732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 t="shared" si="2"/>
        <v>-21.941176470588236</v>
      </c>
      <c r="P21" s="81">
        <v>17</v>
      </c>
      <c r="Q21" s="72">
        <v>-373</v>
      </c>
    </row>
    <row r="22" spans="1:17" x14ac:dyDescent="0.45">
      <c r="A22" s="21" t="s">
        <v>11</v>
      </c>
      <c r="B22" s="14">
        <v>41</v>
      </c>
      <c r="C22" s="8">
        <f>IF(B$19=0,0,B22/B$19)</f>
        <v>0.61194029850746268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37</v>
      </c>
      <c r="C23" s="8">
        <f>IF(B$19=0,0,B23/B$19)</f>
        <v>0.55223880597014929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17</v>
      </c>
      <c r="C24" s="8">
        <f>IF(B$19=0,0,B24/B$19)</f>
        <v>0.2537313432835821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13</v>
      </c>
      <c r="C25" s="8">
        <f>IF(B$19=0,0,B25/B$19)</f>
        <v>0.19402985074626866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4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7502.9850746268658</v>
      </c>
      <c r="C26" s="10">
        <v>502700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7806</v>
      </c>
      <c r="C27" s="100">
        <v>390300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6611.7647058823532</v>
      </c>
      <c r="C28" s="100">
        <v>112400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-7790.322580645161</v>
      </c>
      <c r="C29" s="100">
        <v>-241500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4</v>
      </c>
      <c r="C30" s="94">
        <v>2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26</v>
      </c>
      <c r="C31" s="94">
        <v>26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88500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12" x14ac:dyDescent="0.45">
      <c r="A36" s="56" t="s">
        <v>172</v>
      </c>
      <c r="B36" s="121">
        <v>8</v>
      </c>
      <c r="C36" s="102">
        <f t="shared" ref="C36:C48" si="3">IF(B$19=0,0,B36/B$19)</f>
        <v>0.11940298507462686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168</v>
      </c>
      <c r="B37" s="14">
        <v>11</v>
      </c>
      <c r="C37" s="8">
        <f t="shared" si="3"/>
        <v>0.16417910447761194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18</v>
      </c>
      <c r="C38" s="8">
        <f t="shared" si="3"/>
        <v>0.26865671641791045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10</v>
      </c>
      <c r="C39" s="8">
        <f t="shared" si="3"/>
        <v>0.14925373134328357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7</v>
      </c>
      <c r="C40" s="8">
        <f t="shared" si="3"/>
        <v>0.1044776119402985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2</v>
      </c>
      <c r="C41" s="8">
        <f t="shared" si="3"/>
        <v>2.9850746268656716E-2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6</v>
      </c>
      <c r="C42" s="8">
        <f t="shared" si="3"/>
        <v>8.9552238805970144E-2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12" x14ac:dyDescent="0.45">
      <c r="A43" s="21" t="s">
        <v>175</v>
      </c>
      <c r="B43" s="122">
        <v>1</v>
      </c>
      <c r="C43" s="8">
        <f t="shared" si="3"/>
        <v>1.4925373134328358E-2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3"/>
        <v>1.4925373134328358E-2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1.4925373134328358E-2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3"/>
        <v>1.4925373134328358E-2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1.4925373134328358E-2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20</v>
      </c>
      <c r="C2" s="132"/>
      <c r="E2" s="28" t="s">
        <v>66</v>
      </c>
      <c r="F2" s="25" t="s">
        <v>22</v>
      </c>
      <c r="G2" s="13">
        <v>32</v>
      </c>
      <c r="H2" s="91">
        <f>IF(B$19=0,0,G2/B$19)</f>
        <v>0.72727272727272729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-290</v>
      </c>
      <c r="P2" s="80">
        <v>20</v>
      </c>
      <c r="Q2" s="67">
        <v>-5800</v>
      </c>
    </row>
    <row r="3" spans="1:17" x14ac:dyDescent="0.45">
      <c r="A3" s="21" t="s">
        <v>8</v>
      </c>
      <c r="B3" s="133">
        <v>137</v>
      </c>
      <c r="C3" s="134"/>
      <c r="E3" s="29" t="s">
        <v>72</v>
      </c>
      <c r="F3" s="26" t="s">
        <v>27</v>
      </c>
      <c r="G3" s="14">
        <v>31</v>
      </c>
      <c r="H3" s="92">
        <f>IF(B$19=0,0,G3/B$19)</f>
        <v>0.70454545454545459</v>
      </c>
      <c r="I3" s="60">
        <v>2</v>
      </c>
      <c r="K3" s="7">
        <v>1</v>
      </c>
      <c r="L3" s="65">
        <v>56</v>
      </c>
      <c r="N3" s="78" t="s">
        <v>129</v>
      </c>
      <c r="O3" s="84">
        <f t="shared" si="0"/>
        <v>-1700</v>
      </c>
      <c r="P3" s="81">
        <v>19</v>
      </c>
      <c r="Q3" s="68">
        <v>-32300</v>
      </c>
    </row>
    <row r="4" spans="1:17" x14ac:dyDescent="0.45">
      <c r="A4" s="21" t="s">
        <v>6</v>
      </c>
      <c r="B4" s="135">
        <v>52.8</v>
      </c>
      <c r="C4" s="136"/>
      <c r="E4" s="29" t="s">
        <v>64</v>
      </c>
      <c r="F4" s="26" t="s">
        <v>20</v>
      </c>
      <c r="G4" s="14">
        <v>13</v>
      </c>
      <c r="H4" s="92">
        <f>IF(B$19=0,0,G4/B$19)</f>
        <v>0.29545454545454547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2931.25</v>
      </c>
      <c r="P4" s="81">
        <v>16</v>
      </c>
      <c r="Q4" s="68">
        <v>46900</v>
      </c>
    </row>
    <row r="5" spans="1:17" x14ac:dyDescent="0.45">
      <c r="A5" s="21" t="s">
        <v>7</v>
      </c>
      <c r="B5" s="123">
        <f>IF(B$2=0,0,B$4/B$2)</f>
        <v>2.6399999999999997</v>
      </c>
      <c r="C5" s="124"/>
      <c r="E5" s="29" t="s">
        <v>68</v>
      </c>
      <c r="F5" s="26" t="s">
        <v>12</v>
      </c>
      <c r="G5" s="14">
        <v>12</v>
      </c>
      <c r="H5" s="92">
        <f>IF(B$19=0,0,G5/B$19)</f>
        <v>0.27272727272727271</v>
      </c>
      <c r="I5" s="60">
        <v>7</v>
      </c>
      <c r="K5" s="7">
        <v>3</v>
      </c>
      <c r="L5" s="65">
        <v>159</v>
      </c>
      <c r="N5" s="78" t="s">
        <v>131</v>
      </c>
      <c r="O5" s="84">
        <f t="shared" si="0"/>
        <v>0</v>
      </c>
      <c r="P5" s="81">
        <v>13</v>
      </c>
      <c r="Q5" s="68">
        <v>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9</v>
      </c>
      <c r="H6" s="92">
        <f>IF(B$19=0,0,G6/B$19)</f>
        <v>0.20454545454545456</v>
      </c>
      <c r="I6" s="60">
        <v>8</v>
      </c>
      <c r="K6" s="7">
        <v>4</v>
      </c>
      <c r="L6" s="65">
        <v>112.4</v>
      </c>
      <c r="N6" s="78" t="s">
        <v>132</v>
      </c>
      <c r="O6" s="84">
        <f t="shared" si="0"/>
        <v>2522.2222222222222</v>
      </c>
      <c r="P6" s="81">
        <v>9</v>
      </c>
      <c r="Q6" s="68">
        <v>22700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0.4</v>
      </c>
      <c r="E7" s="29" t="s">
        <v>160</v>
      </c>
      <c r="F7" s="26" t="s">
        <v>161</v>
      </c>
      <c r="G7" s="14">
        <v>8</v>
      </c>
      <c r="H7" s="92">
        <f>IF(B$19=0,0,G7/B$19)</f>
        <v>0.18181818181818182</v>
      </c>
      <c r="I7" s="60">
        <v>10</v>
      </c>
      <c r="K7" s="7">
        <v>5</v>
      </c>
      <c r="L7" s="65">
        <v>140.30000000000001</v>
      </c>
      <c r="N7" s="79" t="s">
        <v>133</v>
      </c>
      <c r="O7" s="85">
        <f t="shared" si="0"/>
        <v>-1337.5</v>
      </c>
      <c r="P7" s="82">
        <v>8</v>
      </c>
      <c r="Q7" s="69">
        <v>-10700</v>
      </c>
    </row>
    <row r="8" spans="1:17" x14ac:dyDescent="0.45">
      <c r="A8" s="21" t="s">
        <v>3</v>
      </c>
      <c r="B8" s="14">
        <v>4</v>
      </c>
      <c r="C8" s="8">
        <f t="shared" si="1"/>
        <v>0.2</v>
      </c>
      <c r="E8" s="29" t="s">
        <v>83</v>
      </c>
      <c r="F8" s="26" t="s">
        <v>38</v>
      </c>
      <c r="G8" s="14">
        <v>7</v>
      </c>
      <c r="H8" s="92">
        <f>IF(B$19=0,0,G8/B$19)</f>
        <v>0.15909090909090909</v>
      </c>
      <c r="I8" s="60">
        <v>1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8</v>
      </c>
      <c r="C9" s="9">
        <f t="shared" si="1"/>
        <v>0.4</v>
      </c>
      <c r="E9" s="29" t="s">
        <v>69</v>
      </c>
      <c r="F9" s="26" t="s">
        <v>24</v>
      </c>
      <c r="G9" s="14">
        <v>6</v>
      </c>
      <c r="H9" s="92">
        <f>IF(B$19=0,0,G9/B$19)</f>
        <v>0.13636363636363635</v>
      </c>
      <c r="I9" s="60">
        <v>4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</v>
      </c>
      <c r="C10" s="114">
        <v>336</v>
      </c>
      <c r="E10" s="29" t="s">
        <v>65</v>
      </c>
      <c r="F10" s="26" t="s">
        <v>21</v>
      </c>
      <c r="G10" s="14">
        <v>4</v>
      </c>
      <c r="H10" s="92">
        <f>IF(B$19=0,0,G10/B$19)</f>
        <v>9.0909090909090912E-2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-6.8857142857142861</v>
      </c>
      <c r="P10" s="80">
        <v>7</v>
      </c>
      <c r="Q10" s="71">
        <v>-48.2</v>
      </c>
    </row>
    <row r="11" spans="1:17" x14ac:dyDescent="0.45">
      <c r="A11" s="22" t="s">
        <v>186</v>
      </c>
      <c r="B11" s="113">
        <f>IF(B8=0,0,C11/B8)</f>
        <v>5.8999999999999995</v>
      </c>
      <c r="C11" s="114">
        <v>23.599999999999998</v>
      </c>
      <c r="E11" s="29" t="s">
        <v>89</v>
      </c>
      <c r="F11" s="26" t="s">
        <v>44</v>
      </c>
      <c r="G11" s="14">
        <v>4</v>
      </c>
      <c r="H11" s="92">
        <f>IF(B$19=0,0,G11/B$19)</f>
        <v>9.0909090909090912E-2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-3.2142857142857153</v>
      </c>
      <c r="P11" s="81">
        <v>7</v>
      </c>
      <c r="Q11" s="72">
        <v>-22.500000000000007</v>
      </c>
    </row>
    <row r="12" spans="1:17" x14ac:dyDescent="0.45">
      <c r="A12" s="22" t="s">
        <v>187</v>
      </c>
      <c r="B12" s="113">
        <f>IF(B9=0,0,C12/B9)</f>
        <v>-38.35</v>
      </c>
      <c r="C12" s="114">
        <v>-306.8</v>
      </c>
      <c r="E12" s="29" t="s">
        <v>78</v>
      </c>
      <c r="F12" s="26" t="s">
        <v>33</v>
      </c>
      <c r="G12" s="14">
        <v>3</v>
      </c>
      <c r="H12" s="92">
        <f>IF(B$19=0,0,G12/B$19)</f>
        <v>6.8181818181818177E-2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20.583333333333336</v>
      </c>
      <c r="P12" s="82">
        <v>6</v>
      </c>
      <c r="Q12" s="73">
        <v>123.50000000000001</v>
      </c>
    </row>
    <row r="13" spans="1:17" x14ac:dyDescent="0.45">
      <c r="A13" s="22" t="s">
        <v>188</v>
      </c>
      <c r="B13" s="123">
        <f>AVERAGE(B10:B12)</f>
        <v>3.1833333333333322</v>
      </c>
      <c r="C13" s="124"/>
      <c r="E13" s="29" t="s">
        <v>81</v>
      </c>
      <c r="F13" s="26" t="s">
        <v>36</v>
      </c>
      <c r="G13" s="14">
        <v>3</v>
      </c>
      <c r="H13" s="92">
        <f>IF(B$19=0,0,G13/B$19)</f>
        <v>6.8181818181818177E-2</v>
      </c>
      <c r="I13" s="60">
        <v>1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0.25</v>
      </c>
      <c r="E14" s="29" t="s">
        <v>85</v>
      </c>
      <c r="F14" s="26" t="s">
        <v>40</v>
      </c>
      <c r="G14" s="14">
        <v>2</v>
      </c>
      <c r="H14" s="92">
        <f>IF(B$19=0,0,G14/B$19)</f>
        <v>4.5454545454545456E-2</v>
      </c>
      <c r="I14" s="60">
        <v>1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0.15328467153284672</v>
      </c>
      <c r="E15" s="29" t="s">
        <v>71</v>
      </c>
      <c r="F15" s="26" t="s">
        <v>26</v>
      </c>
      <c r="G15" s="14">
        <v>1</v>
      </c>
      <c r="H15" s="92">
        <f>IF(B$19=0,0,G15/B$19)</f>
        <v>2.2727272727272728E-2</v>
      </c>
      <c r="I15" s="60">
        <v>9</v>
      </c>
      <c r="K15" s="7">
        <v>13</v>
      </c>
      <c r="L15" s="65">
        <v>83.1</v>
      </c>
      <c r="N15" s="77" t="s">
        <v>194</v>
      </c>
      <c r="O15" s="86">
        <f>IF(P15=0,0,Q15/P15)</f>
        <v>44.449999999999996</v>
      </c>
      <c r="P15" s="80">
        <v>8</v>
      </c>
      <c r="Q15" s="71">
        <v>355.59999999999997</v>
      </c>
    </row>
    <row r="16" spans="1:17" x14ac:dyDescent="0.45">
      <c r="A16" s="21" t="s">
        <v>118</v>
      </c>
      <c r="B16" s="14">
        <v>46</v>
      </c>
      <c r="C16" s="8">
        <f>IF(B$3=0,0,B16/B$3)</f>
        <v>0.33576642335766421</v>
      </c>
      <c r="E16" s="29" t="s">
        <v>75</v>
      </c>
      <c r="F16" s="26" t="s">
        <v>30</v>
      </c>
      <c r="G16" s="14">
        <v>1</v>
      </c>
      <c r="H16" s="92">
        <f>IF(B$19=0,0,G16/B$19)</f>
        <v>2.2727272727272728E-2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>IF(P16=0,0,Q16/P16)</f>
        <v>32.566666666666663</v>
      </c>
      <c r="P16" s="81">
        <v>6</v>
      </c>
      <c r="Q16" s="72">
        <v>195.39999999999998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0.61904761904761907</v>
      </c>
      <c r="E17" s="29" t="s">
        <v>102</v>
      </c>
      <c r="F17" s="26" t="s">
        <v>57</v>
      </c>
      <c r="G17" s="14">
        <v>1</v>
      </c>
      <c r="H17" s="92">
        <f>IF(B$19=0,0,G17/B$19)</f>
        <v>2.2727272727272728E-2</v>
      </c>
      <c r="I17" s="60">
        <v>1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19</v>
      </c>
      <c r="C18" s="6">
        <f>IF(B$16=0,0,B18/B$16)</f>
        <v>0.41304347826086957</v>
      </c>
      <c r="E18" s="29" t="s">
        <v>70</v>
      </c>
      <c r="F18" s="26" t="s">
        <v>25</v>
      </c>
      <c r="G18" s="14">
        <v>0</v>
      </c>
      <c r="H18" s="92">
        <f>IF(B$19=0,0,G18/B$19)</f>
        <v>0</v>
      </c>
      <c r="I18" s="60">
        <v>7</v>
      </c>
      <c r="K18" s="7">
        <v>16</v>
      </c>
      <c r="L18" s="65">
        <v>119.3</v>
      </c>
      <c r="N18" s="78" t="s">
        <v>192</v>
      </c>
      <c r="O18" s="87">
        <f>IF(P18=0,0,Q18/P18)</f>
        <v>-10.600000000000003</v>
      </c>
      <c r="P18" s="81">
        <v>12</v>
      </c>
      <c r="Q18" s="72">
        <v>-127.20000000000005</v>
      </c>
    </row>
    <row r="19" spans="1:17" x14ac:dyDescent="0.45">
      <c r="A19" s="20" t="s">
        <v>10</v>
      </c>
      <c r="B19" s="13">
        <f>B22+B21</f>
        <v>44</v>
      </c>
      <c r="C19" s="6">
        <f>IF(B$3=0,0,B19/B$3)</f>
        <v>0.32116788321167883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71.699999999999989</v>
      </c>
      <c r="N19" s="78" t="s">
        <v>126</v>
      </c>
      <c r="O19" s="87">
        <f>IF(P19=0,0,Q19/P19)</f>
        <v>-25.599999999999994</v>
      </c>
      <c r="P19" s="81">
        <v>9</v>
      </c>
      <c r="Q19" s="72">
        <v>-230.39999999999995</v>
      </c>
    </row>
    <row r="20" spans="1:17" x14ac:dyDescent="0.45">
      <c r="A20" s="21" t="s">
        <v>13</v>
      </c>
      <c r="B20" s="14">
        <v>20</v>
      </c>
      <c r="C20" s="8">
        <f>IF(B$3=0,0,B20/B$3)</f>
        <v>0.145985401459854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45.399999999999991</v>
      </c>
      <c r="N20" s="78" t="s">
        <v>189</v>
      </c>
      <c r="O20" s="87">
        <f>IF(P20=0,0,Q20/P20)</f>
        <v>-49.75</v>
      </c>
      <c r="P20" s="81">
        <v>2</v>
      </c>
      <c r="Q20" s="72">
        <v>-99.5</v>
      </c>
    </row>
    <row r="21" spans="1:17" x14ac:dyDescent="0.45">
      <c r="A21" s="21" t="s">
        <v>12</v>
      </c>
      <c r="B21" s="14">
        <v>23</v>
      </c>
      <c r="C21" s="8">
        <f>IF(B$19=0,0,B21/B$19)</f>
        <v>0.52272727272727271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21</v>
      </c>
      <c r="C22" s="8">
        <f>IF(B$19=0,0,B22/B$19)</f>
        <v>0.47727272727272729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13</v>
      </c>
      <c r="C23" s="8">
        <f>IF(B$19=0,0,B23/B$19)</f>
        <v>0.29545454545454547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19</v>
      </c>
      <c r="C24" s="8">
        <f>IF(B$19=0,0,B24/B$19)</f>
        <v>0.43181818181818182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12</v>
      </c>
      <c r="C25" s="8">
        <f>IF(B$19=0,0,B25/B$19)</f>
        <v>0.27272727272727271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8250</v>
      </c>
      <c r="C26" s="10">
        <v>363000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8896</v>
      </c>
      <c r="C27" s="100">
        <v>222400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7400</v>
      </c>
      <c r="C28" s="100">
        <v>140600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-7775</v>
      </c>
      <c r="C29" s="100">
        <v>-155500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27</v>
      </c>
      <c r="C31" s="94">
        <v>2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4</v>
      </c>
      <c r="C36" s="102">
        <f t="shared" ref="C36:C48" si="2">IF(B$19=0,0,B36/B$19)</f>
        <v>9.0909090909090912E-2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11</v>
      </c>
      <c r="C37" s="8">
        <f t="shared" si="2"/>
        <v>0.25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5">
      <c r="A38" s="21" t="s">
        <v>169</v>
      </c>
      <c r="B38" s="122">
        <v>7</v>
      </c>
      <c r="C38" s="8">
        <f t="shared" si="2"/>
        <v>0.15909090909090909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7</v>
      </c>
      <c r="C39" s="8">
        <f t="shared" si="2"/>
        <v>0.15909090909090909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9</v>
      </c>
      <c r="C40" s="8">
        <f t="shared" si="2"/>
        <v>0.20454545454545456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4.5454545454545456E-2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4.5454545454545456E-2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2.2727272727272728E-2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2.2727272727272728E-2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7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4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7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11</v>
      </c>
      <c r="C2" s="132"/>
      <c r="E2" s="28" t="s">
        <v>66</v>
      </c>
      <c r="F2" s="25" t="s">
        <v>22</v>
      </c>
      <c r="G2" s="13">
        <v>28</v>
      </c>
      <c r="H2" s="91">
        <f>IF(B$19=0,0,G2/B$19)</f>
        <v>1.0769230769230769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4290.909090909091</v>
      </c>
      <c r="P2" s="80">
        <v>11</v>
      </c>
      <c r="Q2" s="67">
        <v>47200</v>
      </c>
    </row>
    <row r="3" spans="1:17" x14ac:dyDescent="0.45">
      <c r="A3" s="21" t="s">
        <v>8</v>
      </c>
      <c r="B3" s="133">
        <v>82</v>
      </c>
      <c r="C3" s="134"/>
      <c r="E3" s="29" t="s">
        <v>72</v>
      </c>
      <c r="F3" s="26" t="s">
        <v>27</v>
      </c>
      <c r="G3" s="14">
        <v>17</v>
      </c>
      <c r="H3" s="92">
        <f>IF(B$19=0,0,G3/B$19)</f>
        <v>0.65384615384615385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-9672.7272727272721</v>
      </c>
      <c r="P3" s="81">
        <v>11</v>
      </c>
      <c r="Q3" s="68">
        <v>-106400</v>
      </c>
    </row>
    <row r="4" spans="1:17" x14ac:dyDescent="0.45">
      <c r="A4" s="21" t="s">
        <v>6</v>
      </c>
      <c r="B4" s="135">
        <v>-121</v>
      </c>
      <c r="C4" s="136"/>
      <c r="E4" s="29" t="s">
        <v>64</v>
      </c>
      <c r="F4" s="26" t="s">
        <v>20</v>
      </c>
      <c r="G4" s="14">
        <v>8</v>
      </c>
      <c r="H4" s="92">
        <f>IF(B$19=0,0,G4/B$19)</f>
        <v>0.30769230769230771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-2110</v>
      </c>
      <c r="P4" s="81">
        <v>10</v>
      </c>
      <c r="Q4" s="68">
        <v>-21100</v>
      </c>
    </row>
    <row r="5" spans="1:17" x14ac:dyDescent="0.45">
      <c r="A5" s="21" t="s">
        <v>7</v>
      </c>
      <c r="B5" s="123">
        <f>IF(B$2=0,0,B$4/B$2)</f>
        <v>-11</v>
      </c>
      <c r="C5" s="124"/>
      <c r="E5" s="29" t="s">
        <v>160</v>
      </c>
      <c r="F5" s="26" t="s">
        <v>161</v>
      </c>
      <c r="G5" s="14">
        <v>8</v>
      </c>
      <c r="H5" s="92">
        <f>IF(B$19=0,0,G5/B$19)</f>
        <v>0.30769230769230771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-4312.5</v>
      </c>
      <c r="P5" s="81">
        <v>8</v>
      </c>
      <c r="Q5" s="68">
        <v>-34500</v>
      </c>
    </row>
    <row r="6" spans="1:17" x14ac:dyDescent="0.45">
      <c r="A6" s="21" t="s">
        <v>1</v>
      </c>
      <c r="B6" s="137">
        <f>IF(B$2=0,0,(B$7*1+B$8*2+B$9*3)/B$2)</f>
        <v>2.3636363636363638</v>
      </c>
      <c r="C6" s="138"/>
      <c r="E6" s="29" t="s">
        <v>68</v>
      </c>
      <c r="F6" s="26" t="s">
        <v>12</v>
      </c>
      <c r="G6" s="14">
        <v>7</v>
      </c>
      <c r="H6" s="92">
        <f>IF(B$19=0,0,G6/B$19)</f>
        <v>0.26923076923076922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5828.5714285714284</v>
      </c>
      <c r="P6" s="81">
        <v>7</v>
      </c>
      <c r="Q6" s="68">
        <v>40800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0.18181818181818182</v>
      </c>
      <c r="E7" s="29" t="s">
        <v>89</v>
      </c>
      <c r="F7" s="26" t="s">
        <v>44</v>
      </c>
      <c r="G7" s="14">
        <v>6</v>
      </c>
      <c r="H7" s="92">
        <f>IF(B$19=0,0,G7/B$19)</f>
        <v>0.23076923076923078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-1166.6666666666667</v>
      </c>
      <c r="P7" s="82">
        <v>6</v>
      </c>
      <c r="Q7" s="69">
        <v>-7000</v>
      </c>
    </row>
    <row r="8" spans="1:17" x14ac:dyDescent="0.45">
      <c r="A8" s="21" t="s">
        <v>3</v>
      </c>
      <c r="B8" s="14">
        <v>3</v>
      </c>
      <c r="C8" s="8">
        <f t="shared" si="1"/>
        <v>0.27272727272727271</v>
      </c>
      <c r="E8" s="29" t="s">
        <v>70</v>
      </c>
      <c r="F8" s="26" t="s">
        <v>25</v>
      </c>
      <c r="G8" s="14">
        <v>5</v>
      </c>
      <c r="H8" s="92">
        <f>IF(B$19=0,0,G8/B$19)</f>
        <v>0.19230769230769232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0.54545454545454541</v>
      </c>
      <c r="E9" s="29" t="s">
        <v>69</v>
      </c>
      <c r="F9" s="26" t="s">
        <v>24</v>
      </c>
      <c r="G9" s="14">
        <v>4</v>
      </c>
      <c r="H9" s="92">
        <f>IF(B$19=0,0,G9/B$19)</f>
        <v>0.15384615384615385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61.3</v>
      </c>
      <c r="C10" s="114">
        <v>122.6</v>
      </c>
      <c r="E10" s="29" t="s">
        <v>65</v>
      </c>
      <c r="F10" s="26" t="s">
        <v>21</v>
      </c>
      <c r="G10" s="14">
        <v>3</v>
      </c>
      <c r="H10" s="92">
        <f>IF(B$19=0,0,G10/B$19)</f>
        <v>0.11538461538461539</v>
      </c>
      <c r="I10" s="60">
        <v>5</v>
      </c>
      <c r="K10" s="7">
        <v>8</v>
      </c>
      <c r="L10" s="65">
        <v>-128.6</v>
      </c>
      <c r="N10" s="77" t="s">
        <v>152</v>
      </c>
      <c r="O10" s="86">
        <f>IF(P10=0,0,Q10/P10)</f>
        <v>8.3600000000000012</v>
      </c>
      <c r="P10" s="80">
        <v>5</v>
      </c>
      <c r="Q10" s="71">
        <v>41.800000000000004</v>
      </c>
    </row>
    <row r="11" spans="1:17" x14ac:dyDescent="0.45">
      <c r="A11" s="22" t="s">
        <v>186</v>
      </c>
      <c r="B11" s="113">
        <f>IF(B8=0,0,C11/B8)</f>
        <v>2.5333333333333337</v>
      </c>
      <c r="C11" s="114">
        <v>7.6000000000000014</v>
      </c>
      <c r="E11" s="29" t="s">
        <v>67</v>
      </c>
      <c r="F11" s="26" t="s">
        <v>23</v>
      </c>
      <c r="G11" s="14">
        <v>3</v>
      </c>
      <c r="H11" s="92">
        <f>IF(B$19=0,0,G11/B$19)</f>
        <v>0.11538461538461539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78</v>
      </c>
      <c r="F12" s="26" t="s">
        <v>33</v>
      </c>
      <c r="G12" s="14">
        <v>3</v>
      </c>
      <c r="H12" s="92">
        <f>IF(B$19=0,0,G12/B$19)</f>
        <v>0.11538461538461539</v>
      </c>
      <c r="I12" s="60">
        <v>1</v>
      </c>
      <c r="K12" s="7">
        <v>10</v>
      </c>
      <c r="L12" s="65">
        <v>-112.8</v>
      </c>
      <c r="N12" s="79" t="s">
        <v>154</v>
      </c>
      <c r="O12" s="88">
        <f>IF(P12=0,0,Q12/P12)</f>
        <v>-43.366666666666667</v>
      </c>
      <c r="P12" s="82">
        <v>3</v>
      </c>
      <c r="Q12" s="73">
        <v>-130.1</v>
      </c>
    </row>
    <row r="13" spans="1:17" x14ac:dyDescent="0.45">
      <c r="A13" s="22" t="s">
        <v>188</v>
      </c>
      <c r="B13" s="123">
        <f>AVERAGE(B10:B12)</f>
        <v>7.3222222222222202</v>
      </c>
      <c r="C13" s="124"/>
      <c r="E13" s="29" t="s">
        <v>83</v>
      </c>
      <c r="F13" s="26" t="s">
        <v>38</v>
      </c>
      <c r="G13" s="14">
        <v>3</v>
      </c>
      <c r="H13" s="92">
        <f>IF(B$19=0,0,G13/B$19)</f>
        <v>0.11538461538461539</v>
      </c>
      <c r="I13" s="60">
        <v>2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0.27272727272727271</v>
      </c>
      <c r="E14" s="29" t="s">
        <v>71</v>
      </c>
      <c r="F14" s="26" t="s">
        <v>26</v>
      </c>
      <c r="G14" s="14">
        <v>2</v>
      </c>
      <c r="H14" s="92">
        <f>IF(B$19=0,0,G14/B$19)</f>
        <v>7.6923076923076927E-2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</v>
      </c>
      <c r="C15" s="12">
        <f>IF(B$3=0,0,B15/B$3)</f>
        <v>0.15853658536585366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192</v>
      </c>
      <c r="O15" s="86">
        <f>IF(P15=0,0,Q15/P15)</f>
        <v>12.375</v>
      </c>
      <c r="P15" s="80">
        <v>4</v>
      </c>
      <c r="Q15" s="71">
        <v>49.5</v>
      </c>
    </row>
    <row r="16" spans="1:17" x14ac:dyDescent="0.45">
      <c r="A16" s="21" t="s">
        <v>118</v>
      </c>
      <c r="B16" s="14">
        <v>27</v>
      </c>
      <c r="C16" s="8">
        <f>IF(B$3=0,0,B16/B$3)</f>
        <v>0.32926829268292684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3.3666666666666649</v>
      </c>
      <c r="P16" s="81">
        <v>3</v>
      </c>
      <c r="Q16" s="72">
        <v>10.099999999999994</v>
      </c>
    </row>
    <row r="17" spans="1:17" x14ac:dyDescent="0.45">
      <c r="A17" s="20" t="s">
        <v>123</v>
      </c>
      <c r="B17" s="13">
        <f>B23</f>
        <v>9</v>
      </c>
      <c r="C17" s="6">
        <f>IF(B$15=0,0,B17/B$15)</f>
        <v>0.69230769230769229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126</v>
      </c>
      <c r="O17" s="87">
        <f>IF(P17=0,0,Q17/P17)</f>
        <v>-24.520000000000003</v>
      </c>
      <c r="P17" s="81">
        <v>10</v>
      </c>
      <c r="Q17" s="72">
        <v>-245.20000000000005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0.25925925925925924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-29.925000000000004</v>
      </c>
      <c r="P18" s="81">
        <v>4</v>
      </c>
      <c r="Q18" s="72">
        <v>-119.70000000000002</v>
      </c>
    </row>
    <row r="19" spans="1:17" x14ac:dyDescent="0.45">
      <c r="A19" s="20" t="s">
        <v>10</v>
      </c>
      <c r="B19" s="13">
        <f>B22+B21</f>
        <v>26</v>
      </c>
      <c r="C19" s="6">
        <f>IF(B$3=0,0,B19/B$3)</f>
        <v>0.31707317073170732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4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20</v>
      </c>
      <c r="C20" s="8">
        <f>IF(B$3=0,0,B20/B$3)</f>
        <v>0.24390243902439024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0.34615384615384615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17</v>
      </c>
      <c r="C22" s="8">
        <f>IF(B$19=0,0,B22/B$19)</f>
        <v>0.65384615384615385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9</v>
      </c>
      <c r="C23" s="8">
        <f>IF(B$19=0,0,B23/B$19)</f>
        <v>0.34615384615384615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7</v>
      </c>
      <c r="C24" s="8">
        <f>IF(B$19=0,0,B24/B$19)</f>
        <v>0.26923076923076922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10</v>
      </c>
      <c r="C25" s="8">
        <f>IF(B$19=0,0,B25/B$19)</f>
        <v>0.38461538461538464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9503.8461538461543</v>
      </c>
      <c r="C26" s="10">
        <v>247100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8</v>
      </c>
    </row>
    <row r="27" spans="1:17" x14ac:dyDescent="0.45">
      <c r="A27" s="22" t="s">
        <v>166</v>
      </c>
      <c r="B27" s="99">
        <f>IF($B$19-B$18=0,0,C27/($B$19-B$18))</f>
        <v>8989.4736842105267</v>
      </c>
      <c r="C27" s="100">
        <v>170800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10900</v>
      </c>
      <c r="C28" s="100">
        <v>76300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-10365</v>
      </c>
      <c r="C29" s="100">
        <v>-207300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0.11538461538461539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6</v>
      </c>
      <c r="C37" s="8">
        <f t="shared" si="2"/>
        <v>0.23076923076923078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0.11538461538461539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0.15384615384615385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0.11538461538461539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7.6923076923076927E-2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3.8461538461538464E-2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7.6923076923076927E-2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7.6923076923076927E-2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2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6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5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7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3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1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4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3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6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2020-06-07T05:47:27Z</dcterms:modified>
</cp:coreProperties>
</file>