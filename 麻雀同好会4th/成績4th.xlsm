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04B85B69-5CE5-4DB3-B4B2-82FFB4A4106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8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6" i="6190"/>
  <c r="O16" i="6178"/>
  <c r="O18" i="6186"/>
  <c r="O19" i="6190" l="1"/>
  <c r="O15" i="6178"/>
  <c r="O18" i="6190"/>
  <c r="O15" i="6176"/>
  <c r="O15" i="6184" l="1"/>
  <c r="O17" i="6178"/>
  <c r="O18" i="6180"/>
  <c r="O19" i="6184"/>
  <c r="O17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26" i="6190"/>
  <c r="C24" i="6190"/>
  <c r="H31" i="6190"/>
  <c r="H18" i="6190"/>
  <c r="H42" i="6190"/>
  <c r="H33" i="6190"/>
  <c r="H3" i="6190"/>
  <c r="H25" i="6190"/>
  <c r="C42" i="6190"/>
  <c r="H9" i="6190"/>
  <c r="C19" i="6190"/>
  <c r="C25" i="6190"/>
  <c r="H36" i="6190"/>
  <c r="H22" i="6190"/>
  <c r="C36" i="6190"/>
  <c r="H48" i="6190"/>
  <c r="C46" i="6190"/>
  <c r="H12" i="6190"/>
  <c r="H27" i="6190"/>
  <c r="H47" i="6190"/>
  <c r="H16" i="6190"/>
  <c r="H23" i="6190"/>
  <c r="C48" i="6190"/>
  <c r="H2" i="6190"/>
  <c r="H43" i="6190"/>
  <c r="H29" i="6190"/>
  <c r="H37" i="6190"/>
  <c r="H14" i="6190"/>
  <c r="H38" i="6190"/>
  <c r="H6" i="6190"/>
  <c r="H17" i="6190"/>
  <c r="H20" i="6190"/>
  <c r="C21" i="6190"/>
  <c r="H30" i="6190"/>
  <c r="H41" i="6190"/>
  <c r="H49" i="6190"/>
  <c r="C38" i="6190"/>
  <c r="H44" i="6190"/>
  <c r="H11" i="6190"/>
  <c r="H13" i="6190"/>
  <c r="B26" i="6190"/>
  <c r="H34" i="6190"/>
  <c r="H39" i="6190"/>
  <c r="C44" i="6190"/>
  <c r="H51" i="6190"/>
  <c r="H15" i="6190"/>
  <c r="H4" i="6190"/>
  <c r="H8" i="6190"/>
  <c r="H19" i="6190"/>
  <c r="H21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4" i="6190"/>
  <c r="H28" i="6190"/>
  <c r="H32" i="6190"/>
  <c r="C37" i="6190"/>
  <c r="C41" i="6190"/>
  <c r="C45" i="6190"/>
  <c r="O20" i="6180" l="1"/>
  <c r="O20" i="6186"/>
  <c r="O21" i="6176"/>
  <c r="O16" i="6186"/>
  <c r="O15" i="6180" l="1"/>
  <c r="O20" i="6182"/>
  <c r="O22" i="6176"/>
  <c r="O17" i="6176"/>
  <c r="O15" i="6182"/>
  <c r="O18" i="6184"/>
  <c r="O16" i="6188" l="1"/>
  <c r="O19" i="6188"/>
  <c r="O21" i="6184"/>
  <c r="O20" i="6184"/>
  <c r="O16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7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6" i="6184"/>
  <c r="O17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5" i="6174"/>
  <c r="O19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9" i="6174"/>
  <c r="O17" i="6180"/>
  <c r="O21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6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5" i="6182"/>
  <c r="H52" i="6182"/>
  <c r="H22" i="6182"/>
  <c r="C21" i="6182"/>
  <c r="H3" i="6182"/>
  <c r="H35" i="6182"/>
  <c r="H4" i="6182"/>
  <c r="H8" i="6182"/>
  <c r="H24" i="6182"/>
  <c r="C22" i="6182"/>
  <c r="H40" i="6182"/>
  <c r="H17" i="6182"/>
  <c r="H34" i="6182"/>
  <c r="C25" i="6182"/>
  <c r="C40" i="6182"/>
  <c r="H27" i="6182"/>
  <c r="H7" i="6182"/>
  <c r="H21" i="6182"/>
  <c r="H41" i="6182"/>
  <c r="H44" i="6182"/>
  <c r="C44" i="6182"/>
  <c r="H2" i="6182"/>
  <c r="H18" i="6182"/>
  <c r="H23" i="6182"/>
  <c r="B26" i="6182"/>
  <c r="H36" i="6182"/>
  <c r="H45" i="6182"/>
  <c r="H13" i="6182"/>
  <c r="H10" i="6182"/>
  <c r="H39" i="6182"/>
  <c r="C46" i="6182"/>
  <c r="H19" i="6182"/>
  <c r="H15" i="6182"/>
  <c r="H9" i="6182"/>
  <c r="H6" i="6182"/>
  <c r="H11" i="6182"/>
  <c r="H20" i="6182"/>
  <c r="H26" i="6182"/>
  <c r="C39" i="6182"/>
  <c r="H47" i="6182"/>
  <c r="H29" i="6182"/>
  <c r="H31" i="6182"/>
  <c r="C36" i="6182"/>
  <c r="C42" i="6182"/>
  <c r="C47" i="6182"/>
  <c r="H12" i="6182"/>
  <c r="C19" i="6182"/>
  <c r="C24" i="6182"/>
  <c r="H37" i="6182"/>
  <c r="H43" i="6182"/>
  <c r="H48" i="6182"/>
  <c r="H14" i="6182"/>
  <c r="H16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29" i="6180"/>
  <c r="H3" i="6188"/>
  <c r="H40" i="6188"/>
  <c r="H17" i="6184"/>
  <c r="H7" i="6184"/>
  <c r="H12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1" i="6186"/>
  <c r="H34" i="6186"/>
  <c r="H22" i="6186"/>
  <c r="H37" i="6186"/>
  <c r="H8" i="6186"/>
  <c r="H19" i="6186"/>
  <c r="H9" i="6186"/>
  <c r="C40" i="6186"/>
  <c r="H17" i="6186"/>
  <c r="C23" i="6186"/>
  <c r="H42" i="6186"/>
  <c r="H6" i="6186"/>
  <c r="H18" i="6186"/>
  <c r="H23" i="6186"/>
  <c r="H28" i="6186"/>
  <c r="C22" i="6186"/>
  <c r="B27" i="6186"/>
  <c r="H24" i="6186"/>
  <c r="H31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7" i="6186"/>
  <c r="H36" i="6186"/>
  <c r="C43" i="6186"/>
  <c r="C44" i="6186"/>
  <c r="H5" i="6186"/>
  <c r="B26" i="6186"/>
  <c r="H46" i="6186"/>
  <c r="H11" i="6186"/>
  <c r="H14" i="6186"/>
  <c r="H20" i="6186"/>
  <c r="C36" i="6186"/>
  <c r="H25" i="6186"/>
  <c r="H30" i="6186"/>
  <c r="H39" i="6186"/>
  <c r="H47" i="6186"/>
  <c r="H12" i="6186"/>
  <c r="H3" i="6186"/>
  <c r="H2" i="6186"/>
  <c r="H16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6" i="6186"/>
  <c r="H29" i="6186"/>
  <c r="H33" i="6186"/>
  <c r="C37" i="6186"/>
  <c r="C41" i="6186"/>
  <c r="C45" i="6186"/>
  <c r="H50" i="6186"/>
  <c r="H13" i="6186"/>
  <c r="H15" i="6186"/>
  <c r="H10" i="6186"/>
  <c r="H35" i="6186"/>
  <c r="C38" i="6186"/>
  <c r="C42" i="6186"/>
  <c r="C46" i="6186"/>
  <c r="H32" i="6174"/>
  <c r="H43" i="6184"/>
  <c r="H14" i="6184"/>
  <c r="H35" i="6184"/>
  <c r="C44" i="6184"/>
  <c r="H3" i="6184"/>
  <c r="H11" i="6184"/>
  <c r="H22" i="6184"/>
  <c r="C22" i="6184"/>
  <c r="H46" i="6184"/>
  <c r="H10" i="6184"/>
  <c r="H6" i="6184"/>
  <c r="C23" i="6184"/>
  <c r="C36" i="6184"/>
  <c r="H48" i="6184"/>
  <c r="H38" i="6184"/>
  <c r="H4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5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3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7" i="6180"/>
  <c r="H23" i="6180"/>
  <c r="H21" i="6180"/>
  <c r="H8" i="6180"/>
  <c r="C18" i="6180"/>
  <c r="H24" i="6180"/>
  <c r="C21" i="6180"/>
  <c r="H28" i="6180"/>
  <c r="H36" i="6180"/>
  <c r="H13" i="6180"/>
  <c r="C40" i="6180"/>
  <c r="H3" i="6180"/>
  <c r="H17" i="6180"/>
  <c r="C22" i="6180"/>
  <c r="H42" i="6180"/>
  <c r="H2" i="6180"/>
  <c r="H26" i="6180"/>
  <c r="H5" i="6180"/>
  <c r="C25" i="6180"/>
  <c r="C42" i="6180"/>
  <c r="H46" i="6180"/>
  <c r="H16" i="6180"/>
  <c r="C46" i="6180"/>
  <c r="B26" i="6180"/>
  <c r="H37" i="6180"/>
  <c r="H48" i="6180"/>
  <c r="H7" i="6180"/>
  <c r="H14" i="6180"/>
  <c r="H9" i="6180"/>
  <c r="H40" i="6180"/>
  <c r="H49" i="6180"/>
  <c r="H30" i="6180"/>
  <c r="H41" i="6180"/>
  <c r="C48" i="6180"/>
  <c r="H32" i="6180"/>
  <c r="H34" i="6180"/>
  <c r="C36" i="6180"/>
  <c r="H44" i="6180"/>
  <c r="H50" i="6180"/>
  <c r="H10" i="6180"/>
  <c r="H6" i="6180"/>
  <c r="H12" i="6180"/>
  <c r="H25" i="6180"/>
  <c r="C19" i="6180"/>
  <c r="C24" i="6180"/>
  <c r="H38" i="6180"/>
  <c r="H45" i="6180"/>
  <c r="H4" i="6180"/>
  <c r="H18" i="6180"/>
  <c r="H11" i="6180"/>
  <c r="H19" i="6180"/>
  <c r="C38" i="6180"/>
  <c r="C44" i="6180"/>
  <c r="H52" i="6180"/>
  <c r="C39" i="6180"/>
  <c r="C43" i="6180"/>
  <c r="C47" i="6180"/>
  <c r="H31" i="6180"/>
  <c r="H33" i="6180"/>
  <c r="H20" i="6180"/>
  <c r="C37" i="6180"/>
  <c r="C41" i="6180"/>
  <c r="C45" i="6180"/>
  <c r="H51" i="6180"/>
  <c r="H22" i="6180"/>
  <c r="C23" i="6180"/>
  <c r="B27" i="6180"/>
  <c r="H35" i="6180"/>
  <c r="H39" i="6180"/>
  <c r="H43" i="6180"/>
  <c r="H47" i="6180"/>
  <c r="C18" i="6174"/>
  <c r="H7" i="6174"/>
  <c r="C36" i="6174"/>
  <c r="H28" i="6174"/>
  <c r="H29" i="6174"/>
  <c r="H43" i="6174"/>
  <c r="H31" i="6174"/>
  <c r="H21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2" i="6174"/>
  <c r="H24" i="6174"/>
  <c r="H40" i="6174"/>
  <c r="C19" i="6174"/>
  <c r="C24" i="6174"/>
  <c r="H19" i="6174"/>
  <c r="H45" i="6174"/>
  <c r="H10" i="6174"/>
  <c r="H11" i="6174"/>
  <c r="C25" i="6174"/>
  <c r="H20" i="6174"/>
  <c r="H4" i="6174"/>
  <c r="H50" i="6174"/>
  <c r="H6" i="6174"/>
  <c r="H30" i="6174"/>
  <c r="H15" i="6174"/>
  <c r="H17" i="6174"/>
  <c r="H37" i="6174"/>
  <c r="C44" i="6174"/>
  <c r="H27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3" i="6174"/>
  <c r="H14" i="6174"/>
  <c r="H36" i="6174"/>
  <c r="H38" i="6174"/>
  <c r="C39" i="6174"/>
  <c r="C43" i="6174"/>
  <c r="C47" i="6174"/>
  <c r="H34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<sst xmlns="http://schemas.openxmlformats.org/spreadsheetml/2006/main" count="2648" uniqueCount="218">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</sst>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全体!$K$2:$K$188</c:f>
              <c:numCache>
                <c:formatCode>General</c:formatCode>
                <c:ptCount val="1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</c:numCache>
            </c:numRef>
          </c:xVal>
          <c:yVal>
            <c:numRef>
              <c:f>全体!$L$2:$L$188</c:f>
              <c:numCache>
                <c:formatCode>\+0.0;\-0.0;\±0</c:formatCode>
                <c:ptCount val="187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-10.928961748633879</c:v>
                </c:pt>
                <c:pt idx="1">
                  <c:v>-11.111111111111111</c:v>
                </c:pt>
                <c:pt idx="2">
                  <c:v>5.9523809523809526</c:v>
                </c:pt>
                <c:pt idx="3">
                  <c:v>13.888888888888889</c:v>
                </c:pt>
                <c:pt idx="4">
                  <c:v>-54.263565891472865</c:v>
                </c:pt>
                <c:pt idx="5">
                  <c:v>68.627450980392155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32</c:v>
                </c:pt>
                <c:pt idx="1">
                  <c:v>74</c:v>
                </c:pt>
                <c:pt idx="2">
                  <c:v>66</c:v>
                </c:pt>
                <c:pt idx="3">
                  <c:v>74</c:v>
                </c:pt>
                <c:pt idx="4">
                  <c:v>67</c:v>
                </c:pt>
                <c:pt idx="5">
                  <c:v>38</c:v>
                </c:pt>
                <c:pt idx="6">
                  <c:v>27</c:v>
                </c:pt>
                <c:pt idx="7">
                  <c:v>9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れんたろう!$L$2:$L$37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-3226.4705882352941</c:v>
                </c:pt>
                <c:pt idx="1">
                  <c:v>-400</c:v>
                </c:pt>
                <c:pt idx="2">
                  <c:v>425.80645161290323</c:v>
                </c:pt>
                <c:pt idx="3">
                  <c:v>-1800</c:v>
                </c:pt>
                <c:pt idx="4">
                  <c:v>1648.148148148148</c:v>
                </c:pt>
                <c:pt idx="5">
                  <c:v>4210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4</c:v>
                </c:pt>
                <c:pt idx="3">
                  <c:v>20</c:v>
                </c:pt>
                <c:pt idx="4">
                  <c:v>16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だいち!$L$2:$L$46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11.363636363636363</c:v>
                </c:pt>
                <c:pt idx="1">
                  <c:v>4997.6744186046508</c:v>
                </c:pt>
                <c:pt idx="2">
                  <c:v>5182.5</c:v>
                </c:pt>
                <c:pt idx="3">
                  <c:v>3350</c:v>
                </c:pt>
                <c:pt idx="4">
                  <c:v>-1875</c:v>
                </c:pt>
                <c:pt idx="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18</c:v>
                </c:pt>
                <c:pt idx="3">
                  <c:v>23</c:v>
                </c:pt>
                <c:pt idx="4">
                  <c:v>24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-4875</c:v>
                </c:pt>
                <c:pt idx="1">
                  <c:v>-1060</c:v>
                </c:pt>
                <c:pt idx="2">
                  <c:v>-7700</c:v>
                </c:pt>
                <c:pt idx="3">
                  <c:v>2066.6666666666665</c:v>
                </c:pt>
                <c:pt idx="4">
                  <c:v>400</c:v>
                </c:pt>
                <c:pt idx="5">
                  <c:v>-2850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まっつん!$L$2:$L$34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922.58064516129036</c:v>
                </c:pt>
                <c:pt idx="1">
                  <c:v>-1293.5483870967741</c:v>
                </c:pt>
                <c:pt idx="2">
                  <c:v>-1112.9032258064517</c:v>
                </c:pt>
                <c:pt idx="3">
                  <c:v>-900</c:v>
                </c:pt>
                <c:pt idx="4">
                  <c:v>-3160</c:v>
                </c:pt>
                <c:pt idx="5">
                  <c:v>515.78947368421052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18</c:v>
                </c:pt>
                <c:pt idx="3">
                  <c:v>10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-477.27272727272725</c:v>
                </c:pt>
                <c:pt idx="1">
                  <c:v>-1314.2857142857142</c:v>
                </c:pt>
                <c:pt idx="2">
                  <c:v>2544.4444444444443</c:v>
                </c:pt>
                <c:pt idx="3">
                  <c:v>373.33333333333331</c:v>
                </c:pt>
                <c:pt idx="4">
                  <c:v>4945.454545454545</c:v>
                </c:pt>
                <c:pt idx="5">
                  <c:v>-1188.8888888888889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4290.909090909091</c:v>
                </c:pt>
                <c:pt idx="1">
                  <c:v>-9672.7272727272721</c:v>
                </c:pt>
                <c:pt idx="2">
                  <c:v>-2110</c:v>
                </c:pt>
                <c:pt idx="3">
                  <c:v>-4312.5</c:v>
                </c:pt>
                <c:pt idx="4">
                  <c:v>5828.5714285714284</c:v>
                </c:pt>
                <c:pt idx="5">
                  <c:v>-1166.6666666666667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たかの2!$B$3:$B$25</c:f>
              <c:numCache>
                <c:formatCode>\+0.0;\-0.0;\±0</c:formatCode>
                <c:ptCount val="2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3322676295501878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たかの2!$C$3:$C$25</c:f>
              <c:numCache>
                <c:formatCode>\+0.0;\-0.0;\±0</c:formatCode>
                <c:ptCount val="23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62729191130042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たかの2!$D$3:$D$25</c:f>
              <c:numCache>
                <c:formatCode>0.00\ "位"</c:formatCode>
                <c:ptCount val="23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たかの2!$E$3:$E$25</c:f>
              <c:numCache>
                <c:formatCode>0.0%</c:formatCode>
                <c:ptCount val="23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たかの2!$F$3:$F$25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たかの2!$G$3:$G$25</c:f>
              <c:numCache>
                <c:formatCode>0.0%</c:formatCode>
                <c:ptCount val="23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198581560283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たかの2!$H$3:$H$25</c:f>
              <c:numCache>
                <c:formatCode>0.0%</c:formatCode>
                <c:ptCount val="23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02836879432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たかの2!$I$3:$I$25</c:f>
              <c:numCache>
                <c:formatCode>0</c:formatCode>
                <c:ptCount val="23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15.2912621359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たかの2!$J$3:$J$25</c:f>
              <c:numCache>
                <c:formatCode>0</c:formatCode>
                <c:ptCount val="23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51.363636363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たかの2!$K$3:$K$25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9784946236559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たかの2!$L$3:$L$25</c:f>
              <c:numCache>
                <c:formatCode>0.0%</c:formatCode>
                <c:ptCount val="23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8156028368794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たかの2!$M$3:$M$25</c:f>
              <c:numCache>
                <c:formatCode>0.0%</c:formatCode>
                <c:ptCount val="23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96453900709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たかの2!$N$3:$N$25</c:f>
              <c:numCache>
                <c:formatCode>0.0%</c:formatCode>
                <c:ptCount val="23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94505494505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たかの2!$O$3:$O$25</c:f>
              <c:numCache>
                <c:formatCode>0.0%</c:formatCode>
                <c:ptCount val="23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76470588235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たかの2!$P$3:$P$25</c:f>
              <c:numCache>
                <c:formatCode>0.0%</c:formatCode>
                <c:ptCount val="23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359223300970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3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186</v>
      </c>
    </row>
    <row r="2" spans="1:2" x14ac:dyDescent="0.45">
      <c r="A2" t="s">
        <v>164</v>
      </c>
      <c r="B2">
        <v>35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44</v>
      </c>
    </row>
    <row r="5" spans="1:2" x14ac:dyDescent="0.45">
      <c r="A5" t="s">
        <v>194</v>
      </c>
      <c r="B5">
        <v>16</v>
      </c>
    </row>
    <row r="6" spans="1:2" x14ac:dyDescent="0.45">
      <c r="A6" t="s">
        <v>192</v>
      </c>
      <c r="B6">
        <v>32</v>
      </c>
    </row>
    <row r="7" spans="1:2" x14ac:dyDescent="0.45">
      <c r="A7" t="s">
        <v>193</v>
      </c>
      <c r="B7">
        <v>22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11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0.71235946275625039</v>
      </c>
      <c r="C2" s="140"/>
      <c r="D2" s="145"/>
      <c r="E2" s="146"/>
      <c r="F2" s="145"/>
      <c r="G2" s="146"/>
      <c r="H2" s="139">
        <v>0.14841735069247886</v>
      </c>
      <c r="I2" s="140"/>
      <c r="J2" s="139">
        <v>0.80764301758921997</v>
      </c>
      <c r="K2" s="140"/>
      <c r="L2" s="139">
        <v>0.71768279244362965</v>
      </c>
      <c r="M2" s="140"/>
      <c r="N2" s="139">
        <v>0.81248278012208475</v>
      </c>
      <c r="O2" s="140"/>
      <c r="P2" s="139">
        <v>0.73000560533219239</v>
      </c>
      <c r="Q2" s="140"/>
      <c r="R2" s="139">
        <v>0.40929960973769608</v>
      </c>
      <c r="S2" s="140"/>
      <c r="T2" s="139">
        <v>0.35004424028048592</v>
      </c>
      <c r="U2" s="140"/>
      <c r="V2" s="139">
        <v>-4.6879431518276178E-2</v>
      </c>
      <c r="W2" s="140"/>
      <c r="X2" s="139">
        <v>0.80352230943729708</v>
      </c>
      <c r="Y2" s="140"/>
      <c r="Z2" s="139">
        <v>-7.3549600924259176E-2</v>
      </c>
      <c r="AA2" s="140"/>
      <c r="AB2" s="139">
        <v>-4.8373625887843164E-2</v>
      </c>
      <c r="AC2" s="140"/>
      <c r="AD2" s="139">
        <v>0.37334148165340414</v>
      </c>
      <c r="AE2" s="140"/>
      <c r="AF2" s="139">
        <v>0.82216378194816464</v>
      </c>
      <c r="AG2" s="140"/>
      <c r="AH2" s="139">
        <v>0.88577408920698375</v>
      </c>
      <c r="AI2" s="140"/>
      <c r="AJ2" s="139">
        <v>0.49219816692429785</v>
      </c>
      <c r="AK2" s="140"/>
    </row>
    <row r="3" spans="1:37" x14ac:dyDescent="0.45">
      <c r="A3" s="40">
        <v>1</v>
      </c>
      <c r="B3" s="43" t="s">
        <v>139</v>
      </c>
      <c r="C3" s="117">
        <v>62</v>
      </c>
      <c r="D3" s="41" t="s">
        <v>126</v>
      </c>
      <c r="E3" s="42">
        <v>571.60000000000014</v>
      </c>
      <c r="F3" s="43" t="s">
        <v>126</v>
      </c>
      <c r="G3" s="62">
        <v>12.990909090909094</v>
      </c>
      <c r="H3" s="43" t="s">
        <v>196</v>
      </c>
      <c r="I3" s="62">
        <v>7.6166666666666663</v>
      </c>
      <c r="J3" s="43" t="s">
        <v>126</v>
      </c>
      <c r="K3" s="44">
        <v>1.75</v>
      </c>
      <c r="L3" s="43" t="s">
        <v>126</v>
      </c>
      <c r="M3" s="45">
        <v>0.43181818181818182</v>
      </c>
      <c r="N3" s="43" t="s">
        <v>196</v>
      </c>
      <c r="O3" s="45">
        <v>0.125</v>
      </c>
      <c r="P3" s="43" t="s">
        <v>126</v>
      </c>
      <c r="Q3" s="46">
        <v>0.34029850746268658</v>
      </c>
      <c r="R3" s="43" t="s">
        <v>196</v>
      </c>
      <c r="S3" s="46">
        <v>7.6923076923076927E-2</v>
      </c>
      <c r="T3" s="43" t="s">
        <v>164</v>
      </c>
      <c r="U3" s="47">
        <v>10676.315789473685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0.33121019108280253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44</v>
      </c>
      <c r="D4" s="49" t="s">
        <v>193</v>
      </c>
      <c r="E4" s="50">
        <v>90.5</v>
      </c>
      <c r="F4" s="51" t="s">
        <v>193</v>
      </c>
      <c r="G4" s="63">
        <v>4.1136363636363633</v>
      </c>
      <c r="H4" s="51" t="s">
        <v>205</v>
      </c>
      <c r="I4" s="63">
        <v>7.3222222222222202</v>
      </c>
      <c r="J4" s="51" t="s">
        <v>196</v>
      </c>
      <c r="K4" s="52">
        <v>1.875</v>
      </c>
      <c r="L4" s="51" t="s">
        <v>193</v>
      </c>
      <c r="M4" s="53">
        <v>0.40909090909090912</v>
      </c>
      <c r="N4" s="51" t="s">
        <v>126</v>
      </c>
      <c r="O4" s="53">
        <v>0.18181818181818182</v>
      </c>
      <c r="P4" s="51" t="s">
        <v>193</v>
      </c>
      <c r="Q4" s="54">
        <v>0.32484076433121017</v>
      </c>
      <c r="R4" s="51" t="s">
        <v>126</v>
      </c>
      <c r="S4" s="54">
        <v>0.11940298507462686</v>
      </c>
      <c r="T4" s="51" t="s">
        <v>126</v>
      </c>
      <c r="U4" s="55">
        <v>9979.8245614035095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0.29602888086642598</v>
      </c>
      <c r="AB4" s="51" t="s">
        <v>205</v>
      </c>
      <c r="AC4" s="54">
        <v>0.32926829268292684</v>
      </c>
      <c r="AD4" s="51" t="s">
        <v>205</v>
      </c>
      <c r="AE4" s="54">
        <v>0.69230769230769229</v>
      </c>
      <c r="AF4" s="51" t="s">
        <v>126</v>
      </c>
      <c r="AG4" s="54">
        <v>0.54098360655737709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35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126</v>
      </c>
      <c r="I5" s="63">
        <v>2.7692208462332268</v>
      </c>
      <c r="J5" s="51" t="s">
        <v>193</v>
      </c>
      <c r="K5" s="52">
        <v>1.9545454545454546</v>
      </c>
      <c r="L5" s="51" t="s">
        <v>164</v>
      </c>
      <c r="M5" s="53">
        <v>0.4</v>
      </c>
      <c r="N5" s="51" t="s">
        <v>192</v>
      </c>
      <c r="O5" s="53">
        <v>0.3125</v>
      </c>
      <c r="P5" s="51" t="s">
        <v>205</v>
      </c>
      <c r="Q5" s="54">
        <v>0.31707317073170732</v>
      </c>
      <c r="R5" s="51" t="s">
        <v>192</v>
      </c>
      <c r="S5" s="54">
        <v>0.12704918032786885</v>
      </c>
      <c r="T5" s="51" t="s">
        <v>205</v>
      </c>
      <c r="U5" s="55">
        <v>9503.8461538461543</v>
      </c>
      <c r="V5" s="51" t="s">
        <v>193</v>
      </c>
      <c r="W5" s="55">
        <v>-7785.7142857142853</v>
      </c>
      <c r="X5" s="51" t="s">
        <v>126</v>
      </c>
      <c r="Y5" s="53">
        <v>2.2727272727272728E-2</v>
      </c>
      <c r="Z5" s="51" t="s">
        <v>194</v>
      </c>
      <c r="AA5" s="54">
        <v>0.29411764705882354</v>
      </c>
      <c r="AB5" s="51" t="s">
        <v>192</v>
      </c>
      <c r="AC5" s="54">
        <v>0.22540983606557377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126</v>
      </c>
      <c r="AI5" s="54">
        <v>0.52631578947368418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32</v>
      </c>
      <c r="D6" s="49" t="s">
        <v>139</v>
      </c>
      <c r="E6" s="50">
        <v>-1.3322676295501878E-15</v>
      </c>
      <c r="F6" s="51" t="s">
        <v>139</v>
      </c>
      <c r="G6" s="63">
        <v>-7.162729191130042E-18</v>
      </c>
      <c r="H6" s="51" t="s">
        <v>193</v>
      </c>
      <c r="I6" s="63">
        <v>2.2811111111111111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193</v>
      </c>
      <c r="S6" s="54">
        <v>0.13375796178343949</v>
      </c>
      <c r="T6" s="51" t="s">
        <v>139</v>
      </c>
      <c r="U6" s="55">
        <v>9115.2912621359228</v>
      </c>
      <c r="V6" s="51" t="s">
        <v>192</v>
      </c>
      <c r="W6" s="55">
        <v>-7790.322580645161</v>
      </c>
      <c r="X6" s="51" t="s">
        <v>189</v>
      </c>
      <c r="Y6" s="53">
        <v>0.1111111111111111</v>
      </c>
      <c r="Z6" s="51" t="s">
        <v>196</v>
      </c>
      <c r="AA6" s="54">
        <v>0.29230769230769232</v>
      </c>
      <c r="AB6" s="51" t="s">
        <v>164</v>
      </c>
      <c r="AC6" s="54">
        <v>0.21299638989169675</v>
      </c>
      <c r="AD6" s="51" t="s">
        <v>193</v>
      </c>
      <c r="AE6" s="54">
        <v>0.60869565217391308</v>
      </c>
      <c r="AF6" s="51" t="s">
        <v>193</v>
      </c>
      <c r="AG6" s="54">
        <v>0.44230769230769229</v>
      </c>
      <c r="AH6" s="51" t="s">
        <v>213</v>
      </c>
      <c r="AI6" s="54">
        <v>0.52173913043478259</v>
      </c>
      <c r="AJ6" s="51" t="s">
        <v>126</v>
      </c>
      <c r="AK6" s="58">
        <v>102700</v>
      </c>
    </row>
    <row r="7" spans="1:37" x14ac:dyDescent="0.45">
      <c r="A7" s="48">
        <v>5</v>
      </c>
      <c r="B7" s="51" t="s">
        <v>193</v>
      </c>
      <c r="C7" s="118">
        <v>22</v>
      </c>
      <c r="D7" s="49" t="s">
        <v>164</v>
      </c>
      <c r="E7" s="50">
        <v>-29.40000000000002</v>
      </c>
      <c r="F7" s="51" t="s">
        <v>164</v>
      </c>
      <c r="G7" s="63">
        <v>-0.84000000000000052</v>
      </c>
      <c r="H7" s="51" t="s">
        <v>213</v>
      </c>
      <c r="I7" s="63">
        <v>2.1361111111111115</v>
      </c>
      <c r="J7" s="51" t="s">
        <v>192</v>
      </c>
      <c r="K7" s="52">
        <v>2</v>
      </c>
      <c r="L7" s="51" t="s">
        <v>192</v>
      </c>
      <c r="M7" s="53">
        <v>0.3125</v>
      </c>
      <c r="N7" s="51" t="s">
        <v>213</v>
      </c>
      <c r="O7" s="53">
        <v>0.33333333333333331</v>
      </c>
      <c r="P7" s="51" t="s">
        <v>139</v>
      </c>
      <c r="Q7" s="54">
        <v>0.29219858156028367</v>
      </c>
      <c r="R7" s="51" t="s">
        <v>194</v>
      </c>
      <c r="S7" s="54">
        <v>0.14705882352941177</v>
      </c>
      <c r="T7" s="51" t="s">
        <v>189</v>
      </c>
      <c r="U7" s="55">
        <v>9062.5</v>
      </c>
      <c r="V7" s="51" t="s">
        <v>164</v>
      </c>
      <c r="W7" s="55">
        <v>-8117.5438596491231</v>
      </c>
      <c r="X7" s="51" t="s">
        <v>192</v>
      </c>
      <c r="Y7" s="53">
        <v>0.125</v>
      </c>
      <c r="Z7" s="51" t="s">
        <v>189</v>
      </c>
      <c r="AA7" s="54">
        <v>0.28378378378378377</v>
      </c>
      <c r="AB7" s="51" t="s">
        <v>139</v>
      </c>
      <c r="AC7" s="54">
        <v>0.20496453900709219</v>
      </c>
      <c r="AD7" s="51" t="s">
        <v>126</v>
      </c>
      <c r="AE7" s="54">
        <v>0.60465116279069764</v>
      </c>
      <c r="AF7" s="51" t="s">
        <v>139</v>
      </c>
      <c r="AG7" s="54">
        <v>0.41176470588235292</v>
      </c>
      <c r="AH7" s="51" t="s">
        <v>193</v>
      </c>
      <c r="AI7" s="54">
        <v>0.49019607843137253</v>
      </c>
      <c r="AJ7" s="51" t="s">
        <v>213</v>
      </c>
      <c r="AK7" s="58">
        <v>95000</v>
      </c>
    </row>
    <row r="8" spans="1:37" x14ac:dyDescent="0.45">
      <c r="A8" s="48">
        <v>6</v>
      </c>
      <c r="B8" s="51" t="s">
        <v>194</v>
      </c>
      <c r="C8" s="118">
        <v>16</v>
      </c>
      <c r="D8" s="49" t="s">
        <v>213</v>
      </c>
      <c r="E8" s="50">
        <v>-41.599999999999994</v>
      </c>
      <c r="F8" s="51" t="s">
        <v>192</v>
      </c>
      <c r="G8" s="63">
        <v>-4.296875</v>
      </c>
      <c r="H8" s="51" t="s">
        <v>194</v>
      </c>
      <c r="I8" s="63">
        <v>2.0444444444444443</v>
      </c>
      <c r="J8" s="51" t="s">
        <v>139</v>
      </c>
      <c r="K8" s="52">
        <v>2</v>
      </c>
      <c r="L8" s="51" t="s">
        <v>196</v>
      </c>
      <c r="M8" s="53">
        <v>0.25</v>
      </c>
      <c r="N8" s="51" t="s">
        <v>193</v>
      </c>
      <c r="O8" s="53">
        <v>0.36363636363636365</v>
      </c>
      <c r="P8" s="51" t="s">
        <v>192</v>
      </c>
      <c r="Q8" s="54">
        <v>0.27459016393442626</v>
      </c>
      <c r="R8" s="51" t="s">
        <v>139</v>
      </c>
      <c r="S8" s="54">
        <v>0.15602836879432624</v>
      </c>
      <c r="T8" s="51" t="s">
        <v>194</v>
      </c>
      <c r="U8" s="55">
        <v>8777.2727272727279</v>
      </c>
      <c r="V8" s="51" t="s">
        <v>139</v>
      </c>
      <c r="W8" s="55">
        <v>-8351.363636363636</v>
      </c>
      <c r="X8" s="51" t="s">
        <v>139</v>
      </c>
      <c r="Y8" s="53">
        <v>0.13978494623655913</v>
      </c>
      <c r="Z8" s="51" t="s">
        <v>192</v>
      </c>
      <c r="AA8" s="54">
        <v>0.27049180327868855</v>
      </c>
      <c r="AB8" s="51" t="s">
        <v>126</v>
      </c>
      <c r="AC8" s="54">
        <v>0.18208955223880596</v>
      </c>
      <c r="AD8" s="51" t="s">
        <v>192</v>
      </c>
      <c r="AE8" s="54">
        <v>0.56060606060606055</v>
      </c>
      <c r="AF8" s="51" t="s">
        <v>164</v>
      </c>
      <c r="AG8" s="54">
        <v>0.40677966101694918</v>
      </c>
      <c r="AH8" s="51" t="s">
        <v>139</v>
      </c>
      <c r="AI8" s="54">
        <v>0.46359223300970875</v>
      </c>
      <c r="AJ8" s="51" t="s">
        <v>205</v>
      </c>
      <c r="AK8" s="58">
        <v>93200</v>
      </c>
    </row>
    <row r="9" spans="1:37" x14ac:dyDescent="0.45">
      <c r="A9" s="48">
        <v>7</v>
      </c>
      <c r="B9" s="51" t="s">
        <v>205</v>
      </c>
      <c r="C9" s="118">
        <v>11</v>
      </c>
      <c r="D9" s="49" t="s">
        <v>189</v>
      </c>
      <c r="E9" s="50">
        <v>-105.5</v>
      </c>
      <c r="F9" s="51" t="s">
        <v>213</v>
      </c>
      <c r="G9" s="63">
        <v>-4.6222222222222218</v>
      </c>
      <c r="H9" s="51" t="s">
        <v>139</v>
      </c>
      <c r="I9" s="63">
        <v>0</v>
      </c>
      <c r="J9" s="51" t="s">
        <v>213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0.4</v>
      </c>
      <c r="P9" s="51" t="s">
        <v>164</v>
      </c>
      <c r="Q9" s="54">
        <v>0.27436823104693142</v>
      </c>
      <c r="R9" s="51" t="s">
        <v>213</v>
      </c>
      <c r="S9" s="54">
        <v>0.1891891891891892</v>
      </c>
      <c r="T9" s="51" t="s">
        <v>193</v>
      </c>
      <c r="U9" s="55">
        <v>8037.2549019607841</v>
      </c>
      <c r="V9" s="51" t="s">
        <v>213</v>
      </c>
      <c r="W9" s="55">
        <v>-8671.4285714285706</v>
      </c>
      <c r="X9" s="51" t="s">
        <v>164</v>
      </c>
      <c r="Y9" s="53">
        <v>0.2</v>
      </c>
      <c r="Z9" s="51" t="s">
        <v>139</v>
      </c>
      <c r="AA9" s="54">
        <v>0.25815602836879431</v>
      </c>
      <c r="AB9" s="51" t="s">
        <v>196</v>
      </c>
      <c r="AC9" s="54">
        <v>0.13846153846153847</v>
      </c>
      <c r="AD9" s="51" t="s">
        <v>139</v>
      </c>
      <c r="AE9" s="54">
        <v>0.5494505494505495</v>
      </c>
      <c r="AF9" s="51" t="s">
        <v>194</v>
      </c>
      <c r="AG9" s="54">
        <v>0.38461538461538464</v>
      </c>
      <c r="AH9" s="51" t="s">
        <v>164</v>
      </c>
      <c r="AI9" s="54">
        <v>0.43421052631578949</v>
      </c>
      <c r="AJ9" s="51" t="s">
        <v>196</v>
      </c>
      <c r="AK9" s="58">
        <v>89000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205</v>
      </c>
      <c r="E10" s="50">
        <v>-121</v>
      </c>
      <c r="F10" s="51" t="s">
        <v>205</v>
      </c>
      <c r="G10" s="63">
        <v>-11</v>
      </c>
      <c r="H10" s="51" t="s">
        <v>164</v>
      </c>
      <c r="I10" s="63">
        <v>-1.5976190476190411</v>
      </c>
      <c r="J10" s="51" t="s">
        <v>189</v>
      </c>
      <c r="K10" s="52">
        <v>2.2222222222222223</v>
      </c>
      <c r="L10" s="51" t="s">
        <v>213</v>
      </c>
      <c r="M10" s="53">
        <v>0.22222222222222221</v>
      </c>
      <c r="N10" s="51" t="s">
        <v>189</v>
      </c>
      <c r="O10" s="53">
        <v>0.44444444444444442</v>
      </c>
      <c r="P10" s="51" t="s">
        <v>196</v>
      </c>
      <c r="Q10" s="54">
        <v>0.26153846153846155</v>
      </c>
      <c r="R10" s="51" t="s">
        <v>164</v>
      </c>
      <c r="S10" s="54">
        <v>0.20577617328519857</v>
      </c>
      <c r="T10" s="51" t="s">
        <v>196</v>
      </c>
      <c r="U10" s="55">
        <v>7964.7058823529414</v>
      </c>
      <c r="V10" s="51" t="s">
        <v>194</v>
      </c>
      <c r="W10" s="55">
        <v>-8773.3333333333339</v>
      </c>
      <c r="X10" s="51" t="s">
        <v>193</v>
      </c>
      <c r="Y10" s="53">
        <v>0.22727272727272727</v>
      </c>
      <c r="Z10" s="51" t="s">
        <v>126</v>
      </c>
      <c r="AA10" s="54">
        <v>0.25671641791044775</v>
      </c>
      <c r="AB10" s="51" t="s">
        <v>194</v>
      </c>
      <c r="AC10" s="54">
        <v>0.12745098039215685</v>
      </c>
      <c r="AD10" s="51" t="s">
        <v>189</v>
      </c>
      <c r="AE10" s="54">
        <v>0.47619047619047616</v>
      </c>
      <c r="AF10" s="51" t="s">
        <v>196</v>
      </c>
      <c r="AG10" s="54">
        <v>0.33333333333333331</v>
      </c>
      <c r="AH10" s="51" t="s">
        <v>192</v>
      </c>
      <c r="AI10" s="54">
        <v>0.38805970149253732</v>
      </c>
      <c r="AJ10" s="51" t="s">
        <v>192</v>
      </c>
      <c r="AK10" s="58">
        <v>88500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192</v>
      </c>
      <c r="E11" s="50">
        <v>-137.5</v>
      </c>
      <c r="F11" s="51" t="s">
        <v>189</v>
      </c>
      <c r="G11" s="63">
        <v>-11.722222222222221</v>
      </c>
      <c r="H11" s="51" t="s">
        <v>189</v>
      </c>
      <c r="I11" s="63">
        <v>-3.6805555555555549</v>
      </c>
      <c r="J11" s="51" t="s">
        <v>205</v>
      </c>
      <c r="K11" s="52">
        <v>2.3636363636363638</v>
      </c>
      <c r="L11" s="51" t="s">
        <v>205</v>
      </c>
      <c r="M11" s="53">
        <v>0.18181818181818182</v>
      </c>
      <c r="N11" s="51" t="s">
        <v>194</v>
      </c>
      <c r="O11" s="53">
        <v>0.5</v>
      </c>
      <c r="P11" s="51" t="s">
        <v>189</v>
      </c>
      <c r="Q11" s="54">
        <v>0.21621621621621623</v>
      </c>
      <c r="R11" s="51" t="s">
        <v>189</v>
      </c>
      <c r="S11" s="54">
        <v>0.22972972972972974</v>
      </c>
      <c r="T11" s="51" t="s">
        <v>213</v>
      </c>
      <c r="U11" s="55">
        <v>7530.434782608696</v>
      </c>
      <c r="V11" s="51" t="s">
        <v>126</v>
      </c>
      <c r="W11" s="55">
        <v>-9085</v>
      </c>
      <c r="X11" s="51" t="s">
        <v>205</v>
      </c>
      <c r="Y11" s="53">
        <v>0.27272727272727271</v>
      </c>
      <c r="Z11" s="51" t="s">
        <v>205</v>
      </c>
      <c r="AA11" s="54">
        <v>0.15853658536585366</v>
      </c>
      <c r="AB11" s="51" t="s">
        <v>213</v>
      </c>
      <c r="AC11" s="54">
        <v>9.45945945945946E-2</v>
      </c>
      <c r="AD11" s="51" t="s">
        <v>164</v>
      </c>
      <c r="AE11" s="54">
        <v>0.45121951219512196</v>
      </c>
      <c r="AF11" s="51" t="s">
        <v>192</v>
      </c>
      <c r="AG11" s="54">
        <v>0.30909090909090908</v>
      </c>
      <c r="AH11" s="51" t="s">
        <v>194</v>
      </c>
      <c r="AI11" s="54">
        <v>0.36363636363636365</v>
      </c>
      <c r="AJ11" s="51" t="s">
        <v>194</v>
      </c>
      <c r="AK11" s="58">
        <v>74500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-234.59999999999997</v>
      </c>
      <c r="F12" s="51" t="s">
        <v>194</v>
      </c>
      <c r="G12" s="63">
        <v>-14.662499999999998</v>
      </c>
      <c r="H12" s="51" t="s">
        <v>192</v>
      </c>
      <c r="I12" s="63">
        <v>-4.2561111111111103</v>
      </c>
      <c r="J12" s="51" t="s">
        <v>194</v>
      </c>
      <c r="K12" s="52">
        <v>2.375</v>
      </c>
      <c r="L12" s="51" t="s">
        <v>194</v>
      </c>
      <c r="M12" s="53">
        <v>0.125</v>
      </c>
      <c r="N12" s="51" t="s">
        <v>205</v>
      </c>
      <c r="O12" s="53">
        <v>0.54545454545454541</v>
      </c>
      <c r="P12" s="51" t="s">
        <v>194</v>
      </c>
      <c r="Q12" s="54">
        <v>0.21568627450980393</v>
      </c>
      <c r="R12" s="51" t="s">
        <v>205</v>
      </c>
      <c r="S12" s="54">
        <v>0.24390243902439024</v>
      </c>
      <c r="T12" s="51" t="s">
        <v>192</v>
      </c>
      <c r="U12" s="55">
        <v>7502.9850746268658</v>
      </c>
      <c r="V12" s="51" t="s">
        <v>205</v>
      </c>
      <c r="W12" s="55">
        <v>-10365</v>
      </c>
      <c r="X12" s="51" t="s">
        <v>194</v>
      </c>
      <c r="Y12" s="53">
        <v>0.3125</v>
      </c>
      <c r="Z12" s="51" t="s">
        <v>193</v>
      </c>
      <c r="AA12" s="54">
        <v>0.1464968152866242</v>
      </c>
      <c r="AB12" s="51" t="s">
        <v>189</v>
      </c>
      <c r="AC12" s="54">
        <v>8.1081081081081086E-2</v>
      </c>
      <c r="AD12" s="51" t="s">
        <v>194</v>
      </c>
      <c r="AE12" s="54">
        <v>0.36666666666666664</v>
      </c>
      <c r="AF12" s="51" t="s">
        <v>205</v>
      </c>
      <c r="AG12" s="54">
        <v>0.25925925925925924</v>
      </c>
      <c r="AH12" s="51" t="s">
        <v>205</v>
      </c>
      <c r="AI12" s="54">
        <v>0.34615384615384615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18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186</v>
      </c>
      <c r="C2" s="132"/>
      <c r="E2" s="28" t="s">
        <v>66</v>
      </c>
      <c r="F2" s="25" t="s">
        <v>22</v>
      </c>
      <c r="G2" s="13">
        <v>285</v>
      </c>
      <c r="H2" s="91">
        <f>IF(B$19=0,0,G2/B$19)</f>
        <v>0.69174757281553401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-10.928961748633879</v>
      </c>
      <c r="P2" s="80">
        <v>183</v>
      </c>
      <c r="Q2" s="67">
        <v>-2000</v>
      </c>
    </row>
    <row r="3" spans="1:17" x14ac:dyDescent="0.45">
      <c r="A3" s="21" t="s">
        <v>8</v>
      </c>
      <c r="B3" s="133">
        <v>1410</v>
      </c>
      <c r="C3" s="134"/>
      <c r="E3" s="29" t="s">
        <v>72</v>
      </c>
      <c r="F3" s="26" t="s">
        <v>27</v>
      </c>
      <c r="G3" s="14">
        <v>223</v>
      </c>
      <c r="H3" s="92">
        <f>IF(B$19=0,0,G3/B$19)</f>
        <v>0.54126213592233008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-11.111111111111111</v>
      </c>
      <c r="P3" s="81">
        <v>180</v>
      </c>
      <c r="Q3" s="68">
        <v>-2000</v>
      </c>
    </row>
    <row r="4" spans="1:17" x14ac:dyDescent="0.45">
      <c r="A4" s="21" t="s">
        <v>6</v>
      </c>
      <c r="B4" s="135">
        <v>-1.3322676295501878E-15</v>
      </c>
      <c r="C4" s="136"/>
      <c r="E4" s="29" t="s">
        <v>64</v>
      </c>
      <c r="F4" s="26" t="s">
        <v>20</v>
      </c>
      <c r="G4" s="14">
        <v>191</v>
      </c>
      <c r="H4" s="92">
        <f>IF(B$19=0,0,G4/B$19)</f>
        <v>0.46359223300970875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5.9523809523809526</v>
      </c>
      <c r="P4" s="81">
        <v>168</v>
      </c>
      <c r="Q4" s="68">
        <v>1000</v>
      </c>
    </row>
    <row r="5" spans="1:17" x14ac:dyDescent="0.45">
      <c r="A5" s="21" t="s">
        <v>7</v>
      </c>
      <c r="B5" s="123">
        <f>IF(B$2=0,0,B$4/B$2)</f>
        <v>-7.162729191130042E-18</v>
      </c>
      <c r="C5" s="124"/>
      <c r="E5" s="29" t="s">
        <v>160</v>
      </c>
      <c r="F5" s="26" t="s">
        <v>161</v>
      </c>
      <c r="G5" s="14">
        <v>173</v>
      </c>
      <c r="H5" s="92">
        <f>IF(B$19=0,0,G5/B$19)</f>
        <v>0.4199029126213592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13.888888888888889</v>
      </c>
      <c r="P5" s="81">
        <v>144</v>
      </c>
      <c r="Q5" s="68">
        <v>2000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132</v>
      </c>
      <c r="H6" s="92">
        <f>IF(B$19=0,0,G6/B$19)</f>
        <v>0.32038834951456313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-54.263565891472865</v>
      </c>
      <c r="P6" s="81">
        <v>129</v>
      </c>
      <c r="Q6" s="68">
        <v>-7000</v>
      </c>
    </row>
    <row r="7" spans="1:17" x14ac:dyDescent="0.45">
      <c r="A7" s="21" t="s">
        <v>2</v>
      </c>
      <c r="B7" s="14">
        <v>62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100</v>
      </c>
      <c r="H7" s="92">
        <f>IF(B$19=0,0,G7/B$19)</f>
        <v>0.24271844660194175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68.627450980392155</v>
      </c>
      <c r="P7" s="82">
        <v>102</v>
      </c>
      <c r="Q7" s="69">
        <v>7000</v>
      </c>
    </row>
    <row r="8" spans="1:17" x14ac:dyDescent="0.45">
      <c r="A8" s="21" t="s">
        <v>3</v>
      </c>
      <c r="B8" s="14">
        <v>62</v>
      </c>
      <c r="C8" s="8">
        <f t="shared" si="1"/>
        <v>0.33333333333333331</v>
      </c>
      <c r="E8" s="29" t="s">
        <v>89</v>
      </c>
      <c r="F8" s="26" t="s">
        <v>44</v>
      </c>
      <c r="G8" s="14">
        <v>59</v>
      </c>
      <c r="H8" s="92">
        <f>IF(B$19=0,0,G8/B$19)</f>
        <v>0.14320388349514562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62</v>
      </c>
      <c r="C9" s="9">
        <f t="shared" si="1"/>
        <v>0.33333333333333331</v>
      </c>
      <c r="E9" s="29" t="s">
        <v>69</v>
      </c>
      <c r="F9" s="26" t="s">
        <v>24</v>
      </c>
      <c r="G9" s="14">
        <v>53</v>
      </c>
      <c r="H9" s="92">
        <f>IF(B$19=0,0,G9/B$19)</f>
        <v>0.12864077669902912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42.911290322580633</v>
      </c>
      <c r="C10" s="114">
        <v>2660.4999999999991</v>
      </c>
      <c r="E10" s="29" t="s">
        <v>65</v>
      </c>
      <c r="F10" s="26" t="s">
        <v>21</v>
      </c>
      <c r="G10" s="14">
        <v>43</v>
      </c>
      <c r="H10" s="92">
        <f>IF(B$19=0,0,G10/B$19)</f>
        <v>0.10436893203883495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-7.1661290322580635</v>
      </c>
      <c r="P10" s="80">
        <v>62</v>
      </c>
      <c r="Q10" s="71">
        <v>-444.29999999999995</v>
      </c>
    </row>
    <row r="11" spans="1:17" x14ac:dyDescent="0.45">
      <c r="A11" s="22" t="s">
        <v>186</v>
      </c>
      <c r="B11" s="113">
        <f>IF(B8=0,0,C11/B8)</f>
        <v>-4.0129032258064523</v>
      </c>
      <c r="C11" s="114">
        <v>-248.80000000000007</v>
      </c>
      <c r="E11" s="29" t="s">
        <v>71</v>
      </c>
      <c r="F11" s="26" t="s">
        <v>26</v>
      </c>
      <c r="G11" s="14">
        <v>27</v>
      </c>
      <c r="H11" s="92">
        <f>IF(B$19=0,0,G11/B$19)</f>
        <v>6.553398058252427E-2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2.1048387096774186</v>
      </c>
      <c r="P11" s="81">
        <v>62</v>
      </c>
      <c r="Q11" s="72">
        <v>130.49999999999994</v>
      </c>
    </row>
    <row r="12" spans="1:17" x14ac:dyDescent="0.45">
      <c r="A12" s="22" t="s">
        <v>187</v>
      </c>
      <c r="B12" s="113">
        <f>IF(B9=0,0,C12/B9)</f>
        <v>-38.898387096774201</v>
      </c>
      <c r="C12" s="114">
        <v>-2411.7000000000003</v>
      </c>
      <c r="E12" s="29" t="s">
        <v>70</v>
      </c>
      <c r="F12" s="26" t="s">
        <v>25</v>
      </c>
      <c r="G12" s="14">
        <v>25</v>
      </c>
      <c r="H12" s="92">
        <f>IF(B$19=0,0,G12/B$19)</f>
        <v>6.0679611650485438E-2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5.0612903225806436</v>
      </c>
      <c r="P12" s="82">
        <v>62</v>
      </c>
      <c r="Q12" s="73">
        <v>313.7999999999999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23</v>
      </c>
      <c r="H13" s="92">
        <f>IF(B$19=0,0,G13/B$19)</f>
        <v>5.5825242718446605E-2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26</v>
      </c>
      <c r="C14" s="11">
        <f t="shared" si="1"/>
        <v>0.13978494623655913</v>
      </c>
      <c r="E14" s="29" t="s">
        <v>86</v>
      </c>
      <c r="F14" s="26" t="s">
        <v>41</v>
      </c>
      <c r="G14" s="14">
        <v>23</v>
      </c>
      <c r="H14" s="92">
        <f>IF(B$19=0,0,G14/B$19)</f>
        <v>5.5825242718446605E-2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364</v>
      </c>
      <c r="C15" s="12">
        <f>IF(B$3=0,0,B15/B$3)</f>
        <v>0.25815602836879431</v>
      </c>
      <c r="E15" s="29" t="s">
        <v>78</v>
      </c>
      <c r="F15" s="26" t="s">
        <v>33</v>
      </c>
      <c r="G15" s="14">
        <v>14</v>
      </c>
      <c r="H15" s="92">
        <f>IF(B$19=0,0,G15/B$19)</f>
        <v>3.3980582524271843E-2</v>
      </c>
      <c r="I15" s="60">
        <v>6</v>
      </c>
      <c r="K15" s="7">
        <v>13</v>
      </c>
      <c r="L15" s="65">
        <v>14.300000000000002</v>
      </c>
      <c r="N15" s="77" t="s">
        <v>194</v>
      </c>
      <c r="O15" s="86">
        <f>IF(P15=0,0,Q15/P15)</f>
        <v>21.993749999999999</v>
      </c>
      <c r="P15" s="80">
        <v>32</v>
      </c>
      <c r="Q15" s="71">
        <v>703.8</v>
      </c>
    </row>
    <row r="16" spans="1:17" x14ac:dyDescent="0.45">
      <c r="A16" s="21" t="s">
        <v>118</v>
      </c>
      <c r="B16" s="14">
        <v>289</v>
      </c>
      <c r="C16" s="8">
        <f>IF(B$3=0,0,B16/B$3)</f>
        <v>0.20496453900709219</v>
      </c>
      <c r="E16" s="29" t="s">
        <v>79</v>
      </c>
      <c r="F16" s="26" t="s">
        <v>34</v>
      </c>
      <c r="G16" s="14">
        <v>11</v>
      </c>
      <c r="H16" s="92">
        <f>IF(B$19=0,0,G16/B$19)</f>
        <v>2.6699029126213591E-2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200</v>
      </c>
      <c r="C17" s="6">
        <f>IF(B$15=0,0,B17/B$15)</f>
        <v>0.5494505494505495</v>
      </c>
      <c r="E17" s="29" t="s">
        <v>81</v>
      </c>
      <c r="F17" s="26" t="s">
        <v>36</v>
      </c>
      <c r="G17" s="14">
        <v>10</v>
      </c>
      <c r="H17" s="92">
        <f>IF(B$19=0,0,G17/B$19)</f>
        <v>2.4271844660194174E-2</v>
      </c>
      <c r="I17" s="60">
        <v>4</v>
      </c>
      <c r="K17" s="7">
        <v>15</v>
      </c>
      <c r="L17" s="65">
        <v>1.7763568394002505E-15</v>
      </c>
      <c r="N17" s="78" t="s">
        <v>205</v>
      </c>
      <c r="O17" s="87">
        <f>IF(P17=0,0,Q17/P17)</f>
        <v>16.5</v>
      </c>
      <c r="P17" s="81">
        <v>22</v>
      </c>
      <c r="Q17" s="72">
        <v>363</v>
      </c>
    </row>
    <row r="18" spans="1:17" x14ac:dyDescent="0.45">
      <c r="A18" s="20" t="s">
        <v>124</v>
      </c>
      <c r="B18" s="13">
        <f>B24</f>
        <v>119</v>
      </c>
      <c r="C18" s="6">
        <f>IF(B$16=0,0,B18/B$16)</f>
        <v>0.41176470588235292</v>
      </c>
      <c r="E18" s="29" t="s">
        <v>91</v>
      </c>
      <c r="F18" s="26" t="s">
        <v>46</v>
      </c>
      <c r="G18" s="14">
        <v>9</v>
      </c>
      <c r="H18" s="92">
        <f>IF(B$19=0,0,G18/B$19)</f>
        <v>2.1844660194174758E-2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412</v>
      </c>
      <c r="C19" s="6">
        <f>IF(B$3=0,0,B19/B$3)</f>
        <v>0.29219858156028367</v>
      </c>
      <c r="E19" s="29" t="s">
        <v>92</v>
      </c>
      <c r="F19" s="26" t="s">
        <v>47</v>
      </c>
      <c r="G19" s="14">
        <v>7</v>
      </c>
      <c r="H19" s="92">
        <f>IF(B$19=0,0,G19/B$19)</f>
        <v>1.6990291262135922E-2</v>
      </c>
      <c r="I19" s="60">
        <v>4</v>
      </c>
      <c r="K19" s="7">
        <v>17</v>
      </c>
      <c r="L19" s="65">
        <v>-35.800000000000004</v>
      </c>
      <c r="N19" s="78" t="s">
        <v>192</v>
      </c>
      <c r="O19" s="87">
        <f>IF(P19=0,0,Q19/P19)</f>
        <v>6.4453125000000036</v>
      </c>
      <c r="P19" s="81">
        <v>64</v>
      </c>
      <c r="Q19" s="72">
        <v>412.50000000000023</v>
      </c>
    </row>
    <row r="20" spans="1:17" x14ac:dyDescent="0.45">
      <c r="A20" s="21" t="s">
        <v>13</v>
      </c>
      <c r="B20" s="14">
        <v>220</v>
      </c>
      <c r="C20" s="8">
        <f>IF(B$3=0,0,B20/B$3)</f>
        <v>0.15602836879432624</v>
      </c>
      <c r="E20" s="29" t="s">
        <v>156</v>
      </c>
      <c r="F20" s="26" t="s">
        <v>157</v>
      </c>
      <c r="G20" s="14">
        <v>6</v>
      </c>
      <c r="H20" s="92">
        <f>IF(B$19=0,0,G20/B$19)</f>
        <v>1.4563106796116505E-2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1.2599999999999991</v>
      </c>
      <c r="P20" s="81">
        <v>70</v>
      </c>
      <c r="Q20" s="72">
        <v>88.199999999999932</v>
      </c>
    </row>
    <row r="21" spans="1:17" x14ac:dyDescent="0.45">
      <c r="A21" s="21" t="s">
        <v>12</v>
      </c>
      <c r="B21" s="14">
        <v>191</v>
      </c>
      <c r="C21" s="8">
        <f>IF(B$19=0,0,B21/B$19)</f>
        <v>0.46359223300970875</v>
      </c>
      <c r="E21" s="29" t="s">
        <v>73</v>
      </c>
      <c r="F21" s="26" t="s">
        <v>28</v>
      </c>
      <c r="G21" s="14">
        <v>2</v>
      </c>
      <c r="H21" s="92">
        <f>IF(B$19=0,0,G21/B$19)</f>
        <v>4.8543689320388345E-3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221</v>
      </c>
      <c r="C22" s="8">
        <f>IF(B$19=0,0,B22/B$19)</f>
        <v>0.53640776699029125</v>
      </c>
      <c r="E22" s="29" t="s">
        <v>75</v>
      </c>
      <c r="F22" s="26" t="s">
        <v>30</v>
      </c>
      <c r="G22" s="14">
        <v>2</v>
      </c>
      <c r="H22" s="92">
        <f>IF(B$19=0,0,G22/B$19)</f>
        <v>4.8543689320388345E-3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-6.1704545454545459</v>
      </c>
      <c r="P22" s="81">
        <v>44</v>
      </c>
      <c r="Q22" s="72">
        <v>-271.5</v>
      </c>
    </row>
    <row r="23" spans="1:17" x14ac:dyDescent="0.45">
      <c r="A23" s="21" t="s">
        <v>184</v>
      </c>
      <c r="B23" s="14">
        <v>200</v>
      </c>
      <c r="C23" s="8">
        <f>IF(B$19=0,0,B23/B$19)</f>
        <v>0.4854368932038835</v>
      </c>
      <c r="E23" s="29" t="s">
        <v>77</v>
      </c>
      <c r="F23" s="26" t="s">
        <v>32</v>
      </c>
      <c r="G23" s="14">
        <v>2</v>
      </c>
      <c r="H23" s="92">
        <f>IF(B$19=0,0,G23/B$19)</f>
        <v>4.8543689320388345E-3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-19.48636363636362</v>
      </c>
      <c r="P23" s="81">
        <v>88</v>
      </c>
      <c r="Q23" s="72">
        <v>-1714.7999999999986</v>
      </c>
    </row>
    <row r="24" spans="1:17" x14ac:dyDescent="0.45">
      <c r="A24" s="21" t="s">
        <v>182</v>
      </c>
      <c r="B24" s="14">
        <v>119</v>
      </c>
      <c r="C24" s="8">
        <f>IF(B$19=0,0,B24/B$19)</f>
        <v>0.28883495145631066</v>
      </c>
      <c r="E24" s="29" t="s">
        <v>85</v>
      </c>
      <c r="F24" s="26" t="s">
        <v>40</v>
      </c>
      <c r="G24" s="14">
        <v>2</v>
      </c>
      <c r="H24" s="92">
        <f>IF(B$19=0,0,G24/B$19)</f>
        <v>4.8543689320388345E-3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93</v>
      </c>
      <c r="C25" s="8">
        <f>IF(B$19=0,0,B25/B$19)</f>
        <v>0.22572815533980584</v>
      </c>
      <c r="E25" s="29" t="s">
        <v>87</v>
      </c>
      <c r="F25" s="26" t="s">
        <v>42</v>
      </c>
      <c r="G25" s="14">
        <v>2</v>
      </c>
      <c r="H25" s="92">
        <f>IF(B$19=0,0,G25/B$19)</f>
        <v>4.8543689320388345E-3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9115.2912621359228</v>
      </c>
      <c r="C26" s="10">
        <v>3755500</v>
      </c>
      <c r="E26" s="29" t="s">
        <v>93</v>
      </c>
      <c r="F26" s="26" t="s">
        <v>48</v>
      </c>
      <c r="G26" s="14">
        <v>2</v>
      </c>
      <c r="H26" s="92">
        <f>IF(B$19=0,0,G26/B$19)</f>
        <v>4.8543689320388345E-3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9467.9180887372022</v>
      </c>
      <c r="C27" s="100">
        <v>2774100</v>
      </c>
      <c r="E27" s="29" t="s">
        <v>95</v>
      </c>
      <c r="F27" s="26" t="s">
        <v>50</v>
      </c>
      <c r="G27" s="14">
        <v>1</v>
      </c>
      <c r="H27" s="92">
        <f>IF(B$19=0,0,G27/B$19)</f>
        <v>2.4271844660194173E-3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8247.0588235294126</v>
      </c>
      <c r="C28" s="100">
        <v>981400</v>
      </c>
      <c r="E28" s="29" t="s">
        <v>97</v>
      </c>
      <c r="F28" s="26" t="s">
        <v>52</v>
      </c>
      <c r="G28" s="14">
        <v>1</v>
      </c>
      <c r="H28" s="92">
        <f>IF(B$19=0,0,G28/B$19)</f>
        <v>2.4271844660194173E-3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-8351.363636363636</v>
      </c>
      <c r="C29" s="100">
        <v>-1837300</v>
      </c>
      <c r="E29" s="29" t="s">
        <v>102</v>
      </c>
      <c r="F29" s="26" t="s">
        <v>57</v>
      </c>
      <c r="G29" s="14">
        <v>1</v>
      </c>
      <c r="H29" s="92">
        <f>IF(B$19=0,0,G29/B$19)</f>
        <v>2.4271844660194173E-3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74</v>
      </c>
      <c r="F30" s="26" t="s">
        <v>29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2</v>
      </c>
      <c r="E31" s="29" t="s">
        <v>76</v>
      </c>
      <c r="F31" s="26" t="s">
        <v>31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80</v>
      </c>
      <c r="F32" s="26" t="s">
        <v>35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82</v>
      </c>
      <c r="F33" s="26" t="s">
        <v>37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2.1276595744680851E-3</v>
      </c>
      <c r="E34" s="29" t="s">
        <v>84</v>
      </c>
      <c r="F34" s="26" t="s">
        <v>39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32</v>
      </c>
      <c r="C36" s="102">
        <f t="shared" ref="C36:C48" si="2">IF(B$19=0,0,B36/B$19)</f>
        <v>7.7669902912621352E-2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74</v>
      </c>
      <c r="C37" s="8">
        <f t="shared" si="2"/>
        <v>0.1796116504854369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66</v>
      </c>
      <c r="C38" s="8">
        <f t="shared" si="2"/>
        <v>0.16019417475728157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74</v>
      </c>
      <c r="C39" s="8">
        <f t="shared" si="2"/>
        <v>0.1796116504854369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67</v>
      </c>
      <c r="C40" s="8">
        <f t="shared" si="2"/>
        <v>0.16262135922330098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38</v>
      </c>
      <c r="C41" s="8">
        <f t="shared" si="2"/>
        <v>9.2233009708737865E-2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27</v>
      </c>
      <c r="C42" s="8">
        <f t="shared" si="2"/>
        <v>6.553398058252427E-2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9</v>
      </c>
      <c r="C43" s="8">
        <f t="shared" si="2"/>
        <v>2.1844660194174758E-2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4</v>
      </c>
      <c r="C44" s="8">
        <f t="shared" si="2"/>
        <v>9.7087378640776691E-3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5</v>
      </c>
      <c r="C45" s="8">
        <f t="shared" si="2"/>
        <v>1.2135922330097087E-2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7.2815533980582527E-3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2.4271844660194173E-3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2.9126213592233011E-2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35</v>
      </c>
      <c r="C2" s="132"/>
      <c r="E2" s="28" t="s">
        <v>66</v>
      </c>
      <c r="F2" s="25" t="s">
        <v>22</v>
      </c>
      <c r="G2" s="13">
        <v>69</v>
      </c>
      <c r="H2" s="91">
        <f>IF(B$19=0,0,G2/B$19)</f>
        <v>0.90789473684210531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-3226.4705882352941</v>
      </c>
      <c r="P2" s="80">
        <v>34</v>
      </c>
      <c r="Q2" s="67">
        <v>-109700</v>
      </c>
    </row>
    <row r="3" spans="1:17" x14ac:dyDescent="0.45">
      <c r="A3" s="21" t="s">
        <v>8</v>
      </c>
      <c r="B3" s="133">
        <v>277</v>
      </c>
      <c r="C3" s="134"/>
      <c r="E3" s="29" t="s">
        <v>72</v>
      </c>
      <c r="F3" s="26" t="s">
        <v>27</v>
      </c>
      <c r="G3" s="14">
        <v>40</v>
      </c>
      <c r="H3" s="92">
        <f>IF(B$19=0,0,G3/B$19)</f>
        <v>0.52631578947368418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-400</v>
      </c>
      <c r="P3" s="81">
        <v>34</v>
      </c>
      <c r="Q3" s="68">
        <v>-13600</v>
      </c>
    </row>
    <row r="4" spans="1:17" x14ac:dyDescent="0.45">
      <c r="A4" s="21" t="s">
        <v>6</v>
      </c>
      <c r="B4" s="135">
        <v>-29.40000000000002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0.52631578947368418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425.80645161290323</v>
      </c>
      <c r="P4" s="81">
        <v>31</v>
      </c>
      <c r="Q4" s="68">
        <v>13200</v>
      </c>
    </row>
    <row r="5" spans="1:17" x14ac:dyDescent="0.45">
      <c r="A5" s="21" t="s">
        <v>7</v>
      </c>
      <c r="B5" s="123">
        <f>IF(B$2=0,0,B$4/B$2)</f>
        <v>-0.84000000000000052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0.5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0"/>
        <v>-1800</v>
      </c>
      <c r="P5" s="81">
        <v>28</v>
      </c>
      <c r="Q5" s="68">
        <v>-50400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0.26315789473684209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1648.148148148148</v>
      </c>
      <c r="P6" s="81">
        <v>27</v>
      </c>
      <c r="Q6" s="68">
        <v>44500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0.4</v>
      </c>
      <c r="E7" s="29" t="s">
        <v>67</v>
      </c>
      <c r="F7" s="26" t="s">
        <v>23</v>
      </c>
      <c r="G7" s="14">
        <v>18</v>
      </c>
      <c r="H7" s="92">
        <f>IF(B$19=0,0,G7/B$19)</f>
        <v>0.23684210526315788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4210</v>
      </c>
      <c r="P7" s="82">
        <v>20</v>
      </c>
      <c r="Q7" s="69">
        <v>84200</v>
      </c>
    </row>
    <row r="8" spans="1:17" x14ac:dyDescent="0.45">
      <c r="A8" s="21" t="s">
        <v>3</v>
      </c>
      <c r="B8" s="14">
        <v>7</v>
      </c>
      <c r="C8" s="8">
        <f t="shared" si="1"/>
        <v>0.2</v>
      </c>
      <c r="E8" s="29" t="s">
        <v>89</v>
      </c>
      <c r="F8" s="26" t="s">
        <v>44</v>
      </c>
      <c r="G8" s="14">
        <v>11</v>
      </c>
      <c r="H8" s="92">
        <f>IF(B$19=0,0,G8/B$19)</f>
        <v>0.14473684210526316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14</v>
      </c>
      <c r="C9" s="9">
        <f t="shared" si="1"/>
        <v>0.4</v>
      </c>
      <c r="E9" s="29" t="s">
        <v>65</v>
      </c>
      <c r="F9" s="26" t="s">
        <v>21</v>
      </c>
      <c r="G9" s="14">
        <v>9</v>
      </c>
      <c r="H9" s="92">
        <f>IF(B$19=0,0,G9/B$19)</f>
        <v>0.11842105263157894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7</v>
      </c>
      <c r="H10" s="92">
        <f>IF(B$19=0,0,G10/B$19)</f>
        <v>9.2105263157894732E-2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-8.5500000000000025</v>
      </c>
      <c r="P10" s="80">
        <v>12</v>
      </c>
      <c r="Q10" s="71">
        <v>-102.60000000000002</v>
      </c>
    </row>
    <row r="11" spans="1:17" x14ac:dyDescent="0.45">
      <c r="A11" s="22" t="s">
        <v>186</v>
      </c>
      <c r="B11" s="113">
        <f>IF(B8=0,0,C11/B8)</f>
        <v>-5.3857142857142861</v>
      </c>
      <c r="C11" s="114">
        <v>-37.700000000000003</v>
      </c>
      <c r="E11" s="29" t="s">
        <v>86</v>
      </c>
      <c r="F11" s="26" t="s">
        <v>41</v>
      </c>
      <c r="G11" s="14">
        <v>7</v>
      </c>
      <c r="H11" s="92">
        <f>IF(B$19=0,0,G11/B$19)</f>
        <v>9.2105263157894732E-2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12.366666666666665</v>
      </c>
      <c r="P11" s="81">
        <v>9</v>
      </c>
      <c r="Q11" s="72">
        <v>111.29999999999998</v>
      </c>
    </row>
    <row r="12" spans="1:17" x14ac:dyDescent="0.45">
      <c r="A12" s="22" t="s">
        <v>187</v>
      </c>
      <c r="B12" s="113">
        <f>IF(B9=0,0,C12/B9)</f>
        <v>-41.071428571428562</v>
      </c>
      <c r="C12" s="114">
        <v>-574.99999999999989</v>
      </c>
      <c r="E12" s="29" t="s">
        <v>69</v>
      </c>
      <c r="F12" s="26" t="s">
        <v>24</v>
      </c>
      <c r="G12" s="14">
        <v>5</v>
      </c>
      <c r="H12" s="92">
        <f>IF(B$19=0,0,G12/B$19)</f>
        <v>6.5789473684210523E-2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-2.7214285714285711</v>
      </c>
      <c r="P12" s="82">
        <v>14</v>
      </c>
      <c r="Q12" s="73">
        <v>-38.099999999999994</v>
      </c>
    </row>
    <row r="13" spans="1:17" x14ac:dyDescent="0.45">
      <c r="A13" s="22" t="s">
        <v>188</v>
      </c>
      <c r="B13" s="123">
        <f>AVERAGE(B10:B12)</f>
        <v>-1.5976190476190411</v>
      </c>
      <c r="C13" s="124"/>
      <c r="E13" s="29" t="s">
        <v>91</v>
      </c>
      <c r="F13" s="26" t="s">
        <v>46</v>
      </c>
      <c r="G13" s="14">
        <v>5</v>
      </c>
      <c r="H13" s="92">
        <f>IF(B$19=0,0,G13/B$19)</f>
        <v>6.5789473684210523E-2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0.2</v>
      </c>
      <c r="E14" s="29" t="s">
        <v>71</v>
      </c>
      <c r="F14" s="26" t="s">
        <v>26</v>
      </c>
      <c r="G14" s="14">
        <v>4</v>
      </c>
      <c r="H14" s="92">
        <f>IF(B$19=0,0,G14/B$19)</f>
        <v>5.2631578947368418E-2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82</v>
      </c>
      <c r="C15" s="12">
        <f>IF(B$3=0,0,B15/B$3)</f>
        <v>0.29602888086642598</v>
      </c>
      <c r="E15" s="29" t="s">
        <v>79</v>
      </c>
      <c r="F15" s="26" t="s">
        <v>34</v>
      </c>
      <c r="G15" s="14">
        <v>3</v>
      </c>
      <c r="H15" s="92">
        <f>IF(B$19=0,0,G15/B$19)</f>
        <v>3.9473684210526314E-2</v>
      </c>
      <c r="I15" s="60">
        <v>3</v>
      </c>
      <c r="K15" s="7">
        <v>13</v>
      </c>
      <c r="L15" s="65">
        <v>-33.5</v>
      </c>
      <c r="N15" s="77" t="s">
        <v>205</v>
      </c>
      <c r="O15" s="86">
        <f t="shared" ref="O15:O22" si="2"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59</v>
      </c>
      <c r="C16" s="8">
        <f>IF(B$3=0,0,B16/B$3)</f>
        <v>0.21299638989169675</v>
      </c>
      <c r="E16" s="29" t="s">
        <v>81</v>
      </c>
      <c r="F16" s="26" t="s">
        <v>36</v>
      </c>
      <c r="G16" s="14">
        <v>3</v>
      </c>
      <c r="H16" s="92">
        <f>IF(B$19=0,0,G16/B$19)</f>
        <v>3.9473684210526314E-2</v>
      </c>
      <c r="I16" s="60">
        <v>3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0.45121951219512196</v>
      </c>
      <c r="E17" s="29" t="s">
        <v>78</v>
      </c>
      <c r="F17" s="26" t="s">
        <v>33</v>
      </c>
      <c r="G17" s="14">
        <v>2</v>
      </c>
      <c r="H17" s="92">
        <f>IF(B$19=0,0,G17/B$19)</f>
        <v>2.6315789473684209E-2</v>
      </c>
      <c r="I17" s="60">
        <v>7</v>
      </c>
      <c r="K17" s="7">
        <v>15</v>
      </c>
      <c r="L17" s="65">
        <v>-33.1</v>
      </c>
      <c r="N17" s="78" t="s">
        <v>192</v>
      </c>
      <c r="O17" s="87">
        <f t="shared" si="2"/>
        <v>11.835714285714285</v>
      </c>
      <c r="P17" s="81">
        <v>14</v>
      </c>
      <c r="Q17" s="72">
        <v>165.7</v>
      </c>
    </row>
    <row r="18" spans="1:17" x14ac:dyDescent="0.45">
      <c r="A18" s="20" t="s">
        <v>124</v>
      </c>
      <c r="B18" s="13">
        <f>B24</f>
        <v>24</v>
      </c>
      <c r="C18" s="6">
        <f>IF(B$16=0,0,B18/B$16)</f>
        <v>0.40677966101694918</v>
      </c>
      <c r="E18" s="29" t="s">
        <v>83</v>
      </c>
      <c r="F18" s="26" t="s">
        <v>38</v>
      </c>
      <c r="G18" s="14">
        <v>2</v>
      </c>
      <c r="H18" s="92">
        <f>IF(B$19=0,0,G18/B$19)</f>
        <v>2.6315789473684209E-2</v>
      </c>
      <c r="I18" s="60">
        <v>7</v>
      </c>
      <c r="K18" s="7">
        <v>16</v>
      </c>
      <c r="L18" s="65">
        <v>-10.8</v>
      </c>
      <c r="N18" s="78" t="s">
        <v>213</v>
      </c>
      <c r="O18" s="87">
        <f t="shared" si="2"/>
        <v>9.1222222222222218</v>
      </c>
      <c r="P18" s="81">
        <v>9</v>
      </c>
      <c r="Q18" s="72">
        <v>82.1</v>
      </c>
    </row>
    <row r="19" spans="1:17" x14ac:dyDescent="0.45">
      <c r="A19" s="20" t="s">
        <v>10</v>
      </c>
      <c r="B19" s="13">
        <f>B22+B21</f>
        <v>76</v>
      </c>
      <c r="C19" s="6">
        <f>IF(B$3=0,0,B19/B$3)</f>
        <v>0.27436823104693142</v>
      </c>
      <c r="E19" s="29" t="s">
        <v>92</v>
      </c>
      <c r="F19" s="26" t="s">
        <v>47</v>
      </c>
      <c r="G19" s="14">
        <v>2</v>
      </c>
      <c r="H19" s="92">
        <f>IF(B$19=0,0,G19/B$19)</f>
        <v>2.6315789473684209E-2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57</v>
      </c>
      <c r="C20" s="8">
        <f>IF(B$3=0,0,B20/B$3)</f>
        <v>0.20577617328519857</v>
      </c>
      <c r="E20" s="29" t="s">
        <v>75</v>
      </c>
      <c r="F20" s="26" t="s">
        <v>30</v>
      </c>
      <c r="G20" s="14">
        <v>1</v>
      </c>
      <c r="H20" s="92">
        <f>IF(B$19=0,0,G20/B$19)</f>
        <v>1.3157894736842105E-2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-6.4399999999999942</v>
      </c>
      <c r="P20" s="81">
        <v>25</v>
      </c>
      <c r="Q20" s="72">
        <v>-160.99999999999986</v>
      </c>
    </row>
    <row r="21" spans="1:17" x14ac:dyDescent="0.45">
      <c r="A21" s="21" t="s">
        <v>12</v>
      </c>
      <c r="B21" s="14">
        <v>33</v>
      </c>
      <c r="C21" s="8">
        <f>IF(B$19=0,0,B21/B$19)</f>
        <v>0.43421052631578949</v>
      </c>
      <c r="E21" s="29" t="s">
        <v>97</v>
      </c>
      <c r="F21" s="26" t="s">
        <v>52</v>
      </c>
      <c r="G21" s="14">
        <v>1</v>
      </c>
      <c r="H21" s="92">
        <f>IF(B$19=0,0,G21/B$19)</f>
        <v>1.3157894736842105E-2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 t="shared" si="2"/>
        <v>-32.566666666666663</v>
      </c>
      <c r="P21" s="81">
        <v>6</v>
      </c>
      <c r="Q21" s="72">
        <v>-195.39999999999998</v>
      </c>
    </row>
    <row r="22" spans="1:17" x14ac:dyDescent="0.45">
      <c r="A22" s="21" t="s">
        <v>11</v>
      </c>
      <c r="B22" s="14">
        <v>43</v>
      </c>
      <c r="C22" s="8">
        <f>IF(B$19=0,0,B22/B$19)</f>
        <v>0.56578947368421051</v>
      </c>
      <c r="E22" s="29" t="s">
        <v>156</v>
      </c>
      <c r="F22" s="26" t="s">
        <v>157</v>
      </c>
      <c r="G22" s="14">
        <v>1</v>
      </c>
      <c r="H22" s="92">
        <f>IF(B$19=0,0,G22/B$19)</f>
        <v>1.3157894736842105E-2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 t="shared" si="2"/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0.48684210526315791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24</v>
      </c>
      <c r="C24" s="8">
        <f>IF(B$19=0,0,B24/B$19)</f>
        <v>0.31578947368421051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15</v>
      </c>
      <c r="C25" s="8">
        <f>IF(B$19=0,0,B25/B$19)</f>
        <v>0.19736842105263158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10676.315789473685</v>
      </c>
      <c r="C26" s="10">
        <v>811400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11601.923076923076</v>
      </c>
      <c r="C27" s="100">
        <v>603300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8670.8333333333339</v>
      </c>
      <c r="C28" s="100">
        <v>208100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-8117.5438596491231</v>
      </c>
      <c r="C29" s="100">
        <v>-462700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12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3.6101083032490976E-3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2.6315789473684209E-2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11</v>
      </c>
      <c r="C37" s="8">
        <f t="shared" si="3"/>
        <v>0.14473684210526316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4</v>
      </c>
      <c r="C38" s="8">
        <f t="shared" si="3"/>
        <v>5.2631578947368418E-2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20</v>
      </c>
      <c r="C39" s="8">
        <f t="shared" si="3"/>
        <v>0.26315789473684209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16</v>
      </c>
      <c r="C40" s="8">
        <f t="shared" si="3"/>
        <v>0.21052631578947367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3"/>
        <v>9.2105263157894732E-2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8</v>
      </c>
      <c r="C42" s="8">
        <f t="shared" si="3"/>
        <v>0.10526315789473684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3"/>
        <v>3.9473684210526314E-2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1.3157894736842105E-2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1.3157894736842105E-2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3.9473684210526314E-2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10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44</v>
      </c>
      <c r="C2" s="132"/>
      <c r="E2" s="28" t="s">
        <v>66</v>
      </c>
      <c r="F2" s="25" t="s">
        <v>22</v>
      </c>
      <c r="G2" s="13">
        <v>77</v>
      </c>
      <c r="H2" s="91">
        <f>IF(B$19=0,0,G2/B$19)</f>
        <v>0.67543859649122806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11.363636363636363</v>
      </c>
      <c r="P2" s="80">
        <v>44</v>
      </c>
      <c r="Q2" s="67">
        <v>500</v>
      </c>
    </row>
    <row r="3" spans="1:17" x14ac:dyDescent="0.45">
      <c r="A3" s="21" t="s">
        <v>8</v>
      </c>
      <c r="B3" s="133">
        <v>335</v>
      </c>
      <c r="C3" s="134"/>
      <c r="E3" s="29" t="s">
        <v>72</v>
      </c>
      <c r="F3" s="26" t="s">
        <v>27</v>
      </c>
      <c r="G3" s="14">
        <v>51</v>
      </c>
      <c r="H3" s="92">
        <f>IF(B$19=0,0,G3/B$19)</f>
        <v>0.44736842105263158</v>
      </c>
      <c r="I3" s="60">
        <v>9</v>
      </c>
      <c r="K3" s="7">
        <v>1</v>
      </c>
      <c r="L3" s="65">
        <v>39.200000000000003</v>
      </c>
      <c r="N3" s="78" t="s">
        <v>129</v>
      </c>
      <c r="O3" s="84">
        <f t="shared" si="0"/>
        <v>4997.6744186046508</v>
      </c>
      <c r="P3" s="81">
        <v>43</v>
      </c>
      <c r="Q3" s="68">
        <v>214900</v>
      </c>
    </row>
    <row r="4" spans="1:17" x14ac:dyDescent="0.45">
      <c r="A4" s="21" t="s">
        <v>6</v>
      </c>
      <c r="B4" s="135">
        <v>571.60000000000014</v>
      </c>
      <c r="C4" s="136"/>
      <c r="E4" s="29" t="s">
        <v>160</v>
      </c>
      <c r="F4" s="26" t="s">
        <v>161</v>
      </c>
      <c r="G4" s="14">
        <v>49</v>
      </c>
      <c r="H4" s="92">
        <f>IF(B$19=0,0,G4/B$19)</f>
        <v>0.42982456140350878</v>
      </c>
      <c r="I4" s="60">
        <v>5</v>
      </c>
      <c r="K4" s="7">
        <v>2</v>
      </c>
      <c r="L4" s="65">
        <v>99.6</v>
      </c>
      <c r="N4" s="78" t="s">
        <v>130</v>
      </c>
      <c r="O4" s="84">
        <f t="shared" si="0"/>
        <v>5182.5</v>
      </c>
      <c r="P4" s="81">
        <v>40</v>
      </c>
      <c r="Q4" s="68">
        <v>207300</v>
      </c>
    </row>
    <row r="5" spans="1:17" x14ac:dyDescent="0.45">
      <c r="A5" s="21" t="s">
        <v>7</v>
      </c>
      <c r="B5" s="123">
        <f>IF(B$2=0,0,B$4/B$2)</f>
        <v>12.990909090909094</v>
      </c>
      <c r="C5" s="124"/>
      <c r="E5" s="29" t="s">
        <v>64</v>
      </c>
      <c r="F5" s="26" t="s">
        <v>20</v>
      </c>
      <c r="G5" s="14">
        <v>46</v>
      </c>
      <c r="H5" s="92">
        <f>IF(B$19=0,0,G5/B$19)</f>
        <v>0.40350877192982454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3350</v>
      </c>
      <c r="P5" s="81">
        <v>34</v>
      </c>
      <c r="Q5" s="68">
        <v>113900</v>
      </c>
    </row>
    <row r="6" spans="1:17" x14ac:dyDescent="0.45">
      <c r="A6" s="21" t="s">
        <v>1</v>
      </c>
      <c r="B6" s="137">
        <f>IF(B$2=0,0,(B$7*1+B$8*2+B$9*3)/B$2)</f>
        <v>1.75</v>
      </c>
      <c r="C6" s="138"/>
      <c r="E6" s="29" t="s">
        <v>68</v>
      </c>
      <c r="F6" s="26" t="s">
        <v>12</v>
      </c>
      <c r="G6" s="14">
        <v>43</v>
      </c>
      <c r="H6" s="92">
        <f>IF(B$19=0,0,G6/B$19)</f>
        <v>0.37719298245614036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-1875</v>
      </c>
      <c r="P6" s="81">
        <v>32</v>
      </c>
      <c r="Q6" s="68">
        <v>-60000</v>
      </c>
    </row>
    <row r="7" spans="1:17" x14ac:dyDescent="0.45">
      <c r="A7" s="21" t="s">
        <v>2</v>
      </c>
      <c r="B7" s="14">
        <v>19</v>
      </c>
      <c r="C7" s="8">
        <f t="shared" ref="C7:C14" si="1">IF(B$2=0,0,B7/B$2)</f>
        <v>0.43181818181818182</v>
      </c>
      <c r="E7" s="29" t="s">
        <v>67</v>
      </c>
      <c r="F7" s="26" t="s">
        <v>23</v>
      </c>
      <c r="G7" s="14">
        <v>25</v>
      </c>
      <c r="H7" s="92">
        <f>IF(B$19=0,0,G7/B$19)</f>
        <v>0.21929824561403508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16</v>
      </c>
      <c r="P7" s="82">
        <v>25</v>
      </c>
      <c r="Q7" s="69">
        <v>400</v>
      </c>
    </row>
    <row r="8" spans="1:17" x14ac:dyDescent="0.45">
      <c r="A8" s="21" t="s">
        <v>3</v>
      </c>
      <c r="B8" s="14">
        <v>17</v>
      </c>
      <c r="C8" s="8">
        <f t="shared" si="1"/>
        <v>0.38636363636363635</v>
      </c>
      <c r="E8" s="29" t="s">
        <v>69</v>
      </c>
      <c r="F8" s="26" t="s">
        <v>24</v>
      </c>
      <c r="G8" s="14">
        <v>21</v>
      </c>
      <c r="H8" s="92">
        <f>IF(B$19=0,0,G8/B$19)</f>
        <v>0.18421052631578946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0.18181818181818182</v>
      </c>
      <c r="E9" s="29" t="s">
        <v>89</v>
      </c>
      <c r="F9" s="26" t="s">
        <v>44</v>
      </c>
      <c r="G9" s="14">
        <v>20</v>
      </c>
      <c r="H9" s="92">
        <f>IF(B$19=0,0,G9/B$19)</f>
        <v>0.17543859649122806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45.647368421052626</v>
      </c>
      <c r="C10" s="114">
        <v>867.3</v>
      </c>
      <c r="E10" s="29" t="s">
        <v>65</v>
      </c>
      <c r="F10" s="26" t="s">
        <v>21</v>
      </c>
      <c r="G10" s="14">
        <v>12</v>
      </c>
      <c r="H10" s="92">
        <f>IF(B$19=0,0,G10/B$19)</f>
        <v>0.10526315789473684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-2.3916666666666662</v>
      </c>
      <c r="P10" s="80">
        <v>12</v>
      </c>
      <c r="Q10" s="71">
        <v>-28.699999999999996</v>
      </c>
    </row>
    <row r="11" spans="1:17" x14ac:dyDescent="0.45">
      <c r="A11" s="22" t="s">
        <v>186</v>
      </c>
      <c r="B11" s="113">
        <f>IF(B8=0,0,C11/B8)</f>
        <v>0.33529411764705891</v>
      </c>
      <c r="C11" s="114">
        <v>5.7000000000000011</v>
      </c>
      <c r="E11" s="29" t="s">
        <v>86</v>
      </c>
      <c r="F11" s="26" t="s">
        <v>41</v>
      </c>
      <c r="G11" s="14">
        <v>10</v>
      </c>
      <c r="H11" s="92">
        <f>IF(B$19=0,0,G11/B$19)</f>
        <v>8.771929824561403E-2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16.393333333333331</v>
      </c>
      <c r="P11" s="81">
        <v>15</v>
      </c>
      <c r="Q11" s="72">
        <v>245.89999999999998</v>
      </c>
    </row>
    <row r="12" spans="1:17" x14ac:dyDescent="0.45">
      <c r="A12" s="22" t="s">
        <v>187</v>
      </c>
      <c r="B12" s="113">
        <f>IF(B9=0,0,C12/B9)</f>
        <v>-37.675000000000004</v>
      </c>
      <c r="C12" s="114">
        <v>-301.40000000000003</v>
      </c>
      <c r="E12" s="29" t="s">
        <v>71</v>
      </c>
      <c r="F12" s="26" t="s">
        <v>26</v>
      </c>
      <c r="G12" s="14">
        <v>9</v>
      </c>
      <c r="H12" s="92">
        <f>IF(B$19=0,0,G12/B$19)</f>
        <v>7.8947368421052627E-2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20.847058823529416</v>
      </c>
      <c r="P12" s="82">
        <v>17</v>
      </c>
      <c r="Q12" s="73">
        <v>354.40000000000009</v>
      </c>
    </row>
    <row r="13" spans="1:17" x14ac:dyDescent="0.45">
      <c r="A13" s="22" t="s">
        <v>188</v>
      </c>
      <c r="B13" s="123">
        <f>AVERAGE(B10:B12)</f>
        <v>2.7692208462332268</v>
      </c>
      <c r="C13" s="124"/>
      <c r="E13" s="29" t="s">
        <v>83</v>
      </c>
      <c r="F13" s="26" t="s">
        <v>38</v>
      </c>
      <c r="G13" s="14">
        <v>7</v>
      </c>
      <c r="H13" s="92">
        <f>IF(B$19=0,0,G13/B$19)</f>
        <v>6.1403508771929821E-2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2.2727272727272728E-2</v>
      </c>
      <c r="E14" s="29" t="s">
        <v>70</v>
      </c>
      <c r="F14" s="26" t="s">
        <v>25</v>
      </c>
      <c r="G14" s="14">
        <v>6</v>
      </c>
      <c r="H14" s="92">
        <f>IF(B$19=0,0,G14/B$19)</f>
        <v>5.2631578947368418E-2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86</v>
      </c>
      <c r="C15" s="12">
        <f>IF(B$3=0,0,B15/B$3)</f>
        <v>0.25671641791044775</v>
      </c>
      <c r="E15" s="29" t="s">
        <v>156</v>
      </c>
      <c r="F15" s="26" t="s">
        <v>157</v>
      </c>
      <c r="G15" s="14">
        <v>4</v>
      </c>
      <c r="H15" s="92">
        <f>IF(B$19=0,0,G15/B$19)</f>
        <v>3.5087719298245612E-2</v>
      </c>
      <c r="I15" s="60">
        <v>1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61</v>
      </c>
      <c r="C16" s="8">
        <f>IF(B$3=0,0,B16/B$3)</f>
        <v>0.18208955223880596</v>
      </c>
      <c r="E16" s="29" t="s">
        <v>92</v>
      </c>
      <c r="F16" s="26" t="s">
        <v>47</v>
      </c>
      <c r="G16" s="14">
        <v>3</v>
      </c>
      <c r="H16" s="92">
        <f>IF(B$19=0,0,G16/B$19)</f>
        <v>2.6315789473684209E-2</v>
      </c>
      <c r="I16" s="60">
        <v>2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52</v>
      </c>
      <c r="C17" s="6">
        <f>IF(B$15=0,0,B17/B$15)</f>
        <v>0.60465116279069764</v>
      </c>
      <c r="E17" s="29" t="s">
        <v>79</v>
      </c>
      <c r="F17" s="26" t="s">
        <v>34</v>
      </c>
      <c r="G17" s="14">
        <v>2</v>
      </c>
      <c r="H17" s="92">
        <f>IF(B$19=0,0,G17/B$19)</f>
        <v>1.7543859649122806E-2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0.54098360655737709</v>
      </c>
      <c r="E18" s="29" t="s">
        <v>81</v>
      </c>
      <c r="F18" s="26" t="s">
        <v>36</v>
      </c>
      <c r="G18" s="14">
        <v>2</v>
      </c>
      <c r="H18" s="92">
        <f>IF(B$19=0,0,G18/B$19)</f>
        <v>1.7543859649122806E-2</v>
      </c>
      <c r="I18" s="60">
        <v>5</v>
      </c>
      <c r="K18" s="7">
        <v>16</v>
      </c>
      <c r="L18" s="65">
        <v>273.8</v>
      </c>
      <c r="N18" s="78" t="s">
        <v>205</v>
      </c>
      <c r="O18" s="87">
        <f>IF(P18=0,0,Q18/P18)</f>
        <v>24.52</v>
      </c>
      <c r="P18" s="81">
        <v>10</v>
      </c>
      <c r="Q18" s="72">
        <v>245.2</v>
      </c>
    </row>
    <row r="19" spans="1:17" x14ac:dyDescent="0.45">
      <c r="A19" s="20" t="s">
        <v>10</v>
      </c>
      <c r="B19" s="13">
        <f>B22+B21</f>
        <v>114</v>
      </c>
      <c r="C19" s="6">
        <f>IF(B$3=0,0,B19/B$3)</f>
        <v>0.34029850746268658</v>
      </c>
      <c r="E19" s="29" t="s">
        <v>91</v>
      </c>
      <c r="F19" s="26" t="s">
        <v>46</v>
      </c>
      <c r="G19" s="14">
        <v>2</v>
      </c>
      <c r="H19" s="92">
        <f>IF(B$19=0,0,G19/B$19)</f>
        <v>1.7543859649122806E-2</v>
      </c>
      <c r="I19" s="60">
        <v>4</v>
      </c>
      <c r="K19" s="7">
        <v>17</v>
      </c>
      <c r="L19" s="65">
        <v>242.8</v>
      </c>
      <c r="N19" s="78" t="s">
        <v>192</v>
      </c>
      <c r="O19" s="87">
        <f>IF(P19=0,0,Q19/P19)</f>
        <v>21.941176470588232</v>
      </c>
      <c r="P19" s="81">
        <v>17</v>
      </c>
      <c r="Q19" s="72">
        <v>372.99999999999994</v>
      </c>
    </row>
    <row r="20" spans="1:17" x14ac:dyDescent="0.45">
      <c r="A20" s="21" t="s">
        <v>13</v>
      </c>
      <c r="B20" s="14">
        <v>40</v>
      </c>
      <c r="C20" s="8">
        <f>IF(B$3=0,0,B20/B$3)</f>
        <v>0.11940298507462686</v>
      </c>
      <c r="E20" s="29" t="s">
        <v>93</v>
      </c>
      <c r="F20" s="26" t="s">
        <v>48</v>
      </c>
      <c r="G20" s="14">
        <v>2</v>
      </c>
      <c r="H20" s="92">
        <f>IF(B$19=0,0,G20/B$19)</f>
        <v>1.7543859649122806E-2</v>
      </c>
      <c r="I20" s="60">
        <v>1</v>
      </c>
      <c r="K20" s="7">
        <v>18</v>
      </c>
      <c r="L20" s="65">
        <v>280</v>
      </c>
      <c r="N20" s="78" t="s">
        <v>193</v>
      </c>
      <c r="O20" s="87">
        <f>IF(P20=0,0,Q20/P20)</f>
        <v>21.236363636363635</v>
      </c>
      <c r="P20" s="81">
        <v>11</v>
      </c>
      <c r="Q20" s="72">
        <v>233.59999999999997</v>
      </c>
    </row>
    <row r="21" spans="1:17" x14ac:dyDescent="0.45">
      <c r="A21" s="21" t="s">
        <v>12</v>
      </c>
      <c r="B21" s="14">
        <v>60</v>
      </c>
      <c r="C21" s="8">
        <f>IF(B$19=0,0,B21/B$19)</f>
        <v>0.52631578947368418</v>
      </c>
      <c r="E21" s="29" t="s">
        <v>73</v>
      </c>
      <c r="F21" s="26" t="s">
        <v>28</v>
      </c>
      <c r="G21" s="14">
        <v>1</v>
      </c>
      <c r="H21" s="92">
        <f>IF(B$19=0,0,G21/B$19)</f>
        <v>8.771929824561403E-3</v>
      </c>
      <c r="I21" s="60">
        <v>2</v>
      </c>
      <c r="K21" s="7">
        <v>19</v>
      </c>
      <c r="L21" s="65">
        <v>281.5</v>
      </c>
      <c r="N21" s="78" t="s">
        <v>164</v>
      </c>
      <c r="O21" s="87">
        <f>IF(P21=0,0,Q21/P21)</f>
        <v>6.4399999999999977</v>
      </c>
      <c r="P21" s="81">
        <v>25</v>
      </c>
      <c r="Q21" s="72">
        <v>160.99999999999994</v>
      </c>
    </row>
    <row r="22" spans="1:17" x14ac:dyDescent="0.45">
      <c r="A22" s="21" t="s">
        <v>11</v>
      </c>
      <c r="B22" s="14">
        <v>54</v>
      </c>
      <c r="C22" s="8">
        <f>IF(B$19=0,0,B22/B$19)</f>
        <v>0.47368421052631576</v>
      </c>
      <c r="E22" s="29" t="s">
        <v>78</v>
      </c>
      <c r="F22" s="26" t="s">
        <v>33</v>
      </c>
      <c r="G22" s="14">
        <v>1</v>
      </c>
      <c r="H22" s="92">
        <f>IF(B$19=0,0,G22/B$19)</f>
        <v>8.771929824561403E-3</v>
      </c>
      <c r="I22" s="60">
        <v>8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52</v>
      </c>
      <c r="C23" s="8">
        <f>IF(B$19=0,0,B23/B$19)</f>
        <v>0.45614035087719296</v>
      </c>
      <c r="E23" s="29" t="s">
        <v>87</v>
      </c>
      <c r="F23" s="26" t="s">
        <v>42</v>
      </c>
      <c r="G23" s="14">
        <v>1</v>
      </c>
      <c r="H23" s="92">
        <f>IF(B$19=0,0,G23/B$19)</f>
        <v>8.771929824561403E-3</v>
      </c>
      <c r="I23" s="60">
        <v>2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33</v>
      </c>
      <c r="C24" s="8">
        <f>IF(B$19=0,0,B24/B$19)</f>
        <v>0.28947368421052633</v>
      </c>
      <c r="E24" s="29" t="s">
        <v>95</v>
      </c>
      <c r="F24" s="26" t="s">
        <v>50</v>
      </c>
      <c r="G24" s="14">
        <v>1</v>
      </c>
      <c r="H24" s="92">
        <f>IF(B$19=0,0,G24/B$19)</f>
        <v>8.771929824561403E-3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29</v>
      </c>
      <c r="C25" s="8">
        <f>IF(B$19=0,0,B25/B$19)</f>
        <v>0.25438596491228072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9979.8245614035095</v>
      </c>
      <c r="C26" s="10">
        <v>1137700</v>
      </c>
      <c r="E26" s="29" t="s">
        <v>75</v>
      </c>
      <c r="F26" s="26" t="s">
        <v>30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10318.518518518518</v>
      </c>
      <c r="C27" s="100">
        <v>835800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9148.484848484848</v>
      </c>
      <c r="C28" s="100">
        <v>301900</v>
      </c>
      <c r="E28" s="29" t="s">
        <v>77</v>
      </c>
      <c r="F28" s="26" t="s">
        <v>32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-9085</v>
      </c>
      <c r="C29" s="100">
        <v>-363400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2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6</v>
      </c>
      <c r="C36" s="102">
        <f t="shared" ref="C36:C48" si="2">IF(B$19=0,0,B36/B$19)</f>
        <v>5.2631578947368418E-2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16</v>
      </c>
      <c r="C37" s="8">
        <f t="shared" si="2"/>
        <v>0.14035087719298245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18</v>
      </c>
      <c r="C38" s="8">
        <f t="shared" si="2"/>
        <v>0.15789473684210525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23</v>
      </c>
      <c r="C39" s="8">
        <f t="shared" si="2"/>
        <v>0.20175438596491227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24</v>
      </c>
      <c r="C40" s="8">
        <f t="shared" si="2"/>
        <v>0.21052631578947367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8.771929824561403E-2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5</v>
      </c>
      <c r="C42" s="8">
        <f t="shared" si="2"/>
        <v>4.3859649122807015E-2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2.6315789473684209E-2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1</v>
      </c>
      <c r="C44" s="8">
        <f t="shared" si="2"/>
        <v>8.771929824561403E-3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2"/>
        <v>1.7543859649122806E-2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6</v>
      </c>
      <c r="C48" s="11">
        <f t="shared" si="2"/>
        <v>5.2631578947368418E-2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16</v>
      </c>
      <c r="C2" s="132"/>
      <c r="E2" s="28" t="s">
        <v>64</v>
      </c>
      <c r="F2" s="25" t="s">
        <v>20</v>
      </c>
      <c r="G2" s="13">
        <v>11</v>
      </c>
      <c r="H2" s="91">
        <f>IF(B$19=0,0,G2/B$19)</f>
        <v>0.5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-4875</v>
      </c>
      <c r="P2" s="80">
        <v>16</v>
      </c>
      <c r="Q2" s="67">
        <v>-78000</v>
      </c>
    </row>
    <row r="3" spans="1:17" x14ac:dyDescent="0.45">
      <c r="A3" s="21" t="s">
        <v>8</v>
      </c>
      <c r="B3" s="133">
        <v>102</v>
      </c>
      <c r="C3" s="134"/>
      <c r="E3" s="29" t="s">
        <v>160</v>
      </c>
      <c r="F3" s="26" t="s">
        <v>161</v>
      </c>
      <c r="G3" s="14">
        <v>11</v>
      </c>
      <c r="H3" s="92">
        <f>IF(B$19=0,0,G3/B$19)</f>
        <v>0.5</v>
      </c>
      <c r="I3" s="60">
        <v>3</v>
      </c>
      <c r="K3" s="7">
        <v>1</v>
      </c>
      <c r="L3" s="65">
        <v>-55.5</v>
      </c>
      <c r="N3" s="78" t="s">
        <v>129</v>
      </c>
      <c r="O3" s="84">
        <f t="shared" si="0"/>
        <v>-1060</v>
      </c>
      <c r="P3" s="81">
        <v>15</v>
      </c>
      <c r="Q3" s="68">
        <v>-15900</v>
      </c>
    </row>
    <row r="4" spans="1:17" x14ac:dyDescent="0.45">
      <c r="A4" s="21" t="s">
        <v>6</v>
      </c>
      <c r="B4" s="135">
        <v>-234.59999999999997</v>
      </c>
      <c r="C4" s="136"/>
      <c r="E4" s="29" t="s">
        <v>66</v>
      </c>
      <c r="F4" s="26" t="s">
        <v>22</v>
      </c>
      <c r="G4" s="14">
        <v>10</v>
      </c>
      <c r="H4" s="92">
        <f>IF(B$19=0,0,G4/B$19)</f>
        <v>0.45454545454545453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-7700</v>
      </c>
      <c r="P4" s="81">
        <v>13</v>
      </c>
      <c r="Q4" s="68">
        <v>-100100</v>
      </c>
    </row>
    <row r="5" spans="1:17" x14ac:dyDescent="0.45">
      <c r="A5" s="21" t="s">
        <v>7</v>
      </c>
      <c r="B5" s="123">
        <f>IF(B$2=0,0,B$4/B$2)</f>
        <v>-14.662499999999998</v>
      </c>
      <c r="C5" s="124"/>
      <c r="E5" s="29" t="s">
        <v>72</v>
      </c>
      <c r="F5" s="26" t="s">
        <v>27</v>
      </c>
      <c r="G5" s="14">
        <v>10</v>
      </c>
      <c r="H5" s="92">
        <f>IF(B$19=0,0,G5/B$19)</f>
        <v>0.45454545454545453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2066.6666666666665</v>
      </c>
      <c r="P5" s="81">
        <v>9</v>
      </c>
      <c r="Q5" s="68">
        <v>18600</v>
      </c>
    </row>
    <row r="6" spans="1:17" x14ac:dyDescent="0.45">
      <c r="A6" s="21" t="s">
        <v>1</v>
      </c>
      <c r="B6" s="137">
        <f>IF(B$2=0,0,(B$7*1+B$8*2+B$9*3)/B$2)</f>
        <v>2.375</v>
      </c>
      <c r="C6" s="138"/>
      <c r="E6" s="29" t="s">
        <v>68</v>
      </c>
      <c r="F6" s="26" t="s">
        <v>12</v>
      </c>
      <c r="G6" s="14">
        <v>6</v>
      </c>
      <c r="H6" s="92">
        <f>IF(B$19=0,0,G6/B$19)</f>
        <v>0.27272727272727271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0.125</v>
      </c>
      <c r="E7" s="29" t="s">
        <v>67</v>
      </c>
      <c r="F7" s="26" t="s">
        <v>23</v>
      </c>
      <c r="G7" s="14">
        <v>5</v>
      </c>
      <c r="H7" s="92">
        <f>IF(B$19=0,0,G7/B$19)</f>
        <v>0.22727272727272727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-2850</v>
      </c>
      <c r="P7" s="82">
        <v>6</v>
      </c>
      <c r="Q7" s="69">
        <v>-17100</v>
      </c>
    </row>
    <row r="8" spans="1:17" x14ac:dyDescent="0.45">
      <c r="A8" s="21" t="s">
        <v>3</v>
      </c>
      <c r="B8" s="14">
        <v>6</v>
      </c>
      <c r="C8" s="8">
        <f t="shared" si="1"/>
        <v>0.375</v>
      </c>
      <c r="E8" s="29" t="s">
        <v>69</v>
      </c>
      <c r="F8" s="26" t="s">
        <v>24</v>
      </c>
      <c r="G8" s="14">
        <v>3</v>
      </c>
      <c r="H8" s="92">
        <f>IF(B$19=0,0,G8/B$19)</f>
        <v>0.13636363636363635</v>
      </c>
      <c r="I8" s="60">
        <v>4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</v>
      </c>
      <c r="E9" s="29" t="s">
        <v>65</v>
      </c>
      <c r="F9" s="26" t="s">
        <v>21</v>
      </c>
      <c r="G9" s="14">
        <v>2</v>
      </c>
      <c r="H9" s="92">
        <f>IF(B$19=0,0,G9/B$19)</f>
        <v>9.0909090909090912E-2</v>
      </c>
      <c r="I9" s="60">
        <v>8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48.05</v>
      </c>
      <c r="C10" s="114">
        <v>96.1</v>
      </c>
      <c r="E10" s="29" t="s">
        <v>89</v>
      </c>
      <c r="F10" s="26" t="s">
        <v>44</v>
      </c>
      <c r="G10" s="14">
        <v>2</v>
      </c>
      <c r="H10" s="92">
        <f>IF(B$19=0,0,G10/B$19)</f>
        <v>9.0909090909090912E-2</v>
      </c>
      <c r="I10" s="60">
        <v>8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71</v>
      </c>
      <c r="F11" s="26" t="s">
        <v>26</v>
      </c>
      <c r="G11" s="14">
        <v>1</v>
      </c>
      <c r="H11" s="92">
        <f>IF(B$19=0,0,G11/B$19)</f>
        <v>4.5454545454545456E-2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-5.0142857142857142</v>
      </c>
      <c r="P11" s="81">
        <v>7</v>
      </c>
      <c r="Q11" s="72">
        <v>-35.1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78</v>
      </c>
      <c r="F12" s="26" t="s">
        <v>33</v>
      </c>
      <c r="G12" s="14">
        <v>1</v>
      </c>
      <c r="H12" s="92">
        <f>IF(B$19=0,0,G12/B$19)</f>
        <v>4.5454545454545456E-2</v>
      </c>
      <c r="I12" s="60">
        <v>3</v>
      </c>
      <c r="K12" s="7">
        <v>10</v>
      </c>
      <c r="L12" s="65">
        <v>-217.59999999999997</v>
      </c>
      <c r="N12" s="79" t="s">
        <v>154</v>
      </c>
      <c r="O12" s="88">
        <f>IF(P12=0,0,Q12/P12)</f>
        <v>-10.75</v>
      </c>
      <c r="P12" s="82">
        <v>4</v>
      </c>
      <c r="Q12" s="73">
        <v>-43</v>
      </c>
    </row>
    <row r="13" spans="1:17" x14ac:dyDescent="0.45">
      <c r="A13" s="22" t="s">
        <v>188</v>
      </c>
      <c r="B13" s="123">
        <f>AVERAGE(B10:B12)</f>
        <v>2.0444444444444443</v>
      </c>
      <c r="C13" s="124"/>
      <c r="E13" s="29" t="s">
        <v>81</v>
      </c>
      <c r="F13" s="26" t="s">
        <v>36</v>
      </c>
      <c r="G13" s="14">
        <v>1</v>
      </c>
      <c r="H13" s="92">
        <f>IF(B$19=0,0,G13/B$19)</f>
        <v>4.5454545454545456E-2</v>
      </c>
      <c r="I13" s="60">
        <v>2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0.3125</v>
      </c>
      <c r="E14" s="29" t="s">
        <v>86</v>
      </c>
      <c r="F14" s="26" t="s">
        <v>41</v>
      </c>
      <c r="G14" s="14">
        <v>1</v>
      </c>
      <c r="H14" s="92">
        <f>IF(B$19=0,0,G14/B$19)</f>
        <v>4.5454545454545456E-2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30</v>
      </c>
      <c r="C15" s="12">
        <f>IF(B$3=0,0,B15/B$3)</f>
        <v>0.29411764705882354</v>
      </c>
      <c r="E15" s="29" t="s">
        <v>87</v>
      </c>
      <c r="F15" s="26" t="s">
        <v>42</v>
      </c>
      <c r="G15" s="14">
        <v>1</v>
      </c>
      <c r="H15" s="92">
        <f>IF(B$19=0,0,G15/B$19)</f>
        <v>4.5454545454545456E-2</v>
      </c>
      <c r="I15" s="60">
        <v>1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13</v>
      </c>
      <c r="C16" s="8">
        <f>IF(B$3=0,0,B16/B$3)</f>
        <v>0.12745098039215685</v>
      </c>
      <c r="E16" s="29" t="s">
        <v>91</v>
      </c>
      <c r="F16" s="26" t="s">
        <v>46</v>
      </c>
      <c r="G16" s="14">
        <v>1</v>
      </c>
      <c r="H16" s="92">
        <f>IF(B$19=0,0,G16/B$19)</f>
        <v>4.5454545454545456E-2</v>
      </c>
      <c r="I16" s="60">
        <v>2</v>
      </c>
      <c r="K16" s="7">
        <v>14</v>
      </c>
      <c r="L16" s="65">
        <v>-330.7</v>
      </c>
      <c r="N16" s="78" t="s">
        <v>205</v>
      </c>
      <c r="O16" s="87">
        <f t="shared" si="2"/>
        <v>-3.3666666666666649</v>
      </c>
      <c r="P16" s="81">
        <v>3</v>
      </c>
      <c r="Q16" s="72">
        <v>-10.099999999999994</v>
      </c>
    </row>
    <row r="17" spans="1:17" x14ac:dyDescent="0.45">
      <c r="A17" s="20" t="s">
        <v>123</v>
      </c>
      <c r="B17" s="13">
        <f>B23</f>
        <v>11</v>
      </c>
      <c r="C17" s="6">
        <f>IF(B$15=0,0,B17/B$15)</f>
        <v>0.36666666666666664</v>
      </c>
      <c r="E17" s="29" t="s">
        <v>92</v>
      </c>
      <c r="F17" s="26" t="s">
        <v>47</v>
      </c>
      <c r="G17" s="14">
        <v>1</v>
      </c>
      <c r="H17" s="92">
        <f>IF(B$19=0,0,G17/B$19)</f>
        <v>4.5454545454545456E-2</v>
      </c>
      <c r="I17" s="60">
        <v>1</v>
      </c>
      <c r="K17" s="7">
        <v>15</v>
      </c>
      <c r="L17" s="65">
        <v>-284.09999999999997</v>
      </c>
      <c r="N17" s="78" t="s">
        <v>192</v>
      </c>
      <c r="O17" s="87">
        <f t="shared" si="2"/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22</v>
      </c>
      <c r="C19" s="6">
        <f>IF(B$3=0,0,B19/B$3)</f>
        <v>0.21568627450980393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N19" s="78" t="s">
        <v>193</v>
      </c>
      <c r="O19" s="87">
        <f t="shared" si="2"/>
        <v>-44.449999999999996</v>
      </c>
      <c r="P19" s="81">
        <v>8</v>
      </c>
      <c r="Q19" s="72">
        <v>-355.59999999999997</v>
      </c>
    </row>
    <row r="20" spans="1:17" x14ac:dyDescent="0.45">
      <c r="A20" s="21" t="s">
        <v>13</v>
      </c>
      <c r="B20" s="14">
        <v>15</v>
      </c>
      <c r="C20" s="8">
        <f>IF(B$3=0,0,B20/B$3)</f>
        <v>0.14705882352941177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 t="shared" si="2"/>
        <v>-51.2</v>
      </c>
      <c r="P20" s="81">
        <v>8</v>
      </c>
      <c r="Q20" s="72">
        <v>-409.6</v>
      </c>
    </row>
    <row r="21" spans="1:17" x14ac:dyDescent="0.45">
      <c r="A21" s="21" t="s">
        <v>12</v>
      </c>
      <c r="B21" s="14">
        <v>8</v>
      </c>
      <c r="C21" s="8">
        <f>IF(B$19=0,0,B21/B$19)</f>
        <v>0.36363636363636365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14</v>
      </c>
      <c r="C22" s="8">
        <f>IF(B$19=0,0,B22/B$19)</f>
        <v>0.63636363636363635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11</v>
      </c>
      <c r="C23" s="8">
        <f>IF(B$19=0,0,B23/B$19)</f>
        <v>0.5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5</v>
      </c>
      <c r="C24" s="8">
        <f>IF(B$19=0,0,B24/B$19)</f>
        <v>0.22727272727272727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6</v>
      </c>
      <c r="C25" s="8">
        <f>IF(B$19=0,0,B25/B$19)</f>
        <v>0.27272727272727271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8777.2727272727279</v>
      </c>
      <c r="C26" s="10">
        <v>193100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10223.529411764706</v>
      </c>
      <c r="C27" s="100">
        <v>173800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3860</v>
      </c>
      <c r="C28" s="100">
        <v>19300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-8773.3333333333339</v>
      </c>
      <c r="C29" s="100">
        <v>-131600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3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74500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3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3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3"/>
        <v>0.22727272727272727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3"/>
        <v>4.5454545454545456E-2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3"/>
        <v>4.5454545454545456E-2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3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3"/>
        <v>4.5454545454545456E-2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4.5454545454545456E-2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4.5454545454545456E-2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</v>
      </c>
      <c r="C2" s="132"/>
      <c r="E2" s="28" t="s">
        <v>72</v>
      </c>
      <c r="F2" s="25" t="s">
        <v>27</v>
      </c>
      <c r="G2" s="13">
        <v>40</v>
      </c>
      <c r="H2" s="91">
        <f>IF(B$19=0,0,G2/B$19)</f>
        <v>0.59701492537313428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922.58064516129036</v>
      </c>
      <c r="P2" s="80">
        <v>31</v>
      </c>
      <c r="Q2" s="67">
        <v>28600</v>
      </c>
    </row>
    <row r="3" spans="1:17" x14ac:dyDescent="0.45">
      <c r="A3" s="21" t="s">
        <v>8</v>
      </c>
      <c r="B3" s="133">
        <v>244</v>
      </c>
      <c r="C3" s="134"/>
      <c r="E3" s="29" t="s">
        <v>64</v>
      </c>
      <c r="F3" s="26" t="s">
        <v>20</v>
      </c>
      <c r="G3" s="14">
        <v>34</v>
      </c>
      <c r="H3" s="92">
        <f>IF(B$19=0,0,G3/B$19)</f>
        <v>0.5074626865671642</v>
      </c>
      <c r="I3" s="60">
        <v>4</v>
      </c>
      <c r="K3" s="7">
        <v>1</v>
      </c>
      <c r="L3" s="65">
        <v>-0.5</v>
      </c>
      <c r="N3" s="78" t="s">
        <v>129</v>
      </c>
      <c r="O3" s="84">
        <f t="shared" si="0"/>
        <v>-1293.5483870967741</v>
      </c>
      <c r="P3" s="81">
        <v>31</v>
      </c>
      <c r="Q3" s="68">
        <v>-40100</v>
      </c>
    </row>
    <row r="4" spans="1:17" x14ac:dyDescent="0.45">
      <c r="A4" s="21" t="s">
        <v>6</v>
      </c>
      <c r="B4" s="135">
        <v>-137.5</v>
      </c>
      <c r="C4" s="136"/>
      <c r="E4" s="29" t="s">
        <v>66</v>
      </c>
      <c r="F4" s="26" t="s">
        <v>22</v>
      </c>
      <c r="G4" s="14">
        <v>32</v>
      </c>
      <c r="H4" s="92">
        <f>IF(B$19=0,0,G4/B$19)</f>
        <v>0.47761194029850745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-1112.9032258064517</v>
      </c>
      <c r="P4" s="81">
        <v>31</v>
      </c>
      <c r="Q4" s="68">
        <v>-34500</v>
      </c>
    </row>
    <row r="5" spans="1:17" x14ac:dyDescent="0.45">
      <c r="A5" s="21" t="s">
        <v>7</v>
      </c>
      <c r="B5" s="123">
        <f>IF(B$2=0,0,B$4/B$2)</f>
        <v>-4.296875</v>
      </c>
      <c r="C5" s="124"/>
      <c r="E5" s="29" t="s">
        <v>160</v>
      </c>
      <c r="F5" s="26" t="s">
        <v>161</v>
      </c>
      <c r="G5" s="14">
        <v>28</v>
      </c>
      <c r="H5" s="92">
        <f>IF(B$19=0,0,G5/B$19)</f>
        <v>0.41791044776119401</v>
      </c>
      <c r="I5" s="60">
        <v>7</v>
      </c>
      <c r="K5" s="7">
        <v>3</v>
      </c>
      <c r="L5" s="65">
        <v>-48.5</v>
      </c>
      <c r="N5" s="78" t="s">
        <v>131</v>
      </c>
      <c r="O5" s="84">
        <f t="shared" si="0"/>
        <v>-900</v>
      </c>
      <c r="P5" s="81">
        <v>28</v>
      </c>
      <c r="Q5" s="68">
        <v>-25200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0.29850746268656714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-3160</v>
      </c>
      <c r="P6" s="81">
        <v>25</v>
      </c>
      <c r="Q6" s="68">
        <v>-79000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0.3125</v>
      </c>
      <c r="E7" s="29" t="s">
        <v>67</v>
      </c>
      <c r="F7" s="26" t="s">
        <v>23</v>
      </c>
      <c r="G7" s="14">
        <v>19</v>
      </c>
      <c r="H7" s="92">
        <f>IF(B$19=0,0,G7/B$19)</f>
        <v>0.28358208955223879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515.78947368421052</v>
      </c>
      <c r="P7" s="82">
        <v>19</v>
      </c>
      <c r="Q7" s="69">
        <v>9800</v>
      </c>
    </row>
    <row r="8" spans="1:17" x14ac:dyDescent="0.45">
      <c r="A8" s="21" t="s">
        <v>3</v>
      </c>
      <c r="B8" s="14">
        <v>12</v>
      </c>
      <c r="C8" s="8">
        <f t="shared" si="1"/>
        <v>0.375</v>
      </c>
      <c r="E8" s="29" t="s">
        <v>89</v>
      </c>
      <c r="F8" s="26" t="s">
        <v>44</v>
      </c>
      <c r="G8" s="14">
        <v>9</v>
      </c>
      <c r="H8" s="92">
        <f>IF(B$19=0,0,G8/B$19)</f>
        <v>0.13432835820895522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0.3125</v>
      </c>
      <c r="E9" s="29" t="s">
        <v>69</v>
      </c>
      <c r="F9" s="26" t="s">
        <v>24</v>
      </c>
      <c r="G9" s="14">
        <v>8</v>
      </c>
      <c r="H9" s="92">
        <f>IF(B$19=0,0,G9/B$19)</f>
        <v>0.11940298507462686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34.07</v>
      </c>
      <c r="C10" s="114">
        <v>340.7</v>
      </c>
      <c r="E10" s="29" t="s">
        <v>65</v>
      </c>
      <c r="F10" s="26" t="s">
        <v>21</v>
      </c>
      <c r="G10" s="14">
        <v>6</v>
      </c>
      <c r="H10" s="92">
        <f>IF(B$19=0,0,G10/B$19)</f>
        <v>8.9552238805970144E-2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-19.311111111111114</v>
      </c>
      <c r="P10" s="80">
        <v>9</v>
      </c>
      <c r="Q10" s="71">
        <v>-173.8</v>
      </c>
    </row>
    <row r="11" spans="1:17" x14ac:dyDescent="0.45">
      <c r="A11" s="22" t="s">
        <v>186</v>
      </c>
      <c r="B11" s="113">
        <f>IF(B8=0,0,C11/B8)</f>
        <v>-4.9083333333333323</v>
      </c>
      <c r="C11" s="114">
        <v>-58.899999999999991</v>
      </c>
      <c r="E11" s="29" t="s">
        <v>71</v>
      </c>
      <c r="F11" s="26" t="s">
        <v>26</v>
      </c>
      <c r="G11" s="14">
        <v>5</v>
      </c>
      <c r="H11" s="92">
        <f>IF(B$19=0,0,G11/B$19)</f>
        <v>7.4626865671641784E-2</v>
      </c>
      <c r="I11" s="60">
        <v>5</v>
      </c>
      <c r="K11" s="7">
        <v>9</v>
      </c>
      <c r="L11" s="65">
        <v>-20.3</v>
      </c>
      <c r="N11" s="78" t="s">
        <v>153</v>
      </c>
      <c r="O11" s="87">
        <f>IF(P11=0,0,Q11/P11)</f>
        <v>-5.8900000000000006</v>
      </c>
      <c r="P11" s="81">
        <v>10</v>
      </c>
      <c r="Q11" s="72">
        <v>-58.900000000000006</v>
      </c>
    </row>
    <row r="12" spans="1:17" x14ac:dyDescent="0.45">
      <c r="A12" s="22" t="s">
        <v>187</v>
      </c>
      <c r="B12" s="113">
        <f>IF(B9=0,0,C12/B9)</f>
        <v>-41.93</v>
      </c>
      <c r="C12" s="114">
        <v>-419.3</v>
      </c>
      <c r="E12" s="29" t="s">
        <v>70</v>
      </c>
      <c r="F12" s="26" t="s">
        <v>25</v>
      </c>
      <c r="G12" s="14">
        <v>4</v>
      </c>
      <c r="H12" s="92">
        <f>IF(B$19=0,0,G12/B$19)</f>
        <v>5.9701492537313432E-2</v>
      </c>
      <c r="I12" s="60">
        <v>5</v>
      </c>
      <c r="K12" s="7">
        <v>10</v>
      </c>
      <c r="L12" s="65">
        <v>-14.9</v>
      </c>
      <c r="N12" s="79" t="s">
        <v>154</v>
      </c>
      <c r="O12" s="88">
        <f>IF(P12=0,0,Q12/P12)</f>
        <v>7.3230769230769246</v>
      </c>
      <c r="P12" s="82">
        <v>13</v>
      </c>
      <c r="Q12" s="73">
        <v>95.200000000000017</v>
      </c>
    </row>
    <row r="13" spans="1:17" x14ac:dyDescent="0.45">
      <c r="A13" s="22" t="s">
        <v>188</v>
      </c>
      <c r="B13" s="123">
        <f>AVERAGE(B10:B12)</f>
        <v>-4.2561111111111103</v>
      </c>
      <c r="C13" s="124"/>
      <c r="E13" s="29" t="s">
        <v>79</v>
      </c>
      <c r="F13" s="26" t="s">
        <v>34</v>
      </c>
      <c r="G13" s="14">
        <v>4</v>
      </c>
      <c r="H13" s="92">
        <f>IF(B$19=0,0,G13/B$19)</f>
        <v>5.9701492537313432E-2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0.125</v>
      </c>
      <c r="E14" s="29" t="s">
        <v>78</v>
      </c>
      <c r="F14" s="26" t="s">
        <v>33</v>
      </c>
      <c r="G14" s="14">
        <v>3</v>
      </c>
      <c r="H14" s="92">
        <f>IF(B$19=0,0,G14/B$19)</f>
        <v>4.4776119402985072E-2</v>
      </c>
      <c r="I14" s="60">
        <v>4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66</v>
      </c>
      <c r="C15" s="12">
        <f>IF(B$3=0,0,B15/B$3)</f>
        <v>0.27049180327868855</v>
      </c>
      <c r="E15" s="29" t="s">
        <v>83</v>
      </c>
      <c r="F15" s="26" t="s">
        <v>38</v>
      </c>
      <c r="G15" s="14">
        <v>3</v>
      </c>
      <c r="H15" s="92">
        <f>IF(B$19=0,0,G15/B$19)</f>
        <v>4.4776119402985072E-2</v>
      </c>
      <c r="I15" s="60">
        <v>6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55</v>
      </c>
      <c r="C16" s="8">
        <f>IF(B$3=0,0,B16/B$3)</f>
        <v>0.22540983606557377</v>
      </c>
      <c r="E16" s="29" t="s">
        <v>86</v>
      </c>
      <c r="F16" s="26" t="s">
        <v>41</v>
      </c>
      <c r="G16" s="14">
        <v>2</v>
      </c>
      <c r="H16" s="92">
        <f>IF(B$19=0,0,G16/B$19)</f>
        <v>2.9850746268656716E-2</v>
      </c>
      <c r="I16" s="60">
        <v>7</v>
      </c>
      <c r="K16" s="7">
        <v>14</v>
      </c>
      <c r="L16" s="65">
        <v>-149.39999999999998</v>
      </c>
      <c r="N16" s="78" t="s">
        <v>194</v>
      </c>
      <c r="O16" s="87">
        <f t="shared" si="2"/>
        <v>16.157142857142858</v>
      </c>
      <c r="P16" s="81">
        <v>7</v>
      </c>
      <c r="Q16" s="72">
        <v>113.10000000000001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0.56060606060606055</v>
      </c>
      <c r="E17" s="29" t="s">
        <v>81</v>
      </c>
      <c r="F17" s="26" t="s">
        <v>36</v>
      </c>
      <c r="G17" s="14">
        <v>1</v>
      </c>
      <c r="H17" s="92">
        <f>IF(B$19=0,0,G17/B$19)</f>
        <v>1.4925373134328358E-2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 t="shared" si="2"/>
        <v>10.600000000000003</v>
      </c>
      <c r="P17" s="81">
        <v>12</v>
      </c>
      <c r="Q17" s="72">
        <v>127.20000000000005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0.30909090909090908</v>
      </c>
      <c r="E18" s="29" t="s">
        <v>91</v>
      </c>
      <c r="F18" s="26" t="s">
        <v>46</v>
      </c>
      <c r="G18" s="14">
        <v>1</v>
      </c>
      <c r="H18" s="92">
        <f>IF(B$19=0,0,G18/B$19)</f>
        <v>1.4925373134328358E-2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 t="shared" si="2"/>
        <v>-11.835714285714285</v>
      </c>
      <c r="P18" s="81">
        <v>14</v>
      </c>
      <c r="Q18" s="72">
        <v>-165.7</v>
      </c>
    </row>
    <row r="19" spans="1:17" x14ac:dyDescent="0.45">
      <c r="A19" s="20" t="s">
        <v>10</v>
      </c>
      <c r="B19" s="13">
        <f>B22+B21</f>
        <v>67</v>
      </c>
      <c r="C19" s="6">
        <f>IF(B$3=0,0,B19/B$3)</f>
        <v>0.27459016393442626</v>
      </c>
      <c r="E19" s="29" t="s">
        <v>92</v>
      </c>
      <c r="F19" s="26" t="s">
        <v>47</v>
      </c>
      <c r="G19" s="14">
        <v>1</v>
      </c>
      <c r="H19" s="92">
        <f>IF(B$19=0,0,G19/B$19)</f>
        <v>1.4925373134328358E-2</v>
      </c>
      <c r="I19" s="60">
        <v>5</v>
      </c>
      <c r="K19" s="7">
        <v>17</v>
      </c>
      <c r="L19" s="65">
        <v>-149.1</v>
      </c>
      <c r="N19" s="78" t="s">
        <v>205</v>
      </c>
      <c r="O19" s="87">
        <f t="shared" si="2"/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31</v>
      </c>
      <c r="C20" s="8">
        <f>IF(B$3=0,0,B20/B$3)</f>
        <v>0.12704918032786885</v>
      </c>
      <c r="E20" s="29" t="s">
        <v>156</v>
      </c>
      <c r="F20" s="26" t="s">
        <v>157</v>
      </c>
      <c r="G20" s="14">
        <v>1</v>
      </c>
      <c r="H20" s="92">
        <f>IF(B$19=0,0,G20/B$19)</f>
        <v>1.4925373134328358E-2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 t="shared" si="2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26</v>
      </c>
      <c r="C21" s="8">
        <f>IF(B$19=0,0,B21/B$19)</f>
        <v>0.38805970149253732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2"/>
        <v>-21.941176470588236</v>
      </c>
      <c r="P21" s="81">
        <v>17</v>
      </c>
      <c r="Q21" s="72">
        <v>-373</v>
      </c>
    </row>
    <row r="22" spans="1:17" x14ac:dyDescent="0.45">
      <c r="A22" s="21" t="s">
        <v>11</v>
      </c>
      <c r="B22" s="14">
        <v>41</v>
      </c>
      <c r="C22" s="8">
        <f>IF(B$19=0,0,B22/B$19)</f>
        <v>0.61194029850746268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37</v>
      </c>
      <c r="C23" s="8">
        <f>IF(B$19=0,0,B23/B$19)</f>
        <v>0.55223880597014929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17</v>
      </c>
      <c r="C24" s="8">
        <f>IF(B$19=0,0,B24/B$19)</f>
        <v>0.2537313432835821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13</v>
      </c>
      <c r="C25" s="8">
        <f>IF(B$19=0,0,B25/B$19)</f>
        <v>0.19402985074626866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7502.9850746268658</v>
      </c>
      <c r="C26" s="10">
        <v>502700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7806</v>
      </c>
      <c r="C27" s="100">
        <v>390300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6611.7647058823532</v>
      </c>
      <c r="C28" s="100">
        <v>112400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-7790.322580645161</v>
      </c>
      <c r="C29" s="100">
        <v>-241500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2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26</v>
      </c>
      <c r="C31" s="94">
        <v>26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0.11940298507462686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11</v>
      </c>
      <c r="C37" s="8">
        <f t="shared" si="3"/>
        <v>0.16417910447761194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18</v>
      </c>
      <c r="C38" s="8">
        <f t="shared" si="3"/>
        <v>0.26865671641791045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0.14925373134328357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7</v>
      </c>
      <c r="C40" s="8">
        <f t="shared" si="3"/>
        <v>0.1044776119402985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3"/>
        <v>2.9850746268656716E-2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3"/>
        <v>8.9552238805970144E-2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1</v>
      </c>
      <c r="C43" s="8">
        <f t="shared" si="3"/>
        <v>1.4925373134328358E-2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1.4925373134328358E-2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1.4925373134328358E-2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3"/>
        <v>1.4925373134328358E-2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1.4925373134328358E-2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</v>
      </c>
      <c r="C2" s="132"/>
      <c r="E2" s="28" t="s">
        <v>72</v>
      </c>
      <c r="F2" s="25" t="s">
        <v>27</v>
      </c>
      <c r="G2" s="13">
        <v>37</v>
      </c>
      <c r="H2" s="91">
        <f>IF(B$19=0,0,G2/B$19)</f>
        <v>0.72549019607843135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-477.27272727272725</v>
      </c>
      <c r="P2" s="80">
        <v>22</v>
      </c>
      <c r="Q2" s="67">
        <v>-10500</v>
      </c>
    </row>
    <row r="3" spans="1:17" x14ac:dyDescent="0.45">
      <c r="A3" s="21" t="s">
        <v>8</v>
      </c>
      <c r="B3" s="133">
        <v>157</v>
      </c>
      <c r="C3" s="134"/>
      <c r="E3" s="29" t="s">
        <v>66</v>
      </c>
      <c r="F3" s="26" t="s">
        <v>22</v>
      </c>
      <c r="G3" s="14">
        <v>34</v>
      </c>
      <c r="H3" s="92">
        <f>IF(B$19=0,0,G3/B$19)</f>
        <v>0.66666666666666663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-1314.2857142857142</v>
      </c>
      <c r="P3" s="81">
        <v>21</v>
      </c>
      <c r="Q3" s="68">
        <v>-27600</v>
      </c>
    </row>
    <row r="4" spans="1:17" x14ac:dyDescent="0.45">
      <c r="A4" s="21" t="s">
        <v>6</v>
      </c>
      <c r="B4" s="135">
        <v>90.5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0.27450980392156865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2544.4444444444443</v>
      </c>
      <c r="P4" s="81">
        <v>18</v>
      </c>
      <c r="Q4" s="68">
        <v>45800</v>
      </c>
    </row>
    <row r="5" spans="1:17" x14ac:dyDescent="0.45">
      <c r="A5" s="21" t="s">
        <v>7</v>
      </c>
      <c r="B5" s="123">
        <f>IF(B$2=0,0,B$4/B$2)</f>
        <v>4.1136363636363633</v>
      </c>
      <c r="C5" s="124"/>
      <c r="E5" s="29" t="s">
        <v>68</v>
      </c>
      <c r="F5" s="26" t="s">
        <v>12</v>
      </c>
      <c r="G5" s="14">
        <v>13</v>
      </c>
      <c r="H5" s="92">
        <f>IF(B$19=0,0,G5/B$19)</f>
        <v>0.25490196078431371</v>
      </c>
      <c r="I5" s="60">
        <v>9</v>
      </c>
      <c r="K5" s="7">
        <v>3</v>
      </c>
      <c r="L5" s="65">
        <v>159</v>
      </c>
      <c r="N5" s="78" t="s">
        <v>131</v>
      </c>
      <c r="O5" s="84">
        <f t="shared" si="0"/>
        <v>373.33333333333331</v>
      </c>
      <c r="P5" s="81">
        <v>15</v>
      </c>
      <c r="Q5" s="68">
        <v>5600</v>
      </c>
    </row>
    <row r="6" spans="1:17" x14ac:dyDescent="0.45">
      <c r="A6" s="21" t="s">
        <v>1</v>
      </c>
      <c r="B6" s="137">
        <f>IF(B$2=0,0,(B$7*1+B$8*2+B$9*3)/B$2)</f>
        <v>1.9545454545454546</v>
      </c>
      <c r="C6" s="138"/>
      <c r="E6" s="29" t="s">
        <v>67</v>
      </c>
      <c r="F6" s="26" t="s">
        <v>23</v>
      </c>
      <c r="G6" s="14">
        <v>11</v>
      </c>
      <c r="H6" s="92">
        <f>IF(B$19=0,0,G6/B$19)</f>
        <v>0.21568627450980393</v>
      </c>
      <c r="I6" s="60">
        <v>8</v>
      </c>
      <c r="K6" s="7">
        <v>4</v>
      </c>
      <c r="L6" s="65">
        <v>112.4</v>
      </c>
      <c r="N6" s="78" t="s">
        <v>132</v>
      </c>
      <c r="O6" s="84">
        <f t="shared" si="0"/>
        <v>4945.454545454545</v>
      </c>
      <c r="P6" s="81">
        <v>11</v>
      </c>
      <c r="Q6" s="68">
        <v>54400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0.40909090909090912</v>
      </c>
      <c r="E7" s="29" t="s">
        <v>160</v>
      </c>
      <c r="F7" s="26" t="s">
        <v>161</v>
      </c>
      <c r="G7" s="14">
        <v>11</v>
      </c>
      <c r="H7" s="92">
        <f>IF(B$19=0,0,G7/B$19)</f>
        <v>0.21568627450980393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-1188.8888888888889</v>
      </c>
      <c r="P7" s="82">
        <v>9</v>
      </c>
      <c r="Q7" s="69">
        <v>-10700</v>
      </c>
    </row>
    <row r="8" spans="1:17" x14ac:dyDescent="0.45">
      <c r="A8" s="21" t="s">
        <v>3</v>
      </c>
      <c r="B8" s="14">
        <v>5</v>
      </c>
      <c r="C8" s="8">
        <f t="shared" si="1"/>
        <v>0.22727272727272727</v>
      </c>
      <c r="E8" s="29" t="s">
        <v>69</v>
      </c>
      <c r="F8" s="26" t="s">
        <v>24</v>
      </c>
      <c r="G8" s="14">
        <v>7</v>
      </c>
      <c r="H8" s="92">
        <f>IF(B$19=0,0,G8/B$19)</f>
        <v>0.13725490196078433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0.36363636363636365</v>
      </c>
      <c r="E9" s="29" t="s">
        <v>83</v>
      </c>
      <c r="F9" s="26" t="s">
        <v>38</v>
      </c>
      <c r="G9" s="14">
        <v>7</v>
      </c>
      <c r="H9" s="92">
        <f>IF(B$19=0,0,G9/B$19)</f>
        <v>0.13725490196078433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42.833333333333336</v>
      </c>
      <c r="C10" s="114">
        <v>385.5</v>
      </c>
      <c r="E10" s="29" t="s">
        <v>89</v>
      </c>
      <c r="F10" s="26" t="s">
        <v>44</v>
      </c>
      <c r="G10" s="14">
        <v>6</v>
      </c>
      <c r="H10" s="92">
        <f>IF(B$19=0,0,G10/B$19)</f>
        <v>0.11764705882352941</v>
      </c>
      <c r="I10" s="60">
        <v>7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2.3599999999999994</v>
      </c>
      <c r="C11" s="114">
        <v>11.799999999999997</v>
      </c>
      <c r="E11" s="29" t="s">
        <v>65</v>
      </c>
      <c r="F11" s="26" t="s">
        <v>21</v>
      </c>
      <c r="G11" s="14">
        <v>4</v>
      </c>
      <c r="H11" s="92">
        <f>IF(B$19=0,0,G11/B$19)</f>
        <v>7.8431372549019607E-2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>IF(B$19=0,0,G12/B$19)</f>
        <v>5.8823529411764705E-2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20.583333333333336</v>
      </c>
      <c r="P12" s="82">
        <v>6</v>
      </c>
      <c r="Q12" s="73">
        <v>123.50000000000001</v>
      </c>
    </row>
    <row r="13" spans="1:17" x14ac:dyDescent="0.45">
      <c r="A13" s="22" t="s">
        <v>188</v>
      </c>
      <c r="B13" s="123">
        <f>AVERAGE(B10:B12)</f>
        <v>2.2811111111111111</v>
      </c>
      <c r="C13" s="124"/>
      <c r="E13" s="29" t="s">
        <v>81</v>
      </c>
      <c r="F13" s="26" t="s">
        <v>36</v>
      </c>
      <c r="G13" s="14">
        <v>3</v>
      </c>
      <c r="H13" s="92">
        <f>IF(B$19=0,0,G13/B$19)</f>
        <v>5.8823529411764705E-2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0.22727272727272727</v>
      </c>
      <c r="E14" s="29" t="s">
        <v>71</v>
      </c>
      <c r="F14" s="26" t="s">
        <v>26</v>
      </c>
      <c r="G14" s="14">
        <v>2</v>
      </c>
      <c r="H14" s="92">
        <f>IF(B$19=0,0,G14/B$19)</f>
        <v>3.9215686274509803E-2</v>
      </c>
      <c r="I14" s="60">
        <v>9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23</v>
      </c>
      <c r="C15" s="12">
        <f>IF(B$3=0,0,B15/B$3)</f>
        <v>0.1464968152866242</v>
      </c>
      <c r="E15" s="29" t="s">
        <v>85</v>
      </c>
      <c r="F15" s="26" t="s">
        <v>40</v>
      </c>
      <c r="G15" s="14">
        <v>2</v>
      </c>
      <c r="H15" s="92">
        <f>IF(B$19=0,0,G15/B$19)</f>
        <v>3.9215686274509803E-2</v>
      </c>
      <c r="I15" s="60">
        <v>1</v>
      </c>
      <c r="K15" s="7">
        <v>13</v>
      </c>
      <c r="L15" s="65">
        <v>83.1</v>
      </c>
      <c r="N15" s="77" t="s">
        <v>194</v>
      </c>
      <c r="O15" s="86">
        <f>IF(P15=0,0,Q15/P15)</f>
        <v>44.449999999999996</v>
      </c>
      <c r="P15" s="80">
        <v>8</v>
      </c>
      <c r="Q15" s="71">
        <v>355.59999999999997</v>
      </c>
    </row>
    <row r="16" spans="1:17" x14ac:dyDescent="0.45">
      <c r="A16" s="21" t="s">
        <v>118</v>
      </c>
      <c r="B16" s="14">
        <v>52</v>
      </c>
      <c r="C16" s="8">
        <f>IF(B$3=0,0,B16/B$3)</f>
        <v>0.33121019108280253</v>
      </c>
      <c r="E16" s="29" t="s">
        <v>75</v>
      </c>
      <c r="F16" s="26" t="s">
        <v>30</v>
      </c>
      <c r="G16" s="14">
        <v>1</v>
      </c>
      <c r="H16" s="92">
        <f>IF(B$19=0,0,G16/B$19)</f>
        <v>1.9607843137254902E-2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>IF(P16=0,0,Q16/P16)</f>
        <v>32.566666666666663</v>
      </c>
      <c r="P16" s="81">
        <v>6</v>
      </c>
      <c r="Q16" s="72">
        <v>195.39999999999998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0.60869565217391308</v>
      </c>
      <c r="E17" s="29" t="s">
        <v>102</v>
      </c>
      <c r="F17" s="26" t="s">
        <v>57</v>
      </c>
      <c r="G17" s="14">
        <v>1</v>
      </c>
      <c r="H17" s="92">
        <f>IF(B$19=0,0,G17/B$19)</f>
        <v>1.9607843137254902E-2</v>
      </c>
      <c r="I17" s="60">
        <v>1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0.44230769230769229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119.3</v>
      </c>
      <c r="N18" s="78" t="s">
        <v>189</v>
      </c>
      <c r="O18" s="87">
        <f>IF(P18=0,0,Q18/P18)</f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51</v>
      </c>
      <c r="C19" s="6">
        <f>IF(B$3=0,0,B19/B$3)</f>
        <v>0.32484076433121017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71.699999999999989</v>
      </c>
      <c r="N19" s="78" t="s">
        <v>192</v>
      </c>
      <c r="O19" s="87">
        <f>IF(P19=0,0,Q19/P19)</f>
        <v>-10.600000000000003</v>
      </c>
      <c r="P19" s="81">
        <v>12</v>
      </c>
      <c r="Q19" s="72">
        <v>-127.20000000000005</v>
      </c>
    </row>
    <row r="20" spans="1:17" x14ac:dyDescent="0.45">
      <c r="A20" s="21" t="s">
        <v>13</v>
      </c>
      <c r="B20" s="14">
        <v>21</v>
      </c>
      <c r="C20" s="8">
        <f>IF(B$3=0,0,B20/B$3)</f>
        <v>0.13375796178343949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45.399999999999991</v>
      </c>
      <c r="N20" s="78" t="s">
        <v>126</v>
      </c>
      <c r="O20" s="87">
        <f>IF(P20=0,0,Q20/P20)</f>
        <v>-21.236363636363631</v>
      </c>
      <c r="P20" s="81">
        <v>11</v>
      </c>
      <c r="Q20" s="72">
        <v>-233.59999999999994</v>
      </c>
    </row>
    <row r="21" spans="1:17" x14ac:dyDescent="0.45">
      <c r="A21" s="21" t="s">
        <v>12</v>
      </c>
      <c r="B21" s="14">
        <v>25</v>
      </c>
      <c r="C21" s="8">
        <f>IF(B$19=0,0,B21/B$19)</f>
        <v>0.49019607843137253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26</v>
      </c>
      <c r="C22" s="8">
        <f>IF(B$19=0,0,B22/B$19)</f>
        <v>0.50980392156862742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14</v>
      </c>
      <c r="C23" s="8">
        <f>IF(B$19=0,0,B23/B$19)</f>
        <v>0.27450980392156865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23</v>
      </c>
      <c r="C24" s="8">
        <f>IF(B$19=0,0,B24/B$19)</f>
        <v>0.45098039215686275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14</v>
      </c>
      <c r="C25" s="8">
        <f>IF(B$19=0,0,B25/B$19)</f>
        <v>0.27450980392156865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8037.2549019607841</v>
      </c>
      <c r="C26" s="10">
        <v>409900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8732.1428571428569</v>
      </c>
      <c r="C27" s="100">
        <v>244500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7191.304347826087</v>
      </c>
      <c r="C28" s="100">
        <v>165400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-7785.7142857142853</v>
      </c>
      <c r="C29" s="100">
        <v>-163500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13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6</v>
      </c>
      <c r="C36" s="102">
        <f t="shared" ref="C36:C48" si="2">IF(B$19=0,0,B36/B$19)</f>
        <v>0.11764705882352941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12</v>
      </c>
      <c r="C37" s="8">
        <f t="shared" si="2"/>
        <v>0.23529411764705882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9</v>
      </c>
      <c r="C38" s="8">
        <f t="shared" si="2"/>
        <v>0.17647058823529413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8</v>
      </c>
      <c r="C39" s="8">
        <f t="shared" si="2"/>
        <v>0.15686274509803921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2"/>
        <v>0.17647058823529413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3.9215686274509803E-2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5.8823529411764705E-2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1.9607843137254902E-2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1.9607843137254902E-2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7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8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4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7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</v>
      </c>
      <c r="C2" s="132"/>
      <c r="E2" s="28" t="s">
        <v>66</v>
      </c>
      <c r="F2" s="25" t="s">
        <v>22</v>
      </c>
      <c r="G2" s="13">
        <v>28</v>
      </c>
      <c r="H2" s="91">
        <f>IF(B$19=0,0,G2/B$19)</f>
        <v>1.0769230769230769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4290.909090909091</v>
      </c>
      <c r="P2" s="80">
        <v>11</v>
      </c>
      <c r="Q2" s="67">
        <v>47200</v>
      </c>
    </row>
    <row r="3" spans="1:17" x14ac:dyDescent="0.45">
      <c r="A3" s="21" t="s">
        <v>8</v>
      </c>
      <c r="B3" s="133">
        <v>82</v>
      </c>
      <c r="C3" s="134"/>
      <c r="E3" s="29" t="s">
        <v>72</v>
      </c>
      <c r="F3" s="26" t="s">
        <v>27</v>
      </c>
      <c r="G3" s="14">
        <v>17</v>
      </c>
      <c r="H3" s="92">
        <f>IF(B$19=0,0,G3/B$19)</f>
        <v>0.65384615384615385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-9672.7272727272721</v>
      </c>
      <c r="P3" s="81">
        <v>11</v>
      </c>
      <c r="Q3" s="68">
        <v>-106400</v>
      </c>
    </row>
    <row r="4" spans="1:17" x14ac:dyDescent="0.45">
      <c r="A4" s="21" t="s">
        <v>6</v>
      </c>
      <c r="B4" s="135">
        <v>-121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0.30769230769230771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-2110</v>
      </c>
      <c r="P4" s="81">
        <v>10</v>
      </c>
      <c r="Q4" s="68">
        <v>-21100</v>
      </c>
    </row>
    <row r="5" spans="1:17" x14ac:dyDescent="0.45">
      <c r="A5" s="21" t="s">
        <v>7</v>
      </c>
      <c r="B5" s="123">
        <f>IF(B$2=0,0,B$4/B$2)</f>
        <v>-11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0.30769230769230771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-4312.5</v>
      </c>
      <c r="P5" s="81">
        <v>8</v>
      </c>
      <c r="Q5" s="68">
        <v>-34500</v>
      </c>
    </row>
    <row r="6" spans="1:17" x14ac:dyDescent="0.45">
      <c r="A6" s="21" t="s">
        <v>1</v>
      </c>
      <c r="B6" s="137">
        <f>IF(B$2=0,0,(B$7*1+B$8*2+B$9*3)/B$2)</f>
        <v>2.3636363636363638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0.26923076923076922</v>
      </c>
      <c r="I6" s="60">
        <v>7</v>
      </c>
      <c r="K6" s="7">
        <v>4</v>
      </c>
      <c r="L6" s="65">
        <v>-41.199999999999996</v>
      </c>
      <c r="N6" s="78" t="s">
        <v>132</v>
      </c>
      <c r="O6" s="84">
        <f t="shared" si="0"/>
        <v>5828.5714285714284</v>
      </c>
      <c r="P6" s="81">
        <v>7</v>
      </c>
      <c r="Q6" s="68">
        <v>40800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0.18181818181818182</v>
      </c>
      <c r="E7" s="29" t="s">
        <v>89</v>
      </c>
      <c r="F7" s="26" t="s">
        <v>44</v>
      </c>
      <c r="G7" s="14">
        <v>6</v>
      </c>
      <c r="H7" s="92">
        <f>IF(B$19=0,0,G7/B$19)</f>
        <v>0.23076923076923078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-1166.6666666666667</v>
      </c>
      <c r="P7" s="82">
        <v>6</v>
      </c>
      <c r="Q7" s="69">
        <v>-7000</v>
      </c>
    </row>
    <row r="8" spans="1:17" x14ac:dyDescent="0.45">
      <c r="A8" s="21" t="s">
        <v>3</v>
      </c>
      <c r="B8" s="14">
        <v>3</v>
      </c>
      <c r="C8" s="8">
        <f t="shared" si="1"/>
        <v>0.27272727272727271</v>
      </c>
      <c r="E8" s="29" t="s">
        <v>70</v>
      </c>
      <c r="F8" s="26" t="s">
        <v>25</v>
      </c>
      <c r="G8" s="14">
        <v>5</v>
      </c>
      <c r="H8" s="92">
        <f>IF(B$19=0,0,G8/B$19)</f>
        <v>0.19230769230769232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0.54545454545454541</v>
      </c>
      <c r="E9" s="29" t="s">
        <v>69</v>
      </c>
      <c r="F9" s="26" t="s">
        <v>24</v>
      </c>
      <c r="G9" s="14">
        <v>4</v>
      </c>
      <c r="H9" s="92">
        <f>IF(B$19=0,0,G9/B$19)</f>
        <v>0.15384615384615385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65</v>
      </c>
      <c r="F10" s="26" t="s">
        <v>21</v>
      </c>
      <c r="G10" s="14">
        <v>3</v>
      </c>
      <c r="H10" s="92">
        <f>IF(B$19=0,0,G10/B$19)</f>
        <v>0.11538461538461539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8.3600000000000012</v>
      </c>
      <c r="P10" s="80">
        <v>5</v>
      </c>
      <c r="Q10" s="71">
        <v>41.800000000000004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0.11538461538461539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78</v>
      </c>
      <c r="F12" s="26" t="s">
        <v>33</v>
      </c>
      <c r="G12" s="14">
        <v>3</v>
      </c>
      <c r="H12" s="92">
        <f>IF(B$19=0,0,G12/B$19)</f>
        <v>0.11538461538461539</v>
      </c>
      <c r="I12" s="60">
        <v>1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7.3222222222222202</v>
      </c>
      <c r="C13" s="124"/>
      <c r="E13" s="29" t="s">
        <v>83</v>
      </c>
      <c r="F13" s="26" t="s">
        <v>38</v>
      </c>
      <c r="G13" s="14">
        <v>3</v>
      </c>
      <c r="H13" s="92">
        <f>IF(B$19=0,0,G13/B$19)</f>
        <v>0.11538461538461539</v>
      </c>
      <c r="I13" s="60">
        <v>2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0.27272727272727271</v>
      </c>
      <c r="E14" s="29" t="s">
        <v>71</v>
      </c>
      <c r="F14" s="26" t="s">
        <v>26</v>
      </c>
      <c r="G14" s="14">
        <v>2</v>
      </c>
      <c r="H14" s="92">
        <f>IF(B$19=0,0,G14/B$19)</f>
        <v>7.6923076923076927E-2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0.15853658536585366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27</v>
      </c>
      <c r="C16" s="8">
        <f>IF(B$3=0,0,B16/B$3)</f>
        <v>0.32926829268292684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-24.520000000000003</v>
      </c>
      <c r="P17" s="81">
        <v>10</v>
      </c>
      <c r="Q17" s="72">
        <v>-245.20000000000005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0.25925925925925924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0.31707317073170732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20</v>
      </c>
      <c r="C20" s="8">
        <f>IF(B$3=0,0,B20/B$3)</f>
        <v>0.24390243902439024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0.34615384615384615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17</v>
      </c>
      <c r="C22" s="8">
        <f>IF(B$19=0,0,B22/B$19)</f>
        <v>0.65384615384615385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9</v>
      </c>
      <c r="C23" s="8">
        <f>IF(B$19=0,0,B23/B$19)</f>
        <v>0.34615384615384615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10</v>
      </c>
      <c r="C25" s="8">
        <f>IF(B$19=0,0,B25/B$19)</f>
        <v>0.38461538461538464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9503.8461538461543</v>
      </c>
      <c r="C26" s="10">
        <v>247100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8989.4736842105267</v>
      </c>
      <c r="C27" s="100">
        <v>170800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10900</v>
      </c>
      <c r="C28" s="100">
        <v>76300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-10365</v>
      </c>
      <c r="C29" s="100">
        <v>-207300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0.11538461538461539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2"/>
        <v>0.23076923076923078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0.11538461538461539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0.15384615384615385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0.11538461538461539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7.6923076923076927E-2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7.6923076923076927E-2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7.6923076923076927E-2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5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4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3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6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2020-06-08T05:48:15Z</dcterms:modified>
</cp:coreProperties>
</file>