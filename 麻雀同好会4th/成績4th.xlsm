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87C580CE-5733-41CC-AFA7-346B7E89BDFC}" xr6:coauthVersionLast="44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6" r:id="rId6"/>
    <sheet name="れんたろう" sheetId="6248" r:id="rId7"/>
    <sheet name="ともき" sheetId="6250" r:id="rId8"/>
    <sheet name="だいち" sheetId="6252" r:id="rId9"/>
    <sheet name="りくと" sheetId="6254" r:id="rId10"/>
    <sheet name="まっつん" sheetId="6256" r:id="rId11"/>
    <sheet name="たかの" sheetId="6258" r:id="rId12"/>
    <sheet name="のり" sheetId="6260" r:id="rId13"/>
    <sheet name="ただ" sheetId="6262" r:id="rId14"/>
    <sheet name="ぱぱ" sheetId="6264" r:id="rId15"/>
    <sheet name="ぱぱ2" sheetId="6265" state="hidden" r:id="rId16"/>
    <sheet name="ただ2" sheetId="6263" state="hidden" r:id="rId17"/>
    <sheet name="のり2" sheetId="6261" state="hidden" r:id="rId18"/>
    <sheet name="たかの2" sheetId="6259" state="hidden" r:id="rId19"/>
    <sheet name="まっつん2" sheetId="6257" state="hidden" r:id="rId20"/>
    <sheet name="りくと2" sheetId="6255" state="hidden" r:id="rId21"/>
    <sheet name="だいち2" sheetId="6253" state="hidden" r:id="rId22"/>
    <sheet name="ともき2" sheetId="6251" state="hidden" r:id="rId23"/>
    <sheet name="れんたろう2" sheetId="6249" state="hidden" r:id="rId24"/>
    <sheet name="全体2" sheetId="6247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258" l="1"/>
  <c r="O19" i="6262"/>
  <c r="O20" i="6248" l="1"/>
  <c r="O16" i="6260"/>
  <c r="O15" i="6264" l="1"/>
  <c r="O16" i="6264"/>
  <c r="C34" i="6264"/>
  <c r="B29" i="6264"/>
  <c r="C20" i="6264"/>
  <c r="B19" i="6264"/>
  <c r="H7" i="6264" s="1"/>
  <c r="C18" i="6264"/>
  <c r="B18" i="6264"/>
  <c r="B17" i="6264"/>
  <c r="C17" i="6264" s="1"/>
  <c r="C16" i="6264"/>
  <c r="C15" i="6264"/>
  <c r="C14" i="6264"/>
  <c r="O12" i="6264"/>
  <c r="B12" i="6264"/>
  <c r="O11" i="6264"/>
  <c r="B11" i="6264"/>
  <c r="O10" i="6264"/>
  <c r="B10" i="6264"/>
  <c r="C9" i="6264"/>
  <c r="C8" i="6264"/>
  <c r="O7" i="6264"/>
  <c r="C7" i="6264"/>
  <c r="O6" i="6264"/>
  <c r="B6" i="6264"/>
  <c r="O5" i="6264"/>
  <c r="B5" i="6264"/>
  <c r="O4" i="6264"/>
  <c r="O3" i="6264"/>
  <c r="O2" i="6264"/>
  <c r="O21" i="6252"/>
  <c r="O17" i="6248"/>
  <c r="O18" i="6246"/>
  <c r="B13" i="6264" l="1"/>
  <c r="H5" i="6264"/>
  <c r="H10" i="6264"/>
  <c r="H36" i="6264"/>
  <c r="H2" i="6264"/>
  <c r="H6" i="6264"/>
  <c r="H9" i="6264"/>
  <c r="H17" i="6264"/>
  <c r="H19" i="6264"/>
  <c r="H12" i="6264"/>
  <c r="B27" i="6264"/>
  <c r="C19" i="6264"/>
  <c r="H38" i="6264"/>
  <c r="H11" i="6264"/>
  <c r="C24" i="6264"/>
  <c r="H4" i="6264"/>
  <c r="H15" i="6264"/>
  <c r="H33" i="6264"/>
  <c r="H44" i="6264"/>
  <c r="H8" i="6264"/>
  <c r="H18" i="6264"/>
  <c r="H20" i="6264"/>
  <c r="H21" i="6264"/>
  <c r="C21" i="6264"/>
  <c r="H3" i="6264"/>
  <c r="H16" i="6264"/>
  <c r="C25" i="6264"/>
  <c r="H40" i="6264"/>
  <c r="C23" i="6264"/>
  <c r="H31" i="6264"/>
  <c r="H37" i="6264"/>
  <c r="H48" i="6264"/>
  <c r="H41" i="6264"/>
  <c r="H45" i="6264"/>
  <c r="H49" i="6264"/>
  <c r="H42" i="6264"/>
  <c r="H46" i="6264"/>
  <c r="H51" i="6264"/>
  <c r="C22" i="6264"/>
  <c r="B26" i="6264"/>
  <c r="H39" i="6264"/>
  <c r="H43" i="6264"/>
  <c r="H47" i="6264"/>
  <c r="H52" i="6264"/>
  <c r="B28" i="6264"/>
  <c r="H23" i="6264"/>
  <c r="H25" i="6264"/>
  <c r="H13" i="6264"/>
  <c r="H28" i="6264"/>
  <c r="H29" i="6264"/>
  <c r="H32" i="6264"/>
  <c r="H35" i="6264"/>
  <c r="C37" i="6264"/>
  <c r="C39" i="6264"/>
  <c r="C41" i="6264"/>
  <c r="C43" i="6264"/>
  <c r="C45" i="6264"/>
  <c r="C47" i="6264"/>
  <c r="H50" i="6264"/>
  <c r="H22" i="6264"/>
  <c r="H24" i="6264"/>
  <c r="H26" i="6264"/>
  <c r="H27" i="6264"/>
  <c r="H14" i="6264"/>
  <c r="H30" i="6264"/>
  <c r="H34" i="6264"/>
  <c r="C36" i="6264"/>
  <c r="C38" i="6264"/>
  <c r="C40" i="6264"/>
  <c r="C42" i="6264"/>
  <c r="C44" i="6264"/>
  <c r="C46" i="6264"/>
  <c r="C48" i="6264"/>
  <c r="O16" i="6254" l="1"/>
  <c r="O16" i="6262"/>
  <c r="O16" i="6250"/>
  <c r="O19" i="6258"/>
  <c r="O20" i="6262" l="1"/>
  <c r="O15" i="6250"/>
  <c r="O18" i="6262"/>
  <c r="O16" i="6248"/>
  <c r="O15" i="6256" l="1"/>
  <c r="O17" i="6250"/>
  <c r="O20" i="6252"/>
  <c r="O19" i="6256"/>
  <c r="O17" i="6246"/>
  <c r="O17" i="6262"/>
  <c r="O15" i="6262"/>
  <c r="C34" i="6262"/>
  <c r="B29" i="6262"/>
  <c r="C20" i="6262"/>
  <c r="B19" i="6262"/>
  <c r="H4" i="6262" s="1"/>
  <c r="B18" i="6262"/>
  <c r="C18" i="6262" s="1"/>
  <c r="B17" i="6262"/>
  <c r="C17" i="6262" s="1"/>
  <c r="C16" i="6262"/>
  <c r="C15" i="6262"/>
  <c r="C14" i="6262"/>
  <c r="O12" i="6262"/>
  <c r="B12" i="6262"/>
  <c r="O11" i="6262"/>
  <c r="B11" i="6262"/>
  <c r="O10" i="6262"/>
  <c r="B10" i="6262"/>
  <c r="C9" i="6262"/>
  <c r="C8" i="6262"/>
  <c r="O7" i="6262"/>
  <c r="C7" i="6262"/>
  <c r="O6" i="6262"/>
  <c r="B6" i="6262"/>
  <c r="O5" i="6262"/>
  <c r="B5" i="6262"/>
  <c r="O4" i="6262"/>
  <c r="O3" i="6262"/>
  <c r="O2" i="6262"/>
  <c r="B13" i="6262" l="1"/>
  <c r="H23" i="6262"/>
  <c r="H9" i="6262"/>
  <c r="C22" i="6262"/>
  <c r="B26" i="6262"/>
  <c r="H39" i="6262"/>
  <c r="H43" i="6262"/>
  <c r="H47" i="6262"/>
  <c r="H52" i="6262"/>
  <c r="H11" i="6262"/>
  <c r="H6" i="6262"/>
  <c r="H12" i="6262"/>
  <c r="H20" i="6262"/>
  <c r="H21" i="6262"/>
  <c r="H15" i="6262"/>
  <c r="B27" i="6262"/>
  <c r="C19" i="6262"/>
  <c r="C23" i="6262"/>
  <c r="H36" i="6262"/>
  <c r="H40" i="6262"/>
  <c r="H44" i="6262"/>
  <c r="H48" i="6262"/>
  <c r="H7" i="6262"/>
  <c r="H19" i="6262"/>
  <c r="C24" i="6262"/>
  <c r="H18" i="6262"/>
  <c r="H37" i="6262"/>
  <c r="H41" i="6262"/>
  <c r="H45" i="6262"/>
  <c r="H49" i="6262"/>
  <c r="H5" i="6262"/>
  <c r="H2" i="6262"/>
  <c r="H10" i="6262"/>
  <c r="H3" i="6262"/>
  <c r="H17" i="6262"/>
  <c r="H22" i="6262"/>
  <c r="H24" i="6262"/>
  <c r="C21" i="6262"/>
  <c r="C25" i="6262"/>
  <c r="H33" i="6262"/>
  <c r="H38" i="6262"/>
  <c r="H42" i="6262"/>
  <c r="H46" i="6262"/>
  <c r="H51" i="6262"/>
  <c r="B28" i="6262"/>
  <c r="H25" i="6262"/>
  <c r="H26" i="6262"/>
  <c r="H14" i="6262"/>
  <c r="H29" i="6262"/>
  <c r="H30" i="6262"/>
  <c r="H32" i="6262"/>
  <c r="H35" i="6262"/>
  <c r="C37" i="6262"/>
  <c r="C39" i="6262"/>
  <c r="C41" i="6262"/>
  <c r="C43" i="6262"/>
  <c r="C45" i="6262"/>
  <c r="C47" i="6262"/>
  <c r="H50" i="6262"/>
  <c r="H16" i="6262"/>
  <c r="H13" i="6262"/>
  <c r="H27" i="6262"/>
  <c r="H28" i="6262"/>
  <c r="H8" i="6262"/>
  <c r="H31" i="6262"/>
  <c r="H34" i="6262"/>
  <c r="C36" i="6262"/>
  <c r="C38" i="6262"/>
  <c r="C40" i="6262"/>
  <c r="C42" i="6262"/>
  <c r="C44" i="6262"/>
  <c r="C46" i="6262"/>
  <c r="C48" i="6262"/>
  <c r="O17" i="6252" l="1"/>
  <c r="O21" i="6258"/>
  <c r="O22" i="6248"/>
  <c r="O17" i="6258"/>
  <c r="O19" i="6252" l="1"/>
  <c r="O18" i="6254"/>
  <c r="O21" i="6248"/>
  <c r="O19" i="6248"/>
  <c r="O15" i="6254"/>
  <c r="O17" i="6256"/>
  <c r="O17" i="6260" l="1"/>
  <c r="O19" i="6260"/>
  <c r="O21" i="6256"/>
  <c r="O20" i="6256"/>
  <c r="O15" i="6252"/>
  <c r="O18" i="6252"/>
  <c r="O18" i="6258"/>
  <c r="O15" i="6260"/>
  <c r="O18" i="6260"/>
  <c r="C34" i="6260"/>
  <c r="B29" i="6260"/>
  <c r="C20" i="6260"/>
  <c r="B19" i="6260"/>
  <c r="H4" i="6260" s="1"/>
  <c r="B18" i="6260"/>
  <c r="C18" i="6260" s="1"/>
  <c r="B17" i="6260"/>
  <c r="C17" i="6260" s="1"/>
  <c r="C16" i="6260"/>
  <c r="C15" i="6260"/>
  <c r="C14" i="6260"/>
  <c r="O12" i="6260"/>
  <c r="B12" i="6260"/>
  <c r="O11" i="6260"/>
  <c r="B11" i="6260"/>
  <c r="O10" i="6260"/>
  <c r="B10" i="6260"/>
  <c r="C9" i="6260"/>
  <c r="C8" i="6260"/>
  <c r="O7" i="6260"/>
  <c r="C7" i="6260"/>
  <c r="O6" i="6260"/>
  <c r="B6" i="6260"/>
  <c r="O5" i="6260"/>
  <c r="B5" i="6260"/>
  <c r="O4" i="6260"/>
  <c r="O3" i="6260"/>
  <c r="O2" i="6260"/>
  <c r="O19" i="6254"/>
  <c r="O21" i="6246"/>
  <c r="O20" i="6258"/>
  <c r="O15" i="6258"/>
  <c r="C34" i="6258"/>
  <c r="B29" i="6258"/>
  <c r="C20" i="6258"/>
  <c r="B19" i="6258"/>
  <c r="H52" i="6258" s="1"/>
  <c r="B18" i="6258"/>
  <c r="B28" i="6258" s="1"/>
  <c r="B17" i="6258"/>
  <c r="C17" i="6258" s="1"/>
  <c r="C16" i="6258"/>
  <c r="C15" i="6258"/>
  <c r="C14" i="6258"/>
  <c r="O12" i="6258"/>
  <c r="B12" i="6258"/>
  <c r="O11" i="6258"/>
  <c r="B11" i="6258"/>
  <c r="O10" i="6258"/>
  <c r="B10" i="6258"/>
  <c r="C9" i="6258"/>
  <c r="C8" i="6258"/>
  <c r="O7" i="6258"/>
  <c r="C7" i="6258"/>
  <c r="O6" i="6258"/>
  <c r="B6" i="6258"/>
  <c r="O5" i="6258"/>
  <c r="B5" i="6258"/>
  <c r="O4" i="6258"/>
  <c r="O3" i="6258"/>
  <c r="O2" i="6258"/>
  <c r="O18" i="6256"/>
  <c r="O16" i="6256"/>
  <c r="C34" i="6256"/>
  <c r="B29" i="6256"/>
  <c r="C20" i="6256"/>
  <c r="B19" i="6256"/>
  <c r="H52" i="6256" s="1"/>
  <c r="B18" i="6256"/>
  <c r="B28" i="6256" s="1"/>
  <c r="B17" i="6256"/>
  <c r="C17" i="6256" s="1"/>
  <c r="C16" i="6256"/>
  <c r="C15" i="6256"/>
  <c r="C14" i="6256"/>
  <c r="O12" i="6256"/>
  <c r="B12" i="6256"/>
  <c r="O11" i="6256"/>
  <c r="B11" i="6256"/>
  <c r="O10" i="6256"/>
  <c r="B10" i="6256"/>
  <c r="C9" i="6256"/>
  <c r="C8" i="6256"/>
  <c r="O7" i="6256"/>
  <c r="C7" i="6256"/>
  <c r="O6" i="6256"/>
  <c r="B6" i="6256"/>
  <c r="O5" i="6256"/>
  <c r="B5" i="6256"/>
  <c r="O4" i="6256"/>
  <c r="O3" i="6256"/>
  <c r="O2" i="6256"/>
  <c r="O16" i="6246"/>
  <c r="O20" i="6254"/>
  <c r="O17" i="6254"/>
  <c r="C34" i="6254"/>
  <c r="B29" i="6254"/>
  <c r="C20" i="6254"/>
  <c r="B19" i="6254"/>
  <c r="H52" i="6254" s="1"/>
  <c r="B18" i="6254"/>
  <c r="B28" i="6254" s="1"/>
  <c r="B17" i="6254"/>
  <c r="C17" i="6254" s="1"/>
  <c r="C16" i="6254"/>
  <c r="C15" i="6254"/>
  <c r="C14" i="6254"/>
  <c r="O12" i="6254"/>
  <c r="B12" i="6254"/>
  <c r="O11" i="6254"/>
  <c r="B11" i="6254"/>
  <c r="O10" i="6254"/>
  <c r="B10" i="6254"/>
  <c r="C9" i="6254"/>
  <c r="C8" i="6254"/>
  <c r="O7" i="6254"/>
  <c r="C7" i="6254"/>
  <c r="O6" i="6254"/>
  <c r="B6" i="6254"/>
  <c r="O5" i="6254"/>
  <c r="B5" i="6254"/>
  <c r="O4" i="6254"/>
  <c r="O3" i="6254"/>
  <c r="O2" i="6254"/>
  <c r="O22" i="6246"/>
  <c r="O19" i="6246"/>
  <c r="O16" i="6252"/>
  <c r="O22" i="6252"/>
  <c r="C34" i="6252"/>
  <c r="B29" i="6252"/>
  <c r="C20" i="6252"/>
  <c r="B19" i="6252"/>
  <c r="H4" i="6252" s="1"/>
  <c r="B18" i="6252"/>
  <c r="C18" i="6252" s="1"/>
  <c r="B17" i="6252"/>
  <c r="C17" i="6252" s="1"/>
  <c r="C16" i="6252"/>
  <c r="C15" i="6252"/>
  <c r="C14" i="6252"/>
  <c r="O12" i="6252"/>
  <c r="B12" i="6252"/>
  <c r="O11" i="6252"/>
  <c r="B11" i="6252"/>
  <c r="O10" i="6252"/>
  <c r="B10" i="6252"/>
  <c r="C9" i="6252"/>
  <c r="C8" i="6252"/>
  <c r="O7" i="6252"/>
  <c r="C7" i="6252"/>
  <c r="O6" i="6252"/>
  <c r="B6" i="6252"/>
  <c r="O5" i="6252"/>
  <c r="B5" i="6252"/>
  <c r="O4" i="6252"/>
  <c r="O3" i="6252"/>
  <c r="O2" i="6252"/>
  <c r="O18" i="6250"/>
  <c r="O19" i="6250"/>
  <c r="C34" i="6250"/>
  <c r="B29" i="6250"/>
  <c r="C20" i="6250"/>
  <c r="B19" i="6250"/>
  <c r="H5" i="6250" s="1"/>
  <c r="B18" i="6250"/>
  <c r="C18" i="6250" s="1"/>
  <c r="B17" i="6250"/>
  <c r="C17" i="6250" s="1"/>
  <c r="C16" i="6250"/>
  <c r="C15" i="6250"/>
  <c r="C14" i="6250"/>
  <c r="O12" i="6250"/>
  <c r="B12" i="6250"/>
  <c r="O11" i="6250"/>
  <c r="B11" i="6250"/>
  <c r="O10" i="6250"/>
  <c r="B10" i="6250"/>
  <c r="C9" i="6250"/>
  <c r="C8" i="6250"/>
  <c r="O7" i="6250"/>
  <c r="C7" i="6250"/>
  <c r="O6" i="6250"/>
  <c r="B6" i="6250"/>
  <c r="O5" i="6250"/>
  <c r="B5" i="6250"/>
  <c r="O4" i="6250"/>
  <c r="O3" i="6250"/>
  <c r="O2" i="6250"/>
  <c r="O20" i="6246"/>
  <c r="O18" i="6248"/>
  <c r="O15" i="6248"/>
  <c r="C34" i="6248"/>
  <c r="B29" i="6248"/>
  <c r="C20" i="6248"/>
  <c r="B19" i="6248"/>
  <c r="H5" i="6248" s="1"/>
  <c r="B18" i="6248"/>
  <c r="C18" i="6248" s="1"/>
  <c r="B17" i="6248"/>
  <c r="C17" i="6248" s="1"/>
  <c r="C16" i="6248"/>
  <c r="C15" i="6248"/>
  <c r="C14" i="6248"/>
  <c r="O12" i="6248"/>
  <c r="B12" i="6248"/>
  <c r="O11" i="6248"/>
  <c r="B11" i="6248"/>
  <c r="O10" i="6248"/>
  <c r="B10" i="6248"/>
  <c r="C9" i="6248"/>
  <c r="C8" i="6248"/>
  <c r="O7" i="6248"/>
  <c r="C7" i="6248"/>
  <c r="O6" i="6248"/>
  <c r="B6" i="6248"/>
  <c r="O5" i="6248"/>
  <c r="B5" i="6248"/>
  <c r="O4" i="6248"/>
  <c r="O3" i="6248"/>
  <c r="O2" i="6248"/>
  <c r="O23" i="6246"/>
  <c r="O15" i="6246"/>
  <c r="C34" i="6246"/>
  <c r="B29" i="6246"/>
  <c r="C20" i="6246"/>
  <c r="B19" i="6246"/>
  <c r="H5" i="6246" s="1"/>
  <c r="B18" i="6246"/>
  <c r="C18" i="6246" s="1"/>
  <c r="B17" i="6246"/>
  <c r="C17" i="6246" s="1"/>
  <c r="C16" i="6246"/>
  <c r="C15" i="6246"/>
  <c r="C14" i="6246"/>
  <c r="O12" i="6246"/>
  <c r="B12" i="6246"/>
  <c r="O11" i="6246"/>
  <c r="B11" i="6246"/>
  <c r="O10" i="6246"/>
  <c r="B10" i="6246"/>
  <c r="C9" i="6246"/>
  <c r="C8" i="6246"/>
  <c r="O7" i="6246"/>
  <c r="C7" i="6246"/>
  <c r="O6" i="6246"/>
  <c r="B6" i="6246"/>
  <c r="O5" i="6246"/>
  <c r="B5" i="6246"/>
  <c r="O4" i="6246"/>
  <c r="O3" i="6246"/>
  <c r="O2" i="6246"/>
  <c r="H2" i="6260" l="1"/>
  <c r="H17" i="6260"/>
  <c r="B13" i="6258"/>
  <c r="B13" i="6250"/>
  <c r="H8" i="6258"/>
  <c r="B13" i="6248"/>
  <c r="C18" i="6256"/>
  <c r="H10" i="6254"/>
  <c r="H5" i="6254"/>
  <c r="H7" i="6254"/>
  <c r="H19" i="6254"/>
  <c r="C18" i="6254"/>
  <c r="H3" i="6254"/>
  <c r="H23" i="6254"/>
  <c r="H2" i="6254"/>
  <c r="H8" i="6254"/>
  <c r="H21" i="6254"/>
  <c r="B13" i="6254"/>
  <c r="C25" i="6254"/>
  <c r="H24" i="6254"/>
  <c r="C19" i="6254"/>
  <c r="H11" i="6254"/>
  <c r="H6" i="6254"/>
  <c r="H12" i="6254"/>
  <c r="H20" i="6254"/>
  <c r="H22" i="6254"/>
  <c r="H13" i="6254"/>
  <c r="C21" i="6254"/>
  <c r="C23" i="6254"/>
  <c r="H17" i="6248"/>
  <c r="H11" i="6248"/>
  <c r="H7" i="6250"/>
  <c r="H10" i="6250"/>
  <c r="H20" i="6250"/>
  <c r="B13" i="6252"/>
  <c r="H21" i="6260"/>
  <c r="H14" i="6260"/>
  <c r="H48" i="6260"/>
  <c r="C21" i="6260"/>
  <c r="H36" i="6260"/>
  <c r="H7" i="6260"/>
  <c r="H15" i="6260"/>
  <c r="H16" i="6260"/>
  <c r="H18" i="6260"/>
  <c r="H19" i="6260"/>
  <c r="B27" i="6260"/>
  <c r="C19" i="6260"/>
  <c r="H40" i="6260"/>
  <c r="H6" i="6260"/>
  <c r="H20" i="6260"/>
  <c r="C25" i="6260"/>
  <c r="H3" i="6260"/>
  <c r="H12" i="6260"/>
  <c r="H33" i="6260"/>
  <c r="H44" i="6260"/>
  <c r="B13" i="6256"/>
  <c r="H9" i="6256"/>
  <c r="H25" i="6256"/>
  <c r="B13" i="6260"/>
  <c r="C23" i="6260"/>
  <c r="H42" i="6260"/>
  <c r="H51" i="6260"/>
  <c r="H9" i="6260"/>
  <c r="H5" i="6260"/>
  <c r="H8" i="6260"/>
  <c r="H38" i="6260"/>
  <c r="H46" i="6260"/>
  <c r="C22" i="6260"/>
  <c r="B26" i="6260"/>
  <c r="H39" i="6260"/>
  <c r="H43" i="6260"/>
  <c r="H47" i="6260"/>
  <c r="H52" i="6260"/>
  <c r="H13" i="6260"/>
  <c r="C24" i="6260"/>
  <c r="H31" i="6260"/>
  <c r="H37" i="6260"/>
  <c r="H41" i="6260"/>
  <c r="H45" i="6260"/>
  <c r="H49" i="6260"/>
  <c r="H18" i="6252"/>
  <c r="B28" i="6260"/>
  <c r="H23" i="6260"/>
  <c r="H25" i="6260"/>
  <c r="H10" i="6260"/>
  <c r="H28" i="6260"/>
  <c r="H29" i="6260"/>
  <c r="H32" i="6260"/>
  <c r="H35" i="6260"/>
  <c r="C37" i="6260"/>
  <c r="C39" i="6260"/>
  <c r="C41" i="6260"/>
  <c r="C43" i="6260"/>
  <c r="C45" i="6260"/>
  <c r="C47" i="6260"/>
  <c r="H50" i="6260"/>
  <c r="H22" i="6260"/>
  <c r="H24" i="6260"/>
  <c r="H26" i="6260"/>
  <c r="H27" i="6260"/>
  <c r="H11" i="6260"/>
  <c r="H30" i="6260"/>
  <c r="H34" i="6260"/>
  <c r="C36" i="6260"/>
  <c r="C38" i="6260"/>
  <c r="C40" i="6260"/>
  <c r="C42" i="6260"/>
  <c r="C44" i="6260"/>
  <c r="C46" i="6260"/>
  <c r="C48" i="6260"/>
  <c r="H6" i="6258"/>
  <c r="H20" i="6258"/>
  <c r="H11" i="6258"/>
  <c r="H19" i="6258"/>
  <c r="H26" i="6258"/>
  <c r="C18" i="6258"/>
  <c r="H15" i="6258"/>
  <c r="H18" i="6258"/>
  <c r="H16" i="6258"/>
  <c r="H7" i="6258"/>
  <c r="H24" i="6258"/>
  <c r="H25" i="6258"/>
  <c r="H14" i="6258"/>
  <c r="C19" i="6258"/>
  <c r="H5" i="6258"/>
  <c r="H3" i="6258"/>
  <c r="H13" i="6258"/>
  <c r="H2" i="6258"/>
  <c r="H27" i="6258"/>
  <c r="H28" i="6258"/>
  <c r="H21" i="6258"/>
  <c r="H22" i="6258"/>
  <c r="H30" i="6258"/>
  <c r="H33" i="6258"/>
  <c r="H36" i="6258"/>
  <c r="C37" i="6258"/>
  <c r="C39" i="6258"/>
  <c r="C41" i="6258"/>
  <c r="C43" i="6258"/>
  <c r="C45" i="6258"/>
  <c r="C47" i="6258"/>
  <c r="H50" i="6258"/>
  <c r="C21" i="6258"/>
  <c r="C23" i="6258"/>
  <c r="C25" i="6258"/>
  <c r="B27" i="6258"/>
  <c r="H34" i="6258"/>
  <c r="H37" i="6258"/>
  <c r="H39" i="6258"/>
  <c r="H41" i="6258"/>
  <c r="H42" i="6258"/>
  <c r="H44" i="6258"/>
  <c r="H46" i="6258"/>
  <c r="H48" i="6258"/>
  <c r="H51" i="6258"/>
  <c r="H12" i="6258"/>
  <c r="H9" i="6258"/>
  <c r="H17" i="6258"/>
  <c r="H29" i="6258"/>
  <c r="H10" i="6258"/>
  <c r="H31" i="6258"/>
  <c r="H35" i="6258"/>
  <c r="C36" i="6258"/>
  <c r="C38" i="6258"/>
  <c r="C40" i="6258"/>
  <c r="C42" i="6258"/>
  <c r="C44" i="6258"/>
  <c r="C46" i="6258"/>
  <c r="C48" i="6258"/>
  <c r="H4" i="6258"/>
  <c r="C22" i="6258"/>
  <c r="C24" i="6258"/>
  <c r="B26" i="6258"/>
  <c r="H32" i="6258"/>
  <c r="H38" i="6258"/>
  <c r="H40" i="6258"/>
  <c r="H23" i="6258"/>
  <c r="H43" i="6258"/>
  <c r="H45" i="6258"/>
  <c r="H47" i="6258"/>
  <c r="H49" i="6258"/>
  <c r="H10" i="6256"/>
  <c r="H7" i="6256"/>
  <c r="H12" i="6256"/>
  <c r="H24" i="6256"/>
  <c r="H6" i="6256"/>
  <c r="H23" i="6256"/>
  <c r="H14" i="6256"/>
  <c r="C19" i="6256"/>
  <c r="H4" i="6256"/>
  <c r="H3" i="6256"/>
  <c r="H11" i="6256"/>
  <c r="H2" i="6256"/>
  <c r="H28" i="6256"/>
  <c r="H29" i="6256"/>
  <c r="H18" i="6256"/>
  <c r="H31" i="6256"/>
  <c r="H32" i="6256"/>
  <c r="H33" i="6256"/>
  <c r="H36" i="6256"/>
  <c r="C37" i="6256"/>
  <c r="C39" i="6256"/>
  <c r="C41" i="6256"/>
  <c r="C43" i="6256"/>
  <c r="C45" i="6256"/>
  <c r="C47" i="6256"/>
  <c r="H51" i="6256"/>
  <c r="H26" i="6256"/>
  <c r="H15" i="6256"/>
  <c r="C21" i="6256"/>
  <c r="C23" i="6256"/>
  <c r="C25" i="6256"/>
  <c r="B27" i="6256"/>
  <c r="H34" i="6256"/>
  <c r="H37" i="6256"/>
  <c r="H39" i="6256"/>
  <c r="H41" i="6256"/>
  <c r="H43" i="6256"/>
  <c r="H45" i="6256"/>
  <c r="H47" i="6256"/>
  <c r="H49" i="6256"/>
  <c r="H22" i="6256"/>
  <c r="H17" i="6256"/>
  <c r="H13" i="6256"/>
  <c r="H21" i="6256"/>
  <c r="H30" i="6256"/>
  <c r="H8" i="6256"/>
  <c r="H16" i="6256"/>
  <c r="H35" i="6256"/>
  <c r="C36" i="6256"/>
  <c r="C38" i="6256"/>
  <c r="C40" i="6256"/>
  <c r="C42" i="6256"/>
  <c r="C44" i="6256"/>
  <c r="C46" i="6256"/>
  <c r="C48" i="6256"/>
  <c r="H5" i="6256"/>
  <c r="H20" i="6256"/>
  <c r="H27" i="6256"/>
  <c r="C22" i="6256"/>
  <c r="C24" i="6256"/>
  <c r="B26" i="6256"/>
  <c r="H19" i="6256"/>
  <c r="H38" i="6256"/>
  <c r="H40" i="6256"/>
  <c r="H42" i="6256"/>
  <c r="H44" i="6256"/>
  <c r="H46" i="6256"/>
  <c r="H48" i="6256"/>
  <c r="H50" i="6256"/>
  <c r="H26" i="6254"/>
  <c r="H28" i="6254"/>
  <c r="H14" i="6254"/>
  <c r="H30" i="6254"/>
  <c r="H31" i="6254"/>
  <c r="H32" i="6254"/>
  <c r="H35" i="6254"/>
  <c r="C37" i="6254"/>
  <c r="C39" i="6254"/>
  <c r="C41" i="6254"/>
  <c r="C43" i="6254"/>
  <c r="C45" i="6254"/>
  <c r="C47" i="6254"/>
  <c r="H50" i="6254"/>
  <c r="B27" i="6254"/>
  <c r="H33" i="6254"/>
  <c r="H36" i="6254"/>
  <c r="H38" i="6254"/>
  <c r="H40" i="6254"/>
  <c r="H42" i="6254"/>
  <c r="H44" i="6254"/>
  <c r="H46" i="6254"/>
  <c r="H48" i="6254"/>
  <c r="H51" i="6254"/>
  <c r="H15" i="6254"/>
  <c r="H27" i="6254"/>
  <c r="H29" i="6254"/>
  <c r="H16" i="6254"/>
  <c r="H9" i="6254"/>
  <c r="H17" i="6254"/>
  <c r="H34" i="6254"/>
  <c r="C36" i="6254"/>
  <c r="C38" i="6254"/>
  <c r="C40" i="6254"/>
  <c r="C42" i="6254"/>
  <c r="C44" i="6254"/>
  <c r="C46" i="6254"/>
  <c r="C48" i="6254"/>
  <c r="H4" i="6254"/>
  <c r="H25" i="6254"/>
  <c r="C22" i="6254"/>
  <c r="C24" i="6254"/>
  <c r="B26" i="6254"/>
  <c r="H18" i="6254"/>
  <c r="H37" i="6254"/>
  <c r="H39" i="6254"/>
  <c r="H41" i="6254"/>
  <c r="H43" i="6254"/>
  <c r="H45" i="6254"/>
  <c r="H47" i="6254"/>
  <c r="H49" i="6254"/>
  <c r="H8" i="6252"/>
  <c r="C22" i="6252"/>
  <c r="B26" i="6252"/>
  <c r="H41" i="6252"/>
  <c r="H45" i="6252"/>
  <c r="H48" i="6252"/>
  <c r="H52" i="6252"/>
  <c r="H10" i="6252"/>
  <c r="H6" i="6252"/>
  <c r="H13" i="6252"/>
  <c r="H28" i="6252"/>
  <c r="H30" i="6252"/>
  <c r="H16" i="6252"/>
  <c r="B27" i="6252"/>
  <c r="C19" i="6252"/>
  <c r="C23" i="6252"/>
  <c r="H38" i="6252"/>
  <c r="H42" i="6252"/>
  <c r="H46" i="6252"/>
  <c r="H49" i="6252"/>
  <c r="H7" i="6252"/>
  <c r="H22" i="6252"/>
  <c r="C24" i="6252"/>
  <c r="H19" i="6252"/>
  <c r="H39" i="6252"/>
  <c r="H43" i="6252"/>
  <c r="H27" i="6252"/>
  <c r="H50" i="6252"/>
  <c r="H5" i="6252"/>
  <c r="H2" i="6252"/>
  <c r="H11" i="6252"/>
  <c r="H3" i="6252"/>
  <c r="H29" i="6252"/>
  <c r="H23" i="6252"/>
  <c r="H31" i="6252"/>
  <c r="C21" i="6252"/>
  <c r="C25" i="6252"/>
  <c r="H36" i="6252"/>
  <c r="H40" i="6252"/>
  <c r="H44" i="6252"/>
  <c r="H47" i="6252"/>
  <c r="H15" i="6252"/>
  <c r="B28" i="6252"/>
  <c r="H32" i="6252"/>
  <c r="H24" i="6252"/>
  <c r="H12" i="6252"/>
  <c r="H34" i="6252"/>
  <c r="H35" i="6252"/>
  <c r="H21" i="6252"/>
  <c r="H37" i="6252"/>
  <c r="C37" i="6252"/>
  <c r="C39" i="6252"/>
  <c r="C41" i="6252"/>
  <c r="C43" i="6252"/>
  <c r="C45" i="6252"/>
  <c r="C47" i="6252"/>
  <c r="H51" i="6252"/>
  <c r="H17" i="6252"/>
  <c r="H14" i="6252"/>
  <c r="H33" i="6252"/>
  <c r="H25" i="6252"/>
  <c r="H9" i="6252"/>
  <c r="H20" i="6252"/>
  <c r="H26" i="6252"/>
  <c r="C36" i="6252"/>
  <c r="C38" i="6252"/>
  <c r="C40" i="6252"/>
  <c r="C42" i="6252"/>
  <c r="C44" i="6252"/>
  <c r="C46" i="6252"/>
  <c r="C48" i="6252"/>
  <c r="H11" i="6246"/>
  <c r="H22" i="6246"/>
  <c r="H47" i="6246"/>
  <c r="H9" i="6246"/>
  <c r="H35" i="6246"/>
  <c r="H38" i="6246"/>
  <c r="H2" i="6246"/>
  <c r="H4" i="6246"/>
  <c r="H3" i="6246"/>
  <c r="C25" i="6246"/>
  <c r="H41" i="6246"/>
  <c r="C22" i="6250"/>
  <c r="B26" i="6250"/>
  <c r="H39" i="6250"/>
  <c r="H43" i="6250"/>
  <c r="H47" i="6250"/>
  <c r="H52" i="6250"/>
  <c r="H9" i="6250"/>
  <c r="H6" i="6250"/>
  <c r="H11" i="6250"/>
  <c r="H16" i="6250"/>
  <c r="H18" i="6250"/>
  <c r="H19" i="6250"/>
  <c r="B27" i="6250"/>
  <c r="C19" i="6250"/>
  <c r="C23" i="6250"/>
  <c r="H36" i="6250"/>
  <c r="H40" i="6250"/>
  <c r="H44" i="6250"/>
  <c r="H48" i="6250"/>
  <c r="H15" i="6250"/>
  <c r="C24" i="6250"/>
  <c r="H31" i="6250"/>
  <c r="H37" i="6250"/>
  <c r="H41" i="6250"/>
  <c r="H45" i="6250"/>
  <c r="H49" i="6250"/>
  <c r="H3" i="6250"/>
  <c r="H2" i="6250"/>
  <c r="H14" i="6250"/>
  <c r="H4" i="6250"/>
  <c r="H17" i="6250"/>
  <c r="H12" i="6250"/>
  <c r="H21" i="6250"/>
  <c r="C21" i="6250"/>
  <c r="C25" i="6250"/>
  <c r="H33" i="6250"/>
  <c r="H38" i="6250"/>
  <c r="H42" i="6250"/>
  <c r="H46" i="6250"/>
  <c r="H51" i="6250"/>
  <c r="B28" i="6250"/>
  <c r="H23" i="6250"/>
  <c r="H24" i="6250"/>
  <c r="H26" i="6250"/>
  <c r="H28" i="6250"/>
  <c r="H29" i="6250"/>
  <c r="H32" i="6250"/>
  <c r="H35" i="6250"/>
  <c r="C37" i="6250"/>
  <c r="C39" i="6250"/>
  <c r="C41" i="6250"/>
  <c r="C43" i="6250"/>
  <c r="C45" i="6250"/>
  <c r="C47" i="6250"/>
  <c r="H50" i="6250"/>
  <c r="H22" i="6250"/>
  <c r="H13" i="6250"/>
  <c r="H25" i="6250"/>
  <c r="H27" i="6250"/>
  <c r="H8" i="6250"/>
  <c r="H30" i="6250"/>
  <c r="H34" i="6250"/>
  <c r="C36" i="6250"/>
  <c r="C38" i="6250"/>
  <c r="C40" i="6250"/>
  <c r="C42" i="6250"/>
  <c r="C44" i="6250"/>
  <c r="C46" i="6250"/>
  <c r="C48" i="6250"/>
  <c r="H44" i="6246"/>
  <c r="H21" i="6246"/>
  <c r="C21" i="6246"/>
  <c r="H19" i="6246"/>
  <c r="C22" i="6248"/>
  <c r="B26" i="6248"/>
  <c r="H40" i="6248"/>
  <c r="H44" i="6248"/>
  <c r="H48" i="6248"/>
  <c r="H52" i="6248"/>
  <c r="H10" i="6248"/>
  <c r="H6" i="6248"/>
  <c r="H14" i="6248"/>
  <c r="H24" i="6248"/>
  <c r="H25" i="6248"/>
  <c r="H16" i="6248"/>
  <c r="B27" i="6248"/>
  <c r="C19" i="6248"/>
  <c r="C23" i="6248"/>
  <c r="H21" i="6248"/>
  <c r="H41" i="6248"/>
  <c r="H45" i="6248"/>
  <c r="H49" i="6248"/>
  <c r="H7" i="6248"/>
  <c r="H23" i="6248"/>
  <c r="C24" i="6248"/>
  <c r="H19" i="6248"/>
  <c r="H38" i="6248"/>
  <c r="H42" i="6248"/>
  <c r="H46" i="6248"/>
  <c r="H50" i="6248"/>
  <c r="H3" i="6248"/>
  <c r="H2" i="6248"/>
  <c r="H9" i="6248"/>
  <c r="H4" i="6248"/>
  <c r="H20" i="6248"/>
  <c r="H26" i="6248"/>
  <c r="H27" i="6248"/>
  <c r="C21" i="6248"/>
  <c r="C25" i="6248"/>
  <c r="H35" i="6248"/>
  <c r="H39" i="6248"/>
  <c r="H43" i="6248"/>
  <c r="H47" i="6248"/>
  <c r="H22" i="6248"/>
  <c r="B28" i="6248"/>
  <c r="H28" i="6248"/>
  <c r="H29" i="6248"/>
  <c r="H12" i="6248"/>
  <c r="H32" i="6248"/>
  <c r="H33" i="6248"/>
  <c r="H34" i="6248"/>
  <c r="H37" i="6248"/>
  <c r="C37" i="6248"/>
  <c r="C39" i="6248"/>
  <c r="C41" i="6248"/>
  <c r="C43" i="6248"/>
  <c r="C45" i="6248"/>
  <c r="C47" i="6248"/>
  <c r="H51" i="6248"/>
  <c r="H15" i="6248"/>
  <c r="H18" i="6248"/>
  <c r="H30" i="6248"/>
  <c r="H31" i="6248"/>
  <c r="H8" i="6248"/>
  <c r="H13" i="6248"/>
  <c r="H36" i="6248"/>
  <c r="C36" i="6248"/>
  <c r="C38" i="6248"/>
  <c r="C40" i="6248"/>
  <c r="C42" i="6248"/>
  <c r="C44" i="6248"/>
  <c r="C46" i="6248"/>
  <c r="C48" i="6248"/>
  <c r="B13" i="6246"/>
  <c r="B26" i="6246"/>
  <c r="H45" i="6246"/>
  <c r="H52" i="6246"/>
  <c r="H12" i="6246"/>
  <c r="H27" i="6246"/>
  <c r="H15" i="6246"/>
  <c r="B27" i="6246"/>
  <c r="C19" i="6246"/>
  <c r="C23" i="6246"/>
  <c r="H31" i="6246"/>
  <c r="H43" i="6246"/>
  <c r="H46" i="6246"/>
  <c r="H49" i="6246"/>
  <c r="H17" i="6246"/>
  <c r="C22" i="6246"/>
  <c r="H42" i="6246"/>
  <c r="H48" i="6246"/>
  <c r="H10" i="6246"/>
  <c r="H6" i="6246"/>
  <c r="H34" i="6246"/>
  <c r="H7" i="6246"/>
  <c r="H24" i="6246"/>
  <c r="C24" i="6246"/>
  <c r="H20" i="6246"/>
  <c r="H40" i="6246"/>
  <c r="H32" i="6246"/>
  <c r="H33" i="6246"/>
  <c r="H50" i="6246"/>
  <c r="B28" i="6246"/>
  <c r="H36" i="6246"/>
  <c r="H28" i="6246"/>
  <c r="H13" i="6246"/>
  <c r="H29" i="6246"/>
  <c r="H37" i="6246"/>
  <c r="H26" i="6246"/>
  <c r="H39" i="6246"/>
  <c r="C37" i="6246"/>
  <c r="C39" i="6246"/>
  <c r="C41" i="6246"/>
  <c r="C43" i="6246"/>
  <c r="C45" i="6246"/>
  <c r="C47" i="6246"/>
  <c r="H51" i="6246"/>
  <c r="H16" i="6246"/>
  <c r="H14" i="6246"/>
  <c r="H23" i="6246"/>
  <c r="H25" i="6246"/>
  <c r="H8" i="6246"/>
  <c r="H18" i="6246"/>
  <c r="H30" i="6246"/>
  <c r="C36" i="6246"/>
  <c r="C38" i="6246"/>
  <c r="C40" i="6246"/>
  <c r="C42" i="6246"/>
  <c r="C44" i="6246"/>
  <c r="C46" i="6246"/>
  <c r="C48" i="624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<sst xmlns="http://schemas.openxmlformats.org/spreadsheetml/2006/main" count="2720" uniqueCount="239">
  <si>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</si>
  <si>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</si>
  <si>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</si>
  <si>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</si>
  <si>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</si>
  <si>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</si>
  <si>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</si>
  <si>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</si>
  <si>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</si>
  <si>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</si>
  <si>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</si>
  <si>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</si>
  <si>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</si>
  <si>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</si>
  <si>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</si>
  <si>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</si>
  <si>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</si>
  <si>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</si>
  <si>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</si>
  <si>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</si>
  <si>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</si>
  <si>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</si>
  <si>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</si>
  <si>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</si>
  <si>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</si>
  <si>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</si>
  <si>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</si>
  <si>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</si>
  <si>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</si>
  <si>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</si>
  <si>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</si>
  <si>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</si>
  <si>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</si>
  <si>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</si>
  <si>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</si>
  <si>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</si>
  <si>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</si>
  <si>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</si>
  <si>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</si>
  <si>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</si>
  <si>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</si>
  <si>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</si>
  <si>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</si>
  <si>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</si>
  <si>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</si>
  <si>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</si>
  <si>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</si>
  <si>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</si>
  <si>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</si>
  <si>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</si>
  <si>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</si>
  <si>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</si>
  <si>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</si>
  <si>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</si>
  <si>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</si>
  <si>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</si>
  <si>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</si>
  <si>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</si>
  <si>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</si>
  <si>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</si>
  <si>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</si>
  <si>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</si>
  <si>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</si>
  <si>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</si>
  <si>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</si>
  <si>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</si>
  <si>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</si>
  <si>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</si>
  <si>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</si>
  <si>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</si>
  <si>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</si>
  <si>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</si>
  <si>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</si>
  <si>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</si>
  <si>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</si>
  <si>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</si>
  <si>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</si>
  <si>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</si>
  <si>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</si>
  <si>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</si>
  <si>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</si>
  <si>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</si>
  <si>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</si>
  <si>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</si>
  <si>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</si>
  <si>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</si>
  <si>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</si>
  <si>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</si>
  <si>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</si>
  <si>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</si>
  <si>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</si>
  <si>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</si>
  <si>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</si>
  <si>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</si>
  <si>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</si>
  <si>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</si>
  <si>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</si>
  <si>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</si>
  <si>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</si>
  <si>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</si>
  <si>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</si>
  <si>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</si>
  <si>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</si>
  <si>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</si>
  <si>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</si>
  <si>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</si>
  <si>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</si>
  <si>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</si>
  <si>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</si>
  <si>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</si>
  <si>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</si>
  <si>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</si>
  <si>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</si>
  <si>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</si>
  <si>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</si>
  <si>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</si>
  <si>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</si>
  <si>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</si>
  <si>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</si>
  <si>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</si>
  <si>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</si>
  <si>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</si>
  <si>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</si>
  <si>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</si>
  <si>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</si>
  <si>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</si>
  <si>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</si>
  <si>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</si>
  <si>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</si>
  <si>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</si>
  <si>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</si>
  <si>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</si>
  <si>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</si>
  <si>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</si>
  <si>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</si>
  <si>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</si>
  <si>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</si>
  <si>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</si>
  <si>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</si>
  <si>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</si>
  <si>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</si>
  <si>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</si>
  <si>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</si>
  <si>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</si>
  <si>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</si>
  <si>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</si>
  <si>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</si>
  <si>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</si>
  <si>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</si>
  <si>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</si>
  <si>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</si>
  <si>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</si>
  <si>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</si>
  <si>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</si>
  <si>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</si>
  <si>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</si>
  <si>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</si>
  <si>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</si>
  <si>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</si>
  <si>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</si>
  <si>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</si>
  <si>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</si>
  <si>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</si>
  <si>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</si>
  <si>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</si>
  <si>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</si>
  <si>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</si>
  <si>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</si>
  <si>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</si>
  <si>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</si>
  <si>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</si>
  <si>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</si>
  <si>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</si>
  <si>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</si>
  <si>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</si>
  <si>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</si>
  <si>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</si>
  <si>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</si>
  <si>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</si>
  <si>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</si>
  <si>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</si>
  <si>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</si>
  <si>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</si>
  <si>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</si>
  <si>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</si>
  <si>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</si>
  <si>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</si>
  <si>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</si>
  <si>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</si>
  <si>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</si>
  <si>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</si>
  <si>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</si>
  <si>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</si>
  <si>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</si>
  <si>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</si>
  <si>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</si>
  <si>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</si>
  <si>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</si>
  <si>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</si>
  <si>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</si>
  <si>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</si>
  <si>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</si>
  <si>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</si>
  <si>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</si>
  <si>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</si>
  <si>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</si>
  <si>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</si>
  <si>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</si>
  <si>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</si>
  <si>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</si>
  <si>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</si>
  <si>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</si>
  <si>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</si>
  <si>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</si>
  <si>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</si>
  <si>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</si>
  <si>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</si>
  <si>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</si>
  <si>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</si>
  <si>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</si>
  <si>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</si>
  <si>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</si>
  <si>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</si>
  <si>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</si>
  <si>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</si>
  <si>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</si>
  <si>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</si>
  <si>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</si>
  <si>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</si>
  <si>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</si>
  <si>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</si>
  <si>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</si>
  <si>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</si>
  <si>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</si>
  <si>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</si>
  <si>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</si>
  <si>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hh</t>
    <phoneticPr fontId="1"/>
  </si>
  <si>
    <t>2020-07-14@0.xlsm</t>
  </si>
  <si>
    <t>2020-07-17@0.xlsm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</si>
</sst>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全体!$K$2:$K$335</c:f>
              <c:numCache>
                <c:formatCode>General</c:formatCode>
                <c:ptCount val="3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</c:numCache>
            </c:numRef>
          </c:xVal>
          <c:yVal>
            <c:numRef>
              <c:f>全体!$L$2:$L$335</c:f>
              <c:numCache>
                <c:formatCode>\+0.0;\-0.0;\±0</c:formatCode>
                <c:ptCount val="334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  <c:pt idx="328">
                  <c:v>-6.7000000000000144</c:v>
                </c:pt>
                <c:pt idx="329">
                  <c:v>23.899999999999988</c:v>
                </c:pt>
                <c:pt idx="330">
                  <c:v>-1.0658141036401503E-14</c:v>
                </c:pt>
                <c:pt idx="331">
                  <c:v>-20.900000000000009</c:v>
                </c:pt>
                <c:pt idx="332">
                  <c:v>3.4999999999999893</c:v>
                </c:pt>
                <c:pt idx="333">
                  <c:v>-1.0658141036401503E-14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0-4E99-9147-E0246C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-9.1743119266055047</c:v>
                </c:pt>
                <c:pt idx="1">
                  <c:v>-3.0581039755351682</c:v>
                </c:pt>
                <c:pt idx="2">
                  <c:v>-16.025641025641026</c:v>
                </c:pt>
                <c:pt idx="3">
                  <c:v>24.822695035460992</c:v>
                </c:pt>
                <c:pt idx="4">
                  <c:v>-53.639846743295017</c:v>
                </c:pt>
                <c:pt idx="5">
                  <c:v>72.463768115942031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CF3-B122-B5B10B9E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56</c:v>
                </c:pt>
                <c:pt idx="1">
                  <c:v>136</c:v>
                </c:pt>
                <c:pt idx="2">
                  <c:v>134</c:v>
                </c:pt>
                <c:pt idx="3">
                  <c:v>140</c:v>
                </c:pt>
                <c:pt idx="4">
                  <c:v>110</c:v>
                </c:pt>
                <c:pt idx="5">
                  <c:v>75</c:v>
                </c:pt>
                <c:pt idx="6">
                  <c:v>48</c:v>
                </c:pt>
                <c:pt idx="7">
                  <c:v>20</c:v>
                </c:pt>
                <c:pt idx="8">
                  <c:v>12</c:v>
                </c:pt>
                <c:pt idx="9">
                  <c:v>9</c:v>
                </c:pt>
                <c:pt idx="10">
                  <c:v>4</c:v>
                </c:pt>
                <c:pt idx="11">
                  <c:v>4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F-4B78-A755-2C512936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れんたろう!$L$2:$L$61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166-9D43-978BA487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-647.36842105263156</c:v>
                </c:pt>
                <c:pt idx="1">
                  <c:v>-1886.2068965517242</c:v>
                </c:pt>
                <c:pt idx="2">
                  <c:v>253.7037037037037</c:v>
                </c:pt>
                <c:pt idx="3">
                  <c:v>-1428.5714285714287</c:v>
                </c:pt>
                <c:pt idx="4">
                  <c:v>104.16666666666667</c:v>
                </c:pt>
                <c:pt idx="5">
                  <c:v>2685.7142857142858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8-44B8-84F1-33E51820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13</c:v>
                </c:pt>
                <c:pt idx="3">
                  <c:v>34</c:v>
                </c:pt>
                <c:pt idx="4">
                  <c:v>24</c:v>
                </c:pt>
                <c:pt idx="5">
                  <c:v>14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A-4154-84E0-548C0B715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6-482C-865A-C3CA2BE3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C-4BA2-A967-66E21275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8AE-A1FE-809B04B6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だいち!$L$2:$L$85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  <c:pt idx="82">
                  <c:v>719.70000000000016</c:v>
                </c:pt>
                <c:pt idx="83">
                  <c:v>716.20000000000016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F-4371-8094-C00CB321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1002.4096385542168</c:v>
                </c:pt>
                <c:pt idx="1">
                  <c:v>2412.1951219512193</c:v>
                </c:pt>
                <c:pt idx="2">
                  <c:v>1915.3846153846155</c:v>
                </c:pt>
                <c:pt idx="3">
                  <c:v>1202.8571428571429</c:v>
                </c:pt>
                <c:pt idx="4">
                  <c:v>-852.2388059701492</c:v>
                </c:pt>
                <c:pt idx="5">
                  <c:v>2454.7169811320755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731-8B57-DE923E09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29</c:v>
                </c:pt>
                <c:pt idx="2">
                  <c:v>36</c:v>
                </c:pt>
                <c:pt idx="3">
                  <c:v>39</c:v>
                </c:pt>
                <c:pt idx="4">
                  <c:v>33</c:v>
                </c:pt>
                <c:pt idx="5">
                  <c:v>18</c:v>
                </c:pt>
                <c:pt idx="6">
                  <c:v>13</c:v>
                </c:pt>
                <c:pt idx="7">
                  <c:v>7</c:v>
                </c:pt>
                <c:pt idx="8">
                  <c:v>5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546-BA4F-B2A94F2D6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りくと!$L$2:$L$38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6-4148-B5F3-D07B2C4D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-3900</c:v>
                </c:pt>
                <c:pt idx="1">
                  <c:v>1757.1428571428571</c:v>
                </c:pt>
                <c:pt idx="2">
                  <c:v>-1621.2121212121212</c:v>
                </c:pt>
                <c:pt idx="3">
                  <c:v>-1296.4285714285713</c:v>
                </c:pt>
                <c:pt idx="4">
                  <c:v>3508.3333333333335</c:v>
                </c:pt>
                <c:pt idx="5">
                  <c:v>-4070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6-466F-A3AB-E7526FC0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9</c:v>
                </c:pt>
                <c:pt idx="4">
                  <c:v>6</c:v>
                </c:pt>
                <c:pt idx="5">
                  <c:v>12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FF2-BF94-D0C6AE57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まっつん!$L$2:$L$59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  <c:pt idx="56">
                  <c:v>-92.099999999999966</c:v>
                </c:pt>
                <c:pt idx="57">
                  <c:v>-112.99999999999997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4-44F2-BA90-75CA606B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-341.07142857142856</c:v>
                </c:pt>
                <c:pt idx="1">
                  <c:v>-689.28571428571433</c:v>
                </c:pt>
                <c:pt idx="2">
                  <c:v>-616.07142857142856</c:v>
                </c:pt>
                <c:pt idx="3">
                  <c:v>1511.3207547169811</c:v>
                </c:pt>
                <c:pt idx="4">
                  <c:v>-945.83333333333337</c:v>
                </c:pt>
                <c:pt idx="5">
                  <c:v>-1168.421052631579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D91-87A3-AB1C0DED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24</c:v>
                </c:pt>
                <c:pt idx="2">
                  <c:v>32</c:v>
                </c:pt>
                <c:pt idx="3">
                  <c:v>21</c:v>
                </c:pt>
                <c:pt idx="4">
                  <c:v>13</c:v>
                </c:pt>
                <c:pt idx="5">
                  <c:v>8</c:v>
                </c:pt>
                <c:pt idx="6">
                  <c:v>9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6-46F6-AC59-CD506DE6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2-43AD-8CC2-9651D5EEC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-1715.1515151515152</c:v>
                </c:pt>
                <c:pt idx="1">
                  <c:v>-468.75</c:v>
                </c:pt>
                <c:pt idx="2">
                  <c:v>2675.8620689655172</c:v>
                </c:pt>
                <c:pt idx="3">
                  <c:v>-1565.3846153846155</c:v>
                </c:pt>
                <c:pt idx="4">
                  <c:v>2733.3333333333335</c:v>
                </c:pt>
                <c:pt idx="5">
                  <c:v>1489.4736842105262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B-4752-99BF-5D57C42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</c:v>
                </c:pt>
                <c:pt idx="1">
                  <c:v>20</c:v>
                </c:pt>
                <c:pt idx="2">
                  <c:v>15</c:v>
                </c:pt>
                <c:pt idx="3">
                  <c:v>10</c:v>
                </c:pt>
                <c:pt idx="4">
                  <c:v>15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4-4123-AD90-6CC11EEE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620-ADC8-F0E2F242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3744.4444444444443</c:v>
                </c:pt>
                <c:pt idx="1">
                  <c:v>11.111111111111111</c:v>
                </c:pt>
                <c:pt idx="2">
                  <c:v>-4000</c:v>
                </c:pt>
                <c:pt idx="3">
                  <c:v>-5014.2857142857147</c:v>
                </c:pt>
                <c:pt idx="4">
                  <c:v>6333.333333333333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7-4C48-B421-62DA7FE3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8-4F75-A94C-2AFC4C74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F-4EB5-920A-412F4BBBA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1162.1621621621621</c:v>
                </c:pt>
                <c:pt idx="1">
                  <c:v>-2131.5789473684213</c:v>
                </c:pt>
                <c:pt idx="2">
                  <c:v>-1444.4444444444443</c:v>
                </c:pt>
                <c:pt idx="3">
                  <c:v>475.75757575757575</c:v>
                </c:pt>
                <c:pt idx="4">
                  <c:v>-1712.5</c:v>
                </c:pt>
                <c:pt idx="5">
                  <c:v>-2360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F-4321-A7B1-DABE6256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7</c:v>
                </c:pt>
                <c:pt idx="1">
                  <c:v>22</c:v>
                </c:pt>
                <c:pt idx="2">
                  <c:v>13</c:v>
                </c:pt>
                <c:pt idx="3">
                  <c:v>18</c:v>
                </c:pt>
                <c:pt idx="4">
                  <c:v>12</c:v>
                </c:pt>
                <c:pt idx="5">
                  <c:v>8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9-47C2-AA65-5BE4908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8-4F69-9B50-38CE03A7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C68-85D6-20884966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4275-A79E-908D081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ただ2!$B$3:$B$41</c:f>
              <c:numCache>
                <c:formatCode>\+0.0;\-0.0;\±0</c:formatCode>
                <c:ptCount val="39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65814103640150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ただ2!$C$3:$C$41</c:f>
              <c:numCache>
                <c:formatCode>\+0.0;\-0.0;\±0</c:formatCode>
                <c:ptCount val="39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  <c:pt idx="9">
                  <c:v>-13.333333333333334</c:v>
                </c:pt>
                <c:pt idx="10">
                  <c:v>-11.28</c:v>
                </c:pt>
                <c:pt idx="11">
                  <c:v>-11</c:v>
                </c:pt>
                <c:pt idx="12">
                  <c:v>-9.0416666666666661</c:v>
                </c:pt>
                <c:pt idx="13">
                  <c:v>-4.8769230769230765</c:v>
                </c:pt>
                <c:pt idx="14">
                  <c:v>-3.0285714285714285</c:v>
                </c:pt>
                <c:pt idx="15">
                  <c:v>-4.38</c:v>
                </c:pt>
                <c:pt idx="16">
                  <c:v>-6.5500000000000007</c:v>
                </c:pt>
                <c:pt idx="17">
                  <c:v>-3.1117647058823539</c:v>
                </c:pt>
                <c:pt idx="18">
                  <c:v>-2.5444444444444452</c:v>
                </c:pt>
                <c:pt idx="19">
                  <c:v>-3.5578947368421057</c:v>
                </c:pt>
                <c:pt idx="20">
                  <c:v>-1.3350000000000004</c:v>
                </c:pt>
                <c:pt idx="21">
                  <c:v>-1.9619047619047625</c:v>
                </c:pt>
                <c:pt idx="22">
                  <c:v>-1.745454545454546</c:v>
                </c:pt>
                <c:pt idx="23">
                  <c:v>-3.6478260869565218</c:v>
                </c:pt>
                <c:pt idx="24">
                  <c:v>-2.8583333333333338</c:v>
                </c:pt>
                <c:pt idx="25">
                  <c:v>-1.9640000000000004</c:v>
                </c:pt>
                <c:pt idx="26">
                  <c:v>-2.2307692307692308</c:v>
                </c:pt>
                <c:pt idx="27">
                  <c:v>-2.3222222222222224</c:v>
                </c:pt>
                <c:pt idx="28">
                  <c:v>-3.7250000000000005</c:v>
                </c:pt>
                <c:pt idx="29">
                  <c:v>-4.8448275862068968</c:v>
                </c:pt>
                <c:pt idx="30">
                  <c:v>-6.0433333333333339</c:v>
                </c:pt>
                <c:pt idx="31">
                  <c:v>-5.8161290322580648</c:v>
                </c:pt>
                <c:pt idx="32">
                  <c:v>-6.2375000000000007</c:v>
                </c:pt>
                <c:pt idx="33">
                  <c:v>-7.3363636363636369</c:v>
                </c:pt>
                <c:pt idx="34">
                  <c:v>-7.0000000000000009</c:v>
                </c:pt>
                <c:pt idx="35">
                  <c:v>-5.9857142857142867</c:v>
                </c:pt>
                <c:pt idx="36">
                  <c:v>-5.9972222222222236</c:v>
                </c:pt>
                <c:pt idx="37">
                  <c:v>-6.0162162162162165</c:v>
                </c:pt>
                <c:pt idx="38">
                  <c:v>-5.215789473684211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200642953874325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ただ2!$D$3:$D$41</c:f>
              <c:numCache>
                <c:formatCode>0.00\ "位"</c:formatCode>
                <c:ptCount val="39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2.1052631578947367</c:v>
                </c:pt>
                <c:pt idx="20">
                  <c:v>2.0499999999999998</c:v>
                </c:pt>
                <c:pt idx="21">
                  <c:v>2.0952380952380953</c:v>
                </c:pt>
                <c:pt idx="22">
                  <c:v>2.0909090909090908</c:v>
                </c:pt>
                <c:pt idx="23">
                  <c:v>2.1304347826086958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2.0384615384615383</c:v>
                </c:pt>
                <c:pt idx="27">
                  <c:v>2.0370370370370372</c:v>
                </c:pt>
                <c:pt idx="28">
                  <c:v>2.0714285714285716</c:v>
                </c:pt>
                <c:pt idx="29">
                  <c:v>2.103448275862069</c:v>
                </c:pt>
                <c:pt idx="30">
                  <c:v>2.1333333333333333</c:v>
                </c:pt>
                <c:pt idx="31">
                  <c:v>2.129032258064516</c:v>
                </c:pt>
                <c:pt idx="32">
                  <c:v>2.15625</c:v>
                </c:pt>
                <c:pt idx="33">
                  <c:v>2.1818181818181817</c:v>
                </c:pt>
                <c:pt idx="34">
                  <c:v>2.1764705882352939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2.1052631578947367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ただ2!$E$3:$E$41</c:f>
              <c:numCache>
                <c:formatCode>0.0%</c:formatCode>
                <c:ptCount val="3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0.2857142857142857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ただ2!$F$3:$F$41</c:f>
              <c:numCache>
                <c:formatCode>0.0%</c:formatCode>
                <c:ptCount val="39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0.43333333333333335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ただ2!$G$3:$G$41</c:f>
              <c:numCache>
                <c:formatCode>0.0%</c:formatCode>
                <c:ptCount val="39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  <c:pt idx="9">
                  <c:v>0.31818181818181818</c:v>
                </c:pt>
                <c:pt idx="10">
                  <c:v>0.32876712328767121</c:v>
                </c:pt>
                <c:pt idx="11">
                  <c:v>0.31707317073170732</c:v>
                </c:pt>
                <c:pt idx="12">
                  <c:v>0.32222222222222224</c:v>
                </c:pt>
                <c:pt idx="13">
                  <c:v>0.34375</c:v>
                </c:pt>
                <c:pt idx="14">
                  <c:v>0.35238095238095241</c:v>
                </c:pt>
                <c:pt idx="15">
                  <c:v>0.33913043478260868</c:v>
                </c:pt>
                <c:pt idx="16">
                  <c:v>0.32258064516129031</c:v>
                </c:pt>
                <c:pt idx="17">
                  <c:v>0.328125</c:v>
                </c:pt>
                <c:pt idx="18">
                  <c:v>0.32846715328467152</c:v>
                </c:pt>
                <c:pt idx="19">
                  <c:v>0.32167832167832167</c:v>
                </c:pt>
                <c:pt idx="20">
                  <c:v>0.33774834437086093</c:v>
                </c:pt>
                <c:pt idx="21">
                  <c:v>0.34375</c:v>
                </c:pt>
                <c:pt idx="22">
                  <c:v>0.33720930232558138</c:v>
                </c:pt>
                <c:pt idx="23">
                  <c:v>0.32240437158469948</c:v>
                </c:pt>
                <c:pt idx="24">
                  <c:v>0.3193717277486911</c:v>
                </c:pt>
                <c:pt idx="25">
                  <c:v>0.32663316582914576</c:v>
                </c:pt>
                <c:pt idx="26">
                  <c:v>0.32038834951456313</c:v>
                </c:pt>
                <c:pt idx="27">
                  <c:v>0.31627906976744186</c:v>
                </c:pt>
                <c:pt idx="28">
                  <c:v>0.3108108108108108</c:v>
                </c:pt>
                <c:pt idx="29">
                  <c:v>0.30735930735930733</c:v>
                </c:pt>
                <c:pt idx="30">
                  <c:v>0.29957805907172996</c:v>
                </c:pt>
                <c:pt idx="31">
                  <c:v>0.29629629629629628</c:v>
                </c:pt>
                <c:pt idx="32">
                  <c:v>0.3</c:v>
                </c:pt>
                <c:pt idx="33">
                  <c:v>0.29615384615384616</c:v>
                </c:pt>
                <c:pt idx="34">
                  <c:v>0.29699248120300753</c:v>
                </c:pt>
                <c:pt idx="35">
                  <c:v>0.3014705882352941</c:v>
                </c:pt>
                <c:pt idx="36">
                  <c:v>0.30107526881720431</c:v>
                </c:pt>
                <c:pt idx="37">
                  <c:v>0.30313588850174217</c:v>
                </c:pt>
                <c:pt idx="38">
                  <c:v>0.30952380952380953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334855403348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ただ2!$H$3:$H$41</c:f>
              <c:numCache>
                <c:formatCode>0.0%</c:formatCode>
                <c:ptCount val="39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  <c:pt idx="9">
                  <c:v>0.24242424242424243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0.24444444444444444</c:v>
                </c:pt>
                <c:pt idx="13">
                  <c:v>0.22916666666666666</c:v>
                </c:pt>
                <c:pt idx="14">
                  <c:v>0.21904761904761905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0.2265625</c:v>
                </c:pt>
                <c:pt idx="18">
                  <c:v>0.21897810218978103</c:v>
                </c:pt>
                <c:pt idx="19">
                  <c:v>0.21678321678321677</c:v>
                </c:pt>
                <c:pt idx="20">
                  <c:v>0.20529801324503311</c:v>
                </c:pt>
                <c:pt idx="21">
                  <c:v>0.2</c:v>
                </c:pt>
                <c:pt idx="22">
                  <c:v>0.19767441860465115</c:v>
                </c:pt>
                <c:pt idx="23">
                  <c:v>0.19672131147540983</c:v>
                </c:pt>
                <c:pt idx="24">
                  <c:v>0.19895287958115182</c:v>
                </c:pt>
                <c:pt idx="25">
                  <c:v>0.19597989949748743</c:v>
                </c:pt>
                <c:pt idx="26">
                  <c:v>0.1941747572815534</c:v>
                </c:pt>
                <c:pt idx="27">
                  <c:v>0.18604651162790697</c:v>
                </c:pt>
                <c:pt idx="28">
                  <c:v>0.18468468468468469</c:v>
                </c:pt>
                <c:pt idx="29">
                  <c:v>0.18181818181818182</c:v>
                </c:pt>
                <c:pt idx="30">
                  <c:v>0.18143459915611815</c:v>
                </c:pt>
                <c:pt idx="31">
                  <c:v>0.17695473251028807</c:v>
                </c:pt>
                <c:pt idx="32">
                  <c:v>0.17599999999999999</c:v>
                </c:pt>
                <c:pt idx="33">
                  <c:v>0.18461538461538463</c:v>
                </c:pt>
                <c:pt idx="34">
                  <c:v>0.18045112781954886</c:v>
                </c:pt>
                <c:pt idx="35">
                  <c:v>0.17647058823529413</c:v>
                </c:pt>
                <c:pt idx="36">
                  <c:v>0.17921146953405018</c:v>
                </c:pt>
                <c:pt idx="37">
                  <c:v>0.17770034843205576</c:v>
                </c:pt>
                <c:pt idx="38">
                  <c:v>0.17687074829931973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3348554033485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ただ2!$I$3:$I$41</c:f>
              <c:numCache>
                <c:formatCode>0</c:formatCode>
                <c:ptCount val="39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  <c:pt idx="9">
                  <c:v>9809.5238095238092</c:v>
                </c:pt>
                <c:pt idx="10">
                  <c:v>9712.5</c:v>
                </c:pt>
                <c:pt idx="11">
                  <c:v>9503.8461538461543</c:v>
                </c:pt>
                <c:pt idx="12">
                  <c:v>8979.310344827587</c:v>
                </c:pt>
                <c:pt idx="13">
                  <c:v>9090.9090909090901</c:v>
                </c:pt>
                <c:pt idx="14">
                  <c:v>9108.1081081081084</c:v>
                </c:pt>
                <c:pt idx="15">
                  <c:v>9082.0512820512813</c:v>
                </c:pt>
                <c:pt idx="16">
                  <c:v>8987.5</c:v>
                </c:pt>
                <c:pt idx="17">
                  <c:v>9978.5714285714294</c:v>
                </c:pt>
                <c:pt idx="18">
                  <c:v>9720</c:v>
                </c:pt>
                <c:pt idx="19">
                  <c:v>9676.0869565217399</c:v>
                </c:pt>
                <c:pt idx="20">
                  <c:v>9411.7647058823532</c:v>
                </c:pt>
                <c:pt idx="21">
                  <c:v>9172.7272727272721</c:v>
                </c:pt>
                <c:pt idx="22">
                  <c:v>9141.3793103448279</c:v>
                </c:pt>
                <c:pt idx="23">
                  <c:v>9116.9491525423728</c:v>
                </c:pt>
                <c:pt idx="24">
                  <c:v>9042.622950819672</c:v>
                </c:pt>
                <c:pt idx="25">
                  <c:v>8783.0769230769238</c:v>
                </c:pt>
                <c:pt idx="26">
                  <c:v>8681.818181818182</c:v>
                </c:pt>
                <c:pt idx="27">
                  <c:v>8617.6470588235297</c:v>
                </c:pt>
                <c:pt idx="28">
                  <c:v>8523.188405797102</c:v>
                </c:pt>
                <c:pt idx="29">
                  <c:v>8347.8873239436616</c:v>
                </c:pt>
                <c:pt idx="30">
                  <c:v>8347.8873239436616</c:v>
                </c:pt>
                <c:pt idx="31">
                  <c:v>8343.0555555555547</c:v>
                </c:pt>
                <c:pt idx="32">
                  <c:v>8145.333333333333</c:v>
                </c:pt>
                <c:pt idx="33">
                  <c:v>8141.5584415584417</c:v>
                </c:pt>
                <c:pt idx="34">
                  <c:v>8153.164556962025</c:v>
                </c:pt>
                <c:pt idx="35">
                  <c:v>8186.5853658536589</c:v>
                </c:pt>
                <c:pt idx="36">
                  <c:v>8229.7619047619046</c:v>
                </c:pt>
                <c:pt idx="37">
                  <c:v>8110.3448275862065</c:v>
                </c:pt>
                <c:pt idx="38">
                  <c:v>8087.9120879120883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11.40235910878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ただ2!$J$3:$J$41</c:f>
              <c:numCache>
                <c:formatCode>0</c:formatCode>
                <c:ptCount val="39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  <c:pt idx="9">
                  <c:v>-11700</c:v>
                </c:pt>
                <c:pt idx="10">
                  <c:v>-11227.777777777777</c:v>
                </c:pt>
                <c:pt idx="11">
                  <c:v>-10365</c:v>
                </c:pt>
                <c:pt idx="12">
                  <c:v>-9904.545454545454</c:v>
                </c:pt>
                <c:pt idx="13">
                  <c:v>-9904.545454545454</c:v>
                </c:pt>
                <c:pt idx="14">
                  <c:v>-9821.7391304347821</c:v>
                </c:pt>
                <c:pt idx="15">
                  <c:v>-9836</c:v>
                </c:pt>
                <c:pt idx="16">
                  <c:v>-9542.8571428571431</c:v>
                </c:pt>
                <c:pt idx="17">
                  <c:v>-9479.310344827587</c:v>
                </c:pt>
                <c:pt idx="18">
                  <c:v>-9336.6666666666661</c:v>
                </c:pt>
                <c:pt idx="19">
                  <c:v>-9551.6129032258068</c:v>
                </c:pt>
                <c:pt idx="20">
                  <c:v>-9551.6129032258068</c:v>
                </c:pt>
                <c:pt idx="21">
                  <c:v>-9753.125</c:v>
                </c:pt>
                <c:pt idx="22">
                  <c:v>-9464.7058823529405</c:v>
                </c:pt>
                <c:pt idx="23">
                  <c:v>-9605.5555555555547</c:v>
                </c:pt>
                <c:pt idx="24">
                  <c:v>-9378.9473684210534</c:v>
                </c:pt>
                <c:pt idx="25">
                  <c:v>-9212.8205128205136</c:v>
                </c:pt>
                <c:pt idx="26">
                  <c:v>-9007.5</c:v>
                </c:pt>
                <c:pt idx="27">
                  <c:v>-9007.5</c:v>
                </c:pt>
                <c:pt idx="28">
                  <c:v>-8975.6097560975613</c:v>
                </c:pt>
                <c:pt idx="29">
                  <c:v>-9142.8571428571431</c:v>
                </c:pt>
                <c:pt idx="30">
                  <c:v>-9116.2790697674427</c:v>
                </c:pt>
                <c:pt idx="31">
                  <c:v>-9116.2790697674427</c:v>
                </c:pt>
                <c:pt idx="32">
                  <c:v>-9090.9090909090901</c:v>
                </c:pt>
                <c:pt idx="33">
                  <c:v>-9333.3333333333339</c:v>
                </c:pt>
                <c:pt idx="34">
                  <c:v>-9333.3333333333339</c:v>
                </c:pt>
                <c:pt idx="35">
                  <c:v>-9333.3333333333339</c:v>
                </c:pt>
                <c:pt idx="36">
                  <c:v>-9328</c:v>
                </c:pt>
                <c:pt idx="37">
                  <c:v>-9301.9607843137255</c:v>
                </c:pt>
                <c:pt idx="38">
                  <c:v>-9161.538461538461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78.16377171215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ただ2!$K$3:$K$41</c:f>
              <c:numCache>
                <c:formatCode>0.0%</c:formatCode>
                <c:ptCount val="3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ただ2!$L$3:$L$41</c:f>
              <c:numCache>
                <c:formatCode>0.0%</c:formatCode>
                <c:ptCount val="39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  <c:pt idx="9">
                  <c:v>0.16666666666666666</c:v>
                </c:pt>
                <c:pt idx="10">
                  <c:v>0.16438356164383561</c:v>
                </c:pt>
                <c:pt idx="11">
                  <c:v>0.15853658536585366</c:v>
                </c:pt>
                <c:pt idx="12">
                  <c:v>0.14444444444444443</c:v>
                </c:pt>
                <c:pt idx="13">
                  <c:v>0.17708333333333334</c:v>
                </c:pt>
                <c:pt idx="14">
                  <c:v>0.18095238095238095</c:v>
                </c:pt>
                <c:pt idx="15">
                  <c:v>0.17391304347826086</c:v>
                </c:pt>
                <c:pt idx="16">
                  <c:v>0.19354838709677419</c:v>
                </c:pt>
                <c:pt idx="17">
                  <c:v>0.1953125</c:v>
                </c:pt>
                <c:pt idx="18">
                  <c:v>0.18978102189781021</c:v>
                </c:pt>
                <c:pt idx="19">
                  <c:v>0.18181818181818182</c:v>
                </c:pt>
                <c:pt idx="20">
                  <c:v>0.19205298013245034</c:v>
                </c:pt>
                <c:pt idx="21">
                  <c:v>0.20624999999999999</c:v>
                </c:pt>
                <c:pt idx="22">
                  <c:v>0.19186046511627908</c:v>
                </c:pt>
                <c:pt idx="23">
                  <c:v>0.18579234972677597</c:v>
                </c:pt>
                <c:pt idx="24">
                  <c:v>0.18324607329842932</c:v>
                </c:pt>
                <c:pt idx="25">
                  <c:v>0.17587939698492464</c:v>
                </c:pt>
                <c:pt idx="26">
                  <c:v>0.17475728155339806</c:v>
                </c:pt>
                <c:pt idx="27">
                  <c:v>0.16744186046511628</c:v>
                </c:pt>
                <c:pt idx="28">
                  <c:v>0.16216216216216217</c:v>
                </c:pt>
                <c:pt idx="29">
                  <c:v>0.16883116883116883</c:v>
                </c:pt>
                <c:pt idx="30">
                  <c:v>0.16877637130801687</c:v>
                </c:pt>
                <c:pt idx="31">
                  <c:v>0.16460905349794239</c:v>
                </c:pt>
                <c:pt idx="32">
                  <c:v>0.16400000000000001</c:v>
                </c:pt>
                <c:pt idx="33">
                  <c:v>0.16923076923076924</c:v>
                </c:pt>
                <c:pt idx="34">
                  <c:v>0.16917293233082706</c:v>
                </c:pt>
                <c:pt idx="35">
                  <c:v>0.17279411764705882</c:v>
                </c:pt>
                <c:pt idx="36">
                  <c:v>0.17562724014336917</c:v>
                </c:pt>
                <c:pt idx="37">
                  <c:v>0.18118466898954705</c:v>
                </c:pt>
                <c:pt idx="38">
                  <c:v>0.17687074829931973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782343987823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ただ2!$M$3:$M$41</c:f>
              <c:numCache>
                <c:formatCode>0.0%</c:formatCode>
                <c:ptCount val="39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  <c:pt idx="9">
                  <c:v>0.34848484848484851</c:v>
                </c:pt>
                <c:pt idx="10">
                  <c:v>0.34246575342465752</c:v>
                </c:pt>
                <c:pt idx="11">
                  <c:v>0.32926829268292684</c:v>
                </c:pt>
                <c:pt idx="12">
                  <c:v>0.34444444444444444</c:v>
                </c:pt>
                <c:pt idx="13">
                  <c:v>0.33333333333333331</c:v>
                </c:pt>
                <c:pt idx="14">
                  <c:v>0.32380952380952382</c:v>
                </c:pt>
                <c:pt idx="15">
                  <c:v>0.31304347826086959</c:v>
                </c:pt>
                <c:pt idx="16">
                  <c:v>0.30645161290322581</c:v>
                </c:pt>
                <c:pt idx="17">
                  <c:v>0.3046875</c:v>
                </c:pt>
                <c:pt idx="18">
                  <c:v>0.29927007299270075</c:v>
                </c:pt>
                <c:pt idx="19">
                  <c:v>0.30769230769230771</c:v>
                </c:pt>
                <c:pt idx="20">
                  <c:v>0.31125827814569534</c:v>
                </c:pt>
                <c:pt idx="21">
                  <c:v>0.30625000000000002</c:v>
                </c:pt>
                <c:pt idx="22">
                  <c:v>0.31395348837209303</c:v>
                </c:pt>
                <c:pt idx="23">
                  <c:v>0.31693989071038253</c:v>
                </c:pt>
                <c:pt idx="24">
                  <c:v>0.31413612565445026</c:v>
                </c:pt>
                <c:pt idx="25">
                  <c:v>0.30150753768844218</c:v>
                </c:pt>
                <c:pt idx="26">
                  <c:v>0.30582524271844658</c:v>
                </c:pt>
                <c:pt idx="27">
                  <c:v>0.30232558139534882</c:v>
                </c:pt>
                <c:pt idx="28">
                  <c:v>0.30180180180180183</c:v>
                </c:pt>
                <c:pt idx="29">
                  <c:v>0.29870129870129869</c:v>
                </c:pt>
                <c:pt idx="30">
                  <c:v>0.29535864978902954</c:v>
                </c:pt>
                <c:pt idx="31">
                  <c:v>0.29218106995884774</c:v>
                </c:pt>
                <c:pt idx="32">
                  <c:v>0.29599999999999999</c:v>
                </c:pt>
                <c:pt idx="33">
                  <c:v>0.28846153846153844</c:v>
                </c:pt>
                <c:pt idx="34">
                  <c:v>0.28195488721804512</c:v>
                </c:pt>
                <c:pt idx="35">
                  <c:v>0.28308823529411764</c:v>
                </c:pt>
                <c:pt idx="36">
                  <c:v>0.28673835125448027</c:v>
                </c:pt>
                <c:pt idx="37">
                  <c:v>0.28222996515679444</c:v>
                </c:pt>
                <c:pt idx="38">
                  <c:v>0.27551020408163263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806697108066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ただ2!$N$3:$N$41</c:f>
              <c:numCache>
                <c:formatCode>0.0%</c:formatCode>
                <c:ptCount val="39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  <c:pt idx="9">
                  <c:v>0.72727272727272729</c:v>
                </c:pt>
                <c:pt idx="10">
                  <c:v>0.75</c:v>
                </c:pt>
                <c:pt idx="11">
                  <c:v>0.69230769230769229</c:v>
                </c:pt>
                <c:pt idx="12">
                  <c:v>0.69230769230769229</c:v>
                </c:pt>
                <c:pt idx="13">
                  <c:v>0.6470588235294118</c:v>
                </c:pt>
                <c:pt idx="14">
                  <c:v>0.68421052631578949</c:v>
                </c:pt>
                <c:pt idx="15">
                  <c:v>0.65</c:v>
                </c:pt>
                <c:pt idx="16">
                  <c:v>0.58333333333333337</c:v>
                </c:pt>
                <c:pt idx="17">
                  <c:v>0.6</c:v>
                </c:pt>
                <c:pt idx="18">
                  <c:v>0.57692307692307687</c:v>
                </c:pt>
                <c:pt idx="19">
                  <c:v>0.57692307692307687</c:v>
                </c:pt>
                <c:pt idx="20">
                  <c:v>0.62068965517241381</c:v>
                </c:pt>
                <c:pt idx="21">
                  <c:v>0.63636363636363635</c:v>
                </c:pt>
                <c:pt idx="22">
                  <c:v>0.63636363636363635</c:v>
                </c:pt>
                <c:pt idx="23">
                  <c:v>0.61764705882352944</c:v>
                </c:pt>
                <c:pt idx="24">
                  <c:v>0.62857142857142856</c:v>
                </c:pt>
                <c:pt idx="25">
                  <c:v>0.62857142857142856</c:v>
                </c:pt>
                <c:pt idx="26">
                  <c:v>0.61111111111111116</c:v>
                </c:pt>
                <c:pt idx="27">
                  <c:v>0.61111111111111116</c:v>
                </c:pt>
                <c:pt idx="28">
                  <c:v>0.61111111111111116</c:v>
                </c:pt>
                <c:pt idx="29">
                  <c:v>0.61538461538461542</c:v>
                </c:pt>
                <c:pt idx="30">
                  <c:v>0.6</c:v>
                </c:pt>
                <c:pt idx="31">
                  <c:v>0.6</c:v>
                </c:pt>
                <c:pt idx="32">
                  <c:v>0.6097560975609756</c:v>
                </c:pt>
                <c:pt idx="33">
                  <c:v>0.61363636363636365</c:v>
                </c:pt>
                <c:pt idx="34">
                  <c:v>0.62222222222222223</c:v>
                </c:pt>
                <c:pt idx="35">
                  <c:v>0.63829787234042556</c:v>
                </c:pt>
                <c:pt idx="36">
                  <c:v>0.63265306122448983</c:v>
                </c:pt>
                <c:pt idx="37">
                  <c:v>0.63461538461538458</c:v>
                </c:pt>
                <c:pt idx="38">
                  <c:v>0.63461538461538458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2000000000000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ただ2!$O$3:$O$41</c:f>
              <c:numCache>
                <c:formatCode>0.0%</c:formatCode>
                <c:ptCount val="39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  <c:pt idx="9">
                  <c:v>0.2608695652173913</c:v>
                </c:pt>
                <c:pt idx="10">
                  <c:v>0.24</c:v>
                </c:pt>
                <c:pt idx="11">
                  <c:v>0.25925925925925924</c:v>
                </c:pt>
                <c:pt idx="12">
                  <c:v>0.25806451612903225</c:v>
                </c:pt>
                <c:pt idx="13">
                  <c:v>0.28125</c:v>
                </c:pt>
                <c:pt idx="14">
                  <c:v>0.29411764705882354</c:v>
                </c:pt>
                <c:pt idx="15">
                  <c:v>0.30555555555555558</c:v>
                </c:pt>
                <c:pt idx="16">
                  <c:v>0.28947368421052633</c:v>
                </c:pt>
                <c:pt idx="17">
                  <c:v>0.28205128205128205</c:v>
                </c:pt>
                <c:pt idx="18">
                  <c:v>0.29268292682926828</c:v>
                </c:pt>
                <c:pt idx="19">
                  <c:v>0.29545454545454547</c:v>
                </c:pt>
                <c:pt idx="20">
                  <c:v>0.2978723404255319</c:v>
                </c:pt>
                <c:pt idx="21">
                  <c:v>0.2857142857142857</c:v>
                </c:pt>
                <c:pt idx="22">
                  <c:v>0.29629629629629628</c:v>
                </c:pt>
                <c:pt idx="23">
                  <c:v>0.29310344827586204</c:v>
                </c:pt>
                <c:pt idx="24">
                  <c:v>0.28333333333333333</c:v>
                </c:pt>
                <c:pt idx="25">
                  <c:v>0.28333333333333333</c:v>
                </c:pt>
                <c:pt idx="26">
                  <c:v>0.2857142857142857</c:v>
                </c:pt>
                <c:pt idx="27">
                  <c:v>0.29230769230769232</c:v>
                </c:pt>
                <c:pt idx="28">
                  <c:v>0.29850746268656714</c:v>
                </c:pt>
                <c:pt idx="29">
                  <c:v>0.28985507246376813</c:v>
                </c:pt>
                <c:pt idx="30">
                  <c:v>0.2857142857142857</c:v>
                </c:pt>
                <c:pt idx="31">
                  <c:v>0.29577464788732394</c:v>
                </c:pt>
                <c:pt idx="32">
                  <c:v>0.3108108108108108</c:v>
                </c:pt>
                <c:pt idx="33">
                  <c:v>0.30666666666666664</c:v>
                </c:pt>
                <c:pt idx="34">
                  <c:v>0.30666666666666664</c:v>
                </c:pt>
                <c:pt idx="35">
                  <c:v>0.31168831168831168</c:v>
                </c:pt>
                <c:pt idx="36">
                  <c:v>0.3125</c:v>
                </c:pt>
                <c:pt idx="37">
                  <c:v>0.32098765432098764</c:v>
                </c:pt>
                <c:pt idx="38">
                  <c:v>0.32098765432098764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162454873646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ただ2!$A$3:$A$41</c:f>
              <c:numCache>
                <c:formatCode>0\ "回"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ただ2!$P$3:$P$41</c:f>
              <c:numCache>
                <c:formatCode>0.0%</c:formatCode>
                <c:ptCount val="39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0.375</c:v>
                </c:pt>
                <c:pt idx="11">
                  <c:v>0.34615384615384615</c:v>
                </c:pt>
                <c:pt idx="12">
                  <c:v>0.34482758620689657</c:v>
                </c:pt>
                <c:pt idx="13">
                  <c:v>0.33333333333333331</c:v>
                </c:pt>
                <c:pt idx="14">
                  <c:v>0.29729729729729731</c:v>
                </c:pt>
                <c:pt idx="15">
                  <c:v>0.30769230769230771</c:v>
                </c:pt>
                <c:pt idx="16">
                  <c:v>0.32500000000000001</c:v>
                </c:pt>
                <c:pt idx="17">
                  <c:v>0.35714285714285715</c:v>
                </c:pt>
                <c:pt idx="18">
                  <c:v>0.35555555555555557</c:v>
                </c:pt>
                <c:pt idx="19">
                  <c:v>0.36956521739130432</c:v>
                </c:pt>
                <c:pt idx="20">
                  <c:v>0.35294117647058826</c:v>
                </c:pt>
                <c:pt idx="21">
                  <c:v>0.36363636363636365</c:v>
                </c:pt>
                <c:pt idx="22">
                  <c:v>0.37931034482758619</c:v>
                </c:pt>
                <c:pt idx="23">
                  <c:v>0.3728813559322034</c:v>
                </c:pt>
                <c:pt idx="24">
                  <c:v>0.39344262295081966</c:v>
                </c:pt>
                <c:pt idx="25">
                  <c:v>0.36923076923076925</c:v>
                </c:pt>
                <c:pt idx="26">
                  <c:v>0.37878787878787878</c:v>
                </c:pt>
                <c:pt idx="27">
                  <c:v>0.39705882352941174</c:v>
                </c:pt>
                <c:pt idx="28">
                  <c:v>0.40579710144927539</c:v>
                </c:pt>
                <c:pt idx="29">
                  <c:v>0.39436619718309857</c:v>
                </c:pt>
                <c:pt idx="30">
                  <c:v>0.39436619718309857</c:v>
                </c:pt>
                <c:pt idx="31">
                  <c:v>0.3888888888888889</c:v>
                </c:pt>
                <c:pt idx="32">
                  <c:v>0.38666666666666666</c:v>
                </c:pt>
                <c:pt idx="33">
                  <c:v>0.38961038961038963</c:v>
                </c:pt>
                <c:pt idx="34">
                  <c:v>0.379746835443038</c:v>
                </c:pt>
                <c:pt idx="35">
                  <c:v>0.3902439024390244</c:v>
                </c:pt>
                <c:pt idx="36">
                  <c:v>0.40476190476190477</c:v>
                </c:pt>
                <c:pt idx="37">
                  <c:v>0.41379310344827586</c:v>
                </c:pt>
                <c:pt idx="38">
                  <c:v>0.43956043956043955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920052424639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4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5">
      <c r="A7" s="2" t="s">
        <v>209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210</v>
      </c>
      <c r="B8" s="3">
        <v>44017.977951388886</v>
      </c>
      <c r="C8" s="2" t="s">
        <v>127</v>
      </c>
    </row>
    <row r="9" spans="1:12" x14ac:dyDescent="0.45">
      <c r="A9" s="2" t="s">
        <v>211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213</v>
      </c>
      <c r="B10" s="3">
        <v>44017.977951388886</v>
      </c>
      <c r="C10" s="2" t="s">
        <v>127</v>
      </c>
      <c r="D10" s="2" t="s">
        <v>191</v>
      </c>
    </row>
    <row r="11" spans="1:12" x14ac:dyDescent="0.45">
      <c r="A11" s="2" t="s">
        <v>214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215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216</v>
      </c>
      <c r="B13" s="3">
        <v>44017.977951388886</v>
      </c>
      <c r="C13" s="2" t="s">
        <v>127</v>
      </c>
      <c r="D13" s="2" t="s">
        <v>191</v>
      </c>
    </row>
    <row r="14" spans="1:12" x14ac:dyDescent="0.45">
      <c r="A14" s="2" t="s">
        <v>217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218</v>
      </c>
      <c r="B15" s="3">
        <v>44017.977951388886</v>
      </c>
      <c r="C15" s="2" t="s">
        <v>127</v>
      </c>
      <c r="D15" s="2" t="s">
        <v>191</v>
      </c>
    </row>
    <row r="16" spans="1:12" x14ac:dyDescent="0.45">
      <c r="A16" s="2" t="s">
        <v>219</v>
      </c>
      <c r="B16" s="3">
        <v>44017.977951388886</v>
      </c>
      <c r="C16" s="2" t="s">
        <v>127</v>
      </c>
    </row>
    <row r="17" spans="1:8" x14ac:dyDescent="0.45">
      <c r="A17" s="2" t="s">
        <v>220</v>
      </c>
      <c r="B17" s="3">
        <v>44017.977951388886</v>
      </c>
      <c r="C17" s="2" t="s">
        <v>127</v>
      </c>
      <c r="D17" s="2" t="s">
        <v>191</v>
      </c>
    </row>
    <row r="18" spans="1:8" x14ac:dyDescent="0.45">
      <c r="A18" s="2" t="s">
        <v>221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5">
      <c r="A19" s="2" t="s">
        <v>222</v>
      </c>
      <c r="B19" s="3">
        <v>44017.977951388886</v>
      </c>
      <c r="C19" s="2" t="s">
        <v>127</v>
      </c>
      <c r="D19" s="2" t="s">
        <v>191</v>
      </c>
    </row>
    <row r="20" spans="1:8" x14ac:dyDescent="0.45">
      <c r="A20" s="2" t="s">
        <v>223</v>
      </c>
      <c r="B20" s="3">
        <v>44017.977951388886</v>
      </c>
      <c r="C20" s="2" t="s">
        <v>127</v>
      </c>
      <c r="D20" s="2" t="s">
        <v>191</v>
      </c>
    </row>
    <row r="21" spans="1:8" x14ac:dyDescent="0.45">
      <c r="A21" s="2" t="s">
        <v>224</v>
      </c>
      <c r="B21" s="3">
        <v>44017.977951388886</v>
      </c>
      <c r="C21" s="2" t="s">
        <v>127</v>
      </c>
      <c r="D21" s="2" t="s">
        <v>191</v>
      </c>
    </row>
    <row r="22" spans="1:8" x14ac:dyDescent="0.45">
      <c r="A22" s="2" t="s">
        <v>225</v>
      </c>
      <c r="B22" s="3">
        <v>44017.977951388886</v>
      </c>
      <c r="C22" s="2" t="s">
        <v>127</v>
      </c>
    </row>
    <row r="23" spans="1:8" x14ac:dyDescent="0.45">
      <c r="A23" s="2" t="s">
        <v>226</v>
      </c>
      <c r="B23" s="3">
        <v>44017.977951388886</v>
      </c>
      <c r="C23" s="2" t="s">
        <v>127</v>
      </c>
    </row>
    <row r="24" spans="1:8" x14ac:dyDescent="0.45">
      <c r="A24" s="2" t="s">
        <v>227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5">
      <c r="A25" s="2" t="s">
        <v>228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5">
      <c r="A26" s="2" t="s">
        <v>229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5">
      <c r="A27" s="2" t="s">
        <v>230</v>
      </c>
      <c r="B27" s="3">
        <v>44017.977951388886</v>
      </c>
      <c r="C27" s="2" t="s">
        <v>127</v>
      </c>
      <c r="D27" s="2" t="s">
        <v>191</v>
      </c>
    </row>
    <row r="28" spans="1:8" x14ac:dyDescent="0.45">
      <c r="A28" s="2" t="s">
        <v>231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5">
      <c r="A29" s="2" t="s">
        <v>232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5">
      <c r="A30" s="2" t="s">
        <v>233</v>
      </c>
      <c r="B30" s="3">
        <v>44018.651041666664</v>
      </c>
      <c r="C30" s="2" t="s">
        <v>127</v>
      </c>
    </row>
    <row r="31" spans="1:8" x14ac:dyDescent="0.45">
      <c r="A31" s="2" t="s">
        <v>234</v>
      </c>
      <c r="B31" s="3">
        <v>44022.791030092594</v>
      </c>
      <c r="C31" s="2" t="s">
        <v>127</v>
      </c>
      <c r="D31" s="2" t="s">
        <v>191</v>
      </c>
    </row>
    <row r="32" spans="1:8" x14ac:dyDescent="0.45">
      <c r="A32" s="2" t="s">
        <v>235</v>
      </c>
      <c r="B32" s="3">
        <v>44024.751493055555</v>
      </c>
      <c r="C32" s="2" t="s">
        <v>127</v>
      </c>
      <c r="D32" s="2" t="s">
        <v>191</v>
      </c>
    </row>
    <row r="33" spans="1:4" x14ac:dyDescent="0.45">
      <c r="A33" s="2" t="s">
        <v>237</v>
      </c>
      <c r="B33" s="3">
        <v>44026.760995370372</v>
      </c>
      <c r="C33" s="2" t="s">
        <v>127</v>
      </c>
    </row>
    <row r="34" spans="1:4" x14ac:dyDescent="0.45">
      <c r="A34" s="2" t="s">
        <v>238</v>
      </c>
      <c r="B34" s="3">
        <v>44029.768067129633</v>
      </c>
      <c r="C34" s="2" t="s">
        <v>127</v>
      </c>
      <c r="D34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333</v>
      </c>
    </row>
    <row r="2" spans="1:2" x14ac:dyDescent="0.45">
      <c r="A2" t="s">
        <v>164</v>
      </c>
      <c r="B2">
        <v>59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83</v>
      </c>
    </row>
    <row r="5" spans="1:2" x14ac:dyDescent="0.45">
      <c r="A5" t="s">
        <v>194</v>
      </c>
      <c r="B5">
        <v>36</v>
      </c>
    </row>
    <row r="6" spans="1:2" x14ac:dyDescent="0.45">
      <c r="A6" t="s">
        <v>192</v>
      </c>
      <c r="B6">
        <v>57</v>
      </c>
    </row>
    <row r="7" spans="1:2" x14ac:dyDescent="0.45">
      <c r="A7" t="s">
        <v>193</v>
      </c>
      <c r="B7">
        <v>33</v>
      </c>
    </row>
    <row r="8" spans="1:2" x14ac:dyDescent="0.45">
      <c r="A8" t="s">
        <v>196</v>
      </c>
      <c r="B8">
        <v>9</v>
      </c>
    </row>
    <row r="9" spans="1:2" x14ac:dyDescent="0.45">
      <c r="A9" t="s">
        <v>205</v>
      </c>
      <c r="B9">
        <v>38</v>
      </c>
    </row>
    <row r="10" spans="1:2" x14ac:dyDescent="0.45">
      <c r="A10" t="s">
        <v>212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236</v>
      </c>
      <c r="B1" s="143" t="s">
        <v>9</v>
      </c>
      <c r="C1" s="144"/>
      <c r="D1" s="139" t="s">
        <v>6</v>
      </c>
      <c r="E1" s="140"/>
      <c r="F1" s="139" t="s">
        <v>7</v>
      </c>
      <c r="G1" s="140"/>
      <c r="H1" s="143" t="s">
        <v>188</v>
      </c>
      <c r="I1" s="144"/>
      <c r="J1" s="139" t="s">
        <v>15</v>
      </c>
      <c r="K1" s="140"/>
      <c r="L1" s="139" t="s">
        <v>14</v>
      </c>
      <c r="M1" s="140"/>
      <c r="N1" s="139" t="s">
        <v>150</v>
      </c>
      <c r="O1" s="140"/>
      <c r="P1" s="139" t="s">
        <v>143</v>
      </c>
      <c r="Q1" s="140"/>
      <c r="R1" s="139" t="s">
        <v>144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145</v>
      </c>
      <c r="AG1" s="140"/>
      <c r="AH1" s="139" t="s">
        <v>138</v>
      </c>
      <c r="AI1" s="140"/>
      <c r="AJ1" s="139" t="s">
        <v>181</v>
      </c>
      <c r="AK1" s="140"/>
    </row>
    <row r="2" spans="1:37" x14ac:dyDescent="0.45">
      <c r="A2" s="38" t="s">
        <v>149</v>
      </c>
      <c r="B2" s="141">
        <v>0.76255904724024526</v>
      </c>
      <c r="C2" s="142"/>
      <c r="D2" s="145"/>
      <c r="E2" s="146"/>
      <c r="F2" s="145"/>
      <c r="G2" s="146"/>
      <c r="H2" s="141">
        <v>-0.14563000311820987</v>
      </c>
      <c r="I2" s="142"/>
      <c r="J2" s="141">
        <v>0.90680284039485337</v>
      </c>
      <c r="K2" s="142"/>
      <c r="L2" s="141">
        <v>0.85053824091001429</v>
      </c>
      <c r="M2" s="142"/>
      <c r="N2" s="141">
        <v>0.91834080360261927</v>
      </c>
      <c r="O2" s="142"/>
      <c r="P2" s="141">
        <v>0.53644185333450811</v>
      </c>
      <c r="Q2" s="142"/>
      <c r="R2" s="141">
        <v>0.3278735709265766</v>
      </c>
      <c r="S2" s="142"/>
      <c r="T2" s="141">
        <v>0.46465256265270916</v>
      </c>
      <c r="U2" s="142"/>
      <c r="V2" s="141">
        <v>0.19346378091911895</v>
      </c>
      <c r="W2" s="142"/>
      <c r="X2" s="141">
        <v>0.54129745495919945</v>
      </c>
      <c r="Y2" s="142"/>
      <c r="Z2" s="141">
        <v>0.14266119797765536</v>
      </c>
      <c r="AA2" s="142"/>
      <c r="AB2" s="141">
        <v>-0.22443028048114522</v>
      </c>
      <c r="AC2" s="142"/>
      <c r="AD2" s="141">
        <v>0.25976587400613077</v>
      </c>
      <c r="AE2" s="142"/>
      <c r="AF2" s="141">
        <v>0.22754570964484</v>
      </c>
      <c r="AG2" s="142"/>
      <c r="AH2" s="141">
        <v>0.6264641510283846</v>
      </c>
      <c r="AI2" s="142"/>
      <c r="AJ2" s="141">
        <v>5.7117410818464831E-2</v>
      </c>
      <c r="AK2" s="142"/>
    </row>
    <row r="3" spans="1:37" x14ac:dyDescent="0.45">
      <c r="A3" s="40">
        <v>1</v>
      </c>
      <c r="B3" s="43" t="s">
        <v>139</v>
      </c>
      <c r="C3" s="117">
        <v>111</v>
      </c>
      <c r="D3" s="41" t="s">
        <v>126</v>
      </c>
      <c r="E3" s="42">
        <v>716.20000000000016</v>
      </c>
      <c r="F3" s="43" t="s">
        <v>126</v>
      </c>
      <c r="G3" s="62">
        <v>8.6289156626506038</v>
      </c>
      <c r="H3" s="43" t="s">
        <v>196</v>
      </c>
      <c r="I3" s="62">
        <v>9.3444444444444432</v>
      </c>
      <c r="J3" s="43" t="s">
        <v>126</v>
      </c>
      <c r="K3" s="44">
        <v>1.7710843373493976</v>
      </c>
      <c r="L3" s="43" t="s">
        <v>126</v>
      </c>
      <c r="M3" s="45">
        <v>0.44578313253012047</v>
      </c>
      <c r="N3" s="43" t="s">
        <v>196</v>
      </c>
      <c r="O3" s="45">
        <v>0.1111111111111111</v>
      </c>
      <c r="P3" s="43" t="s">
        <v>193</v>
      </c>
      <c r="Q3" s="46">
        <v>0.3147410358565737</v>
      </c>
      <c r="R3" s="43" t="s">
        <v>196</v>
      </c>
      <c r="S3" s="46">
        <v>6.8493150684931503E-2</v>
      </c>
      <c r="T3" s="43" t="s">
        <v>164</v>
      </c>
      <c r="U3" s="47">
        <v>10306.349206349207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212</v>
      </c>
      <c r="AA3" s="46">
        <v>0.32432432432432434</v>
      </c>
      <c r="AB3" s="43" t="s">
        <v>193</v>
      </c>
      <c r="AC3" s="46">
        <v>0.36254980079681276</v>
      </c>
      <c r="AD3" s="43" t="s">
        <v>212</v>
      </c>
      <c r="AE3" s="46">
        <v>0.70833333333333337</v>
      </c>
      <c r="AF3" s="43" t="s">
        <v>194</v>
      </c>
      <c r="AG3" s="46">
        <v>0.57777777777777772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83</v>
      </c>
      <c r="D4" s="49" t="s">
        <v>193</v>
      </c>
      <c r="E4" s="50">
        <v>84.500000000000014</v>
      </c>
      <c r="F4" s="51" t="s">
        <v>193</v>
      </c>
      <c r="G4" s="63">
        <v>2.560606060606061</v>
      </c>
      <c r="H4" s="51" t="s">
        <v>194</v>
      </c>
      <c r="I4" s="63">
        <v>3.8353874883286636</v>
      </c>
      <c r="J4" s="51" t="s">
        <v>196</v>
      </c>
      <c r="K4" s="52">
        <v>1.8888888888888888</v>
      </c>
      <c r="L4" s="51" t="s">
        <v>164</v>
      </c>
      <c r="M4" s="53">
        <v>0.3559322033898305</v>
      </c>
      <c r="N4" s="51" t="s">
        <v>126</v>
      </c>
      <c r="O4" s="53">
        <v>0.21686746987951808</v>
      </c>
      <c r="P4" s="51" t="s">
        <v>212</v>
      </c>
      <c r="Q4" s="54">
        <v>0.3108108108108108</v>
      </c>
      <c r="R4" s="51" t="s">
        <v>192</v>
      </c>
      <c r="S4" s="54">
        <v>0.11496746203904555</v>
      </c>
      <c r="T4" s="51" t="s">
        <v>126</v>
      </c>
      <c r="U4" s="55">
        <v>9783.823529411764</v>
      </c>
      <c r="V4" s="51" t="s">
        <v>193</v>
      </c>
      <c r="W4" s="55">
        <v>-7008.5714285714284</v>
      </c>
      <c r="X4" s="51" t="s">
        <v>212</v>
      </c>
      <c r="Y4" s="53">
        <v>0</v>
      </c>
      <c r="Z4" s="51" t="s">
        <v>164</v>
      </c>
      <c r="AA4" s="54">
        <v>0.2955032119914347</v>
      </c>
      <c r="AB4" s="51" t="s">
        <v>205</v>
      </c>
      <c r="AC4" s="54">
        <v>0.27551020408163263</v>
      </c>
      <c r="AD4" s="51" t="s">
        <v>196</v>
      </c>
      <c r="AE4" s="54">
        <v>0.65</v>
      </c>
      <c r="AF4" s="51" t="s">
        <v>212</v>
      </c>
      <c r="AG4" s="54">
        <v>0.5714285714285714</v>
      </c>
      <c r="AH4" s="51" t="s">
        <v>212</v>
      </c>
      <c r="AI4" s="54">
        <v>0.52173913043478259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59</v>
      </c>
      <c r="D5" s="49" t="s">
        <v>196</v>
      </c>
      <c r="E5" s="50">
        <v>21.599999999999987</v>
      </c>
      <c r="F5" s="51" t="s">
        <v>196</v>
      </c>
      <c r="G5" s="63">
        <v>2.3999999999999986</v>
      </c>
      <c r="H5" s="51" t="s">
        <v>212</v>
      </c>
      <c r="I5" s="63">
        <v>2.1361111111111115</v>
      </c>
      <c r="J5" s="51" t="s">
        <v>193</v>
      </c>
      <c r="K5" s="52">
        <v>1.9696969696969697</v>
      </c>
      <c r="L5" s="51" t="s">
        <v>193</v>
      </c>
      <c r="M5" s="53">
        <v>0.33333333333333331</v>
      </c>
      <c r="N5" s="51" t="s">
        <v>193</v>
      </c>
      <c r="O5" s="53">
        <v>0.30303030303030304</v>
      </c>
      <c r="P5" s="51" t="s">
        <v>126</v>
      </c>
      <c r="Q5" s="54">
        <v>0.31050228310502281</v>
      </c>
      <c r="R5" s="51" t="s">
        <v>193</v>
      </c>
      <c r="S5" s="54">
        <v>0.1394422310756972</v>
      </c>
      <c r="T5" s="51" t="s">
        <v>189</v>
      </c>
      <c r="U5" s="55">
        <v>9062.5</v>
      </c>
      <c r="V5" s="51" t="s">
        <v>189</v>
      </c>
      <c r="W5" s="55">
        <v>-7317.6470588235297</v>
      </c>
      <c r="X5" s="51" t="s">
        <v>126</v>
      </c>
      <c r="Y5" s="53">
        <v>6.0240963855421686E-2</v>
      </c>
      <c r="Z5" s="51" t="s">
        <v>189</v>
      </c>
      <c r="AA5" s="54">
        <v>0.28378378378378377</v>
      </c>
      <c r="AB5" s="51" t="s">
        <v>192</v>
      </c>
      <c r="AC5" s="54">
        <v>0.24945770065075923</v>
      </c>
      <c r="AD5" s="51" t="s">
        <v>205</v>
      </c>
      <c r="AE5" s="54">
        <v>0.63461538461538458</v>
      </c>
      <c r="AF5" s="51" t="s">
        <v>189</v>
      </c>
      <c r="AG5" s="54">
        <v>0.5</v>
      </c>
      <c r="AH5" s="51" t="s">
        <v>126</v>
      </c>
      <c r="AI5" s="54">
        <v>0.50980392156862742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57</v>
      </c>
      <c r="D6" s="49" t="s">
        <v>139</v>
      </c>
      <c r="E6" s="50">
        <v>-1.0658141036401503E-14</v>
      </c>
      <c r="F6" s="51" t="s">
        <v>139</v>
      </c>
      <c r="G6" s="63">
        <v>-3.2006429538743251E-17</v>
      </c>
      <c r="H6" s="51" t="s">
        <v>193</v>
      </c>
      <c r="I6" s="63">
        <v>1.3157575757575752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205</v>
      </c>
      <c r="Q6" s="54">
        <v>0.30952380952380953</v>
      </c>
      <c r="R6" s="51" t="s">
        <v>126</v>
      </c>
      <c r="S6" s="54">
        <v>0.14307458143074581</v>
      </c>
      <c r="T6" s="51" t="s">
        <v>139</v>
      </c>
      <c r="U6" s="55">
        <v>8811.4023591087807</v>
      </c>
      <c r="V6" s="51" t="s">
        <v>194</v>
      </c>
      <c r="W6" s="55">
        <v>-7428.260869565217</v>
      </c>
      <c r="X6" s="51" t="s">
        <v>192</v>
      </c>
      <c r="Y6" s="53">
        <v>8.771929824561403E-2</v>
      </c>
      <c r="Z6" s="51" t="s">
        <v>196</v>
      </c>
      <c r="AA6" s="54">
        <v>0.27397260273972601</v>
      </c>
      <c r="AB6" s="51" t="s">
        <v>139</v>
      </c>
      <c r="AC6" s="54">
        <v>0.21080669710806696</v>
      </c>
      <c r="AD6" s="51" t="s">
        <v>193</v>
      </c>
      <c r="AE6" s="54">
        <v>0.6</v>
      </c>
      <c r="AF6" s="51" t="s">
        <v>126</v>
      </c>
      <c r="AG6" s="54">
        <v>0.49038461538461536</v>
      </c>
      <c r="AH6" s="51" t="s">
        <v>194</v>
      </c>
      <c r="AI6" s="54">
        <v>0.48684210526315791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205</v>
      </c>
      <c r="C7" s="118">
        <v>38</v>
      </c>
      <c r="D7" s="49" t="s">
        <v>212</v>
      </c>
      <c r="E7" s="50">
        <v>-41.599999999999994</v>
      </c>
      <c r="F7" s="51" t="s">
        <v>164</v>
      </c>
      <c r="G7" s="63">
        <v>-1.7830508474576281</v>
      </c>
      <c r="H7" s="51" t="s">
        <v>139</v>
      </c>
      <c r="I7" s="63">
        <v>0</v>
      </c>
      <c r="J7" s="51" t="s">
        <v>164</v>
      </c>
      <c r="K7" s="52">
        <v>2.0338983050847457</v>
      </c>
      <c r="L7" s="51" t="s">
        <v>192</v>
      </c>
      <c r="M7" s="53">
        <v>0.31578947368421051</v>
      </c>
      <c r="N7" s="51" t="s">
        <v>212</v>
      </c>
      <c r="O7" s="53">
        <v>0.33333333333333331</v>
      </c>
      <c r="P7" s="51" t="s">
        <v>139</v>
      </c>
      <c r="Q7" s="54">
        <v>0.29033485540334858</v>
      </c>
      <c r="R7" s="51" t="s">
        <v>139</v>
      </c>
      <c r="S7" s="54">
        <v>0.15334855403348555</v>
      </c>
      <c r="T7" s="51" t="s">
        <v>205</v>
      </c>
      <c r="U7" s="55">
        <v>8087.9120879120883</v>
      </c>
      <c r="V7" s="51" t="s">
        <v>126</v>
      </c>
      <c r="W7" s="55">
        <v>-7915.9574468085102</v>
      </c>
      <c r="X7" s="51" t="s">
        <v>205</v>
      </c>
      <c r="Y7" s="53">
        <v>0.10526315789473684</v>
      </c>
      <c r="Z7" s="51" t="s">
        <v>126</v>
      </c>
      <c r="AA7" s="54">
        <v>0.25114155251141551</v>
      </c>
      <c r="AB7" s="51" t="s">
        <v>164</v>
      </c>
      <c r="AC7" s="54">
        <v>0.2012847965738758</v>
      </c>
      <c r="AD7" s="51" t="s">
        <v>126</v>
      </c>
      <c r="AE7" s="54">
        <v>0.58181818181818179</v>
      </c>
      <c r="AF7" s="51" t="s">
        <v>193</v>
      </c>
      <c r="AG7" s="54">
        <v>0.4175824175824176</v>
      </c>
      <c r="AH7" s="51" t="s">
        <v>196</v>
      </c>
      <c r="AI7" s="54">
        <v>0.47368421052631576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194</v>
      </c>
      <c r="C8" s="118">
        <v>36</v>
      </c>
      <c r="D8" s="49" t="s">
        <v>164</v>
      </c>
      <c r="E8" s="50">
        <v>-105.20000000000006</v>
      </c>
      <c r="F8" s="51" t="s">
        <v>192</v>
      </c>
      <c r="G8" s="63">
        <v>-1.9824561403508767</v>
      </c>
      <c r="H8" s="51" t="s">
        <v>126</v>
      </c>
      <c r="I8" s="63">
        <v>-2.0456170456173577E-2</v>
      </c>
      <c r="J8" s="51" t="s">
        <v>192</v>
      </c>
      <c r="K8" s="52">
        <v>2.0350877192982457</v>
      </c>
      <c r="L8" s="51" t="s">
        <v>205</v>
      </c>
      <c r="M8" s="53">
        <v>0.28947368421052633</v>
      </c>
      <c r="N8" s="51" t="s">
        <v>192</v>
      </c>
      <c r="O8" s="53">
        <v>0.35087719298245612</v>
      </c>
      <c r="P8" s="51" t="s">
        <v>192</v>
      </c>
      <c r="Q8" s="54">
        <v>0.27982646420824298</v>
      </c>
      <c r="R8" s="51" t="s">
        <v>194</v>
      </c>
      <c r="S8" s="54">
        <v>0.16606498194945848</v>
      </c>
      <c r="T8" s="51" t="s">
        <v>194</v>
      </c>
      <c r="U8" s="55">
        <v>8010.5263157894733</v>
      </c>
      <c r="V8" s="51" t="s">
        <v>139</v>
      </c>
      <c r="W8" s="55">
        <v>-7978.1637717121585</v>
      </c>
      <c r="X8" s="51" t="s">
        <v>139</v>
      </c>
      <c r="Y8" s="53">
        <v>0.1111111111111111</v>
      </c>
      <c r="Z8" s="51" t="s">
        <v>139</v>
      </c>
      <c r="AA8" s="54">
        <v>0.2378234398782344</v>
      </c>
      <c r="AB8" s="51" t="s">
        <v>194</v>
      </c>
      <c r="AC8" s="54">
        <v>0.16245487364620939</v>
      </c>
      <c r="AD8" s="51" t="s">
        <v>139</v>
      </c>
      <c r="AE8" s="54">
        <v>0.55200000000000005</v>
      </c>
      <c r="AF8" s="51" t="s">
        <v>139</v>
      </c>
      <c r="AG8" s="54">
        <v>0.41516245487364623</v>
      </c>
      <c r="AH8" s="51" t="s">
        <v>139</v>
      </c>
      <c r="AI8" s="54">
        <v>0.4692005242463958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193</v>
      </c>
      <c r="C9" s="118">
        <v>33</v>
      </c>
      <c r="D9" s="49" t="s">
        <v>189</v>
      </c>
      <c r="E9" s="50">
        <v>-105.5</v>
      </c>
      <c r="F9" s="51" t="s">
        <v>212</v>
      </c>
      <c r="G9" s="63">
        <v>-4.6222222222222218</v>
      </c>
      <c r="H9" s="51" t="s">
        <v>164</v>
      </c>
      <c r="I9" s="63">
        <v>-0.61261559696341783</v>
      </c>
      <c r="J9" s="51" t="s">
        <v>205</v>
      </c>
      <c r="K9" s="52">
        <v>2.1052631578947367</v>
      </c>
      <c r="L9" s="51" t="s">
        <v>189</v>
      </c>
      <c r="M9" s="53">
        <v>0.22222222222222221</v>
      </c>
      <c r="N9" s="51" t="s">
        <v>164</v>
      </c>
      <c r="O9" s="53">
        <v>0.38983050847457629</v>
      </c>
      <c r="P9" s="51" t="s">
        <v>194</v>
      </c>
      <c r="Q9" s="54">
        <v>0.27436823104693142</v>
      </c>
      <c r="R9" s="51" t="s">
        <v>205</v>
      </c>
      <c r="S9" s="54">
        <v>0.17687074829931973</v>
      </c>
      <c r="T9" s="51" t="s">
        <v>192</v>
      </c>
      <c r="U9" s="55">
        <v>7803.8759689922481</v>
      </c>
      <c r="V9" s="51" t="s">
        <v>164</v>
      </c>
      <c r="W9" s="55">
        <v>-8120.6896551724139</v>
      </c>
      <c r="X9" s="51" t="s">
        <v>189</v>
      </c>
      <c r="Y9" s="53">
        <v>0.1111111111111111</v>
      </c>
      <c r="Z9" s="51" t="s">
        <v>192</v>
      </c>
      <c r="AA9" s="54">
        <v>0.23644251626898047</v>
      </c>
      <c r="AB9" s="51" t="s">
        <v>126</v>
      </c>
      <c r="AC9" s="54">
        <v>0.15829528158295281</v>
      </c>
      <c r="AD9" s="51" t="s">
        <v>192</v>
      </c>
      <c r="AE9" s="54">
        <v>0.55045871559633031</v>
      </c>
      <c r="AF9" s="51" t="s">
        <v>192</v>
      </c>
      <c r="AG9" s="54">
        <v>0.39130434782608697</v>
      </c>
      <c r="AH9" s="51" t="s">
        <v>164</v>
      </c>
      <c r="AI9" s="54">
        <v>0.45238095238095238</v>
      </c>
      <c r="AJ9" s="51" t="s">
        <v>212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192</v>
      </c>
      <c r="E10" s="50">
        <v>-112.99999999999997</v>
      </c>
      <c r="F10" s="51" t="s">
        <v>205</v>
      </c>
      <c r="G10" s="63">
        <v>-5.215789473684211</v>
      </c>
      <c r="H10" s="51" t="s">
        <v>192</v>
      </c>
      <c r="I10" s="63">
        <v>-0.73026315789473273</v>
      </c>
      <c r="J10" s="51" t="s">
        <v>212</v>
      </c>
      <c r="K10" s="52">
        <v>2.1111111111111112</v>
      </c>
      <c r="L10" s="51" t="s">
        <v>196</v>
      </c>
      <c r="M10" s="53">
        <v>0.22222222222222221</v>
      </c>
      <c r="N10" s="51" t="s">
        <v>205</v>
      </c>
      <c r="O10" s="53">
        <v>0.39473684210526316</v>
      </c>
      <c r="P10" s="51" t="s">
        <v>164</v>
      </c>
      <c r="Q10" s="54">
        <v>0.26980728051391861</v>
      </c>
      <c r="R10" s="51" t="s">
        <v>164</v>
      </c>
      <c r="S10" s="54">
        <v>0.18629550321199143</v>
      </c>
      <c r="T10" s="51" t="s">
        <v>193</v>
      </c>
      <c r="U10" s="55">
        <v>7745.5696202531644</v>
      </c>
      <c r="V10" s="51" t="s">
        <v>192</v>
      </c>
      <c r="W10" s="55">
        <v>-8186.7924528301883</v>
      </c>
      <c r="X10" s="51" t="s">
        <v>194</v>
      </c>
      <c r="Y10" s="53">
        <v>0.16666666666666666</v>
      </c>
      <c r="Z10" s="51" t="s">
        <v>194</v>
      </c>
      <c r="AA10" s="54">
        <v>0.22021660649819494</v>
      </c>
      <c r="AB10" s="51" t="s">
        <v>196</v>
      </c>
      <c r="AC10" s="54">
        <v>0.15068493150684931</v>
      </c>
      <c r="AD10" s="51" t="s">
        <v>194</v>
      </c>
      <c r="AE10" s="54">
        <v>0.50819672131147542</v>
      </c>
      <c r="AF10" s="51" t="s">
        <v>196</v>
      </c>
      <c r="AG10" s="54">
        <v>0.36363636363636365</v>
      </c>
      <c r="AH10" s="51" t="s">
        <v>193</v>
      </c>
      <c r="AI10" s="54">
        <v>0.44303797468354428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196</v>
      </c>
      <c r="C11" s="118">
        <v>9</v>
      </c>
      <c r="D11" s="49" t="s">
        <v>205</v>
      </c>
      <c r="E11" s="50">
        <v>-198.20000000000002</v>
      </c>
      <c r="F11" s="51" t="s">
        <v>194</v>
      </c>
      <c r="G11" s="63">
        <v>-7.1888888888888864</v>
      </c>
      <c r="H11" s="51" t="s">
        <v>205</v>
      </c>
      <c r="I11" s="63">
        <v>-1.4722222222222239</v>
      </c>
      <c r="J11" s="51" t="s">
        <v>189</v>
      </c>
      <c r="K11" s="52">
        <v>2.2222222222222223</v>
      </c>
      <c r="L11" s="51" t="s">
        <v>212</v>
      </c>
      <c r="M11" s="53">
        <v>0.22222222222222221</v>
      </c>
      <c r="N11" s="51" t="s">
        <v>189</v>
      </c>
      <c r="O11" s="53">
        <v>0.44444444444444442</v>
      </c>
      <c r="P11" s="51" t="s">
        <v>196</v>
      </c>
      <c r="Q11" s="54">
        <v>0.26027397260273971</v>
      </c>
      <c r="R11" s="51" t="s">
        <v>212</v>
      </c>
      <c r="S11" s="54">
        <v>0.1891891891891892</v>
      </c>
      <c r="T11" s="51" t="s">
        <v>196</v>
      </c>
      <c r="U11" s="55">
        <v>7736.8421052631575</v>
      </c>
      <c r="V11" s="51" t="s">
        <v>212</v>
      </c>
      <c r="W11" s="55">
        <v>-8671.4285714285706</v>
      </c>
      <c r="X11" s="51" t="s">
        <v>164</v>
      </c>
      <c r="Y11" s="53">
        <v>0.16949152542372881</v>
      </c>
      <c r="Z11" s="51" t="s">
        <v>205</v>
      </c>
      <c r="AA11" s="54">
        <v>0.17687074829931973</v>
      </c>
      <c r="AB11" s="51" t="s">
        <v>212</v>
      </c>
      <c r="AC11" s="54">
        <v>9.45945945945946E-2</v>
      </c>
      <c r="AD11" s="51" t="s">
        <v>189</v>
      </c>
      <c r="AE11" s="54">
        <v>0.47619047619047616</v>
      </c>
      <c r="AF11" s="51" t="s">
        <v>164</v>
      </c>
      <c r="AG11" s="54">
        <v>0.35106382978723405</v>
      </c>
      <c r="AH11" s="51" t="s">
        <v>205</v>
      </c>
      <c r="AI11" s="54">
        <v>0.43956043956043955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212</v>
      </c>
      <c r="C12" s="118">
        <v>9</v>
      </c>
      <c r="D12" s="49" t="s">
        <v>194</v>
      </c>
      <c r="E12" s="50">
        <v>-258.7999999999999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2.2777777777777777</v>
      </c>
      <c r="L12" s="51" t="s">
        <v>194</v>
      </c>
      <c r="M12" s="53">
        <v>0.19444444444444445</v>
      </c>
      <c r="N12" s="51" t="s">
        <v>194</v>
      </c>
      <c r="O12" s="53">
        <v>0.47222222222222221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212</v>
      </c>
      <c r="U12" s="55">
        <v>7530.434782608696</v>
      </c>
      <c r="V12" s="51" t="s">
        <v>205</v>
      </c>
      <c r="W12" s="55">
        <v>-9161.538461538461</v>
      </c>
      <c r="X12" s="51" t="s">
        <v>193</v>
      </c>
      <c r="Y12" s="53">
        <v>0.18181818181818182</v>
      </c>
      <c r="Z12" s="51" t="s">
        <v>193</v>
      </c>
      <c r="AA12" s="54">
        <v>0.1394422310756972</v>
      </c>
      <c r="AB12" s="51" t="s">
        <v>189</v>
      </c>
      <c r="AC12" s="54">
        <v>8.1081081081081086E-2</v>
      </c>
      <c r="AD12" s="51" t="s">
        <v>164</v>
      </c>
      <c r="AE12" s="54">
        <v>0.46376811594202899</v>
      </c>
      <c r="AF12" s="51" t="s">
        <v>205</v>
      </c>
      <c r="AG12" s="54">
        <v>0.32098765432098764</v>
      </c>
      <c r="AH12" s="51" t="s">
        <v>192</v>
      </c>
      <c r="AI12" s="54">
        <v>0.4263565891472868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5C6B-E77A-471B-97EC-924ABD9F2C1D}">
  <sheetPr codeName="Sheet4"/>
  <dimension ref="A1:Q33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333</v>
      </c>
      <c r="C2" s="132"/>
      <c r="E2" s="28" t="s">
        <v>66</v>
      </c>
      <c r="F2" s="25" t="s">
        <v>22</v>
      </c>
      <c r="G2" s="13">
        <v>560</v>
      </c>
      <c r="H2" s="91">
        <f>IF(B$19=0,0,G2/B$19)</f>
        <v>0.73394495412844041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-9.1743119266055047</v>
      </c>
      <c r="P2" s="80">
        <v>327</v>
      </c>
      <c r="Q2" s="67">
        <v>-3000</v>
      </c>
    </row>
    <row r="3" spans="1:17" x14ac:dyDescent="0.45">
      <c r="A3" s="21" t="s">
        <v>8</v>
      </c>
      <c r="B3" s="133">
        <v>2628</v>
      </c>
      <c r="C3" s="134"/>
      <c r="E3" s="29" t="s">
        <v>72</v>
      </c>
      <c r="F3" s="26" t="s">
        <v>27</v>
      </c>
      <c r="G3" s="14">
        <v>434</v>
      </c>
      <c r="H3" s="92">
        <f>IF(B$19=0,0,G3/B$19)</f>
        <v>0.56880733944954132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-3.0581039755351682</v>
      </c>
      <c r="P3" s="81">
        <v>327</v>
      </c>
      <c r="Q3" s="68">
        <v>-1000</v>
      </c>
    </row>
    <row r="4" spans="1:17" x14ac:dyDescent="0.45">
      <c r="A4" s="21" t="s">
        <v>6</v>
      </c>
      <c r="B4" s="135">
        <v>-1.0658141036401503E-14</v>
      </c>
      <c r="C4" s="136"/>
      <c r="E4" s="29" t="s">
        <v>64</v>
      </c>
      <c r="F4" s="26" t="s">
        <v>20</v>
      </c>
      <c r="G4" s="14">
        <v>336</v>
      </c>
      <c r="H4" s="92">
        <f>IF(B$19=0,0,G4/B$19)</f>
        <v>0.44036697247706424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-16.025641025641026</v>
      </c>
      <c r="P4" s="81">
        <v>312</v>
      </c>
      <c r="Q4" s="68">
        <v>-5000</v>
      </c>
    </row>
    <row r="5" spans="1:17" x14ac:dyDescent="0.45">
      <c r="A5" s="21" t="s">
        <v>7</v>
      </c>
      <c r="B5" s="123">
        <f>IF(B$2=0,0,B$4/B$2)</f>
        <v>-3.2006429538743251E-17</v>
      </c>
      <c r="C5" s="124"/>
      <c r="E5" s="29" t="s">
        <v>160</v>
      </c>
      <c r="F5" s="26" t="s">
        <v>161</v>
      </c>
      <c r="G5" s="14">
        <v>327</v>
      </c>
      <c r="H5" s="92">
        <f>IF(B$19=0,0,G5/B$19)</f>
        <v>0.42857142857142855</v>
      </c>
      <c r="I5" s="60">
        <v>7</v>
      </c>
      <c r="K5" s="7">
        <v>3</v>
      </c>
      <c r="L5" s="65">
        <v>7.1054273576010019E-15</v>
      </c>
      <c r="N5" s="78" t="s">
        <v>131</v>
      </c>
      <c r="O5" s="84">
        <f t="shared" si="0"/>
        <v>24.822695035460992</v>
      </c>
      <c r="P5" s="81">
        <v>282</v>
      </c>
      <c r="Q5" s="68">
        <v>7000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237</v>
      </c>
      <c r="H6" s="92">
        <f>IF(B$19=0,0,G6/B$19)</f>
        <v>0.31061598951507208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-53.639846743295017</v>
      </c>
      <c r="P6" s="81">
        <v>261</v>
      </c>
      <c r="Q6" s="68">
        <v>-14000</v>
      </c>
    </row>
    <row r="7" spans="1:17" x14ac:dyDescent="0.45">
      <c r="A7" s="21" t="s">
        <v>2</v>
      </c>
      <c r="B7" s="14">
        <v>111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194</v>
      </c>
      <c r="H7" s="92">
        <f>IF(B$19=0,0,G7/B$19)</f>
        <v>0.25425950196592401</v>
      </c>
      <c r="I7" s="60">
        <v>4</v>
      </c>
      <c r="K7" s="7">
        <v>5</v>
      </c>
      <c r="L7" s="65">
        <v>-55.999999999999993</v>
      </c>
      <c r="N7" s="79" t="s">
        <v>133</v>
      </c>
      <c r="O7" s="85">
        <f t="shared" si="0"/>
        <v>72.463768115942031</v>
      </c>
      <c r="P7" s="82">
        <v>207</v>
      </c>
      <c r="Q7" s="69">
        <v>15000</v>
      </c>
    </row>
    <row r="8" spans="1:17" x14ac:dyDescent="0.45">
      <c r="A8" s="21" t="s">
        <v>3</v>
      </c>
      <c r="B8" s="14">
        <v>111</v>
      </c>
      <c r="C8" s="8">
        <f t="shared" si="1"/>
        <v>0.33333333333333331</v>
      </c>
      <c r="E8" s="29" t="s">
        <v>89</v>
      </c>
      <c r="F8" s="26" t="s">
        <v>44</v>
      </c>
      <c r="G8" s="14">
        <v>110</v>
      </c>
      <c r="H8" s="92">
        <f>IF(B$19=0,0,G8/B$19)</f>
        <v>0.14416775884665792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111</v>
      </c>
      <c r="C9" s="9">
        <f t="shared" si="1"/>
        <v>0.33333333333333331</v>
      </c>
      <c r="E9" s="29" t="s">
        <v>69</v>
      </c>
      <c r="F9" s="26" t="s">
        <v>24</v>
      </c>
      <c r="G9" s="14">
        <v>102</v>
      </c>
      <c r="H9" s="92">
        <f>IF(B$19=0,0,G9/B$19)</f>
        <v>0.13368283093053734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38.84594594594595</v>
      </c>
      <c r="C10" s="114">
        <v>4311.9000000000005</v>
      </c>
      <c r="E10" s="29" t="s">
        <v>65</v>
      </c>
      <c r="F10" s="26" t="s">
        <v>21</v>
      </c>
      <c r="G10" s="14">
        <v>70</v>
      </c>
      <c r="H10" s="92">
        <f>IF(B$19=0,0,G10/B$19)</f>
        <v>9.1743119266055051E-2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-5.7900900900900876</v>
      </c>
      <c r="P10" s="80">
        <v>111</v>
      </c>
      <c r="Q10" s="71">
        <v>-642.6999999999997</v>
      </c>
    </row>
    <row r="11" spans="1:17" x14ac:dyDescent="0.45">
      <c r="A11" s="22" t="s">
        <v>186</v>
      </c>
      <c r="B11" s="113">
        <f>IF(B8=0,0,C11/B8)</f>
        <v>-2.5864864864864878</v>
      </c>
      <c r="C11" s="114">
        <v>-287.10000000000014</v>
      </c>
      <c r="E11" s="29" t="s">
        <v>70</v>
      </c>
      <c r="F11" s="26" t="s">
        <v>25</v>
      </c>
      <c r="G11" s="14">
        <v>65</v>
      </c>
      <c r="H11" s="92">
        <f>IF(B$19=0,0,G11/B$19)</f>
        <v>8.5190039318479682E-2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2.1396396396396389</v>
      </c>
      <c r="P11" s="81">
        <v>111</v>
      </c>
      <c r="Q11" s="72">
        <v>237.49999999999991</v>
      </c>
    </row>
    <row r="12" spans="1:17" x14ac:dyDescent="0.45">
      <c r="A12" s="22" t="s">
        <v>187</v>
      </c>
      <c r="B12" s="113">
        <f>IF(B9=0,0,C12/B9)</f>
        <v>-36.259459459459457</v>
      </c>
      <c r="C12" s="114">
        <v>-4024.7999999999997</v>
      </c>
      <c r="E12" s="29" t="s">
        <v>71</v>
      </c>
      <c r="F12" s="26" t="s">
        <v>26</v>
      </c>
      <c r="G12" s="14">
        <v>46</v>
      </c>
      <c r="H12" s="92">
        <f>IF(B$19=0,0,G12/B$19)</f>
        <v>6.0288335517693317E-2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3.6504504504504469</v>
      </c>
      <c r="P12" s="82">
        <v>111</v>
      </c>
      <c r="Q12" s="73">
        <v>405.19999999999959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44</v>
      </c>
      <c r="H13" s="92">
        <f>IF(B$19=0,0,G13/B$19)</f>
        <v>5.7667103538663174E-2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37</v>
      </c>
      <c r="C14" s="11">
        <f t="shared" si="1"/>
        <v>0.1111111111111111</v>
      </c>
      <c r="E14" s="29" t="s">
        <v>83</v>
      </c>
      <c r="F14" s="26" t="s">
        <v>38</v>
      </c>
      <c r="G14" s="14">
        <v>37</v>
      </c>
      <c r="H14" s="92">
        <f>IF(B$19=0,0,G14/B$19)</f>
        <v>4.8492791612057669E-2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625</v>
      </c>
      <c r="C15" s="12">
        <f>IF(B$3=0,0,B15/B$3)</f>
        <v>0.2378234398782344</v>
      </c>
      <c r="E15" s="29" t="s">
        <v>78</v>
      </c>
      <c r="F15" s="26" t="s">
        <v>33</v>
      </c>
      <c r="G15" s="14">
        <v>28</v>
      </c>
      <c r="H15" s="92">
        <f>IF(B$19=0,0,G15/B$19)</f>
        <v>3.669724770642202E-2</v>
      </c>
      <c r="I15" s="60">
        <v>6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554</v>
      </c>
      <c r="C16" s="8">
        <f>IF(B$3=0,0,B16/B$3)</f>
        <v>0.21080669710806696</v>
      </c>
      <c r="E16" s="29" t="s">
        <v>81</v>
      </c>
      <c r="F16" s="26" t="s">
        <v>36</v>
      </c>
      <c r="G16" s="14">
        <v>25</v>
      </c>
      <c r="H16" s="92">
        <f>IF(B$19=0,0,G16/B$19)</f>
        <v>3.2765399737876802E-2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>IF(P16=0,0,Q16/P16)</f>
        <v>10.783333333333339</v>
      </c>
      <c r="P16" s="81">
        <v>72</v>
      </c>
      <c r="Q16" s="72">
        <v>776.40000000000032</v>
      </c>
    </row>
    <row r="17" spans="1:17" x14ac:dyDescent="0.45">
      <c r="A17" s="20" t="s">
        <v>123</v>
      </c>
      <c r="B17" s="13">
        <f>B23</f>
        <v>345</v>
      </c>
      <c r="C17" s="6">
        <f>IF(B$15=0,0,B17/B$15)</f>
        <v>0.55200000000000005</v>
      </c>
      <c r="E17" s="29" t="s">
        <v>79</v>
      </c>
      <c r="F17" s="26" t="s">
        <v>34</v>
      </c>
      <c r="G17" s="14">
        <v>18</v>
      </c>
      <c r="H17" s="92">
        <f>IF(B$19=0,0,G17/B$19)</f>
        <v>2.3591087811271297E-2</v>
      </c>
      <c r="I17" s="60">
        <v>6</v>
      </c>
      <c r="K17" s="7">
        <v>15</v>
      </c>
      <c r="L17" s="65">
        <v>1.7763568394002505E-15</v>
      </c>
      <c r="N17" s="78" t="s">
        <v>205</v>
      </c>
      <c r="O17" s="87">
        <f>IF(P17=0,0,Q17/P17)</f>
        <v>7.8236842105263165</v>
      </c>
      <c r="P17" s="81">
        <v>76</v>
      </c>
      <c r="Q17" s="72">
        <v>594.6</v>
      </c>
    </row>
    <row r="18" spans="1:17" x14ac:dyDescent="0.45">
      <c r="A18" s="20" t="s">
        <v>124</v>
      </c>
      <c r="B18" s="13">
        <f>B24</f>
        <v>230</v>
      </c>
      <c r="C18" s="6">
        <f>IF(B$16=0,0,B18/B$16)</f>
        <v>0.41516245487364623</v>
      </c>
      <c r="E18" s="29" t="s">
        <v>91</v>
      </c>
      <c r="F18" s="26" t="s">
        <v>46</v>
      </c>
      <c r="G18" s="14">
        <v>17</v>
      </c>
      <c r="H18" s="92">
        <f>IF(B$19=0,0,G18/B$19)</f>
        <v>2.2280471821756225E-2</v>
      </c>
      <c r="I18" s="60">
        <v>3</v>
      </c>
      <c r="K18" s="7">
        <v>16</v>
      </c>
      <c r="L18" s="65">
        <v>3.4000000000000017</v>
      </c>
      <c r="N18" s="78" t="s">
        <v>212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763</v>
      </c>
      <c r="C19" s="6">
        <f>IF(B$3=0,0,B19/B$3)</f>
        <v>0.29033485540334858</v>
      </c>
      <c r="E19" s="29" t="s">
        <v>156</v>
      </c>
      <c r="F19" s="26" t="s">
        <v>157</v>
      </c>
      <c r="G19" s="14">
        <v>11</v>
      </c>
      <c r="H19" s="92">
        <f>IF(B$19=0,0,G19/B$19)</f>
        <v>1.4416775884665793E-2</v>
      </c>
      <c r="I19" s="60">
        <v>2</v>
      </c>
      <c r="K19" s="7">
        <v>17</v>
      </c>
      <c r="L19" s="65">
        <v>-35.800000000000004</v>
      </c>
      <c r="N19" s="78" t="s">
        <v>192</v>
      </c>
      <c r="O19" s="87">
        <f>IF(P19=0,0,Q19/P19)</f>
        <v>2.9736842105263199</v>
      </c>
      <c r="P19" s="81">
        <v>114</v>
      </c>
      <c r="Q19" s="72">
        <v>339.00000000000045</v>
      </c>
    </row>
    <row r="20" spans="1:17" x14ac:dyDescent="0.45">
      <c r="A20" s="21" t="s">
        <v>13</v>
      </c>
      <c r="B20" s="14">
        <v>403</v>
      </c>
      <c r="C20" s="8">
        <f>IF(B$3=0,0,B20/B$3)</f>
        <v>0.15334855403348555</v>
      </c>
      <c r="E20" s="29" t="s">
        <v>92</v>
      </c>
      <c r="F20" s="26" t="s">
        <v>47</v>
      </c>
      <c r="G20" s="14">
        <v>9</v>
      </c>
      <c r="H20" s="92">
        <f>IF(B$19=0,0,G20/B$19)</f>
        <v>1.1795543905635648E-2</v>
      </c>
      <c r="I20" s="60">
        <v>5</v>
      </c>
      <c r="K20" s="7">
        <v>18</v>
      </c>
      <c r="L20" s="65">
        <v>-7.1054273576010019E-15</v>
      </c>
      <c r="N20" s="78" t="s">
        <v>164</v>
      </c>
      <c r="O20" s="87">
        <f>IF(P20=0,0,Q20/P20)</f>
        <v>2.6745762711864369</v>
      </c>
      <c r="P20" s="81">
        <v>118</v>
      </c>
      <c r="Q20" s="72">
        <v>315.59999999999957</v>
      </c>
    </row>
    <row r="21" spans="1:17" x14ac:dyDescent="0.45">
      <c r="A21" s="21" t="s">
        <v>12</v>
      </c>
      <c r="B21" s="14">
        <v>358</v>
      </c>
      <c r="C21" s="8">
        <f>IF(B$19=0,0,B21/B$19)</f>
        <v>0.4692005242463958</v>
      </c>
      <c r="E21" s="29" t="s">
        <v>77</v>
      </c>
      <c r="F21" s="26" t="s">
        <v>32</v>
      </c>
      <c r="G21" s="14">
        <v>5</v>
      </c>
      <c r="H21" s="92">
        <f>IF(B$19=0,0,G21/B$19)</f>
        <v>6.55307994757536E-3</v>
      </c>
      <c r="I21" s="60">
        <v>5</v>
      </c>
      <c r="K21" s="7">
        <v>19</v>
      </c>
      <c r="L21" s="65">
        <v>-27.100000000000009</v>
      </c>
      <c r="N21" s="78" t="s">
        <v>196</v>
      </c>
      <c r="O21" s="87">
        <f>IF(P21=0,0,Q21/P21)</f>
        <v>-3.6000000000000023</v>
      </c>
      <c r="P21" s="81">
        <v>18</v>
      </c>
      <c r="Q21" s="72">
        <v>-64.80000000000004</v>
      </c>
    </row>
    <row r="22" spans="1:17" x14ac:dyDescent="0.45">
      <c r="A22" s="21" t="s">
        <v>11</v>
      </c>
      <c r="B22" s="14">
        <v>405</v>
      </c>
      <c r="C22" s="8">
        <f>IF(B$19=0,0,B22/B$19)</f>
        <v>0.5307994757536042</v>
      </c>
      <c r="E22" s="29" t="s">
        <v>75</v>
      </c>
      <c r="F22" s="26" t="s">
        <v>30</v>
      </c>
      <c r="G22" s="14">
        <v>3</v>
      </c>
      <c r="H22" s="92">
        <f>IF(B$19=0,0,G22/B$19)</f>
        <v>3.9318479685452159E-3</v>
      </c>
      <c r="I22" s="60">
        <v>4</v>
      </c>
      <c r="K22" s="7">
        <v>20</v>
      </c>
      <c r="L22" s="65">
        <v>-28.600000000000009</v>
      </c>
      <c r="N22" s="78" t="s">
        <v>193</v>
      </c>
      <c r="O22" s="87">
        <f>IF(P22=0,0,Q22/P22)</f>
        <v>-3.8409090909090895</v>
      </c>
      <c r="P22" s="81">
        <v>66</v>
      </c>
      <c r="Q22" s="72">
        <v>-253.49999999999991</v>
      </c>
    </row>
    <row r="23" spans="1:17" x14ac:dyDescent="0.45">
      <c r="A23" s="21" t="s">
        <v>184</v>
      </c>
      <c r="B23" s="14">
        <v>345</v>
      </c>
      <c r="C23" s="8">
        <f>IF(B$19=0,0,B23/B$19)</f>
        <v>0.45216251638269989</v>
      </c>
      <c r="E23" s="29" t="s">
        <v>85</v>
      </c>
      <c r="F23" s="26" t="s">
        <v>40</v>
      </c>
      <c r="G23" s="14">
        <v>3</v>
      </c>
      <c r="H23" s="92">
        <f>IF(B$19=0,0,G23/B$19)</f>
        <v>3.9318479685452159E-3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-12.943373493975898</v>
      </c>
      <c r="P23" s="81">
        <v>166</v>
      </c>
      <c r="Q23" s="72">
        <v>-2148.599999999999</v>
      </c>
    </row>
    <row r="24" spans="1:17" x14ac:dyDescent="0.45">
      <c r="A24" s="21" t="s">
        <v>182</v>
      </c>
      <c r="B24" s="14">
        <v>230</v>
      </c>
      <c r="C24" s="8">
        <f>IF(B$19=0,0,B24/B$19)</f>
        <v>0.30144167758846657</v>
      </c>
      <c r="E24" s="29" t="s">
        <v>73</v>
      </c>
      <c r="F24" s="26" t="s">
        <v>28</v>
      </c>
      <c r="G24" s="14">
        <v>2</v>
      </c>
      <c r="H24" s="92">
        <f>IF(B$19=0,0,G24/B$19)</f>
        <v>2.6212319790301442E-3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188</v>
      </c>
      <c r="C25" s="8">
        <f>IF(B$19=0,0,B25/B$19)</f>
        <v>0.24639580602883354</v>
      </c>
      <c r="E25" s="29" t="s">
        <v>87</v>
      </c>
      <c r="F25" s="26" t="s">
        <v>42</v>
      </c>
      <c r="G25" s="14">
        <v>2</v>
      </c>
      <c r="H25" s="92">
        <f>IF(B$19=0,0,G25/B$19)</f>
        <v>2.6212319790301442E-3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8811.4023591087807</v>
      </c>
      <c r="C26" s="10">
        <v>6723100</v>
      </c>
      <c r="E26" s="29" t="s">
        <v>93</v>
      </c>
      <c r="F26" s="26" t="s">
        <v>48</v>
      </c>
      <c r="G26" s="14">
        <v>2</v>
      </c>
      <c r="H26" s="92">
        <f>IF(B$19=0,0,G26/B$19)</f>
        <v>2.6212319790301442E-3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9421.3883677298309</v>
      </c>
      <c r="C27" s="100">
        <v>5021600</v>
      </c>
      <c r="E27" s="29" t="s">
        <v>74</v>
      </c>
      <c r="F27" s="26" t="s">
        <v>29</v>
      </c>
      <c r="G27" s="14">
        <v>1</v>
      </c>
      <c r="H27" s="92">
        <f>IF(B$19=0,0,G27/B$19)</f>
        <v>1.3106159895150721E-3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7397.826086956522</v>
      </c>
      <c r="C28" s="100">
        <v>1701500</v>
      </c>
      <c r="E28" s="29" t="s">
        <v>84</v>
      </c>
      <c r="F28" s="26" t="s">
        <v>39</v>
      </c>
      <c r="G28" s="14">
        <v>1</v>
      </c>
      <c r="H28" s="92">
        <f>IF(B$19=0,0,G28/B$19)</f>
        <v>1.3106159895150721E-3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-7978.1637717121585</v>
      </c>
      <c r="C29" s="100">
        <v>-3215200</v>
      </c>
      <c r="E29" s="29" t="s">
        <v>88</v>
      </c>
      <c r="F29" s="26" t="s">
        <v>43</v>
      </c>
      <c r="G29" s="14">
        <v>1</v>
      </c>
      <c r="H29" s="92">
        <f>IF(B$19=0,0,G29/B$19)</f>
        <v>1.3106159895150721E-3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95</v>
      </c>
      <c r="F30" s="26" t="s">
        <v>50</v>
      </c>
      <c r="G30" s="14">
        <v>1</v>
      </c>
      <c r="H30" s="92">
        <f>IF(B$19=0,0,G30/B$19)</f>
        <v>1.3106159895150721E-3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8</v>
      </c>
      <c r="E31" s="29" t="s">
        <v>97</v>
      </c>
      <c r="F31" s="26" t="s">
        <v>52</v>
      </c>
      <c r="G31" s="14">
        <v>1</v>
      </c>
      <c r="H31" s="92">
        <f>IF(B$19=0,0,G31/B$19)</f>
        <v>1.3106159895150721E-3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7</v>
      </c>
      <c r="C32" s="126"/>
      <c r="E32" s="29" t="s">
        <v>102</v>
      </c>
      <c r="F32" s="26" t="s">
        <v>57</v>
      </c>
      <c r="G32" s="14">
        <v>1</v>
      </c>
      <c r="H32" s="92">
        <f>IF(B$19=0,0,G32/B$19)</f>
        <v>1.3106159895150721E-3</v>
      </c>
      <c r="I32" s="60">
        <v>2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106</v>
      </c>
      <c r="F33" s="26" t="s">
        <v>113</v>
      </c>
      <c r="G33" s="14">
        <v>1</v>
      </c>
      <c r="H33" s="92">
        <f>IF(B$19=0,0,G33/B$19)</f>
        <v>1.3106159895150721E-3</v>
      </c>
      <c r="I33" s="60">
        <v>2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6</v>
      </c>
      <c r="C34" s="11">
        <f>IF(B$3=0,0,B34/B$3)</f>
        <v>2.2831050228310501E-3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56</v>
      </c>
      <c r="C36" s="102">
        <f t="shared" ref="C36:C48" si="2">IF(B$19=0,0,B36/B$19)</f>
        <v>7.3394495412844041E-2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136</v>
      </c>
      <c r="C37" s="8">
        <f t="shared" si="2"/>
        <v>0.1782437745740498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134</v>
      </c>
      <c r="C38" s="8">
        <f t="shared" si="2"/>
        <v>0.17562254259501967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140</v>
      </c>
      <c r="C39" s="8">
        <f t="shared" si="2"/>
        <v>0.1834862385321101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110</v>
      </c>
      <c r="C40" s="8">
        <f t="shared" si="2"/>
        <v>0.14416775884665792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75</v>
      </c>
      <c r="C41" s="8">
        <f t="shared" si="2"/>
        <v>9.8296199213630406E-2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48</v>
      </c>
      <c r="C42" s="8">
        <f t="shared" si="2"/>
        <v>6.2909567496723454E-2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20</v>
      </c>
      <c r="C43" s="8">
        <f t="shared" si="2"/>
        <v>2.621231979030144E-2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12</v>
      </c>
      <c r="C44" s="8">
        <f t="shared" si="2"/>
        <v>1.5727391874180863E-2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9</v>
      </c>
      <c r="C45" s="8">
        <f t="shared" si="2"/>
        <v>1.1795543905635648E-2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5.2424639580602884E-3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4</v>
      </c>
      <c r="C47" s="8">
        <f t="shared" si="2"/>
        <v>5.2424639580602884E-3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15</v>
      </c>
      <c r="C48" s="11">
        <f t="shared" si="2"/>
        <v>1.9659239842726082E-2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  <row r="276" spans="11:12" x14ac:dyDescent="0.45">
      <c r="K276" s="7">
        <v>274</v>
      </c>
      <c r="L276" s="65">
        <v>-34.800000000000033</v>
      </c>
    </row>
    <row r="277" spans="11:12" x14ac:dyDescent="0.45">
      <c r="K277" s="7">
        <v>275</v>
      </c>
      <c r="L277" s="65">
        <v>-50.800000000000033</v>
      </c>
    </row>
    <row r="278" spans="11:12" x14ac:dyDescent="0.45">
      <c r="K278" s="7">
        <v>276</v>
      </c>
      <c r="L278" s="65">
        <v>-3.5527136788005009E-14</v>
      </c>
    </row>
    <row r="279" spans="11:12" x14ac:dyDescent="0.45">
      <c r="K279" s="7">
        <v>277</v>
      </c>
      <c r="L279" s="65">
        <v>33.199999999999967</v>
      </c>
    </row>
    <row r="280" spans="11:12" x14ac:dyDescent="0.45">
      <c r="K280" s="7">
        <v>278</v>
      </c>
      <c r="L280" s="65">
        <v>41.599999999999966</v>
      </c>
    </row>
    <row r="281" spans="11:12" x14ac:dyDescent="0.45">
      <c r="K281" s="7">
        <v>279</v>
      </c>
      <c r="L281" s="65">
        <v>-3.5527136788005009E-14</v>
      </c>
    </row>
    <row r="282" spans="11:12" x14ac:dyDescent="0.45">
      <c r="K282" s="7">
        <v>280</v>
      </c>
      <c r="L282" s="65">
        <v>11.899999999999965</v>
      </c>
    </row>
    <row r="283" spans="11:12" x14ac:dyDescent="0.45">
      <c r="K283" s="7">
        <v>281</v>
      </c>
      <c r="L283" s="65">
        <v>36.199999999999967</v>
      </c>
    </row>
    <row r="284" spans="11:12" x14ac:dyDescent="0.45">
      <c r="K284" s="7">
        <v>282</v>
      </c>
      <c r="L284" s="65">
        <v>-3.5527136788005009E-14</v>
      </c>
    </row>
    <row r="285" spans="11:12" x14ac:dyDescent="0.45">
      <c r="K285" s="7">
        <v>283</v>
      </c>
      <c r="L285" s="65">
        <v>6.1999999999999647</v>
      </c>
    </row>
    <row r="286" spans="11:12" x14ac:dyDescent="0.45">
      <c r="K286" s="7">
        <v>284</v>
      </c>
      <c r="L286" s="65">
        <v>-28.100000000000033</v>
      </c>
    </row>
    <row r="287" spans="11:12" x14ac:dyDescent="0.45">
      <c r="K287" s="7">
        <v>285</v>
      </c>
      <c r="L287" s="65">
        <v>-3.1974423109204508E-14</v>
      </c>
    </row>
    <row r="288" spans="11:12" x14ac:dyDescent="0.45">
      <c r="K288" s="7">
        <v>286</v>
      </c>
      <c r="L288" s="65">
        <v>-40.800000000000026</v>
      </c>
    </row>
    <row r="289" spans="11:12" x14ac:dyDescent="0.45">
      <c r="K289" s="7">
        <v>287</v>
      </c>
      <c r="L289" s="65">
        <v>-33.700000000000024</v>
      </c>
    </row>
    <row r="290" spans="11:12" x14ac:dyDescent="0.45">
      <c r="K290" s="7">
        <v>288</v>
      </c>
      <c r="L290" s="65">
        <v>-2.1316282072803006E-14</v>
      </c>
    </row>
    <row r="291" spans="11:12" x14ac:dyDescent="0.45">
      <c r="K291" s="7">
        <v>289</v>
      </c>
      <c r="L291" s="65">
        <v>0.99999999999997868</v>
      </c>
    </row>
    <row r="292" spans="11:12" x14ac:dyDescent="0.45">
      <c r="K292" s="7">
        <v>290</v>
      </c>
      <c r="L292" s="65">
        <v>-24.40000000000002</v>
      </c>
    </row>
    <row r="293" spans="11:12" x14ac:dyDescent="0.45">
      <c r="K293" s="7">
        <v>291</v>
      </c>
      <c r="L293" s="65">
        <v>-2.1316282072803006E-14</v>
      </c>
    </row>
    <row r="294" spans="11:12" x14ac:dyDescent="0.45">
      <c r="K294" s="7">
        <v>292</v>
      </c>
      <c r="L294" s="65">
        <v>-0.10000000000002132</v>
      </c>
    </row>
    <row r="295" spans="11:12" x14ac:dyDescent="0.45">
      <c r="K295" s="7">
        <v>293</v>
      </c>
      <c r="L295" s="65">
        <v>-19.400000000000023</v>
      </c>
    </row>
    <row r="296" spans="11:12" x14ac:dyDescent="0.45">
      <c r="K296" s="7">
        <v>294</v>
      </c>
      <c r="L296" s="65">
        <v>-2.4868995751603507E-14</v>
      </c>
    </row>
    <row r="297" spans="11:12" x14ac:dyDescent="0.45">
      <c r="K297" s="7">
        <v>295</v>
      </c>
      <c r="L297" s="65">
        <v>60.499999999999972</v>
      </c>
    </row>
    <row r="298" spans="11:12" x14ac:dyDescent="0.45">
      <c r="K298" s="7">
        <v>296</v>
      </c>
      <c r="L298" s="65">
        <v>54.699999999999974</v>
      </c>
    </row>
    <row r="299" spans="11:12" x14ac:dyDescent="0.45">
      <c r="K299" s="7">
        <v>297</v>
      </c>
      <c r="L299" s="65">
        <v>-2.8421709430404007E-14</v>
      </c>
    </row>
    <row r="300" spans="11:12" x14ac:dyDescent="0.45">
      <c r="K300" s="7">
        <v>298</v>
      </c>
      <c r="L300" s="65">
        <v>20.199999999999971</v>
      </c>
    </row>
    <row r="301" spans="11:12" x14ac:dyDescent="0.45">
      <c r="K301" s="7">
        <v>299</v>
      </c>
      <c r="L301" s="65">
        <v>18.199999999999971</v>
      </c>
    </row>
    <row r="302" spans="11:12" x14ac:dyDescent="0.45">
      <c r="K302" s="7">
        <v>300</v>
      </c>
      <c r="L302" s="65">
        <v>-2.8421709430404007E-14</v>
      </c>
    </row>
    <row r="303" spans="11:12" x14ac:dyDescent="0.45">
      <c r="K303" s="7">
        <v>301</v>
      </c>
      <c r="L303" s="65">
        <v>-27.500000000000028</v>
      </c>
    </row>
    <row r="304" spans="11:12" x14ac:dyDescent="0.45">
      <c r="K304" s="7">
        <v>302</v>
      </c>
      <c r="L304" s="65">
        <v>-19.10000000000003</v>
      </c>
    </row>
    <row r="305" spans="11:12" x14ac:dyDescent="0.45">
      <c r="K305" s="7">
        <v>303</v>
      </c>
      <c r="L305" s="65">
        <v>-2.8421709430404007E-14</v>
      </c>
    </row>
    <row r="306" spans="11:12" x14ac:dyDescent="0.45">
      <c r="K306" s="7">
        <v>304</v>
      </c>
      <c r="L306" s="65">
        <v>29.499999999999972</v>
      </c>
    </row>
    <row r="307" spans="11:12" x14ac:dyDescent="0.45">
      <c r="K307" s="7">
        <v>305</v>
      </c>
      <c r="L307" s="65">
        <v>30.799999999999972</v>
      </c>
    </row>
    <row r="308" spans="11:12" x14ac:dyDescent="0.45">
      <c r="K308" s="7">
        <v>306</v>
      </c>
      <c r="L308" s="65">
        <v>-2.8421709430404007E-14</v>
      </c>
    </row>
    <row r="309" spans="11:12" x14ac:dyDescent="0.45">
      <c r="K309" s="7">
        <v>307</v>
      </c>
      <c r="L309" s="65">
        <v>14.099999999999971</v>
      </c>
    </row>
    <row r="310" spans="11:12" x14ac:dyDescent="0.45">
      <c r="K310" s="7">
        <v>308</v>
      </c>
      <c r="L310" s="65">
        <v>50.299999999999976</v>
      </c>
    </row>
    <row r="311" spans="11:12" x14ac:dyDescent="0.45">
      <c r="K311" s="7">
        <v>309</v>
      </c>
      <c r="L311" s="65">
        <v>-2.1316282072803006E-14</v>
      </c>
    </row>
    <row r="312" spans="11:12" x14ac:dyDescent="0.45">
      <c r="K312" s="7">
        <v>310</v>
      </c>
      <c r="L312" s="65">
        <v>8.399999999999979</v>
      </c>
    </row>
    <row r="313" spans="11:12" x14ac:dyDescent="0.45">
      <c r="K313" s="7">
        <v>311</v>
      </c>
      <c r="L313" s="65">
        <v>42.499999999999979</v>
      </c>
    </row>
    <row r="314" spans="11:12" x14ac:dyDescent="0.45">
      <c r="K314" s="7">
        <v>312</v>
      </c>
      <c r="L314" s="65">
        <v>-2.1316282072803006E-14</v>
      </c>
    </row>
    <row r="315" spans="11:12" x14ac:dyDescent="0.45">
      <c r="K315" s="7">
        <v>313</v>
      </c>
      <c r="L315" s="65">
        <v>-19.200000000000021</v>
      </c>
    </row>
    <row r="316" spans="11:12" x14ac:dyDescent="0.45">
      <c r="K316" s="7">
        <v>314</v>
      </c>
      <c r="L316" s="65">
        <v>-15.80000000000002</v>
      </c>
    </row>
    <row r="317" spans="11:12" x14ac:dyDescent="0.45">
      <c r="K317" s="7">
        <v>315</v>
      </c>
      <c r="L317" s="65">
        <v>-1.9539925233402755E-14</v>
      </c>
    </row>
    <row r="318" spans="11:12" x14ac:dyDescent="0.45">
      <c r="K318" s="7">
        <v>316</v>
      </c>
      <c r="L318" s="65">
        <v>7.0999999999999801</v>
      </c>
    </row>
    <row r="319" spans="11:12" x14ac:dyDescent="0.45">
      <c r="K319" s="7">
        <v>317</v>
      </c>
      <c r="L319" s="65">
        <v>28.199999999999982</v>
      </c>
    </row>
    <row r="320" spans="11:12" x14ac:dyDescent="0.45">
      <c r="K320" s="7">
        <v>318</v>
      </c>
      <c r="L320" s="65">
        <v>-1.7763568394002505E-14</v>
      </c>
    </row>
    <row r="321" spans="11:12" x14ac:dyDescent="0.45">
      <c r="K321" s="7">
        <v>319</v>
      </c>
      <c r="L321" s="65">
        <v>-20.400000000000016</v>
      </c>
    </row>
    <row r="322" spans="11:12" x14ac:dyDescent="0.45">
      <c r="K322" s="7">
        <v>320</v>
      </c>
      <c r="L322" s="65">
        <v>-16.300000000000018</v>
      </c>
    </row>
    <row r="323" spans="11:12" x14ac:dyDescent="0.45">
      <c r="K323" s="7">
        <v>321</v>
      </c>
      <c r="L323" s="65">
        <v>-1.7763568394002505E-14</v>
      </c>
    </row>
    <row r="324" spans="11:12" x14ac:dyDescent="0.45">
      <c r="K324" s="7">
        <v>322</v>
      </c>
      <c r="L324" s="65">
        <v>4.7999999999999821</v>
      </c>
    </row>
    <row r="325" spans="11:12" x14ac:dyDescent="0.45">
      <c r="K325" s="7">
        <v>323</v>
      </c>
      <c r="L325" s="65">
        <v>-28.500000000000014</v>
      </c>
    </row>
    <row r="326" spans="11:12" x14ac:dyDescent="0.45">
      <c r="K326" s="7">
        <v>324</v>
      </c>
      <c r="L326" s="65">
        <v>-1.4210854715202004E-14</v>
      </c>
    </row>
    <row r="327" spans="11:12" x14ac:dyDescent="0.45">
      <c r="K327" s="7">
        <v>325</v>
      </c>
      <c r="L327" s="65">
        <v>29.499999999999986</v>
      </c>
    </row>
    <row r="328" spans="11:12" x14ac:dyDescent="0.45">
      <c r="K328" s="7">
        <v>326</v>
      </c>
      <c r="L328" s="65">
        <v>23.099999999999987</v>
      </c>
    </row>
    <row r="329" spans="11:12" x14ac:dyDescent="0.45">
      <c r="K329" s="7">
        <v>327</v>
      </c>
      <c r="L329" s="65">
        <v>-1.4210854715202004E-14</v>
      </c>
    </row>
    <row r="330" spans="11:12" x14ac:dyDescent="0.45">
      <c r="K330" s="7">
        <v>328</v>
      </c>
      <c r="L330" s="65">
        <v>-6.7000000000000144</v>
      </c>
    </row>
    <row r="331" spans="11:12" x14ac:dyDescent="0.45">
      <c r="K331" s="7">
        <v>329</v>
      </c>
      <c r="L331" s="65">
        <v>23.899999999999988</v>
      </c>
    </row>
    <row r="332" spans="11:12" x14ac:dyDescent="0.45">
      <c r="K332" s="7">
        <v>330</v>
      </c>
      <c r="L332" s="65">
        <v>-1.0658141036401503E-14</v>
      </c>
    </row>
    <row r="333" spans="11:12" x14ac:dyDescent="0.45">
      <c r="K333" s="7">
        <v>331</v>
      </c>
      <c r="L333" s="65">
        <v>-20.900000000000009</v>
      </c>
    </row>
    <row r="334" spans="11:12" x14ac:dyDescent="0.45">
      <c r="K334" s="7">
        <v>332</v>
      </c>
      <c r="L334" s="65">
        <v>3.4999999999999893</v>
      </c>
    </row>
    <row r="335" spans="11:12" x14ac:dyDescent="0.45">
      <c r="K335" s="7">
        <v>333</v>
      </c>
      <c r="L335" s="65">
        <v>-1.0658141036401503E-14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46315-2903-48E4-91F6-AADE9C8976B2}">
  <sheetPr codeName="Sheet7"/>
  <dimension ref="A1:Q6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59</v>
      </c>
      <c r="C2" s="132"/>
      <c r="E2" s="28" t="s">
        <v>66</v>
      </c>
      <c r="F2" s="25" t="s">
        <v>22</v>
      </c>
      <c r="G2" s="13">
        <v>114</v>
      </c>
      <c r="H2" s="91">
        <f>IF(B$19=0,0,G2/B$19)</f>
        <v>0.90476190476190477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-647.36842105263156</v>
      </c>
      <c r="P2" s="80">
        <v>57</v>
      </c>
      <c r="Q2" s="67">
        <v>-36900</v>
      </c>
    </row>
    <row r="3" spans="1:17" x14ac:dyDescent="0.45">
      <c r="A3" s="21" t="s">
        <v>8</v>
      </c>
      <c r="B3" s="133">
        <v>467</v>
      </c>
      <c r="C3" s="134"/>
      <c r="E3" s="29" t="s">
        <v>64</v>
      </c>
      <c r="F3" s="26" t="s">
        <v>20</v>
      </c>
      <c r="G3" s="14">
        <v>65</v>
      </c>
      <c r="H3" s="92">
        <f>IF(B$19=0,0,G3/B$19)</f>
        <v>0.51587301587301593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-1886.2068965517242</v>
      </c>
      <c r="P3" s="81">
        <v>58</v>
      </c>
      <c r="Q3" s="68">
        <v>-109400</v>
      </c>
    </row>
    <row r="4" spans="1:17" x14ac:dyDescent="0.45">
      <c r="A4" s="21" t="s">
        <v>6</v>
      </c>
      <c r="B4" s="135">
        <v>-105.20000000000006</v>
      </c>
      <c r="C4" s="136"/>
      <c r="E4" s="29" t="s">
        <v>72</v>
      </c>
      <c r="F4" s="26" t="s">
        <v>27</v>
      </c>
      <c r="G4" s="14">
        <v>64</v>
      </c>
      <c r="H4" s="92">
        <f>IF(B$19=0,0,G4/B$19)</f>
        <v>0.50793650793650791</v>
      </c>
      <c r="I4" s="60">
        <v>7</v>
      </c>
      <c r="K4" s="7">
        <v>2</v>
      </c>
      <c r="L4" s="65">
        <v>32.9</v>
      </c>
      <c r="N4" s="78" t="s">
        <v>130</v>
      </c>
      <c r="O4" s="84">
        <f t="shared" si="0"/>
        <v>253.7037037037037</v>
      </c>
      <c r="P4" s="81">
        <v>54</v>
      </c>
      <c r="Q4" s="68">
        <v>13700</v>
      </c>
    </row>
    <row r="5" spans="1:17" x14ac:dyDescent="0.45">
      <c r="A5" s="21" t="s">
        <v>7</v>
      </c>
      <c r="B5" s="123">
        <f>IF(B$2=0,0,B$4/B$2)</f>
        <v>-1.7830508474576281</v>
      </c>
      <c r="C5" s="124"/>
      <c r="E5" s="29" t="s">
        <v>160</v>
      </c>
      <c r="F5" s="26" t="s">
        <v>161</v>
      </c>
      <c r="G5" s="14">
        <v>60</v>
      </c>
      <c r="H5" s="92">
        <f>IF(B$19=0,0,G5/B$19)</f>
        <v>0.47619047619047616</v>
      </c>
      <c r="I5" s="60">
        <v>3</v>
      </c>
      <c r="K5" s="7">
        <v>3</v>
      </c>
      <c r="L5" s="65">
        <v>61.5</v>
      </c>
      <c r="N5" s="78" t="s">
        <v>131</v>
      </c>
      <c r="O5" s="84">
        <f t="shared" si="0"/>
        <v>-1428.5714285714287</v>
      </c>
      <c r="P5" s="81">
        <v>49</v>
      </c>
      <c r="Q5" s="68">
        <v>-70000</v>
      </c>
    </row>
    <row r="6" spans="1:17" x14ac:dyDescent="0.45">
      <c r="A6" s="21" t="s">
        <v>1</v>
      </c>
      <c r="B6" s="137">
        <f>IF(B$2=0,0,(B$7*1+B$8*2+B$9*3)/B$2)</f>
        <v>2.0338983050847457</v>
      </c>
      <c r="C6" s="138"/>
      <c r="E6" s="29" t="s">
        <v>68</v>
      </c>
      <c r="F6" s="26" t="s">
        <v>12</v>
      </c>
      <c r="G6" s="14">
        <v>39</v>
      </c>
      <c r="H6" s="92">
        <f>IF(B$19=0,0,G6/B$19)</f>
        <v>0.30952380952380953</v>
      </c>
      <c r="I6" s="60">
        <v>5</v>
      </c>
      <c r="K6" s="7">
        <v>4</v>
      </c>
      <c r="L6" s="65">
        <v>27.4</v>
      </c>
      <c r="N6" s="78" t="s">
        <v>132</v>
      </c>
      <c r="O6" s="84">
        <f t="shared" si="0"/>
        <v>104.16666666666667</v>
      </c>
      <c r="P6" s="81">
        <v>48</v>
      </c>
      <c r="Q6" s="68">
        <v>5000</v>
      </c>
    </row>
    <row r="7" spans="1:17" x14ac:dyDescent="0.45">
      <c r="A7" s="21" t="s">
        <v>2</v>
      </c>
      <c r="B7" s="14">
        <v>21</v>
      </c>
      <c r="C7" s="8">
        <f t="shared" ref="C7:C14" si="1">IF(B$2=0,0,B7/B$2)</f>
        <v>0.3559322033898305</v>
      </c>
      <c r="E7" s="29" t="s">
        <v>67</v>
      </c>
      <c r="F7" s="26" t="s">
        <v>23</v>
      </c>
      <c r="G7" s="14">
        <v>32</v>
      </c>
      <c r="H7" s="92">
        <f>IF(B$19=0,0,G7/B$19)</f>
        <v>0.25396825396825395</v>
      </c>
      <c r="I7" s="60">
        <v>5</v>
      </c>
      <c r="K7" s="7">
        <v>5</v>
      </c>
      <c r="L7" s="65">
        <v>18</v>
      </c>
      <c r="N7" s="79" t="s">
        <v>133</v>
      </c>
      <c r="O7" s="85">
        <f t="shared" si="0"/>
        <v>2685.7142857142858</v>
      </c>
      <c r="P7" s="82">
        <v>35</v>
      </c>
      <c r="Q7" s="69">
        <v>94000</v>
      </c>
    </row>
    <row r="8" spans="1:17" x14ac:dyDescent="0.45">
      <c r="A8" s="21" t="s">
        <v>3</v>
      </c>
      <c r="B8" s="14">
        <v>15</v>
      </c>
      <c r="C8" s="8">
        <f t="shared" si="1"/>
        <v>0.25423728813559321</v>
      </c>
      <c r="E8" s="29" t="s">
        <v>89</v>
      </c>
      <c r="F8" s="26" t="s">
        <v>44</v>
      </c>
      <c r="G8" s="14">
        <v>17</v>
      </c>
      <c r="H8" s="92">
        <f>IF(B$19=0,0,G8/B$19)</f>
        <v>0.13492063492063491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23</v>
      </c>
      <c r="C9" s="9">
        <f t="shared" si="1"/>
        <v>0.38983050847457629</v>
      </c>
      <c r="E9" s="29" t="s">
        <v>70</v>
      </c>
      <c r="F9" s="26" t="s">
        <v>25</v>
      </c>
      <c r="G9" s="14">
        <v>15</v>
      </c>
      <c r="H9" s="92">
        <f>IF(B$19=0,0,G9/B$19)</f>
        <v>0.11904761904761904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39.038095238095245</v>
      </c>
      <c r="C10" s="114">
        <v>819.80000000000018</v>
      </c>
      <c r="E10" s="29" t="s">
        <v>65</v>
      </c>
      <c r="F10" s="26" t="s">
        <v>21</v>
      </c>
      <c r="G10" s="14">
        <v>13</v>
      </c>
      <c r="H10" s="92">
        <f>IF(B$19=0,0,G10/B$19)</f>
        <v>0.10317460317460317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-11.015789473684213</v>
      </c>
      <c r="P10" s="80">
        <v>19</v>
      </c>
      <c r="Q10" s="71">
        <v>-209.30000000000004</v>
      </c>
    </row>
    <row r="11" spans="1:17" x14ac:dyDescent="0.45">
      <c r="A11" s="22" t="s">
        <v>186</v>
      </c>
      <c r="B11" s="113">
        <f>IF(B8=0,0,C11/B8)</f>
        <v>-1.8933333333333335</v>
      </c>
      <c r="C11" s="114">
        <v>-28.400000000000002</v>
      </c>
      <c r="E11" s="29" t="s">
        <v>69</v>
      </c>
      <c r="F11" s="26" t="s">
        <v>24</v>
      </c>
      <c r="G11" s="14">
        <v>12</v>
      </c>
      <c r="H11" s="92">
        <f>IF(B$19=0,0,G11/B$19)</f>
        <v>9.5238095238095233E-2</v>
      </c>
      <c r="I11" s="60">
        <v>9</v>
      </c>
      <c r="K11" s="7">
        <v>9</v>
      </c>
      <c r="L11" s="65">
        <v>33.5</v>
      </c>
      <c r="N11" s="78" t="s">
        <v>153</v>
      </c>
      <c r="O11" s="87">
        <f>IF(P11=0,0,Q11/P11)</f>
        <v>9.6263157894736846</v>
      </c>
      <c r="P11" s="81">
        <v>19</v>
      </c>
      <c r="Q11" s="72">
        <v>182.9</v>
      </c>
    </row>
    <row r="12" spans="1:17" x14ac:dyDescent="0.45">
      <c r="A12" s="22" t="s">
        <v>187</v>
      </c>
      <c r="B12" s="113">
        <f>IF(B9=0,0,C12/B9)</f>
        <v>-38.982608695652168</v>
      </c>
      <c r="C12" s="114">
        <v>-896.5999999999998</v>
      </c>
      <c r="E12" s="29" t="s">
        <v>86</v>
      </c>
      <c r="F12" s="26" t="s">
        <v>41</v>
      </c>
      <c r="G12" s="14">
        <v>12</v>
      </c>
      <c r="H12" s="92">
        <f>IF(B$19=0,0,G12/B$19)</f>
        <v>9.5238095238095233E-2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-3.7523809523809515</v>
      </c>
      <c r="P12" s="82">
        <v>21</v>
      </c>
      <c r="Q12" s="73">
        <v>-78.799999999999983</v>
      </c>
    </row>
    <row r="13" spans="1:17" x14ac:dyDescent="0.45">
      <c r="A13" s="22" t="s">
        <v>188</v>
      </c>
      <c r="B13" s="123">
        <f>AVERAGE(B10:B12)</f>
        <v>-0.61261559696341783</v>
      </c>
      <c r="C13" s="124"/>
      <c r="E13" s="29" t="s">
        <v>91</v>
      </c>
      <c r="F13" s="26" t="s">
        <v>46</v>
      </c>
      <c r="G13" s="14">
        <v>10</v>
      </c>
      <c r="H13" s="92">
        <f>IF(B$19=0,0,G13/B$19)</f>
        <v>7.9365079365079361E-2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10</v>
      </c>
      <c r="C14" s="11">
        <f t="shared" si="1"/>
        <v>0.16949152542372881</v>
      </c>
      <c r="E14" s="29" t="s">
        <v>71</v>
      </c>
      <c r="F14" s="26" t="s">
        <v>26</v>
      </c>
      <c r="G14" s="14">
        <v>7</v>
      </c>
      <c r="H14" s="92">
        <f>IF(B$19=0,0,G14/B$19)</f>
        <v>5.5555555555555552E-2</v>
      </c>
      <c r="I14" s="60">
        <v>6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138</v>
      </c>
      <c r="C15" s="12">
        <f>IF(B$3=0,0,B15/B$3)</f>
        <v>0.2955032119914347</v>
      </c>
      <c r="E15" s="29" t="s">
        <v>81</v>
      </c>
      <c r="F15" s="26" t="s">
        <v>36</v>
      </c>
      <c r="G15" s="14">
        <v>6</v>
      </c>
      <c r="H15" s="92">
        <f>IF(B$19=0,0,G15/B$19)</f>
        <v>4.7619047619047616E-2</v>
      </c>
      <c r="I15" s="60">
        <v>2</v>
      </c>
      <c r="K15" s="7">
        <v>13</v>
      </c>
      <c r="L15" s="65">
        <v>-33.5</v>
      </c>
      <c r="N15" s="77" t="s">
        <v>189</v>
      </c>
      <c r="O15" s="86">
        <f t="shared" ref="O15:O22" si="2"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94</v>
      </c>
      <c r="C16" s="8">
        <f>IF(B$3=0,0,B16/B$3)</f>
        <v>0.2012847965738758</v>
      </c>
      <c r="E16" s="29" t="s">
        <v>78</v>
      </c>
      <c r="F16" s="26" t="s">
        <v>33</v>
      </c>
      <c r="G16" s="14">
        <v>4</v>
      </c>
      <c r="H16" s="92">
        <f>IF(B$19=0,0,G16/B$19)</f>
        <v>3.1746031746031744E-2</v>
      </c>
      <c r="I16" s="60">
        <v>8</v>
      </c>
      <c r="K16" s="7">
        <v>14</v>
      </c>
      <c r="L16" s="65">
        <v>15.100000000000001</v>
      </c>
      <c r="N16" s="78" t="s">
        <v>205</v>
      </c>
      <c r="O16" s="87">
        <f t="shared" si="2"/>
        <v>10.113333333333333</v>
      </c>
      <c r="P16" s="81">
        <v>15</v>
      </c>
      <c r="Q16" s="72">
        <v>151.69999999999999</v>
      </c>
    </row>
    <row r="17" spans="1:17" x14ac:dyDescent="0.45">
      <c r="A17" s="20" t="s">
        <v>123</v>
      </c>
      <c r="B17" s="13">
        <f>B23</f>
        <v>64</v>
      </c>
      <c r="C17" s="6">
        <f>IF(B$15=0,0,B17/B$15)</f>
        <v>0.46376811594202899</v>
      </c>
      <c r="E17" s="29" t="s">
        <v>79</v>
      </c>
      <c r="F17" s="26" t="s">
        <v>34</v>
      </c>
      <c r="G17" s="14">
        <v>3</v>
      </c>
      <c r="H17" s="92">
        <f>IF(B$19=0,0,G17/B$19)</f>
        <v>2.3809523809523808E-2</v>
      </c>
      <c r="I17" s="60">
        <v>5</v>
      </c>
      <c r="K17" s="7">
        <v>15</v>
      </c>
      <c r="L17" s="65">
        <v>-33.1</v>
      </c>
      <c r="N17" s="78" t="s">
        <v>212</v>
      </c>
      <c r="O17" s="87">
        <f t="shared" si="2"/>
        <v>9.1222222222222218</v>
      </c>
      <c r="P17" s="81">
        <v>9</v>
      </c>
      <c r="Q17" s="72">
        <v>82.1</v>
      </c>
    </row>
    <row r="18" spans="1:17" x14ac:dyDescent="0.45">
      <c r="A18" s="20" t="s">
        <v>124</v>
      </c>
      <c r="B18" s="13">
        <f>B24</f>
        <v>33</v>
      </c>
      <c r="C18" s="6">
        <f>IF(B$16=0,0,B18/B$16)</f>
        <v>0.35106382978723405</v>
      </c>
      <c r="E18" s="29" t="s">
        <v>83</v>
      </c>
      <c r="F18" s="26" t="s">
        <v>38</v>
      </c>
      <c r="G18" s="14">
        <v>3</v>
      </c>
      <c r="H18" s="92">
        <f>IF(B$19=0,0,G18/B$19)</f>
        <v>2.3809523809523808E-2</v>
      </c>
      <c r="I18" s="60">
        <v>7</v>
      </c>
      <c r="K18" s="7">
        <v>16</v>
      </c>
      <c r="L18" s="65">
        <v>-10.8</v>
      </c>
      <c r="N18" s="78" t="s">
        <v>126</v>
      </c>
      <c r="O18" s="87">
        <f t="shared" si="2"/>
        <v>-1.582608695652169</v>
      </c>
      <c r="P18" s="81">
        <v>46</v>
      </c>
      <c r="Q18" s="72">
        <v>-72.79999999999977</v>
      </c>
    </row>
    <row r="19" spans="1:17" x14ac:dyDescent="0.45">
      <c r="A19" s="20" t="s">
        <v>10</v>
      </c>
      <c r="B19" s="13">
        <f>B22+B21</f>
        <v>126</v>
      </c>
      <c r="C19" s="6">
        <f>IF(B$3=0,0,B19/B$3)</f>
        <v>0.26980728051391861</v>
      </c>
      <c r="E19" s="29" t="s">
        <v>92</v>
      </c>
      <c r="F19" s="26" t="s">
        <v>47</v>
      </c>
      <c r="G19" s="14">
        <v>2</v>
      </c>
      <c r="H19" s="92">
        <f>IF(B$19=0,0,G19/B$19)</f>
        <v>1.5873015873015872E-2</v>
      </c>
      <c r="I19" s="60">
        <v>1</v>
      </c>
      <c r="K19" s="7">
        <v>17</v>
      </c>
      <c r="L19" s="65">
        <v>-32.900000000000006</v>
      </c>
      <c r="N19" s="78" t="s">
        <v>192</v>
      </c>
      <c r="O19" s="87">
        <f t="shared" si="2"/>
        <v>-4.5136363636363646</v>
      </c>
      <c r="P19" s="81">
        <v>22</v>
      </c>
      <c r="Q19" s="72">
        <v>-99.300000000000011</v>
      </c>
    </row>
    <row r="20" spans="1:17" x14ac:dyDescent="0.45">
      <c r="A20" s="21" t="s">
        <v>13</v>
      </c>
      <c r="B20" s="14">
        <v>87</v>
      </c>
      <c r="C20" s="8">
        <f>IF(B$3=0,0,B20/B$3)</f>
        <v>0.18629550321199143</v>
      </c>
      <c r="E20" s="29" t="s">
        <v>75</v>
      </c>
      <c r="F20" s="26" t="s">
        <v>30</v>
      </c>
      <c r="G20" s="14">
        <v>1</v>
      </c>
      <c r="H20" s="92">
        <f>IF(B$19=0,0,G20/B$19)</f>
        <v>7.9365079365079361E-3</v>
      </c>
      <c r="I20" s="60">
        <v>3</v>
      </c>
      <c r="K20" s="7">
        <v>18</v>
      </c>
      <c r="L20" s="65">
        <v>-69.300000000000011</v>
      </c>
      <c r="N20" s="78" t="s">
        <v>196</v>
      </c>
      <c r="O20" s="87">
        <f t="shared" si="2"/>
        <v>-16.324999999999992</v>
      </c>
      <c r="P20" s="81">
        <v>4</v>
      </c>
      <c r="Q20" s="72">
        <v>-65.299999999999969</v>
      </c>
    </row>
    <row r="21" spans="1:17" x14ac:dyDescent="0.45">
      <c r="A21" s="21" t="s">
        <v>12</v>
      </c>
      <c r="B21" s="14">
        <v>57</v>
      </c>
      <c r="C21" s="8">
        <f>IF(B$19=0,0,B21/B$19)</f>
        <v>0.45238095238095238</v>
      </c>
      <c r="E21" s="29" t="s">
        <v>97</v>
      </c>
      <c r="F21" s="26" t="s">
        <v>52</v>
      </c>
      <c r="G21" s="14">
        <v>1</v>
      </c>
      <c r="H21" s="92">
        <f>IF(B$19=0,0,G21/B$19)</f>
        <v>7.9365079365079361E-3</v>
      </c>
      <c r="I21" s="60">
        <v>1</v>
      </c>
      <c r="K21" s="7">
        <v>19</v>
      </c>
      <c r="L21" s="65">
        <v>-44.500000000000014</v>
      </c>
      <c r="N21" s="78" t="s">
        <v>194</v>
      </c>
      <c r="O21" s="87">
        <f t="shared" si="2"/>
        <v>-19.970000000000006</v>
      </c>
      <c r="P21" s="81">
        <v>10</v>
      </c>
      <c r="Q21" s="72">
        <v>-199.70000000000005</v>
      </c>
    </row>
    <row r="22" spans="1:17" x14ac:dyDescent="0.45">
      <c r="A22" s="21" t="s">
        <v>11</v>
      </c>
      <c r="B22" s="14">
        <v>69</v>
      </c>
      <c r="C22" s="8">
        <f>IF(B$19=0,0,B22/B$19)</f>
        <v>0.54761904761904767</v>
      </c>
      <c r="E22" s="29" t="s">
        <v>156</v>
      </c>
      <c r="F22" s="26" t="s">
        <v>157</v>
      </c>
      <c r="G22" s="14">
        <v>1</v>
      </c>
      <c r="H22" s="92">
        <f>IF(B$19=0,0,G22/B$19)</f>
        <v>7.9365079365079361E-3</v>
      </c>
      <c r="I22" s="60">
        <v>3</v>
      </c>
      <c r="K22" s="7">
        <v>20</v>
      </c>
      <c r="L22" s="65">
        <v>-72.000000000000014</v>
      </c>
      <c r="N22" s="78" t="s">
        <v>193</v>
      </c>
      <c r="O22" s="87">
        <f t="shared" si="2"/>
        <v>-27.375</v>
      </c>
      <c r="P22" s="81">
        <v>8</v>
      </c>
      <c r="Q22" s="72">
        <v>-219</v>
      </c>
    </row>
    <row r="23" spans="1:17" x14ac:dyDescent="0.45">
      <c r="A23" s="21" t="s">
        <v>184</v>
      </c>
      <c r="B23" s="14">
        <v>64</v>
      </c>
      <c r="C23" s="8">
        <f>IF(B$19=0,0,B23/B$19)</f>
        <v>0.50793650793650791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33</v>
      </c>
      <c r="C24" s="8">
        <f>IF(B$19=0,0,B24/B$19)</f>
        <v>0.26190476190476192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29</v>
      </c>
      <c r="C25" s="8">
        <f>IF(B$19=0,0,B25/B$19)</f>
        <v>0.23015873015873015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10306.349206349207</v>
      </c>
      <c r="C26" s="10">
        <v>1298600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7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10950.537634408602</v>
      </c>
      <c r="C27" s="100">
        <v>1018400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8490.9090909090901</v>
      </c>
      <c r="C28" s="100">
        <v>280200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-8120.6896551724139</v>
      </c>
      <c r="C29" s="100">
        <v>-706500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4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3</v>
      </c>
      <c r="C34" s="11">
        <f>IF(B$3=0,0,B34/B$3)</f>
        <v>6.4239828693790149E-3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4</v>
      </c>
      <c r="C36" s="102">
        <f t="shared" ref="C36:C48" si="3">IF(B$19=0,0,B36/B$19)</f>
        <v>3.1746031746031744E-2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14</v>
      </c>
      <c r="C37" s="8">
        <f t="shared" si="3"/>
        <v>0.1111111111111111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13</v>
      </c>
      <c r="C38" s="8">
        <f t="shared" si="3"/>
        <v>0.10317460317460317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34</v>
      </c>
      <c r="C39" s="8">
        <f t="shared" si="3"/>
        <v>0.26984126984126983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24</v>
      </c>
      <c r="C40" s="8">
        <f t="shared" si="3"/>
        <v>0.19047619047619047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14</v>
      </c>
      <c r="C41" s="8">
        <f t="shared" si="3"/>
        <v>0.1111111111111111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10</v>
      </c>
      <c r="C42" s="8">
        <f t="shared" si="3"/>
        <v>7.9365079365079361E-2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5</v>
      </c>
      <c r="C43" s="8">
        <f t="shared" si="3"/>
        <v>3.968253968253968E-2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2</v>
      </c>
      <c r="C44" s="8">
        <f t="shared" si="3"/>
        <v>1.5873015873015872E-2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3</v>
      </c>
      <c r="C47" s="8">
        <f t="shared" si="3"/>
        <v>2.3809523809523808E-2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3"/>
        <v>2.3809523809523808E-2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5">
      <c r="K53" s="7">
        <v>51</v>
      </c>
      <c r="L53" s="65">
        <v>-114.20000000000006</v>
      </c>
    </row>
    <row r="54" spans="5:12" x14ac:dyDescent="0.45">
      <c r="K54" s="7">
        <v>52</v>
      </c>
      <c r="L54" s="65">
        <v>-89.900000000000063</v>
      </c>
    </row>
    <row r="55" spans="5:12" x14ac:dyDescent="0.45">
      <c r="K55" s="7">
        <v>53</v>
      </c>
      <c r="L55" s="65">
        <v>-61.800000000000061</v>
      </c>
    </row>
    <row r="56" spans="5:12" x14ac:dyDescent="0.45">
      <c r="K56" s="7">
        <v>54</v>
      </c>
      <c r="L56" s="65">
        <v>-63.800000000000061</v>
      </c>
    </row>
    <row r="57" spans="5:12" x14ac:dyDescent="0.45">
      <c r="K57" s="7">
        <v>55</v>
      </c>
      <c r="L57" s="65">
        <v>-114.10000000000005</v>
      </c>
    </row>
    <row r="58" spans="5:12" x14ac:dyDescent="0.45">
      <c r="K58" s="7">
        <v>56</v>
      </c>
      <c r="L58" s="65">
        <v>-110.70000000000005</v>
      </c>
    </row>
    <row r="59" spans="5:12" x14ac:dyDescent="0.45">
      <c r="K59" s="7">
        <v>57</v>
      </c>
      <c r="L59" s="65">
        <v>-89.600000000000051</v>
      </c>
    </row>
    <row r="60" spans="5:12" x14ac:dyDescent="0.45">
      <c r="K60" s="7">
        <v>58</v>
      </c>
      <c r="L60" s="65">
        <v>-110.00000000000006</v>
      </c>
    </row>
    <row r="61" spans="5:12" x14ac:dyDescent="0.45">
      <c r="K61" s="7">
        <v>59</v>
      </c>
      <c r="L61" s="65">
        <v>-105.20000000000006</v>
      </c>
    </row>
  </sheetData>
  <sortState xmlns:xlrd2="http://schemas.microsoft.com/office/spreadsheetml/2017/richdata2" ref="E2:I6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8AC7-600F-4D93-BD3A-C5B4FF0B6BD9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2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8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10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1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2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5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10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88E22-7249-44F8-858A-468D9C96E270}">
  <sheetPr codeName="Sheet11"/>
  <dimension ref="A1:Q8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83</v>
      </c>
      <c r="C2" s="132"/>
      <c r="E2" s="28" t="s">
        <v>66</v>
      </c>
      <c r="F2" s="25" t="s">
        <v>22</v>
      </c>
      <c r="G2" s="13">
        <v>140</v>
      </c>
      <c r="H2" s="91">
        <f>IF(B$19=0,0,G2/B$19)</f>
        <v>0.68627450980392157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1002.4096385542168</v>
      </c>
      <c r="P2" s="80">
        <v>83</v>
      </c>
      <c r="Q2" s="67">
        <v>83200</v>
      </c>
    </row>
    <row r="3" spans="1:17" x14ac:dyDescent="0.45">
      <c r="A3" s="21" t="s">
        <v>8</v>
      </c>
      <c r="B3" s="133">
        <v>657</v>
      </c>
      <c r="C3" s="134"/>
      <c r="E3" s="29" t="s">
        <v>72</v>
      </c>
      <c r="F3" s="26" t="s">
        <v>27</v>
      </c>
      <c r="G3" s="14">
        <v>103</v>
      </c>
      <c r="H3" s="92">
        <f>IF(B$19=0,0,G3/B$19)</f>
        <v>0.50490196078431371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2412.1951219512193</v>
      </c>
      <c r="P3" s="81">
        <v>82</v>
      </c>
      <c r="Q3" s="68">
        <v>197800</v>
      </c>
    </row>
    <row r="4" spans="1:17" x14ac:dyDescent="0.45">
      <c r="A4" s="21" t="s">
        <v>6</v>
      </c>
      <c r="B4" s="135">
        <v>716.20000000000016</v>
      </c>
      <c r="C4" s="136"/>
      <c r="E4" s="29" t="s">
        <v>160</v>
      </c>
      <c r="F4" s="26" t="s">
        <v>161</v>
      </c>
      <c r="G4" s="14">
        <v>89</v>
      </c>
      <c r="H4" s="92">
        <f>IF(B$19=0,0,G4/B$19)</f>
        <v>0.43627450980392157</v>
      </c>
      <c r="I4" s="60">
        <v>5</v>
      </c>
      <c r="K4" s="7">
        <v>2</v>
      </c>
      <c r="L4" s="65">
        <v>99.6</v>
      </c>
      <c r="N4" s="78" t="s">
        <v>130</v>
      </c>
      <c r="O4" s="84">
        <f t="shared" si="0"/>
        <v>1915.3846153846155</v>
      </c>
      <c r="P4" s="81">
        <v>78</v>
      </c>
      <c r="Q4" s="68">
        <v>149400</v>
      </c>
    </row>
    <row r="5" spans="1:17" x14ac:dyDescent="0.45">
      <c r="A5" s="21" t="s">
        <v>7</v>
      </c>
      <c r="B5" s="123">
        <f>IF(B$2=0,0,B$4/B$2)</f>
        <v>8.6289156626506038</v>
      </c>
      <c r="C5" s="124"/>
      <c r="E5" s="29" t="s">
        <v>64</v>
      </c>
      <c r="F5" s="26" t="s">
        <v>20</v>
      </c>
      <c r="G5" s="14">
        <v>86</v>
      </c>
      <c r="H5" s="92">
        <f>IF(B$19=0,0,G5/B$19)</f>
        <v>0.42156862745098039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1202.8571428571429</v>
      </c>
      <c r="P5" s="81">
        <v>70</v>
      </c>
      <c r="Q5" s="68">
        <v>84200</v>
      </c>
    </row>
    <row r="6" spans="1:17" x14ac:dyDescent="0.45">
      <c r="A6" s="21" t="s">
        <v>1</v>
      </c>
      <c r="B6" s="137">
        <f>IF(B$2=0,0,(B$7*1+B$8*2+B$9*3)/B$2)</f>
        <v>1.7710843373493976</v>
      </c>
      <c r="C6" s="138"/>
      <c r="E6" s="29" t="s">
        <v>68</v>
      </c>
      <c r="F6" s="26" t="s">
        <v>12</v>
      </c>
      <c r="G6" s="14">
        <v>80</v>
      </c>
      <c r="H6" s="92">
        <f>IF(B$19=0,0,G6/B$19)</f>
        <v>0.39215686274509803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-852.2388059701492</v>
      </c>
      <c r="P6" s="81">
        <v>67</v>
      </c>
      <c r="Q6" s="68">
        <v>-57100</v>
      </c>
    </row>
    <row r="7" spans="1:17" x14ac:dyDescent="0.45">
      <c r="A7" s="21" t="s">
        <v>2</v>
      </c>
      <c r="B7" s="14">
        <v>37</v>
      </c>
      <c r="C7" s="8">
        <f t="shared" ref="C7:C14" si="1">IF(B$2=0,0,B7/B$2)</f>
        <v>0.44578313253012047</v>
      </c>
      <c r="E7" s="29" t="s">
        <v>67</v>
      </c>
      <c r="F7" s="26" t="s">
        <v>23</v>
      </c>
      <c r="G7" s="14">
        <v>56</v>
      </c>
      <c r="H7" s="92">
        <f>IF(B$19=0,0,G7/B$19)</f>
        <v>0.27450980392156865</v>
      </c>
      <c r="I7" s="60">
        <v>2</v>
      </c>
      <c r="K7" s="7">
        <v>5</v>
      </c>
      <c r="L7" s="65">
        <v>143.1</v>
      </c>
      <c r="N7" s="79" t="s">
        <v>133</v>
      </c>
      <c r="O7" s="85">
        <f t="shared" si="0"/>
        <v>2454.7169811320755</v>
      </c>
      <c r="P7" s="82">
        <v>53</v>
      </c>
      <c r="Q7" s="69">
        <v>130100</v>
      </c>
    </row>
    <row r="8" spans="1:17" x14ac:dyDescent="0.45">
      <c r="A8" s="21" t="s">
        <v>3</v>
      </c>
      <c r="B8" s="14">
        <v>28</v>
      </c>
      <c r="C8" s="8">
        <f t="shared" si="1"/>
        <v>0.33734939759036142</v>
      </c>
      <c r="E8" s="29" t="s">
        <v>69</v>
      </c>
      <c r="F8" s="26" t="s">
        <v>24</v>
      </c>
      <c r="G8" s="14">
        <v>36</v>
      </c>
      <c r="H8" s="92">
        <f>IF(B$19=0,0,G8/B$19)</f>
        <v>0.17647058823529413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1"/>
        <v>0.21686746987951808</v>
      </c>
      <c r="E9" s="29" t="s">
        <v>89</v>
      </c>
      <c r="F9" s="26" t="s">
        <v>44</v>
      </c>
      <c r="G9" s="14">
        <v>36</v>
      </c>
      <c r="H9" s="92">
        <f>IF(B$19=0,0,G9/B$19)</f>
        <v>0.17647058823529413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38.23783783783783</v>
      </c>
      <c r="C10" s="114">
        <v>1414.7999999999997</v>
      </c>
      <c r="E10" s="29" t="s">
        <v>65</v>
      </c>
      <c r="F10" s="26" t="s">
        <v>21</v>
      </c>
      <c r="G10" s="14">
        <v>21</v>
      </c>
      <c r="H10" s="92">
        <f>IF(B$19=0,0,G10/B$19)</f>
        <v>0.10294117647058823</v>
      </c>
      <c r="I10" s="60">
        <v>5</v>
      </c>
      <c r="K10" s="7">
        <v>8</v>
      </c>
      <c r="L10" s="65">
        <v>132.6</v>
      </c>
      <c r="N10" s="77" t="s">
        <v>152</v>
      </c>
      <c r="O10" s="86">
        <f>IF(P10=0,0,Q10/P10)</f>
        <v>3.1280000000000001</v>
      </c>
      <c r="P10" s="80">
        <v>25</v>
      </c>
      <c r="Q10" s="71">
        <v>78.2</v>
      </c>
    </row>
    <row r="11" spans="1:17" x14ac:dyDescent="0.45">
      <c r="A11" s="22" t="s">
        <v>186</v>
      </c>
      <c r="B11" s="113">
        <f>IF(B8=0,0,C11/B8)</f>
        <v>-0.92142857142857137</v>
      </c>
      <c r="C11" s="114">
        <v>-25.799999999999997</v>
      </c>
      <c r="E11" s="29" t="s">
        <v>70</v>
      </c>
      <c r="F11" s="26" t="s">
        <v>25</v>
      </c>
      <c r="G11" s="14">
        <v>17</v>
      </c>
      <c r="H11" s="92">
        <f>IF(B$19=0,0,G11/B$19)</f>
        <v>8.3333333333333329E-2</v>
      </c>
      <c r="I11" s="60">
        <v>6</v>
      </c>
      <c r="K11" s="7">
        <v>9</v>
      </c>
      <c r="L11" s="65">
        <v>151.29999999999998</v>
      </c>
      <c r="N11" s="78" t="s">
        <v>153</v>
      </c>
      <c r="O11" s="87">
        <f>IF(P11=0,0,Q11/P11)</f>
        <v>8.3066666666666631</v>
      </c>
      <c r="P11" s="81">
        <v>30</v>
      </c>
      <c r="Q11" s="72">
        <v>249.1999999999999</v>
      </c>
    </row>
    <row r="12" spans="1:17" x14ac:dyDescent="0.45">
      <c r="A12" s="22" t="s">
        <v>187</v>
      </c>
      <c r="B12" s="113">
        <f>IF(B9=0,0,C12/B9)</f>
        <v>-37.37777777777778</v>
      </c>
      <c r="C12" s="114">
        <v>-672.80000000000007</v>
      </c>
      <c r="E12" s="29" t="s">
        <v>86</v>
      </c>
      <c r="F12" s="26" t="s">
        <v>41</v>
      </c>
      <c r="G12" s="14">
        <v>16</v>
      </c>
      <c r="H12" s="92">
        <f>IF(B$19=0,0,G12/B$19)</f>
        <v>7.8431372549019607E-2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13.88571428571429</v>
      </c>
      <c r="P12" s="82">
        <v>28</v>
      </c>
      <c r="Q12" s="73">
        <v>388.80000000000013</v>
      </c>
    </row>
    <row r="13" spans="1:17" x14ac:dyDescent="0.45">
      <c r="A13" s="22" t="s">
        <v>188</v>
      </c>
      <c r="B13" s="123">
        <f>AVERAGE(B10:B12)</f>
        <v>-2.0456170456173577E-2</v>
      </c>
      <c r="C13" s="124"/>
      <c r="E13" s="29" t="s">
        <v>71</v>
      </c>
      <c r="F13" s="26" t="s">
        <v>26</v>
      </c>
      <c r="G13" s="14">
        <v>15</v>
      </c>
      <c r="H13" s="92">
        <f>IF(B$19=0,0,G13/B$19)</f>
        <v>7.3529411764705885E-2</v>
      </c>
      <c r="I13" s="60">
        <v>3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6.0240963855421686E-2</v>
      </c>
      <c r="E14" s="29" t="s">
        <v>83</v>
      </c>
      <c r="F14" s="26" t="s">
        <v>38</v>
      </c>
      <c r="G14" s="14">
        <v>9</v>
      </c>
      <c r="H14" s="92">
        <f>IF(B$19=0,0,G14/B$19)</f>
        <v>4.4117647058823532E-2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165</v>
      </c>
      <c r="C15" s="12">
        <f>IF(B$3=0,0,B15/B$3)</f>
        <v>0.25114155251141551</v>
      </c>
      <c r="E15" s="29" t="s">
        <v>156</v>
      </c>
      <c r="F15" s="26" t="s">
        <v>157</v>
      </c>
      <c r="G15" s="14">
        <v>9</v>
      </c>
      <c r="H15" s="92">
        <f>IF(B$19=0,0,G15/B$19)</f>
        <v>4.4117647058823532E-2</v>
      </c>
      <c r="I15" s="60">
        <v>1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104</v>
      </c>
      <c r="C16" s="8">
        <f>IF(B$3=0,0,B16/B$3)</f>
        <v>0.15829528158295281</v>
      </c>
      <c r="E16" s="29" t="s">
        <v>78</v>
      </c>
      <c r="F16" s="26" t="s">
        <v>33</v>
      </c>
      <c r="G16" s="14">
        <v>7</v>
      </c>
      <c r="H16" s="92">
        <f>IF(B$19=0,0,G16/B$19)</f>
        <v>3.4313725490196081E-2</v>
      </c>
      <c r="I16" s="60">
        <v>7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96</v>
      </c>
      <c r="C17" s="6">
        <f>IF(B$15=0,0,B17/B$15)</f>
        <v>0.58181818181818179</v>
      </c>
      <c r="E17" s="29" t="s">
        <v>81</v>
      </c>
      <c r="F17" s="26" t="s">
        <v>36</v>
      </c>
      <c r="G17" s="14">
        <v>6</v>
      </c>
      <c r="H17" s="92">
        <f>IF(B$19=0,0,G17/B$19)</f>
        <v>2.9411764705882353E-2</v>
      </c>
      <c r="I17" s="60">
        <v>5</v>
      </c>
      <c r="K17" s="7">
        <v>15</v>
      </c>
      <c r="L17" s="65">
        <v>213.5</v>
      </c>
      <c r="N17" s="78" t="s">
        <v>193</v>
      </c>
      <c r="O17" s="87">
        <f>IF(P17=0,0,Q17/P17)</f>
        <v>24.1875</v>
      </c>
      <c r="P17" s="81">
        <v>16</v>
      </c>
      <c r="Q17" s="72">
        <v>387</v>
      </c>
    </row>
    <row r="18" spans="1:17" x14ac:dyDescent="0.45">
      <c r="A18" s="20" t="s">
        <v>124</v>
      </c>
      <c r="B18" s="13">
        <f>B24</f>
        <v>51</v>
      </c>
      <c r="C18" s="6">
        <f>IF(B$16=0,0,B18/B$16)</f>
        <v>0.49038461538461536</v>
      </c>
      <c r="E18" s="29" t="s">
        <v>79</v>
      </c>
      <c r="F18" s="26" t="s">
        <v>34</v>
      </c>
      <c r="G18" s="14">
        <v>5</v>
      </c>
      <c r="H18" s="92">
        <f>IF(B$19=0,0,G18/B$19)</f>
        <v>2.4509803921568627E-2</v>
      </c>
      <c r="I18" s="60">
        <v>4</v>
      </c>
      <c r="K18" s="7">
        <v>16</v>
      </c>
      <c r="L18" s="65">
        <v>273.8</v>
      </c>
      <c r="N18" s="78" t="s">
        <v>192</v>
      </c>
      <c r="O18" s="87">
        <f>IF(P18=0,0,Q18/P18)</f>
        <v>21.809090909090912</v>
      </c>
      <c r="P18" s="81">
        <v>33</v>
      </c>
      <c r="Q18" s="72">
        <v>719.7</v>
      </c>
    </row>
    <row r="19" spans="1:17" x14ac:dyDescent="0.45">
      <c r="A19" s="20" t="s">
        <v>10</v>
      </c>
      <c r="B19" s="13">
        <f>B22+B21</f>
        <v>204</v>
      </c>
      <c r="C19" s="6">
        <f>IF(B$3=0,0,B19/B$3)</f>
        <v>0.31050228310502281</v>
      </c>
      <c r="E19" s="29" t="s">
        <v>92</v>
      </c>
      <c r="F19" s="26" t="s">
        <v>47</v>
      </c>
      <c r="G19" s="14">
        <v>3</v>
      </c>
      <c r="H19" s="92">
        <f>IF(B$19=0,0,G19/B$19)</f>
        <v>1.4705882352941176E-2</v>
      </c>
      <c r="I19" s="60">
        <v>3</v>
      </c>
      <c r="K19" s="7">
        <v>17</v>
      </c>
      <c r="L19" s="65">
        <v>242.8</v>
      </c>
      <c r="N19" s="78" t="s">
        <v>194</v>
      </c>
      <c r="O19" s="87">
        <f>IF(P19=0,0,Q19/P19)</f>
        <v>18.786363636363639</v>
      </c>
      <c r="P19" s="81">
        <v>22</v>
      </c>
      <c r="Q19" s="72">
        <v>413.30000000000007</v>
      </c>
    </row>
    <row r="20" spans="1:17" x14ac:dyDescent="0.45">
      <c r="A20" s="21" t="s">
        <v>13</v>
      </c>
      <c r="B20" s="14">
        <v>94</v>
      </c>
      <c r="C20" s="8">
        <f>IF(B$3=0,0,B20/B$3)</f>
        <v>0.14307458143074581</v>
      </c>
      <c r="E20" s="29" t="s">
        <v>91</v>
      </c>
      <c r="F20" s="26" t="s">
        <v>46</v>
      </c>
      <c r="G20" s="14">
        <v>2</v>
      </c>
      <c r="H20" s="92">
        <f>IF(B$19=0,0,G20/B$19)</f>
        <v>9.8039215686274508E-3</v>
      </c>
      <c r="I20" s="60">
        <v>5</v>
      </c>
      <c r="K20" s="7">
        <v>18</v>
      </c>
      <c r="L20" s="65">
        <v>280</v>
      </c>
      <c r="N20" s="78" t="s">
        <v>205</v>
      </c>
      <c r="O20" s="87">
        <f>IF(P20=0,0,Q20/P20)</f>
        <v>8.2312500000000011</v>
      </c>
      <c r="P20" s="81">
        <v>32</v>
      </c>
      <c r="Q20" s="72">
        <v>263.40000000000003</v>
      </c>
    </row>
    <row r="21" spans="1:17" x14ac:dyDescent="0.45">
      <c r="A21" s="21" t="s">
        <v>12</v>
      </c>
      <c r="B21" s="14">
        <v>104</v>
      </c>
      <c r="C21" s="8">
        <f>IF(B$19=0,0,B21/B$19)</f>
        <v>0.50980392156862742</v>
      </c>
      <c r="E21" s="29" t="s">
        <v>93</v>
      </c>
      <c r="F21" s="26" t="s">
        <v>48</v>
      </c>
      <c r="G21" s="14">
        <v>2</v>
      </c>
      <c r="H21" s="92">
        <f>IF(B$19=0,0,G21/B$19)</f>
        <v>9.8039215686274508E-3</v>
      </c>
      <c r="I21" s="60">
        <v>1</v>
      </c>
      <c r="K21" s="7">
        <v>19</v>
      </c>
      <c r="L21" s="65">
        <v>281.5</v>
      </c>
      <c r="N21" s="78" t="s">
        <v>212</v>
      </c>
      <c r="O21" s="87">
        <f>IF(P21=0,0,Q21/P21)</f>
        <v>4.7444444444444436</v>
      </c>
      <c r="P21" s="81">
        <v>9</v>
      </c>
      <c r="Q21" s="72">
        <v>42.699999999999989</v>
      </c>
    </row>
    <row r="22" spans="1:17" x14ac:dyDescent="0.45">
      <c r="A22" s="21" t="s">
        <v>11</v>
      </c>
      <c r="B22" s="14">
        <v>100</v>
      </c>
      <c r="C22" s="8">
        <f>IF(B$19=0,0,B22/B$19)</f>
        <v>0.49019607843137253</v>
      </c>
      <c r="E22" s="29" t="s">
        <v>73</v>
      </c>
      <c r="F22" s="26" t="s">
        <v>28</v>
      </c>
      <c r="G22" s="14">
        <v>1</v>
      </c>
      <c r="H22" s="92">
        <f>IF(B$19=0,0,G22/B$19)</f>
        <v>4.9019607843137254E-3</v>
      </c>
      <c r="I22" s="60">
        <v>2</v>
      </c>
      <c r="K22" s="7">
        <v>20</v>
      </c>
      <c r="L22" s="65">
        <v>287.2</v>
      </c>
      <c r="N22" s="78" t="s">
        <v>164</v>
      </c>
      <c r="O22" s="87">
        <f>IF(P22=0,0,Q22/P22)</f>
        <v>1.5826086956521705</v>
      </c>
      <c r="P22" s="81">
        <v>46</v>
      </c>
      <c r="Q22" s="72">
        <v>72.799999999999841</v>
      </c>
    </row>
    <row r="23" spans="1:17" x14ac:dyDescent="0.45">
      <c r="A23" s="21" t="s">
        <v>184</v>
      </c>
      <c r="B23" s="14">
        <v>96</v>
      </c>
      <c r="C23" s="8">
        <f>IF(B$19=0,0,B23/B$19)</f>
        <v>0.47058823529411764</v>
      </c>
      <c r="E23" s="29" t="s">
        <v>77</v>
      </c>
      <c r="F23" s="26" t="s">
        <v>32</v>
      </c>
      <c r="G23" s="14">
        <v>1</v>
      </c>
      <c r="H23" s="92">
        <f>IF(B$19=0,0,G23/B$19)</f>
        <v>4.9019607843137254E-3</v>
      </c>
      <c r="I23" s="60">
        <v>6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51</v>
      </c>
      <c r="C24" s="8">
        <f>IF(B$19=0,0,B24/B$19)</f>
        <v>0.25</v>
      </c>
      <c r="E24" s="29" t="s">
        <v>84</v>
      </c>
      <c r="F24" s="26" t="s">
        <v>39</v>
      </c>
      <c r="G24" s="14">
        <v>1</v>
      </c>
      <c r="H24" s="92">
        <f>IF(B$19=0,0,G24/B$19)</f>
        <v>4.9019607843137254E-3</v>
      </c>
      <c r="I24" s="60">
        <v>1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57</v>
      </c>
      <c r="C25" s="8">
        <f>IF(B$19=0,0,B25/B$19)</f>
        <v>0.27941176470588236</v>
      </c>
      <c r="E25" s="29" t="s">
        <v>87</v>
      </c>
      <c r="F25" s="26" t="s">
        <v>42</v>
      </c>
      <c r="G25" s="14">
        <v>1</v>
      </c>
      <c r="H25" s="92">
        <f>IF(B$19=0,0,G25/B$19)</f>
        <v>4.9019607843137254E-3</v>
      </c>
      <c r="I25" s="60">
        <v>2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9783.823529411764</v>
      </c>
      <c r="C26" s="10">
        <v>1995900</v>
      </c>
      <c r="E26" s="29" t="s">
        <v>95</v>
      </c>
      <c r="F26" s="26" t="s">
        <v>50</v>
      </c>
      <c r="G26" s="14">
        <v>1</v>
      </c>
      <c r="H26" s="92">
        <f>IF(B$19=0,0,G26/B$19)</f>
        <v>4.9019607843137254E-3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10225.490196078432</v>
      </c>
      <c r="C27" s="100">
        <v>1564500</v>
      </c>
      <c r="E27" s="29" t="s">
        <v>106</v>
      </c>
      <c r="F27" s="26" t="s">
        <v>113</v>
      </c>
      <c r="G27" s="14">
        <v>1</v>
      </c>
      <c r="H27" s="92">
        <f>IF(B$19=0,0,G27/B$19)</f>
        <v>4.9019607843137254E-3</v>
      </c>
      <c r="I27" s="60">
        <v>1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8458.823529411764</v>
      </c>
      <c r="C28" s="100">
        <v>431400</v>
      </c>
      <c r="E28" s="29" t="s">
        <v>74</v>
      </c>
      <c r="F28" s="26" t="s">
        <v>29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-7915.9574468085102</v>
      </c>
      <c r="C29" s="100">
        <v>-744100</v>
      </c>
      <c r="E29" s="29" t="s">
        <v>75</v>
      </c>
      <c r="F29" s="26" t="s">
        <v>30</v>
      </c>
      <c r="G29" s="14">
        <v>0</v>
      </c>
      <c r="H29" s="92">
        <f>IF(B$19=0,0,G29/B$19)</f>
        <v>0</v>
      </c>
      <c r="I29" s="60">
        <v>5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9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12</v>
      </c>
      <c r="C36" s="102">
        <f t="shared" ref="C36:C48" si="2">IF(B$19=0,0,B36/B$19)</f>
        <v>5.8823529411764705E-2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29</v>
      </c>
      <c r="C37" s="8">
        <f t="shared" si="2"/>
        <v>0.14215686274509803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36</v>
      </c>
      <c r="C38" s="8">
        <f t="shared" si="2"/>
        <v>0.17647058823529413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39</v>
      </c>
      <c r="C39" s="8">
        <f t="shared" si="2"/>
        <v>0.19117647058823528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33</v>
      </c>
      <c r="C40" s="8">
        <f t="shared" si="2"/>
        <v>0.16176470588235295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18</v>
      </c>
      <c r="C41" s="8">
        <f t="shared" si="2"/>
        <v>8.8235294117647065E-2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13</v>
      </c>
      <c r="C42" s="8">
        <f t="shared" si="2"/>
        <v>6.3725490196078427E-2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7</v>
      </c>
      <c r="C43" s="8">
        <f t="shared" si="2"/>
        <v>3.4313725490196081E-2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5</v>
      </c>
      <c r="C44" s="8">
        <f t="shared" si="2"/>
        <v>2.4509803921568627E-2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3</v>
      </c>
      <c r="C45" s="8">
        <f t="shared" si="2"/>
        <v>1.4705882352941176E-2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4.9019607843137254E-3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1</v>
      </c>
      <c r="C47" s="8">
        <f t="shared" si="2"/>
        <v>4.9019607843137254E-3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7</v>
      </c>
      <c r="C48" s="11">
        <f t="shared" si="2"/>
        <v>3.4313725490196081E-2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  <row r="70" spans="11:12" x14ac:dyDescent="0.45">
      <c r="K70" s="7">
        <v>68</v>
      </c>
      <c r="L70" s="65">
        <v>619.60000000000025</v>
      </c>
    </row>
    <row r="71" spans="11:12" x14ac:dyDescent="0.45">
      <c r="K71" s="7">
        <v>69</v>
      </c>
      <c r="L71" s="65">
        <v>631.50000000000023</v>
      </c>
    </row>
    <row r="72" spans="11:12" x14ac:dyDescent="0.45">
      <c r="K72" s="7">
        <v>70</v>
      </c>
      <c r="L72" s="65">
        <v>597.20000000000027</v>
      </c>
    </row>
    <row r="73" spans="11:12" x14ac:dyDescent="0.45">
      <c r="K73" s="7">
        <v>71</v>
      </c>
      <c r="L73" s="65">
        <v>616.60000000000025</v>
      </c>
    </row>
    <row r="74" spans="11:12" x14ac:dyDescent="0.45">
      <c r="K74" s="7">
        <v>72</v>
      </c>
      <c r="L74" s="65">
        <v>677.10000000000025</v>
      </c>
    </row>
    <row r="75" spans="11:12" x14ac:dyDescent="0.45">
      <c r="K75" s="7">
        <v>73</v>
      </c>
      <c r="L75" s="65">
        <v>658.9000000000002</v>
      </c>
    </row>
    <row r="76" spans="11:12" x14ac:dyDescent="0.45">
      <c r="K76" s="7">
        <v>74</v>
      </c>
      <c r="L76" s="65">
        <v>678.00000000000023</v>
      </c>
    </row>
    <row r="77" spans="11:12" x14ac:dyDescent="0.45">
      <c r="K77" s="7">
        <v>75</v>
      </c>
      <c r="L77" s="65">
        <v>707.50000000000023</v>
      </c>
    </row>
    <row r="78" spans="11:12" x14ac:dyDescent="0.45">
      <c r="K78" s="7">
        <v>76</v>
      </c>
      <c r="L78" s="65">
        <v>741.60000000000025</v>
      </c>
    </row>
    <row r="79" spans="11:12" x14ac:dyDescent="0.45">
      <c r="K79" s="7">
        <v>77</v>
      </c>
      <c r="L79" s="65">
        <v>757.4000000000002</v>
      </c>
    </row>
    <row r="80" spans="11:12" x14ac:dyDescent="0.45">
      <c r="K80" s="7">
        <v>78</v>
      </c>
      <c r="L80" s="65">
        <v>729.20000000000016</v>
      </c>
    </row>
    <row r="81" spans="11:12" x14ac:dyDescent="0.45">
      <c r="K81" s="7">
        <v>79</v>
      </c>
      <c r="L81" s="65">
        <v>745.50000000000011</v>
      </c>
    </row>
    <row r="82" spans="11:12" x14ac:dyDescent="0.45">
      <c r="K82" s="7">
        <v>80</v>
      </c>
      <c r="L82" s="65">
        <v>712.20000000000016</v>
      </c>
    </row>
    <row r="83" spans="11:12" x14ac:dyDescent="0.45">
      <c r="K83" s="7">
        <v>81</v>
      </c>
      <c r="L83" s="65">
        <v>689.10000000000014</v>
      </c>
    </row>
    <row r="84" spans="11:12" x14ac:dyDescent="0.45">
      <c r="K84" s="7">
        <v>82</v>
      </c>
      <c r="L84" s="65">
        <v>719.70000000000016</v>
      </c>
    </row>
    <row r="85" spans="11:12" x14ac:dyDescent="0.45">
      <c r="K85" s="7">
        <v>83</v>
      </c>
      <c r="L85" s="65">
        <v>716.20000000000016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14D5-DF1B-4880-A0E6-DFFB0CA1016C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36</v>
      </c>
      <c r="C2" s="132"/>
      <c r="E2" s="28" t="s">
        <v>66</v>
      </c>
      <c r="F2" s="25" t="s">
        <v>22</v>
      </c>
      <c r="G2" s="13">
        <v>55</v>
      </c>
      <c r="H2" s="91">
        <f>IF(B$19=0,0,G2/B$19)</f>
        <v>0.72368421052631582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-3900</v>
      </c>
      <c r="P2" s="80">
        <v>35</v>
      </c>
      <c r="Q2" s="67">
        <v>-136500</v>
      </c>
    </row>
    <row r="3" spans="1:17" x14ac:dyDescent="0.45">
      <c r="A3" s="21" t="s">
        <v>8</v>
      </c>
      <c r="B3" s="133">
        <v>277</v>
      </c>
      <c r="C3" s="134"/>
      <c r="E3" s="29" t="s">
        <v>72</v>
      </c>
      <c r="F3" s="26" t="s">
        <v>27</v>
      </c>
      <c r="G3" s="14">
        <v>42</v>
      </c>
      <c r="H3" s="92">
        <f>IF(B$19=0,0,G3/B$19)</f>
        <v>0.55263157894736847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1757.1428571428571</v>
      </c>
      <c r="P3" s="81">
        <v>35</v>
      </c>
      <c r="Q3" s="68">
        <v>61500</v>
      </c>
    </row>
    <row r="4" spans="1:17" x14ac:dyDescent="0.45">
      <c r="A4" s="21" t="s">
        <v>6</v>
      </c>
      <c r="B4" s="135">
        <v>-258.7999999999999</v>
      </c>
      <c r="C4" s="136"/>
      <c r="E4" s="29" t="s">
        <v>160</v>
      </c>
      <c r="F4" s="26" t="s">
        <v>161</v>
      </c>
      <c r="G4" s="14">
        <v>37</v>
      </c>
      <c r="H4" s="92">
        <f>IF(B$19=0,0,G4/B$19)</f>
        <v>0.48684210526315791</v>
      </c>
      <c r="I4" s="60">
        <v>2</v>
      </c>
      <c r="K4" s="7">
        <v>2</v>
      </c>
      <c r="L4" s="65">
        <v>-106.5</v>
      </c>
      <c r="N4" s="78" t="s">
        <v>130</v>
      </c>
      <c r="O4" s="84">
        <f t="shared" si="0"/>
        <v>-1621.2121212121212</v>
      </c>
      <c r="P4" s="81">
        <v>33</v>
      </c>
      <c r="Q4" s="68">
        <v>-53500</v>
      </c>
    </row>
    <row r="5" spans="1:17" x14ac:dyDescent="0.45">
      <c r="A5" s="21" t="s">
        <v>7</v>
      </c>
      <c r="B5" s="123">
        <f>IF(B$2=0,0,B$4/B$2)</f>
        <v>-7.1888888888888864</v>
      </c>
      <c r="C5" s="124"/>
      <c r="E5" s="29" t="s">
        <v>64</v>
      </c>
      <c r="F5" s="26" t="s">
        <v>20</v>
      </c>
      <c r="G5" s="14">
        <v>33</v>
      </c>
      <c r="H5" s="92">
        <f>IF(B$19=0,0,G5/B$19)</f>
        <v>0.43421052631578949</v>
      </c>
      <c r="I5" s="60">
        <v>7</v>
      </c>
      <c r="K5" s="7">
        <v>3</v>
      </c>
      <c r="L5" s="65">
        <v>-108</v>
      </c>
      <c r="N5" s="78" t="s">
        <v>131</v>
      </c>
      <c r="O5" s="84">
        <f t="shared" si="0"/>
        <v>-1296.4285714285713</v>
      </c>
      <c r="P5" s="81">
        <v>28</v>
      </c>
      <c r="Q5" s="68">
        <v>-36300</v>
      </c>
    </row>
    <row r="6" spans="1:17" x14ac:dyDescent="0.45">
      <c r="A6" s="21" t="s">
        <v>1</v>
      </c>
      <c r="B6" s="137">
        <f>IF(B$2=0,0,(B$7*1+B$8*2+B$9*3)/B$2)</f>
        <v>2.2777777777777777</v>
      </c>
      <c r="C6" s="138"/>
      <c r="E6" s="29" t="s">
        <v>68</v>
      </c>
      <c r="F6" s="26" t="s">
        <v>12</v>
      </c>
      <c r="G6" s="14">
        <v>22</v>
      </c>
      <c r="H6" s="92">
        <f>IF(B$19=0,0,G6/B$19)</f>
        <v>0.28947368421052633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3508.3333333333335</v>
      </c>
      <c r="P6" s="81">
        <v>24</v>
      </c>
      <c r="Q6" s="68">
        <v>84200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0.19444444444444445</v>
      </c>
      <c r="E7" s="29" t="s">
        <v>67</v>
      </c>
      <c r="F7" s="26" t="s">
        <v>23</v>
      </c>
      <c r="G7" s="14">
        <v>19</v>
      </c>
      <c r="H7" s="92">
        <f>IF(B$19=0,0,G7/B$19)</f>
        <v>0.25</v>
      </c>
      <c r="I7" s="60">
        <v>6</v>
      </c>
      <c r="K7" s="7">
        <v>5</v>
      </c>
      <c r="L7" s="65">
        <v>-116</v>
      </c>
      <c r="N7" s="79" t="s">
        <v>133</v>
      </c>
      <c r="O7" s="85">
        <f t="shared" si="0"/>
        <v>-4070</v>
      </c>
      <c r="P7" s="82">
        <v>20</v>
      </c>
      <c r="Q7" s="69">
        <v>-81400</v>
      </c>
    </row>
    <row r="8" spans="1:17" x14ac:dyDescent="0.45">
      <c r="A8" s="21" t="s">
        <v>3</v>
      </c>
      <c r="B8" s="14">
        <v>12</v>
      </c>
      <c r="C8" s="8">
        <f t="shared" si="1"/>
        <v>0.33333333333333331</v>
      </c>
      <c r="E8" s="29" t="s">
        <v>69</v>
      </c>
      <c r="F8" s="26" t="s">
        <v>24</v>
      </c>
      <c r="G8" s="14">
        <v>9</v>
      </c>
      <c r="H8" s="92">
        <f>IF(B$19=0,0,G8/B$19)</f>
        <v>0.11842105263157894</v>
      </c>
      <c r="I8" s="60">
        <v>7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17</v>
      </c>
      <c r="C9" s="9">
        <f t="shared" si="1"/>
        <v>0.47222222222222221</v>
      </c>
      <c r="E9" s="29" t="s">
        <v>89</v>
      </c>
      <c r="F9" s="26" t="s">
        <v>44</v>
      </c>
      <c r="G9" s="14">
        <v>9</v>
      </c>
      <c r="H9" s="92">
        <f>IF(B$19=0,0,G9/B$19)</f>
        <v>0.11842105263157894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46.057142857142857</v>
      </c>
      <c r="C10" s="114">
        <v>322.39999999999998</v>
      </c>
      <c r="E10" s="29" t="s">
        <v>70</v>
      </c>
      <c r="F10" s="26" t="s">
        <v>25</v>
      </c>
      <c r="G10" s="14">
        <v>8</v>
      </c>
      <c r="H10" s="92">
        <f>IF(B$19=0,0,G10/B$19)</f>
        <v>0.10526315789473684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-20.792307692307688</v>
      </c>
      <c r="P10" s="80">
        <v>13</v>
      </c>
      <c r="Q10" s="71">
        <v>-270.29999999999995</v>
      </c>
    </row>
    <row r="11" spans="1:17" x14ac:dyDescent="0.45">
      <c r="A11" s="22" t="s">
        <v>186</v>
      </c>
      <c r="B11" s="113">
        <f>IF(B8=0,0,C11/B8)</f>
        <v>-1.2333333333333336</v>
      </c>
      <c r="C11" s="114">
        <v>-14.800000000000002</v>
      </c>
      <c r="E11" s="29" t="s">
        <v>65</v>
      </c>
      <c r="F11" s="26" t="s">
        <v>21</v>
      </c>
      <c r="G11" s="14">
        <v>6</v>
      </c>
      <c r="H11" s="92">
        <f>IF(B$19=0,0,G11/B$19)</f>
        <v>7.8947368421052627E-2</v>
      </c>
      <c r="I11" s="60">
        <v>8</v>
      </c>
      <c r="K11" s="7">
        <v>9</v>
      </c>
      <c r="L11" s="65">
        <v>-172.39999999999998</v>
      </c>
      <c r="N11" s="78" t="s">
        <v>153</v>
      </c>
      <c r="O11" s="87">
        <f>IF(P11=0,0,Q11/P11)</f>
        <v>-7.8461538461538458</v>
      </c>
      <c r="P11" s="81">
        <v>13</v>
      </c>
      <c r="Q11" s="72">
        <v>-102</v>
      </c>
    </row>
    <row r="12" spans="1:17" x14ac:dyDescent="0.45">
      <c r="A12" s="22" t="s">
        <v>187</v>
      </c>
      <c r="B12" s="113">
        <f>IF(B9=0,0,C12/B9)</f>
        <v>-33.317647058823532</v>
      </c>
      <c r="C12" s="114">
        <v>-566.40000000000009</v>
      </c>
      <c r="E12" s="29" t="s">
        <v>71</v>
      </c>
      <c r="F12" s="26" t="s">
        <v>26</v>
      </c>
      <c r="G12" s="14">
        <v>4</v>
      </c>
      <c r="H12" s="92">
        <f>IF(B$19=0,0,G12/B$19)</f>
        <v>5.2631578947368418E-2</v>
      </c>
      <c r="I12" s="60">
        <v>8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5">
      <c r="A13" s="22" t="s">
        <v>188</v>
      </c>
      <c r="B13" s="123">
        <f>AVERAGE(B10:B12)</f>
        <v>3.8353874883286636</v>
      </c>
      <c r="C13" s="124"/>
      <c r="E13" s="29" t="s">
        <v>78</v>
      </c>
      <c r="F13" s="26" t="s">
        <v>33</v>
      </c>
      <c r="G13" s="14">
        <v>4</v>
      </c>
      <c r="H13" s="92">
        <f>IF(B$19=0,0,G13/B$19)</f>
        <v>5.2631578947368418E-2</v>
      </c>
      <c r="I13" s="60">
        <v>1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0.16666666666666666</v>
      </c>
      <c r="E14" s="29" t="s">
        <v>86</v>
      </c>
      <c r="F14" s="26" t="s">
        <v>41</v>
      </c>
      <c r="G14" s="14">
        <v>4</v>
      </c>
      <c r="H14" s="92">
        <f>IF(B$19=0,0,G14/B$19)</f>
        <v>5.2631578947368418E-2</v>
      </c>
      <c r="I14" s="60">
        <v>6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61</v>
      </c>
      <c r="C15" s="12">
        <f>IF(B$3=0,0,B15/B$3)</f>
        <v>0.22021660649819494</v>
      </c>
      <c r="E15" s="29" t="s">
        <v>81</v>
      </c>
      <c r="F15" s="26" t="s">
        <v>36</v>
      </c>
      <c r="G15" s="14">
        <v>3</v>
      </c>
      <c r="H15" s="92">
        <f>IF(B$19=0,0,G15/B$19)</f>
        <v>3.9473684210526314E-2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 t="shared" ref="O15:O20" si="2">IF(P15=0,0,Q15/P15)</f>
        <v>19.970000000000006</v>
      </c>
      <c r="P15" s="80">
        <v>10</v>
      </c>
      <c r="Q15" s="71">
        <v>199.70000000000005</v>
      </c>
    </row>
    <row r="16" spans="1:17" x14ac:dyDescent="0.45">
      <c r="A16" s="21" t="s">
        <v>118</v>
      </c>
      <c r="B16" s="14">
        <v>45</v>
      </c>
      <c r="C16" s="8">
        <f>IF(B$3=0,0,B16/B$3)</f>
        <v>0.16245487364620939</v>
      </c>
      <c r="E16" s="29" t="s">
        <v>87</v>
      </c>
      <c r="F16" s="26" t="s">
        <v>42</v>
      </c>
      <c r="G16" s="14">
        <v>1</v>
      </c>
      <c r="H16" s="92">
        <f>IF(B$19=0,0,G16/B$19)</f>
        <v>1.3157894736842105E-2</v>
      </c>
      <c r="I16" s="60">
        <v>1</v>
      </c>
      <c r="K16" s="7">
        <v>14</v>
      </c>
      <c r="L16" s="65">
        <v>-330.7</v>
      </c>
      <c r="N16" s="78" t="s">
        <v>205</v>
      </c>
      <c r="O16" s="87">
        <f t="shared" si="2"/>
        <v>-0.79166666666666596</v>
      </c>
      <c r="P16" s="81">
        <v>12</v>
      </c>
      <c r="Q16" s="72">
        <v>-9.4999999999999911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0.50819672131147542</v>
      </c>
      <c r="E17" s="29" t="s">
        <v>91</v>
      </c>
      <c r="F17" s="26" t="s">
        <v>46</v>
      </c>
      <c r="G17" s="14">
        <v>1</v>
      </c>
      <c r="H17" s="92">
        <f>IF(B$19=0,0,G17/B$19)</f>
        <v>1.3157894736842105E-2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 t="shared" si="2"/>
        <v>-4.0250000000000004</v>
      </c>
      <c r="P17" s="81">
        <v>16</v>
      </c>
      <c r="Q17" s="72">
        <v>-64.400000000000006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0.57777777777777772</v>
      </c>
      <c r="E18" s="29" t="s">
        <v>92</v>
      </c>
      <c r="F18" s="26" t="s">
        <v>47</v>
      </c>
      <c r="G18" s="14">
        <v>1</v>
      </c>
      <c r="H18" s="92">
        <f>IF(B$19=0,0,G18/B$19)</f>
        <v>1.3157894736842105E-2</v>
      </c>
      <c r="I18" s="60">
        <v>4</v>
      </c>
      <c r="K18" s="7">
        <v>16</v>
      </c>
      <c r="L18" s="65">
        <v>-234.59999999999997</v>
      </c>
      <c r="N18" s="78" t="s">
        <v>126</v>
      </c>
      <c r="O18" s="87">
        <f t="shared" si="2"/>
        <v>-18.786363636363639</v>
      </c>
      <c r="P18" s="81">
        <v>22</v>
      </c>
      <c r="Q18" s="72">
        <v>-413.30000000000007</v>
      </c>
    </row>
    <row r="19" spans="1:17" x14ac:dyDescent="0.45">
      <c r="A19" s="20" t="s">
        <v>10</v>
      </c>
      <c r="B19" s="13">
        <f>B22+B21</f>
        <v>76</v>
      </c>
      <c r="C19" s="6">
        <f>IF(B$3=0,0,B19/B$3)</f>
        <v>0.27436823104693142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196</v>
      </c>
      <c r="O19" s="87">
        <f t="shared" si="2"/>
        <v>-20.5</v>
      </c>
      <c r="P19" s="81">
        <v>1</v>
      </c>
      <c r="Q19" s="72">
        <v>-20.5</v>
      </c>
    </row>
    <row r="20" spans="1:17" x14ac:dyDescent="0.45">
      <c r="A20" s="21" t="s">
        <v>13</v>
      </c>
      <c r="B20" s="14">
        <v>46</v>
      </c>
      <c r="C20" s="8">
        <f>IF(B$3=0,0,B20/B$3)</f>
        <v>0.16606498194945848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-154.09999999999997</v>
      </c>
      <c r="N20" s="78" t="s">
        <v>193</v>
      </c>
      <c r="O20" s="87">
        <f t="shared" si="2"/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37</v>
      </c>
      <c r="C21" s="8">
        <f>IF(B$19=0,0,B21/B$19)</f>
        <v>0.48684210526315791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5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39</v>
      </c>
      <c r="C22" s="8">
        <f>IF(B$19=0,0,B22/B$19)</f>
        <v>0.51315789473684215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31</v>
      </c>
      <c r="C23" s="8">
        <f>IF(B$19=0,0,B23/B$19)</f>
        <v>0.40789473684210525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26</v>
      </c>
      <c r="C24" s="8">
        <f>IF(B$19=0,0,B24/B$19)</f>
        <v>0.34210526315789475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19</v>
      </c>
      <c r="C25" s="8">
        <f>IF(B$19=0,0,B25/B$19)</f>
        <v>0.25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8010.5263157894733</v>
      </c>
      <c r="C26" s="10">
        <v>608800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9550</v>
      </c>
      <c r="C27" s="100">
        <v>477500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5050</v>
      </c>
      <c r="C28" s="100">
        <v>131300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-7428.260869565217</v>
      </c>
      <c r="C29" s="100">
        <v>-341700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14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3.6101083032490976E-3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-277.49999999999994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5">
      <c r="A36" s="56" t="s">
        <v>172</v>
      </c>
      <c r="B36" s="121">
        <v>10</v>
      </c>
      <c r="C36" s="102">
        <f t="shared" ref="C36:C48" si="3">IF(B$19=0,0,B36/B$19)</f>
        <v>0.13157894736842105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5">
      <c r="A37" s="21" t="s">
        <v>168</v>
      </c>
      <c r="B37" s="14">
        <v>15</v>
      </c>
      <c r="C37" s="8">
        <f t="shared" si="3"/>
        <v>0.19736842105263158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5">
      <c r="A38" s="21" t="s">
        <v>169</v>
      </c>
      <c r="B38" s="122">
        <v>15</v>
      </c>
      <c r="C38" s="8">
        <f t="shared" si="3"/>
        <v>0.19736842105263158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-258.7999999999999</v>
      </c>
    </row>
    <row r="39" spans="1:12" x14ac:dyDescent="0.45">
      <c r="A39" s="21" t="s">
        <v>170</v>
      </c>
      <c r="B39" s="122">
        <v>9</v>
      </c>
      <c r="C39" s="8">
        <f t="shared" si="3"/>
        <v>0.11842105263157894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6</v>
      </c>
      <c r="C40" s="8">
        <f t="shared" si="3"/>
        <v>7.8947368421052627E-2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12</v>
      </c>
      <c r="C41" s="8">
        <f t="shared" si="3"/>
        <v>0.15789473684210525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174</v>
      </c>
      <c r="B42" s="122">
        <v>4</v>
      </c>
      <c r="C42" s="8">
        <f t="shared" si="3"/>
        <v>5.2631578947368418E-2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2</v>
      </c>
      <c r="C43" s="8">
        <f t="shared" si="3"/>
        <v>2.6315789473684209E-2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1.3157894736842105E-2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1.3157894736842105E-2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1.3157894736842105E-2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D5FA-3F71-4EA1-B049-0D5B81FFA4EC}">
  <sheetPr codeName="Sheet15"/>
  <dimension ref="A1:Q59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57</v>
      </c>
      <c r="C2" s="132"/>
      <c r="E2" s="28" t="s">
        <v>72</v>
      </c>
      <c r="F2" s="25" t="s">
        <v>27</v>
      </c>
      <c r="G2" s="13">
        <v>88</v>
      </c>
      <c r="H2" s="91">
        <f>IF(B$19=0,0,G2/B$19)</f>
        <v>0.68217054263565891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-341.07142857142856</v>
      </c>
      <c r="P2" s="80">
        <v>56</v>
      </c>
      <c r="Q2" s="67">
        <v>-19100</v>
      </c>
    </row>
    <row r="3" spans="1:17" x14ac:dyDescent="0.45">
      <c r="A3" s="21" t="s">
        <v>8</v>
      </c>
      <c r="B3" s="133">
        <v>461</v>
      </c>
      <c r="C3" s="134"/>
      <c r="E3" s="29" t="s">
        <v>66</v>
      </c>
      <c r="F3" s="26" t="s">
        <v>22</v>
      </c>
      <c r="G3" s="14">
        <v>87</v>
      </c>
      <c r="H3" s="92">
        <f>IF(B$19=0,0,G3/B$19)</f>
        <v>0.67441860465116277</v>
      </c>
      <c r="I3" s="60">
        <v>7</v>
      </c>
      <c r="K3" s="7">
        <v>1</v>
      </c>
      <c r="L3" s="65">
        <v>-0.5</v>
      </c>
      <c r="N3" s="78" t="s">
        <v>129</v>
      </c>
      <c r="O3" s="84">
        <f t="shared" si="0"/>
        <v>-689.28571428571433</v>
      </c>
      <c r="P3" s="81">
        <v>56</v>
      </c>
      <c r="Q3" s="68">
        <v>-38600</v>
      </c>
    </row>
    <row r="4" spans="1:17" x14ac:dyDescent="0.45">
      <c r="A4" s="21" t="s">
        <v>6</v>
      </c>
      <c r="B4" s="135">
        <v>-112.99999999999997</v>
      </c>
      <c r="C4" s="136"/>
      <c r="E4" s="29" t="s">
        <v>64</v>
      </c>
      <c r="F4" s="26" t="s">
        <v>20</v>
      </c>
      <c r="G4" s="14">
        <v>57</v>
      </c>
      <c r="H4" s="92">
        <f>IF(B$19=0,0,G4/B$19)</f>
        <v>0.44186046511627908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-616.07142857142856</v>
      </c>
      <c r="P4" s="81">
        <v>56</v>
      </c>
      <c r="Q4" s="68">
        <v>-34500</v>
      </c>
    </row>
    <row r="5" spans="1:17" x14ac:dyDescent="0.45">
      <c r="A5" s="21" t="s">
        <v>7</v>
      </c>
      <c r="B5" s="123">
        <f>IF(B$2=0,0,B$4/B$2)</f>
        <v>-1.9824561403508767</v>
      </c>
      <c r="C5" s="124"/>
      <c r="E5" s="29" t="s">
        <v>160</v>
      </c>
      <c r="F5" s="26" t="s">
        <v>161</v>
      </c>
      <c r="G5" s="14">
        <v>51</v>
      </c>
      <c r="H5" s="92">
        <f>IF(B$19=0,0,G5/B$19)</f>
        <v>0.39534883720930231</v>
      </c>
      <c r="I5" s="60">
        <v>9</v>
      </c>
      <c r="K5" s="7">
        <v>3</v>
      </c>
      <c r="L5" s="65">
        <v>-48.5</v>
      </c>
      <c r="N5" s="78" t="s">
        <v>131</v>
      </c>
      <c r="O5" s="84">
        <f t="shared" si="0"/>
        <v>1511.3207547169811</v>
      </c>
      <c r="P5" s="81">
        <v>53</v>
      </c>
      <c r="Q5" s="68">
        <v>80100</v>
      </c>
    </row>
    <row r="6" spans="1:17" x14ac:dyDescent="0.45">
      <c r="A6" s="21" t="s">
        <v>1</v>
      </c>
      <c r="B6" s="137">
        <f>IF(B$2=0,0,(B$7*1+B$8*2+B$9*3)/B$2)</f>
        <v>2.0350877192982457</v>
      </c>
      <c r="C6" s="138"/>
      <c r="E6" s="29" t="s">
        <v>67</v>
      </c>
      <c r="F6" s="26" t="s">
        <v>23</v>
      </c>
      <c r="G6" s="14">
        <v>32</v>
      </c>
      <c r="H6" s="92">
        <f>IF(B$19=0,0,G6/B$19)</f>
        <v>0.24806201550387597</v>
      </c>
      <c r="I6" s="60">
        <v>7</v>
      </c>
      <c r="K6" s="7">
        <v>4</v>
      </c>
      <c r="L6" s="65">
        <v>-75.599999999999994</v>
      </c>
      <c r="N6" s="78" t="s">
        <v>132</v>
      </c>
      <c r="O6" s="84">
        <f t="shared" si="0"/>
        <v>-945.83333333333337</v>
      </c>
      <c r="P6" s="81">
        <v>48</v>
      </c>
      <c r="Q6" s="68">
        <v>-45400</v>
      </c>
    </row>
    <row r="7" spans="1:17" x14ac:dyDescent="0.45">
      <c r="A7" s="21" t="s">
        <v>2</v>
      </c>
      <c r="B7" s="14">
        <v>18</v>
      </c>
      <c r="C7" s="8">
        <f t="shared" ref="C7:C14" si="1">IF(B$2=0,0,B7/B$2)</f>
        <v>0.31578947368421051</v>
      </c>
      <c r="E7" s="29" t="s">
        <v>68</v>
      </c>
      <c r="F7" s="26" t="s">
        <v>12</v>
      </c>
      <c r="G7" s="14">
        <v>32</v>
      </c>
      <c r="H7" s="92">
        <f>IF(B$19=0,0,G7/B$19)</f>
        <v>0.24806201550387597</v>
      </c>
      <c r="I7" s="60">
        <v>9</v>
      </c>
      <c r="K7" s="7">
        <v>5</v>
      </c>
      <c r="L7" s="65">
        <v>-96.5</v>
      </c>
      <c r="N7" s="79" t="s">
        <v>133</v>
      </c>
      <c r="O7" s="85">
        <f t="shared" si="0"/>
        <v>-1168.421052631579</v>
      </c>
      <c r="P7" s="82">
        <v>38</v>
      </c>
      <c r="Q7" s="69">
        <v>-44400</v>
      </c>
    </row>
    <row r="8" spans="1:17" x14ac:dyDescent="0.45">
      <c r="A8" s="21" t="s">
        <v>3</v>
      </c>
      <c r="B8" s="14">
        <v>19</v>
      </c>
      <c r="C8" s="8">
        <f t="shared" si="1"/>
        <v>0.33333333333333331</v>
      </c>
      <c r="E8" s="29" t="s">
        <v>89</v>
      </c>
      <c r="F8" s="26" t="s">
        <v>44</v>
      </c>
      <c r="G8" s="14">
        <v>15</v>
      </c>
      <c r="H8" s="92">
        <f>IF(B$19=0,0,G8/B$19)</f>
        <v>0.11627906976744186</v>
      </c>
      <c r="I8" s="60">
        <v>8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20</v>
      </c>
      <c r="C9" s="9">
        <f t="shared" si="1"/>
        <v>0.35087719298245612</v>
      </c>
      <c r="E9" s="29" t="s">
        <v>69</v>
      </c>
      <c r="F9" s="26" t="s">
        <v>24</v>
      </c>
      <c r="G9" s="14">
        <v>14</v>
      </c>
      <c r="H9" s="92">
        <f>IF(B$19=0,0,G9/B$19)</f>
        <v>0.10852713178294573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36.250000000000007</v>
      </c>
      <c r="C10" s="114">
        <v>652.50000000000011</v>
      </c>
      <c r="E10" s="29" t="s">
        <v>65</v>
      </c>
      <c r="F10" s="26" t="s">
        <v>21</v>
      </c>
      <c r="G10" s="14">
        <v>9</v>
      </c>
      <c r="H10" s="92">
        <f>IF(B$19=0,0,G10/B$19)</f>
        <v>6.9767441860465115E-2</v>
      </c>
      <c r="I10" s="60">
        <v>10</v>
      </c>
      <c r="K10" s="7">
        <v>8</v>
      </c>
      <c r="L10" s="65">
        <v>-28.3</v>
      </c>
      <c r="N10" s="77" t="s">
        <v>152</v>
      </c>
      <c r="O10" s="86">
        <f>IF(P10=0,0,Q10/P10)</f>
        <v>-7.4157894736842112</v>
      </c>
      <c r="P10" s="80">
        <v>19</v>
      </c>
      <c r="Q10" s="71">
        <v>-140.9</v>
      </c>
    </row>
    <row r="11" spans="1:17" x14ac:dyDescent="0.45">
      <c r="A11" s="22" t="s">
        <v>186</v>
      </c>
      <c r="B11" s="113">
        <f>IF(B8=0,0,C11/B8)</f>
        <v>-3.3157894736842106</v>
      </c>
      <c r="C11" s="114">
        <v>-63</v>
      </c>
      <c r="E11" s="29" t="s">
        <v>70</v>
      </c>
      <c r="F11" s="26" t="s">
        <v>25</v>
      </c>
      <c r="G11" s="14">
        <v>8</v>
      </c>
      <c r="H11" s="92">
        <f>IF(B$19=0,0,G11/B$19)</f>
        <v>6.2015503875968991E-2</v>
      </c>
      <c r="I11" s="60">
        <v>7</v>
      </c>
      <c r="K11" s="7">
        <v>9</v>
      </c>
      <c r="L11" s="65">
        <v>-20.3</v>
      </c>
      <c r="N11" s="78" t="s">
        <v>153</v>
      </c>
      <c r="O11" s="87">
        <f>IF(P11=0,0,Q11/P11)</f>
        <v>-1.357894736842105</v>
      </c>
      <c r="P11" s="81">
        <v>19</v>
      </c>
      <c r="Q11" s="72">
        <v>-25.799999999999997</v>
      </c>
    </row>
    <row r="12" spans="1:17" x14ac:dyDescent="0.45">
      <c r="A12" s="22" t="s">
        <v>187</v>
      </c>
      <c r="B12" s="113">
        <f>IF(B9=0,0,C12/B9)</f>
        <v>-35.124999999999993</v>
      </c>
      <c r="C12" s="114">
        <v>-702.49999999999989</v>
      </c>
      <c r="E12" s="29" t="s">
        <v>71</v>
      </c>
      <c r="F12" s="26" t="s">
        <v>26</v>
      </c>
      <c r="G12" s="14">
        <v>8</v>
      </c>
      <c r="H12" s="92">
        <f>IF(B$19=0,0,G12/B$19)</f>
        <v>6.2015503875968991E-2</v>
      </c>
      <c r="I12" s="60">
        <v>4</v>
      </c>
      <c r="K12" s="7">
        <v>10</v>
      </c>
      <c r="L12" s="65">
        <v>-14.9</v>
      </c>
      <c r="N12" s="79" t="s">
        <v>154</v>
      </c>
      <c r="O12" s="88">
        <f>IF(P12=0,0,Q12/P12)</f>
        <v>2.8263157894736857</v>
      </c>
      <c r="P12" s="82">
        <v>19</v>
      </c>
      <c r="Q12" s="73">
        <v>53.700000000000024</v>
      </c>
    </row>
    <row r="13" spans="1:17" x14ac:dyDescent="0.45">
      <c r="A13" s="22" t="s">
        <v>188</v>
      </c>
      <c r="B13" s="123">
        <f>AVERAGE(B10:B12)</f>
        <v>-0.73026315789473273</v>
      </c>
      <c r="C13" s="124"/>
      <c r="E13" s="29" t="s">
        <v>83</v>
      </c>
      <c r="F13" s="26" t="s">
        <v>38</v>
      </c>
      <c r="G13" s="14">
        <v>8</v>
      </c>
      <c r="H13" s="92">
        <f>IF(B$19=0,0,G13/B$19)</f>
        <v>6.2015503875968991E-2</v>
      </c>
      <c r="I13" s="60">
        <v>3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8.771929824561403E-2</v>
      </c>
      <c r="E14" s="29" t="s">
        <v>79</v>
      </c>
      <c r="F14" s="26" t="s">
        <v>34</v>
      </c>
      <c r="G14" s="14">
        <v>6</v>
      </c>
      <c r="H14" s="92">
        <f>IF(B$19=0,0,G14/B$19)</f>
        <v>4.6511627906976744E-2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109</v>
      </c>
      <c r="C15" s="12">
        <f>IF(B$3=0,0,B15/B$3)</f>
        <v>0.23644251626898047</v>
      </c>
      <c r="E15" s="29" t="s">
        <v>78</v>
      </c>
      <c r="F15" s="26" t="s">
        <v>33</v>
      </c>
      <c r="G15" s="14">
        <v>5</v>
      </c>
      <c r="H15" s="92">
        <f>IF(B$19=0,0,G15/B$19)</f>
        <v>3.875968992248062E-2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115</v>
      </c>
      <c r="C16" s="8">
        <f>IF(B$3=0,0,B16/B$3)</f>
        <v>0.24945770065075923</v>
      </c>
      <c r="E16" s="29" t="s">
        <v>91</v>
      </c>
      <c r="F16" s="26" t="s">
        <v>46</v>
      </c>
      <c r="G16" s="14">
        <v>4</v>
      </c>
      <c r="H16" s="92">
        <f>IF(B$19=0,0,G16/B$19)</f>
        <v>3.1007751937984496E-2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>IF(P16=0,0,Q16/P16)</f>
        <v>13.480000000000004</v>
      </c>
      <c r="P16" s="81">
        <v>20</v>
      </c>
      <c r="Q16" s="72">
        <v>269.60000000000008</v>
      </c>
    </row>
    <row r="17" spans="1:17" x14ac:dyDescent="0.45">
      <c r="A17" s="20" t="s">
        <v>123</v>
      </c>
      <c r="B17" s="13">
        <f>B23</f>
        <v>60</v>
      </c>
      <c r="C17" s="6">
        <f>IF(B$15=0,0,B17/B$15)</f>
        <v>0.55045871559633031</v>
      </c>
      <c r="E17" s="29" t="s">
        <v>81</v>
      </c>
      <c r="F17" s="26" t="s">
        <v>36</v>
      </c>
      <c r="G17" s="14">
        <v>3</v>
      </c>
      <c r="H17" s="92">
        <f>IF(B$19=0,0,G17/B$19)</f>
        <v>2.3255813953488372E-2</v>
      </c>
      <c r="I17" s="60">
        <v>6</v>
      </c>
      <c r="K17" s="7">
        <v>15</v>
      </c>
      <c r="L17" s="65">
        <v>-121.39999999999998</v>
      </c>
      <c r="N17" s="78" t="s">
        <v>164</v>
      </c>
      <c r="O17" s="87">
        <f>IF(P17=0,0,Q17/P17)</f>
        <v>4.5136363636363646</v>
      </c>
      <c r="P17" s="81">
        <v>22</v>
      </c>
      <c r="Q17" s="72">
        <v>99.300000000000026</v>
      </c>
    </row>
    <row r="18" spans="1:17" x14ac:dyDescent="0.45">
      <c r="A18" s="20" t="s">
        <v>124</v>
      </c>
      <c r="B18" s="13">
        <f>B24</f>
        <v>45</v>
      </c>
      <c r="C18" s="6">
        <f>IF(B$16=0,0,B18/B$16)</f>
        <v>0.39130434782608697</v>
      </c>
      <c r="E18" s="29" t="s">
        <v>86</v>
      </c>
      <c r="F18" s="26" t="s">
        <v>41</v>
      </c>
      <c r="G18" s="14">
        <v>3</v>
      </c>
      <c r="H18" s="92">
        <f>IF(B$19=0,0,G18/B$19)</f>
        <v>2.3255813953488372E-2</v>
      </c>
      <c r="I18" s="60">
        <v>8</v>
      </c>
      <c r="K18" s="7">
        <v>16</v>
      </c>
      <c r="L18" s="65">
        <v>-141.29999999999998</v>
      </c>
      <c r="N18" s="78" t="s">
        <v>194</v>
      </c>
      <c r="O18" s="87">
        <f>IF(P18=0,0,Q18/P18)</f>
        <v>4.0250000000000021</v>
      </c>
      <c r="P18" s="81">
        <v>16</v>
      </c>
      <c r="Q18" s="72">
        <v>64.400000000000034</v>
      </c>
    </row>
    <row r="19" spans="1:17" x14ac:dyDescent="0.45">
      <c r="A19" s="20" t="s">
        <v>10</v>
      </c>
      <c r="B19" s="13">
        <f>B22+B21</f>
        <v>129</v>
      </c>
      <c r="C19" s="6">
        <f>IF(B$3=0,0,B19/B$3)</f>
        <v>0.27982646420824298</v>
      </c>
      <c r="E19" s="29" t="s">
        <v>92</v>
      </c>
      <c r="F19" s="26" t="s">
        <v>47</v>
      </c>
      <c r="G19" s="14">
        <v>2</v>
      </c>
      <c r="H19" s="92">
        <f>IF(B$19=0,0,G19/B$19)</f>
        <v>1.5503875968992248E-2</v>
      </c>
      <c r="I19" s="60">
        <v>2</v>
      </c>
      <c r="K19" s="7">
        <v>17</v>
      </c>
      <c r="L19" s="65">
        <v>-149.1</v>
      </c>
      <c r="N19" s="78" t="s">
        <v>205</v>
      </c>
      <c r="O19" s="87">
        <f>IF(P19=0,0,Q19/P19)</f>
        <v>-0.84166666666666501</v>
      </c>
      <c r="P19" s="81">
        <v>12</v>
      </c>
      <c r="Q19" s="72">
        <v>-10.09999999999998</v>
      </c>
    </row>
    <row r="20" spans="1:17" x14ac:dyDescent="0.45">
      <c r="A20" s="21" t="s">
        <v>13</v>
      </c>
      <c r="B20" s="14">
        <v>53</v>
      </c>
      <c r="C20" s="8">
        <f>IF(B$3=0,0,B20/B$3)</f>
        <v>0.11496746203904555</v>
      </c>
      <c r="E20" s="29" t="s">
        <v>77</v>
      </c>
      <c r="F20" s="26" t="s">
        <v>32</v>
      </c>
      <c r="G20" s="14">
        <v>1</v>
      </c>
      <c r="H20" s="92">
        <f>IF(B$19=0,0,G20/B$19)</f>
        <v>7.7519379844961239E-3</v>
      </c>
      <c r="I20" s="60">
        <v>4</v>
      </c>
      <c r="K20" s="7">
        <v>18</v>
      </c>
      <c r="L20" s="65">
        <v>-201.89999999999998</v>
      </c>
      <c r="N20" s="78" t="s">
        <v>196</v>
      </c>
      <c r="O20" s="87">
        <f>IF(P20=0,0,Q20/P20)</f>
        <v>-14.1625</v>
      </c>
      <c r="P20" s="81">
        <v>8</v>
      </c>
      <c r="Q20" s="72">
        <v>-113.3</v>
      </c>
    </row>
    <row r="21" spans="1:17" x14ac:dyDescent="0.45">
      <c r="A21" s="21" t="s">
        <v>12</v>
      </c>
      <c r="B21" s="14">
        <v>55</v>
      </c>
      <c r="C21" s="8">
        <f>IF(B$19=0,0,B21/B$19)</f>
        <v>0.4263565891472868</v>
      </c>
      <c r="E21" s="29" t="s">
        <v>85</v>
      </c>
      <c r="F21" s="26" t="s">
        <v>40</v>
      </c>
      <c r="G21" s="14">
        <v>1</v>
      </c>
      <c r="H21" s="92">
        <f>IF(B$19=0,0,G21/B$19)</f>
        <v>7.7519379844961239E-3</v>
      </c>
      <c r="I21" s="60">
        <v>2</v>
      </c>
      <c r="K21" s="7">
        <v>19</v>
      </c>
      <c r="L21" s="65">
        <v>-152.39999999999998</v>
      </c>
      <c r="N21" s="78" t="s">
        <v>126</v>
      </c>
      <c r="O21" s="87">
        <f>IF(P21=0,0,Q21/P21)</f>
        <v>-21.809090909090912</v>
      </c>
      <c r="P21" s="81">
        <v>33</v>
      </c>
      <c r="Q21" s="72">
        <v>-719.7</v>
      </c>
    </row>
    <row r="22" spans="1:17" x14ac:dyDescent="0.45">
      <c r="A22" s="21" t="s">
        <v>11</v>
      </c>
      <c r="B22" s="14">
        <v>74</v>
      </c>
      <c r="C22" s="8">
        <f>IF(B$19=0,0,B22/B$19)</f>
        <v>0.5736434108527132</v>
      </c>
      <c r="E22" s="29" t="s">
        <v>156</v>
      </c>
      <c r="F22" s="26" t="s">
        <v>157</v>
      </c>
      <c r="G22" s="14">
        <v>1</v>
      </c>
      <c r="H22" s="92">
        <f>IF(B$19=0,0,G22/B$19)</f>
        <v>7.7519379844961239E-3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60</v>
      </c>
      <c r="C23" s="8">
        <f>IF(B$19=0,0,B23/B$19)</f>
        <v>0.46511627906976744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45</v>
      </c>
      <c r="C24" s="8">
        <f>IF(B$19=0,0,B24/B$19)</f>
        <v>0.34883720930232559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24</v>
      </c>
      <c r="C25" s="8">
        <f>IF(B$19=0,0,B25/B$19)</f>
        <v>0.18604651162790697</v>
      </c>
      <c r="E25" s="29" t="s">
        <v>75</v>
      </c>
      <c r="F25" s="26" t="s">
        <v>30</v>
      </c>
      <c r="G25" s="14">
        <v>0</v>
      </c>
      <c r="H25" s="92">
        <f>IF(B$19=0,0,G25/B$19)</f>
        <v>0</v>
      </c>
      <c r="I25" s="60">
        <v>5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7803.8759689922481</v>
      </c>
      <c r="C26" s="10">
        <v>1006700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8311.9047619047615</v>
      </c>
      <c r="C27" s="100">
        <v>698200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6855.5555555555557</v>
      </c>
      <c r="C28" s="100">
        <v>308500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-8186.7924528301883</v>
      </c>
      <c r="C29" s="100">
        <v>-433900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13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8.5271317829457363E-2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24</v>
      </c>
      <c r="C37" s="8">
        <f t="shared" si="2"/>
        <v>0.18604651162790697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32</v>
      </c>
      <c r="C38" s="8">
        <f t="shared" si="2"/>
        <v>0.24806201550387597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21</v>
      </c>
      <c r="C39" s="8">
        <f t="shared" si="2"/>
        <v>0.16279069767441862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13</v>
      </c>
      <c r="C40" s="8">
        <f t="shared" si="2"/>
        <v>0.10077519379844961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8</v>
      </c>
      <c r="C41" s="8">
        <f t="shared" si="2"/>
        <v>6.2015503875968991E-2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9</v>
      </c>
      <c r="C42" s="8">
        <f t="shared" si="2"/>
        <v>6.9767441860465115E-2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2"/>
        <v>2.3255813953488372E-2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2"/>
        <v>1.5503875968992248E-2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3</v>
      </c>
      <c r="C45" s="8">
        <f t="shared" si="2"/>
        <v>2.3255813953488372E-2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2"/>
        <v>7.7519379844961239E-3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2</v>
      </c>
      <c r="C48" s="11">
        <f t="shared" si="2"/>
        <v>1.5503875968992248E-2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5">
      <c r="K53" s="7">
        <v>51</v>
      </c>
      <c r="L53" s="65">
        <v>-66.299999999999983</v>
      </c>
    </row>
    <row r="54" spans="5:12" x14ac:dyDescent="0.45">
      <c r="K54" s="7">
        <v>52</v>
      </c>
      <c r="L54" s="65">
        <v>-46.09999999999998</v>
      </c>
    </row>
    <row r="55" spans="5:12" x14ac:dyDescent="0.45">
      <c r="K55" s="7">
        <v>53</v>
      </c>
      <c r="L55" s="65">
        <v>-73.59999999999998</v>
      </c>
    </row>
    <row r="56" spans="5:12" x14ac:dyDescent="0.45">
      <c r="K56" s="7">
        <v>54</v>
      </c>
      <c r="L56" s="65">
        <v>-104.39999999999998</v>
      </c>
    </row>
    <row r="57" spans="5:12" x14ac:dyDescent="0.45">
      <c r="K57" s="7">
        <v>55</v>
      </c>
      <c r="L57" s="65">
        <v>-68.199999999999974</v>
      </c>
    </row>
    <row r="58" spans="5:12" x14ac:dyDescent="0.45">
      <c r="K58" s="7">
        <v>56</v>
      </c>
      <c r="L58" s="65">
        <v>-92.099999999999966</v>
      </c>
    </row>
    <row r="59" spans="5:12" x14ac:dyDescent="0.45">
      <c r="K59" s="7">
        <v>57</v>
      </c>
      <c r="L59" s="65">
        <v>-112.99999999999997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6C72-88AB-423C-8534-D0602949E4E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33</v>
      </c>
      <c r="C2" s="132"/>
      <c r="E2" s="28" t="s">
        <v>72</v>
      </c>
      <c r="F2" s="25" t="s">
        <v>27</v>
      </c>
      <c r="G2" s="13">
        <v>56</v>
      </c>
      <c r="H2" s="91">
        <f>IF(B$19=0,0,G2/B$19)</f>
        <v>0.70886075949367089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-1715.1515151515152</v>
      </c>
      <c r="P2" s="80">
        <v>33</v>
      </c>
      <c r="Q2" s="67">
        <v>-56600</v>
      </c>
    </row>
    <row r="3" spans="1:17" x14ac:dyDescent="0.45">
      <c r="A3" s="21" t="s">
        <v>8</v>
      </c>
      <c r="B3" s="133">
        <v>251</v>
      </c>
      <c r="C3" s="134"/>
      <c r="E3" s="29" t="s">
        <v>66</v>
      </c>
      <c r="F3" s="26" t="s">
        <v>22</v>
      </c>
      <c r="G3" s="14">
        <v>51</v>
      </c>
      <c r="H3" s="92">
        <f>IF(B$19=0,0,G3/B$19)</f>
        <v>0.64556962025316456</v>
      </c>
      <c r="I3" s="60">
        <v>8</v>
      </c>
      <c r="K3" s="7">
        <v>1</v>
      </c>
      <c r="L3" s="65">
        <v>56</v>
      </c>
      <c r="N3" s="78" t="s">
        <v>129</v>
      </c>
      <c r="O3" s="84">
        <f t="shared" si="0"/>
        <v>-468.75</v>
      </c>
      <c r="P3" s="81">
        <v>32</v>
      </c>
      <c r="Q3" s="68">
        <v>-15000</v>
      </c>
    </row>
    <row r="4" spans="1:17" x14ac:dyDescent="0.45">
      <c r="A4" s="21" t="s">
        <v>6</v>
      </c>
      <c r="B4" s="135">
        <v>84.500000000000014</v>
      </c>
      <c r="C4" s="136"/>
      <c r="E4" s="29" t="s">
        <v>160</v>
      </c>
      <c r="F4" s="26" t="s">
        <v>161</v>
      </c>
      <c r="G4" s="14">
        <v>25</v>
      </c>
      <c r="H4" s="92">
        <f>IF(B$19=0,0,G4/B$19)</f>
        <v>0.31645569620253167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2675.8620689655172</v>
      </c>
      <c r="P4" s="81">
        <v>29</v>
      </c>
      <c r="Q4" s="68">
        <v>77600</v>
      </c>
    </row>
    <row r="5" spans="1:17" x14ac:dyDescent="0.45">
      <c r="A5" s="21" t="s">
        <v>7</v>
      </c>
      <c r="B5" s="123">
        <f>IF(B$2=0,0,B$4/B$2)</f>
        <v>2.560606060606061</v>
      </c>
      <c r="C5" s="124"/>
      <c r="E5" s="29" t="s">
        <v>64</v>
      </c>
      <c r="F5" s="26" t="s">
        <v>20</v>
      </c>
      <c r="G5" s="14">
        <v>21</v>
      </c>
      <c r="H5" s="92">
        <f>IF(B$19=0,0,G5/B$19)</f>
        <v>0.26582278481012656</v>
      </c>
      <c r="I5" s="60">
        <v>10</v>
      </c>
      <c r="K5" s="7">
        <v>3</v>
      </c>
      <c r="L5" s="65">
        <v>159</v>
      </c>
      <c r="N5" s="78" t="s">
        <v>131</v>
      </c>
      <c r="O5" s="84">
        <f t="shared" si="0"/>
        <v>-1565.3846153846155</v>
      </c>
      <c r="P5" s="81">
        <v>26</v>
      </c>
      <c r="Q5" s="68">
        <v>-40700</v>
      </c>
    </row>
    <row r="6" spans="1:17" x14ac:dyDescent="0.45">
      <c r="A6" s="21" t="s">
        <v>1</v>
      </c>
      <c r="B6" s="137">
        <f>IF(B$2=0,0,(B$7*1+B$8*2+B$9*3)/B$2)</f>
        <v>1.9696969696969697</v>
      </c>
      <c r="C6" s="138"/>
      <c r="E6" s="29" t="s">
        <v>68</v>
      </c>
      <c r="F6" s="26" t="s">
        <v>12</v>
      </c>
      <c r="G6" s="14">
        <v>18</v>
      </c>
      <c r="H6" s="92">
        <f>IF(B$19=0,0,G6/B$19)</f>
        <v>0.22784810126582278</v>
      </c>
      <c r="I6" s="60">
        <v>10</v>
      </c>
      <c r="K6" s="7">
        <v>4</v>
      </c>
      <c r="L6" s="65">
        <v>112.4</v>
      </c>
      <c r="N6" s="78" t="s">
        <v>132</v>
      </c>
      <c r="O6" s="84">
        <f t="shared" si="0"/>
        <v>2733.3333333333335</v>
      </c>
      <c r="P6" s="81">
        <v>21</v>
      </c>
      <c r="Q6" s="68">
        <v>57400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16</v>
      </c>
      <c r="H7" s="92">
        <f>IF(B$19=0,0,G7/B$19)</f>
        <v>0.20253164556962025</v>
      </c>
      <c r="I7" s="60">
        <v>9</v>
      </c>
      <c r="K7" s="7">
        <v>5</v>
      </c>
      <c r="L7" s="65">
        <v>140.30000000000001</v>
      </c>
      <c r="N7" s="79" t="s">
        <v>133</v>
      </c>
      <c r="O7" s="85">
        <f t="shared" si="0"/>
        <v>1489.4736842105262</v>
      </c>
      <c r="P7" s="82">
        <v>19</v>
      </c>
      <c r="Q7" s="69">
        <v>28300</v>
      </c>
    </row>
    <row r="8" spans="1:17" x14ac:dyDescent="0.45">
      <c r="A8" s="21" t="s">
        <v>3</v>
      </c>
      <c r="B8" s="14">
        <v>12</v>
      </c>
      <c r="C8" s="8">
        <f t="shared" si="1"/>
        <v>0.36363636363636365</v>
      </c>
      <c r="E8" s="29" t="s">
        <v>69</v>
      </c>
      <c r="F8" s="26" t="s">
        <v>24</v>
      </c>
      <c r="G8" s="14">
        <v>11</v>
      </c>
      <c r="H8" s="92">
        <f>IF(B$19=0,0,G8/B$19)</f>
        <v>0.13924050632911392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0.30303030303030304</v>
      </c>
      <c r="E9" s="29" t="s">
        <v>83</v>
      </c>
      <c r="F9" s="26" t="s">
        <v>38</v>
      </c>
      <c r="G9" s="14">
        <v>11</v>
      </c>
      <c r="H9" s="92">
        <f>IF(B$19=0,0,G9/B$19)</f>
        <v>0.13924050632911392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41.427272727272729</v>
      </c>
      <c r="C10" s="114">
        <v>455.7</v>
      </c>
      <c r="E10" s="29" t="s">
        <v>89</v>
      </c>
      <c r="F10" s="26" t="s">
        <v>44</v>
      </c>
      <c r="G10" s="14">
        <v>10</v>
      </c>
      <c r="H10" s="92">
        <f>IF(B$19=0,0,G10/B$19)</f>
        <v>0.12658227848101267</v>
      </c>
      <c r="I10" s="60">
        <v>6</v>
      </c>
      <c r="K10" s="7">
        <v>8</v>
      </c>
      <c r="L10" s="65">
        <v>96.800000000000011</v>
      </c>
      <c r="N10" s="77" t="s">
        <v>152</v>
      </c>
      <c r="O10" s="86">
        <f>IF(P10=0,0,Q10/P10)</f>
        <v>-7.8636363636363624</v>
      </c>
      <c r="P10" s="80">
        <v>11</v>
      </c>
      <c r="Q10" s="71">
        <v>-86.499999999999986</v>
      </c>
    </row>
    <row r="11" spans="1:17" x14ac:dyDescent="0.45">
      <c r="A11" s="22" t="s">
        <v>186</v>
      </c>
      <c r="B11" s="113">
        <f>IF(B8=0,0,C11/B8)</f>
        <v>1.7999999999999996</v>
      </c>
      <c r="C11" s="114">
        <v>21.599999999999994</v>
      </c>
      <c r="E11" s="29" t="s">
        <v>65</v>
      </c>
      <c r="F11" s="26" t="s">
        <v>21</v>
      </c>
      <c r="G11" s="14">
        <v>6</v>
      </c>
      <c r="H11" s="92">
        <f>IF(B$19=0,0,G11/B$19)</f>
        <v>7.5949367088607597E-2</v>
      </c>
      <c r="I11" s="60">
        <v>9</v>
      </c>
      <c r="K11" s="7">
        <v>9</v>
      </c>
      <c r="L11" s="65">
        <v>51.600000000000009</v>
      </c>
      <c r="N11" s="78" t="s">
        <v>153</v>
      </c>
      <c r="O11" s="87">
        <f>IF(P11=0,0,Q11/P11)</f>
        <v>2.8299999999999992</v>
      </c>
      <c r="P11" s="81">
        <v>10</v>
      </c>
      <c r="Q11" s="72">
        <v>28.299999999999994</v>
      </c>
    </row>
    <row r="12" spans="1:17" x14ac:dyDescent="0.45">
      <c r="A12" s="22" t="s">
        <v>187</v>
      </c>
      <c r="B12" s="113">
        <f>IF(B9=0,0,C12/B9)</f>
        <v>-39.28</v>
      </c>
      <c r="C12" s="114">
        <v>-392.8</v>
      </c>
      <c r="E12" s="29" t="s">
        <v>81</v>
      </c>
      <c r="F12" s="26" t="s">
        <v>36</v>
      </c>
      <c r="G12" s="14">
        <v>5</v>
      </c>
      <c r="H12" s="92">
        <f>IF(B$19=0,0,G12/B$19)</f>
        <v>6.3291139240506333E-2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11.891666666666666</v>
      </c>
      <c r="P12" s="82">
        <v>12</v>
      </c>
      <c r="Q12" s="73">
        <v>142.69999999999999</v>
      </c>
    </row>
    <row r="13" spans="1:17" x14ac:dyDescent="0.45">
      <c r="A13" s="22" t="s">
        <v>188</v>
      </c>
      <c r="B13" s="123">
        <f>AVERAGE(B10:B12)</f>
        <v>1.3157575757575752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3.7974683544303799E-2</v>
      </c>
      <c r="I13" s="60">
        <v>8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0.18181818181818182</v>
      </c>
      <c r="E14" s="29" t="s">
        <v>78</v>
      </c>
      <c r="F14" s="26" t="s">
        <v>33</v>
      </c>
      <c r="G14" s="14">
        <v>3</v>
      </c>
      <c r="H14" s="92">
        <f>IF(B$19=0,0,G14/B$19)</f>
        <v>3.7974683544303799E-2</v>
      </c>
      <c r="I14" s="60">
        <v>5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35</v>
      </c>
      <c r="C15" s="12">
        <f>IF(B$3=0,0,B15/B$3)</f>
        <v>0.1394422310756972</v>
      </c>
      <c r="E15" s="29" t="s">
        <v>71</v>
      </c>
      <c r="F15" s="26" t="s">
        <v>26</v>
      </c>
      <c r="G15" s="14">
        <v>2</v>
      </c>
      <c r="H15" s="92">
        <f>IF(B$19=0,0,G15/B$19)</f>
        <v>2.5316455696202531E-2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1" si="2"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91</v>
      </c>
      <c r="C16" s="8">
        <f>IF(B$3=0,0,B16/B$3)</f>
        <v>0.36254980079681276</v>
      </c>
      <c r="E16" s="29" t="s">
        <v>79</v>
      </c>
      <c r="F16" s="26" t="s">
        <v>34</v>
      </c>
      <c r="G16" s="14">
        <v>2</v>
      </c>
      <c r="H16" s="92">
        <f>IF(B$19=0,0,G16/B$19)</f>
        <v>2.5316455696202531E-2</v>
      </c>
      <c r="I16" s="60">
        <v>3</v>
      </c>
      <c r="K16" s="7">
        <v>14</v>
      </c>
      <c r="L16" s="65">
        <v>89.399999999999991</v>
      </c>
      <c r="N16" s="78" t="s">
        <v>205</v>
      </c>
      <c r="O16" s="87">
        <f t="shared" si="2"/>
        <v>35.35</v>
      </c>
      <c r="P16" s="81">
        <v>4</v>
      </c>
      <c r="Q16" s="72">
        <v>141.4</v>
      </c>
    </row>
    <row r="17" spans="1:17" x14ac:dyDescent="0.45">
      <c r="A17" s="20" t="s">
        <v>123</v>
      </c>
      <c r="B17" s="13">
        <f>B23</f>
        <v>21</v>
      </c>
      <c r="C17" s="6">
        <f>IF(B$15=0,0,B17/B$15)</f>
        <v>0.6</v>
      </c>
      <c r="E17" s="29" t="s">
        <v>85</v>
      </c>
      <c r="F17" s="26" t="s">
        <v>40</v>
      </c>
      <c r="G17" s="14">
        <v>2</v>
      </c>
      <c r="H17" s="92">
        <f>IF(B$19=0,0,G17/B$19)</f>
        <v>2.5316455696202531E-2</v>
      </c>
      <c r="I17" s="60">
        <v>1</v>
      </c>
      <c r="K17" s="7">
        <v>15</v>
      </c>
      <c r="L17" s="65">
        <v>112.6</v>
      </c>
      <c r="N17" s="78" t="s">
        <v>164</v>
      </c>
      <c r="O17" s="87">
        <f t="shared" si="2"/>
        <v>27.375</v>
      </c>
      <c r="P17" s="81">
        <v>8</v>
      </c>
      <c r="Q17" s="72">
        <v>219</v>
      </c>
    </row>
    <row r="18" spans="1:17" x14ac:dyDescent="0.45">
      <c r="A18" s="20" t="s">
        <v>124</v>
      </c>
      <c r="B18" s="13">
        <f>B24</f>
        <v>38</v>
      </c>
      <c r="C18" s="6">
        <f>IF(B$16=0,0,B18/B$16)</f>
        <v>0.4175824175824176</v>
      </c>
      <c r="E18" s="29" t="s">
        <v>74</v>
      </c>
      <c r="F18" s="26" t="s">
        <v>29</v>
      </c>
      <c r="G18" s="14">
        <v>1</v>
      </c>
      <c r="H18" s="92">
        <f>IF(B$19=0,0,G18/B$19)</f>
        <v>1.2658227848101266E-2</v>
      </c>
      <c r="I18" s="60">
        <v>1</v>
      </c>
      <c r="K18" s="7">
        <v>16</v>
      </c>
      <c r="L18" s="65">
        <v>119.3</v>
      </c>
      <c r="N18" s="78" t="s">
        <v>196</v>
      </c>
      <c r="O18" s="87">
        <f t="shared" si="2"/>
        <v>21.5</v>
      </c>
      <c r="P18" s="81">
        <v>3</v>
      </c>
      <c r="Q18" s="72">
        <v>64.5</v>
      </c>
    </row>
    <row r="19" spans="1:17" x14ac:dyDescent="0.45">
      <c r="A19" s="20" t="s">
        <v>10</v>
      </c>
      <c r="B19" s="13">
        <f>B22+B21</f>
        <v>79</v>
      </c>
      <c r="C19" s="6">
        <f>IF(B$3=0,0,B19/B$3)</f>
        <v>0.3147410358565737</v>
      </c>
      <c r="E19" s="29" t="s">
        <v>75</v>
      </c>
      <c r="F19" s="26" t="s">
        <v>30</v>
      </c>
      <c r="G19" s="14">
        <v>1</v>
      </c>
      <c r="H19" s="92">
        <f>IF(B$19=0,0,G19/B$19)</f>
        <v>1.2658227848101266E-2</v>
      </c>
      <c r="I19" s="60">
        <v>1</v>
      </c>
      <c r="K19" s="7">
        <v>17</v>
      </c>
      <c r="L19" s="65">
        <v>71.699999999999989</v>
      </c>
      <c r="N19" s="78" t="s">
        <v>189</v>
      </c>
      <c r="O19" s="87">
        <f t="shared" si="2"/>
        <v>4.2000000000000011</v>
      </c>
      <c r="P19" s="81">
        <v>4</v>
      </c>
      <c r="Q19" s="72">
        <v>16.800000000000004</v>
      </c>
    </row>
    <row r="20" spans="1:17" x14ac:dyDescent="0.45">
      <c r="A20" s="21" t="s">
        <v>13</v>
      </c>
      <c r="B20" s="14">
        <v>35</v>
      </c>
      <c r="C20" s="8">
        <f>IF(B$3=0,0,B20/B$3)</f>
        <v>0.1394422310756972</v>
      </c>
      <c r="E20" s="29" t="s">
        <v>77</v>
      </c>
      <c r="F20" s="26" t="s">
        <v>32</v>
      </c>
      <c r="G20" s="14">
        <v>1</v>
      </c>
      <c r="H20" s="92">
        <f>IF(B$19=0,0,G20/B$19)</f>
        <v>1.2658227848101266E-2</v>
      </c>
      <c r="I20" s="60">
        <v>3</v>
      </c>
      <c r="K20" s="7">
        <v>18</v>
      </c>
      <c r="L20" s="65">
        <v>45.399999999999991</v>
      </c>
      <c r="N20" s="78" t="s">
        <v>192</v>
      </c>
      <c r="O20" s="87">
        <f t="shared" si="2"/>
        <v>-13.480000000000004</v>
      </c>
      <c r="P20" s="81">
        <v>20</v>
      </c>
      <c r="Q20" s="72">
        <v>-269.60000000000008</v>
      </c>
    </row>
    <row r="21" spans="1:17" x14ac:dyDescent="0.45">
      <c r="A21" s="21" t="s">
        <v>12</v>
      </c>
      <c r="B21" s="14">
        <v>35</v>
      </c>
      <c r="C21" s="8">
        <f>IF(B$19=0,0,B21/B$19)</f>
        <v>0.44303797468354428</v>
      </c>
      <c r="E21" s="29" t="s">
        <v>86</v>
      </c>
      <c r="F21" s="26" t="s">
        <v>41</v>
      </c>
      <c r="G21" s="14">
        <v>1</v>
      </c>
      <c r="H21" s="92">
        <f>IF(B$19=0,0,G21/B$19)</f>
        <v>1.2658227848101266E-2</v>
      </c>
      <c r="I21" s="60">
        <v>9</v>
      </c>
      <c r="K21" s="7">
        <v>19</v>
      </c>
      <c r="L21" s="65">
        <v>100.1</v>
      </c>
      <c r="N21" s="78" t="s">
        <v>126</v>
      </c>
      <c r="O21" s="87">
        <f t="shared" si="2"/>
        <v>-24.1875</v>
      </c>
      <c r="P21" s="81">
        <v>16</v>
      </c>
      <c r="Q21" s="72">
        <v>-387</v>
      </c>
    </row>
    <row r="22" spans="1:17" x14ac:dyDescent="0.45">
      <c r="A22" s="21" t="s">
        <v>11</v>
      </c>
      <c r="B22" s="14">
        <v>44</v>
      </c>
      <c r="C22" s="8">
        <f>IF(B$19=0,0,B22/B$19)</f>
        <v>0.55696202531645567</v>
      </c>
      <c r="E22" s="29" t="s">
        <v>88</v>
      </c>
      <c r="F22" s="26" t="s">
        <v>43</v>
      </c>
      <c r="G22" s="14">
        <v>1</v>
      </c>
      <c r="H22" s="92">
        <f>IF(B$19=0,0,G22/B$19)</f>
        <v>1.2658227848101266E-2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21</v>
      </c>
      <c r="C23" s="8">
        <f>IF(B$19=0,0,B23/B$19)</f>
        <v>0.26582278481012656</v>
      </c>
      <c r="E23" s="29" t="s">
        <v>102</v>
      </c>
      <c r="F23" s="26" t="s">
        <v>57</v>
      </c>
      <c r="G23" s="14">
        <v>1</v>
      </c>
      <c r="H23" s="92">
        <f>IF(B$19=0,0,G23/B$19)</f>
        <v>1.2658227848101266E-2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38</v>
      </c>
      <c r="C24" s="8">
        <f>IF(B$19=0,0,B24/B$19)</f>
        <v>0.48101265822784811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20</v>
      </c>
      <c r="C25" s="8">
        <f>IF(B$19=0,0,B25/B$19)</f>
        <v>0.25316455696202533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7745.5696202531644</v>
      </c>
      <c r="C26" s="10">
        <v>611900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8848.7804878048773</v>
      </c>
      <c r="C27" s="100">
        <v>362800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6555.2631578947367</v>
      </c>
      <c r="C28" s="100">
        <v>249100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-7008.5714285714284</v>
      </c>
      <c r="C29" s="100">
        <v>-245300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5">
      <c r="A31" s="21" t="s">
        <v>159</v>
      </c>
      <c r="B31" s="14">
        <v>27</v>
      </c>
      <c r="C31" s="94">
        <v>7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84.500000000000014</v>
      </c>
    </row>
    <row r="36" spans="1:12" x14ac:dyDescent="0.45">
      <c r="A36" s="56" t="s">
        <v>172</v>
      </c>
      <c r="B36" s="121">
        <v>7</v>
      </c>
      <c r="C36" s="102">
        <f t="shared" ref="C36:C48" si="3">IF(B$19=0,0,B36/B$19)</f>
        <v>8.8607594936708861E-2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168</v>
      </c>
      <c r="B37" s="14">
        <v>20</v>
      </c>
      <c r="C37" s="8">
        <f t="shared" si="3"/>
        <v>0.25316455696202533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169</v>
      </c>
      <c r="B38" s="122">
        <v>15</v>
      </c>
      <c r="C38" s="8">
        <f t="shared" si="3"/>
        <v>0.189873417721519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10</v>
      </c>
      <c r="C39" s="8">
        <f t="shared" si="3"/>
        <v>0.12658227848101267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15</v>
      </c>
      <c r="C40" s="8">
        <f t="shared" si="3"/>
        <v>0.189873417721519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4</v>
      </c>
      <c r="C41" s="8">
        <f t="shared" si="3"/>
        <v>5.0632911392405063E-2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5</v>
      </c>
      <c r="C42" s="8">
        <f t="shared" si="3"/>
        <v>6.3291139240506333E-2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1</v>
      </c>
      <c r="C43" s="8">
        <f t="shared" si="3"/>
        <v>1.2658227848101266E-2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1.2658227848101266E-2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1.2658227848101266E-2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360D-9E68-48C1-AF47-AB2591A838E2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3744.4444444444443</v>
      </c>
      <c r="P2" s="80">
        <v>9</v>
      </c>
      <c r="Q2" s="67">
        <v>33700</v>
      </c>
    </row>
    <row r="3" spans="1:17" x14ac:dyDescent="0.45">
      <c r="A3" s="21" t="s">
        <v>8</v>
      </c>
      <c r="B3" s="133">
        <v>73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11.111111111111111</v>
      </c>
      <c r="P3" s="81">
        <v>9</v>
      </c>
      <c r="Q3" s="68">
        <v>100</v>
      </c>
    </row>
    <row r="4" spans="1:17" x14ac:dyDescent="0.45">
      <c r="A4" s="21" t="s">
        <v>6</v>
      </c>
      <c r="B4" s="135">
        <v>21.599999999999987</v>
      </c>
      <c r="C4" s="136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4</v>
      </c>
      <c r="K4" s="7">
        <v>2</v>
      </c>
      <c r="L4" s="65">
        <v>-28.6</v>
      </c>
      <c r="N4" s="78" t="s">
        <v>130</v>
      </c>
      <c r="O4" s="84">
        <f t="shared" si="0"/>
        <v>-4000</v>
      </c>
      <c r="P4" s="81">
        <v>9</v>
      </c>
      <c r="Q4" s="68">
        <v>-36000</v>
      </c>
    </row>
    <row r="5" spans="1:17" x14ac:dyDescent="0.45">
      <c r="A5" s="21" t="s">
        <v>7</v>
      </c>
      <c r="B5" s="123">
        <f>IF(B$2=0,0,B$4/B$2)</f>
        <v>2.3999999999999986</v>
      </c>
      <c r="C5" s="124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2</v>
      </c>
      <c r="K5" s="7">
        <v>3</v>
      </c>
      <c r="L5" s="65">
        <v>-41.400000000000006</v>
      </c>
      <c r="N5" s="78" t="s">
        <v>131</v>
      </c>
      <c r="O5" s="84">
        <f t="shared" si="0"/>
        <v>-5014.2857142857147</v>
      </c>
      <c r="P5" s="81">
        <v>7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1.8888888888888888</v>
      </c>
      <c r="C6" s="138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6333.333333333333</v>
      </c>
      <c r="P6" s="81">
        <v>6</v>
      </c>
      <c r="Q6" s="68">
        <v>38000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3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6</v>
      </c>
      <c r="C8" s="8">
        <f t="shared" si="1"/>
        <v>0.66666666666666663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1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0.1111111111111111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3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7.5250000000000004</v>
      </c>
      <c r="P10" s="80">
        <v>4</v>
      </c>
      <c r="Q10" s="71">
        <v>30.1</v>
      </c>
    </row>
    <row r="11" spans="1:17" x14ac:dyDescent="0.45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10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9.3444444444444432</v>
      </c>
      <c r="C13" s="124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20</v>
      </c>
      <c r="C15" s="12">
        <f>IF(B$3=0,0,B15/B$3)</f>
        <v>0.27397260273972601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11</v>
      </c>
      <c r="C16" s="8">
        <f>IF(B$3=0,0,B16/B$3)</f>
        <v>0.15068493150684931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164</v>
      </c>
      <c r="O16" s="87">
        <f>IF(P16=0,0,Q16/P16)</f>
        <v>16.324999999999999</v>
      </c>
      <c r="P16" s="81">
        <v>4</v>
      </c>
      <c r="Q16" s="72">
        <v>65.3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5</v>
      </c>
      <c r="N17" s="78" t="s">
        <v>192</v>
      </c>
      <c r="O17" s="87">
        <f>IF(P17=0,0,Q17/P17)</f>
        <v>14.162500000000003</v>
      </c>
      <c r="P17" s="81">
        <v>8</v>
      </c>
      <c r="Q17" s="72">
        <v>113.30000000000003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0.26027397260273971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6.8493150684931503E-2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45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23</v>
      </c>
      <c r="C31" s="94">
        <v>23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A15D-2F39-44B4-BBD0-7DAB5AD475E5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38</v>
      </c>
      <c r="C2" s="132"/>
      <c r="E2" s="28" t="s">
        <v>66</v>
      </c>
      <c r="F2" s="25" t="s">
        <v>22</v>
      </c>
      <c r="G2" s="13">
        <v>78</v>
      </c>
      <c r="H2" s="91">
        <f>IF(B$19=0,0,G2/B$19)</f>
        <v>0.8571428571428571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1162.1621621621621</v>
      </c>
      <c r="P2" s="80">
        <v>37</v>
      </c>
      <c r="Q2" s="67">
        <v>43000</v>
      </c>
    </row>
    <row r="3" spans="1:17" x14ac:dyDescent="0.45">
      <c r="A3" s="21" t="s">
        <v>8</v>
      </c>
      <c r="B3" s="133">
        <v>294</v>
      </c>
      <c r="C3" s="134"/>
      <c r="E3" s="29" t="s">
        <v>72</v>
      </c>
      <c r="F3" s="26" t="s">
        <v>27</v>
      </c>
      <c r="G3" s="14">
        <v>52</v>
      </c>
      <c r="H3" s="92">
        <f>IF(B$19=0,0,G3/B$19)</f>
        <v>0.5714285714285714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-2131.5789473684213</v>
      </c>
      <c r="P3" s="81">
        <v>38</v>
      </c>
      <c r="Q3" s="68">
        <v>-81000</v>
      </c>
    </row>
    <row r="4" spans="1:17" x14ac:dyDescent="0.45">
      <c r="A4" s="21" t="s">
        <v>6</v>
      </c>
      <c r="B4" s="135">
        <v>-198.20000000000002</v>
      </c>
      <c r="C4" s="136"/>
      <c r="E4" s="29" t="s">
        <v>160</v>
      </c>
      <c r="F4" s="26" t="s">
        <v>161</v>
      </c>
      <c r="G4" s="14">
        <v>37</v>
      </c>
      <c r="H4" s="92">
        <f>IF(B$19=0,0,G4/B$19)</f>
        <v>0.40659340659340659</v>
      </c>
      <c r="I4" s="60">
        <v>8</v>
      </c>
      <c r="K4" s="7">
        <v>2</v>
      </c>
      <c r="L4" s="65">
        <v>41.2</v>
      </c>
      <c r="N4" s="78" t="s">
        <v>130</v>
      </c>
      <c r="O4" s="84">
        <f t="shared" si="0"/>
        <v>-1444.4444444444443</v>
      </c>
      <c r="P4" s="81">
        <v>36</v>
      </c>
      <c r="Q4" s="68">
        <v>-52000</v>
      </c>
    </row>
    <row r="5" spans="1:17" x14ac:dyDescent="0.45">
      <c r="A5" s="21" t="s">
        <v>7</v>
      </c>
      <c r="B5" s="123">
        <f>IF(B$2=0,0,B$4/B$2)</f>
        <v>-5.215789473684211</v>
      </c>
      <c r="C5" s="124"/>
      <c r="E5" s="29" t="s">
        <v>64</v>
      </c>
      <c r="F5" s="26" t="s">
        <v>20</v>
      </c>
      <c r="G5" s="14">
        <v>34</v>
      </c>
      <c r="H5" s="92">
        <f>IF(B$19=0,0,G5/B$19)</f>
        <v>0.37362637362637363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475.75757575757575</v>
      </c>
      <c r="P5" s="81">
        <v>33</v>
      </c>
      <c r="Q5" s="68">
        <v>15700</v>
      </c>
    </row>
    <row r="6" spans="1:17" x14ac:dyDescent="0.45">
      <c r="A6" s="21" t="s">
        <v>1</v>
      </c>
      <c r="B6" s="137">
        <f>IF(B$2=0,0,(B$7*1+B$8*2+B$9*3)/B$2)</f>
        <v>2.1052631578947367</v>
      </c>
      <c r="C6" s="138"/>
      <c r="E6" s="29" t="s">
        <v>68</v>
      </c>
      <c r="F6" s="26" t="s">
        <v>12</v>
      </c>
      <c r="G6" s="14">
        <v>23</v>
      </c>
      <c r="H6" s="92">
        <f>IF(B$19=0,0,G6/B$19)</f>
        <v>0.25274725274725274</v>
      </c>
      <c r="I6" s="60">
        <v>7</v>
      </c>
      <c r="K6" s="7">
        <v>4</v>
      </c>
      <c r="L6" s="65">
        <v>-41.199999999999996</v>
      </c>
      <c r="N6" s="78" t="s">
        <v>132</v>
      </c>
      <c r="O6" s="84">
        <f t="shared" si="0"/>
        <v>-1712.5</v>
      </c>
      <c r="P6" s="81">
        <v>32</v>
      </c>
      <c r="Q6" s="68">
        <v>-54800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0.28947368421052633</v>
      </c>
      <c r="E7" s="29" t="s">
        <v>67</v>
      </c>
      <c r="F7" s="26" t="s">
        <v>23</v>
      </c>
      <c r="G7" s="14">
        <v>20</v>
      </c>
      <c r="H7" s="92">
        <f>IF(B$19=0,0,G7/B$19)</f>
        <v>0.21978021978021978</v>
      </c>
      <c r="I7" s="60">
        <v>8</v>
      </c>
      <c r="K7" s="7">
        <v>5</v>
      </c>
      <c r="L7" s="65">
        <v>-72.899999999999991</v>
      </c>
      <c r="N7" s="79" t="s">
        <v>133</v>
      </c>
      <c r="O7" s="85">
        <f t="shared" si="0"/>
        <v>-2360</v>
      </c>
      <c r="P7" s="82">
        <v>25</v>
      </c>
      <c r="Q7" s="69">
        <v>-59000</v>
      </c>
    </row>
    <row r="8" spans="1:17" x14ac:dyDescent="0.45">
      <c r="A8" s="21" t="s">
        <v>3</v>
      </c>
      <c r="B8" s="14">
        <v>12</v>
      </c>
      <c r="C8" s="8">
        <f t="shared" si="1"/>
        <v>0.31578947368421051</v>
      </c>
      <c r="E8" s="29" t="s">
        <v>89</v>
      </c>
      <c r="F8" s="26" t="s">
        <v>44</v>
      </c>
      <c r="G8" s="14">
        <v>17</v>
      </c>
      <c r="H8" s="92">
        <f>IF(B$19=0,0,G8/B$19)</f>
        <v>0.18681318681318682</v>
      </c>
      <c r="I8" s="60">
        <v>2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15</v>
      </c>
      <c r="C9" s="9">
        <f t="shared" si="1"/>
        <v>0.39473684210526316</v>
      </c>
      <c r="E9" s="29" t="s">
        <v>69</v>
      </c>
      <c r="F9" s="26" t="s">
        <v>24</v>
      </c>
      <c r="G9" s="14">
        <v>14</v>
      </c>
      <c r="H9" s="92">
        <f>IF(B$19=0,0,G9/B$19)</f>
        <v>0.15384615384615385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34.699999999999996</v>
      </c>
      <c r="C10" s="114">
        <v>381.7</v>
      </c>
      <c r="E10" s="29" t="s">
        <v>70</v>
      </c>
      <c r="F10" s="26" t="s">
        <v>25</v>
      </c>
      <c r="G10" s="14">
        <v>11</v>
      </c>
      <c r="H10" s="92">
        <f>IF(B$19=0,0,G10/B$19)</f>
        <v>0.12087912087912088</v>
      </c>
      <c r="I10" s="60">
        <v>2</v>
      </c>
      <c r="K10" s="7">
        <v>8</v>
      </c>
      <c r="L10" s="65">
        <v>-128.6</v>
      </c>
      <c r="N10" s="77" t="s">
        <v>152</v>
      </c>
      <c r="O10" s="86">
        <f>IF(P10=0,0,Q10/P10)</f>
        <v>-5.291666666666667</v>
      </c>
      <c r="P10" s="80">
        <v>12</v>
      </c>
      <c r="Q10" s="71">
        <v>-63.5</v>
      </c>
    </row>
    <row r="11" spans="1:17" x14ac:dyDescent="0.45">
      <c r="A11" s="22" t="s">
        <v>186</v>
      </c>
      <c r="B11" s="113">
        <f>IF(B8=0,0,C11/B8)</f>
        <v>-2.2833333333333332</v>
      </c>
      <c r="C11" s="114">
        <v>-27.4</v>
      </c>
      <c r="E11" s="29" t="s">
        <v>65</v>
      </c>
      <c r="F11" s="26" t="s">
        <v>21</v>
      </c>
      <c r="G11" s="14">
        <v>8</v>
      </c>
      <c r="H11" s="92">
        <f>IF(B$19=0,0,G11/B$19)</f>
        <v>8.7912087912087919E-2</v>
      </c>
      <c r="I11" s="60">
        <v>7</v>
      </c>
      <c r="K11" s="7">
        <v>9</v>
      </c>
      <c r="L11" s="65">
        <v>-120</v>
      </c>
      <c r="N11" s="78" t="s">
        <v>153</v>
      </c>
      <c r="O11" s="87">
        <f>IF(P11=0,0,Q11/P11)</f>
        <v>3.1899999999999995</v>
      </c>
      <c r="P11" s="81">
        <v>10</v>
      </c>
      <c r="Q11" s="72">
        <v>31.899999999999995</v>
      </c>
    </row>
    <row r="12" spans="1:17" x14ac:dyDescent="0.45">
      <c r="A12" s="22" t="s">
        <v>187</v>
      </c>
      <c r="B12" s="113">
        <f>IF(B9=0,0,C12/B9)</f>
        <v>-36.833333333333336</v>
      </c>
      <c r="C12" s="114">
        <v>-552.5</v>
      </c>
      <c r="E12" s="29" t="s">
        <v>71</v>
      </c>
      <c r="F12" s="26" t="s">
        <v>26</v>
      </c>
      <c r="G12" s="14">
        <v>5</v>
      </c>
      <c r="H12" s="92">
        <f>IF(B$19=0,0,G12/B$19)</f>
        <v>5.4945054945054944E-2</v>
      </c>
      <c r="I12" s="60">
        <v>7</v>
      </c>
      <c r="K12" s="7">
        <v>10</v>
      </c>
      <c r="L12" s="65">
        <v>-112.8</v>
      </c>
      <c r="N12" s="79" t="s">
        <v>154</v>
      </c>
      <c r="O12" s="88">
        <f>IF(P12=0,0,Q12/P12)</f>
        <v>-10.412500000000001</v>
      </c>
      <c r="P12" s="82">
        <v>16</v>
      </c>
      <c r="Q12" s="73">
        <v>-166.60000000000002</v>
      </c>
    </row>
    <row r="13" spans="1:17" x14ac:dyDescent="0.45">
      <c r="A13" s="22" t="s">
        <v>188</v>
      </c>
      <c r="B13" s="123">
        <f>AVERAGE(B10:B12)</f>
        <v>-1.4722222222222239</v>
      </c>
      <c r="C13" s="124"/>
      <c r="E13" s="29" t="s">
        <v>83</v>
      </c>
      <c r="F13" s="26" t="s">
        <v>38</v>
      </c>
      <c r="G13" s="14">
        <v>5</v>
      </c>
      <c r="H13" s="92">
        <f>IF(B$19=0,0,G13/B$19)</f>
        <v>5.4945054945054944E-2</v>
      </c>
      <c r="I13" s="60">
        <v>4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0.10526315789473684</v>
      </c>
      <c r="E14" s="29" t="s">
        <v>86</v>
      </c>
      <c r="F14" s="26" t="s">
        <v>41</v>
      </c>
      <c r="G14" s="14">
        <v>5</v>
      </c>
      <c r="H14" s="92">
        <f>IF(B$19=0,0,G14/B$19)</f>
        <v>5.4945054945054944E-2</v>
      </c>
      <c r="I14" s="60">
        <v>5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52</v>
      </c>
      <c r="C15" s="12">
        <f>IF(B$3=0,0,B15/B$3)</f>
        <v>0.17687074829931973</v>
      </c>
      <c r="E15" s="29" t="s">
        <v>78</v>
      </c>
      <c r="F15" s="26" t="s">
        <v>33</v>
      </c>
      <c r="G15" s="14">
        <v>4</v>
      </c>
      <c r="H15" s="92">
        <f>IF(B$19=0,0,G15/B$19)</f>
        <v>4.3956043956043959E-2</v>
      </c>
      <c r="I15" s="60">
        <v>2</v>
      </c>
      <c r="K15" s="7">
        <v>13</v>
      </c>
      <c r="L15" s="65">
        <v>-63.4</v>
      </c>
      <c r="N15" s="77" t="s">
        <v>192</v>
      </c>
      <c r="O15" s="86">
        <f>IF(P15=0,0,Q15/P15)</f>
        <v>0.84166666666666501</v>
      </c>
      <c r="P15" s="80">
        <v>12</v>
      </c>
      <c r="Q15" s="71">
        <v>10.09999999999998</v>
      </c>
    </row>
    <row r="16" spans="1:17" x14ac:dyDescent="0.45">
      <c r="A16" s="21" t="s">
        <v>118</v>
      </c>
      <c r="B16" s="14">
        <v>81</v>
      </c>
      <c r="C16" s="8">
        <f>IF(B$3=0,0,B16/B$3)</f>
        <v>0.27551020408163263</v>
      </c>
      <c r="E16" s="29" t="s">
        <v>81</v>
      </c>
      <c r="F16" s="26" t="s">
        <v>36</v>
      </c>
      <c r="G16" s="14">
        <v>2</v>
      </c>
      <c r="H16" s="92">
        <f>IF(B$19=0,0,G16/B$19)</f>
        <v>2.197802197802198E-2</v>
      </c>
      <c r="I16" s="60">
        <v>7</v>
      </c>
      <c r="K16" s="7">
        <v>14</v>
      </c>
      <c r="L16" s="65">
        <v>-42.4</v>
      </c>
      <c r="N16" s="78" t="s">
        <v>194</v>
      </c>
      <c r="O16" s="87">
        <f>IF(P16=0,0,Q16/P16)</f>
        <v>0.79166666666666663</v>
      </c>
      <c r="P16" s="81">
        <v>12</v>
      </c>
      <c r="Q16" s="72">
        <v>9.5</v>
      </c>
    </row>
    <row r="17" spans="1:17" x14ac:dyDescent="0.45">
      <c r="A17" s="20" t="s">
        <v>123</v>
      </c>
      <c r="B17" s="13">
        <f>B23</f>
        <v>33</v>
      </c>
      <c r="C17" s="6">
        <f>IF(B$15=0,0,B17/B$15)</f>
        <v>0.63461538461538458</v>
      </c>
      <c r="E17" s="29" t="s">
        <v>75</v>
      </c>
      <c r="F17" s="26" t="s">
        <v>30</v>
      </c>
      <c r="G17" s="14">
        <v>1</v>
      </c>
      <c r="H17" s="92">
        <f>IF(B$19=0,0,G17/B$19)</f>
        <v>1.098901098901099E-2</v>
      </c>
      <c r="I17" s="60">
        <v>2</v>
      </c>
      <c r="K17" s="7">
        <v>15</v>
      </c>
      <c r="L17" s="65">
        <v>-65.7</v>
      </c>
      <c r="N17" s="78" t="s">
        <v>126</v>
      </c>
      <c r="O17" s="87">
        <f>IF(P17=0,0,Q17/P17)</f>
        <v>-8.2312500000000028</v>
      </c>
      <c r="P17" s="81">
        <v>32</v>
      </c>
      <c r="Q17" s="72">
        <v>-263.40000000000009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0.32098765432098764</v>
      </c>
      <c r="E18" s="29" t="s">
        <v>92</v>
      </c>
      <c r="F18" s="26" t="s">
        <v>47</v>
      </c>
      <c r="G18" s="14">
        <v>1</v>
      </c>
      <c r="H18" s="92">
        <f>IF(B$19=0,0,G18/B$19)</f>
        <v>1.098901098901099E-2</v>
      </c>
      <c r="I18" s="60">
        <v>6</v>
      </c>
      <c r="K18" s="7">
        <v>16</v>
      </c>
      <c r="L18" s="65">
        <v>-104.80000000000001</v>
      </c>
      <c r="N18" s="78" t="s">
        <v>164</v>
      </c>
      <c r="O18" s="87">
        <f>IF(P18=0,0,Q18/P18)</f>
        <v>-10.113333333333337</v>
      </c>
      <c r="P18" s="81">
        <v>15</v>
      </c>
      <c r="Q18" s="72">
        <v>-151.70000000000005</v>
      </c>
    </row>
    <row r="19" spans="1:17" x14ac:dyDescent="0.45">
      <c r="A19" s="20" t="s">
        <v>10</v>
      </c>
      <c r="B19" s="13">
        <f>B22+B21</f>
        <v>91</v>
      </c>
      <c r="C19" s="6">
        <f>IF(B$3=0,0,B19/B$3)</f>
        <v>0.30952380952380953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-52.900000000000013</v>
      </c>
      <c r="N19" s="78" t="s">
        <v>193</v>
      </c>
      <c r="O19" s="87">
        <f>IF(P19=0,0,Q19/P19)</f>
        <v>-35.35</v>
      </c>
      <c r="P19" s="81">
        <v>4</v>
      </c>
      <c r="Q19" s="72">
        <v>-141.4</v>
      </c>
    </row>
    <row r="20" spans="1:17" x14ac:dyDescent="0.45">
      <c r="A20" s="21" t="s">
        <v>13</v>
      </c>
      <c r="B20" s="14">
        <v>52</v>
      </c>
      <c r="C20" s="8">
        <f>IF(B$3=0,0,B20/B$3)</f>
        <v>0.17687074829931973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-45.800000000000011</v>
      </c>
      <c r="N20" s="78" t="s">
        <v>189</v>
      </c>
      <c r="O20" s="87">
        <f>IF(P20=0,0,Q20/P20)</f>
        <v>-57.7</v>
      </c>
      <c r="P20" s="81">
        <v>1</v>
      </c>
      <c r="Q20" s="72">
        <v>-57.7</v>
      </c>
    </row>
    <row r="21" spans="1:17" x14ac:dyDescent="0.45">
      <c r="A21" s="21" t="s">
        <v>12</v>
      </c>
      <c r="B21" s="14">
        <v>40</v>
      </c>
      <c r="C21" s="8">
        <f>IF(B$19=0,0,B21/B$19)</f>
        <v>0.43956043956043955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45">
      <c r="A22" s="21" t="s">
        <v>11</v>
      </c>
      <c r="B22" s="14">
        <v>51</v>
      </c>
      <c r="C22" s="8">
        <f>IF(B$19=0,0,B22/B$19)</f>
        <v>0.56043956043956045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33</v>
      </c>
      <c r="C23" s="8">
        <f>IF(B$19=0,0,B23/B$19)</f>
        <v>0.36263736263736263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26</v>
      </c>
      <c r="C24" s="8">
        <f>IF(B$19=0,0,B24/B$19)</f>
        <v>0.2857142857142857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32</v>
      </c>
      <c r="C25" s="8">
        <f>IF(B$19=0,0,B25/B$19)</f>
        <v>0.35164835164835168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8087.9120879120883</v>
      </c>
      <c r="C26" s="10">
        <v>736000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8260</v>
      </c>
      <c r="C27" s="100">
        <v>536900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7657.6923076923076</v>
      </c>
      <c r="C28" s="100">
        <v>199100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-9161.538461538461</v>
      </c>
      <c r="C29" s="100">
        <v>-476400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5">
      <c r="A31" s="21" t="s">
        <v>159</v>
      </c>
      <c r="B31" s="14">
        <v>16</v>
      </c>
      <c r="C31" s="94">
        <v>1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-199.60000000000002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7.6923076923076927E-2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-238.00000000000003</v>
      </c>
    </row>
    <row r="37" spans="1:12" x14ac:dyDescent="0.45">
      <c r="A37" s="21" t="s">
        <v>168</v>
      </c>
      <c r="B37" s="14">
        <v>22</v>
      </c>
      <c r="C37" s="8">
        <f t="shared" si="2"/>
        <v>0.24175824175824176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-209.50000000000003</v>
      </c>
    </row>
    <row r="38" spans="1:12" x14ac:dyDescent="0.45">
      <c r="A38" s="21" t="s">
        <v>169</v>
      </c>
      <c r="B38" s="122">
        <v>13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-215.90000000000003</v>
      </c>
    </row>
    <row r="39" spans="1:12" x14ac:dyDescent="0.45">
      <c r="A39" s="21" t="s">
        <v>170</v>
      </c>
      <c r="B39" s="122">
        <v>18</v>
      </c>
      <c r="C39" s="8">
        <f t="shared" si="2"/>
        <v>0.19780219780219779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-222.60000000000002</v>
      </c>
    </row>
    <row r="40" spans="1:12" x14ac:dyDescent="0.45">
      <c r="A40" s="21" t="s">
        <v>171</v>
      </c>
      <c r="B40" s="122">
        <v>12</v>
      </c>
      <c r="C40" s="8">
        <f t="shared" si="2"/>
        <v>0.13186813186813187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-198.20000000000002</v>
      </c>
    </row>
    <row r="41" spans="1:12" x14ac:dyDescent="0.45">
      <c r="A41" s="21" t="s">
        <v>173</v>
      </c>
      <c r="B41" s="122">
        <v>8</v>
      </c>
      <c r="C41" s="8">
        <f t="shared" si="2"/>
        <v>8.7912087912087919E-2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174</v>
      </c>
      <c r="B42" s="122">
        <v>4</v>
      </c>
      <c r="C42" s="8">
        <f t="shared" si="2"/>
        <v>4.3956043956043959E-2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2</v>
      </c>
      <c r="C43" s="8">
        <f t="shared" si="2"/>
        <v>2.197802197802198E-2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1.098901098901099E-2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1.098901098901099E-2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2</v>
      </c>
      <c r="C46" s="8">
        <f t="shared" si="2"/>
        <v>2.197802197802198E-2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1.098901098901099E-2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CEB-C91F-4C5B-92D9-C37B27CE90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6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1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3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5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7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DBED-E05B-4D37-B811-AE55893EF611}">
  <sheetPr codeName="Sheet24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212</v>
      </c>
      <c r="B1" s="36" t="s">
        <v>212</v>
      </c>
      <c r="C1" s="36" t="s">
        <v>212</v>
      </c>
      <c r="D1" s="37" t="s">
        <v>212</v>
      </c>
      <c r="E1" s="36" t="s">
        <v>212</v>
      </c>
      <c r="F1" s="36" t="s">
        <v>212</v>
      </c>
      <c r="G1" s="36" t="s">
        <v>212</v>
      </c>
      <c r="H1" s="36" t="s">
        <v>212</v>
      </c>
      <c r="I1" s="36" t="s">
        <v>212</v>
      </c>
      <c r="J1" s="36" t="s">
        <v>212</v>
      </c>
      <c r="K1" s="36" t="s">
        <v>212</v>
      </c>
      <c r="L1" s="36" t="s">
        <v>212</v>
      </c>
      <c r="M1" s="36" t="s">
        <v>212</v>
      </c>
      <c r="N1" s="36" t="s">
        <v>212</v>
      </c>
      <c r="O1" s="36" t="s">
        <v>212</v>
      </c>
      <c r="P1" s="36" t="s">
        <v>212</v>
      </c>
      <c r="Q1" s="36" t="s">
        <v>212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6685-A7FA-4349-97BA-FD686999AD40}">
  <sheetPr codeName="Sheet22"/>
  <dimension ref="A1:Q41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5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5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5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5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5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5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  <row r="37" spans="1:16" x14ac:dyDescent="0.45">
      <c r="A37" s="35">
        <v>34</v>
      </c>
      <c r="B37" s="32">
        <v>-238.00000000000003</v>
      </c>
      <c r="C37" s="32">
        <v>-7.0000000000000009</v>
      </c>
      <c r="D37" s="37">
        <v>2.1764705882352939</v>
      </c>
      <c r="E37" s="33">
        <v>0.26470588235294118</v>
      </c>
      <c r="F37" s="33">
        <v>0.44117647058823528</v>
      </c>
      <c r="G37" s="33">
        <v>0.29699248120300753</v>
      </c>
      <c r="H37" s="33">
        <v>0.18045112781954886</v>
      </c>
      <c r="I37" s="34">
        <v>8153.164556962025</v>
      </c>
      <c r="J37" s="34">
        <v>-9333.3333333333339</v>
      </c>
      <c r="K37" s="33">
        <v>0.11764705882352941</v>
      </c>
      <c r="L37" s="33">
        <v>0.16917293233082706</v>
      </c>
      <c r="M37" s="33">
        <v>0.28195488721804512</v>
      </c>
      <c r="N37" s="33">
        <v>0.62222222222222223</v>
      </c>
      <c r="O37" s="33">
        <v>0.30666666666666664</v>
      </c>
      <c r="P37" s="33">
        <v>0.379746835443038</v>
      </c>
    </row>
    <row r="38" spans="1:16" x14ac:dyDescent="0.45">
      <c r="A38" s="35">
        <v>35</v>
      </c>
      <c r="B38" s="32">
        <v>-209.50000000000003</v>
      </c>
      <c r="C38" s="32">
        <v>-5.9857142857142867</v>
      </c>
      <c r="D38" s="37">
        <v>2.1428571428571428</v>
      </c>
      <c r="E38" s="33">
        <v>0.2857142857142857</v>
      </c>
      <c r="F38" s="33">
        <v>0.42857142857142855</v>
      </c>
      <c r="G38" s="33">
        <v>0.3014705882352941</v>
      </c>
      <c r="H38" s="33">
        <v>0.17647058823529413</v>
      </c>
      <c r="I38" s="34">
        <v>8186.5853658536589</v>
      </c>
      <c r="J38" s="34">
        <v>-9333.3333333333339</v>
      </c>
      <c r="K38" s="33">
        <v>0.11428571428571428</v>
      </c>
      <c r="L38" s="33">
        <v>0.17279411764705882</v>
      </c>
      <c r="M38" s="33">
        <v>0.28308823529411764</v>
      </c>
      <c r="N38" s="33">
        <v>0.63829787234042556</v>
      </c>
      <c r="O38" s="33">
        <v>0.31168831168831168</v>
      </c>
      <c r="P38" s="33">
        <v>0.3902439024390244</v>
      </c>
    </row>
    <row r="39" spans="1:16" x14ac:dyDescent="0.45">
      <c r="A39" s="35">
        <v>36</v>
      </c>
      <c r="B39" s="32">
        <v>-215.90000000000003</v>
      </c>
      <c r="C39" s="32">
        <v>-5.9972222222222236</v>
      </c>
      <c r="D39" s="37">
        <v>2.1388888888888888</v>
      </c>
      <c r="E39" s="33">
        <v>0.27777777777777779</v>
      </c>
      <c r="F39" s="33">
        <v>0.41666666666666669</v>
      </c>
      <c r="G39" s="33">
        <v>0.30107526881720431</v>
      </c>
      <c r="H39" s="33">
        <v>0.17921146953405018</v>
      </c>
      <c r="I39" s="34">
        <v>8229.7619047619046</v>
      </c>
      <c r="J39" s="34">
        <v>-9328</v>
      </c>
      <c r="K39" s="33">
        <v>0.1111111111111111</v>
      </c>
      <c r="L39" s="33">
        <v>0.17562724014336917</v>
      </c>
      <c r="M39" s="33">
        <v>0.28673835125448027</v>
      </c>
      <c r="N39" s="33">
        <v>0.63265306122448983</v>
      </c>
      <c r="O39" s="33">
        <v>0.3125</v>
      </c>
      <c r="P39" s="33">
        <v>0.40476190476190477</v>
      </c>
    </row>
    <row r="40" spans="1:16" x14ac:dyDescent="0.45">
      <c r="A40" s="35">
        <v>37</v>
      </c>
      <c r="B40" s="32">
        <v>-222.60000000000002</v>
      </c>
      <c r="C40" s="32">
        <v>-6.0162162162162165</v>
      </c>
      <c r="D40" s="37">
        <v>2.1351351351351351</v>
      </c>
      <c r="E40" s="33">
        <v>0.27027027027027029</v>
      </c>
      <c r="F40" s="33">
        <v>0.40540540540540543</v>
      </c>
      <c r="G40" s="33">
        <v>0.30313588850174217</v>
      </c>
      <c r="H40" s="33">
        <v>0.17770034843205576</v>
      </c>
      <c r="I40" s="34">
        <v>8110.3448275862065</v>
      </c>
      <c r="J40" s="34">
        <v>-9301.9607843137255</v>
      </c>
      <c r="K40" s="33">
        <v>0.10810810810810811</v>
      </c>
      <c r="L40" s="33">
        <v>0.18118466898954705</v>
      </c>
      <c r="M40" s="33">
        <v>0.28222996515679444</v>
      </c>
      <c r="N40" s="33">
        <v>0.63461538461538458</v>
      </c>
      <c r="O40" s="33">
        <v>0.32098765432098764</v>
      </c>
      <c r="P40" s="33">
        <v>0.41379310344827586</v>
      </c>
    </row>
    <row r="41" spans="1:16" x14ac:dyDescent="0.45">
      <c r="A41" s="35">
        <v>38</v>
      </c>
      <c r="B41" s="32">
        <v>-198.20000000000002</v>
      </c>
      <c r="C41" s="32">
        <v>-5.215789473684211</v>
      </c>
      <c r="D41" s="37">
        <v>2.1052631578947367</v>
      </c>
      <c r="E41" s="33">
        <v>0.28947368421052633</v>
      </c>
      <c r="F41" s="33">
        <v>0.39473684210526316</v>
      </c>
      <c r="G41" s="33">
        <v>0.30952380952380953</v>
      </c>
      <c r="H41" s="33">
        <v>0.17687074829931973</v>
      </c>
      <c r="I41" s="34">
        <v>8087.9120879120883</v>
      </c>
      <c r="J41" s="34">
        <v>-9161.538461538461</v>
      </c>
      <c r="K41" s="33">
        <v>0.10526315789473684</v>
      </c>
      <c r="L41" s="33">
        <v>0.17687074829931973</v>
      </c>
      <c r="M41" s="33">
        <v>0.27551020408163263</v>
      </c>
      <c r="N41" s="33">
        <v>0.63461538461538458</v>
      </c>
      <c r="O41" s="33">
        <v>0.32098765432098764</v>
      </c>
      <c r="P41" s="33">
        <v>0.43956043956043955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1051-9763-4F69-8384-2612E5FC2847}">
  <sheetPr codeName="Sheet2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5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FB93-E7C7-4BB7-8240-FB11CC61D43E}">
  <sheetPr codeName="Sheet18"/>
  <dimension ref="A1:Q3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5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5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5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5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5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5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540A-ED1C-438D-8FAA-1A53808905F0}">
  <sheetPr codeName="Sheet16"/>
  <dimension ref="A1:Q60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5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5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5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5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5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5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5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5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5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5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  <row r="59" spans="1:16" x14ac:dyDescent="0.45">
      <c r="A59" s="35">
        <v>56</v>
      </c>
      <c r="B59" s="32">
        <v>-92.099999999999966</v>
      </c>
      <c r="C59" s="32">
        <v>-1.6446428571428566</v>
      </c>
      <c r="D59" s="37">
        <v>2.0178571428571428</v>
      </c>
      <c r="E59" s="33">
        <v>0.32142857142857145</v>
      </c>
      <c r="F59" s="33">
        <v>0.3392857142857143</v>
      </c>
      <c r="G59" s="33">
        <v>0.28193832599118945</v>
      </c>
      <c r="H59" s="33">
        <v>0.11674008810572688</v>
      </c>
      <c r="I59" s="34">
        <v>7771.09375</v>
      </c>
      <c r="J59" s="34">
        <v>-8186.7924528301883</v>
      </c>
      <c r="K59" s="33">
        <v>8.9285714285714288E-2</v>
      </c>
      <c r="L59" s="33">
        <v>0.23568281938325991</v>
      </c>
      <c r="M59" s="33">
        <v>0.25330396475770928</v>
      </c>
      <c r="N59" s="33">
        <v>0.55140186915887845</v>
      </c>
      <c r="O59" s="33">
        <v>0.39130434782608697</v>
      </c>
      <c r="P59" s="33">
        <v>0.421875</v>
      </c>
    </row>
    <row r="60" spans="1:16" x14ac:dyDescent="0.45">
      <c r="A60" s="35">
        <v>57</v>
      </c>
      <c r="B60" s="32">
        <v>-112.99999999999997</v>
      </c>
      <c r="C60" s="32">
        <v>-1.9824561403508767</v>
      </c>
      <c r="D60" s="37">
        <v>2.0350877192982457</v>
      </c>
      <c r="E60" s="33">
        <v>0.31578947368421051</v>
      </c>
      <c r="F60" s="33">
        <v>0.35087719298245612</v>
      </c>
      <c r="G60" s="33">
        <v>0.27982646420824298</v>
      </c>
      <c r="H60" s="33">
        <v>0.11496746203904555</v>
      </c>
      <c r="I60" s="34">
        <v>7803.8759689922481</v>
      </c>
      <c r="J60" s="34">
        <v>-8186.7924528301883</v>
      </c>
      <c r="K60" s="33">
        <v>8.771929824561403E-2</v>
      </c>
      <c r="L60" s="33">
        <v>0.23644251626898047</v>
      </c>
      <c r="M60" s="33">
        <v>0.24945770065075923</v>
      </c>
      <c r="N60" s="33">
        <v>0.55045871559633031</v>
      </c>
      <c r="O60" s="33">
        <v>0.39130434782608697</v>
      </c>
      <c r="P60" s="33">
        <v>0.4263565891472868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8E81-B496-4E0B-8B41-0F484153F2BA}">
  <sheetPr codeName="Sheet14"/>
  <dimension ref="A1:Q39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5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5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5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5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  <row r="39" spans="1:16" x14ac:dyDescent="0.45">
      <c r="A39" s="35">
        <v>36</v>
      </c>
      <c r="B39" s="32">
        <v>-258.7999999999999</v>
      </c>
      <c r="C39" s="32">
        <v>-7.1888888888888864</v>
      </c>
      <c r="D39" s="37">
        <v>2.2777777777777777</v>
      </c>
      <c r="E39" s="33">
        <v>0.19444444444444445</v>
      </c>
      <c r="F39" s="33">
        <v>0.47222222222222221</v>
      </c>
      <c r="G39" s="33">
        <v>0.27436823104693142</v>
      </c>
      <c r="H39" s="33">
        <v>0.16606498194945848</v>
      </c>
      <c r="I39" s="34">
        <v>8010.5263157894733</v>
      </c>
      <c r="J39" s="34">
        <v>-7428.260869565217</v>
      </c>
      <c r="K39" s="33">
        <v>0.16666666666666666</v>
      </c>
      <c r="L39" s="33">
        <v>0.22021660649819494</v>
      </c>
      <c r="M39" s="33">
        <v>0.16245487364620939</v>
      </c>
      <c r="N39" s="33">
        <v>0.50819672131147542</v>
      </c>
      <c r="O39" s="33">
        <v>0.57777777777777772</v>
      </c>
      <c r="P39" s="33">
        <v>0.48684210526315791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52FD-D1C2-453D-8583-1CA8940CD3A5}">
  <sheetPr codeName="Sheet12"/>
  <dimension ref="A1:Q8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5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5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5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5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5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5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5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5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5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5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5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  <row r="82" spans="1:16" x14ac:dyDescent="0.45">
      <c r="A82" s="35">
        <v>79</v>
      </c>
      <c r="B82" s="32">
        <v>745.50000000000011</v>
      </c>
      <c r="C82" s="32">
        <v>9.4367088607594951</v>
      </c>
      <c r="D82" s="37">
        <v>1.7468354430379747</v>
      </c>
      <c r="E82" s="33">
        <v>0.45569620253164556</v>
      </c>
      <c r="F82" s="33">
        <v>0.20253164556962025</v>
      </c>
      <c r="G82" s="33">
        <v>0.31160572337042924</v>
      </c>
      <c r="H82" s="33">
        <v>0.14785373608903021</v>
      </c>
      <c r="I82" s="34">
        <v>9828.0612244897966</v>
      </c>
      <c r="J82" s="34">
        <v>-7973.1182795698924</v>
      </c>
      <c r="K82" s="33">
        <v>6.3291139240506333E-2</v>
      </c>
      <c r="L82" s="33">
        <v>0.24960254372019078</v>
      </c>
      <c r="M82" s="33">
        <v>0.16057233704292528</v>
      </c>
      <c r="N82" s="33">
        <v>0.5859872611464968</v>
      </c>
      <c r="O82" s="33">
        <v>0.48514851485148514</v>
      </c>
      <c r="P82" s="33">
        <v>0.51020408163265307</v>
      </c>
    </row>
    <row r="83" spans="1:16" x14ac:dyDescent="0.45">
      <c r="A83" s="35">
        <v>80</v>
      </c>
      <c r="B83" s="32">
        <v>712.20000000000016</v>
      </c>
      <c r="C83" s="32">
        <v>8.9025000000000016</v>
      </c>
      <c r="D83" s="37">
        <v>1.7625</v>
      </c>
      <c r="E83" s="33">
        <v>0.45</v>
      </c>
      <c r="F83" s="33">
        <v>0.21249999999999999</v>
      </c>
      <c r="G83" s="33">
        <v>0.31023622047244093</v>
      </c>
      <c r="H83" s="33">
        <v>0.14645669291338584</v>
      </c>
      <c r="I83" s="34">
        <v>9794.4162436548231</v>
      </c>
      <c r="J83" s="34">
        <v>-7973.1182795698924</v>
      </c>
      <c r="K83" s="33">
        <v>6.25E-2</v>
      </c>
      <c r="L83" s="33">
        <v>0.24724409448818899</v>
      </c>
      <c r="M83" s="33">
        <v>0.15905511811023623</v>
      </c>
      <c r="N83" s="33">
        <v>0.5859872611464968</v>
      </c>
      <c r="O83" s="33">
        <v>0.48514851485148514</v>
      </c>
      <c r="P83" s="33">
        <v>0.51269035532994922</v>
      </c>
    </row>
    <row r="84" spans="1:16" x14ac:dyDescent="0.45">
      <c r="A84" s="35">
        <v>81</v>
      </c>
      <c r="B84" s="32">
        <v>689.10000000000014</v>
      </c>
      <c r="C84" s="32">
        <v>8.5074074074074097</v>
      </c>
      <c r="D84" s="37">
        <v>1.7777777777777777</v>
      </c>
      <c r="E84" s="33">
        <v>0.44444444444444442</v>
      </c>
      <c r="F84" s="33">
        <v>0.22222222222222221</v>
      </c>
      <c r="G84" s="33">
        <v>0.3099688473520249</v>
      </c>
      <c r="H84" s="33">
        <v>0.14485981308411214</v>
      </c>
      <c r="I84" s="34">
        <v>9748.2412060301504</v>
      </c>
      <c r="J84" s="34">
        <v>-7973.1182795698924</v>
      </c>
      <c r="K84" s="33">
        <v>6.1728395061728392E-2</v>
      </c>
      <c r="L84" s="33">
        <v>0.24922118380062305</v>
      </c>
      <c r="M84" s="33">
        <v>0.15887850467289719</v>
      </c>
      <c r="N84" s="33">
        <v>0.58125000000000004</v>
      </c>
      <c r="O84" s="33">
        <v>0.49019607843137253</v>
      </c>
      <c r="P84" s="33">
        <v>0.51256281407035176</v>
      </c>
    </row>
    <row r="85" spans="1:16" x14ac:dyDescent="0.45">
      <c r="A85" s="35">
        <v>82</v>
      </c>
      <c r="B85" s="32">
        <v>719.70000000000016</v>
      </c>
      <c r="C85" s="32">
        <v>8.7768292682926852</v>
      </c>
      <c r="D85" s="37">
        <v>1.7682926829268293</v>
      </c>
      <c r="E85" s="33">
        <v>0.45121951219512196</v>
      </c>
      <c r="F85" s="33">
        <v>0.21951219512195122</v>
      </c>
      <c r="G85" s="33">
        <v>0.31076923076923074</v>
      </c>
      <c r="H85" s="33">
        <v>0.14461538461538462</v>
      </c>
      <c r="I85" s="34">
        <v>9791.5841584158425</v>
      </c>
      <c r="J85" s="34">
        <v>-7915.9574468085102</v>
      </c>
      <c r="K85" s="33">
        <v>6.097560975609756E-2</v>
      </c>
      <c r="L85" s="33">
        <v>0.25230769230769229</v>
      </c>
      <c r="M85" s="33">
        <v>0.15846153846153846</v>
      </c>
      <c r="N85" s="33">
        <v>0.57926829268292679</v>
      </c>
      <c r="O85" s="33">
        <v>0.4854368932038835</v>
      </c>
      <c r="P85" s="33">
        <v>0.50990099009900991</v>
      </c>
    </row>
    <row r="86" spans="1:16" x14ac:dyDescent="0.45">
      <c r="A86" s="35">
        <v>83</v>
      </c>
      <c r="B86" s="32">
        <v>716.20000000000016</v>
      </c>
      <c r="C86" s="32">
        <v>8.6289156626506038</v>
      </c>
      <c r="D86" s="37">
        <v>1.7710843373493976</v>
      </c>
      <c r="E86" s="33">
        <v>0.44578313253012047</v>
      </c>
      <c r="F86" s="33">
        <v>0.21686746987951808</v>
      </c>
      <c r="G86" s="33">
        <v>0.31050228310502281</v>
      </c>
      <c r="H86" s="33">
        <v>0.14307458143074581</v>
      </c>
      <c r="I86" s="34">
        <v>9783.823529411764</v>
      </c>
      <c r="J86" s="34">
        <v>-7915.9574468085102</v>
      </c>
      <c r="K86" s="33">
        <v>6.0240963855421686E-2</v>
      </c>
      <c r="L86" s="33">
        <v>0.25114155251141551</v>
      </c>
      <c r="M86" s="33">
        <v>0.15829528158295281</v>
      </c>
      <c r="N86" s="33">
        <v>0.58181818181818179</v>
      </c>
      <c r="O86" s="33">
        <v>0.49038461538461536</v>
      </c>
      <c r="P86" s="33">
        <v>0.50980392156862742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20F6-42AF-4B78-8327-BC31CBD27D7F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FC5-E1CA-4B9B-95A6-8DA9C932342E}">
  <sheetPr codeName="Sheet8"/>
  <dimension ref="A1:Q6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5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5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5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5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5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5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5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  <row r="61" spans="1:16" x14ac:dyDescent="0.45">
      <c r="A61" s="35">
        <v>58</v>
      </c>
      <c r="B61" s="32">
        <v>-110.00000000000006</v>
      </c>
      <c r="C61" s="32">
        <v>-1.8965517241379319</v>
      </c>
      <c r="D61" s="37">
        <v>2.0344827586206895</v>
      </c>
      <c r="E61" s="33">
        <v>0.36206896551724138</v>
      </c>
      <c r="F61" s="33">
        <v>0.39655172413793105</v>
      </c>
      <c r="G61" s="33">
        <v>0.27114967462039047</v>
      </c>
      <c r="H61" s="33">
        <v>0.18655097613882862</v>
      </c>
      <c r="I61" s="34">
        <v>10196.799999999999</v>
      </c>
      <c r="J61" s="34">
        <v>-8154.6511627906975</v>
      </c>
      <c r="K61" s="33">
        <v>0.17241379310344829</v>
      </c>
      <c r="L61" s="33">
        <v>0.29284164859002171</v>
      </c>
      <c r="M61" s="33">
        <v>0.2017353579175705</v>
      </c>
      <c r="N61" s="33">
        <v>0.47407407407407409</v>
      </c>
      <c r="O61" s="33">
        <v>0.35483870967741937</v>
      </c>
      <c r="P61" s="33">
        <v>0.44800000000000001</v>
      </c>
    </row>
    <row r="62" spans="1:16" x14ac:dyDescent="0.45">
      <c r="A62" s="35">
        <v>59</v>
      </c>
      <c r="B62" s="32">
        <v>-105.20000000000006</v>
      </c>
      <c r="C62" s="32">
        <v>-1.7830508474576281</v>
      </c>
      <c r="D62" s="37">
        <v>2.0338983050847457</v>
      </c>
      <c r="E62" s="33">
        <v>0.3559322033898305</v>
      </c>
      <c r="F62" s="33">
        <v>0.38983050847457629</v>
      </c>
      <c r="G62" s="33">
        <v>0.26980728051391861</v>
      </c>
      <c r="H62" s="33">
        <v>0.18629550321199143</v>
      </c>
      <c r="I62" s="34">
        <v>10306.349206349207</v>
      </c>
      <c r="J62" s="34">
        <v>-8120.6896551724139</v>
      </c>
      <c r="K62" s="33">
        <v>0.16949152542372881</v>
      </c>
      <c r="L62" s="33">
        <v>0.2955032119914347</v>
      </c>
      <c r="M62" s="33">
        <v>0.2012847965738758</v>
      </c>
      <c r="N62" s="33">
        <v>0.46376811594202899</v>
      </c>
      <c r="O62" s="33">
        <v>0.35106382978723405</v>
      </c>
      <c r="P62" s="33">
        <v>0.45238095238095238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315F-3D69-49EE-AC78-B893D71DFCF8}">
  <sheetPr codeName="Sheet6"/>
  <dimension ref="A1:Q114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5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5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5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5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5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5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5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5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5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5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5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5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5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5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5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  <row r="110" spans="1:16" x14ac:dyDescent="0.45">
      <c r="A110" s="35">
        <v>107</v>
      </c>
      <c r="B110" s="32">
        <v>-1.7763568394002505E-14</v>
      </c>
      <c r="C110" s="32">
        <v>-5.5338219295957958E-17</v>
      </c>
      <c r="D110" s="37">
        <v>2</v>
      </c>
      <c r="E110" s="33">
        <v>0.33333333333333331</v>
      </c>
      <c r="F110" s="33">
        <v>0.33333333333333331</v>
      </c>
      <c r="G110" s="33">
        <v>0.29009433962264153</v>
      </c>
      <c r="H110" s="33">
        <v>0.15566037735849056</v>
      </c>
      <c r="I110" s="34">
        <v>8779.9457994579952</v>
      </c>
      <c r="J110" s="34">
        <v>-7982.3232323232323</v>
      </c>
      <c r="K110" s="33">
        <v>0.11526479750778816</v>
      </c>
      <c r="L110" s="33">
        <v>0.23624213836477986</v>
      </c>
      <c r="M110" s="33">
        <v>0.21383647798742139</v>
      </c>
      <c r="N110" s="33">
        <v>0.55241264559068215</v>
      </c>
      <c r="O110" s="33">
        <v>0.41360294117647056</v>
      </c>
      <c r="P110" s="33">
        <v>0.46070460704607047</v>
      </c>
    </row>
    <row r="111" spans="1:16" x14ac:dyDescent="0.45">
      <c r="A111" s="35">
        <v>108</v>
      </c>
      <c r="B111" s="32">
        <v>-1.4210854715202004E-14</v>
      </c>
      <c r="C111" s="32">
        <v>-4.386066270124075E-17</v>
      </c>
      <c r="D111" s="37">
        <v>2</v>
      </c>
      <c r="E111" s="33">
        <v>0.33333333333333331</v>
      </c>
      <c r="F111" s="33">
        <v>0.33333333333333331</v>
      </c>
      <c r="G111" s="33">
        <v>0.29000780640124901</v>
      </c>
      <c r="H111" s="33">
        <v>0.15495706479313037</v>
      </c>
      <c r="I111" s="34">
        <v>8794.0780619111702</v>
      </c>
      <c r="J111" s="34">
        <v>-7975.3148614609572</v>
      </c>
      <c r="K111" s="33">
        <v>0.11419753086419752</v>
      </c>
      <c r="L111" s="33">
        <v>0.23653395784543327</v>
      </c>
      <c r="M111" s="33">
        <v>0.21350507416081185</v>
      </c>
      <c r="N111" s="33">
        <v>0.55115511551155116</v>
      </c>
      <c r="O111" s="33">
        <v>0.41316270566727603</v>
      </c>
      <c r="P111" s="33">
        <v>0.46298788694481829</v>
      </c>
    </row>
    <row r="112" spans="1:16" x14ac:dyDescent="0.45">
      <c r="A112" s="35">
        <v>109</v>
      </c>
      <c r="B112" s="32">
        <v>-1.4210854715202004E-14</v>
      </c>
      <c r="C112" s="32">
        <v>-4.3458271300311938E-17</v>
      </c>
      <c r="D112" s="37">
        <v>2</v>
      </c>
      <c r="E112" s="33">
        <v>0.33333333333333331</v>
      </c>
      <c r="F112" s="33">
        <v>0.33333333333333331</v>
      </c>
      <c r="G112" s="33">
        <v>0.28997289972899731</v>
      </c>
      <c r="H112" s="33">
        <v>0.15447154471544716</v>
      </c>
      <c r="I112" s="34">
        <v>8801.6021361815747</v>
      </c>
      <c r="J112" s="34">
        <v>-7981.4536340852128</v>
      </c>
      <c r="K112" s="33">
        <v>0.11314984709480122</v>
      </c>
      <c r="L112" s="33">
        <v>0.23770809136662796</v>
      </c>
      <c r="M112" s="33">
        <v>0.21331784746418891</v>
      </c>
      <c r="N112" s="33">
        <v>0.55048859934853422</v>
      </c>
      <c r="O112" s="33">
        <v>0.41379310344827586</v>
      </c>
      <c r="P112" s="33">
        <v>0.46461949265687585</v>
      </c>
    </row>
    <row r="113" spans="1:16" x14ac:dyDescent="0.45">
      <c r="A113" s="35">
        <v>110</v>
      </c>
      <c r="B113" s="32">
        <v>-1.0658141036401503E-14</v>
      </c>
      <c r="C113" s="32">
        <v>-3.2297397080004552E-17</v>
      </c>
      <c r="D113" s="37">
        <v>2</v>
      </c>
      <c r="E113" s="33">
        <v>0.33333333333333331</v>
      </c>
      <c r="F113" s="33">
        <v>0.33333333333333331</v>
      </c>
      <c r="G113" s="33">
        <v>0.28998849252013809</v>
      </c>
      <c r="H113" s="33">
        <v>0.15420023014959724</v>
      </c>
      <c r="I113" s="34">
        <v>8813.0952380952385</v>
      </c>
      <c r="J113" s="34">
        <v>-7993.0348258706472</v>
      </c>
      <c r="K113" s="33">
        <v>0.11212121212121212</v>
      </c>
      <c r="L113" s="33">
        <v>0.23858841580360568</v>
      </c>
      <c r="M113" s="33">
        <v>0.21212121212121213</v>
      </c>
      <c r="N113" s="33">
        <v>0.55144694533762062</v>
      </c>
      <c r="O113" s="33">
        <v>0.41410488245931282</v>
      </c>
      <c r="P113" s="33">
        <v>0.46560846560846558</v>
      </c>
    </row>
    <row r="114" spans="1:16" x14ac:dyDescent="0.45">
      <c r="A114" s="35">
        <v>111</v>
      </c>
      <c r="B114" s="32">
        <v>-1.0658141036401503E-14</v>
      </c>
      <c r="C114" s="32">
        <v>-3.2006429538743251E-17</v>
      </c>
      <c r="D114" s="37">
        <v>2</v>
      </c>
      <c r="E114" s="33">
        <v>0.33333333333333331</v>
      </c>
      <c r="F114" s="33">
        <v>0.33333333333333331</v>
      </c>
      <c r="G114" s="33">
        <v>0.29033485540334858</v>
      </c>
      <c r="H114" s="33">
        <v>0.15334855403348555</v>
      </c>
      <c r="I114" s="34">
        <v>8811.4023591087807</v>
      </c>
      <c r="J114" s="34">
        <v>-7978.1637717121585</v>
      </c>
      <c r="K114" s="33">
        <v>0.1111111111111111</v>
      </c>
      <c r="L114" s="33">
        <v>0.2378234398782344</v>
      </c>
      <c r="M114" s="33">
        <v>0.21080669710806696</v>
      </c>
      <c r="N114" s="33">
        <v>0.55200000000000005</v>
      </c>
      <c r="O114" s="33">
        <v>0.41516245487364623</v>
      </c>
      <c r="P114" s="33">
        <v>0.4692005242463958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2020-07-17T09:47:57Z</dcterms:modified>
</cp:coreProperties>
</file>