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B92B164A-62BF-490C-AFE1-B20EA9A3F414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ただ" sheetId="6134" r:id="rId14"/>
    <sheet name="ただ2" sheetId="6135" state="hidden" r:id="rId15"/>
    <sheet name="のり2" sheetId="6133" state="hidden" r:id="rId16"/>
    <sheet name="たかの2" sheetId="6131" state="hidden" r:id="rId17"/>
    <sheet name="まっつん2" sheetId="6129" state="hidden" r:id="rId18"/>
    <sheet name="りくと2" sheetId="6127" state="hidden" r:id="rId19"/>
    <sheet name="だいち2" sheetId="6125" state="hidden" r:id="rId20"/>
    <sheet name="ともき2" sheetId="6123" state="hidden" r:id="rId21"/>
    <sheet name="れんたろう2" sheetId="6121" state="hidden" r:id="rId22"/>
    <sheet name="全体2" sheetId="6119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26" l="1"/>
  <c r="O16" i="6134"/>
  <c r="O16" i="6122" l="1"/>
  <c r="O20" i="6130"/>
  <c r="O18" i="6134" l="1"/>
  <c r="O15" i="6122"/>
  <c r="O19" i="6134" l="1"/>
  <c r="O15" i="6120"/>
  <c r="O15" i="6128" l="1"/>
  <c r="O18" i="6122"/>
  <c r="O18" i="6124" l="1"/>
  <c r="O20" i="6128"/>
  <c r="O16" i="6118"/>
  <c r="O17" i="6134"/>
  <c r="O15" i="6134"/>
  <c r="C34" i="6134"/>
  <c r="B29" i="6134"/>
  <c r="C20" i="6134"/>
  <c r="B19" i="6134"/>
  <c r="H50" i="6134" s="1"/>
  <c r="B18" i="6134"/>
  <c r="B28" i="6134" s="1"/>
  <c r="B17" i="6134"/>
  <c r="C17" i="6134" s="1"/>
  <c r="C16" i="6134"/>
  <c r="C15" i="6134"/>
  <c r="C14" i="6134"/>
  <c r="O12" i="6134"/>
  <c r="B12" i="6134"/>
  <c r="O11" i="6134"/>
  <c r="B11" i="6134"/>
  <c r="O10" i="6134"/>
  <c r="B10" i="6134"/>
  <c r="C9" i="6134"/>
  <c r="C8" i="6134"/>
  <c r="O7" i="6134"/>
  <c r="C7" i="6134"/>
  <c r="O6" i="6134"/>
  <c r="B6" i="6134"/>
  <c r="O5" i="6134"/>
  <c r="B5" i="6134"/>
  <c r="O4" i="6134"/>
  <c r="O3" i="6134"/>
  <c r="O2" i="6134"/>
  <c r="B13" i="6134" l="1"/>
  <c r="C18" i="6134"/>
  <c r="H30" i="6134"/>
  <c r="H2" i="6134"/>
  <c r="H11" i="6134"/>
  <c r="H15" i="6134"/>
  <c r="H33" i="6134"/>
  <c r="C22" i="6134"/>
  <c r="H31" i="6134"/>
  <c r="C21" i="6134"/>
  <c r="H10" i="6134"/>
  <c r="H14" i="6134"/>
  <c r="H17" i="6134"/>
  <c r="C42" i="6134"/>
  <c r="H21" i="6134"/>
  <c r="H19" i="6134"/>
  <c r="H39" i="6134"/>
  <c r="H20" i="6134"/>
  <c r="H41" i="6134"/>
  <c r="H3" i="6134"/>
  <c r="C24" i="6134"/>
  <c r="H18" i="6134"/>
  <c r="H43" i="6134"/>
  <c r="C46" i="6134"/>
  <c r="C25" i="6134"/>
  <c r="C36" i="6134"/>
  <c r="H44" i="6134"/>
  <c r="H5" i="6134"/>
  <c r="H7" i="6134"/>
  <c r="H22" i="6134"/>
  <c r="H37" i="6134"/>
  <c r="H38" i="6134"/>
  <c r="H47" i="6134"/>
  <c r="H27" i="6134"/>
  <c r="B26" i="6134"/>
  <c r="H9" i="6134"/>
  <c r="H6" i="6134"/>
  <c r="H12" i="6134"/>
  <c r="H23" i="6134"/>
  <c r="C38" i="6134"/>
  <c r="H48" i="6134"/>
  <c r="C48" i="6134"/>
  <c r="H26" i="6134"/>
  <c r="H34" i="6134"/>
  <c r="H42" i="6134"/>
  <c r="H49" i="6134"/>
  <c r="B27" i="6134"/>
  <c r="C39" i="6134"/>
  <c r="C44" i="6134"/>
  <c r="H51" i="6134"/>
  <c r="C23" i="6134"/>
  <c r="H8" i="6134"/>
  <c r="H35" i="6134"/>
  <c r="H40" i="6134"/>
  <c r="H45" i="6134"/>
  <c r="H4" i="6134"/>
  <c r="H16" i="6134"/>
  <c r="H13" i="6134"/>
  <c r="C19" i="6134"/>
  <c r="H25" i="6134"/>
  <c r="H29" i="6134"/>
  <c r="H36" i="6134"/>
  <c r="C40" i="6134"/>
  <c r="H46" i="6134"/>
  <c r="H52" i="6134"/>
  <c r="C43" i="6134"/>
  <c r="C47" i="6134"/>
  <c r="H24" i="6134"/>
  <c r="H28" i="6134"/>
  <c r="H32" i="6134"/>
  <c r="C37" i="6134"/>
  <c r="C41" i="6134"/>
  <c r="C45" i="6134"/>
  <c r="O16" i="6124"/>
  <c r="O19" i="6130"/>
  <c r="O20" i="6120"/>
  <c r="O16" i="6130"/>
  <c r="O15" i="6124" l="1"/>
  <c r="O19" i="6126"/>
  <c r="O17" i="6120"/>
  <c r="O19" i="6120"/>
  <c r="O16" i="6126"/>
  <c r="O18" i="6128"/>
  <c r="O16" i="6132" l="1"/>
  <c r="O18" i="6132"/>
  <c r="O21" i="6128"/>
  <c r="O16" i="6128"/>
  <c r="O17" i="6124"/>
  <c r="O19" i="6124"/>
  <c r="O17" i="6130"/>
  <c r="O15" i="6132"/>
  <c r="O17" i="6132"/>
  <c r="C34" i="6132"/>
  <c r="B29" i="6132"/>
  <c r="C20" i="6132"/>
  <c r="B19" i="6132"/>
  <c r="H5" i="6132" s="1"/>
  <c r="B18" i="6132"/>
  <c r="B28" i="6132" s="1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8" i="6126"/>
  <c r="O17" i="6118"/>
  <c r="O18" i="6130"/>
  <c r="O15" i="6130"/>
  <c r="C34" i="6130"/>
  <c r="B29" i="6130"/>
  <c r="C20" i="6130"/>
  <c r="B19" i="6130"/>
  <c r="H50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7" i="6128"/>
  <c r="O19" i="6128"/>
  <c r="C34" i="6128"/>
  <c r="B29" i="6128"/>
  <c r="C20" i="6128"/>
  <c r="B19" i="6128"/>
  <c r="H51" i="6128" s="1"/>
  <c r="B18" i="6128"/>
  <c r="C18" i="6128" s="1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5" i="6118"/>
  <c r="O20" i="6126"/>
  <c r="O17" i="6126"/>
  <c r="C34" i="6126"/>
  <c r="B29" i="6126"/>
  <c r="C20" i="6126"/>
  <c r="B19" i="6126"/>
  <c r="H50" i="6126" s="1"/>
  <c r="B18" i="6126"/>
  <c r="B28" i="6126" s="1"/>
  <c r="B17" i="6126"/>
  <c r="C17" i="6126" s="1"/>
  <c r="C16" i="6126"/>
  <c r="C15" i="6126"/>
  <c r="C14" i="6126"/>
  <c r="O12" i="6126"/>
  <c r="B12" i="6126"/>
  <c r="O11" i="6126"/>
  <c r="B11" i="6126"/>
  <c r="O10" i="6126"/>
  <c r="B10" i="6126"/>
  <c r="C9" i="6126"/>
  <c r="C8" i="6126"/>
  <c r="O7" i="6126"/>
  <c r="C7" i="6126"/>
  <c r="O6" i="6126"/>
  <c r="B6" i="6126"/>
  <c r="O5" i="6126"/>
  <c r="B5" i="6126"/>
  <c r="O4" i="6126"/>
  <c r="O3" i="6126"/>
  <c r="O2" i="6126"/>
  <c r="O21" i="6118"/>
  <c r="O19" i="6118"/>
  <c r="C18" i="6132" l="1"/>
  <c r="B28" i="6128"/>
  <c r="C18" i="6126"/>
  <c r="H3" i="6126"/>
  <c r="H49" i="6126"/>
  <c r="H34" i="6126"/>
  <c r="H4" i="6126"/>
  <c r="H40" i="6126"/>
  <c r="H5" i="6126"/>
  <c r="H20" i="6126"/>
  <c r="C21" i="6126"/>
  <c r="H24" i="6126"/>
  <c r="C24" i="6126"/>
  <c r="H14" i="6126"/>
  <c r="H41" i="6126"/>
  <c r="H9" i="6126"/>
  <c r="C40" i="6126"/>
  <c r="C25" i="6126"/>
  <c r="H16" i="6126"/>
  <c r="H44" i="6126"/>
  <c r="H17" i="6126"/>
  <c r="H33" i="6126"/>
  <c r="H51" i="6126"/>
  <c r="H8" i="6126"/>
  <c r="H52" i="6126"/>
  <c r="H2" i="6126"/>
  <c r="H6" i="6126"/>
  <c r="H10" i="6126"/>
  <c r="H31" i="6126"/>
  <c r="C44" i="6126"/>
  <c r="H12" i="6126"/>
  <c r="H36" i="6126"/>
  <c r="H45" i="6126"/>
  <c r="H19" i="6126"/>
  <c r="C19" i="6126"/>
  <c r="C38" i="6126"/>
  <c r="H46" i="6126"/>
  <c r="B26" i="6126"/>
  <c r="H11" i="6126"/>
  <c r="B27" i="6126"/>
  <c r="H39" i="6126"/>
  <c r="C46" i="6126"/>
  <c r="H18" i="6126"/>
  <c r="C22" i="6126"/>
  <c r="H29" i="6126"/>
  <c r="C36" i="6126"/>
  <c r="H42" i="6126"/>
  <c r="H47" i="6126"/>
  <c r="H7" i="6126"/>
  <c r="H15" i="6126"/>
  <c r="H22" i="6126"/>
  <c r="C23" i="6126"/>
  <c r="H37" i="6126"/>
  <c r="C42" i="6126"/>
  <c r="H48" i="6126"/>
  <c r="H26" i="6126"/>
  <c r="H13" i="6126"/>
  <c r="H38" i="6126"/>
  <c r="H43" i="6126"/>
  <c r="C48" i="6126"/>
  <c r="B13" i="6128"/>
  <c r="C42" i="6128"/>
  <c r="H23" i="6128"/>
  <c r="H28" i="6128"/>
  <c r="C24" i="6128"/>
  <c r="H9" i="6128"/>
  <c r="H20" i="6128"/>
  <c r="H19" i="6128"/>
  <c r="H7" i="6128"/>
  <c r="C43" i="6128"/>
  <c r="H25" i="6128"/>
  <c r="H34" i="6128"/>
  <c r="C22" i="6128"/>
  <c r="H41" i="6128"/>
  <c r="H52" i="6132"/>
  <c r="H35" i="6132"/>
  <c r="H39" i="6132"/>
  <c r="H3" i="6132"/>
  <c r="H10" i="6132"/>
  <c r="C24" i="6132"/>
  <c r="H14" i="6132"/>
  <c r="H9" i="6132"/>
  <c r="H43" i="6132"/>
  <c r="C19" i="6132"/>
  <c r="C39" i="6132"/>
  <c r="H19" i="6132"/>
  <c r="C43" i="6132"/>
  <c r="H6" i="6132"/>
  <c r="H22" i="6132"/>
  <c r="H12" i="6132"/>
  <c r="H15" i="6132"/>
  <c r="H29" i="6132"/>
  <c r="H47" i="6132"/>
  <c r="C47" i="6132"/>
  <c r="H23" i="6130"/>
  <c r="C18" i="6130"/>
  <c r="H16" i="6130"/>
  <c r="H5" i="6130"/>
  <c r="H17" i="6130"/>
  <c r="H8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7" i="6132"/>
  <c r="H4" i="6132"/>
  <c r="H21" i="6132"/>
  <c r="H25" i="6132"/>
  <c r="H28" i="6132"/>
  <c r="H34" i="6132"/>
  <c r="C38" i="6132"/>
  <c r="C42" i="6132"/>
  <c r="C46" i="6132"/>
  <c r="H36" i="6130"/>
  <c r="H15" i="6130"/>
  <c r="H21" i="6130"/>
  <c r="C22" i="6130"/>
  <c r="H42" i="6130"/>
  <c r="C46" i="6130"/>
  <c r="H37" i="6130"/>
  <c r="H4" i="6130"/>
  <c r="H18" i="6130"/>
  <c r="C23" i="6130"/>
  <c r="H8" i="6130"/>
  <c r="H47" i="6130"/>
  <c r="H38" i="6130"/>
  <c r="C42" i="6130"/>
  <c r="C47" i="6130"/>
  <c r="H26" i="6130"/>
  <c r="H11" i="6130"/>
  <c r="H12" i="6130"/>
  <c r="C19" i="6130"/>
  <c r="C24" i="6130"/>
  <c r="H39" i="6130"/>
  <c r="H43" i="6130"/>
  <c r="H48" i="6130"/>
  <c r="H30" i="6130"/>
  <c r="H49" i="6130"/>
  <c r="H27" i="6130"/>
  <c r="H32" i="6130"/>
  <c r="C38" i="6130"/>
  <c r="H2" i="6130"/>
  <c r="H3" i="6130"/>
  <c r="H14" i="6130"/>
  <c r="C25" i="6130"/>
  <c r="H34" i="6130"/>
  <c r="H40" i="6130"/>
  <c r="H44" i="6130"/>
  <c r="H51" i="6130"/>
  <c r="H19" i="6130"/>
  <c r="H7" i="6130"/>
  <c r="H22" i="6130"/>
  <c r="H24" i="6130"/>
  <c r="B26" i="6130"/>
  <c r="H35" i="6130"/>
  <c r="C39" i="6130"/>
  <c r="H45" i="6130"/>
  <c r="H9" i="6130"/>
  <c r="H6" i="6130"/>
  <c r="H13" i="6130"/>
  <c r="C43" i="6130"/>
  <c r="H20" i="6130"/>
  <c r="C21" i="6130"/>
  <c r="B27" i="6130"/>
  <c r="H41" i="6130"/>
  <c r="H46" i="6130"/>
  <c r="H52" i="6130"/>
  <c r="H10" i="6130"/>
  <c r="H28" i="6130"/>
  <c r="H31" i="6130"/>
  <c r="C36" i="6130"/>
  <c r="C40" i="6130"/>
  <c r="C44" i="6130"/>
  <c r="C48" i="6130"/>
  <c r="H25" i="6130"/>
  <c r="H29" i="6130"/>
  <c r="H33" i="6130"/>
  <c r="C37" i="6130"/>
  <c r="C41" i="6130"/>
  <c r="C45" i="6130"/>
  <c r="B26" i="6128"/>
  <c r="H35" i="6128"/>
  <c r="H45" i="6128"/>
  <c r="H8" i="6128"/>
  <c r="H24" i="6128"/>
  <c r="H13" i="6128"/>
  <c r="C19" i="6128"/>
  <c r="C46" i="6128"/>
  <c r="H6" i="6128"/>
  <c r="C38" i="6128"/>
  <c r="H47" i="6128"/>
  <c r="H12" i="6128"/>
  <c r="H16" i="6128"/>
  <c r="H2" i="6128"/>
  <c r="H31" i="6128"/>
  <c r="H39" i="6128"/>
  <c r="C47" i="6128"/>
  <c r="H21" i="6128"/>
  <c r="H37" i="6128"/>
  <c r="H4" i="6128"/>
  <c r="H22" i="6128"/>
  <c r="H11" i="6128"/>
  <c r="H26" i="6128"/>
  <c r="C39" i="6128"/>
  <c r="H49" i="6128"/>
  <c r="H5" i="6128"/>
  <c r="H17" i="6128"/>
  <c r="H43" i="6128"/>
  <c r="H52" i="6128"/>
  <c r="C21" i="6128"/>
  <c r="C25" i="6128"/>
  <c r="H36" i="6128"/>
  <c r="H40" i="6128"/>
  <c r="H44" i="6128"/>
  <c r="H48" i="6128"/>
  <c r="H3" i="6128"/>
  <c r="H10" i="6128"/>
  <c r="H15" i="6128"/>
  <c r="H29" i="6128"/>
  <c r="H18" i="6128"/>
  <c r="C36" i="6128"/>
  <c r="C40" i="6128"/>
  <c r="C44" i="6128"/>
  <c r="C48" i="6128"/>
  <c r="H27" i="6128"/>
  <c r="H30" i="6128"/>
  <c r="H32" i="6128"/>
  <c r="C37" i="6128"/>
  <c r="C41" i="6128"/>
  <c r="C45" i="6128"/>
  <c r="H50" i="6128"/>
  <c r="H14" i="6128"/>
  <c r="C23" i="6128"/>
  <c r="B27" i="6128"/>
  <c r="H33" i="6128"/>
  <c r="H38" i="6128"/>
  <c r="H42" i="6128"/>
  <c r="H46" i="6128"/>
  <c r="B13" i="6126"/>
  <c r="H21" i="6126"/>
  <c r="H23" i="6126"/>
  <c r="H27" i="6126"/>
  <c r="H30" i="6126"/>
  <c r="H35" i="6126"/>
  <c r="C39" i="6126"/>
  <c r="C43" i="6126"/>
  <c r="C47" i="6126"/>
  <c r="H25" i="6126"/>
  <c r="H28" i="6126"/>
  <c r="H32" i="6126"/>
  <c r="C37" i="6126"/>
  <c r="C41" i="6126"/>
  <c r="C45" i="6126"/>
  <c r="O20" i="6124"/>
  <c r="O21" i="6124"/>
  <c r="C34" i="6124"/>
  <c r="B29" i="6124"/>
  <c r="C20" i="6124"/>
  <c r="B19" i="6124"/>
  <c r="H15" i="6124" s="1"/>
  <c r="B18" i="6124"/>
  <c r="B28" i="6124" s="1"/>
  <c r="B17" i="6124"/>
  <c r="C17" i="6124" s="1"/>
  <c r="C16" i="6124"/>
  <c r="C15" i="6124"/>
  <c r="C14" i="6124"/>
  <c r="O12" i="6124"/>
  <c r="B12" i="6124"/>
  <c r="O11" i="6124"/>
  <c r="B11" i="6124"/>
  <c r="O10" i="6124"/>
  <c r="B10" i="6124"/>
  <c r="C9" i="6124"/>
  <c r="C8" i="6124"/>
  <c r="O7" i="6124"/>
  <c r="C7" i="6124"/>
  <c r="O6" i="6124"/>
  <c r="B6" i="6124"/>
  <c r="O5" i="6124"/>
  <c r="B5" i="6124"/>
  <c r="O4" i="6124"/>
  <c r="O3" i="6124"/>
  <c r="O2" i="6124"/>
  <c r="O19" i="6122"/>
  <c r="O17" i="6122"/>
  <c r="C34" i="6122"/>
  <c r="B29" i="6122"/>
  <c r="C20" i="6122"/>
  <c r="B19" i="6122"/>
  <c r="H51" i="6122" s="1"/>
  <c r="B18" i="6122"/>
  <c r="B28" i="6122" s="1"/>
  <c r="B17" i="6122"/>
  <c r="C17" i="6122" s="1"/>
  <c r="C16" i="6122"/>
  <c r="C15" i="6122"/>
  <c r="C14" i="6122"/>
  <c r="O12" i="6122"/>
  <c r="B12" i="6122"/>
  <c r="O11" i="6122"/>
  <c r="B11" i="6122"/>
  <c r="O10" i="6122"/>
  <c r="B10" i="6122"/>
  <c r="C9" i="6122"/>
  <c r="C8" i="6122"/>
  <c r="O7" i="6122"/>
  <c r="C7" i="6122"/>
  <c r="O6" i="6122"/>
  <c r="B6" i="6122"/>
  <c r="O5" i="6122"/>
  <c r="B5" i="6122"/>
  <c r="O4" i="6122"/>
  <c r="O3" i="6122"/>
  <c r="O2" i="6122"/>
  <c r="O20" i="6118"/>
  <c r="O18" i="6120"/>
  <c r="O16" i="6120"/>
  <c r="C34" i="6120"/>
  <c r="B29" i="6120"/>
  <c r="C20" i="6120"/>
  <c r="B19" i="6120"/>
  <c r="H20" i="6120" s="1"/>
  <c r="B18" i="6120"/>
  <c r="C18" i="6120" s="1"/>
  <c r="B17" i="6120"/>
  <c r="C17" i="6120" s="1"/>
  <c r="C16" i="6120"/>
  <c r="C15" i="6120"/>
  <c r="C14" i="6120"/>
  <c r="O12" i="6120"/>
  <c r="B12" i="6120"/>
  <c r="O11" i="6120"/>
  <c r="B11" i="6120"/>
  <c r="O10" i="6120"/>
  <c r="B10" i="6120"/>
  <c r="C9" i="6120"/>
  <c r="C8" i="6120"/>
  <c r="O7" i="6120"/>
  <c r="C7" i="6120"/>
  <c r="O6" i="6120"/>
  <c r="B6" i="6120"/>
  <c r="O5" i="6120"/>
  <c r="B5" i="6120"/>
  <c r="O4" i="6120"/>
  <c r="O3" i="6120"/>
  <c r="O2" i="6120"/>
  <c r="O22" i="6118"/>
  <c r="O18" i="6118"/>
  <c r="C34" i="6118"/>
  <c r="B29" i="6118"/>
  <c r="C20" i="6118"/>
  <c r="B19" i="6118"/>
  <c r="H51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C18" i="6122" l="1"/>
  <c r="B13" i="6122"/>
  <c r="B28" i="6120"/>
  <c r="B13" i="6124"/>
  <c r="B13" i="6120"/>
  <c r="H40" i="6120"/>
  <c r="C47" i="6120"/>
  <c r="H12" i="6120"/>
  <c r="H48" i="6120"/>
  <c r="H10" i="6120"/>
  <c r="H17" i="6120"/>
  <c r="H14" i="6120"/>
  <c r="C46" i="6120"/>
  <c r="B26" i="6120"/>
  <c r="H2" i="6120"/>
  <c r="H22" i="6120"/>
  <c r="H23" i="6120"/>
  <c r="H5" i="6120"/>
  <c r="H7" i="6120"/>
  <c r="H8" i="6120"/>
  <c r="H27" i="6120"/>
  <c r="H36" i="6120"/>
  <c r="C21" i="6120"/>
  <c r="C36" i="6120"/>
  <c r="C39" i="6120"/>
  <c r="C48" i="6120"/>
  <c r="H18" i="6120"/>
  <c r="H11" i="6120"/>
  <c r="C22" i="6120"/>
  <c r="C40" i="6120"/>
  <c r="H24" i="6120"/>
  <c r="H26" i="6120"/>
  <c r="H9" i="6120"/>
  <c r="H19" i="6120"/>
  <c r="H42" i="6120"/>
  <c r="H6" i="6120"/>
  <c r="H21" i="6120"/>
  <c r="C25" i="6120"/>
  <c r="H35" i="6120"/>
  <c r="C42" i="6120"/>
  <c r="H3" i="6120"/>
  <c r="H15" i="6120"/>
  <c r="H25" i="6120"/>
  <c r="H13" i="6120"/>
  <c r="H30" i="6120"/>
  <c r="H46" i="6120"/>
  <c r="H6" i="6122"/>
  <c r="H21" i="6122"/>
  <c r="C36" i="6122"/>
  <c r="H43" i="6122"/>
  <c r="H49" i="6122"/>
  <c r="H8" i="6122"/>
  <c r="C22" i="6122"/>
  <c r="C25" i="6122"/>
  <c r="H10" i="6122"/>
  <c r="H16" i="6122"/>
  <c r="H12" i="6122"/>
  <c r="H11" i="6122"/>
  <c r="H17" i="6122"/>
  <c r="H29" i="6124"/>
  <c r="H26" i="6124"/>
  <c r="H7" i="6124"/>
  <c r="C18" i="6124"/>
  <c r="H4" i="6124"/>
  <c r="H36" i="6124"/>
  <c r="H19" i="6124"/>
  <c r="H27" i="6124"/>
  <c r="C40" i="6124"/>
  <c r="H37" i="6124"/>
  <c r="C22" i="6124"/>
  <c r="H42" i="6124"/>
  <c r="H12" i="6124"/>
  <c r="H14" i="6124"/>
  <c r="H8" i="6124"/>
  <c r="H48" i="6124"/>
  <c r="C46" i="6124"/>
  <c r="H32" i="6124"/>
  <c r="H34" i="6124"/>
  <c r="C36" i="6124"/>
  <c r="C42" i="6124"/>
  <c r="C47" i="6124"/>
  <c r="H6" i="6124"/>
  <c r="H11" i="6124"/>
  <c r="H24" i="6124"/>
  <c r="C19" i="6124"/>
  <c r="C24" i="6124"/>
  <c r="H38" i="6124"/>
  <c r="H44" i="6124"/>
  <c r="H49" i="6124"/>
  <c r="H20" i="6124"/>
  <c r="C48" i="6124"/>
  <c r="H22" i="6124"/>
  <c r="C38" i="6124"/>
  <c r="H2" i="6124"/>
  <c r="H3" i="6124"/>
  <c r="C25" i="6124"/>
  <c r="H17" i="6124"/>
  <c r="H40" i="6124"/>
  <c r="H45" i="6124"/>
  <c r="H50" i="6124"/>
  <c r="H10" i="6124"/>
  <c r="H9" i="6124"/>
  <c r="H25" i="6124"/>
  <c r="H16" i="6124"/>
  <c r="H30" i="6124"/>
  <c r="H21" i="6124"/>
  <c r="H23" i="6124"/>
  <c r="C39" i="6124"/>
  <c r="C44" i="6124"/>
  <c r="H5" i="6124"/>
  <c r="H13" i="6124"/>
  <c r="C43" i="6124"/>
  <c r="C21" i="6124"/>
  <c r="B26" i="6124"/>
  <c r="H41" i="6124"/>
  <c r="H46" i="6124"/>
  <c r="H52" i="6124"/>
  <c r="H31" i="6124"/>
  <c r="H33" i="6124"/>
  <c r="H18" i="6124"/>
  <c r="C37" i="6124"/>
  <c r="C41" i="6124"/>
  <c r="C45" i="6124"/>
  <c r="H51" i="6124"/>
  <c r="H28" i="6124"/>
  <c r="C23" i="6124"/>
  <c r="B27" i="6124"/>
  <c r="H35" i="6124"/>
  <c r="H39" i="6124"/>
  <c r="H43" i="6124"/>
  <c r="H47" i="6124"/>
  <c r="H4" i="6118"/>
  <c r="C18" i="6118"/>
  <c r="H25" i="6122"/>
  <c r="H29" i="6122"/>
  <c r="H37" i="6122"/>
  <c r="C43" i="6122"/>
  <c r="H5" i="6122"/>
  <c r="H19" i="6122"/>
  <c r="C19" i="6122"/>
  <c r="C24" i="6122"/>
  <c r="C38" i="6122"/>
  <c r="C44" i="6122"/>
  <c r="H52" i="6122"/>
  <c r="H2" i="6122"/>
  <c r="H3" i="6122"/>
  <c r="H22" i="6122"/>
  <c r="H26" i="6122"/>
  <c r="H30" i="6122"/>
  <c r="H39" i="6122"/>
  <c r="H45" i="6122"/>
  <c r="H31" i="6122"/>
  <c r="C39" i="6122"/>
  <c r="C46" i="6122"/>
  <c r="H20" i="6122"/>
  <c r="H23" i="6122"/>
  <c r="H27" i="6122"/>
  <c r="H34" i="6122"/>
  <c r="C40" i="6122"/>
  <c r="H47" i="6122"/>
  <c r="H9" i="6122"/>
  <c r="H15" i="6122"/>
  <c r="H18" i="6122"/>
  <c r="C21" i="6122"/>
  <c r="B26" i="6122"/>
  <c r="H41" i="6122"/>
  <c r="C47" i="6122"/>
  <c r="H4" i="6122"/>
  <c r="H14" i="6122"/>
  <c r="H13" i="6122"/>
  <c r="H7" i="6122"/>
  <c r="H35" i="6122"/>
  <c r="C42" i="6122"/>
  <c r="C48" i="6122"/>
  <c r="H36" i="6122"/>
  <c r="H40" i="6122"/>
  <c r="H44" i="6122"/>
  <c r="H48" i="6122"/>
  <c r="H24" i="6122"/>
  <c r="H28" i="6122"/>
  <c r="H32" i="6122"/>
  <c r="C37" i="6122"/>
  <c r="C41" i="6122"/>
  <c r="C45" i="6122"/>
  <c r="H50" i="6122"/>
  <c r="C23" i="6122"/>
  <c r="B27" i="6122"/>
  <c r="H33" i="6122"/>
  <c r="H38" i="6122"/>
  <c r="H42" i="6122"/>
  <c r="H46" i="6122"/>
  <c r="B13" i="6118"/>
  <c r="C19" i="6118"/>
  <c r="H19" i="6118"/>
  <c r="H45" i="6118"/>
  <c r="H40" i="6118"/>
  <c r="H10" i="6118"/>
  <c r="H28" i="6118"/>
  <c r="C38" i="6118"/>
  <c r="H36" i="6118"/>
  <c r="H48" i="6118"/>
  <c r="H25" i="6118"/>
  <c r="H6" i="6118"/>
  <c r="H26" i="6118"/>
  <c r="H33" i="6118"/>
  <c r="H13" i="6118"/>
  <c r="C25" i="6118"/>
  <c r="H2" i="6118"/>
  <c r="H3" i="6118"/>
  <c r="H16" i="6118"/>
  <c r="H21" i="6118"/>
  <c r="H49" i="6118"/>
  <c r="C21" i="6118"/>
  <c r="C48" i="6118"/>
  <c r="H14" i="6118"/>
  <c r="H18" i="6118"/>
  <c r="H17" i="6118"/>
  <c r="H9" i="6118"/>
  <c r="B26" i="6118"/>
  <c r="H43" i="6118"/>
  <c r="H12" i="6118"/>
  <c r="H38" i="6118"/>
  <c r="C42" i="6118"/>
  <c r="H50" i="6118"/>
  <c r="H39" i="6118"/>
  <c r="C24" i="6118"/>
  <c r="C44" i="6118"/>
  <c r="H11" i="6118"/>
  <c r="H15" i="6118"/>
  <c r="C46" i="6118"/>
  <c r="H41" i="6118"/>
  <c r="H24" i="6118"/>
  <c r="H31" i="6118"/>
  <c r="H27" i="6118"/>
  <c r="H29" i="6118"/>
  <c r="B27" i="6118"/>
  <c r="H7" i="6118"/>
  <c r="H23" i="6118"/>
  <c r="H30" i="6118"/>
  <c r="C22" i="6118"/>
  <c r="H35" i="6118"/>
  <c r="C36" i="6118"/>
  <c r="H44" i="6118"/>
  <c r="H44" i="6120"/>
  <c r="H50" i="6120"/>
  <c r="H29" i="6120"/>
  <c r="H32" i="6120"/>
  <c r="H38" i="6120"/>
  <c r="C43" i="6120"/>
  <c r="H4" i="6120"/>
  <c r="H16" i="6120"/>
  <c r="C19" i="6120"/>
  <c r="C24" i="6120"/>
  <c r="C38" i="6120"/>
  <c r="C44" i="6120"/>
  <c r="H52" i="6120"/>
  <c r="H37" i="6120"/>
  <c r="H41" i="6120"/>
  <c r="H45" i="6120"/>
  <c r="H49" i="6120"/>
  <c r="H28" i="6120"/>
  <c r="H31" i="6120"/>
  <c r="H33" i="6120"/>
  <c r="C37" i="6120"/>
  <c r="C41" i="6120"/>
  <c r="C45" i="6120"/>
  <c r="H51" i="6120"/>
  <c r="C23" i="6120"/>
  <c r="B27" i="6120"/>
  <c r="H34" i="6120"/>
  <c r="H39" i="6120"/>
  <c r="H43" i="6120"/>
  <c r="H47" i="6120"/>
  <c r="H20" i="6118"/>
  <c r="H42" i="6118"/>
  <c r="H46" i="6118"/>
  <c r="H5" i="6118"/>
  <c r="C23" i="6118"/>
  <c r="H8" i="6118"/>
  <c r="H37" i="6118"/>
  <c r="C40" i="6118"/>
  <c r="H47" i="6118"/>
  <c r="H52" i="6118"/>
  <c r="C39" i="6118"/>
  <c r="C43" i="6118"/>
  <c r="C47" i="6118"/>
  <c r="H32" i="6118"/>
  <c r="H34" i="6118"/>
  <c r="H22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<sst xmlns="http://schemas.openxmlformats.org/spreadsheetml/2006/main" count="2380" uniqueCount="211">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</sst>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全体!$L$2:$L$113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-9.2592592592592595</c:v>
                </c:pt>
                <c:pt idx="1">
                  <c:v>0</c:v>
                </c:pt>
                <c:pt idx="2">
                  <c:v>9.5238095238095237</c:v>
                </c:pt>
                <c:pt idx="3">
                  <c:v>-11.494252873563218</c:v>
                </c:pt>
                <c:pt idx="4">
                  <c:v>-69.444444444444443</c:v>
                </c:pt>
                <c:pt idx="5">
                  <c:v>98.039215686274517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16</c:v>
                </c:pt>
                <c:pt idx="1">
                  <c:v>36</c:v>
                </c:pt>
                <c:pt idx="2">
                  <c:v>42</c:v>
                </c:pt>
                <c:pt idx="3">
                  <c:v>48</c:v>
                </c:pt>
                <c:pt idx="4">
                  <c:v>37</c:v>
                </c:pt>
                <c:pt idx="5">
                  <c:v>18</c:v>
                </c:pt>
                <c:pt idx="6">
                  <c:v>16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1661.5384615384614</c:v>
                </c:pt>
                <c:pt idx="1">
                  <c:v>2385.7142857142858</c:v>
                </c:pt>
                <c:pt idx="2">
                  <c:v>-1335.7142857142858</c:v>
                </c:pt>
                <c:pt idx="3">
                  <c:v>-7246.1538461538457</c:v>
                </c:pt>
                <c:pt idx="4">
                  <c:v>-666.66666666666663</c:v>
                </c:pt>
                <c:pt idx="5">
                  <c:v>9514.2857142857138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2316.6666666666665</c:v>
                </c:pt>
                <c:pt idx="1">
                  <c:v>142.85714285714286</c:v>
                </c:pt>
                <c:pt idx="2">
                  <c:v>-3385.7142857142858</c:v>
                </c:pt>
                <c:pt idx="3">
                  <c:v>2485.7142857142858</c:v>
                </c:pt>
                <c:pt idx="4">
                  <c:v>1000</c:v>
                </c:pt>
                <c:pt idx="5">
                  <c:v>-5900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だいち!$L$2:$L$27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668</c:v>
                </c:pt>
                <c:pt idx="1">
                  <c:v>5856</c:v>
                </c:pt>
                <c:pt idx="2">
                  <c:v>5579.166666666667</c:v>
                </c:pt>
                <c:pt idx="3">
                  <c:v>5415</c:v>
                </c:pt>
                <c:pt idx="4">
                  <c:v>-2258.8235294117649</c:v>
                </c:pt>
                <c:pt idx="5">
                  <c:v>-2818.181818181818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10</c:v>
                </c:pt>
                <c:pt idx="3">
                  <c:v>15</c:v>
                </c:pt>
                <c:pt idx="4">
                  <c:v>14</c:v>
                </c:pt>
                <c:pt idx="5">
                  <c:v>6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-6392.8571428571431</c:v>
                </c:pt>
                <c:pt idx="1">
                  <c:v>-2300</c:v>
                </c:pt>
                <c:pt idx="2">
                  <c:v>-8558.3333333333339</c:v>
                </c:pt>
                <c:pt idx="3">
                  <c:v>2325</c:v>
                </c:pt>
                <c:pt idx="4">
                  <c:v>400</c:v>
                </c:pt>
                <c:pt idx="5">
                  <c:v>-2160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1145.8333333333333</c:v>
                </c:pt>
                <c:pt idx="1">
                  <c:v>-1433.3333333333333</c:v>
                </c:pt>
                <c:pt idx="2">
                  <c:v>266.66666666666669</c:v>
                </c:pt>
                <c:pt idx="3">
                  <c:v>-395.45454545454544</c:v>
                </c:pt>
                <c:pt idx="4">
                  <c:v>-850</c:v>
                </c:pt>
                <c:pt idx="5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14</c:v>
                </c:pt>
                <c:pt idx="3">
                  <c:v>10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-3715.3846153846152</c:v>
                </c:pt>
                <c:pt idx="1">
                  <c:v>-1633.3333333333333</c:v>
                </c:pt>
                <c:pt idx="2">
                  <c:v>6016.666666666667</c:v>
                </c:pt>
                <c:pt idx="3">
                  <c:v>-888.88888888888891</c:v>
                </c:pt>
                <c:pt idx="4">
                  <c:v>4683.333333333333</c:v>
                </c:pt>
                <c:pt idx="5">
                  <c:v>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6</c:v>
                </c:pt>
                <c:pt idx="3">
                  <c:v>5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-8580</c:v>
                </c:pt>
                <c:pt idx="3">
                  <c:v>-4133.333333333333</c:v>
                </c:pt>
                <c:pt idx="4">
                  <c:v>4000</c:v>
                </c:pt>
                <c:pt idx="5">
                  <c:v>-3550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C-4C2F-A70A-A1180E8D3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7137.5</c:v>
                </c:pt>
                <c:pt idx="1">
                  <c:v>-12112.5</c:v>
                </c:pt>
                <c:pt idx="2">
                  <c:v>-3357.1428571428573</c:v>
                </c:pt>
                <c:pt idx="3">
                  <c:v>-4400</c:v>
                </c:pt>
                <c:pt idx="4">
                  <c:v>2950</c:v>
                </c:pt>
                <c:pt idx="5">
                  <c:v>3633.3333333333335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2-40E4-81CE-ADD872758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7-4176-BC91-4692CB547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68.2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8.9000000000000057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F65-B760-C1296C22BF1F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ただ2!$A$7:$B$7</c:f>
              <c:numCache>
                <c:formatCode>\+0.0;\-0.0;\±0</c:formatCode>
                <c:ptCount val="2"/>
                <c:pt idx="0" formatCode="0\ &quot;回&quot;">
                  <c:v>4</c:v>
                </c:pt>
                <c:pt idx="1">
                  <c:v>-41.199999999999996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E2-4A69-A5CE-DD69FF6FFA14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ただ2!$A$8:$B$8</c:f>
              <c:numCache>
                <c:formatCode>\+0.0;\-0.0;\±0</c:formatCode>
                <c:ptCount val="2"/>
                <c:pt idx="0" formatCode="0\ &quot;回&quot;">
                  <c:v>5</c:v>
                </c:pt>
                <c:pt idx="1">
                  <c:v>-72.899999999999991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EFA-4CA9-9B12-18BD059DB3FF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ただ2!$A$9:$B$9</c:f>
              <c:numCache>
                <c:formatCode>\+0.0;\-0.0;\±0</c:formatCode>
                <c:ptCount val="2"/>
                <c:pt idx="0" formatCode="0\ &quot;回&quot;">
                  <c:v>6</c:v>
                </c:pt>
                <c:pt idx="1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87-4853-9CC2-EBAF2B7199B1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ただ2!$A$10:$B$10</c:f>
              <c:numCache>
                <c:formatCode>\+0.0;\-0.0;\±0</c:formatCode>
                <c:ptCount val="2"/>
                <c:pt idx="0" formatCode="0\ &quot;回&quot;">
                  <c:v>7</c:v>
                </c:pt>
                <c:pt idx="1">
                  <c:v>-183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87-4853-9CC2-EBAF2B7199B1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ただ2!$A$11:$B$11</c:f>
              <c:numCache>
                <c:formatCode>\+0.0;\-0.0;\±0</c:formatCode>
                <c:ptCount val="2"/>
                <c:pt idx="0" formatCode="0\ &quot;回&quot;">
                  <c:v>8</c:v>
                </c:pt>
                <c:pt idx="1">
                  <c:v>-128.6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87-4853-9CC2-EBAF2B719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7699626167013776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ただ2!$C$3:$C$11</c:f>
              <c:numCache>
                <c:formatCode>\+0.0;\-0.0;\±0</c:formatCode>
                <c:ptCount val="9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01768123154394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ただ2!$D$3:$D$11</c:f>
              <c:numCache>
                <c:formatCode>0.00\ "位"</c:formatCode>
                <c:ptCount val="9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ただ2!$E$3:$E$11</c:f>
              <c:numCache>
                <c:formatCode>0.0%</c:formatCode>
                <c:ptCount val="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ただ2!$F$3:$F$11</c:f>
              <c:numCache>
                <c:formatCode>0.0%</c:formatCode>
                <c:ptCount val="9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ただ2!$G$3:$G$11</c:f>
              <c:numCache>
                <c:formatCode>0.0%</c:formatCode>
                <c:ptCount val="9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48621553884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ただ2!$H$3:$H$11</c:f>
              <c:numCache>
                <c:formatCode>0.0%</c:formatCode>
                <c:ptCount val="9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413533834586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ただ2!$I$3:$I$11</c:f>
              <c:numCache>
                <c:formatCode>0</c:formatCode>
                <c:ptCount val="9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271.06382978723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ただ2!$J$3:$J$11</c:f>
              <c:numCache>
                <c:formatCode>0</c:formatCode>
                <c:ptCount val="9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28.03030303030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ただ2!$K$3:$K$11</c:f>
              <c:numCache>
                <c:formatCode>0.0%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6126126126126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ただ2!$L$3:$L$11</c:f>
              <c:numCache>
                <c:formatCode>0.0%</c:formatCode>
                <c:ptCount val="9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385964912280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ただ2!$M$3:$M$11</c:f>
              <c:numCache>
                <c:formatCode>0.0%</c:formatCode>
                <c:ptCount val="9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4310776942355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ただ2!$N$3:$N$11</c:f>
              <c:numCache>
                <c:formatCode>0.0%</c:formatCode>
                <c:ptCount val="9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724137931034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ただ2!$O$3:$O$11</c:f>
              <c:numCache>
                <c:formatCode>0.0%</c:formatCode>
                <c:ptCount val="9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988826815642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ただ2!$P$3:$P$11</c:f>
              <c:numCache>
                <c:formatCode>0.0%</c:formatCode>
                <c:ptCount val="9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04255319148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111</v>
      </c>
    </row>
    <row r="2" spans="1:2" x14ac:dyDescent="0.45">
      <c r="A2" t="s">
        <v>164</v>
      </c>
      <c r="B2">
        <v>14</v>
      </c>
    </row>
    <row r="3" spans="1:2" x14ac:dyDescent="0.45">
      <c r="A3" t="s">
        <v>189</v>
      </c>
      <c r="B3">
        <v>7</v>
      </c>
    </row>
    <row r="4" spans="1:2" x14ac:dyDescent="0.45">
      <c r="A4" t="s">
        <v>126</v>
      </c>
      <c r="B4">
        <v>25</v>
      </c>
    </row>
    <row r="5" spans="1:2" x14ac:dyDescent="0.45">
      <c r="A5" t="s">
        <v>194</v>
      </c>
      <c r="B5">
        <v>14</v>
      </c>
    </row>
    <row r="6" spans="1:2" x14ac:dyDescent="0.45">
      <c r="A6" t="s">
        <v>192</v>
      </c>
      <c r="B6">
        <v>25</v>
      </c>
    </row>
    <row r="7" spans="1:2" x14ac:dyDescent="0.45">
      <c r="A7" t="s">
        <v>193</v>
      </c>
      <c r="B7">
        <v>13</v>
      </c>
    </row>
    <row r="8" spans="1:2" x14ac:dyDescent="0.45">
      <c r="A8" t="s">
        <v>196</v>
      </c>
      <c r="B8">
        <v>5</v>
      </c>
    </row>
    <row r="9" spans="1:2" x14ac:dyDescent="0.45">
      <c r="A9" t="s">
        <v>205</v>
      </c>
      <c r="B9">
        <v>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188</v>
      </c>
      <c r="I1" s="152"/>
      <c r="J1" s="149" t="s">
        <v>15</v>
      </c>
      <c r="K1" s="150"/>
      <c r="L1" s="149" t="s">
        <v>14</v>
      </c>
      <c r="M1" s="150"/>
      <c r="N1" s="149" t="s">
        <v>150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181</v>
      </c>
      <c r="AK1" s="150"/>
    </row>
    <row r="2" spans="1:37" x14ac:dyDescent="0.45">
      <c r="A2" s="38" t="s">
        <v>149</v>
      </c>
      <c r="B2" s="147">
        <v>0.56072214170554058</v>
      </c>
      <c r="C2" s="148"/>
      <c r="D2" s="153"/>
      <c r="E2" s="154"/>
      <c r="F2" s="153"/>
      <c r="G2" s="154"/>
      <c r="H2" s="147">
        <v>0.96843680200555393</v>
      </c>
      <c r="I2" s="148"/>
      <c r="J2" s="147">
        <v>0.89933112388772007</v>
      </c>
      <c r="K2" s="148"/>
      <c r="L2" s="147">
        <v>0.79423877712753932</v>
      </c>
      <c r="M2" s="148"/>
      <c r="N2" s="147">
        <v>0.87278105717554466</v>
      </c>
      <c r="O2" s="148"/>
      <c r="P2" s="147">
        <v>0.91123460259002931</v>
      </c>
      <c r="Q2" s="148"/>
      <c r="R2" s="147">
        <v>0.23601941587360406</v>
      </c>
      <c r="S2" s="148"/>
      <c r="T2" s="147">
        <v>0.68191818043663399</v>
      </c>
      <c r="U2" s="148"/>
      <c r="V2" s="147">
        <v>-7.0151446458503339E-2</v>
      </c>
      <c r="W2" s="148"/>
      <c r="X2" s="147">
        <v>0.80177781854387453</v>
      </c>
      <c r="Y2" s="148"/>
      <c r="Z2" s="147">
        <v>-0.44905506166963538</v>
      </c>
      <c r="AA2" s="148"/>
      <c r="AB2" s="147">
        <v>0.39831244190939857</v>
      </c>
      <c r="AC2" s="148"/>
      <c r="AD2" s="147">
        <v>0.89572847799740474</v>
      </c>
      <c r="AE2" s="148"/>
      <c r="AF2" s="147">
        <v>0.98573571889800193</v>
      </c>
      <c r="AG2" s="148"/>
      <c r="AH2" s="147">
        <v>0.77632382686952273</v>
      </c>
      <c r="AI2" s="148"/>
      <c r="AJ2" s="147">
        <v>0.82190636254044402</v>
      </c>
      <c r="AK2" s="148"/>
    </row>
    <row r="3" spans="1:37" x14ac:dyDescent="0.45">
      <c r="A3" s="40">
        <v>1</v>
      </c>
      <c r="B3" s="43" t="s">
        <v>139</v>
      </c>
      <c r="C3" s="117">
        <v>37</v>
      </c>
      <c r="D3" s="41" t="s">
        <v>126</v>
      </c>
      <c r="E3" s="42">
        <v>465.6</v>
      </c>
      <c r="F3" s="43" t="s">
        <v>126</v>
      </c>
      <c r="G3" s="62">
        <v>18.624000000000002</v>
      </c>
      <c r="H3" s="43" t="s">
        <v>205</v>
      </c>
      <c r="I3" s="62">
        <v>6.477777777777777</v>
      </c>
      <c r="J3" s="43" t="s">
        <v>126</v>
      </c>
      <c r="K3" s="44">
        <v>1.68</v>
      </c>
      <c r="L3" s="43" t="s">
        <v>193</v>
      </c>
      <c r="M3" s="45">
        <v>0.53846153846153844</v>
      </c>
      <c r="N3" s="43" t="s">
        <v>126</v>
      </c>
      <c r="O3" s="45">
        <v>0.16</v>
      </c>
      <c r="P3" s="43" t="s">
        <v>126</v>
      </c>
      <c r="Q3" s="46">
        <v>0.38172043010752688</v>
      </c>
      <c r="R3" s="43" t="s">
        <v>196</v>
      </c>
      <c r="S3" s="46">
        <v>0.11764705882352941</v>
      </c>
      <c r="T3" s="43" t="s">
        <v>164</v>
      </c>
      <c r="U3" s="47">
        <v>11479.310344827587</v>
      </c>
      <c r="V3" s="43" t="s">
        <v>196</v>
      </c>
      <c r="W3" s="47">
        <v>-4400</v>
      </c>
      <c r="X3" s="43" t="s">
        <v>126</v>
      </c>
      <c r="Y3" s="45">
        <v>0</v>
      </c>
      <c r="Z3" s="43" t="s">
        <v>164</v>
      </c>
      <c r="AA3" s="46">
        <v>0.30630630630630629</v>
      </c>
      <c r="AB3" s="43" t="s">
        <v>193</v>
      </c>
      <c r="AC3" s="46">
        <v>0.38372093023255816</v>
      </c>
      <c r="AD3" s="43" t="s">
        <v>205</v>
      </c>
      <c r="AE3" s="46">
        <v>0.77777777777777779</v>
      </c>
      <c r="AF3" s="43" t="s">
        <v>189</v>
      </c>
      <c r="AG3" s="46">
        <v>0.6</v>
      </c>
      <c r="AH3" s="43" t="s">
        <v>189</v>
      </c>
      <c r="AI3" s="46">
        <v>0.6428571428571429</v>
      </c>
      <c r="AJ3" s="43" t="s">
        <v>193</v>
      </c>
      <c r="AK3" s="57">
        <v>106500</v>
      </c>
    </row>
    <row r="4" spans="1:37" x14ac:dyDescent="0.45">
      <c r="A4" s="48">
        <v>2</v>
      </c>
      <c r="B4" s="51" t="s">
        <v>126</v>
      </c>
      <c r="C4" s="118">
        <v>25</v>
      </c>
      <c r="D4" s="49" t="s">
        <v>193</v>
      </c>
      <c r="E4" s="50">
        <v>83.1</v>
      </c>
      <c r="F4" s="51" t="s">
        <v>193</v>
      </c>
      <c r="G4" s="63">
        <v>6.3923076923076918</v>
      </c>
      <c r="H4" s="51" t="s">
        <v>126</v>
      </c>
      <c r="I4" s="63">
        <v>4.9407407407407389</v>
      </c>
      <c r="J4" s="51" t="s">
        <v>193</v>
      </c>
      <c r="K4" s="52">
        <v>1.8461538461538463</v>
      </c>
      <c r="L4" s="51" t="s">
        <v>126</v>
      </c>
      <c r="M4" s="53">
        <v>0.48</v>
      </c>
      <c r="N4" s="51" t="s">
        <v>196</v>
      </c>
      <c r="O4" s="53">
        <v>0.2</v>
      </c>
      <c r="P4" s="51" t="s">
        <v>193</v>
      </c>
      <c r="Q4" s="54">
        <v>0.36046511627906974</v>
      </c>
      <c r="R4" s="51" t="s">
        <v>126</v>
      </c>
      <c r="S4" s="54">
        <v>0.12365591397849462</v>
      </c>
      <c r="T4" s="51" t="s">
        <v>126</v>
      </c>
      <c r="U4" s="55">
        <v>10487.323943661971</v>
      </c>
      <c r="V4" s="51" t="s">
        <v>189</v>
      </c>
      <c r="W4" s="55">
        <v>-6628.5714285714284</v>
      </c>
      <c r="X4" s="51" t="s">
        <v>189</v>
      </c>
      <c r="Y4" s="53">
        <v>0</v>
      </c>
      <c r="Z4" s="51" t="s">
        <v>194</v>
      </c>
      <c r="AA4" s="54">
        <v>0.2988505747126437</v>
      </c>
      <c r="AB4" s="51" t="s">
        <v>205</v>
      </c>
      <c r="AC4" s="54">
        <v>0.3728813559322034</v>
      </c>
      <c r="AD4" s="51" t="s">
        <v>126</v>
      </c>
      <c r="AE4" s="54">
        <v>0.65217391304347827</v>
      </c>
      <c r="AF4" s="51" t="s">
        <v>126</v>
      </c>
      <c r="AG4" s="54">
        <v>0.55000000000000004</v>
      </c>
      <c r="AH4" s="51" t="s">
        <v>193</v>
      </c>
      <c r="AI4" s="54">
        <v>0.4838709677419355</v>
      </c>
      <c r="AJ4" s="51" t="s">
        <v>139</v>
      </c>
      <c r="AK4" s="58">
        <v>106500</v>
      </c>
    </row>
    <row r="5" spans="1:37" x14ac:dyDescent="0.45">
      <c r="A5" s="48">
        <v>3</v>
      </c>
      <c r="B5" s="51" t="s">
        <v>192</v>
      </c>
      <c r="C5" s="118">
        <v>25</v>
      </c>
      <c r="D5" s="49" t="s">
        <v>164</v>
      </c>
      <c r="E5" s="50">
        <v>15.100000000000001</v>
      </c>
      <c r="F5" s="51" t="s">
        <v>164</v>
      </c>
      <c r="G5" s="63">
        <v>1.0785714285714287</v>
      </c>
      <c r="H5" s="51" t="s">
        <v>139</v>
      </c>
      <c r="I5" s="63">
        <v>0</v>
      </c>
      <c r="J5" s="51" t="s">
        <v>192</v>
      </c>
      <c r="K5" s="52">
        <v>1.92</v>
      </c>
      <c r="L5" s="51" t="s">
        <v>164</v>
      </c>
      <c r="M5" s="53">
        <v>0.42857142857142855</v>
      </c>
      <c r="N5" s="51" t="s">
        <v>192</v>
      </c>
      <c r="O5" s="53">
        <v>0.24</v>
      </c>
      <c r="P5" s="51" t="s">
        <v>205</v>
      </c>
      <c r="Q5" s="54">
        <v>0.32203389830508472</v>
      </c>
      <c r="R5" s="51" t="s">
        <v>193</v>
      </c>
      <c r="S5" s="54">
        <v>0.12790697674418605</v>
      </c>
      <c r="T5" s="51" t="s">
        <v>189</v>
      </c>
      <c r="U5" s="55">
        <v>9985.7142857142862</v>
      </c>
      <c r="V5" s="51" t="s">
        <v>164</v>
      </c>
      <c r="W5" s="55">
        <v>-7077.7777777777774</v>
      </c>
      <c r="X5" s="51" t="s">
        <v>196</v>
      </c>
      <c r="Y5" s="53">
        <v>0</v>
      </c>
      <c r="Z5" s="51" t="s">
        <v>189</v>
      </c>
      <c r="AA5" s="54">
        <v>0.27777777777777779</v>
      </c>
      <c r="AB5" s="51" t="s">
        <v>139</v>
      </c>
      <c r="AC5" s="54">
        <v>0.22431077694235588</v>
      </c>
      <c r="AD5" s="51" t="s">
        <v>193</v>
      </c>
      <c r="AE5" s="54">
        <v>0.625</v>
      </c>
      <c r="AF5" s="51" t="s">
        <v>193</v>
      </c>
      <c r="AG5" s="54">
        <v>0.42424242424242425</v>
      </c>
      <c r="AH5" s="51" t="s">
        <v>126</v>
      </c>
      <c r="AI5" s="54">
        <v>0.47887323943661969</v>
      </c>
      <c r="AJ5" s="51" t="s">
        <v>126</v>
      </c>
      <c r="AK5" s="58">
        <v>102700</v>
      </c>
    </row>
    <row r="6" spans="1:37" x14ac:dyDescent="0.45">
      <c r="A6" s="48">
        <v>4</v>
      </c>
      <c r="B6" s="51" t="s">
        <v>164</v>
      </c>
      <c r="C6" s="118">
        <v>14</v>
      </c>
      <c r="D6" s="49" t="s">
        <v>139</v>
      </c>
      <c r="E6" s="50">
        <v>-9.7699626167013776E-15</v>
      </c>
      <c r="F6" s="51" t="s">
        <v>139</v>
      </c>
      <c r="G6" s="63">
        <v>-8.8017681231543943E-17</v>
      </c>
      <c r="H6" s="51" t="s">
        <v>164</v>
      </c>
      <c r="I6" s="63">
        <v>-2.1700000000000017</v>
      </c>
      <c r="J6" s="51" t="s">
        <v>164</v>
      </c>
      <c r="K6" s="52">
        <v>1.9285714285714286</v>
      </c>
      <c r="L6" s="51" t="s">
        <v>139</v>
      </c>
      <c r="M6" s="53">
        <v>0.33333333333333331</v>
      </c>
      <c r="N6" s="51" t="s">
        <v>189</v>
      </c>
      <c r="O6" s="53">
        <v>0.2857142857142857</v>
      </c>
      <c r="P6" s="51" t="s">
        <v>139</v>
      </c>
      <c r="Q6" s="54">
        <v>0.29448621553884713</v>
      </c>
      <c r="R6" s="51" t="s">
        <v>192</v>
      </c>
      <c r="S6" s="54">
        <v>0.13259668508287292</v>
      </c>
      <c r="T6" s="51" t="s">
        <v>205</v>
      </c>
      <c r="U6" s="55">
        <v>9442.105263157895</v>
      </c>
      <c r="V6" s="51" t="s">
        <v>192</v>
      </c>
      <c r="W6" s="55">
        <v>-7541.666666666667</v>
      </c>
      <c r="X6" s="51" t="s">
        <v>164</v>
      </c>
      <c r="Y6" s="53">
        <v>7.1428571428571425E-2</v>
      </c>
      <c r="Z6" s="51" t="s">
        <v>192</v>
      </c>
      <c r="AA6" s="54">
        <v>0.27071823204419887</v>
      </c>
      <c r="AB6" s="51" t="s">
        <v>192</v>
      </c>
      <c r="AC6" s="54">
        <v>0.22099447513812154</v>
      </c>
      <c r="AD6" s="51" t="s">
        <v>139</v>
      </c>
      <c r="AE6" s="54">
        <v>0.55172413793103448</v>
      </c>
      <c r="AF6" s="51" t="s">
        <v>139</v>
      </c>
      <c r="AG6" s="54">
        <v>0.37988826815642457</v>
      </c>
      <c r="AH6" s="51" t="s">
        <v>139</v>
      </c>
      <c r="AI6" s="54">
        <v>0.43404255319148938</v>
      </c>
      <c r="AJ6" s="51" t="s">
        <v>205</v>
      </c>
      <c r="AK6" s="58">
        <v>93200</v>
      </c>
    </row>
    <row r="7" spans="1:37" x14ac:dyDescent="0.45">
      <c r="A7" s="48">
        <v>5</v>
      </c>
      <c r="B7" s="51" t="s">
        <v>194</v>
      </c>
      <c r="C7" s="118">
        <v>14</v>
      </c>
      <c r="D7" s="49" t="s">
        <v>192</v>
      </c>
      <c r="E7" s="50">
        <v>-13.199999999999989</v>
      </c>
      <c r="F7" s="51" t="s">
        <v>192</v>
      </c>
      <c r="G7" s="63">
        <v>-0.52799999999999958</v>
      </c>
      <c r="H7" s="51" t="s">
        <v>193</v>
      </c>
      <c r="I7" s="63">
        <v>-3.1780952380952385</v>
      </c>
      <c r="J7" s="51" t="s">
        <v>139</v>
      </c>
      <c r="K7" s="52">
        <v>2</v>
      </c>
      <c r="L7" s="51" t="s">
        <v>192</v>
      </c>
      <c r="M7" s="53">
        <v>0.32</v>
      </c>
      <c r="N7" s="51" t="s">
        <v>139</v>
      </c>
      <c r="O7" s="53">
        <v>0.33333333333333331</v>
      </c>
      <c r="P7" s="51" t="s">
        <v>192</v>
      </c>
      <c r="Q7" s="54">
        <v>0.27624309392265195</v>
      </c>
      <c r="R7" s="51" t="s">
        <v>194</v>
      </c>
      <c r="S7" s="54">
        <v>0.14942528735632185</v>
      </c>
      <c r="T7" s="51" t="s">
        <v>139</v>
      </c>
      <c r="U7" s="55">
        <v>9271.0638297872338</v>
      </c>
      <c r="V7" s="51" t="s">
        <v>139</v>
      </c>
      <c r="W7" s="55">
        <v>-8228.0303030303039</v>
      </c>
      <c r="X7" s="51" t="s">
        <v>192</v>
      </c>
      <c r="Y7" s="53">
        <v>0.08</v>
      </c>
      <c r="Z7" s="51" t="s">
        <v>139</v>
      </c>
      <c r="AA7" s="54">
        <v>0.25438596491228072</v>
      </c>
      <c r="AB7" s="51" t="s">
        <v>126</v>
      </c>
      <c r="AC7" s="54">
        <v>0.21505376344086022</v>
      </c>
      <c r="AD7" s="51" t="s">
        <v>192</v>
      </c>
      <c r="AE7" s="54">
        <v>0.55102040816326525</v>
      </c>
      <c r="AF7" s="51" t="s">
        <v>164</v>
      </c>
      <c r="AG7" s="54">
        <v>0.34782608695652173</v>
      </c>
      <c r="AH7" s="51" t="s">
        <v>192</v>
      </c>
      <c r="AI7" s="54">
        <v>0.4</v>
      </c>
      <c r="AJ7" s="51" t="s">
        <v>192</v>
      </c>
      <c r="AK7" s="58">
        <v>88500</v>
      </c>
    </row>
    <row r="8" spans="1:37" x14ac:dyDescent="0.45">
      <c r="A8" s="48">
        <v>6</v>
      </c>
      <c r="B8" s="51" t="s">
        <v>193</v>
      </c>
      <c r="C8" s="118">
        <v>13</v>
      </c>
      <c r="D8" s="49" t="s">
        <v>189</v>
      </c>
      <c r="E8" s="50">
        <v>-26.899999999999988</v>
      </c>
      <c r="F8" s="51" t="s">
        <v>189</v>
      </c>
      <c r="G8" s="63">
        <v>-3.8428571428571412</v>
      </c>
      <c r="H8" s="51" t="s">
        <v>192</v>
      </c>
      <c r="I8" s="63">
        <v>-3.3863636363636367</v>
      </c>
      <c r="J8" s="51" t="s">
        <v>189</v>
      </c>
      <c r="K8" s="52">
        <v>2</v>
      </c>
      <c r="L8" s="51" t="s">
        <v>189</v>
      </c>
      <c r="M8" s="53">
        <v>0.2857142857142857</v>
      </c>
      <c r="N8" s="51" t="s">
        <v>164</v>
      </c>
      <c r="O8" s="53">
        <v>0.35714285714285715</v>
      </c>
      <c r="P8" s="51" t="s">
        <v>164</v>
      </c>
      <c r="Q8" s="54">
        <v>0.26126126126126126</v>
      </c>
      <c r="R8" s="51" t="s">
        <v>139</v>
      </c>
      <c r="S8" s="54">
        <v>0.16541353383458646</v>
      </c>
      <c r="T8" s="51" t="s">
        <v>193</v>
      </c>
      <c r="U8" s="55">
        <v>8300</v>
      </c>
      <c r="V8" s="51" t="s">
        <v>193</v>
      </c>
      <c r="W8" s="55">
        <v>-8509.0909090909099</v>
      </c>
      <c r="X8" s="51" t="s">
        <v>139</v>
      </c>
      <c r="Y8" s="53">
        <v>0.12612612612612611</v>
      </c>
      <c r="Z8" s="51" t="s">
        <v>126</v>
      </c>
      <c r="AA8" s="54">
        <v>0.24731182795698925</v>
      </c>
      <c r="AB8" s="51" t="s">
        <v>164</v>
      </c>
      <c r="AC8" s="54">
        <v>0.2072072072072072</v>
      </c>
      <c r="AD8" s="51" t="s">
        <v>189</v>
      </c>
      <c r="AE8" s="54">
        <v>0.53333333333333333</v>
      </c>
      <c r="AF8" s="51" t="s">
        <v>192</v>
      </c>
      <c r="AG8" s="54">
        <v>0.32500000000000001</v>
      </c>
      <c r="AH8" s="51" t="s">
        <v>205</v>
      </c>
      <c r="AI8" s="54">
        <v>0.36842105263157893</v>
      </c>
      <c r="AJ8" s="51" t="s">
        <v>164</v>
      </c>
      <c r="AK8" s="58">
        <v>73600</v>
      </c>
    </row>
    <row r="9" spans="1:37" x14ac:dyDescent="0.45">
      <c r="A9" s="48">
        <v>7</v>
      </c>
      <c r="B9" s="51" t="s">
        <v>205</v>
      </c>
      <c r="C9" s="118">
        <v>8</v>
      </c>
      <c r="D9" s="49" t="s">
        <v>196</v>
      </c>
      <c r="E9" s="50">
        <v>-64.400000000000006</v>
      </c>
      <c r="F9" s="51" t="s">
        <v>196</v>
      </c>
      <c r="G9" s="63">
        <v>-12.88</v>
      </c>
      <c r="H9" s="51" t="s">
        <v>189</v>
      </c>
      <c r="I9" s="63">
        <v>-3.4222222222222221</v>
      </c>
      <c r="J9" s="51" t="s">
        <v>196</v>
      </c>
      <c r="K9" s="52">
        <v>2.2000000000000002</v>
      </c>
      <c r="L9" s="51" t="s">
        <v>205</v>
      </c>
      <c r="M9" s="53">
        <v>0.25</v>
      </c>
      <c r="N9" s="51" t="s">
        <v>193</v>
      </c>
      <c r="O9" s="53">
        <v>0.38461538461538464</v>
      </c>
      <c r="P9" s="51" t="s">
        <v>189</v>
      </c>
      <c r="Q9" s="54">
        <v>0.25925925925925924</v>
      </c>
      <c r="R9" s="51" t="s">
        <v>164</v>
      </c>
      <c r="S9" s="54">
        <v>0.24324324324324326</v>
      </c>
      <c r="T9" s="51" t="s">
        <v>192</v>
      </c>
      <c r="U9" s="55">
        <v>8070</v>
      </c>
      <c r="V9" s="51" t="s">
        <v>126</v>
      </c>
      <c r="W9" s="55">
        <v>-8921.7391304347821</v>
      </c>
      <c r="X9" s="51" t="s">
        <v>193</v>
      </c>
      <c r="Y9" s="53">
        <v>0.23076923076923078</v>
      </c>
      <c r="Z9" s="51" t="s">
        <v>196</v>
      </c>
      <c r="AA9" s="54">
        <v>0.23529411764705882</v>
      </c>
      <c r="AB9" s="51" t="s">
        <v>196</v>
      </c>
      <c r="AC9" s="54">
        <v>0.17647058823529413</v>
      </c>
      <c r="AD9" s="51" t="s">
        <v>164</v>
      </c>
      <c r="AE9" s="54">
        <v>0.5</v>
      </c>
      <c r="AF9" s="51" t="s">
        <v>205</v>
      </c>
      <c r="AG9" s="54">
        <v>0.22727272727272727</v>
      </c>
      <c r="AH9" s="51" t="s">
        <v>164</v>
      </c>
      <c r="AI9" s="54">
        <v>0.34482758620689657</v>
      </c>
      <c r="AJ9" s="51" t="s">
        <v>189</v>
      </c>
      <c r="AK9" s="58">
        <v>66700</v>
      </c>
    </row>
    <row r="10" spans="1:37" x14ac:dyDescent="0.45">
      <c r="A10" s="48">
        <v>8</v>
      </c>
      <c r="B10" s="51" t="s">
        <v>189</v>
      </c>
      <c r="C10" s="118">
        <v>7</v>
      </c>
      <c r="D10" s="49" t="s">
        <v>205</v>
      </c>
      <c r="E10" s="50">
        <v>-128.6</v>
      </c>
      <c r="F10" s="51" t="s">
        <v>205</v>
      </c>
      <c r="G10" s="63">
        <v>-16.074999999999999</v>
      </c>
      <c r="H10" s="51" t="s">
        <v>196</v>
      </c>
      <c r="I10" s="63">
        <v>-8.5666666666666682</v>
      </c>
      <c r="J10" s="51" t="s">
        <v>205</v>
      </c>
      <c r="K10" s="52">
        <v>2.5</v>
      </c>
      <c r="L10" s="51" t="s">
        <v>194</v>
      </c>
      <c r="M10" s="53">
        <v>0</v>
      </c>
      <c r="N10" s="51" t="s">
        <v>194</v>
      </c>
      <c r="O10" s="53">
        <v>0.5714285714285714</v>
      </c>
      <c r="P10" s="51" t="s">
        <v>196</v>
      </c>
      <c r="Q10" s="54">
        <v>0.17647058823529413</v>
      </c>
      <c r="R10" s="51" t="s">
        <v>189</v>
      </c>
      <c r="S10" s="54">
        <v>0.25925925925925924</v>
      </c>
      <c r="T10" s="51" t="s">
        <v>194</v>
      </c>
      <c r="U10" s="55">
        <v>6253.333333333333</v>
      </c>
      <c r="V10" s="51" t="s">
        <v>194</v>
      </c>
      <c r="W10" s="55">
        <v>-9046.1538461538457</v>
      </c>
      <c r="X10" s="51" t="s">
        <v>194</v>
      </c>
      <c r="Y10" s="53">
        <v>0.35714285714285715</v>
      </c>
      <c r="Z10" s="51" t="s">
        <v>193</v>
      </c>
      <c r="AA10" s="54">
        <v>0.18604651162790697</v>
      </c>
      <c r="AB10" s="51" t="s">
        <v>194</v>
      </c>
      <c r="AC10" s="54">
        <v>0.11494252873563218</v>
      </c>
      <c r="AD10" s="51" t="s">
        <v>196</v>
      </c>
      <c r="AE10" s="54">
        <v>0.5</v>
      </c>
      <c r="AF10" s="51" t="s">
        <v>194</v>
      </c>
      <c r="AG10" s="54">
        <v>0.2</v>
      </c>
      <c r="AH10" s="51" t="s">
        <v>194</v>
      </c>
      <c r="AI10" s="54">
        <v>0.33333333333333331</v>
      </c>
      <c r="AJ10" s="51" t="s">
        <v>194</v>
      </c>
      <c r="AK10" s="58">
        <v>46300</v>
      </c>
    </row>
    <row r="11" spans="1:37" x14ac:dyDescent="0.45">
      <c r="A11" s="48">
        <v>9</v>
      </c>
      <c r="B11" s="51" t="s">
        <v>196</v>
      </c>
      <c r="C11" s="118">
        <v>5</v>
      </c>
      <c r="D11" s="49" t="s">
        <v>194</v>
      </c>
      <c r="E11" s="50">
        <v>-330.7</v>
      </c>
      <c r="F11" s="51" t="s">
        <v>194</v>
      </c>
      <c r="G11" s="63">
        <v>-23.62142857142857</v>
      </c>
      <c r="H11" s="51" t="s">
        <v>194</v>
      </c>
      <c r="I11" s="63">
        <v>-13.972222222222223</v>
      </c>
      <c r="J11" s="51" t="s">
        <v>194</v>
      </c>
      <c r="K11" s="52">
        <v>2.5714285714285716</v>
      </c>
      <c r="L11" s="51" t="s">
        <v>196</v>
      </c>
      <c r="M11" s="53">
        <v>0</v>
      </c>
      <c r="N11" s="51" t="s">
        <v>205</v>
      </c>
      <c r="O11" s="53">
        <v>0.75</v>
      </c>
      <c r="P11" s="51" t="s">
        <v>194</v>
      </c>
      <c r="Q11" s="54">
        <v>0.17241379310344829</v>
      </c>
      <c r="R11" s="51" t="s">
        <v>205</v>
      </c>
      <c r="S11" s="54">
        <v>0.2711864406779661</v>
      </c>
      <c r="T11" s="51" t="s">
        <v>196</v>
      </c>
      <c r="U11" s="55">
        <v>4566.666666666667</v>
      </c>
      <c r="V11" s="51" t="s">
        <v>205</v>
      </c>
      <c r="W11" s="55">
        <v>-11700</v>
      </c>
      <c r="X11" s="51" t="s">
        <v>205</v>
      </c>
      <c r="Y11" s="53">
        <v>0.375</v>
      </c>
      <c r="Z11" s="51" t="s">
        <v>205</v>
      </c>
      <c r="AA11" s="54">
        <v>0.15254237288135594</v>
      </c>
      <c r="AB11" s="51" t="s">
        <v>189</v>
      </c>
      <c r="AC11" s="54">
        <v>9.2592592592592587E-2</v>
      </c>
      <c r="AD11" s="51" t="s">
        <v>194</v>
      </c>
      <c r="AE11" s="54">
        <v>0.34615384615384615</v>
      </c>
      <c r="AF11" s="51" t="s">
        <v>196</v>
      </c>
      <c r="AG11" s="54">
        <v>0.16666666666666666</v>
      </c>
      <c r="AH11" s="51" t="s">
        <v>196</v>
      </c>
      <c r="AI11" s="54">
        <v>0.33333333333333331</v>
      </c>
      <c r="AJ11" s="51" t="s">
        <v>196</v>
      </c>
      <c r="AK11" s="58">
        <v>36900</v>
      </c>
    </row>
  </sheetData>
  <sortState xmlns:xlrd2="http://schemas.microsoft.com/office/spreadsheetml/2017/richdata2" ref="AJ3:AK38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11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111</v>
      </c>
      <c r="C2" s="140"/>
      <c r="E2" s="28" t="s">
        <v>66</v>
      </c>
      <c r="F2" s="25" t="s">
        <v>22</v>
      </c>
      <c r="G2" s="13">
        <v>180</v>
      </c>
      <c r="H2" s="91">
        <f>IF(B$19=0,0,G2/B$19)</f>
        <v>0.76595744680851063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-9.2592592592592595</v>
      </c>
      <c r="P2" s="80">
        <v>108</v>
      </c>
      <c r="Q2" s="67">
        <v>-1000</v>
      </c>
    </row>
    <row r="3" spans="1:17" x14ac:dyDescent="0.45">
      <c r="A3" s="21" t="s">
        <v>8</v>
      </c>
      <c r="B3" s="141">
        <v>798</v>
      </c>
      <c r="C3" s="142"/>
      <c r="E3" s="29" t="s">
        <v>72</v>
      </c>
      <c r="F3" s="26" t="s">
        <v>27</v>
      </c>
      <c r="G3" s="14">
        <v>140</v>
      </c>
      <c r="H3" s="92">
        <f>IF(B$19=0,0,G3/B$19)</f>
        <v>0.5957446808510638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108</v>
      </c>
      <c r="Q3" s="68">
        <v>0</v>
      </c>
    </row>
    <row r="4" spans="1:17" x14ac:dyDescent="0.45">
      <c r="A4" s="21" t="s">
        <v>6</v>
      </c>
      <c r="B4" s="143">
        <v>-9.7699626167013776E-15</v>
      </c>
      <c r="C4" s="144"/>
      <c r="E4" s="29" t="s">
        <v>64</v>
      </c>
      <c r="F4" s="26" t="s">
        <v>20</v>
      </c>
      <c r="G4" s="14">
        <v>104</v>
      </c>
      <c r="H4" s="92">
        <f>IF(B$19=0,0,G4/B$19)</f>
        <v>0.44255319148936167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9.5238095238095237</v>
      </c>
      <c r="P4" s="81">
        <v>105</v>
      </c>
      <c r="Q4" s="68">
        <v>1000</v>
      </c>
    </row>
    <row r="5" spans="1:17" x14ac:dyDescent="0.45">
      <c r="A5" s="21" t="s">
        <v>7</v>
      </c>
      <c r="B5" s="131">
        <f>IF(B$2=0,0,B$4/B$2)</f>
        <v>-8.8017681231543943E-17</v>
      </c>
      <c r="C5" s="132"/>
      <c r="E5" s="29" t="s">
        <v>160</v>
      </c>
      <c r="F5" s="26" t="s">
        <v>161</v>
      </c>
      <c r="G5" s="14">
        <v>91</v>
      </c>
      <c r="H5" s="92">
        <f>IF(B$19=0,0,G5/B$19)</f>
        <v>0.38723404255319149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-11.494252873563218</v>
      </c>
      <c r="P5" s="81">
        <v>87</v>
      </c>
      <c r="Q5" s="68">
        <v>-1000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69</v>
      </c>
      <c r="H6" s="92">
        <f>IF(B$19=0,0,G6/B$19)</f>
        <v>0.29361702127659572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-69.444444444444443</v>
      </c>
      <c r="P6" s="81">
        <v>72</v>
      </c>
      <c r="Q6" s="68">
        <v>-5000</v>
      </c>
    </row>
    <row r="7" spans="1:17" x14ac:dyDescent="0.45">
      <c r="A7" s="21" t="s">
        <v>2</v>
      </c>
      <c r="B7" s="14">
        <v>37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52</v>
      </c>
      <c r="H7" s="92">
        <f>IF(B$19=0,0,G7/B$19)</f>
        <v>0.22127659574468084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98.039215686274517</v>
      </c>
      <c r="P7" s="82">
        <v>51</v>
      </c>
      <c r="Q7" s="69">
        <v>5000</v>
      </c>
    </row>
    <row r="8" spans="1:17" x14ac:dyDescent="0.45">
      <c r="A8" s="21" t="s">
        <v>3</v>
      </c>
      <c r="B8" s="14">
        <v>37</v>
      </c>
      <c r="C8" s="8">
        <f t="shared" si="1"/>
        <v>0.33333333333333331</v>
      </c>
      <c r="E8" s="29" t="s">
        <v>89</v>
      </c>
      <c r="F8" s="26" t="s">
        <v>44</v>
      </c>
      <c r="G8" s="14">
        <v>36</v>
      </c>
      <c r="H8" s="92">
        <f>IF(B$19=0,0,G8/B$19)</f>
        <v>0.15319148936170213</v>
      </c>
      <c r="I8" s="60">
        <v>6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37</v>
      </c>
      <c r="C9" s="9">
        <f t="shared" si="1"/>
        <v>0.33333333333333331</v>
      </c>
      <c r="E9" s="29" t="s">
        <v>69</v>
      </c>
      <c r="F9" s="26" t="s">
        <v>24</v>
      </c>
      <c r="G9" s="14">
        <v>30</v>
      </c>
      <c r="H9" s="92">
        <f>IF(B$19=0,0,G9/B$19)</f>
        <v>0.1276595744680851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41.832432432432434</v>
      </c>
      <c r="C10" s="114">
        <v>1547.8</v>
      </c>
      <c r="E10" s="29" t="s">
        <v>65</v>
      </c>
      <c r="F10" s="26" t="s">
        <v>21</v>
      </c>
      <c r="G10" s="14">
        <v>22</v>
      </c>
      <c r="H10" s="92">
        <f>IF(B$19=0,0,G10/B$19)</f>
        <v>9.3617021276595741E-2</v>
      </c>
      <c r="I10" s="60">
        <v>5</v>
      </c>
      <c r="K10" s="7">
        <v>8</v>
      </c>
      <c r="L10" s="65">
        <v>-81.5</v>
      </c>
      <c r="N10" s="77" t="s">
        <v>152</v>
      </c>
      <c r="O10" s="86">
        <f>IF(P10=0,0,Q10/P10)</f>
        <v>-9.6837837837837863</v>
      </c>
      <c r="P10" s="80">
        <v>37</v>
      </c>
      <c r="Q10" s="71">
        <v>-358.30000000000007</v>
      </c>
    </row>
    <row r="11" spans="1:17" x14ac:dyDescent="0.45">
      <c r="A11" s="22" t="s">
        <v>186</v>
      </c>
      <c r="B11" s="113">
        <f>IF(B8=0,0,C11/B8)</f>
        <v>-3.8864864864864868</v>
      </c>
      <c r="C11" s="114">
        <v>-143.80000000000001</v>
      </c>
      <c r="E11" s="29" t="s">
        <v>71</v>
      </c>
      <c r="F11" s="26" t="s">
        <v>26</v>
      </c>
      <c r="G11" s="14">
        <v>17</v>
      </c>
      <c r="H11" s="92">
        <f>IF(B$19=0,0,G11/B$19)</f>
        <v>7.2340425531914887E-2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-3.0432432432432446</v>
      </c>
      <c r="P11" s="81">
        <v>37</v>
      </c>
      <c r="Q11" s="72">
        <v>-112.60000000000005</v>
      </c>
    </row>
    <row r="12" spans="1:17" x14ac:dyDescent="0.45">
      <c r="A12" s="22" t="s">
        <v>187</v>
      </c>
      <c r="B12" s="113">
        <f>IF(B9=0,0,C12/B9)</f>
        <v>-37.945945945945937</v>
      </c>
      <c r="C12" s="114">
        <v>-1403.9999999999998</v>
      </c>
      <c r="E12" s="29" t="s">
        <v>83</v>
      </c>
      <c r="F12" s="26" t="s">
        <v>38</v>
      </c>
      <c r="G12" s="14">
        <v>15</v>
      </c>
      <c r="H12" s="92">
        <f>IF(B$19=0,0,G12/B$19)</f>
        <v>6.3829787234042548E-2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12.727027027027022</v>
      </c>
      <c r="P12" s="82">
        <v>37</v>
      </c>
      <c r="Q12" s="73">
        <v>470.89999999999981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86</v>
      </c>
      <c r="F13" s="26" t="s">
        <v>41</v>
      </c>
      <c r="G13" s="14">
        <v>15</v>
      </c>
      <c r="H13" s="92">
        <f>IF(B$19=0,0,G13/B$19)</f>
        <v>6.3829787234042548E-2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0.12612612612612611</v>
      </c>
      <c r="E14" s="29" t="s">
        <v>70</v>
      </c>
      <c r="F14" s="26" t="s">
        <v>25</v>
      </c>
      <c r="G14" s="14">
        <v>12</v>
      </c>
      <c r="H14" s="92">
        <f>IF(B$19=0,0,G14/B$19)</f>
        <v>5.106382978723404E-2</v>
      </c>
      <c r="I14" s="60">
        <v>3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203</v>
      </c>
      <c r="C15" s="12">
        <f>IF(B$3=0,0,B15/B$3)</f>
        <v>0.25438596491228072</v>
      </c>
      <c r="E15" s="29" t="s">
        <v>78</v>
      </c>
      <c r="F15" s="26" t="s">
        <v>33</v>
      </c>
      <c r="G15" s="14">
        <v>8</v>
      </c>
      <c r="H15" s="92">
        <f>IF(B$19=0,0,G15/B$19)</f>
        <v>3.4042553191489362E-2</v>
      </c>
      <c r="I15" s="60">
        <v>5</v>
      </c>
      <c r="K15" s="7">
        <v>13</v>
      </c>
      <c r="L15" s="65">
        <v>14.300000000000002</v>
      </c>
      <c r="N15" s="77" t="s">
        <v>194</v>
      </c>
      <c r="O15" s="86">
        <f>IF(P15=0,0,Q15/P15)</f>
        <v>35.432142857142857</v>
      </c>
      <c r="P15" s="80">
        <v>28</v>
      </c>
      <c r="Q15" s="71">
        <v>992.1</v>
      </c>
    </row>
    <row r="16" spans="1:17" x14ac:dyDescent="0.45">
      <c r="A16" s="21" t="s">
        <v>118</v>
      </c>
      <c r="B16" s="14">
        <v>179</v>
      </c>
      <c r="C16" s="8">
        <f>IF(B$3=0,0,B16/B$3)</f>
        <v>0.22431077694235588</v>
      </c>
      <c r="E16" s="29" t="s">
        <v>79</v>
      </c>
      <c r="F16" s="26" t="s">
        <v>34</v>
      </c>
      <c r="G16" s="14">
        <v>7</v>
      </c>
      <c r="H16" s="92">
        <f>IF(B$19=0,0,G16/B$19)</f>
        <v>2.9787234042553193E-2</v>
      </c>
      <c r="I16" s="60">
        <v>3</v>
      </c>
      <c r="K16" s="7">
        <v>14</v>
      </c>
      <c r="L16" s="65">
        <v>12.800000000000002</v>
      </c>
      <c r="N16" s="78" t="s">
        <v>205</v>
      </c>
      <c r="O16" s="87">
        <f>IF(P16=0,0,Q16/P16)</f>
        <v>24.112500000000001</v>
      </c>
      <c r="P16" s="81">
        <v>16</v>
      </c>
      <c r="Q16" s="72">
        <v>385.8</v>
      </c>
    </row>
    <row r="17" spans="1:17" x14ac:dyDescent="0.45">
      <c r="A17" s="20" t="s">
        <v>123</v>
      </c>
      <c r="B17" s="13">
        <f>B23</f>
        <v>112</v>
      </c>
      <c r="C17" s="6">
        <f>IF(B$15=0,0,B17/B$15)</f>
        <v>0.55172413793103448</v>
      </c>
      <c r="E17" s="29" t="s">
        <v>81</v>
      </c>
      <c r="F17" s="26" t="s">
        <v>36</v>
      </c>
      <c r="G17" s="14">
        <v>7</v>
      </c>
      <c r="H17" s="92">
        <f>IF(B$19=0,0,G17/B$19)</f>
        <v>2.9787234042553193E-2</v>
      </c>
      <c r="I17" s="60">
        <v>4</v>
      </c>
      <c r="K17" s="7">
        <v>15</v>
      </c>
      <c r="L17" s="65">
        <v>1.7763568394002505E-15</v>
      </c>
      <c r="N17" s="78" t="s">
        <v>196</v>
      </c>
      <c r="O17" s="87">
        <f>IF(P17=0,0,Q17/P17)</f>
        <v>19.32</v>
      </c>
      <c r="P17" s="81">
        <v>10</v>
      </c>
      <c r="Q17" s="72">
        <v>193.2</v>
      </c>
    </row>
    <row r="18" spans="1:17" x14ac:dyDescent="0.45">
      <c r="A18" s="20" t="s">
        <v>124</v>
      </c>
      <c r="B18" s="13">
        <f>B24</f>
        <v>68</v>
      </c>
      <c r="C18" s="6">
        <f>IF(B$16=0,0,B18/B$16)</f>
        <v>0.37988826815642457</v>
      </c>
      <c r="E18" s="29" t="s">
        <v>91</v>
      </c>
      <c r="F18" s="26" t="s">
        <v>46</v>
      </c>
      <c r="G18" s="14">
        <v>4</v>
      </c>
      <c r="H18" s="92">
        <f>IF(B$19=0,0,G18/B$19)</f>
        <v>1.7021276595744681E-2</v>
      </c>
      <c r="I18" s="60">
        <v>4</v>
      </c>
      <c r="K18" s="7">
        <v>16</v>
      </c>
      <c r="L18" s="65">
        <v>3.4000000000000017</v>
      </c>
      <c r="N18" s="78" t="s">
        <v>189</v>
      </c>
      <c r="O18" s="87">
        <f>IF(P18=0,0,Q18/P18)</f>
        <v>5.7642857142857142</v>
      </c>
      <c r="P18" s="81">
        <v>14</v>
      </c>
      <c r="Q18" s="72">
        <v>80.7</v>
      </c>
    </row>
    <row r="19" spans="1:17" x14ac:dyDescent="0.45">
      <c r="A19" s="20" t="s">
        <v>10</v>
      </c>
      <c r="B19" s="13">
        <f>B22+B21</f>
        <v>235</v>
      </c>
      <c r="C19" s="6">
        <f>IF(B$3=0,0,B19/B$3)</f>
        <v>0.29448621553884713</v>
      </c>
      <c r="E19" s="29" t="s">
        <v>92</v>
      </c>
      <c r="F19" s="26" t="s">
        <v>47</v>
      </c>
      <c r="G19" s="14">
        <v>4</v>
      </c>
      <c r="H19" s="92">
        <f>IF(B$19=0,0,G19/B$19)</f>
        <v>1.7021276595744681E-2</v>
      </c>
      <c r="I19" s="60">
        <v>4</v>
      </c>
      <c r="K19" s="7">
        <v>17</v>
      </c>
      <c r="L19" s="65">
        <v>-35.800000000000004</v>
      </c>
      <c r="N19" s="78" t="s">
        <v>192</v>
      </c>
      <c r="O19" s="87">
        <f>IF(P19=0,0,Q19/P19)</f>
        <v>0.79199999999999815</v>
      </c>
      <c r="P19" s="81">
        <v>50</v>
      </c>
      <c r="Q19" s="72">
        <v>39.599999999999909</v>
      </c>
    </row>
    <row r="20" spans="1:17" x14ac:dyDescent="0.45">
      <c r="A20" s="21" t="s">
        <v>13</v>
      </c>
      <c r="B20" s="14">
        <v>132</v>
      </c>
      <c r="C20" s="8">
        <f>IF(B$3=0,0,B20/B$3)</f>
        <v>0.16541353383458646</v>
      </c>
      <c r="E20" s="29" t="s">
        <v>156</v>
      </c>
      <c r="F20" s="26" t="s">
        <v>157</v>
      </c>
      <c r="G20" s="14">
        <v>4</v>
      </c>
      <c r="H20" s="92">
        <f>IF(B$19=0,0,G20/B$19)</f>
        <v>1.7021276595744681E-2</v>
      </c>
      <c r="I20" s="60">
        <v>3</v>
      </c>
      <c r="K20" s="7">
        <v>18</v>
      </c>
      <c r="L20" s="65">
        <v>-7.1054273576010019E-15</v>
      </c>
      <c r="N20" s="78" t="s">
        <v>164</v>
      </c>
      <c r="O20" s="87">
        <f>IF(P20=0,0,Q20/P20)</f>
        <v>-1.6178571428571416</v>
      </c>
      <c r="P20" s="81">
        <v>28</v>
      </c>
      <c r="Q20" s="72">
        <v>-45.299999999999962</v>
      </c>
    </row>
    <row r="21" spans="1:17" x14ac:dyDescent="0.45">
      <c r="A21" s="21" t="s">
        <v>12</v>
      </c>
      <c r="B21" s="14">
        <v>102</v>
      </c>
      <c r="C21" s="8">
        <f>IF(B$19=0,0,B21/B$19)</f>
        <v>0.43404255319148938</v>
      </c>
      <c r="E21" s="29" t="s">
        <v>87</v>
      </c>
      <c r="F21" s="26" t="s">
        <v>42</v>
      </c>
      <c r="G21" s="14">
        <v>2</v>
      </c>
      <c r="H21" s="92">
        <f>IF(B$19=0,0,G21/B$19)</f>
        <v>8.5106382978723406E-3</v>
      </c>
      <c r="I21" s="60">
        <v>3</v>
      </c>
      <c r="K21" s="7">
        <v>19</v>
      </c>
      <c r="L21" s="65">
        <v>-27.100000000000009</v>
      </c>
      <c r="N21" s="78" t="s">
        <v>193</v>
      </c>
      <c r="O21" s="87">
        <f>IF(P21=0,0,Q21/P21)</f>
        <v>-9.5884615384615408</v>
      </c>
      <c r="P21" s="81">
        <v>26</v>
      </c>
      <c r="Q21" s="72">
        <v>-249.30000000000007</v>
      </c>
    </row>
    <row r="22" spans="1:17" x14ac:dyDescent="0.45">
      <c r="A22" s="21" t="s">
        <v>11</v>
      </c>
      <c r="B22" s="14">
        <v>133</v>
      </c>
      <c r="C22" s="8">
        <f>IF(B$19=0,0,B22/B$19)</f>
        <v>0.56595744680851068</v>
      </c>
      <c r="E22" s="29" t="s">
        <v>93</v>
      </c>
      <c r="F22" s="26" t="s">
        <v>48</v>
      </c>
      <c r="G22" s="14">
        <v>2</v>
      </c>
      <c r="H22" s="92">
        <f>IF(B$19=0,0,G22/B$19)</f>
        <v>8.5106382978723406E-3</v>
      </c>
      <c r="I22" s="60">
        <v>2</v>
      </c>
      <c r="K22" s="7">
        <v>20</v>
      </c>
      <c r="L22" s="65">
        <v>-28.600000000000009</v>
      </c>
      <c r="N22" s="78" t="s">
        <v>126</v>
      </c>
      <c r="O22" s="87">
        <f>IF(P22=0,0,Q22/P22)</f>
        <v>-27.935999999999993</v>
      </c>
      <c r="P22" s="81">
        <v>50</v>
      </c>
      <c r="Q22" s="72">
        <v>-1396.7999999999997</v>
      </c>
    </row>
    <row r="23" spans="1:17" x14ac:dyDescent="0.45">
      <c r="A23" s="21" t="s">
        <v>184</v>
      </c>
      <c r="B23" s="14">
        <v>112</v>
      </c>
      <c r="C23" s="8">
        <f>IF(B$19=0,0,B23/B$19)</f>
        <v>0.47659574468085109</v>
      </c>
      <c r="E23" s="29" t="s">
        <v>73</v>
      </c>
      <c r="F23" s="26" t="s">
        <v>28</v>
      </c>
      <c r="G23" s="14">
        <v>1</v>
      </c>
      <c r="H23" s="92">
        <f>IF(B$19=0,0,G23/B$19)</f>
        <v>4.2553191489361703E-3</v>
      </c>
      <c r="I23" s="60">
        <v>2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68</v>
      </c>
      <c r="C24" s="8">
        <f>IF(B$19=0,0,B24/B$19)</f>
        <v>0.28936170212765955</v>
      </c>
      <c r="E24" s="29" t="s">
        <v>75</v>
      </c>
      <c r="F24" s="26" t="s">
        <v>30</v>
      </c>
      <c r="G24" s="14">
        <v>1</v>
      </c>
      <c r="H24" s="92">
        <f>IF(B$19=0,0,G24/B$19)</f>
        <v>4.2553191489361703E-3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55</v>
      </c>
      <c r="C25" s="8">
        <f>IF(B$19=0,0,B25/B$19)</f>
        <v>0.23404255319148937</v>
      </c>
      <c r="E25" s="29" t="s">
        <v>77</v>
      </c>
      <c r="F25" s="26" t="s">
        <v>32</v>
      </c>
      <c r="G25" s="14">
        <v>1</v>
      </c>
      <c r="H25" s="92">
        <f>IF(B$19=0,0,G25/B$19)</f>
        <v>4.2553191489361703E-3</v>
      </c>
      <c r="I25" s="60">
        <v>2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9271.0638297872338</v>
      </c>
      <c r="C26" s="10">
        <v>2178700</v>
      </c>
      <c r="E26" s="29" t="s">
        <v>95</v>
      </c>
      <c r="F26" s="26" t="s">
        <v>50</v>
      </c>
      <c r="G26" s="14">
        <v>1</v>
      </c>
      <c r="H26" s="92">
        <f>IF(B$19=0,0,G26/B$19)</f>
        <v>4.2553191489361703E-3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9434.7305389221565</v>
      </c>
      <c r="C27" s="100">
        <v>1575600</v>
      </c>
      <c r="E27" s="29" t="s">
        <v>102</v>
      </c>
      <c r="F27" s="26" t="s">
        <v>57</v>
      </c>
      <c r="G27" s="14">
        <v>1</v>
      </c>
      <c r="H27" s="92">
        <f>IF(B$19=0,0,G27/B$19)</f>
        <v>4.2553191489361703E-3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8869.1176470588234</v>
      </c>
      <c r="C28" s="100">
        <v>603100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-8228.0303030303039</v>
      </c>
      <c r="C29" s="100">
        <v>-1086100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6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6</v>
      </c>
      <c r="C32" s="134"/>
      <c r="E32" s="29" t="s">
        <v>84</v>
      </c>
      <c r="F32" s="26" t="s">
        <v>39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106500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2</v>
      </c>
      <c r="C34" s="11">
        <f>IF(B$3=0,0,B34/B$3)</f>
        <v>2.5062656641604009E-3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16</v>
      </c>
      <c r="C36" s="102">
        <f t="shared" ref="C36:C48" si="2">IF(B$19=0,0,B36/B$19)</f>
        <v>6.8085106382978725E-2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36</v>
      </c>
      <c r="C37" s="8">
        <f t="shared" si="2"/>
        <v>0.15319148936170213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42</v>
      </c>
      <c r="C38" s="8">
        <f t="shared" si="2"/>
        <v>0.17872340425531916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48</v>
      </c>
      <c r="C39" s="8">
        <f t="shared" si="2"/>
        <v>0.20425531914893616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37</v>
      </c>
      <c r="C40" s="8">
        <f t="shared" si="2"/>
        <v>0.1574468085106383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18</v>
      </c>
      <c r="C41" s="8">
        <f t="shared" si="2"/>
        <v>7.6595744680851063E-2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16</v>
      </c>
      <c r="C42" s="8">
        <f t="shared" si="2"/>
        <v>6.8085106382978725E-2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4</v>
      </c>
      <c r="C43" s="8">
        <f t="shared" si="2"/>
        <v>1.7021276595744681E-2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3</v>
      </c>
      <c r="C44" s="8">
        <f t="shared" si="2"/>
        <v>1.276595744680851E-2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4</v>
      </c>
      <c r="C45" s="8">
        <f t="shared" si="2"/>
        <v>1.7021276595744681E-2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2</v>
      </c>
      <c r="C46" s="8">
        <f t="shared" si="2"/>
        <v>8.5106382978723406E-3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4.2553191489361703E-3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8</v>
      </c>
      <c r="C48" s="11">
        <f t="shared" si="2"/>
        <v>3.4042553191489362E-2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14</v>
      </c>
      <c r="C2" s="140"/>
      <c r="E2" s="28" t="s">
        <v>66</v>
      </c>
      <c r="F2" s="25" t="s">
        <v>22</v>
      </c>
      <c r="G2" s="13">
        <v>36</v>
      </c>
      <c r="H2" s="91">
        <f>IF(B$19=0,0,G2/B$19)</f>
        <v>1.2413793103448276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1661.5384615384614</v>
      </c>
      <c r="P2" s="80">
        <v>13</v>
      </c>
      <c r="Q2" s="67">
        <v>21600</v>
      </c>
    </row>
    <row r="3" spans="1:17" x14ac:dyDescent="0.45">
      <c r="A3" s="21" t="s">
        <v>8</v>
      </c>
      <c r="B3" s="141">
        <v>111</v>
      </c>
      <c r="C3" s="142"/>
      <c r="E3" s="29" t="s">
        <v>64</v>
      </c>
      <c r="F3" s="26" t="s">
        <v>20</v>
      </c>
      <c r="G3" s="14">
        <v>16</v>
      </c>
      <c r="H3" s="92">
        <f>IF(B$19=0,0,G3/B$19)</f>
        <v>0.55172413793103448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2385.7142857142858</v>
      </c>
      <c r="P3" s="81">
        <v>14</v>
      </c>
      <c r="Q3" s="68">
        <v>33400</v>
      </c>
    </row>
    <row r="4" spans="1:17" x14ac:dyDescent="0.45">
      <c r="A4" s="21" t="s">
        <v>6</v>
      </c>
      <c r="B4" s="143">
        <v>15.100000000000001</v>
      </c>
      <c r="C4" s="144"/>
      <c r="E4" s="29" t="s">
        <v>160</v>
      </c>
      <c r="F4" s="26" t="s">
        <v>161</v>
      </c>
      <c r="G4" s="14">
        <v>15</v>
      </c>
      <c r="H4" s="92">
        <f>IF(B$19=0,0,G4/B$19)</f>
        <v>0.51724137931034486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-1335.7142857142858</v>
      </c>
      <c r="P4" s="81">
        <v>14</v>
      </c>
      <c r="Q4" s="68">
        <v>-18700</v>
      </c>
    </row>
    <row r="5" spans="1:17" x14ac:dyDescent="0.45">
      <c r="A5" s="21" t="s">
        <v>7</v>
      </c>
      <c r="B5" s="131">
        <f>IF(B$2=0,0,B$4/B$2)</f>
        <v>1.0785714285714287</v>
      </c>
      <c r="C5" s="132"/>
      <c r="E5" s="29" t="s">
        <v>72</v>
      </c>
      <c r="F5" s="26" t="s">
        <v>27</v>
      </c>
      <c r="G5" s="14">
        <v>14</v>
      </c>
      <c r="H5" s="92">
        <f>IF(B$19=0,0,G5/B$19)</f>
        <v>0.48275862068965519</v>
      </c>
      <c r="I5" s="60">
        <v>7</v>
      </c>
      <c r="K5" s="7">
        <v>3</v>
      </c>
      <c r="L5" s="65">
        <v>61.5</v>
      </c>
      <c r="N5" s="78" t="s">
        <v>131</v>
      </c>
      <c r="O5" s="84">
        <f t="shared" si="0"/>
        <v>-7246.1538461538457</v>
      </c>
      <c r="P5" s="81">
        <v>13</v>
      </c>
      <c r="Q5" s="68">
        <v>-94200</v>
      </c>
    </row>
    <row r="6" spans="1:17" x14ac:dyDescent="0.45">
      <c r="A6" s="21" t="s">
        <v>1</v>
      </c>
      <c r="B6" s="145">
        <f>IF(B$2=0,0,(B$7*1+B$8*2+B$9*3)/B$2)</f>
        <v>1.9285714285714286</v>
      </c>
      <c r="C6" s="146"/>
      <c r="E6" s="29" t="s">
        <v>67</v>
      </c>
      <c r="F6" s="26" t="s">
        <v>23</v>
      </c>
      <c r="G6" s="14">
        <v>8</v>
      </c>
      <c r="H6" s="92">
        <f>IF(B$19=0,0,G6/B$19)</f>
        <v>0.27586206896551724</v>
      </c>
      <c r="I6" s="60">
        <v>1</v>
      </c>
      <c r="K6" s="7">
        <v>4</v>
      </c>
      <c r="L6" s="65">
        <v>27.4</v>
      </c>
      <c r="N6" s="78" t="s">
        <v>132</v>
      </c>
      <c r="O6" s="84">
        <f t="shared" si="0"/>
        <v>-666.66666666666663</v>
      </c>
      <c r="P6" s="81">
        <v>12</v>
      </c>
      <c r="Q6" s="68">
        <v>-8000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0.42857142857142855</v>
      </c>
      <c r="E7" s="29" t="s">
        <v>68</v>
      </c>
      <c r="F7" s="26" t="s">
        <v>12</v>
      </c>
      <c r="G7" s="14">
        <v>8</v>
      </c>
      <c r="H7" s="92">
        <f>IF(B$19=0,0,G7/B$19)</f>
        <v>0.27586206896551724</v>
      </c>
      <c r="I7" s="60">
        <v>7</v>
      </c>
      <c r="K7" s="7">
        <v>5</v>
      </c>
      <c r="L7" s="65">
        <v>18</v>
      </c>
      <c r="N7" s="79" t="s">
        <v>133</v>
      </c>
      <c r="O7" s="85">
        <f t="shared" si="0"/>
        <v>9514.2857142857138</v>
      </c>
      <c r="P7" s="82">
        <v>7</v>
      </c>
      <c r="Q7" s="69">
        <v>66600</v>
      </c>
    </row>
    <row r="8" spans="1:17" x14ac:dyDescent="0.45">
      <c r="A8" s="21" t="s">
        <v>3</v>
      </c>
      <c r="B8" s="14">
        <v>3</v>
      </c>
      <c r="C8" s="8">
        <f t="shared" si="1"/>
        <v>0.21428571428571427</v>
      </c>
      <c r="E8" s="29" t="s">
        <v>65</v>
      </c>
      <c r="F8" s="26" t="s">
        <v>21</v>
      </c>
      <c r="G8" s="14">
        <v>5</v>
      </c>
      <c r="H8" s="92">
        <f>IF(B$19=0,0,G8/B$19)</f>
        <v>0.17241379310344829</v>
      </c>
      <c r="I8" s="60">
        <v>1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0.35714285714285715</v>
      </c>
      <c r="E9" s="29" t="s">
        <v>86</v>
      </c>
      <c r="F9" s="26" t="s">
        <v>41</v>
      </c>
      <c r="G9" s="14">
        <v>5</v>
      </c>
      <c r="H9" s="92">
        <f>IF(B$19=0,0,G9/B$19)</f>
        <v>0.17241379310344829</v>
      </c>
      <c r="I9" s="60">
        <v>1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34.449999999999996</v>
      </c>
      <c r="C10" s="114">
        <v>206.7</v>
      </c>
      <c r="E10" s="29" t="s">
        <v>89</v>
      </c>
      <c r="F10" s="26" t="s">
        <v>44</v>
      </c>
      <c r="G10" s="14">
        <v>5</v>
      </c>
      <c r="H10" s="92">
        <f>IF(B$19=0,0,G10/B$19)</f>
        <v>0.17241379310344829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-8.875</v>
      </c>
      <c r="P10" s="80">
        <v>4</v>
      </c>
      <c r="Q10" s="71">
        <v>-35.5</v>
      </c>
    </row>
    <row r="11" spans="1:17" x14ac:dyDescent="0.45">
      <c r="A11" s="22" t="s">
        <v>186</v>
      </c>
      <c r="B11" s="113">
        <f>IF(B8=0,0,C11/B8)</f>
        <v>-6.6000000000000005</v>
      </c>
      <c r="C11" s="114">
        <v>-19.8</v>
      </c>
      <c r="E11" s="29" t="s">
        <v>69</v>
      </c>
      <c r="F11" s="26" t="s">
        <v>24</v>
      </c>
      <c r="G11" s="14">
        <v>3</v>
      </c>
      <c r="H11" s="92">
        <f>IF(B$19=0,0,G11/B$19)</f>
        <v>0.10344827586206896</v>
      </c>
      <c r="I11" s="60">
        <v>7</v>
      </c>
      <c r="K11" s="7">
        <v>9</v>
      </c>
      <c r="L11" s="65">
        <v>33.5</v>
      </c>
      <c r="N11" s="78" t="s">
        <v>153</v>
      </c>
      <c r="O11" s="87">
        <f>IF(P11=0,0,Q11/P11)</f>
        <v>-11.3</v>
      </c>
      <c r="P11" s="81">
        <v>5</v>
      </c>
      <c r="Q11" s="72">
        <v>-56.500000000000007</v>
      </c>
    </row>
    <row r="12" spans="1:17" x14ac:dyDescent="0.45">
      <c r="A12" s="22" t="s">
        <v>187</v>
      </c>
      <c r="B12" s="113">
        <f>IF(B9=0,0,C12/B9)</f>
        <v>-34.36</v>
      </c>
      <c r="C12" s="114">
        <v>-171.79999999999998</v>
      </c>
      <c r="E12" s="29" t="s">
        <v>71</v>
      </c>
      <c r="F12" s="26" t="s">
        <v>26</v>
      </c>
      <c r="G12" s="14">
        <v>3</v>
      </c>
      <c r="H12" s="92">
        <f>IF(B$19=0,0,G12/B$19)</f>
        <v>0.10344827586206896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21.419999999999998</v>
      </c>
      <c r="P12" s="82">
        <v>5</v>
      </c>
      <c r="Q12" s="73">
        <v>107.1</v>
      </c>
    </row>
    <row r="13" spans="1:17" x14ac:dyDescent="0.45">
      <c r="A13" s="22" t="s">
        <v>188</v>
      </c>
      <c r="B13" s="131">
        <f>AVERAGE(B10:B12)</f>
        <v>-2.1700000000000017</v>
      </c>
      <c r="C13" s="132"/>
      <c r="E13" s="29" t="s">
        <v>81</v>
      </c>
      <c r="F13" s="26" t="s">
        <v>36</v>
      </c>
      <c r="G13" s="14">
        <v>2</v>
      </c>
      <c r="H13" s="92">
        <f>IF(B$19=0,0,G13/B$19)</f>
        <v>6.8965517241379309E-2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7.1428571428571425E-2</v>
      </c>
      <c r="E14" s="29" t="s">
        <v>83</v>
      </c>
      <c r="F14" s="26" t="s">
        <v>38</v>
      </c>
      <c r="G14" s="14">
        <v>2</v>
      </c>
      <c r="H14" s="92">
        <f>IF(B$19=0,0,G14/B$19)</f>
        <v>6.8965517241379309E-2</v>
      </c>
      <c r="I14" s="60">
        <v>4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34</v>
      </c>
      <c r="C15" s="12">
        <f>IF(B$3=0,0,B15/B$3)</f>
        <v>0.30630630630630629</v>
      </c>
      <c r="E15" s="29" t="s">
        <v>70</v>
      </c>
      <c r="F15" s="26" t="s">
        <v>25</v>
      </c>
      <c r="G15" s="14">
        <v>1</v>
      </c>
      <c r="H15" s="92">
        <f>IF(B$19=0,0,G15/B$19)</f>
        <v>3.4482758620689655E-2</v>
      </c>
      <c r="I15" s="60">
        <v>5</v>
      </c>
      <c r="K15" s="7">
        <v>13</v>
      </c>
      <c r="L15" s="65">
        <v>-33.5</v>
      </c>
      <c r="N15" s="77" t="s">
        <v>205</v>
      </c>
      <c r="O15" s="86">
        <f t="shared" ref="O15:O20" si="2">IF(P15=0,0,Q15/P15)</f>
        <v>98.7</v>
      </c>
      <c r="P15" s="80">
        <v>1</v>
      </c>
      <c r="Q15" s="71">
        <v>98.7</v>
      </c>
    </row>
    <row r="16" spans="1:17" x14ac:dyDescent="0.45">
      <c r="A16" s="21" t="s">
        <v>118</v>
      </c>
      <c r="B16" s="14">
        <v>23</v>
      </c>
      <c r="C16" s="8">
        <f>IF(B$3=0,0,B16/B$3)</f>
        <v>0.2072072072072072</v>
      </c>
      <c r="E16" s="29" t="s">
        <v>78</v>
      </c>
      <c r="F16" s="26" t="s">
        <v>33</v>
      </c>
      <c r="G16" s="14">
        <v>1</v>
      </c>
      <c r="H16" s="92">
        <f>IF(B$19=0,0,G16/B$19)</f>
        <v>3.4482758620689655E-2</v>
      </c>
      <c r="I16" s="60">
        <v>4</v>
      </c>
      <c r="K16" s="7">
        <v>14</v>
      </c>
      <c r="L16" s="65">
        <v>15.100000000000001</v>
      </c>
      <c r="N16" s="78" t="s">
        <v>189</v>
      </c>
      <c r="O16" s="87">
        <f t="shared" si="2"/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0.5</v>
      </c>
      <c r="E17" s="29" t="s">
        <v>79</v>
      </c>
      <c r="F17" s="26" t="s">
        <v>34</v>
      </c>
      <c r="G17" s="14">
        <v>1</v>
      </c>
      <c r="H17" s="92">
        <f>IF(B$19=0,0,G17/B$19)</f>
        <v>3.4482758620689655E-2</v>
      </c>
      <c r="I17" s="60">
        <v>2</v>
      </c>
      <c r="N17" s="78" t="s">
        <v>194</v>
      </c>
      <c r="O17" s="87">
        <f t="shared" si="2"/>
        <v>5.5333333333333341</v>
      </c>
      <c r="P17" s="81">
        <v>3</v>
      </c>
      <c r="Q17" s="72">
        <v>16.600000000000001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0.34782608695652173</v>
      </c>
      <c r="E18" s="29" t="s">
        <v>91</v>
      </c>
      <c r="F18" s="26" t="s">
        <v>46</v>
      </c>
      <c r="G18" s="14">
        <v>1</v>
      </c>
      <c r="H18" s="92">
        <f>IF(B$19=0,0,G18/B$19)</f>
        <v>3.4482758620689655E-2</v>
      </c>
      <c r="I18" s="60">
        <v>2</v>
      </c>
      <c r="N18" s="78" t="s">
        <v>126</v>
      </c>
      <c r="O18" s="87">
        <f t="shared" si="2"/>
        <v>-4.1800000000000006</v>
      </c>
      <c r="P18" s="81">
        <v>10</v>
      </c>
      <c r="Q18" s="72">
        <v>-41.800000000000004</v>
      </c>
    </row>
    <row r="19" spans="1:17" x14ac:dyDescent="0.45">
      <c r="A19" s="20" t="s">
        <v>10</v>
      </c>
      <c r="B19" s="13">
        <f>B22+B21</f>
        <v>29</v>
      </c>
      <c r="C19" s="6">
        <f>IF(B$3=0,0,B19/B$3)</f>
        <v>0.26126126126126126</v>
      </c>
      <c r="E19" s="29" t="s">
        <v>92</v>
      </c>
      <c r="F19" s="26" t="s">
        <v>47</v>
      </c>
      <c r="G19" s="14">
        <v>1</v>
      </c>
      <c r="H19" s="92">
        <f>IF(B$19=0,0,G19/B$19)</f>
        <v>3.4482758620689655E-2</v>
      </c>
      <c r="I19" s="60">
        <v>1</v>
      </c>
      <c r="N19" s="78" t="s">
        <v>192</v>
      </c>
      <c r="O19" s="87">
        <f t="shared" si="2"/>
        <v>-9.6111111111111089</v>
      </c>
      <c r="P19" s="81">
        <v>9</v>
      </c>
      <c r="Q19" s="72">
        <v>-86.499999999999986</v>
      </c>
    </row>
    <row r="20" spans="1:17" x14ac:dyDescent="0.45">
      <c r="A20" s="21" t="s">
        <v>13</v>
      </c>
      <c r="B20" s="14">
        <v>27</v>
      </c>
      <c r="C20" s="8">
        <f>IF(B$3=0,0,B20/B$3)</f>
        <v>0.24324324324324326</v>
      </c>
      <c r="E20" s="29" t="s">
        <v>156</v>
      </c>
      <c r="F20" s="26" t="s">
        <v>157</v>
      </c>
      <c r="G20" s="14">
        <v>1</v>
      </c>
      <c r="H20" s="92">
        <f>IF(B$19=0,0,G20/B$19)</f>
        <v>3.4482758620689655E-2</v>
      </c>
      <c r="I20" s="60">
        <v>2</v>
      </c>
      <c r="N20" s="78" t="s">
        <v>193</v>
      </c>
      <c r="O20" s="87">
        <f t="shared" si="2"/>
        <v>-48.4</v>
      </c>
      <c r="P20" s="81">
        <v>1</v>
      </c>
      <c r="Q20" s="72">
        <v>-48.4</v>
      </c>
    </row>
    <row r="21" spans="1:17" x14ac:dyDescent="0.45">
      <c r="A21" s="21" t="s">
        <v>12</v>
      </c>
      <c r="B21" s="14">
        <v>10</v>
      </c>
      <c r="C21" s="8">
        <f>IF(B$19=0,0,B21/B$19)</f>
        <v>0.34482758620689657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19</v>
      </c>
      <c r="C22" s="8">
        <f>IF(B$19=0,0,B22/B$19)</f>
        <v>0.65517241379310343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17</v>
      </c>
      <c r="C23" s="8">
        <f>IF(B$19=0,0,B23/B$19)</f>
        <v>0.58620689655172409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8</v>
      </c>
      <c r="C24" s="8">
        <f>IF(B$19=0,0,B24/B$19)</f>
        <v>0.27586206896551724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0.13793103448275862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11479.310344827587</v>
      </c>
      <c r="C26" s="10">
        <v>332900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11647.619047619048</v>
      </c>
      <c r="C27" s="100">
        <v>244600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11037.5</v>
      </c>
      <c r="C28" s="100">
        <v>88300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-7077.7777777777774</v>
      </c>
      <c r="C29" s="100">
        <v>-191100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20</v>
      </c>
      <c r="C31" s="94">
        <v>10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6</v>
      </c>
      <c r="C32" s="134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73600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1</v>
      </c>
      <c r="C34" s="11">
        <f>IF(B$3=0,0,B34/B$3)</f>
        <v>9.0090090090090089E-3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0</v>
      </c>
      <c r="C36" s="102">
        <f t="shared" ref="C36:C48" si="3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3"/>
        <v>3.4482758620689655E-2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3"/>
        <v>6.8965517241379309E-2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10</v>
      </c>
      <c r="C39" s="8">
        <f t="shared" si="3"/>
        <v>0.34482758620689657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3"/>
        <v>0.20689655172413793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3"/>
        <v>3.4482758620689655E-2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3"/>
        <v>0.13793103448275862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2</v>
      </c>
      <c r="C43" s="8">
        <f t="shared" si="3"/>
        <v>6.8965517241379309E-2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3"/>
        <v>3.4482758620689655E-2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1</v>
      </c>
      <c r="C47" s="8">
        <f t="shared" si="3"/>
        <v>3.4482758620689655E-2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3.4482758620689655E-2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7</v>
      </c>
      <c r="C2" s="140"/>
      <c r="E2" s="28" t="s">
        <v>66</v>
      </c>
      <c r="F2" s="25" t="s">
        <v>22</v>
      </c>
      <c r="G2" s="13">
        <v>14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2316.6666666666665</v>
      </c>
      <c r="P2" s="80">
        <v>6</v>
      </c>
      <c r="Q2" s="67">
        <v>13900</v>
      </c>
    </row>
    <row r="3" spans="1:17" x14ac:dyDescent="0.45">
      <c r="A3" s="21" t="s">
        <v>8</v>
      </c>
      <c r="B3" s="141">
        <v>54</v>
      </c>
      <c r="C3" s="142"/>
      <c r="E3" s="29" t="s">
        <v>72</v>
      </c>
      <c r="F3" s="26" t="s">
        <v>27</v>
      </c>
      <c r="G3" s="14">
        <v>11</v>
      </c>
      <c r="H3" s="92">
        <f>IF(B$19=0,0,G3/B$19)</f>
        <v>0.7857142857142857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142.85714285714286</v>
      </c>
      <c r="P3" s="81">
        <v>7</v>
      </c>
      <c r="Q3" s="68">
        <v>1000</v>
      </c>
    </row>
    <row r="4" spans="1:17" x14ac:dyDescent="0.45">
      <c r="A4" s="21" t="s">
        <v>6</v>
      </c>
      <c r="B4" s="143">
        <v>-26.899999999999988</v>
      </c>
      <c r="C4" s="144"/>
      <c r="E4" s="29" t="s">
        <v>64</v>
      </c>
      <c r="F4" s="26" t="s">
        <v>20</v>
      </c>
      <c r="G4" s="14">
        <v>9</v>
      </c>
      <c r="H4" s="92">
        <f>IF(B$19=0,0,G4/B$19)</f>
        <v>0.6428571428571429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-3385.7142857142858</v>
      </c>
      <c r="P4" s="81">
        <v>7</v>
      </c>
      <c r="Q4" s="68">
        <v>-23700</v>
      </c>
    </row>
    <row r="5" spans="1:17" x14ac:dyDescent="0.45">
      <c r="A5" s="21" t="s">
        <v>7</v>
      </c>
      <c r="B5" s="131">
        <f>IF(B$2=0,0,B$4/B$2)</f>
        <v>-3.8428571428571412</v>
      </c>
      <c r="C5" s="132"/>
      <c r="E5" s="29" t="s">
        <v>160</v>
      </c>
      <c r="F5" s="26" t="s">
        <v>161</v>
      </c>
      <c r="G5" s="14">
        <v>9</v>
      </c>
      <c r="H5" s="92">
        <f>IF(B$19=0,0,G5/B$19)</f>
        <v>0.6428571428571429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2485.7142857142858</v>
      </c>
      <c r="P5" s="81">
        <v>7</v>
      </c>
      <c r="Q5" s="68">
        <v>17400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4</v>
      </c>
      <c r="H6" s="92">
        <f>IF(B$19=0,0,G6/B$19)</f>
        <v>0.2857142857142857</v>
      </c>
      <c r="I6" s="60">
        <v>6</v>
      </c>
      <c r="K6" s="7">
        <v>4</v>
      </c>
      <c r="L6" s="65">
        <v>-83.899999999999991</v>
      </c>
      <c r="N6" s="78" t="s">
        <v>132</v>
      </c>
      <c r="O6" s="84">
        <f t="shared" si="0"/>
        <v>1000</v>
      </c>
      <c r="P6" s="81">
        <v>6</v>
      </c>
      <c r="Q6" s="68">
        <v>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0.2857142857142857</v>
      </c>
      <c r="E7" s="29" t="s">
        <v>89</v>
      </c>
      <c r="F7" s="26" t="s">
        <v>44</v>
      </c>
      <c r="G7" s="14">
        <v>3</v>
      </c>
      <c r="H7" s="92">
        <f>IF(B$19=0,0,G7/B$19)</f>
        <v>0.21428571428571427</v>
      </c>
      <c r="I7" s="60">
        <v>1</v>
      </c>
      <c r="K7" s="7">
        <v>5</v>
      </c>
      <c r="L7" s="65">
        <v>-57.899999999999991</v>
      </c>
      <c r="N7" s="79" t="s">
        <v>133</v>
      </c>
      <c r="O7" s="85">
        <f t="shared" si="0"/>
        <v>-5900</v>
      </c>
      <c r="P7" s="82">
        <v>5</v>
      </c>
      <c r="Q7" s="69">
        <v>-29500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65</v>
      </c>
      <c r="F8" s="26" t="s">
        <v>21</v>
      </c>
      <c r="G8" s="14">
        <v>2</v>
      </c>
      <c r="H8" s="92">
        <f>IF(B$19=0,0,G8/B$19)</f>
        <v>0.14285714285714285</v>
      </c>
      <c r="I8" s="60">
        <v>4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0.2857142857142857</v>
      </c>
      <c r="E9" s="29" t="s">
        <v>67</v>
      </c>
      <c r="F9" s="26" t="s">
        <v>23</v>
      </c>
      <c r="G9" s="14">
        <v>2</v>
      </c>
      <c r="H9" s="92">
        <f>IF(B$19=0,0,G9/B$19)</f>
        <v>0.14285714285714285</v>
      </c>
      <c r="I9" s="60">
        <v>9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0.14285714285714285</v>
      </c>
      <c r="I10" s="60">
        <v>4</v>
      </c>
      <c r="N10" s="77" t="s">
        <v>152</v>
      </c>
      <c r="O10" s="86">
        <f>IF(P10=0,0,Q10/P10)</f>
        <v>1.7250000000000005</v>
      </c>
      <c r="P10" s="80">
        <v>4</v>
      </c>
      <c r="Q10" s="71">
        <v>6.9000000000000021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-11.266666666666666</v>
      </c>
      <c r="P11" s="81">
        <v>3</v>
      </c>
      <c r="Q11" s="72">
        <v>-33.799999999999997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77</v>
      </c>
      <c r="F12" s="26" t="s">
        <v>32</v>
      </c>
      <c r="G12" s="14">
        <v>1</v>
      </c>
      <c r="H12" s="92">
        <f>IF(B$19=0,0,G12/B$19)</f>
        <v>7.1428571428571425E-2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-3.4222222222222221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7.1428571428571425E-2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5</v>
      </c>
      <c r="C16" s="8">
        <f>IF(B$3=0,0,B16/B$3)</f>
        <v>9.2592592592592587E-2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49.75</v>
      </c>
      <c r="P16" s="81">
        <v>2</v>
      </c>
      <c r="Q16" s="72">
        <v>99.5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3</v>
      </c>
      <c r="N17" s="78" t="s">
        <v>126</v>
      </c>
      <c r="O17" s="87">
        <f>IF(P17=0,0,Q17/P17)</f>
        <v>-15.100000000000001</v>
      </c>
      <c r="P17" s="81">
        <v>4</v>
      </c>
      <c r="Q17" s="72">
        <v>-60.400000000000006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0.6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-23.599999999999998</v>
      </c>
      <c r="P18" s="81">
        <v>3</v>
      </c>
      <c r="Q18" s="72">
        <v>-70.8</v>
      </c>
    </row>
    <row r="19" spans="1:17" x14ac:dyDescent="0.45">
      <c r="A19" s="20" t="s">
        <v>10</v>
      </c>
      <c r="B19" s="13">
        <f>B22+B21</f>
        <v>14</v>
      </c>
      <c r="C19" s="6">
        <f>IF(B$3=0,0,B19/B$3)</f>
        <v>0.25925925925925924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6</v>
      </c>
      <c r="N19" s="78" t="s">
        <v>164</v>
      </c>
      <c r="O19" s="87">
        <f>IF(P19=0,0,Q19/P19)</f>
        <v>-26.674999999999997</v>
      </c>
      <c r="P19" s="81">
        <v>4</v>
      </c>
      <c r="Q19" s="72">
        <v>-106.69999999999999</v>
      </c>
    </row>
    <row r="20" spans="1:17" x14ac:dyDescent="0.45">
      <c r="A20" s="21" t="s">
        <v>13</v>
      </c>
      <c r="B20" s="14">
        <v>14</v>
      </c>
      <c r="C20" s="8">
        <f>IF(B$3=0,0,B20/B$3)</f>
        <v>0.25925925925925924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9</v>
      </c>
      <c r="C21" s="8">
        <f>IF(B$19=0,0,B21/B$19)</f>
        <v>0.6428571428571429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0.35714285714285715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8</v>
      </c>
      <c r="C23" s="8">
        <f>IF(B$19=0,0,B23/B$19)</f>
        <v>0.5714285714285714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0.21428571428571427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0.21428571428571427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9985.7142857142862</v>
      </c>
      <c r="C26" s="10">
        <v>139800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166</v>
      </c>
      <c r="B27" s="99">
        <f>IF($B$19-B$18=0,0,C27/($B$19-B$18))</f>
        <v>9281.818181818182</v>
      </c>
      <c r="C27" s="100">
        <v>102100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-6628.5714285714284</v>
      </c>
      <c r="C29" s="100">
        <v>-92800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66700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1.8518518518518517E-2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0.21428571428571427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0.14285714285714285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0.21428571428571427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0.35714285714285715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7.1428571428571425E-2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25</v>
      </c>
      <c r="C2" s="140"/>
      <c r="E2" s="28" t="s">
        <v>66</v>
      </c>
      <c r="F2" s="25" t="s">
        <v>22</v>
      </c>
      <c r="G2" s="13">
        <v>55</v>
      </c>
      <c r="H2" s="91">
        <f>IF(B$19=0,0,G2/B$19)</f>
        <v>0.77464788732394363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668</v>
      </c>
      <c r="P2" s="80">
        <v>25</v>
      </c>
      <c r="Q2" s="67">
        <v>16700</v>
      </c>
    </row>
    <row r="3" spans="1:17" x14ac:dyDescent="0.45">
      <c r="A3" s="21" t="s">
        <v>8</v>
      </c>
      <c r="B3" s="141">
        <v>186</v>
      </c>
      <c r="C3" s="142"/>
      <c r="E3" s="29" t="s">
        <v>72</v>
      </c>
      <c r="F3" s="26" t="s">
        <v>27</v>
      </c>
      <c r="G3" s="14">
        <v>37</v>
      </c>
      <c r="H3" s="92">
        <f>IF(B$19=0,0,G3/B$19)</f>
        <v>0.52112676056338025</v>
      </c>
      <c r="I3" s="60">
        <v>6</v>
      </c>
      <c r="K3" s="7">
        <v>1</v>
      </c>
      <c r="L3" s="65">
        <v>39.200000000000003</v>
      </c>
      <c r="N3" s="78" t="s">
        <v>129</v>
      </c>
      <c r="O3" s="84">
        <f t="shared" si="0"/>
        <v>5856</v>
      </c>
      <c r="P3" s="81">
        <v>25</v>
      </c>
      <c r="Q3" s="68">
        <v>146400</v>
      </c>
    </row>
    <row r="4" spans="1:17" x14ac:dyDescent="0.45">
      <c r="A4" s="21" t="s">
        <v>6</v>
      </c>
      <c r="B4" s="143">
        <v>465.6</v>
      </c>
      <c r="C4" s="144"/>
      <c r="E4" s="29" t="s">
        <v>64</v>
      </c>
      <c r="F4" s="26" t="s">
        <v>20</v>
      </c>
      <c r="G4" s="14">
        <v>25</v>
      </c>
      <c r="H4" s="92">
        <f>IF(B$19=0,0,G4/B$19)</f>
        <v>0.352112676056338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5579.166666666667</v>
      </c>
      <c r="P4" s="81">
        <v>24</v>
      </c>
      <c r="Q4" s="68">
        <v>133900</v>
      </c>
    </row>
    <row r="5" spans="1:17" x14ac:dyDescent="0.45">
      <c r="A5" s="21" t="s">
        <v>7</v>
      </c>
      <c r="B5" s="131">
        <f>IF(B$2=0,0,B$4/B$2)</f>
        <v>18.624000000000002</v>
      </c>
      <c r="C5" s="132"/>
      <c r="E5" s="29" t="s">
        <v>160</v>
      </c>
      <c r="F5" s="26" t="s">
        <v>161</v>
      </c>
      <c r="G5" s="14">
        <v>25</v>
      </c>
      <c r="H5" s="92">
        <f>IF(B$19=0,0,G5/B$19)</f>
        <v>0.352112676056338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5415</v>
      </c>
      <c r="P5" s="81">
        <v>20</v>
      </c>
      <c r="Q5" s="68">
        <v>108300</v>
      </c>
    </row>
    <row r="6" spans="1:17" x14ac:dyDescent="0.45">
      <c r="A6" s="21" t="s">
        <v>1</v>
      </c>
      <c r="B6" s="145">
        <f>IF(B$2=0,0,(B$7*1+B$8*2+B$9*3)/B$2)</f>
        <v>1.68</v>
      </c>
      <c r="C6" s="146"/>
      <c r="E6" s="29" t="s">
        <v>68</v>
      </c>
      <c r="F6" s="26" t="s">
        <v>12</v>
      </c>
      <c r="G6" s="14">
        <v>22</v>
      </c>
      <c r="H6" s="92">
        <f>IF(B$19=0,0,G6/B$19)</f>
        <v>0.30985915492957744</v>
      </c>
      <c r="I6" s="60">
        <v>4</v>
      </c>
      <c r="K6" s="7">
        <v>4</v>
      </c>
      <c r="L6" s="65">
        <v>101.5</v>
      </c>
      <c r="N6" s="78" t="s">
        <v>132</v>
      </c>
      <c r="O6" s="84">
        <f t="shared" si="0"/>
        <v>-2258.8235294117649</v>
      </c>
      <c r="P6" s="81">
        <v>17</v>
      </c>
      <c r="Q6" s="68">
        <v>-38400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0.48</v>
      </c>
      <c r="E7" s="29" t="s">
        <v>67</v>
      </c>
      <c r="F7" s="26" t="s">
        <v>23</v>
      </c>
      <c r="G7" s="14">
        <v>14</v>
      </c>
      <c r="H7" s="92">
        <f>IF(B$19=0,0,G7/B$19)</f>
        <v>0.19718309859154928</v>
      </c>
      <c r="I7" s="60">
        <v>6</v>
      </c>
      <c r="K7" s="7">
        <v>5</v>
      </c>
      <c r="L7" s="65">
        <v>143.1</v>
      </c>
      <c r="N7" s="79" t="s">
        <v>133</v>
      </c>
      <c r="O7" s="85">
        <f t="shared" si="0"/>
        <v>-2818.181818181818</v>
      </c>
      <c r="P7" s="82">
        <v>11</v>
      </c>
      <c r="Q7" s="69">
        <v>-31000</v>
      </c>
    </row>
    <row r="8" spans="1:17" x14ac:dyDescent="0.45">
      <c r="A8" s="21" t="s">
        <v>3</v>
      </c>
      <c r="B8" s="14">
        <v>9</v>
      </c>
      <c r="C8" s="8">
        <f t="shared" si="1"/>
        <v>0.36</v>
      </c>
      <c r="E8" s="29" t="s">
        <v>89</v>
      </c>
      <c r="F8" s="26" t="s">
        <v>44</v>
      </c>
      <c r="G8" s="14">
        <v>12</v>
      </c>
      <c r="H8" s="92">
        <f>IF(B$19=0,0,G8/B$19)</f>
        <v>0.16901408450704225</v>
      </c>
      <c r="I8" s="60">
        <v>4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0.16</v>
      </c>
      <c r="E9" s="29" t="s">
        <v>69</v>
      </c>
      <c r="F9" s="26" t="s">
        <v>24</v>
      </c>
      <c r="G9" s="14">
        <v>11</v>
      </c>
      <c r="H9" s="92">
        <f>IF(B$19=0,0,G9/B$19)</f>
        <v>0.15492957746478872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49.358333333333327</v>
      </c>
      <c r="C10" s="114">
        <v>592.29999999999995</v>
      </c>
      <c r="E10" s="29" t="s">
        <v>86</v>
      </c>
      <c r="F10" s="26" t="s">
        <v>41</v>
      </c>
      <c r="G10" s="14">
        <v>8</v>
      </c>
      <c r="H10" s="92">
        <f>IF(B$19=0,0,G10/B$19)</f>
        <v>0.11267605633802817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4.5</v>
      </c>
      <c r="P10" s="80">
        <v>7</v>
      </c>
      <c r="Q10" s="71">
        <v>31.5</v>
      </c>
    </row>
    <row r="11" spans="1:17" x14ac:dyDescent="0.45">
      <c r="A11" s="22" t="s">
        <v>186</v>
      </c>
      <c r="B11" s="113">
        <f>IF(B8=0,0,C11/B8)</f>
        <v>2.2888888888888892</v>
      </c>
      <c r="C11" s="114">
        <v>20.6</v>
      </c>
      <c r="E11" s="29" t="s">
        <v>71</v>
      </c>
      <c r="F11" s="26" t="s">
        <v>26</v>
      </c>
      <c r="G11" s="14">
        <v>6</v>
      </c>
      <c r="H11" s="92">
        <f>IF(B$19=0,0,G11/B$19)</f>
        <v>8.4507042253521125E-2</v>
      </c>
      <c r="I11" s="60">
        <v>4</v>
      </c>
      <c r="K11" s="7">
        <v>9</v>
      </c>
      <c r="L11" s="65">
        <v>151.29999999999998</v>
      </c>
      <c r="N11" s="78" t="s">
        <v>153</v>
      </c>
      <c r="O11" s="87">
        <f>IF(P11=0,0,Q11/P11)</f>
        <v>22.357142857142858</v>
      </c>
      <c r="P11" s="81">
        <v>7</v>
      </c>
      <c r="Q11" s="72">
        <v>156.5</v>
      </c>
    </row>
    <row r="12" spans="1:17" x14ac:dyDescent="0.45">
      <c r="A12" s="22" t="s">
        <v>187</v>
      </c>
      <c r="B12" s="113">
        <f>IF(B9=0,0,C12/B9)</f>
        <v>-36.825000000000003</v>
      </c>
      <c r="C12" s="114">
        <v>-147.30000000000001</v>
      </c>
      <c r="E12" s="29" t="s">
        <v>83</v>
      </c>
      <c r="F12" s="26" t="s">
        <v>38</v>
      </c>
      <c r="G12" s="14">
        <v>6</v>
      </c>
      <c r="H12" s="92">
        <f>IF(B$19=0,0,G12/B$19)</f>
        <v>8.4507042253521125E-2</v>
      </c>
      <c r="I12" s="60">
        <v>2</v>
      </c>
      <c r="K12" s="7">
        <v>10</v>
      </c>
      <c r="L12" s="65">
        <v>229</v>
      </c>
      <c r="N12" s="79" t="s">
        <v>154</v>
      </c>
      <c r="O12" s="88">
        <f>IF(P12=0,0,Q12/P12)</f>
        <v>25.236363636363638</v>
      </c>
      <c r="P12" s="82">
        <v>11</v>
      </c>
      <c r="Q12" s="73">
        <v>277.60000000000002</v>
      </c>
    </row>
    <row r="13" spans="1:17" x14ac:dyDescent="0.45">
      <c r="A13" s="22" t="s">
        <v>188</v>
      </c>
      <c r="B13" s="131">
        <f>AVERAGE(B10:B12)</f>
        <v>4.9407407407407389</v>
      </c>
      <c r="C13" s="132"/>
      <c r="E13" s="29" t="s">
        <v>65</v>
      </c>
      <c r="F13" s="26" t="s">
        <v>21</v>
      </c>
      <c r="G13" s="14">
        <v>5</v>
      </c>
      <c r="H13" s="92">
        <f>IF(B$19=0,0,G13/B$19)</f>
        <v>7.0422535211267609E-2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3</v>
      </c>
      <c r="H14" s="92">
        <f>IF(B$19=0,0,G14/B$19)</f>
        <v>4.2253521126760563E-2</v>
      </c>
      <c r="I14" s="60">
        <v>4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46</v>
      </c>
      <c r="C15" s="12">
        <f>IF(B$3=0,0,B15/B$3)</f>
        <v>0.24731182795698925</v>
      </c>
      <c r="E15" s="29" t="s">
        <v>156</v>
      </c>
      <c r="F15" s="26" t="s">
        <v>157</v>
      </c>
      <c r="G15" s="14">
        <v>3</v>
      </c>
      <c r="H15" s="92">
        <f>IF(B$19=0,0,G15/B$19)</f>
        <v>4.2253521126760563E-2</v>
      </c>
      <c r="I15" s="60">
        <v>1</v>
      </c>
      <c r="K15" s="7">
        <v>13</v>
      </c>
      <c r="L15" s="65">
        <v>197</v>
      </c>
      <c r="N15" s="77" t="s">
        <v>194</v>
      </c>
      <c r="O15" s="86">
        <f>IF(P15=0,0,Q15/P15)</f>
        <v>51.2</v>
      </c>
      <c r="P15" s="80">
        <v>8</v>
      </c>
      <c r="Q15" s="71">
        <v>409.6</v>
      </c>
    </row>
    <row r="16" spans="1:17" x14ac:dyDescent="0.45">
      <c r="A16" s="21" t="s">
        <v>118</v>
      </c>
      <c r="B16" s="14">
        <v>40</v>
      </c>
      <c r="C16" s="8">
        <f>IF(B$3=0,0,B16/B$3)</f>
        <v>0.21505376344086022</v>
      </c>
      <c r="E16" s="29" t="s">
        <v>79</v>
      </c>
      <c r="F16" s="26" t="s">
        <v>34</v>
      </c>
      <c r="G16" s="14">
        <v>2</v>
      </c>
      <c r="H16" s="92">
        <f>IF(B$19=0,0,G16/B$19)</f>
        <v>2.8169014084507043E-2</v>
      </c>
      <c r="I16" s="60">
        <v>4</v>
      </c>
      <c r="K16" s="7">
        <v>14</v>
      </c>
      <c r="L16" s="65">
        <v>249.2</v>
      </c>
      <c r="N16" s="78" t="s">
        <v>193</v>
      </c>
      <c r="O16" s="87">
        <f>IF(P16=0,0,Q16/P16)</f>
        <v>40.874999999999993</v>
      </c>
      <c r="P16" s="81">
        <v>4</v>
      </c>
      <c r="Q16" s="72">
        <v>163.49999999999997</v>
      </c>
    </row>
    <row r="17" spans="1:17" x14ac:dyDescent="0.45">
      <c r="A17" s="20" t="s">
        <v>123</v>
      </c>
      <c r="B17" s="13">
        <f>B23</f>
        <v>30</v>
      </c>
      <c r="C17" s="6">
        <f>IF(B$15=0,0,B17/B$15)</f>
        <v>0.65217391304347827</v>
      </c>
      <c r="E17" s="29" t="s">
        <v>92</v>
      </c>
      <c r="F17" s="26" t="s">
        <v>47</v>
      </c>
      <c r="G17" s="14">
        <v>2</v>
      </c>
      <c r="H17" s="92">
        <f>IF(B$19=0,0,G17/B$19)</f>
        <v>2.8169014084507043E-2</v>
      </c>
      <c r="I17" s="60">
        <v>2</v>
      </c>
      <c r="K17" s="7">
        <v>15</v>
      </c>
      <c r="L17" s="65">
        <v>213.5</v>
      </c>
      <c r="N17" s="78" t="s">
        <v>196</v>
      </c>
      <c r="O17" s="87">
        <f>IF(P17=0,0,Q17/P17)</f>
        <v>34.9</v>
      </c>
      <c r="P17" s="81">
        <v>2</v>
      </c>
      <c r="Q17" s="72">
        <v>69.8</v>
      </c>
    </row>
    <row r="18" spans="1:17" x14ac:dyDescent="0.45">
      <c r="A18" s="20" t="s">
        <v>124</v>
      </c>
      <c r="B18" s="13">
        <f>B24</f>
        <v>22</v>
      </c>
      <c r="C18" s="6">
        <f>IF(B$16=0,0,B18/B$16)</f>
        <v>0.55000000000000004</v>
      </c>
      <c r="E18" s="29" t="s">
        <v>93</v>
      </c>
      <c r="F18" s="26" t="s">
        <v>48</v>
      </c>
      <c r="G18" s="14">
        <v>2</v>
      </c>
      <c r="H18" s="92">
        <f>IF(B$19=0,0,G18/B$19)</f>
        <v>2.8169014084507043E-2</v>
      </c>
      <c r="I18" s="60">
        <v>1</v>
      </c>
      <c r="K18" s="7">
        <v>16</v>
      </c>
      <c r="L18" s="65">
        <v>273.8</v>
      </c>
      <c r="N18" s="78" t="s">
        <v>205</v>
      </c>
      <c r="O18" s="87">
        <f>IF(P18=0,0,Q18/P18)</f>
        <v>32.975000000000001</v>
      </c>
      <c r="P18" s="81">
        <v>8</v>
      </c>
      <c r="Q18" s="72">
        <v>263.8</v>
      </c>
    </row>
    <row r="19" spans="1:17" x14ac:dyDescent="0.45">
      <c r="A19" s="20" t="s">
        <v>10</v>
      </c>
      <c r="B19" s="13">
        <f>B22+B21</f>
        <v>71</v>
      </c>
      <c r="C19" s="6">
        <f>IF(B$3=0,0,B19/B$3)</f>
        <v>0.38172043010752688</v>
      </c>
      <c r="E19" s="29" t="s">
        <v>73</v>
      </c>
      <c r="F19" s="26" t="s">
        <v>28</v>
      </c>
      <c r="G19" s="14">
        <v>1</v>
      </c>
      <c r="H19" s="92">
        <f>IF(B$19=0,0,G19/B$19)</f>
        <v>1.4084507042253521E-2</v>
      </c>
      <c r="I19" s="60">
        <v>1</v>
      </c>
      <c r="K19" s="7">
        <v>17</v>
      </c>
      <c r="L19" s="65">
        <v>242.8</v>
      </c>
      <c r="N19" s="78" t="s">
        <v>192</v>
      </c>
      <c r="O19" s="87">
        <f>IF(P19=0,0,Q19/P19)</f>
        <v>27.707142857142856</v>
      </c>
      <c r="P19" s="81">
        <v>14</v>
      </c>
      <c r="Q19" s="72">
        <v>387.9</v>
      </c>
    </row>
    <row r="20" spans="1:17" x14ac:dyDescent="0.45">
      <c r="A20" s="21" t="s">
        <v>13</v>
      </c>
      <c r="B20" s="14">
        <v>23</v>
      </c>
      <c r="C20" s="8">
        <f>IF(B$3=0,0,B20/B$3)</f>
        <v>0.12365591397849462</v>
      </c>
      <c r="E20" s="29" t="s">
        <v>81</v>
      </c>
      <c r="F20" s="26" t="s">
        <v>36</v>
      </c>
      <c r="G20" s="14">
        <v>1</v>
      </c>
      <c r="H20" s="92">
        <f>IF(B$19=0,0,G20/B$19)</f>
        <v>1.4084507042253521E-2</v>
      </c>
      <c r="I20" s="60">
        <v>6</v>
      </c>
      <c r="K20" s="7">
        <v>18</v>
      </c>
      <c r="L20" s="65">
        <v>280</v>
      </c>
      <c r="N20" s="78" t="s">
        <v>189</v>
      </c>
      <c r="O20" s="87">
        <f>IF(P20=0,0,Q20/P20)</f>
        <v>15.100000000000001</v>
      </c>
      <c r="P20" s="81">
        <v>4</v>
      </c>
      <c r="Q20" s="72">
        <v>60.400000000000006</v>
      </c>
    </row>
    <row r="21" spans="1:17" x14ac:dyDescent="0.45">
      <c r="A21" s="21" t="s">
        <v>12</v>
      </c>
      <c r="B21" s="14">
        <v>34</v>
      </c>
      <c r="C21" s="8">
        <f>IF(B$19=0,0,B21/B$19)</f>
        <v>0.47887323943661969</v>
      </c>
      <c r="E21" s="29" t="s">
        <v>87</v>
      </c>
      <c r="F21" s="26" t="s">
        <v>42</v>
      </c>
      <c r="G21" s="14">
        <v>1</v>
      </c>
      <c r="H21" s="92">
        <f>IF(B$19=0,0,G21/B$19)</f>
        <v>1.4084507042253521E-2</v>
      </c>
      <c r="I21" s="60">
        <v>2</v>
      </c>
      <c r="K21" s="7">
        <v>19</v>
      </c>
      <c r="L21" s="65">
        <v>281.5</v>
      </c>
      <c r="N21" s="78" t="s">
        <v>164</v>
      </c>
      <c r="O21" s="87">
        <f>IF(P21=0,0,Q21/P21)</f>
        <v>4.1800000000000006</v>
      </c>
      <c r="P21" s="81">
        <v>10</v>
      </c>
      <c r="Q21" s="72">
        <v>41.800000000000004</v>
      </c>
    </row>
    <row r="22" spans="1:17" x14ac:dyDescent="0.45">
      <c r="A22" s="21" t="s">
        <v>11</v>
      </c>
      <c r="B22" s="14">
        <v>37</v>
      </c>
      <c r="C22" s="8">
        <f>IF(B$19=0,0,B22/B$19)</f>
        <v>0.52112676056338025</v>
      </c>
      <c r="E22" s="29" t="s">
        <v>91</v>
      </c>
      <c r="F22" s="26" t="s">
        <v>46</v>
      </c>
      <c r="G22" s="14">
        <v>1</v>
      </c>
      <c r="H22" s="92">
        <f>IF(B$19=0,0,G22/B$19)</f>
        <v>1.4084507042253521E-2</v>
      </c>
      <c r="I22" s="60">
        <v>5</v>
      </c>
      <c r="K22" s="7">
        <v>20</v>
      </c>
      <c r="L22" s="65">
        <v>287.2</v>
      </c>
    </row>
    <row r="23" spans="1:17" x14ac:dyDescent="0.45">
      <c r="A23" s="21" t="s">
        <v>184</v>
      </c>
      <c r="B23" s="14">
        <v>30</v>
      </c>
      <c r="C23" s="8">
        <f>IF(B$19=0,0,B23/B$19)</f>
        <v>0.42253521126760563</v>
      </c>
      <c r="E23" s="29" t="s">
        <v>95</v>
      </c>
      <c r="F23" s="26" t="s">
        <v>50</v>
      </c>
      <c r="G23" s="14">
        <v>1</v>
      </c>
      <c r="H23" s="92">
        <f>IF(B$19=0,0,G23/B$19)</f>
        <v>1.4084507042253521E-2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22</v>
      </c>
      <c r="C24" s="8">
        <f>IF(B$19=0,0,B24/B$19)</f>
        <v>0.30985915492957744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19</v>
      </c>
      <c r="C25" s="8">
        <f>IF(B$19=0,0,B25/B$19)</f>
        <v>0.26760563380281688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10487.323943661971</v>
      </c>
      <c r="C26" s="10">
        <v>744600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10630.612244897959</v>
      </c>
      <c r="C27" s="100">
        <v>520900</v>
      </c>
      <c r="E27" s="29" t="s">
        <v>77</v>
      </c>
      <c r="F27" s="26" t="s">
        <v>32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10168.181818181818</v>
      </c>
      <c r="C28" s="100">
        <v>223700</v>
      </c>
      <c r="E28" s="29" t="s">
        <v>78</v>
      </c>
      <c r="F28" s="26" t="s">
        <v>33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165</v>
      </c>
      <c r="B29" s="99">
        <f>IF(B$20=0,0,C29/B$20)</f>
        <v>-8921.7391304347821</v>
      </c>
      <c r="C29" s="100">
        <v>-205200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6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6</v>
      </c>
      <c r="C32" s="134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102700</v>
      </c>
      <c r="C33" s="13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2">IF(B$19=0,0,B36/B$19)</f>
        <v>5.6338028169014086E-2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9</v>
      </c>
      <c r="C37" s="8">
        <f t="shared" si="2"/>
        <v>0.12676056338028169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10</v>
      </c>
      <c r="C38" s="8">
        <f t="shared" si="2"/>
        <v>0.14084507042253522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15</v>
      </c>
      <c r="C39" s="8">
        <f t="shared" si="2"/>
        <v>0.21126760563380281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14</v>
      </c>
      <c r="C40" s="8">
        <f t="shared" si="2"/>
        <v>0.19718309859154928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2"/>
        <v>8.4507042253521125E-2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5</v>
      </c>
      <c r="C42" s="8">
        <f t="shared" si="2"/>
        <v>7.0422535211267609E-2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1</v>
      </c>
      <c r="C43" s="8">
        <f t="shared" si="2"/>
        <v>1.4084507042253521E-2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1.4084507042253521E-2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1.4084507042253521E-2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5</v>
      </c>
      <c r="C48" s="11">
        <f t="shared" si="2"/>
        <v>7.0422535211267609E-2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14</v>
      </c>
      <c r="C2" s="140"/>
      <c r="E2" s="28" t="s">
        <v>64</v>
      </c>
      <c r="F2" s="25" t="s">
        <v>20</v>
      </c>
      <c r="G2" s="13">
        <v>9</v>
      </c>
      <c r="H2" s="91">
        <f>IF(B$19=0,0,G2/B$19)</f>
        <v>0.6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-6392.8571428571431</v>
      </c>
      <c r="P2" s="80">
        <v>14</v>
      </c>
      <c r="Q2" s="67">
        <v>-89500</v>
      </c>
    </row>
    <row r="3" spans="1:17" x14ac:dyDescent="0.45">
      <c r="A3" s="21" t="s">
        <v>8</v>
      </c>
      <c r="B3" s="141">
        <v>87</v>
      </c>
      <c r="C3" s="142"/>
      <c r="E3" s="29" t="s">
        <v>72</v>
      </c>
      <c r="F3" s="26" t="s">
        <v>27</v>
      </c>
      <c r="G3" s="14">
        <v>7</v>
      </c>
      <c r="H3" s="92">
        <f>IF(B$19=0,0,G3/B$19)</f>
        <v>0.46666666666666667</v>
      </c>
      <c r="I3" s="60">
        <v>8</v>
      </c>
      <c r="K3" s="7">
        <v>1</v>
      </c>
      <c r="L3" s="65">
        <v>-55.5</v>
      </c>
      <c r="N3" s="78" t="s">
        <v>129</v>
      </c>
      <c r="O3" s="84">
        <f t="shared" si="0"/>
        <v>-2300</v>
      </c>
      <c r="P3" s="81">
        <v>13</v>
      </c>
      <c r="Q3" s="68">
        <v>-29900</v>
      </c>
    </row>
    <row r="4" spans="1:17" x14ac:dyDescent="0.45">
      <c r="A4" s="21" t="s">
        <v>6</v>
      </c>
      <c r="B4" s="143">
        <v>-330.7</v>
      </c>
      <c r="C4" s="144"/>
      <c r="E4" s="29" t="s">
        <v>160</v>
      </c>
      <c r="F4" s="26" t="s">
        <v>161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-8558.3333333333339</v>
      </c>
      <c r="P4" s="81">
        <v>12</v>
      </c>
      <c r="Q4" s="68">
        <v>-102700</v>
      </c>
    </row>
    <row r="5" spans="1:17" x14ac:dyDescent="0.45">
      <c r="A5" s="21" t="s">
        <v>7</v>
      </c>
      <c r="B5" s="131">
        <f>IF(B$2=0,0,B$4/B$2)</f>
        <v>-23.62142857142857</v>
      </c>
      <c r="C5" s="132"/>
      <c r="E5" s="29" t="s">
        <v>66</v>
      </c>
      <c r="F5" s="26" t="s">
        <v>22</v>
      </c>
      <c r="G5" s="14">
        <v>6</v>
      </c>
      <c r="H5" s="92">
        <f>IF(B$19=0,0,G5/B$19)</f>
        <v>0.4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2325</v>
      </c>
      <c r="P5" s="81">
        <v>8</v>
      </c>
      <c r="Q5" s="68">
        <v>18600</v>
      </c>
    </row>
    <row r="6" spans="1:17" x14ac:dyDescent="0.45">
      <c r="A6" s="21" t="s">
        <v>1</v>
      </c>
      <c r="B6" s="145">
        <f>IF(B$2=0,0,(B$7*1+B$8*2+B$9*3)/B$2)</f>
        <v>2.5714285714285716</v>
      </c>
      <c r="C6" s="146"/>
      <c r="E6" s="29" t="s">
        <v>68</v>
      </c>
      <c r="F6" s="26" t="s">
        <v>12</v>
      </c>
      <c r="G6" s="14">
        <v>5</v>
      </c>
      <c r="H6" s="92">
        <f>IF(B$19=0,0,G6/B$19)</f>
        <v>0.33333333333333331</v>
      </c>
      <c r="I6" s="60">
        <v>1</v>
      </c>
      <c r="K6" s="7">
        <v>4</v>
      </c>
      <c r="L6" s="65">
        <v>-115.5</v>
      </c>
      <c r="N6" s="78" t="s">
        <v>132</v>
      </c>
      <c r="O6" s="84">
        <f t="shared" si="0"/>
        <v>400</v>
      </c>
      <c r="P6" s="81">
        <v>7</v>
      </c>
      <c r="Q6" s="68">
        <v>2800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4</v>
      </c>
      <c r="H7" s="92">
        <f>IF(B$19=0,0,G7/B$19)</f>
        <v>0.26666666666666666</v>
      </c>
      <c r="I7" s="60">
        <v>2</v>
      </c>
      <c r="K7" s="7">
        <v>5</v>
      </c>
      <c r="L7" s="65">
        <v>-116</v>
      </c>
      <c r="N7" s="79" t="s">
        <v>133</v>
      </c>
      <c r="O7" s="85">
        <f t="shared" si="0"/>
        <v>-2160</v>
      </c>
      <c r="P7" s="82">
        <v>5</v>
      </c>
      <c r="Q7" s="69">
        <v>-10800</v>
      </c>
    </row>
    <row r="8" spans="1:17" x14ac:dyDescent="0.45">
      <c r="A8" s="21" t="s">
        <v>3</v>
      </c>
      <c r="B8" s="14">
        <v>6</v>
      </c>
      <c r="C8" s="8">
        <f t="shared" si="1"/>
        <v>0.42857142857142855</v>
      </c>
      <c r="E8" s="29" t="s">
        <v>69</v>
      </c>
      <c r="F8" s="26" t="s">
        <v>24</v>
      </c>
      <c r="G8" s="14">
        <v>3</v>
      </c>
      <c r="H8" s="92">
        <f>IF(B$19=0,0,G8/B$19)</f>
        <v>0.2</v>
      </c>
      <c r="I8" s="60">
        <v>1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0.5714285714285714</v>
      </c>
      <c r="E9" s="29" t="s">
        <v>65</v>
      </c>
      <c r="F9" s="26" t="s">
        <v>21</v>
      </c>
      <c r="G9" s="14">
        <v>1</v>
      </c>
      <c r="H9" s="92">
        <f>IF(B$19=0,0,G9/B$19)</f>
        <v>6.6666666666666666E-2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1</v>
      </c>
      <c r="H10" s="92">
        <f>IF(B$19=0,0,G10/B$19)</f>
        <v>6.6666666666666666E-2</v>
      </c>
      <c r="I10" s="60">
        <v>6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-2.3166666666666664</v>
      </c>
      <c r="C11" s="114">
        <v>-13.899999999999999</v>
      </c>
      <c r="E11" s="29" t="s">
        <v>81</v>
      </c>
      <c r="F11" s="26" t="s">
        <v>36</v>
      </c>
      <c r="G11" s="14">
        <v>1</v>
      </c>
      <c r="H11" s="92">
        <f>IF(B$19=0,0,G11/B$19)</f>
        <v>6.6666666666666666E-2</v>
      </c>
      <c r="I11" s="60">
        <v>2</v>
      </c>
      <c r="K11" s="7">
        <v>9</v>
      </c>
      <c r="L11" s="65">
        <v>-172.39999999999998</v>
      </c>
      <c r="N11" s="78" t="s">
        <v>153</v>
      </c>
      <c r="O11" s="87">
        <f>IF(P11=0,0,Q11/P11)</f>
        <v>-13.616666666666667</v>
      </c>
      <c r="P11" s="81">
        <v>6</v>
      </c>
      <c r="Q11" s="72">
        <v>-81.7</v>
      </c>
    </row>
    <row r="12" spans="1:17" x14ac:dyDescent="0.45">
      <c r="A12" s="22" t="s">
        <v>187</v>
      </c>
      <c r="B12" s="113">
        <f>IF(B9=0,0,C12/B9)</f>
        <v>-39.6</v>
      </c>
      <c r="C12" s="114">
        <v>-316.8</v>
      </c>
      <c r="E12" s="29" t="s">
        <v>87</v>
      </c>
      <c r="F12" s="26" t="s">
        <v>42</v>
      </c>
      <c r="G12" s="14">
        <v>1</v>
      </c>
      <c r="H12" s="92">
        <f>IF(B$19=0,0,G12/B$19)</f>
        <v>6.6666666666666666E-2</v>
      </c>
      <c r="I12" s="60">
        <v>1</v>
      </c>
      <c r="K12" s="7">
        <v>10</v>
      </c>
      <c r="L12" s="65">
        <v>-217.59999999999997</v>
      </c>
      <c r="N12" s="79" t="s">
        <v>154</v>
      </c>
      <c r="O12" s="88">
        <f>IF(P12=0,0,Q12/P12)</f>
        <v>-30.833333333333332</v>
      </c>
      <c r="P12" s="82">
        <v>3</v>
      </c>
      <c r="Q12" s="73">
        <v>-92.5</v>
      </c>
    </row>
    <row r="13" spans="1:17" x14ac:dyDescent="0.45">
      <c r="A13" s="22" t="s">
        <v>188</v>
      </c>
      <c r="B13" s="131">
        <f>AVERAGE(B10:B12)</f>
        <v>-13.972222222222223</v>
      </c>
      <c r="C13" s="132"/>
      <c r="E13" s="29" t="s">
        <v>91</v>
      </c>
      <c r="F13" s="26" t="s">
        <v>46</v>
      </c>
      <c r="G13" s="14">
        <v>1</v>
      </c>
      <c r="H13" s="92">
        <f>IF(B$19=0,0,G13/B$19)</f>
        <v>6.6666666666666666E-2</v>
      </c>
      <c r="I13" s="60">
        <v>1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0.35714285714285715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26</v>
      </c>
      <c r="C15" s="12">
        <f>IF(B$3=0,0,B15/B$3)</f>
        <v>0.2988505747126437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K15" s="7">
        <v>13</v>
      </c>
      <c r="L15" s="65">
        <v>-280.59999999999997</v>
      </c>
      <c r="N15" s="77" t="s">
        <v>205</v>
      </c>
      <c r="O15" s="86">
        <f>IF(P15=0,0,Q15/P15)</f>
        <v>-3.3666666666666649</v>
      </c>
      <c r="P15" s="80">
        <v>3</v>
      </c>
      <c r="Q15" s="71">
        <v>-10.099999999999994</v>
      </c>
    </row>
    <row r="16" spans="1:17" x14ac:dyDescent="0.45">
      <c r="A16" s="21" t="s">
        <v>118</v>
      </c>
      <c r="B16" s="14">
        <v>10</v>
      </c>
      <c r="C16" s="8">
        <f>IF(B$3=0,0,B16/B$3)</f>
        <v>0.11494252873563218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K16" s="7">
        <v>14</v>
      </c>
      <c r="L16" s="65">
        <v>-330.7</v>
      </c>
      <c r="N16" s="78" t="s">
        <v>164</v>
      </c>
      <c r="O16" s="87">
        <f>IF(P16=0,0,Q16/P16)</f>
        <v>-5.5333333333333341</v>
      </c>
      <c r="P16" s="81">
        <v>3</v>
      </c>
      <c r="Q16" s="72">
        <v>-16.600000000000001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0.34615384615384615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3</v>
      </c>
      <c r="N17" s="78" t="s">
        <v>192</v>
      </c>
      <c r="O17" s="87">
        <f>IF(P17=0,0,Q17/P17)</f>
        <v>-16.157142857142858</v>
      </c>
      <c r="P17" s="81">
        <v>7</v>
      </c>
      <c r="Q17" s="72">
        <v>-113.10000000000001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0.2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0.17241379310344829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  <c r="N19" s="78" t="s">
        <v>126</v>
      </c>
      <c r="O19" s="87">
        <f>IF(P19=0,0,Q19/P19)</f>
        <v>-51.2</v>
      </c>
      <c r="P19" s="81">
        <v>8</v>
      </c>
      <c r="Q19" s="72">
        <v>-409.6</v>
      </c>
    </row>
    <row r="20" spans="1:17" x14ac:dyDescent="0.45">
      <c r="A20" s="21" t="s">
        <v>13</v>
      </c>
      <c r="B20" s="14">
        <v>13</v>
      </c>
      <c r="C20" s="8">
        <f>IF(B$3=0,0,B20/B$3)</f>
        <v>0.14942528735632185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6</v>
      </c>
      <c r="N20" s="78" t="s">
        <v>193</v>
      </c>
      <c r="O20" s="87">
        <f>IF(P20=0,0,Q20/P20)</f>
        <v>-70.36666666666666</v>
      </c>
      <c r="P20" s="81">
        <v>6</v>
      </c>
      <c r="Q20" s="72">
        <v>-422.2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9</v>
      </c>
      <c r="C23" s="8">
        <f>IF(B$19=0,0,B23/B$19)</f>
        <v>0.6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2</v>
      </c>
      <c r="C24" s="8">
        <f>IF(B$19=0,0,B24/B$19)</f>
        <v>0.13333333333333333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4</v>
      </c>
      <c r="C25" s="8">
        <f>IF(B$19=0,0,B25/B$19)</f>
        <v>0.26666666666666666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6253.333333333333</v>
      </c>
      <c r="C26" s="10">
        <v>93800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6907.6923076923076</v>
      </c>
      <c r="C27" s="100">
        <v>89800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6</v>
      </c>
    </row>
    <row r="28" spans="1:17" x14ac:dyDescent="0.45">
      <c r="A28" s="22" t="s">
        <v>167</v>
      </c>
      <c r="B28" s="99">
        <f>IF(B$18=0,0,C28/B$18)</f>
        <v>2000</v>
      </c>
      <c r="C28" s="100">
        <v>4000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-9046.1538461538457</v>
      </c>
      <c r="C29" s="100">
        <v>-117600</v>
      </c>
      <c r="E29" s="29" t="s">
        <v>89</v>
      </c>
      <c r="F29" s="26" t="s">
        <v>44</v>
      </c>
      <c r="G29" s="14">
        <v>0</v>
      </c>
      <c r="H29" s="92">
        <f>IF(B$19=0,0,G29/B$19)</f>
        <v>0</v>
      </c>
      <c r="I29" s="60">
        <v>8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46300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6.6666666666666666E-2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4</v>
      </c>
      <c r="C38" s="8">
        <f t="shared" si="2"/>
        <v>0.26666666666666666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6.6666666666666666E-2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6.6666666666666666E-2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0.13333333333333333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6.6666666666666666E-2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25</v>
      </c>
      <c r="C2" s="140"/>
      <c r="E2" s="28" t="s">
        <v>72</v>
      </c>
      <c r="F2" s="25" t="s">
        <v>27</v>
      </c>
      <c r="G2" s="13">
        <v>31</v>
      </c>
      <c r="H2" s="91">
        <f>IF(B$19=0,0,G2/B$19)</f>
        <v>0.62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1145.8333333333333</v>
      </c>
      <c r="P2" s="80">
        <v>24</v>
      </c>
      <c r="Q2" s="67">
        <v>27500</v>
      </c>
    </row>
    <row r="3" spans="1:17" x14ac:dyDescent="0.45">
      <c r="A3" s="21" t="s">
        <v>8</v>
      </c>
      <c r="B3" s="141">
        <v>181</v>
      </c>
      <c r="C3" s="142"/>
      <c r="E3" s="29" t="s">
        <v>64</v>
      </c>
      <c r="F3" s="26" t="s">
        <v>20</v>
      </c>
      <c r="G3" s="14">
        <v>25</v>
      </c>
      <c r="H3" s="92">
        <f>IF(B$19=0,0,G3/B$19)</f>
        <v>0.5</v>
      </c>
      <c r="I3" s="60">
        <v>5</v>
      </c>
      <c r="K3" s="7">
        <v>1</v>
      </c>
      <c r="L3" s="65">
        <v>-0.5</v>
      </c>
      <c r="N3" s="78" t="s">
        <v>129</v>
      </c>
      <c r="O3" s="84">
        <f t="shared" si="0"/>
        <v>-1433.3333333333333</v>
      </c>
      <c r="P3" s="81">
        <v>24</v>
      </c>
      <c r="Q3" s="68">
        <v>-34400</v>
      </c>
    </row>
    <row r="4" spans="1:17" x14ac:dyDescent="0.45">
      <c r="A4" s="21" t="s">
        <v>6</v>
      </c>
      <c r="B4" s="143">
        <v>-13.199999999999989</v>
      </c>
      <c r="C4" s="144"/>
      <c r="E4" s="29" t="s">
        <v>66</v>
      </c>
      <c r="F4" s="26" t="s">
        <v>22</v>
      </c>
      <c r="G4" s="14">
        <v>23</v>
      </c>
      <c r="H4" s="92">
        <f>IF(B$19=0,0,G4/B$19)</f>
        <v>0.46</v>
      </c>
      <c r="I4" s="60">
        <v>7</v>
      </c>
      <c r="K4" s="7">
        <v>2</v>
      </c>
      <c r="L4" s="65">
        <v>-62.8</v>
      </c>
      <c r="N4" s="78" t="s">
        <v>130</v>
      </c>
      <c r="O4" s="84">
        <f t="shared" si="0"/>
        <v>266.66666666666669</v>
      </c>
      <c r="P4" s="81">
        <v>24</v>
      </c>
      <c r="Q4" s="68">
        <v>6400</v>
      </c>
    </row>
    <row r="5" spans="1:17" x14ac:dyDescent="0.45">
      <c r="A5" s="21" t="s">
        <v>7</v>
      </c>
      <c r="B5" s="131">
        <f>IF(B$2=0,0,B$4/B$2)</f>
        <v>-0.52799999999999958</v>
      </c>
      <c r="C5" s="132"/>
      <c r="E5" s="29" t="s">
        <v>160</v>
      </c>
      <c r="F5" s="26" t="s">
        <v>161</v>
      </c>
      <c r="G5" s="14">
        <v>21</v>
      </c>
      <c r="H5" s="92">
        <f>IF(B$19=0,0,G5/B$19)</f>
        <v>0.42</v>
      </c>
      <c r="I5" s="60">
        <v>5</v>
      </c>
      <c r="K5" s="7">
        <v>3</v>
      </c>
      <c r="L5" s="65">
        <v>-48.5</v>
      </c>
      <c r="N5" s="78" t="s">
        <v>131</v>
      </c>
      <c r="O5" s="84">
        <f t="shared" si="0"/>
        <v>-395.45454545454544</v>
      </c>
      <c r="P5" s="81">
        <v>22</v>
      </c>
      <c r="Q5" s="68">
        <v>-8700</v>
      </c>
    </row>
    <row r="6" spans="1:17" x14ac:dyDescent="0.45">
      <c r="A6" s="21" t="s">
        <v>1</v>
      </c>
      <c r="B6" s="145">
        <f>IF(B$2=0,0,(B$7*1+B$8*2+B$9*3)/B$2)</f>
        <v>1.92</v>
      </c>
      <c r="C6" s="146"/>
      <c r="E6" s="29" t="s">
        <v>68</v>
      </c>
      <c r="F6" s="26" t="s">
        <v>12</v>
      </c>
      <c r="G6" s="14">
        <v>16</v>
      </c>
      <c r="H6" s="92">
        <f>IF(B$19=0,0,G6/B$19)</f>
        <v>0.32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-850</v>
      </c>
      <c r="P6" s="81">
        <v>18</v>
      </c>
      <c r="Q6" s="68">
        <v>-15300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0.32</v>
      </c>
      <c r="E7" s="29" t="s">
        <v>67</v>
      </c>
      <c r="F7" s="26" t="s">
        <v>23</v>
      </c>
      <c r="G7" s="14">
        <v>13</v>
      </c>
      <c r="H7" s="92">
        <f>IF(B$19=0,0,G7/B$19)</f>
        <v>0.26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175</v>
      </c>
      <c r="P7" s="82">
        <v>12</v>
      </c>
      <c r="Q7" s="69">
        <v>2100</v>
      </c>
    </row>
    <row r="8" spans="1:17" x14ac:dyDescent="0.45">
      <c r="A8" s="21" t="s">
        <v>3</v>
      </c>
      <c r="B8" s="14">
        <v>11</v>
      </c>
      <c r="C8" s="8">
        <f t="shared" si="1"/>
        <v>0.44</v>
      </c>
      <c r="E8" s="29" t="s">
        <v>89</v>
      </c>
      <c r="F8" s="26" t="s">
        <v>44</v>
      </c>
      <c r="G8" s="14">
        <v>8</v>
      </c>
      <c r="H8" s="92">
        <f>IF(B$19=0,0,G8/B$19)</f>
        <v>0.16</v>
      </c>
      <c r="I8" s="60">
        <v>5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0.24</v>
      </c>
      <c r="E9" s="29" t="s">
        <v>69</v>
      </c>
      <c r="F9" s="26" t="s">
        <v>24</v>
      </c>
      <c r="G9" s="14">
        <v>4</v>
      </c>
      <c r="H9" s="92">
        <f>IF(B$19=0,0,G9/B$19)</f>
        <v>0.08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34.65</v>
      </c>
      <c r="C10" s="114">
        <v>277.2</v>
      </c>
      <c r="E10" s="29" t="s">
        <v>70</v>
      </c>
      <c r="F10" s="26" t="s">
        <v>25</v>
      </c>
      <c r="G10" s="14">
        <v>4</v>
      </c>
      <c r="H10" s="92">
        <f>IF(B$19=0,0,G10/B$19)</f>
        <v>0.08</v>
      </c>
      <c r="I10" s="60">
        <v>2</v>
      </c>
      <c r="K10" s="7">
        <v>8</v>
      </c>
      <c r="L10" s="65">
        <v>-28.3</v>
      </c>
      <c r="N10" s="77" t="s">
        <v>152</v>
      </c>
      <c r="O10" s="86">
        <f>IF(P10=0,0,Q10/P10)</f>
        <v>-17.55</v>
      </c>
      <c r="P10" s="80">
        <v>8</v>
      </c>
      <c r="Q10" s="71">
        <v>-140.4</v>
      </c>
    </row>
    <row r="11" spans="1:17" x14ac:dyDescent="0.45">
      <c r="A11" s="22" t="s">
        <v>186</v>
      </c>
      <c r="B11" s="113">
        <f>IF(B8=0,0,C11/B8)</f>
        <v>-4.3090909090909086</v>
      </c>
      <c r="C11" s="114">
        <v>-47.399999999999991</v>
      </c>
      <c r="E11" s="29" t="s">
        <v>79</v>
      </c>
      <c r="F11" s="26" t="s">
        <v>34</v>
      </c>
      <c r="G11" s="14">
        <v>4</v>
      </c>
      <c r="H11" s="92">
        <f>IF(B$19=0,0,G11/B$19)</f>
        <v>0.08</v>
      </c>
      <c r="I11" s="60">
        <v>1</v>
      </c>
      <c r="K11" s="7">
        <v>9</v>
      </c>
      <c r="L11" s="65">
        <v>-20.3</v>
      </c>
      <c r="N11" s="78" t="s">
        <v>153</v>
      </c>
      <c r="O11" s="87">
        <f>IF(P11=0,0,Q11/P11)</f>
        <v>-2.411111111111111</v>
      </c>
      <c r="P11" s="81">
        <v>9</v>
      </c>
      <c r="Q11" s="72">
        <v>-21.7</v>
      </c>
    </row>
    <row r="12" spans="1:17" x14ac:dyDescent="0.45">
      <c r="A12" s="22" t="s">
        <v>187</v>
      </c>
      <c r="B12" s="113">
        <f>IF(B9=0,0,C12/B9)</f>
        <v>-40.5</v>
      </c>
      <c r="C12" s="114">
        <v>-243</v>
      </c>
      <c r="E12" s="29" t="s">
        <v>65</v>
      </c>
      <c r="F12" s="26" t="s">
        <v>21</v>
      </c>
      <c r="G12" s="14">
        <v>3</v>
      </c>
      <c r="H12" s="92">
        <f>IF(B$19=0,0,G12/B$19)</f>
        <v>0.06</v>
      </c>
      <c r="I12" s="60">
        <v>9</v>
      </c>
      <c r="K12" s="7">
        <v>10</v>
      </c>
      <c r="L12" s="65">
        <v>-14.9</v>
      </c>
      <c r="N12" s="79" t="s">
        <v>154</v>
      </c>
      <c r="O12" s="88">
        <f>IF(P12=0,0,Q12/P12)</f>
        <v>18.612500000000001</v>
      </c>
      <c r="P12" s="82">
        <v>8</v>
      </c>
      <c r="Q12" s="73">
        <v>148.9</v>
      </c>
    </row>
    <row r="13" spans="1:17" x14ac:dyDescent="0.45">
      <c r="A13" s="22" t="s">
        <v>188</v>
      </c>
      <c r="B13" s="131">
        <f>AVERAGE(B10:B12)</f>
        <v>-3.3863636363636367</v>
      </c>
      <c r="C13" s="132"/>
      <c r="E13" s="29" t="s">
        <v>71</v>
      </c>
      <c r="F13" s="26" t="s">
        <v>26</v>
      </c>
      <c r="G13" s="14">
        <v>3</v>
      </c>
      <c r="H13" s="92">
        <f>IF(B$19=0,0,G13/B$19)</f>
        <v>0.06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0.08</v>
      </c>
      <c r="E14" s="29" t="s">
        <v>78</v>
      </c>
      <c r="F14" s="26" t="s">
        <v>33</v>
      </c>
      <c r="G14" s="14">
        <v>3</v>
      </c>
      <c r="H14" s="92">
        <f>IF(B$19=0,0,G14/B$19)</f>
        <v>0.06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49</v>
      </c>
      <c r="C15" s="12">
        <f>IF(B$3=0,0,B15/B$3)</f>
        <v>0.27071823204419887</v>
      </c>
      <c r="E15" s="29" t="s">
        <v>83</v>
      </c>
      <c r="F15" s="26" t="s">
        <v>38</v>
      </c>
      <c r="G15" s="14">
        <v>2</v>
      </c>
      <c r="H15" s="92">
        <f>IF(B$19=0,0,G15/B$19)</f>
        <v>0.04</v>
      </c>
      <c r="I15" s="60">
        <v>7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40</v>
      </c>
      <c r="C16" s="8">
        <f>IF(B$3=0,0,B16/B$3)</f>
        <v>0.22099447513812154</v>
      </c>
      <c r="E16" s="29" t="s">
        <v>81</v>
      </c>
      <c r="F16" s="26" t="s">
        <v>36</v>
      </c>
      <c r="G16" s="14">
        <v>1</v>
      </c>
      <c r="H16" s="92">
        <f>IF(B$19=0,0,G16/B$19)</f>
        <v>0.02</v>
      </c>
      <c r="I16" s="60">
        <v>5</v>
      </c>
      <c r="K16" s="7">
        <v>14</v>
      </c>
      <c r="L16" s="65">
        <v>-149.39999999999998</v>
      </c>
      <c r="N16" s="78" t="s">
        <v>196</v>
      </c>
      <c r="O16" s="87">
        <f t="shared" si="2"/>
        <v>19.850000000000001</v>
      </c>
      <c r="P16" s="81">
        <v>4</v>
      </c>
      <c r="Q16" s="72">
        <v>79.400000000000006</v>
      </c>
    </row>
    <row r="17" spans="1:17" x14ac:dyDescent="0.45">
      <c r="A17" s="20" t="s">
        <v>123</v>
      </c>
      <c r="B17" s="13">
        <f>B23</f>
        <v>27</v>
      </c>
      <c r="C17" s="6">
        <f>IF(B$15=0,0,B17/B$15)</f>
        <v>0.55102040816326525</v>
      </c>
      <c r="E17" s="29" t="s">
        <v>86</v>
      </c>
      <c r="F17" s="26" t="s">
        <v>41</v>
      </c>
      <c r="G17" s="14">
        <v>1</v>
      </c>
      <c r="H17" s="92">
        <f>IF(B$19=0,0,G17/B$19)</f>
        <v>0.02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 t="shared" si="2"/>
        <v>16.157142857142858</v>
      </c>
      <c r="P17" s="81">
        <v>7</v>
      </c>
      <c r="Q17" s="72">
        <v>113.10000000000001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0.32500000000000001</v>
      </c>
      <c r="E18" s="29" t="s">
        <v>91</v>
      </c>
      <c r="F18" s="26" t="s">
        <v>46</v>
      </c>
      <c r="G18" s="14">
        <v>1</v>
      </c>
      <c r="H18" s="92">
        <f>IF(B$19=0,0,G18/B$19)</f>
        <v>0.02</v>
      </c>
      <c r="I18" s="60">
        <v>3</v>
      </c>
      <c r="K18" s="7">
        <v>16</v>
      </c>
      <c r="L18" s="65">
        <v>-141.29999999999998</v>
      </c>
      <c r="N18" s="78" t="s">
        <v>164</v>
      </c>
      <c r="O18" s="87">
        <f t="shared" si="2"/>
        <v>9.6111111111111107</v>
      </c>
      <c r="P18" s="81">
        <v>9</v>
      </c>
      <c r="Q18" s="72">
        <v>86.5</v>
      </c>
    </row>
    <row r="19" spans="1:17" x14ac:dyDescent="0.45">
      <c r="A19" s="20" t="s">
        <v>10</v>
      </c>
      <c r="B19" s="13">
        <f>B22+B21</f>
        <v>50</v>
      </c>
      <c r="C19" s="6">
        <f>IF(B$3=0,0,B19/B$3)</f>
        <v>0.27624309392265195</v>
      </c>
      <c r="E19" s="29" t="s">
        <v>92</v>
      </c>
      <c r="F19" s="26" t="s">
        <v>47</v>
      </c>
      <c r="G19" s="14">
        <v>1</v>
      </c>
      <c r="H19" s="92">
        <f>IF(B$19=0,0,G19/B$19)</f>
        <v>0.02</v>
      </c>
      <c r="I19" s="60">
        <v>3</v>
      </c>
      <c r="K19" s="7">
        <v>17</v>
      </c>
      <c r="L19" s="65">
        <v>-149.1</v>
      </c>
      <c r="N19" s="78" t="s">
        <v>193</v>
      </c>
      <c r="O19" s="87">
        <f t="shared" si="2"/>
        <v>2.2800000000000038</v>
      </c>
      <c r="P19" s="81">
        <v>10</v>
      </c>
      <c r="Q19" s="72">
        <v>22.80000000000004</v>
      </c>
    </row>
    <row r="20" spans="1:17" x14ac:dyDescent="0.45">
      <c r="A20" s="21" t="s">
        <v>13</v>
      </c>
      <c r="B20" s="14">
        <v>24</v>
      </c>
      <c r="C20" s="8">
        <f>IF(B$3=0,0,B20/B$3)</f>
        <v>0.13259668508287292</v>
      </c>
      <c r="E20" s="29" t="s">
        <v>73</v>
      </c>
      <c r="F20" s="26" t="s">
        <v>28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-201.89999999999998</v>
      </c>
      <c r="N20" s="78" t="s">
        <v>205</v>
      </c>
      <c r="O20" s="87">
        <f t="shared" si="2"/>
        <v>-8.1000000000000014</v>
      </c>
      <c r="P20" s="81">
        <v>3</v>
      </c>
      <c r="Q20" s="72">
        <v>-24.300000000000004</v>
      </c>
    </row>
    <row r="21" spans="1:17" x14ac:dyDescent="0.45">
      <c r="A21" s="21" t="s">
        <v>12</v>
      </c>
      <c r="B21" s="14">
        <v>20</v>
      </c>
      <c r="C21" s="8">
        <f>IF(B$19=0,0,B21/B$19)</f>
        <v>0.4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-152.39999999999998</v>
      </c>
      <c r="N21" s="78" t="s">
        <v>126</v>
      </c>
      <c r="O21" s="87">
        <f t="shared" si="2"/>
        <v>-27.707142857142859</v>
      </c>
      <c r="P21" s="81">
        <v>14</v>
      </c>
      <c r="Q21" s="72">
        <v>-387.90000000000003</v>
      </c>
    </row>
    <row r="22" spans="1:17" x14ac:dyDescent="0.45">
      <c r="A22" s="21" t="s">
        <v>11</v>
      </c>
      <c r="B22" s="14">
        <v>30</v>
      </c>
      <c r="C22" s="8">
        <f>IF(B$19=0,0,B22/B$19)</f>
        <v>0.6</v>
      </c>
      <c r="E22" s="29" t="s">
        <v>75</v>
      </c>
      <c r="F22" s="26" t="s">
        <v>30</v>
      </c>
      <c r="G22" s="14">
        <v>0</v>
      </c>
      <c r="H22" s="92">
        <f>IF(B$19=0,0,G22/B$19)</f>
        <v>0</v>
      </c>
      <c r="I22" s="60">
        <v>3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27</v>
      </c>
      <c r="C23" s="8">
        <f>IF(B$19=0,0,B23/B$19)</f>
        <v>0.54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13</v>
      </c>
      <c r="C24" s="8">
        <f>IF(B$19=0,0,B24/B$19)</f>
        <v>0.26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10</v>
      </c>
      <c r="C25" s="8">
        <f>IF(B$19=0,0,B25/B$19)</f>
        <v>0.2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8070</v>
      </c>
      <c r="C26" s="10">
        <v>403500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8348.6486486486483</v>
      </c>
      <c r="C27" s="100">
        <v>308900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7276.9230769230771</v>
      </c>
      <c r="C28" s="100">
        <v>94600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-7541.666666666667</v>
      </c>
      <c r="C29" s="100">
        <v>-181000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88500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6</v>
      </c>
      <c r="C36" s="102">
        <f t="shared" ref="C36:C48" si="3">IF(B$19=0,0,B36/B$19)</f>
        <v>0.12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6</v>
      </c>
      <c r="C37" s="8">
        <f t="shared" si="3"/>
        <v>0.12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14</v>
      </c>
      <c r="C38" s="8">
        <f t="shared" si="3"/>
        <v>0.28000000000000003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10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4</v>
      </c>
      <c r="C40" s="8">
        <f t="shared" si="3"/>
        <v>0.08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3"/>
        <v>0.04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4</v>
      </c>
      <c r="C42" s="8">
        <f t="shared" si="3"/>
        <v>0.08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1</v>
      </c>
      <c r="C44" s="8">
        <f t="shared" si="3"/>
        <v>0.02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3"/>
        <v>0.02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3"/>
        <v>0.02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0.02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13</v>
      </c>
      <c r="C2" s="140"/>
      <c r="E2" s="28" t="s">
        <v>66</v>
      </c>
      <c r="F2" s="25" t="s">
        <v>22</v>
      </c>
      <c r="G2" s="13">
        <v>26</v>
      </c>
      <c r="H2" s="91">
        <f>IF(B$19=0,0,G2/B$19)</f>
        <v>0.83870967741935487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-3715.3846153846152</v>
      </c>
      <c r="P2" s="80">
        <v>13</v>
      </c>
      <c r="Q2" s="67">
        <v>-48300</v>
      </c>
    </row>
    <row r="3" spans="1:17" x14ac:dyDescent="0.45">
      <c r="A3" s="21" t="s">
        <v>8</v>
      </c>
      <c r="B3" s="141">
        <v>86</v>
      </c>
      <c r="C3" s="142"/>
      <c r="E3" s="29" t="s">
        <v>72</v>
      </c>
      <c r="F3" s="26" t="s">
        <v>27</v>
      </c>
      <c r="G3" s="14">
        <v>25</v>
      </c>
      <c r="H3" s="92">
        <f>IF(B$19=0,0,G3/B$19)</f>
        <v>0.80645161290322576</v>
      </c>
      <c r="I3" s="60">
        <v>1</v>
      </c>
      <c r="K3" s="7">
        <v>1</v>
      </c>
      <c r="L3" s="65">
        <v>56</v>
      </c>
      <c r="N3" s="78" t="s">
        <v>129</v>
      </c>
      <c r="O3" s="84">
        <f t="shared" si="0"/>
        <v>-1633.3333333333333</v>
      </c>
      <c r="P3" s="81">
        <v>12</v>
      </c>
      <c r="Q3" s="68">
        <v>-19600</v>
      </c>
    </row>
    <row r="4" spans="1:17" x14ac:dyDescent="0.45">
      <c r="A4" s="21" t="s">
        <v>6</v>
      </c>
      <c r="B4" s="143">
        <v>83.1</v>
      </c>
      <c r="C4" s="144"/>
      <c r="E4" s="29" t="s">
        <v>64</v>
      </c>
      <c r="F4" s="26" t="s">
        <v>20</v>
      </c>
      <c r="G4" s="14">
        <v>10</v>
      </c>
      <c r="H4" s="92">
        <f>IF(B$19=0,0,G4/B$19)</f>
        <v>0.32258064516129031</v>
      </c>
      <c r="I4" s="60">
        <v>8</v>
      </c>
      <c r="K4" s="7">
        <v>2</v>
      </c>
      <c r="L4" s="65">
        <v>137.5</v>
      </c>
      <c r="N4" s="78" t="s">
        <v>130</v>
      </c>
      <c r="O4" s="84">
        <f t="shared" si="0"/>
        <v>6016.666666666667</v>
      </c>
      <c r="P4" s="81">
        <v>12</v>
      </c>
      <c r="Q4" s="68">
        <v>72200</v>
      </c>
    </row>
    <row r="5" spans="1:17" x14ac:dyDescent="0.45">
      <c r="A5" s="21" t="s">
        <v>7</v>
      </c>
      <c r="B5" s="131">
        <f>IF(B$2=0,0,B$4/B$2)</f>
        <v>6.3923076923076918</v>
      </c>
      <c r="C5" s="132"/>
      <c r="E5" s="29" t="s">
        <v>67</v>
      </c>
      <c r="F5" s="26" t="s">
        <v>23</v>
      </c>
      <c r="G5" s="14">
        <v>7</v>
      </c>
      <c r="H5" s="92">
        <f>IF(B$19=0,0,G5/B$19)</f>
        <v>0.22580645161290322</v>
      </c>
      <c r="I5" s="60">
        <v>4</v>
      </c>
      <c r="K5" s="7">
        <v>3</v>
      </c>
      <c r="L5" s="65">
        <v>159</v>
      </c>
      <c r="N5" s="78" t="s">
        <v>131</v>
      </c>
      <c r="O5" s="84">
        <f t="shared" si="0"/>
        <v>-888.88888888888891</v>
      </c>
      <c r="P5" s="81">
        <v>9</v>
      </c>
      <c r="Q5" s="68">
        <v>-8000</v>
      </c>
    </row>
    <row r="6" spans="1:17" x14ac:dyDescent="0.45">
      <c r="A6" s="21" t="s">
        <v>1</v>
      </c>
      <c r="B6" s="145">
        <f>IF(B$2=0,0,(B$7*1+B$8*2+B$9*3)/B$2)</f>
        <v>1.8461538461538463</v>
      </c>
      <c r="C6" s="146"/>
      <c r="E6" s="29" t="s">
        <v>68</v>
      </c>
      <c r="F6" s="26" t="s">
        <v>12</v>
      </c>
      <c r="G6" s="14">
        <v>7</v>
      </c>
      <c r="H6" s="92">
        <f>IF(B$19=0,0,G6/B$19)</f>
        <v>0.22580645161290322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4683.333333333333</v>
      </c>
      <c r="P6" s="81">
        <v>6</v>
      </c>
      <c r="Q6" s="68">
        <v>28100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0.53846153846153844</v>
      </c>
      <c r="E7" s="29" t="s">
        <v>69</v>
      </c>
      <c r="F7" s="26" t="s">
        <v>24</v>
      </c>
      <c r="G7" s="14">
        <v>4</v>
      </c>
      <c r="H7" s="92">
        <f>IF(B$19=0,0,G7/B$19)</f>
        <v>0.12903225806451613</v>
      </c>
      <c r="I7" s="60">
        <v>5</v>
      </c>
      <c r="K7" s="7">
        <v>5</v>
      </c>
      <c r="L7" s="65">
        <v>140.30000000000001</v>
      </c>
      <c r="N7" s="79" t="s">
        <v>133</v>
      </c>
      <c r="O7" s="85">
        <f t="shared" si="0"/>
        <v>633.33333333333337</v>
      </c>
      <c r="P7" s="82">
        <v>6</v>
      </c>
      <c r="Q7" s="69">
        <v>3800</v>
      </c>
    </row>
    <row r="8" spans="1:17" x14ac:dyDescent="0.45">
      <c r="A8" s="21" t="s">
        <v>3</v>
      </c>
      <c r="B8" s="14">
        <v>1</v>
      </c>
      <c r="C8" s="8">
        <f t="shared" si="1"/>
        <v>7.6923076923076927E-2</v>
      </c>
      <c r="E8" s="29" t="s">
        <v>89</v>
      </c>
      <c r="F8" s="26" t="s">
        <v>44</v>
      </c>
      <c r="G8" s="14">
        <v>4</v>
      </c>
      <c r="H8" s="92">
        <f>IF(B$19=0,0,G8/B$19)</f>
        <v>0.12903225806451613</v>
      </c>
      <c r="I8" s="60">
        <v>7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0.38461538461538464</v>
      </c>
      <c r="E9" s="29" t="s">
        <v>160</v>
      </c>
      <c r="F9" s="26" t="s">
        <v>161</v>
      </c>
      <c r="G9" s="14">
        <v>4</v>
      </c>
      <c r="H9" s="92">
        <f>IF(B$19=0,0,G9/B$19)</f>
        <v>0.12903225806451613</v>
      </c>
      <c r="I9" s="60">
        <v>9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40.18571428571429</v>
      </c>
      <c r="C10" s="114">
        <v>281.3</v>
      </c>
      <c r="E10" s="29" t="s">
        <v>83</v>
      </c>
      <c r="F10" s="26" t="s">
        <v>38</v>
      </c>
      <c r="G10" s="14">
        <v>3</v>
      </c>
      <c r="H10" s="92">
        <f>IF(B$19=0,0,G10/B$19)</f>
        <v>9.6774193548387094E-2</v>
      </c>
      <c r="I10" s="60">
        <v>1</v>
      </c>
      <c r="K10" s="7">
        <v>8</v>
      </c>
      <c r="L10" s="65">
        <v>96.800000000000011</v>
      </c>
      <c r="N10" s="77" t="s">
        <v>152</v>
      </c>
      <c r="O10" s="86">
        <f>IF(P10=0,0,Q10/P10)</f>
        <v>-20.725000000000001</v>
      </c>
      <c r="P10" s="80">
        <v>4</v>
      </c>
      <c r="Q10" s="71">
        <v>-82.9</v>
      </c>
    </row>
    <row r="11" spans="1:17" x14ac:dyDescent="0.45">
      <c r="A11" s="22" t="s">
        <v>186</v>
      </c>
      <c r="B11" s="113">
        <f>IF(B8=0,0,C11/B8)</f>
        <v>-12.6</v>
      </c>
      <c r="C11" s="114">
        <v>-12.6</v>
      </c>
      <c r="E11" s="29" t="s">
        <v>65</v>
      </c>
      <c r="F11" s="26" t="s">
        <v>21</v>
      </c>
      <c r="G11" s="14">
        <v>2</v>
      </c>
      <c r="H11" s="92">
        <f>IF(B$19=0,0,G11/B$19)</f>
        <v>6.4516129032258063E-2</v>
      </c>
      <c r="I11" s="60">
        <v>8</v>
      </c>
      <c r="K11" s="7">
        <v>9</v>
      </c>
      <c r="L11" s="65">
        <v>51.600000000000009</v>
      </c>
      <c r="N11" s="78" t="s">
        <v>153</v>
      </c>
      <c r="O11" s="87">
        <f>IF(P11=0,0,Q11/P11)</f>
        <v>-1.2000000000000011</v>
      </c>
      <c r="P11" s="81">
        <v>4</v>
      </c>
      <c r="Q11" s="72">
        <v>-4.8000000000000043</v>
      </c>
    </row>
    <row r="12" spans="1:17" x14ac:dyDescent="0.45">
      <c r="A12" s="22" t="s">
        <v>187</v>
      </c>
      <c r="B12" s="113">
        <f>IF(B9=0,0,C12/B9)</f>
        <v>-37.120000000000005</v>
      </c>
      <c r="C12" s="114">
        <v>-185.60000000000002</v>
      </c>
      <c r="E12" s="29" t="s">
        <v>78</v>
      </c>
      <c r="F12" s="26" t="s">
        <v>33</v>
      </c>
      <c r="G12" s="14">
        <v>2</v>
      </c>
      <c r="H12" s="92">
        <f>IF(B$19=0,0,G12/B$19)</f>
        <v>6.4516129032258063E-2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34.160000000000004</v>
      </c>
      <c r="P12" s="82">
        <v>5</v>
      </c>
      <c r="Q12" s="73">
        <v>170.8</v>
      </c>
    </row>
    <row r="13" spans="1:17" x14ac:dyDescent="0.45">
      <c r="A13" s="22" t="s">
        <v>188</v>
      </c>
      <c r="B13" s="131">
        <f>AVERAGE(B10:B12)</f>
        <v>-3.1780952380952385</v>
      </c>
      <c r="C13" s="132"/>
      <c r="E13" s="29" t="s">
        <v>81</v>
      </c>
      <c r="F13" s="26" t="s">
        <v>36</v>
      </c>
      <c r="G13" s="14">
        <v>2</v>
      </c>
      <c r="H13" s="92">
        <f>IF(B$19=0,0,G13/B$19)</f>
        <v>6.4516129032258063E-2</v>
      </c>
      <c r="I13" s="60">
        <v>3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0.23076923076923078</v>
      </c>
      <c r="E14" s="29" t="s">
        <v>75</v>
      </c>
      <c r="F14" s="26" t="s">
        <v>30</v>
      </c>
      <c r="G14" s="14">
        <v>1</v>
      </c>
      <c r="H14" s="92">
        <f>IF(B$19=0,0,G14/B$19)</f>
        <v>3.2258064516129031E-2</v>
      </c>
      <c r="I14" s="60">
        <v>1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</v>
      </c>
      <c r="C15" s="12">
        <f>IF(B$3=0,0,B15/B$3)</f>
        <v>0.18604651162790697</v>
      </c>
      <c r="E15" s="29" t="s">
        <v>102</v>
      </c>
      <c r="F15" s="26" t="s">
        <v>57</v>
      </c>
      <c r="G15" s="14">
        <v>1</v>
      </c>
      <c r="H15" s="92">
        <f>IF(B$19=0,0,G15/B$19)</f>
        <v>3.2258064516129031E-2</v>
      </c>
      <c r="I15" s="60">
        <v>1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70.36666666666666</v>
      </c>
      <c r="P15" s="80">
        <v>6</v>
      </c>
      <c r="Q15" s="71">
        <v>422.2</v>
      </c>
    </row>
    <row r="16" spans="1:17" x14ac:dyDescent="0.45">
      <c r="A16" s="21" t="s">
        <v>118</v>
      </c>
      <c r="B16" s="14">
        <v>33</v>
      </c>
      <c r="C16" s="8">
        <f>IF(B$3=0,0,B16/B$3)</f>
        <v>0.38372093023255816</v>
      </c>
      <c r="E16" s="29" t="s">
        <v>70</v>
      </c>
      <c r="F16" s="26" t="s">
        <v>25</v>
      </c>
      <c r="G16" s="14">
        <v>0</v>
      </c>
      <c r="H16" s="92">
        <f>IF(B$19=0,0,G16/B$19)</f>
        <v>0</v>
      </c>
      <c r="I16" s="60">
        <v>6</v>
      </c>
      <c r="N16" s="78" t="s">
        <v>164</v>
      </c>
      <c r="O16" s="87">
        <f t="shared" si="2"/>
        <v>48.4</v>
      </c>
      <c r="P16" s="81">
        <v>1</v>
      </c>
      <c r="Q16" s="72">
        <v>48.4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0.625</v>
      </c>
      <c r="E17" s="29" t="s">
        <v>71</v>
      </c>
      <c r="F17" s="26" t="s">
        <v>26</v>
      </c>
      <c r="G17" s="14">
        <v>0</v>
      </c>
      <c r="H17" s="92">
        <f>IF(B$19=0,0,G17/B$19)</f>
        <v>0</v>
      </c>
      <c r="I17" s="60">
        <v>8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14</v>
      </c>
      <c r="C18" s="6">
        <f>IF(B$16=0,0,B18/B$16)</f>
        <v>0.42424242424242425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3</v>
      </c>
      <c r="N18" s="78" t="s">
        <v>192</v>
      </c>
      <c r="O18" s="87">
        <f t="shared" si="2"/>
        <v>-2.2800000000000038</v>
      </c>
      <c r="P18" s="81">
        <v>10</v>
      </c>
      <c r="Q18" s="72">
        <v>-22.80000000000004</v>
      </c>
    </row>
    <row r="19" spans="1:17" x14ac:dyDescent="0.45">
      <c r="A19" s="20" t="s">
        <v>10</v>
      </c>
      <c r="B19" s="13">
        <f>B22+B21</f>
        <v>31</v>
      </c>
      <c r="C19" s="6">
        <f>IF(B$3=0,0,B19/B$3)</f>
        <v>0.36046511627906974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126</v>
      </c>
      <c r="O19" s="87">
        <f t="shared" si="2"/>
        <v>-40.875</v>
      </c>
      <c r="P19" s="81">
        <v>4</v>
      </c>
      <c r="Q19" s="72">
        <v>-163.5</v>
      </c>
    </row>
    <row r="20" spans="1:17" x14ac:dyDescent="0.45">
      <c r="A20" s="21" t="s">
        <v>13</v>
      </c>
      <c r="B20" s="14">
        <v>11</v>
      </c>
      <c r="C20" s="8">
        <f>IF(B$3=0,0,B20/B$3)</f>
        <v>0.12790697674418605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N20" s="78" t="s">
        <v>189</v>
      </c>
      <c r="O20" s="87">
        <f t="shared" si="2"/>
        <v>-49.75</v>
      </c>
      <c r="P20" s="81">
        <v>2</v>
      </c>
      <c r="Q20" s="72">
        <v>-99.5</v>
      </c>
    </row>
    <row r="21" spans="1:17" x14ac:dyDescent="0.45">
      <c r="A21" s="21" t="s">
        <v>12</v>
      </c>
      <c r="B21" s="14">
        <v>15</v>
      </c>
      <c r="C21" s="8">
        <f>IF(B$19=0,0,B21/B$19)</f>
        <v>0.4838709677419355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16</v>
      </c>
      <c r="C22" s="8">
        <f>IF(B$19=0,0,B22/B$19)</f>
        <v>0.5161290322580645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5</v>
      </c>
    </row>
    <row r="23" spans="1:17" x14ac:dyDescent="0.45">
      <c r="A23" s="21" t="s">
        <v>184</v>
      </c>
      <c r="B23" s="14">
        <v>10</v>
      </c>
      <c r="C23" s="8">
        <f>IF(B$19=0,0,B23/B$19)</f>
        <v>0.32258064516129031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14</v>
      </c>
      <c r="C24" s="8">
        <f>IF(B$19=0,0,B24/B$19)</f>
        <v>0.45161290322580644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7</v>
      </c>
      <c r="C25" s="8">
        <f>IF(B$19=0,0,B25/B$19)</f>
        <v>0.22580645161290322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8300</v>
      </c>
      <c r="C26" s="10">
        <v>257300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9717.6470588235297</v>
      </c>
      <c r="C27" s="100">
        <v>165200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6</v>
      </c>
    </row>
    <row r="28" spans="1:17" x14ac:dyDescent="0.45">
      <c r="A28" s="22" t="s">
        <v>167</v>
      </c>
      <c r="B28" s="99">
        <f>IF(B$18=0,0,C28/B$18)</f>
        <v>6578.5714285714284</v>
      </c>
      <c r="C28" s="100">
        <v>92100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-8509.0909090909099</v>
      </c>
      <c r="C29" s="100">
        <v>-93600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5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22</v>
      </c>
      <c r="C31" s="94">
        <v>22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33">
        <v>6</v>
      </c>
      <c r="C32" s="13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181</v>
      </c>
      <c r="B33" s="135">
        <v>106500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5">
        <v>2</v>
      </c>
      <c r="C36" s="102">
        <f t="shared" ref="C36:C48" si="3">IF(B$19=0,0,B36/B$19)</f>
        <v>6.4516129032258063E-2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8</v>
      </c>
      <c r="C37" s="8">
        <f t="shared" si="3"/>
        <v>0.25806451612903225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6</v>
      </c>
      <c r="C38" s="8">
        <f t="shared" si="3"/>
        <v>0.19354838709677419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5</v>
      </c>
      <c r="C39" s="8">
        <f t="shared" si="3"/>
        <v>0.16129032258064516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6</v>
      </c>
      <c r="C40" s="8">
        <f t="shared" si="3"/>
        <v>0.19354838709677419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3"/>
        <v>3.2258064516129031E-2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1</v>
      </c>
      <c r="C42" s="8">
        <f t="shared" si="3"/>
        <v>3.2258064516129031E-2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3"/>
        <v>3.2258064516129031E-2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3.2258064516129031E-2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5</v>
      </c>
      <c r="Q2" s="67">
        <v>0</v>
      </c>
    </row>
    <row r="3" spans="1:17" x14ac:dyDescent="0.45">
      <c r="A3" s="21" t="s">
        <v>8</v>
      </c>
      <c r="B3" s="141">
        <v>34</v>
      </c>
      <c r="C3" s="142"/>
      <c r="E3" s="29" t="s">
        <v>68</v>
      </c>
      <c r="F3" s="26" t="s">
        <v>12</v>
      </c>
      <c r="G3" s="14">
        <v>2</v>
      </c>
      <c r="H3" s="92">
        <f>IF(B$19=0,0,G3/B$19)</f>
        <v>0.33333333333333331</v>
      </c>
      <c r="I3" s="60">
        <v>1</v>
      </c>
      <c r="K3" s="7">
        <v>1</v>
      </c>
      <c r="L3" s="65">
        <v>-30.5</v>
      </c>
      <c r="N3" s="78" t="s">
        <v>129</v>
      </c>
      <c r="O3" s="84">
        <f t="shared" si="0"/>
        <v>0</v>
      </c>
      <c r="P3" s="81">
        <v>5</v>
      </c>
      <c r="Q3" s="68">
        <v>0</v>
      </c>
    </row>
    <row r="4" spans="1:17" x14ac:dyDescent="0.45">
      <c r="A4" s="21" t="s">
        <v>6</v>
      </c>
      <c r="B4" s="143">
        <v>-64.400000000000006</v>
      </c>
      <c r="C4" s="144"/>
      <c r="E4" s="29" t="s">
        <v>72</v>
      </c>
      <c r="F4" s="26" t="s">
        <v>27</v>
      </c>
      <c r="G4" s="14">
        <v>2</v>
      </c>
      <c r="H4" s="92">
        <f>IF(B$19=0,0,G4/B$19)</f>
        <v>0.33333333333333331</v>
      </c>
      <c r="I4" s="60">
        <v>9</v>
      </c>
      <c r="K4" s="7">
        <v>2</v>
      </c>
      <c r="L4" s="65">
        <v>-28.6</v>
      </c>
      <c r="N4" s="78" t="s">
        <v>130</v>
      </c>
      <c r="O4" s="84">
        <f t="shared" si="0"/>
        <v>-8580</v>
      </c>
      <c r="P4" s="81">
        <v>5</v>
      </c>
      <c r="Q4" s="68">
        <v>-42900</v>
      </c>
    </row>
    <row r="5" spans="1:17" x14ac:dyDescent="0.45">
      <c r="A5" s="21" t="s">
        <v>7</v>
      </c>
      <c r="B5" s="131">
        <f>IF(B$2=0,0,B$4/B$2)</f>
        <v>-12.88</v>
      </c>
      <c r="C5" s="132"/>
      <c r="E5" s="29" t="s">
        <v>160</v>
      </c>
      <c r="F5" s="26" t="s">
        <v>161</v>
      </c>
      <c r="G5" s="14">
        <v>2</v>
      </c>
      <c r="H5" s="92">
        <f>IF(B$19=0,0,G5/B$19)</f>
        <v>0.33333333333333331</v>
      </c>
      <c r="I5" s="60">
        <v>8</v>
      </c>
      <c r="K5" s="7">
        <v>3</v>
      </c>
      <c r="L5" s="65">
        <v>-41.400000000000006</v>
      </c>
      <c r="N5" s="78" t="s">
        <v>131</v>
      </c>
      <c r="O5" s="84">
        <f t="shared" si="0"/>
        <v>-4133.333333333333</v>
      </c>
      <c r="P5" s="81">
        <v>3</v>
      </c>
      <c r="Q5" s="68">
        <v>-12400</v>
      </c>
    </row>
    <row r="6" spans="1:17" x14ac:dyDescent="0.45">
      <c r="A6" s="21" t="s">
        <v>1</v>
      </c>
      <c r="B6" s="145">
        <f>IF(B$2=0,0,(B$7*1+B$8*2+B$9*3)/B$2)</f>
        <v>2.2000000000000002</v>
      </c>
      <c r="C6" s="146"/>
      <c r="E6" s="29" t="s">
        <v>65</v>
      </c>
      <c r="F6" s="26" t="s">
        <v>21</v>
      </c>
      <c r="G6" s="14">
        <v>1</v>
      </c>
      <c r="H6" s="92">
        <f>IF(B$19=0,0,G6/B$19)</f>
        <v>0.16666666666666666</v>
      </c>
      <c r="I6" s="60">
        <v>2</v>
      </c>
      <c r="K6" s="7">
        <v>4</v>
      </c>
      <c r="L6" s="65">
        <v>-56.000000000000007</v>
      </c>
      <c r="N6" s="78" t="s">
        <v>132</v>
      </c>
      <c r="O6" s="84">
        <f t="shared" si="0"/>
        <v>4000</v>
      </c>
      <c r="P6" s="81">
        <v>2</v>
      </c>
      <c r="Q6" s="68">
        <v>8000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1</v>
      </c>
      <c r="H7" s="92">
        <f>IF(B$19=0,0,G7/B$19)</f>
        <v>0.16666666666666666</v>
      </c>
      <c r="I7" s="60">
        <v>9</v>
      </c>
      <c r="K7" s="7">
        <v>5</v>
      </c>
      <c r="L7" s="65">
        <v>-64.400000000000006</v>
      </c>
      <c r="N7" s="79" t="s">
        <v>133</v>
      </c>
      <c r="O7" s="85">
        <f t="shared" si="0"/>
        <v>-3550</v>
      </c>
      <c r="P7" s="82">
        <v>2</v>
      </c>
      <c r="Q7" s="69">
        <v>-7100</v>
      </c>
    </row>
    <row r="8" spans="1:17" x14ac:dyDescent="0.45">
      <c r="A8" s="21" t="s">
        <v>3</v>
      </c>
      <c r="B8" s="14">
        <v>4</v>
      </c>
      <c r="C8" s="8">
        <f t="shared" si="1"/>
        <v>0.8</v>
      </c>
      <c r="E8" s="29" t="s">
        <v>67</v>
      </c>
      <c r="F8" s="26" t="s">
        <v>23</v>
      </c>
      <c r="G8" s="14">
        <v>1</v>
      </c>
      <c r="H8" s="92">
        <f>IF(B$19=0,0,G8/B$19)</f>
        <v>0.16666666666666666</v>
      </c>
      <c r="I8" s="60">
        <v>7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</v>
      </c>
      <c r="E9" s="29" t="s">
        <v>86</v>
      </c>
      <c r="F9" s="26" t="s">
        <v>41</v>
      </c>
      <c r="G9" s="14">
        <v>1</v>
      </c>
      <c r="H9" s="92">
        <f>IF(B$19=0,0,G9/B$19)</f>
        <v>0.16666666666666666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9</v>
      </c>
      <c r="N10" s="77" t="s">
        <v>152</v>
      </c>
      <c r="O10" s="86">
        <f>IF(P10=0,0,Q10/P10)</f>
        <v>-14.6</v>
      </c>
      <c r="P10" s="80">
        <v>1</v>
      </c>
      <c r="Q10" s="71">
        <v>-14.6</v>
      </c>
    </row>
    <row r="11" spans="1:17" x14ac:dyDescent="0.45">
      <c r="A11" s="22" t="s">
        <v>186</v>
      </c>
      <c r="B11" s="113">
        <f>IF(B8=0,0,C11/B8)</f>
        <v>-12.9</v>
      </c>
      <c r="C11" s="114">
        <v>-51.6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-19.45</v>
      </c>
      <c r="P11" s="81">
        <v>2</v>
      </c>
      <c r="Q11" s="72">
        <v>-38.9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-8.5666666666666682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</v>
      </c>
      <c r="C15" s="12">
        <f>IF(B$3=0,0,B15/B$3)</f>
        <v>0.23529411764705882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3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6</v>
      </c>
      <c r="C16" s="8">
        <f>IF(B$3=0,0,B16/B$3)</f>
        <v>0.17647058823529413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-19.849999999999998</v>
      </c>
      <c r="P16" s="81">
        <v>4</v>
      </c>
      <c r="Q16" s="72">
        <v>-79.399999999999991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193</v>
      </c>
      <c r="O17" s="87">
        <f>IF(P17=0,0,Q17/P17)</f>
        <v>-21.5</v>
      </c>
      <c r="P17" s="81">
        <v>3</v>
      </c>
      <c r="Q17" s="72">
        <v>-64.5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0.16666666666666666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6</v>
      </c>
      <c r="N18" s="78" t="s">
        <v>126</v>
      </c>
      <c r="O18" s="87">
        <f>IF(P18=0,0,Q18/P18)</f>
        <v>-34.9</v>
      </c>
      <c r="P18" s="81">
        <v>2</v>
      </c>
      <c r="Q18" s="72">
        <v>-69.8</v>
      </c>
    </row>
    <row r="19" spans="1:17" x14ac:dyDescent="0.45">
      <c r="A19" s="20" t="s">
        <v>10</v>
      </c>
      <c r="B19" s="13">
        <f>B22+B21</f>
        <v>6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4</v>
      </c>
      <c r="C20" s="8">
        <f>IF(B$3=0,0,B20/B$3)</f>
        <v>0.11764705882352941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2</v>
      </c>
      <c r="C21" s="8">
        <f>IF(B$19=0,0,B21/B$19)</f>
        <v>0.33333333333333331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7</v>
      </c>
    </row>
    <row r="22" spans="1:17" x14ac:dyDescent="0.45">
      <c r="A22" s="21" t="s">
        <v>11</v>
      </c>
      <c r="B22" s="14">
        <v>4</v>
      </c>
      <c r="C22" s="8">
        <f>IF(B$19=0,0,B22/B$19)</f>
        <v>0.66666666666666663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0.66666666666666663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8</v>
      </c>
    </row>
    <row r="24" spans="1:17" x14ac:dyDescent="0.45">
      <c r="A24" s="21" t="s">
        <v>182</v>
      </c>
      <c r="B24" s="14">
        <v>1</v>
      </c>
      <c r="C24" s="8">
        <f>IF(B$19=0,0,B24/B$19)</f>
        <v>0.16666666666666666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0.16666666666666666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4566.666666666667</v>
      </c>
      <c r="C26" s="10">
        <v>27400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5280</v>
      </c>
      <c r="C27" s="100">
        <v>26400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8</v>
      </c>
    </row>
    <row r="29" spans="1:17" x14ac:dyDescent="0.45">
      <c r="A29" s="22" t="s">
        <v>165</v>
      </c>
      <c r="B29" s="99">
        <f>IF(B$20=0,0,C29/B$20)</f>
        <v>-4400</v>
      </c>
      <c r="C29" s="100">
        <v>-17600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36900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2</v>
      </c>
      <c r="C36" s="102">
        <f t="shared" ref="C36:C48" si="2">IF(B$19=0,0,B36/B$19)</f>
        <v>0.33333333333333331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3DB8B-9CB9-463E-A9D0-63B7D1352509}">
  <sheetPr codeName="Sheet21"/>
  <dimension ref="A1:Q52"/>
  <sheetViews>
    <sheetView showGridLines="0" zoomScaleNormal="100" workbookViewId="0">
      <selection activeCell="Q18" sqref="Q18"/>
    </sheetView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8</v>
      </c>
      <c r="C2" s="140"/>
      <c r="E2" s="28" t="s">
        <v>66</v>
      </c>
      <c r="F2" s="25" t="s">
        <v>22</v>
      </c>
      <c r="G2" s="13">
        <v>19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7137.5</v>
      </c>
      <c r="P2" s="80">
        <v>8</v>
      </c>
      <c r="Q2" s="67">
        <v>57100</v>
      </c>
    </row>
    <row r="3" spans="1:17" x14ac:dyDescent="0.45">
      <c r="A3" s="21" t="s">
        <v>8</v>
      </c>
      <c r="B3" s="141">
        <v>59</v>
      </c>
      <c r="C3" s="142"/>
      <c r="E3" s="29" t="s">
        <v>72</v>
      </c>
      <c r="F3" s="26" t="s">
        <v>27</v>
      </c>
      <c r="G3" s="14">
        <v>13</v>
      </c>
      <c r="H3" s="92">
        <f>IF(B$19=0,0,G3/B$19)</f>
        <v>0.68421052631578949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-12112.5</v>
      </c>
      <c r="P3" s="81">
        <v>8</v>
      </c>
      <c r="Q3" s="68">
        <v>-96900</v>
      </c>
    </row>
    <row r="4" spans="1:17" x14ac:dyDescent="0.45">
      <c r="A4" s="21" t="s">
        <v>6</v>
      </c>
      <c r="B4" s="143">
        <v>-128.6</v>
      </c>
      <c r="C4" s="144"/>
      <c r="E4" s="29" t="s">
        <v>160</v>
      </c>
      <c r="F4" s="26" t="s">
        <v>161</v>
      </c>
      <c r="G4" s="14">
        <v>8</v>
      </c>
      <c r="H4" s="92">
        <f>IF(B$19=0,0,G4/B$19)</f>
        <v>0.42105263157894735</v>
      </c>
      <c r="I4" s="60">
        <v>4</v>
      </c>
      <c r="K4" s="7">
        <v>2</v>
      </c>
      <c r="L4" s="65">
        <v>41.2</v>
      </c>
      <c r="N4" s="78" t="s">
        <v>130</v>
      </c>
      <c r="O4" s="84">
        <f t="shared" si="0"/>
        <v>-3357.1428571428573</v>
      </c>
      <c r="P4" s="81">
        <v>7</v>
      </c>
      <c r="Q4" s="68">
        <v>-23500</v>
      </c>
    </row>
    <row r="5" spans="1:17" x14ac:dyDescent="0.45">
      <c r="A5" s="21" t="s">
        <v>7</v>
      </c>
      <c r="B5" s="131">
        <f>IF(B$2=0,0,B$4/B$2)</f>
        <v>-16.074999999999999</v>
      </c>
      <c r="C5" s="132"/>
      <c r="E5" s="29" t="s">
        <v>64</v>
      </c>
      <c r="F5" s="26" t="s">
        <v>20</v>
      </c>
      <c r="G5" s="14">
        <v>6</v>
      </c>
      <c r="H5" s="92">
        <f>IF(B$19=0,0,G5/B$19)</f>
        <v>0.31578947368421051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-4400</v>
      </c>
      <c r="P5" s="81">
        <v>5</v>
      </c>
      <c r="Q5" s="68">
        <v>-22000</v>
      </c>
    </row>
    <row r="6" spans="1:17" x14ac:dyDescent="0.45">
      <c r="A6" s="21" t="s">
        <v>1</v>
      </c>
      <c r="B6" s="145">
        <f>IF(B$2=0,0,(B$7*1+B$8*2+B$9*3)/B$2)</f>
        <v>2.5</v>
      </c>
      <c r="C6" s="146"/>
      <c r="E6" s="29" t="s">
        <v>68</v>
      </c>
      <c r="F6" s="26" t="s">
        <v>12</v>
      </c>
      <c r="G6" s="14">
        <v>5</v>
      </c>
      <c r="H6" s="92">
        <f>IF(B$19=0,0,G6/B$19)</f>
        <v>0.26315789473684209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2950</v>
      </c>
      <c r="P6" s="81">
        <v>4</v>
      </c>
      <c r="Q6" s="68">
        <v>11800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70</v>
      </c>
      <c r="F7" s="26" t="s">
        <v>25</v>
      </c>
      <c r="G7" s="14">
        <v>4</v>
      </c>
      <c r="H7" s="92">
        <f>IF(B$19=0,0,G7/B$19)</f>
        <v>0.21052631578947367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3633.3333333333335</v>
      </c>
      <c r="P7" s="82">
        <v>3</v>
      </c>
      <c r="Q7" s="69">
        <v>10900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89</v>
      </c>
      <c r="F8" s="26" t="s">
        <v>44</v>
      </c>
      <c r="G8" s="14">
        <v>4</v>
      </c>
      <c r="H8" s="92">
        <f>IF(B$19=0,0,G8/B$19)</f>
        <v>0.21052631578947367</v>
      </c>
      <c r="I8" s="60">
        <v>2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0.75</v>
      </c>
      <c r="E9" s="29" t="s">
        <v>65</v>
      </c>
      <c r="F9" s="26" t="s">
        <v>21</v>
      </c>
      <c r="G9" s="14">
        <v>3</v>
      </c>
      <c r="H9" s="92">
        <f>IF(B$19=0,0,G9/B$19)</f>
        <v>0.15789473684210525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61.3</v>
      </c>
      <c r="C10" s="114">
        <v>122.6</v>
      </c>
      <c r="E10" s="29" t="s">
        <v>67</v>
      </c>
      <c r="F10" s="26" t="s">
        <v>23</v>
      </c>
      <c r="G10" s="14">
        <v>3</v>
      </c>
      <c r="H10" s="92">
        <f>IF(B$19=0,0,G10/B$19)</f>
        <v>0.15789473684210525</v>
      </c>
      <c r="I10" s="60">
        <v>8</v>
      </c>
      <c r="K10" s="7">
        <v>8</v>
      </c>
      <c r="L10" s="65">
        <v>-128.6</v>
      </c>
      <c r="N10" s="77" t="s">
        <v>152</v>
      </c>
      <c r="O10" s="86">
        <f>IF(P10=0,0,Q10/P10)</f>
        <v>8.3000000000000007</v>
      </c>
      <c r="P10" s="80">
        <v>4</v>
      </c>
      <c r="Q10" s="71">
        <v>33.200000000000003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69</v>
      </c>
      <c r="F11" s="26" t="s">
        <v>24</v>
      </c>
      <c r="G11" s="14">
        <v>3</v>
      </c>
      <c r="H11" s="92">
        <f>IF(B$19=0,0,G11/B$19)</f>
        <v>0.15789473684210525</v>
      </c>
      <c r="I11" s="60">
        <v>2</v>
      </c>
      <c r="N11" s="78" t="s">
        <v>153</v>
      </c>
      <c r="O11" s="87">
        <f>IF(P11=0,0,Q11/P11)</f>
        <v>-31.7</v>
      </c>
      <c r="P11" s="81">
        <v>1</v>
      </c>
      <c r="Q11" s="72">
        <v>-31.7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71</v>
      </c>
      <c r="F12" s="26" t="s">
        <v>26</v>
      </c>
      <c r="G12" s="14">
        <v>2</v>
      </c>
      <c r="H12" s="92">
        <f>IF(B$19=0,0,G12/B$19)</f>
        <v>0.10526315789473684</v>
      </c>
      <c r="I12" s="60">
        <v>2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31">
        <f>AVERAGE(B10:B12)</f>
        <v>6.477777777777777</v>
      </c>
      <c r="C13" s="132"/>
      <c r="E13" s="29" t="s">
        <v>78</v>
      </c>
      <c r="F13" s="26" t="s">
        <v>33</v>
      </c>
      <c r="G13" s="14">
        <v>2</v>
      </c>
      <c r="H13" s="92">
        <f>IF(B$19=0,0,G13/B$19)</f>
        <v>0.10526315789473684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0.375</v>
      </c>
      <c r="E14" s="29" t="s">
        <v>83</v>
      </c>
      <c r="F14" s="26" t="s">
        <v>38</v>
      </c>
      <c r="G14" s="14">
        <v>1</v>
      </c>
      <c r="H14" s="92">
        <f>IF(B$19=0,0,G14/B$19)</f>
        <v>5.2631578947368418E-2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0.15254237288135594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192</v>
      </c>
      <c r="O15" s="86">
        <f>IF(P15=0,0,Q15/P15)</f>
        <v>8.1000000000000014</v>
      </c>
      <c r="P15" s="80">
        <v>3</v>
      </c>
      <c r="Q15" s="71">
        <v>24.300000000000004</v>
      </c>
    </row>
    <row r="16" spans="1:17" x14ac:dyDescent="0.45">
      <c r="A16" s="21" t="s">
        <v>118</v>
      </c>
      <c r="B16" s="14">
        <v>22</v>
      </c>
      <c r="C16" s="8">
        <f>IF(B$3=0,0,B16/B$3)</f>
        <v>0.3728813559322034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3.3666666666666649</v>
      </c>
      <c r="P16" s="81">
        <v>3</v>
      </c>
      <c r="Q16" s="72">
        <v>10.099999999999994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0.77777777777777779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3</v>
      </c>
      <c r="N17" s="78" t="s">
        <v>126</v>
      </c>
      <c r="O17" s="87">
        <f>IF(P17=0,0,Q17/P17)</f>
        <v>-32.975000000000001</v>
      </c>
      <c r="P17" s="81">
        <v>8</v>
      </c>
      <c r="Q17" s="72">
        <v>-263.8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0.22727272727272727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189</v>
      </c>
      <c r="O18" s="87">
        <f>IF(P18=0,0,Q18/P18)</f>
        <v>-57.7</v>
      </c>
      <c r="P18" s="81">
        <v>1</v>
      </c>
      <c r="Q18" s="72">
        <v>-57.7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0.32203389830508472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  <c r="N19" s="78" t="s">
        <v>164</v>
      </c>
      <c r="O19" s="87">
        <f>IF(P19=0,0,Q19/P19)</f>
        <v>-98.7</v>
      </c>
      <c r="P19" s="81">
        <v>1</v>
      </c>
      <c r="Q19" s="72">
        <v>-98.7</v>
      </c>
    </row>
    <row r="20" spans="1:17" x14ac:dyDescent="0.45">
      <c r="A20" s="21" t="s">
        <v>13</v>
      </c>
      <c r="B20" s="14">
        <v>16</v>
      </c>
      <c r="C20" s="8">
        <f>IF(B$3=0,0,B20/B$3)</f>
        <v>0.2711864406779661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7</v>
      </c>
      <c r="C21" s="8">
        <f>IF(B$19=0,0,B21/B$19)</f>
        <v>0.36842105263157893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12</v>
      </c>
      <c r="C22" s="8">
        <f>IF(B$19=0,0,B22/B$19)</f>
        <v>0.63157894736842102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7</v>
      </c>
      <c r="C23" s="8">
        <f>IF(B$19=0,0,B23/B$19)</f>
        <v>0.36842105263157893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5</v>
      </c>
      <c r="C24" s="8">
        <f>IF(B$19=0,0,B24/B$19)</f>
        <v>0.26315789473684209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7</v>
      </c>
      <c r="C25" s="8">
        <f>IF(B$19=0,0,B25/B$19)</f>
        <v>0.36842105263157893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9442.105263157895</v>
      </c>
      <c r="C26" s="10">
        <v>179400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166</v>
      </c>
      <c r="B27" s="99">
        <f>IF($B$19-B$18=0,0,C27/($B$19-B$18))</f>
        <v>8407.1428571428569</v>
      </c>
      <c r="C27" s="100">
        <v>117700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12340</v>
      </c>
      <c r="C28" s="100">
        <v>61700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-11700</v>
      </c>
      <c r="C29" s="100">
        <v>-187200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5.2631578947368418E-2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0.21052631578947367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3</v>
      </c>
      <c r="C38" s="8">
        <f t="shared" si="2"/>
        <v>0.15789473684210525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3</v>
      </c>
      <c r="C40" s="8">
        <f t="shared" si="2"/>
        <v>0.15789473684210525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1</v>
      </c>
      <c r="C41" s="8">
        <f t="shared" si="2"/>
        <v>5.2631578947368418E-2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30">
        <v>1</v>
      </c>
      <c r="C42" s="8">
        <f t="shared" si="2"/>
        <v>5.2631578947368418E-2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1</v>
      </c>
      <c r="C43" s="8">
        <f t="shared" si="2"/>
        <v>5.2631578947368418E-2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1</v>
      </c>
      <c r="C46" s="8">
        <f t="shared" si="2"/>
        <v>5.2631578947368418E-2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E7CC-C971-43F3-B212-721B46AC572B}">
  <sheetPr codeName="Sheet22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1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2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1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2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1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4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2020-04-09T16:03:59Z</dcterms:modified>
</cp:coreProperties>
</file>