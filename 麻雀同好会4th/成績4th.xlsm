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0235E642-7404-4C1D-BD65-E785DD8CAF60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0" i="6180"/>
  <c r="O16" i="6176"/>
  <c r="O17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6" i="6182" l="1"/>
  <c r="O15" i="6190"/>
  <c r="O16" i="6178"/>
  <c r="O18" i="6186"/>
  <c r="O19" i="6190" l="1"/>
  <c r="O15" i="6178"/>
  <c r="O18" i="6190"/>
  <c r="O17" i="6176"/>
  <c r="O15" i="6184" l="1"/>
  <c r="O17" i="6178"/>
  <c r="O22" i="6180"/>
  <c r="O18" i="6184"/>
  <c r="O19" i="6174"/>
  <c r="O17" i="6190"/>
  <c r="O16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1" i="6190"/>
  <c r="H14" i="6190"/>
  <c r="C24" i="6190"/>
  <c r="H17" i="6190"/>
  <c r="H21" i="6190"/>
  <c r="H42" i="6190"/>
  <c r="H33" i="6190"/>
  <c r="H3" i="6190"/>
  <c r="H27" i="6190"/>
  <c r="C42" i="6190"/>
  <c r="H9" i="6190"/>
  <c r="C19" i="6190"/>
  <c r="C25" i="6190"/>
  <c r="H36" i="6190"/>
  <c r="H16" i="6190"/>
  <c r="C36" i="6190"/>
  <c r="H48" i="6190"/>
  <c r="C46" i="6190"/>
  <c r="H15" i="6190"/>
  <c r="H28" i="6190"/>
  <c r="H47" i="6190"/>
  <c r="H19" i="6190"/>
  <c r="H25" i="6190"/>
  <c r="C48" i="6190"/>
  <c r="H2" i="6190"/>
  <c r="H43" i="6190"/>
  <c r="H30" i="6190"/>
  <c r="H37" i="6190"/>
  <c r="H13" i="6190"/>
  <c r="H38" i="6190"/>
  <c r="H6" i="6190"/>
  <c r="H20" i="6190"/>
  <c r="H23" i="6190"/>
  <c r="C21" i="6190"/>
  <c r="H31" i="6190"/>
  <c r="H41" i="6190"/>
  <c r="H49" i="6190"/>
  <c r="C38" i="6190"/>
  <c r="H44" i="6190"/>
  <c r="H8" i="6190"/>
  <c r="H12" i="6190"/>
  <c r="B26" i="6190"/>
  <c r="H34" i="6190"/>
  <c r="H39" i="6190"/>
  <c r="C44" i="6190"/>
  <c r="H51" i="6190"/>
  <c r="H18" i="6190"/>
  <c r="H5" i="6190"/>
  <c r="H10" i="6190"/>
  <c r="H22" i="6190"/>
  <c r="H24" i="6190"/>
  <c r="C22" i="6190"/>
  <c r="B27" i="6190"/>
  <c r="H40" i="6190"/>
  <c r="H45" i="6190"/>
  <c r="H4" i="6190"/>
  <c r="C23" i="6190"/>
  <c r="H7" i="6190"/>
  <c r="H35" i="6190"/>
  <c r="C40" i="6190"/>
  <c r="H46" i="6190"/>
  <c r="H52" i="6190"/>
  <c r="C39" i="6190"/>
  <c r="C43" i="6190"/>
  <c r="C47" i="6190"/>
  <c r="H26" i="6190"/>
  <c r="H29" i="6190"/>
  <c r="H32" i="6190"/>
  <c r="C37" i="6190"/>
  <c r="C41" i="6190"/>
  <c r="C45" i="6190"/>
  <c r="O18" i="6180" l="1"/>
  <c r="O20" i="6186"/>
  <c r="O22" i="6176"/>
  <c r="O16" i="6186"/>
  <c r="O17" i="6180" l="1"/>
  <c r="O19" i="6182"/>
  <c r="O21" i="6176"/>
  <c r="O18" i="6176"/>
  <c r="O15" i="6182"/>
  <c r="O19" i="6184"/>
  <c r="O16" i="6188" l="1"/>
  <c r="O19" i="6188"/>
  <c r="O20" i="6184"/>
  <c r="O21" i="6184"/>
  <c r="O15" i="6180"/>
  <c r="O19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6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7" i="6184"/>
  <c r="O16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6" i="6174"/>
  <c r="O20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20" i="6174"/>
  <c r="O16" i="6180"/>
  <c r="O21" i="6180"/>
  <c r="C34" i="6180"/>
  <c r="B29" i="6180"/>
  <c r="C20" i="6180"/>
  <c r="B19" i="6180"/>
  <c r="H16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18" i="6174"/>
  <c r="O20" i="6176"/>
  <c r="O15" i="6176"/>
  <c r="C34" i="6176"/>
  <c r="B29" i="6176"/>
  <c r="C20" i="6176"/>
  <c r="B19" i="6176"/>
  <c r="H5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5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3" i="6182"/>
  <c r="H52" i="6182"/>
  <c r="H22" i="6182"/>
  <c r="C21" i="6182"/>
  <c r="H4" i="6182"/>
  <c r="H35" i="6182"/>
  <c r="H2" i="6182"/>
  <c r="H9" i="6182"/>
  <c r="H24" i="6182"/>
  <c r="C22" i="6182"/>
  <c r="H40" i="6182"/>
  <c r="H18" i="6182"/>
  <c r="H34" i="6182"/>
  <c r="C25" i="6182"/>
  <c r="C40" i="6182"/>
  <c r="H27" i="6182"/>
  <c r="H7" i="6182"/>
  <c r="H21" i="6182"/>
  <c r="H41" i="6182"/>
  <c r="H44" i="6182"/>
  <c r="C44" i="6182"/>
  <c r="H5" i="6182"/>
  <c r="H10" i="6182"/>
  <c r="H23" i="6182"/>
  <c r="B26" i="6182"/>
  <c r="H36" i="6182"/>
  <c r="H45" i="6182"/>
  <c r="H15" i="6182"/>
  <c r="H8" i="6182"/>
  <c r="H39" i="6182"/>
  <c r="C46" i="6182"/>
  <c r="H19" i="6182"/>
  <c r="H16" i="6182"/>
  <c r="H11" i="6182"/>
  <c r="H6" i="6182"/>
  <c r="H12" i="6182"/>
  <c r="H20" i="6182"/>
  <c r="H26" i="6182"/>
  <c r="C39" i="6182"/>
  <c r="H47" i="6182"/>
  <c r="H29" i="6182"/>
  <c r="H31" i="6182"/>
  <c r="C36" i="6182"/>
  <c r="C42" i="6182"/>
  <c r="C47" i="6182"/>
  <c r="H14" i="6182"/>
  <c r="C19" i="6182"/>
  <c r="C24" i="6182"/>
  <c r="H37" i="6182"/>
  <c r="H43" i="6182"/>
  <c r="H48" i="6182"/>
  <c r="H13" i="6182"/>
  <c r="H17" i="6182"/>
  <c r="C38" i="6182"/>
  <c r="C43" i="6182"/>
  <c r="C48" i="6182"/>
  <c r="H27" i="6176"/>
  <c r="H33" i="6176"/>
  <c r="H43" i="6176"/>
  <c r="H23" i="6176"/>
  <c r="H11" i="6176"/>
  <c r="C47" i="6176"/>
  <c r="H48" i="6176"/>
  <c r="H21" i="6176"/>
  <c r="H37" i="6176"/>
  <c r="H7" i="6176"/>
  <c r="C22" i="6176"/>
  <c r="C36" i="6176"/>
  <c r="H26" i="6176"/>
  <c r="H18" i="6176"/>
  <c r="H9" i="6176"/>
  <c r="H17" i="6176"/>
  <c r="B27" i="6176"/>
  <c r="B26" i="6176"/>
  <c r="C40" i="6176"/>
  <c r="H2" i="6176"/>
  <c r="C21" i="6176"/>
  <c r="H3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7" i="6184"/>
  <c r="H6" i="6184"/>
  <c r="H13" i="6184"/>
  <c r="H26" i="6184"/>
  <c r="H34" i="6184"/>
  <c r="H22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3" i="6186"/>
  <c r="H35" i="6186"/>
  <c r="H24" i="6186"/>
  <c r="H38" i="6186"/>
  <c r="H8" i="6186"/>
  <c r="H21" i="6186"/>
  <c r="H9" i="6186"/>
  <c r="C40" i="6186"/>
  <c r="H19" i="6186"/>
  <c r="C23" i="6186"/>
  <c r="H43" i="6186"/>
  <c r="H7" i="6186"/>
  <c r="H13" i="6186"/>
  <c r="H25" i="6186"/>
  <c r="H30" i="6186"/>
  <c r="C22" i="6186"/>
  <c r="B27" i="6186"/>
  <c r="H26" i="6186"/>
  <c r="H32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9" i="6186"/>
  <c r="H37" i="6186"/>
  <c r="C43" i="6186"/>
  <c r="C44" i="6186"/>
  <c r="H5" i="6186"/>
  <c r="B26" i="6186"/>
  <c r="H47" i="6186"/>
  <c r="H11" i="6186"/>
  <c r="H15" i="6186"/>
  <c r="H22" i="6186"/>
  <c r="C36" i="6186"/>
  <c r="H27" i="6186"/>
  <c r="H31" i="6186"/>
  <c r="H40" i="6186"/>
  <c r="H48" i="6186"/>
  <c r="H14" i="6186"/>
  <c r="H3" i="6186"/>
  <c r="H2" i="6186"/>
  <c r="H17" i="6186"/>
  <c r="C21" i="6186"/>
  <c r="C39" i="6186"/>
  <c r="C47" i="6186"/>
  <c r="C18" i="6186"/>
  <c r="H39" i="6186"/>
  <c r="H44" i="6186"/>
  <c r="H49" i="6186"/>
  <c r="C48" i="6186"/>
  <c r="C24" i="6186"/>
  <c r="H33" i="6186"/>
  <c r="H41" i="6186"/>
  <c r="H45" i="6186"/>
  <c r="H50" i="6186"/>
  <c r="H20" i="6186"/>
  <c r="C25" i="6186"/>
  <c r="H42" i="6186"/>
  <c r="H46" i="6186"/>
  <c r="H52" i="6186"/>
  <c r="B28" i="6186"/>
  <c r="H28" i="6186"/>
  <c r="H18" i="6186"/>
  <c r="H34" i="6186"/>
  <c r="C37" i="6186"/>
  <c r="C41" i="6186"/>
  <c r="C45" i="6186"/>
  <c r="H51" i="6186"/>
  <c r="H12" i="6186"/>
  <c r="H16" i="6186"/>
  <c r="H10" i="6186"/>
  <c r="H36" i="6186"/>
  <c r="C38" i="6186"/>
  <c r="C42" i="6186"/>
  <c r="C46" i="6186"/>
  <c r="H34" i="6174"/>
  <c r="H43" i="6184"/>
  <c r="H15" i="6184"/>
  <c r="H35" i="6184"/>
  <c r="C44" i="6184"/>
  <c r="H4" i="6184"/>
  <c r="H11" i="6184"/>
  <c r="H23" i="6184"/>
  <c r="C22" i="6184"/>
  <c r="H46" i="6184"/>
  <c r="H10" i="6184"/>
  <c r="H7" i="6184"/>
  <c r="C23" i="6184"/>
  <c r="C36" i="6184"/>
  <c r="H48" i="6184"/>
  <c r="H38" i="6184"/>
  <c r="H3" i="6184"/>
  <c r="H25" i="6184"/>
  <c r="H30" i="6184"/>
  <c r="H40" i="6184"/>
  <c r="H21" i="6184"/>
  <c r="H2" i="6184"/>
  <c r="C25" i="6184"/>
  <c r="H49" i="6184"/>
  <c r="H27" i="6184"/>
  <c r="H8" i="6184"/>
  <c r="H41" i="6184"/>
  <c r="H5" i="6184"/>
  <c r="H24" i="6184"/>
  <c r="C21" i="6184"/>
  <c r="B26" i="6184"/>
  <c r="C40" i="6184"/>
  <c r="H47" i="6184"/>
  <c r="H52" i="6184"/>
  <c r="H9" i="6184"/>
  <c r="H12" i="6184"/>
  <c r="B27" i="6184"/>
  <c r="H37" i="6184"/>
  <c r="H42" i="6184"/>
  <c r="C46" i="6184"/>
  <c r="H19" i="6184"/>
  <c r="H16" i="6184"/>
  <c r="H39" i="6184"/>
  <c r="H44" i="6184"/>
  <c r="C48" i="6184"/>
  <c r="C19" i="6184"/>
  <c r="C24" i="6184"/>
  <c r="H20" i="6184"/>
  <c r="C38" i="6184"/>
  <c r="H45" i="6184"/>
  <c r="H50" i="6184"/>
  <c r="H14" i="6184"/>
  <c r="H28" i="6184"/>
  <c r="H18" i="6184"/>
  <c r="H32" i="6184"/>
  <c r="H36" i="6184"/>
  <c r="C39" i="6184"/>
  <c r="C43" i="6184"/>
  <c r="C47" i="6184"/>
  <c r="H29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8" i="6180"/>
  <c r="H24" i="6180"/>
  <c r="H22" i="6180"/>
  <c r="H9" i="6180"/>
  <c r="C18" i="6180"/>
  <c r="H25" i="6180"/>
  <c r="C21" i="6180"/>
  <c r="H29" i="6180"/>
  <c r="H36" i="6180"/>
  <c r="H14" i="6180"/>
  <c r="C40" i="6180"/>
  <c r="H3" i="6180"/>
  <c r="H17" i="6180"/>
  <c r="C22" i="6180"/>
  <c r="H42" i="6180"/>
  <c r="H2" i="6180"/>
  <c r="H27" i="6180"/>
  <c r="H4" i="6180"/>
  <c r="C25" i="6180"/>
  <c r="C42" i="6180"/>
  <c r="H46" i="6180"/>
  <c r="H18" i="6180"/>
  <c r="C46" i="6180"/>
  <c r="B26" i="6180"/>
  <c r="H37" i="6180"/>
  <c r="H48" i="6180"/>
  <c r="H7" i="6180"/>
  <c r="H13" i="6180"/>
  <c r="H8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6" i="6180"/>
  <c r="C19" i="6180"/>
  <c r="C24" i="6180"/>
  <c r="H38" i="6180"/>
  <c r="H45" i="6180"/>
  <c r="H5" i="6180"/>
  <c r="H15" i="6180"/>
  <c r="H12" i="6180"/>
  <c r="H20" i="6180"/>
  <c r="C38" i="6180"/>
  <c r="C44" i="6180"/>
  <c r="H52" i="6180"/>
  <c r="C39" i="6180"/>
  <c r="C43" i="6180"/>
  <c r="C47" i="6180"/>
  <c r="H23" i="6180"/>
  <c r="H33" i="6180"/>
  <c r="H21" i="6180"/>
  <c r="C37" i="6180"/>
  <c r="C41" i="6180"/>
  <c r="C45" i="6180"/>
  <c r="H51" i="6180"/>
  <c r="H19" i="6180"/>
  <c r="C23" i="6180"/>
  <c r="B27" i="6180"/>
  <c r="H35" i="6180"/>
  <c r="H39" i="6180"/>
  <c r="H43" i="6180"/>
  <c r="H47" i="6180"/>
  <c r="C18" i="6174"/>
  <c r="H7" i="6174"/>
  <c r="C36" i="6174"/>
  <c r="H30" i="6174"/>
  <c r="H31" i="6174"/>
  <c r="H43" i="6174"/>
  <c r="H33" i="6174"/>
  <c r="H22" i="6174"/>
  <c r="C23" i="6174"/>
  <c r="C42" i="6174"/>
  <c r="H14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2" i="6176"/>
  <c r="H19" i="6176"/>
  <c r="H40" i="6176"/>
  <c r="H45" i="6176"/>
  <c r="H50" i="6176"/>
  <c r="H24" i="6176"/>
  <c r="H15" i="6176"/>
  <c r="H10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4" i="6176"/>
  <c r="H16" i="6176"/>
  <c r="H30" i="6176"/>
  <c r="H8" i="6176"/>
  <c r="H36" i="6176"/>
  <c r="C38" i="6176"/>
  <c r="C42" i="6176"/>
  <c r="C46" i="6176"/>
  <c r="H49" i="6174"/>
  <c r="C48" i="6174"/>
  <c r="C38" i="6174"/>
  <c r="H11" i="6174"/>
  <c r="H21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2" i="6174"/>
  <c r="H15" i="6174"/>
  <c r="H16" i="6174"/>
  <c r="H37" i="6174"/>
  <c r="C44" i="6174"/>
  <c r="H29" i="6174"/>
  <c r="H42" i="6174"/>
  <c r="H46" i="6174"/>
  <c r="H5" i="6174"/>
  <c r="H39" i="6174"/>
  <c r="H24" i="6174"/>
  <c r="H18" i="6174"/>
  <c r="H44" i="6174"/>
  <c r="H41" i="6174"/>
  <c r="H25" i="6174"/>
  <c r="H2" i="6174"/>
  <c r="H3" i="6174"/>
  <c r="H23" i="6174"/>
  <c r="C21" i="6174"/>
  <c r="B26" i="6174"/>
  <c r="C40" i="6174"/>
  <c r="H47" i="6174"/>
  <c r="H52" i="6174"/>
  <c r="H17" i="6174"/>
  <c r="H35" i="6174"/>
  <c r="H13" i="6174"/>
  <c r="H36" i="6174"/>
  <c r="H38" i="6174"/>
  <c r="C39" i="6174"/>
  <c r="C43" i="6174"/>
  <c r="C47" i="6174"/>
  <c r="H27" i="6174"/>
  <c r="H28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<sst xmlns="http://schemas.openxmlformats.org/spreadsheetml/2006/main" count="2686" uniqueCount="230">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</sst>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全体!$K$2:$K$266</c:f>
              <c:numCache>
                <c:formatCode>General</c:formatCode>
                <c:ptCount val="2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</c:numCache>
            </c:numRef>
          </c:xVal>
          <c:yVal>
            <c:numRef>
              <c:f>全体!$L$2:$L$266</c:f>
              <c:numCache>
                <c:formatCode>\+0.0;\-0.0;\±0</c:formatCode>
                <c:ptCount val="265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-11.627906976744185</c:v>
                </c:pt>
                <c:pt idx="1">
                  <c:v>-3.9215686274509802</c:v>
                </c:pt>
                <c:pt idx="2">
                  <c:v>-8.3333333333333339</c:v>
                </c:pt>
                <c:pt idx="3">
                  <c:v>23.474178403755868</c:v>
                </c:pt>
                <c:pt idx="4">
                  <c:v>-69.892473118279568</c:v>
                </c:pt>
                <c:pt idx="5">
                  <c:v>96.296296296296291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47</c:v>
                </c:pt>
                <c:pt idx="1">
                  <c:v>108</c:v>
                </c:pt>
                <c:pt idx="2">
                  <c:v>105</c:v>
                </c:pt>
                <c:pt idx="3">
                  <c:v>113</c:v>
                </c:pt>
                <c:pt idx="4">
                  <c:v>87</c:v>
                </c:pt>
                <c:pt idx="5">
                  <c:v>57</c:v>
                </c:pt>
                <c:pt idx="6">
                  <c:v>37</c:v>
                </c:pt>
                <c:pt idx="7">
                  <c:v>15</c:v>
                </c:pt>
                <c:pt idx="8">
                  <c:v>10</c:v>
                </c:pt>
                <c:pt idx="9">
                  <c:v>8</c:v>
                </c:pt>
                <c:pt idx="10">
                  <c:v>4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れんたろう!$L$2:$L$51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-1295.7446808510638</c:v>
                </c:pt>
                <c:pt idx="1">
                  <c:v>-1536.1702127659576</c:v>
                </c:pt>
                <c:pt idx="2">
                  <c:v>523.25581395348843</c:v>
                </c:pt>
                <c:pt idx="3">
                  <c:v>-1853.8461538461538</c:v>
                </c:pt>
                <c:pt idx="4">
                  <c:v>350</c:v>
                </c:pt>
                <c:pt idx="5">
                  <c:v>3638.4615384615386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13</c:v>
                </c:pt>
                <c:pt idx="2">
                  <c:v>10</c:v>
                </c:pt>
                <c:pt idx="3">
                  <c:v>30</c:v>
                </c:pt>
                <c:pt idx="4">
                  <c:v>20</c:v>
                </c:pt>
                <c:pt idx="5">
                  <c:v>11</c:v>
                </c:pt>
                <c:pt idx="6">
                  <c:v>9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だいち!$L$2:$L$66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-137.5</c:v>
                </c:pt>
                <c:pt idx="1">
                  <c:v>3740.3225806451615</c:v>
                </c:pt>
                <c:pt idx="2">
                  <c:v>3303.4482758620688</c:v>
                </c:pt>
                <c:pt idx="3">
                  <c:v>1811.7647058823529</c:v>
                </c:pt>
                <c:pt idx="4">
                  <c:v>-1441.304347826087</c:v>
                </c:pt>
                <c:pt idx="5">
                  <c:v>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8</c:v>
                </c:pt>
                <c:pt idx="1">
                  <c:v>23</c:v>
                </c:pt>
                <c:pt idx="2">
                  <c:v>25</c:v>
                </c:pt>
                <c:pt idx="3">
                  <c:v>30</c:v>
                </c:pt>
                <c:pt idx="4">
                  <c:v>27</c:v>
                </c:pt>
                <c:pt idx="5">
                  <c:v>14</c:v>
                </c:pt>
                <c:pt idx="6">
                  <c:v>8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りくと!$L$2:$L$31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-3814.2857142857142</c:v>
                </c:pt>
                <c:pt idx="1">
                  <c:v>1385.7142857142858</c:v>
                </c:pt>
                <c:pt idx="2">
                  <c:v>-3100</c:v>
                </c:pt>
                <c:pt idx="3">
                  <c:v>-861.90476190476193</c:v>
                </c:pt>
                <c:pt idx="4">
                  <c:v>1935.2941176470588</c:v>
                </c:pt>
                <c:pt idx="5">
                  <c:v>-4370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8</c:v>
                </c:pt>
                <c:pt idx="1">
                  <c:v>13</c:v>
                </c:pt>
                <c:pt idx="2">
                  <c:v>14</c:v>
                </c:pt>
                <c:pt idx="3">
                  <c:v>7</c:v>
                </c:pt>
                <c:pt idx="4">
                  <c:v>6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602.27272727272725</c:v>
                </c:pt>
                <c:pt idx="1">
                  <c:v>-406.81818181818181</c:v>
                </c:pt>
                <c:pt idx="2">
                  <c:v>-1200</c:v>
                </c:pt>
                <c:pt idx="3">
                  <c:v>960.97560975609758</c:v>
                </c:pt>
                <c:pt idx="4">
                  <c:v>-1591.4285714285713</c:v>
                </c:pt>
                <c:pt idx="5">
                  <c:v>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17</c:v>
                </c:pt>
                <c:pt idx="2">
                  <c:v>28</c:v>
                </c:pt>
                <c:pt idx="3">
                  <c:v>15</c:v>
                </c:pt>
                <c:pt idx="4">
                  <c:v>9</c:v>
                </c:pt>
                <c:pt idx="5">
                  <c:v>4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-1900</c:v>
                </c:pt>
                <c:pt idx="2">
                  <c:v>2950</c:v>
                </c:pt>
                <c:pt idx="3">
                  <c:v>-1273.6842105263158</c:v>
                </c:pt>
                <c:pt idx="4">
                  <c:v>4700</c:v>
                </c:pt>
                <c:pt idx="5">
                  <c:v>-800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2104.1666666666665</c:v>
                </c:pt>
                <c:pt idx="1">
                  <c:v>-5033.333333333333</c:v>
                </c:pt>
                <c:pt idx="2">
                  <c:v>-1786.9565217391305</c:v>
                </c:pt>
                <c:pt idx="3">
                  <c:v>690</c:v>
                </c:pt>
                <c:pt idx="4">
                  <c:v>455.55555555555554</c:v>
                </c:pt>
                <c:pt idx="5">
                  <c:v>-1427.2727272727273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5</c:v>
                </c:pt>
                <c:pt idx="1">
                  <c:v>17</c:v>
                </c:pt>
                <c:pt idx="2">
                  <c:v>7</c:v>
                </c:pt>
                <c:pt idx="3">
                  <c:v>14</c:v>
                </c:pt>
                <c:pt idx="4">
                  <c:v>7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1974423109204508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ただ2!$C$3:$C$28</c:f>
              <c:numCache>
                <c:formatCode>\+0.0;\-0.0;\±0</c:formatCode>
                <c:ptCount val="26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  <c:pt idx="9">
                  <c:v>-13.333333333333334</c:v>
                </c:pt>
                <c:pt idx="10">
                  <c:v>-11.28</c:v>
                </c:pt>
                <c:pt idx="11">
                  <c:v>-11</c:v>
                </c:pt>
                <c:pt idx="12">
                  <c:v>-9.0416666666666661</c:v>
                </c:pt>
                <c:pt idx="13">
                  <c:v>-4.8769230769230765</c:v>
                </c:pt>
                <c:pt idx="14">
                  <c:v>-3.0285714285714285</c:v>
                </c:pt>
                <c:pt idx="15">
                  <c:v>-4.38</c:v>
                </c:pt>
                <c:pt idx="16">
                  <c:v>-6.5500000000000007</c:v>
                </c:pt>
                <c:pt idx="17">
                  <c:v>-3.1117647058823539</c:v>
                </c:pt>
                <c:pt idx="18">
                  <c:v>-2.5444444444444452</c:v>
                </c:pt>
                <c:pt idx="19">
                  <c:v>-3.5578947368421057</c:v>
                </c:pt>
                <c:pt idx="20">
                  <c:v>-1.3350000000000004</c:v>
                </c:pt>
                <c:pt idx="21">
                  <c:v>-1.9619047619047625</c:v>
                </c:pt>
                <c:pt idx="22">
                  <c:v>-1.745454545454546</c:v>
                </c:pt>
                <c:pt idx="23">
                  <c:v>-3.6478260869565218</c:v>
                </c:pt>
                <c:pt idx="24">
                  <c:v>-2.8583333333333338</c:v>
                </c:pt>
                <c:pt idx="25">
                  <c:v>-1.9640000000000004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2111523905001707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ただ2!$D$3:$D$28</c:f>
              <c:numCache>
                <c:formatCode>0.00\ "位"</c:formatCode>
                <c:ptCount val="26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2.1052631578947367</c:v>
                </c:pt>
                <c:pt idx="20">
                  <c:v>2.0499999999999998</c:v>
                </c:pt>
                <c:pt idx="21">
                  <c:v>2.0952380952380953</c:v>
                </c:pt>
                <c:pt idx="22">
                  <c:v>2.0909090909090908</c:v>
                </c:pt>
                <c:pt idx="23">
                  <c:v>2.1304347826086958</c:v>
                </c:pt>
                <c:pt idx="24">
                  <c:v>2.0833333333333335</c:v>
                </c:pt>
                <c:pt idx="25">
                  <c:v>2.04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ただ2!$E$3:$E$28</c:f>
              <c:numCache>
                <c:formatCode>0.0%</c:formatCode>
                <c:ptCount val="2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ただ2!$F$3:$F$28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ただ2!$G$3:$G$28</c:f>
              <c:numCache>
                <c:formatCode>0.0%</c:formatCode>
                <c:ptCount val="26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  <c:pt idx="9">
                  <c:v>0.31818181818181818</c:v>
                </c:pt>
                <c:pt idx="10">
                  <c:v>0.32876712328767121</c:v>
                </c:pt>
                <c:pt idx="11">
                  <c:v>0.31707317073170732</c:v>
                </c:pt>
                <c:pt idx="12">
                  <c:v>0.32222222222222224</c:v>
                </c:pt>
                <c:pt idx="13">
                  <c:v>0.34375</c:v>
                </c:pt>
                <c:pt idx="14">
                  <c:v>0.35238095238095241</c:v>
                </c:pt>
                <c:pt idx="15">
                  <c:v>0.33913043478260868</c:v>
                </c:pt>
                <c:pt idx="16">
                  <c:v>0.32258064516129031</c:v>
                </c:pt>
                <c:pt idx="17">
                  <c:v>0.328125</c:v>
                </c:pt>
                <c:pt idx="18">
                  <c:v>0.32846715328467152</c:v>
                </c:pt>
                <c:pt idx="19">
                  <c:v>0.32167832167832167</c:v>
                </c:pt>
                <c:pt idx="20">
                  <c:v>0.33774834437086093</c:v>
                </c:pt>
                <c:pt idx="21">
                  <c:v>0.34375</c:v>
                </c:pt>
                <c:pt idx="22">
                  <c:v>0.33720930232558138</c:v>
                </c:pt>
                <c:pt idx="23">
                  <c:v>0.32240437158469948</c:v>
                </c:pt>
                <c:pt idx="24">
                  <c:v>0.3193717277486911</c:v>
                </c:pt>
                <c:pt idx="25">
                  <c:v>0.32663316582914576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066282420749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ただ2!$H$3:$H$28</c:f>
              <c:numCache>
                <c:formatCode>0.0%</c:formatCode>
                <c:ptCount val="26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  <c:pt idx="9">
                  <c:v>0.24242424242424243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0.24444444444444444</c:v>
                </c:pt>
                <c:pt idx="13">
                  <c:v>0.22916666666666666</c:v>
                </c:pt>
                <c:pt idx="14">
                  <c:v>0.21904761904761905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0.2265625</c:v>
                </c:pt>
                <c:pt idx="18">
                  <c:v>0.21897810218978103</c:v>
                </c:pt>
                <c:pt idx="19">
                  <c:v>0.21678321678321677</c:v>
                </c:pt>
                <c:pt idx="20">
                  <c:v>0.20529801324503311</c:v>
                </c:pt>
                <c:pt idx="21">
                  <c:v>0.2</c:v>
                </c:pt>
                <c:pt idx="22">
                  <c:v>0.19767441860465115</c:v>
                </c:pt>
                <c:pt idx="23">
                  <c:v>0.19672131147540983</c:v>
                </c:pt>
                <c:pt idx="24">
                  <c:v>0.19895287958115182</c:v>
                </c:pt>
                <c:pt idx="25">
                  <c:v>0.19597989949748743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609990393852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ただ2!$I$3:$I$28</c:f>
              <c:numCache>
                <c:formatCode>0</c:formatCode>
                <c:ptCount val="26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  <c:pt idx="9">
                  <c:v>9809.5238095238092</c:v>
                </c:pt>
                <c:pt idx="10">
                  <c:v>9712.5</c:v>
                </c:pt>
                <c:pt idx="11">
                  <c:v>9503.8461538461543</c:v>
                </c:pt>
                <c:pt idx="12">
                  <c:v>8979.310344827587</c:v>
                </c:pt>
                <c:pt idx="13">
                  <c:v>9090.9090909090901</c:v>
                </c:pt>
                <c:pt idx="14">
                  <c:v>9108.1081081081084</c:v>
                </c:pt>
                <c:pt idx="15">
                  <c:v>9082.0512820512813</c:v>
                </c:pt>
                <c:pt idx="16">
                  <c:v>8987.5</c:v>
                </c:pt>
                <c:pt idx="17">
                  <c:v>9978.5714285714294</c:v>
                </c:pt>
                <c:pt idx="18">
                  <c:v>9720</c:v>
                </c:pt>
                <c:pt idx="19">
                  <c:v>9676.0869565217399</c:v>
                </c:pt>
                <c:pt idx="20">
                  <c:v>9411.7647058823532</c:v>
                </c:pt>
                <c:pt idx="21">
                  <c:v>9172.7272727272721</c:v>
                </c:pt>
                <c:pt idx="22">
                  <c:v>9141.3793103448279</c:v>
                </c:pt>
                <c:pt idx="23">
                  <c:v>9116.9491525423728</c:v>
                </c:pt>
                <c:pt idx="24">
                  <c:v>9042.622950819672</c:v>
                </c:pt>
                <c:pt idx="25">
                  <c:v>8783.0769230769238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927.55775577557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ただ2!$J$3:$J$28</c:f>
              <c:numCache>
                <c:formatCode>0</c:formatCode>
                <c:ptCount val="26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  <c:pt idx="9">
                  <c:v>-11700</c:v>
                </c:pt>
                <c:pt idx="10">
                  <c:v>-11227.777777777777</c:v>
                </c:pt>
                <c:pt idx="11">
                  <c:v>-10365</c:v>
                </c:pt>
                <c:pt idx="12">
                  <c:v>-9904.545454545454</c:v>
                </c:pt>
                <c:pt idx="13">
                  <c:v>-9904.545454545454</c:v>
                </c:pt>
                <c:pt idx="14">
                  <c:v>-9821.7391304347821</c:v>
                </c:pt>
                <c:pt idx="15">
                  <c:v>-9836</c:v>
                </c:pt>
                <c:pt idx="16">
                  <c:v>-9542.8571428571431</c:v>
                </c:pt>
                <c:pt idx="17">
                  <c:v>-9479.310344827587</c:v>
                </c:pt>
                <c:pt idx="18">
                  <c:v>-9336.6666666666661</c:v>
                </c:pt>
                <c:pt idx="19">
                  <c:v>-9551.6129032258068</c:v>
                </c:pt>
                <c:pt idx="20">
                  <c:v>-9551.6129032258068</c:v>
                </c:pt>
                <c:pt idx="21">
                  <c:v>-9753.125</c:v>
                </c:pt>
                <c:pt idx="22">
                  <c:v>-9464.7058823529405</c:v>
                </c:pt>
                <c:pt idx="23">
                  <c:v>-9605.5555555555547</c:v>
                </c:pt>
                <c:pt idx="24">
                  <c:v>-9378.9473684210534</c:v>
                </c:pt>
                <c:pt idx="25">
                  <c:v>-9212.8205128205136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53.84615384615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2575757575757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ただ2!$L$3:$L$28</c:f>
              <c:numCache>
                <c:formatCode>0.0%</c:formatCode>
                <c:ptCount val="26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  <c:pt idx="9">
                  <c:v>0.16666666666666666</c:v>
                </c:pt>
                <c:pt idx="10">
                  <c:v>0.16438356164383561</c:v>
                </c:pt>
                <c:pt idx="11">
                  <c:v>0.15853658536585366</c:v>
                </c:pt>
                <c:pt idx="12">
                  <c:v>0.14444444444444443</c:v>
                </c:pt>
                <c:pt idx="13">
                  <c:v>0.17708333333333334</c:v>
                </c:pt>
                <c:pt idx="14">
                  <c:v>0.18095238095238095</c:v>
                </c:pt>
                <c:pt idx="15">
                  <c:v>0.17391304347826086</c:v>
                </c:pt>
                <c:pt idx="16">
                  <c:v>0.19354838709677419</c:v>
                </c:pt>
                <c:pt idx="17">
                  <c:v>0.1953125</c:v>
                </c:pt>
                <c:pt idx="18">
                  <c:v>0.18978102189781021</c:v>
                </c:pt>
                <c:pt idx="19">
                  <c:v>0.18181818181818182</c:v>
                </c:pt>
                <c:pt idx="20">
                  <c:v>0.19205298013245034</c:v>
                </c:pt>
                <c:pt idx="21">
                  <c:v>0.20624999999999999</c:v>
                </c:pt>
                <c:pt idx="22">
                  <c:v>0.19186046511627908</c:v>
                </c:pt>
                <c:pt idx="23">
                  <c:v>0.18579234972677597</c:v>
                </c:pt>
                <c:pt idx="24">
                  <c:v>0.18324607329842932</c:v>
                </c:pt>
                <c:pt idx="25">
                  <c:v>0.17587939698492464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3996157540826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ただ2!$M$3:$M$28</c:f>
              <c:numCache>
                <c:formatCode>0.0%</c:formatCode>
                <c:ptCount val="26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  <c:pt idx="9">
                  <c:v>0.34848484848484851</c:v>
                </c:pt>
                <c:pt idx="10">
                  <c:v>0.34246575342465752</c:v>
                </c:pt>
                <c:pt idx="11">
                  <c:v>0.32926829268292684</c:v>
                </c:pt>
                <c:pt idx="12">
                  <c:v>0.34444444444444444</c:v>
                </c:pt>
                <c:pt idx="13">
                  <c:v>0.33333333333333331</c:v>
                </c:pt>
                <c:pt idx="14">
                  <c:v>0.32380952380952382</c:v>
                </c:pt>
                <c:pt idx="15">
                  <c:v>0.31304347826086959</c:v>
                </c:pt>
                <c:pt idx="16">
                  <c:v>0.30645161290322581</c:v>
                </c:pt>
                <c:pt idx="17">
                  <c:v>0.3046875</c:v>
                </c:pt>
                <c:pt idx="18">
                  <c:v>0.29927007299270075</c:v>
                </c:pt>
                <c:pt idx="19">
                  <c:v>0.30769230769230771</c:v>
                </c:pt>
                <c:pt idx="20">
                  <c:v>0.31125827814569534</c:v>
                </c:pt>
                <c:pt idx="21">
                  <c:v>0.30625000000000002</c:v>
                </c:pt>
                <c:pt idx="22">
                  <c:v>0.31395348837209303</c:v>
                </c:pt>
                <c:pt idx="23">
                  <c:v>0.31693989071038253</c:v>
                </c:pt>
                <c:pt idx="24">
                  <c:v>0.31413612565445026</c:v>
                </c:pt>
                <c:pt idx="25">
                  <c:v>0.30150753768844218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2689721421709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ただ2!$N$3:$N$28</c:f>
              <c:numCache>
                <c:formatCode>0.0%</c:formatCode>
                <c:ptCount val="26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  <c:pt idx="9">
                  <c:v>0.72727272727272729</c:v>
                </c:pt>
                <c:pt idx="10">
                  <c:v>0.75</c:v>
                </c:pt>
                <c:pt idx="11">
                  <c:v>0.69230769230769229</c:v>
                </c:pt>
                <c:pt idx="12">
                  <c:v>0.69230769230769229</c:v>
                </c:pt>
                <c:pt idx="13">
                  <c:v>0.6470588235294118</c:v>
                </c:pt>
                <c:pt idx="14">
                  <c:v>0.68421052631578949</c:v>
                </c:pt>
                <c:pt idx="15">
                  <c:v>0.65</c:v>
                </c:pt>
                <c:pt idx="16">
                  <c:v>0.58333333333333337</c:v>
                </c:pt>
                <c:pt idx="17">
                  <c:v>0.6</c:v>
                </c:pt>
                <c:pt idx="18">
                  <c:v>0.57692307692307687</c:v>
                </c:pt>
                <c:pt idx="19">
                  <c:v>0.57692307692307687</c:v>
                </c:pt>
                <c:pt idx="20">
                  <c:v>0.62068965517241381</c:v>
                </c:pt>
                <c:pt idx="21">
                  <c:v>0.63636363636363635</c:v>
                </c:pt>
                <c:pt idx="22">
                  <c:v>0.63636363636363635</c:v>
                </c:pt>
                <c:pt idx="23">
                  <c:v>0.61764705882352944</c:v>
                </c:pt>
                <c:pt idx="24">
                  <c:v>0.62857142857142856</c:v>
                </c:pt>
                <c:pt idx="25">
                  <c:v>0.62857142857142856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3149606299212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ただ2!$O$3:$O$28</c:f>
              <c:numCache>
                <c:formatCode>0.0%</c:formatCode>
                <c:ptCount val="26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  <c:pt idx="9">
                  <c:v>0.2608695652173913</c:v>
                </c:pt>
                <c:pt idx="10">
                  <c:v>0.24</c:v>
                </c:pt>
                <c:pt idx="11">
                  <c:v>0.25925925925925924</c:v>
                </c:pt>
                <c:pt idx="12">
                  <c:v>0.25806451612903225</c:v>
                </c:pt>
                <c:pt idx="13">
                  <c:v>0.28125</c:v>
                </c:pt>
                <c:pt idx="14">
                  <c:v>0.29411764705882354</c:v>
                </c:pt>
                <c:pt idx="15">
                  <c:v>0.30555555555555558</c:v>
                </c:pt>
                <c:pt idx="16">
                  <c:v>0.28947368421052633</c:v>
                </c:pt>
                <c:pt idx="17">
                  <c:v>0.28205128205128205</c:v>
                </c:pt>
                <c:pt idx="18">
                  <c:v>0.29268292682926828</c:v>
                </c:pt>
                <c:pt idx="19">
                  <c:v>0.29545454545454547</c:v>
                </c:pt>
                <c:pt idx="20">
                  <c:v>0.2978723404255319</c:v>
                </c:pt>
                <c:pt idx="21">
                  <c:v>0.2857142857142857</c:v>
                </c:pt>
                <c:pt idx="22">
                  <c:v>0.29629629629629628</c:v>
                </c:pt>
                <c:pt idx="23">
                  <c:v>0.29310344827586204</c:v>
                </c:pt>
                <c:pt idx="24">
                  <c:v>0.28333333333333333</c:v>
                </c:pt>
                <c:pt idx="25">
                  <c:v>0.28333333333333333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2322274881516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ただ2!$P$3:$P$28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0.375</c:v>
                </c:pt>
                <c:pt idx="11">
                  <c:v>0.34615384615384615</c:v>
                </c:pt>
                <c:pt idx="12">
                  <c:v>0.34482758620689657</c:v>
                </c:pt>
                <c:pt idx="13">
                  <c:v>0.33333333333333331</c:v>
                </c:pt>
                <c:pt idx="14">
                  <c:v>0.29729729729729731</c:v>
                </c:pt>
                <c:pt idx="15">
                  <c:v>0.30769230769230771</c:v>
                </c:pt>
                <c:pt idx="16">
                  <c:v>0.32500000000000001</c:v>
                </c:pt>
                <c:pt idx="17">
                  <c:v>0.35714285714285715</c:v>
                </c:pt>
                <c:pt idx="18">
                  <c:v>0.35555555555555557</c:v>
                </c:pt>
                <c:pt idx="19">
                  <c:v>0.36956521739130432</c:v>
                </c:pt>
                <c:pt idx="20">
                  <c:v>0.35294117647058826</c:v>
                </c:pt>
                <c:pt idx="21">
                  <c:v>0.36363636363636365</c:v>
                </c:pt>
                <c:pt idx="22">
                  <c:v>0.37931034482758619</c:v>
                </c:pt>
                <c:pt idx="23">
                  <c:v>0.3728813559322034</c:v>
                </c:pt>
                <c:pt idx="24">
                  <c:v>0.39344262295081966</c:v>
                </c:pt>
                <c:pt idx="25">
                  <c:v>0.36923076923076925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2046204620462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5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  <row r="16" spans="1:12" x14ac:dyDescent="0.45">
      <c r="A16" s="2" t="s">
        <v>220</v>
      </c>
      <c r="B16" s="3">
        <v>43995.997442129628</v>
      </c>
      <c r="C16" s="2" t="s">
        <v>127</v>
      </c>
    </row>
    <row r="17" spans="1:5" x14ac:dyDescent="0.45">
      <c r="A17" s="2" t="s">
        <v>221</v>
      </c>
      <c r="B17" s="3">
        <v>43997.010659722226</v>
      </c>
      <c r="C17" s="2" t="s">
        <v>127</v>
      </c>
      <c r="D17" s="2" t="s">
        <v>191</v>
      </c>
    </row>
    <row r="18" spans="1:5" x14ac:dyDescent="0.45">
      <c r="A18" s="2" t="s">
        <v>222</v>
      </c>
      <c r="B18" s="3">
        <v>43998.009212962963</v>
      </c>
      <c r="C18" s="2" t="s">
        <v>127</v>
      </c>
      <c r="D18" s="2" t="s">
        <v>191</v>
      </c>
      <c r="E18" s="2" t="s">
        <v>195</v>
      </c>
    </row>
    <row r="19" spans="1:5" x14ac:dyDescent="0.45">
      <c r="A19" s="2" t="s">
        <v>223</v>
      </c>
      <c r="B19" s="3">
        <v>43998.999363425923</v>
      </c>
      <c r="C19" s="2" t="s">
        <v>127</v>
      </c>
      <c r="D19" s="2" t="s">
        <v>191</v>
      </c>
    </row>
    <row r="20" spans="1:5" x14ac:dyDescent="0.45">
      <c r="A20" s="2" t="s">
        <v>224</v>
      </c>
      <c r="B20" s="3">
        <v>44000.864976851852</v>
      </c>
      <c r="C20" s="2" t="s">
        <v>127</v>
      </c>
      <c r="D20" s="2" t="s">
        <v>191</v>
      </c>
    </row>
    <row r="21" spans="1:5" x14ac:dyDescent="0.45">
      <c r="A21" s="2" t="s">
        <v>225</v>
      </c>
      <c r="B21" s="3">
        <v>44001.554282407407</v>
      </c>
      <c r="C21" s="2" t="s">
        <v>127</v>
      </c>
      <c r="D21" s="2" t="s">
        <v>191</v>
      </c>
    </row>
    <row r="22" spans="1:5" x14ac:dyDescent="0.45">
      <c r="A22" s="2" t="s">
        <v>226</v>
      </c>
      <c r="B22" s="3">
        <v>44002.934583333335</v>
      </c>
      <c r="C22" s="2" t="s">
        <v>127</v>
      </c>
    </row>
    <row r="23" spans="1:5" x14ac:dyDescent="0.45">
      <c r="A23" s="2" t="s">
        <v>227</v>
      </c>
      <c r="B23" s="3">
        <v>44004.533136574071</v>
      </c>
      <c r="C23" s="2" t="s">
        <v>127</v>
      </c>
    </row>
    <row r="24" spans="1:5" x14ac:dyDescent="0.45">
      <c r="A24" s="2" t="s">
        <v>228</v>
      </c>
      <c r="B24" s="3">
        <v>44007.061574074076</v>
      </c>
      <c r="C24" s="2" t="s">
        <v>127</v>
      </c>
      <c r="D24" s="2" t="s">
        <v>191</v>
      </c>
      <c r="E24" s="2" t="s">
        <v>195</v>
      </c>
    </row>
    <row r="25" spans="1:5" x14ac:dyDescent="0.45">
      <c r="A25" s="2" t="s">
        <v>229</v>
      </c>
      <c r="B25" s="3">
        <v>44008.832615740743</v>
      </c>
      <c r="C25" s="2" t="s">
        <v>127</v>
      </c>
      <c r="D25" s="2" t="s">
        <v>191</v>
      </c>
      <c r="E25" s="2" t="s">
        <v>195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264</v>
      </c>
    </row>
    <row r="2" spans="1:2" x14ac:dyDescent="0.45">
      <c r="A2" t="s">
        <v>164</v>
      </c>
      <c r="B2">
        <v>49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64</v>
      </c>
    </row>
    <row r="5" spans="1:2" x14ac:dyDescent="0.45">
      <c r="A5" t="s">
        <v>194</v>
      </c>
      <c r="B5">
        <v>29</v>
      </c>
    </row>
    <row r="6" spans="1:2" x14ac:dyDescent="0.45">
      <c r="A6" t="s">
        <v>192</v>
      </c>
      <c r="B6">
        <v>45</v>
      </c>
    </row>
    <row r="7" spans="1:2" x14ac:dyDescent="0.45">
      <c r="A7" t="s">
        <v>193</v>
      </c>
      <c r="B7">
        <v>26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25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>
        <v>0.64771399336881963</v>
      </c>
      <c r="C2" s="140"/>
      <c r="D2" s="145"/>
      <c r="E2" s="146"/>
      <c r="F2" s="145"/>
      <c r="G2" s="146"/>
      <c r="H2" s="139">
        <v>-0.14977441138209907</v>
      </c>
      <c r="I2" s="140"/>
      <c r="J2" s="139">
        <v>0.88555991506721765</v>
      </c>
      <c r="K2" s="140"/>
      <c r="L2" s="139">
        <v>0.66356576308584625</v>
      </c>
      <c r="M2" s="140"/>
      <c r="N2" s="139">
        <v>0.87563986793741422</v>
      </c>
      <c r="O2" s="140"/>
      <c r="P2" s="139">
        <v>0.38123046780763187</v>
      </c>
      <c r="Q2" s="140"/>
      <c r="R2" s="139">
        <v>0.39678579975006006</v>
      </c>
      <c r="S2" s="140"/>
      <c r="T2" s="139">
        <v>0.51262901221473567</v>
      </c>
      <c r="U2" s="140"/>
      <c r="V2" s="139">
        <v>-0.28145781537640785</v>
      </c>
      <c r="W2" s="140"/>
      <c r="X2" s="139">
        <v>0.55145371316425396</v>
      </c>
      <c r="Y2" s="140"/>
      <c r="Z2" s="139">
        <v>7.320349804206637E-2</v>
      </c>
      <c r="AA2" s="140"/>
      <c r="AB2" s="139">
        <v>-0.11449991735095841</v>
      </c>
      <c r="AC2" s="140"/>
      <c r="AD2" s="139">
        <v>0.50272735989954487</v>
      </c>
      <c r="AE2" s="140"/>
      <c r="AF2" s="139">
        <v>-0.11141297959199807</v>
      </c>
      <c r="AG2" s="140"/>
      <c r="AH2" s="139">
        <v>0.79829410809431089</v>
      </c>
      <c r="AI2" s="140"/>
      <c r="AJ2" s="139">
        <v>-8.2850586645015406E-2</v>
      </c>
      <c r="AK2" s="140"/>
    </row>
    <row r="3" spans="1:37" x14ac:dyDescent="0.45">
      <c r="A3" s="40">
        <v>1</v>
      </c>
      <c r="B3" s="43" t="s">
        <v>139</v>
      </c>
      <c r="C3" s="117">
        <v>88</v>
      </c>
      <c r="D3" s="41" t="s">
        <v>126</v>
      </c>
      <c r="E3" s="42">
        <v>512.50000000000023</v>
      </c>
      <c r="F3" s="43" t="s">
        <v>126</v>
      </c>
      <c r="G3" s="62">
        <v>8.0078125000000036</v>
      </c>
      <c r="H3" s="43" t="s">
        <v>196</v>
      </c>
      <c r="I3" s="62">
        <v>7.6166666666666663</v>
      </c>
      <c r="J3" s="43" t="s">
        <v>126</v>
      </c>
      <c r="K3" s="44">
        <v>1.8125</v>
      </c>
      <c r="L3" s="43" t="s">
        <v>126</v>
      </c>
      <c r="M3" s="45">
        <v>0.390625</v>
      </c>
      <c r="N3" s="43" t="s">
        <v>196</v>
      </c>
      <c r="O3" s="45">
        <v>0.125</v>
      </c>
      <c r="P3" s="43" t="s">
        <v>205</v>
      </c>
      <c r="Q3" s="46">
        <v>0.32663316582914576</v>
      </c>
      <c r="R3" s="43" t="s">
        <v>196</v>
      </c>
      <c r="S3" s="46">
        <v>7.6923076923076927E-2</v>
      </c>
      <c r="T3" s="43" t="s">
        <v>164</v>
      </c>
      <c r="U3" s="47">
        <v>10267.289719626167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0.31413612565445026</v>
      </c>
      <c r="AD3" s="43" t="s">
        <v>213</v>
      </c>
      <c r="AE3" s="46">
        <v>0.70833333333333337</v>
      </c>
      <c r="AF3" s="43" t="s">
        <v>194</v>
      </c>
      <c r="AG3" s="46">
        <v>0.63636363636363635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64</v>
      </c>
      <c r="D4" s="49" t="s">
        <v>193</v>
      </c>
      <c r="E4" s="50">
        <v>86.8</v>
      </c>
      <c r="F4" s="51" t="s">
        <v>193</v>
      </c>
      <c r="G4" s="63">
        <v>3.3384615384615381</v>
      </c>
      <c r="H4" s="51" t="s">
        <v>194</v>
      </c>
      <c r="I4" s="63">
        <v>3.0923280423280417</v>
      </c>
      <c r="J4" s="51" t="s">
        <v>196</v>
      </c>
      <c r="K4" s="52">
        <v>1.875</v>
      </c>
      <c r="L4" s="51" t="s">
        <v>193</v>
      </c>
      <c r="M4" s="53">
        <v>0.38461538461538464</v>
      </c>
      <c r="N4" s="51" t="s">
        <v>126</v>
      </c>
      <c r="O4" s="53">
        <v>0.203125</v>
      </c>
      <c r="P4" s="51" t="s">
        <v>193</v>
      </c>
      <c r="Q4" s="54">
        <v>0.31413612565445026</v>
      </c>
      <c r="R4" s="51" t="s">
        <v>192</v>
      </c>
      <c r="S4" s="54">
        <v>0.1111111111111111</v>
      </c>
      <c r="T4" s="51" t="s">
        <v>126</v>
      </c>
      <c r="U4" s="55">
        <v>9988.3116883116891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164</v>
      </c>
      <c r="AA4" s="54">
        <v>0.29367088607594938</v>
      </c>
      <c r="AB4" s="51" t="s">
        <v>205</v>
      </c>
      <c r="AC4" s="54">
        <v>0.30150753768844218</v>
      </c>
      <c r="AD4" s="51" t="s">
        <v>196</v>
      </c>
      <c r="AE4" s="54">
        <v>0.68421052631578949</v>
      </c>
      <c r="AF4" s="51" t="s">
        <v>213</v>
      </c>
      <c r="AG4" s="54">
        <v>0.5714285714285714</v>
      </c>
      <c r="AH4" s="51" t="s">
        <v>126</v>
      </c>
      <c r="AI4" s="54">
        <v>0.53246753246753242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49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213</v>
      </c>
      <c r="I5" s="63">
        <v>2.1361111111111115</v>
      </c>
      <c r="J5" s="51" t="s">
        <v>193</v>
      </c>
      <c r="K5" s="52">
        <v>1.9615384615384615</v>
      </c>
      <c r="L5" s="51" t="s">
        <v>164</v>
      </c>
      <c r="M5" s="53">
        <v>0.36734693877551022</v>
      </c>
      <c r="N5" s="51" t="s">
        <v>192</v>
      </c>
      <c r="O5" s="53">
        <v>0.28888888888888886</v>
      </c>
      <c r="P5" s="51" t="s">
        <v>213</v>
      </c>
      <c r="Q5" s="54">
        <v>0.3108108108108108</v>
      </c>
      <c r="R5" s="51" t="s">
        <v>126</v>
      </c>
      <c r="S5" s="54">
        <v>0.1388888888888889</v>
      </c>
      <c r="T5" s="51" t="s">
        <v>189</v>
      </c>
      <c r="U5" s="55">
        <v>9062.5</v>
      </c>
      <c r="V5" s="51" t="s">
        <v>193</v>
      </c>
      <c r="W5" s="55">
        <v>-7514.8148148148148</v>
      </c>
      <c r="X5" s="51" t="s">
        <v>126</v>
      </c>
      <c r="Y5" s="53">
        <v>7.8125E-2</v>
      </c>
      <c r="Z5" s="51" t="s">
        <v>196</v>
      </c>
      <c r="AA5" s="54">
        <v>0.29230769230769232</v>
      </c>
      <c r="AB5" s="51" t="s">
        <v>192</v>
      </c>
      <c r="AC5" s="54">
        <v>0.24722222222222223</v>
      </c>
      <c r="AD5" s="51" t="s">
        <v>193</v>
      </c>
      <c r="AE5" s="54">
        <v>0.62962962962962965</v>
      </c>
      <c r="AF5" s="51" t="s">
        <v>189</v>
      </c>
      <c r="AG5" s="54">
        <v>0.5</v>
      </c>
      <c r="AH5" s="51" t="s">
        <v>196</v>
      </c>
      <c r="AI5" s="54">
        <v>0.52941176470588236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45</v>
      </c>
      <c r="D6" s="49" t="s">
        <v>139</v>
      </c>
      <c r="E6" s="50">
        <v>-3.1974423109204508E-14</v>
      </c>
      <c r="F6" s="51" t="s">
        <v>139</v>
      </c>
      <c r="G6" s="63">
        <v>-1.2111523905001707E-16</v>
      </c>
      <c r="H6" s="51" t="s">
        <v>193</v>
      </c>
      <c r="I6" s="63">
        <v>1.7602645502645515</v>
      </c>
      <c r="J6" s="51" t="s">
        <v>192</v>
      </c>
      <c r="K6" s="52">
        <v>1.9777777777777779</v>
      </c>
      <c r="L6" s="51" t="s">
        <v>205</v>
      </c>
      <c r="M6" s="53">
        <v>0.36</v>
      </c>
      <c r="N6" s="51" t="s">
        <v>139</v>
      </c>
      <c r="O6" s="53">
        <v>0.33333333333333331</v>
      </c>
      <c r="P6" s="51" t="s">
        <v>126</v>
      </c>
      <c r="Q6" s="54">
        <v>0.30555555555555558</v>
      </c>
      <c r="R6" s="51" t="s">
        <v>193</v>
      </c>
      <c r="S6" s="54">
        <v>0.14136125654450263</v>
      </c>
      <c r="T6" s="51" t="s">
        <v>139</v>
      </c>
      <c r="U6" s="55">
        <v>8927.5577557755769</v>
      </c>
      <c r="V6" s="51" t="s">
        <v>194</v>
      </c>
      <c r="W6" s="55">
        <v>-7550</v>
      </c>
      <c r="X6" s="51" t="s">
        <v>192</v>
      </c>
      <c r="Y6" s="53">
        <v>8.8888888888888892E-2</v>
      </c>
      <c r="Z6" s="51" t="s">
        <v>189</v>
      </c>
      <c r="AA6" s="54">
        <v>0.28378378378378377</v>
      </c>
      <c r="AB6" s="51" t="s">
        <v>139</v>
      </c>
      <c r="AC6" s="54">
        <v>0.20268972142170991</v>
      </c>
      <c r="AD6" s="51" t="s">
        <v>205</v>
      </c>
      <c r="AE6" s="54">
        <v>0.62857142857142856</v>
      </c>
      <c r="AF6" s="51" t="s">
        <v>126</v>
      </c>
      <c r="AG6" s="54">
        <v>0.46250000000000002</v>
      </c>
      <c r="AH6" s="51" t="s">
        <v>213</v>
      </c>
      <c r="AI6" s="54">
        <v>0.52173913043478259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194</v>
      </c>
      <c r="C7" s="118">
        <v>29</v>
      </c>
      <c r="D7" s="49" t="s">
        <v>213</v>
      </c>
      <c r="E7" s="50">
        <v>-41.599999999999994</v>
      </c>
      <c r="F7" s="51" t="s">
        <v>192</v>
      </c>
      <c r="G7" s="63">
        <v>-1.3533333333333326</v>
      </c>
      <c r="H7" s="51" t="s">
        <v>126</v>
      </c>
      <c r="I7" s="63">
        <v>0.25764102564102132</v>
      </c>
      <c r="J7" s="51" t="s">
        <v>139</v>
      </c>
      <c r="K7" s="52">
        <v>2</v>
      </c>
      <c r="L7" s="51" t="s">
        <v>139</v>
      </c>
      <c r="M7" s="53">
        <v>0.33333333333333331</v>
      </c>
      <c r="N7" s="51" t="s">
        <v>213</v>
      </c>
      <c r="O7" s="53">
        <v>0.33333333333333331</v>
      </c>
      <c r="P7" s="51" t="s">
        <v>139</v>
      </c>
      <c r="Q7" s="54">
        <v>0.29106628242074928</v>
      </c>
      <c r="R7" s="51" t="s">
        <v>139</v>
      </c>
      <c r="S7" s="54">
        <v>0.15609990393852066</v>
      </c>
      <c r="T7" s="51" t="s">
        <v>205</v>
      </c>
      <c r="U7" s="55">
        <v>8783.0769230769238</v>
      </c>
      <c r="V7" s="51" t="s">
        <v>192</v>
      </c>
      <c r="W7" s="55">
        <v>-7855</v>
      </c>
      <c r="X7" s="51" t="s">
        <v>189</v>
      </c>
      <c r="Y7" s="53">
        <v>0.1111111111111111</v>
      </c>
      <c r="Z7" s="51" t="s">
        <v>126</v>
      </c>
      <c r="AA7" s="54">
        <v>0.25595238095238093</v>
      </c>
      <c r="AB7" s="51" t="s">
        <v>164</v>
      </c>
      <c r="AC7" s="54">
        <v>0.19746835443037974</v>
      </c>
      <c r="AD7" s="51" t="s">
        <v>126</v>
      </c>
      <c r="AE7" s="54">
        <v>0.5968992248062015</v>
      </c>
      <c r="AF7" s="51" t="s">
        <v>193</v>
      </c>
      <c r="AG7" s="54">
        <v>0.43333333333333335</v>
      </c>
      <c r="AH7" s="51" t="s">
        <v>193</v>
      </c>
      <c r="AI7" s="54">
        <v>0.46666666666666667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193</v>
      </c>
      <c r="C8" s="118">
        <v>26</v>
      </c>
      <c r="D8" s="49" t="s">
        <v>205</v>
      </c>
      <c r="E8" s="50">
        <v>-49.100000000000009</v>
      </c>
      <c r="F8" s="51" t="s">
        <v>205</v>
      </c>
      <c r="G8" s="63">
        <v>-1.9640000000000004</v>
      </c>
      <c r="H8" s="51" t="s">
        <v>139</v>
      </c>
      <c r="I8" s="63">
        <v>0</v>
      </c>
      <c r="J8" s="51" t="s">
        <v>205</v>
      </c>
      <c r="K8" s="52">
        <v>2.04</v>
      </c>
      <c r="L8" s="51" t="s">
        <v>192</v>
      </c>
      <c r="M8" s="53">
        <v>0.31111111111111112</v>
      </c>
      <c r="N8" s="51" t="s">
        <v>193</v>
      </c>
      <c r="O8" s="53">
        <v>0.34615384615384615</v>
      </c>
      <c r="P8" s="51" t="s">
        <v>194</v>
      </c>
      <c r="Q8" s="54">
        <v>0.28636363636363638</v>
      </c>
      <c r="R8" s="51" t="s">
        <v>194</v>
      </c>
      <c r="S8" s="54">
        <v>0.17272727272727273</v>
      </c>
      <c r="T8" s="51" t="s">
        <v>193</v>
      </c>
      <c r="U8" s="55">
        <v>8308.3333333333339</v>
      </c>
      <c r="V8" s="51" t="s">
        <v>139</v>
      </c>
      <c r="W8" s="55">
        <v>-8153.8461538461543</v>
      </c>
      <c r="X8" s="51" t="s">
        <v>139</v>
      </c>
      <c r="Y8" s="53">
        <v>0.13257575757575757</v>
      </c>
      <c r="Z8" s="51" t="s">
        <v>192</v>
      </c>
      <c r="AA8" s="54">
        <v>0.25</v>
      </c>
      <c r="AB8" s="51" t="s">
        <v>126</v>
      </c>
      <c r="AC8" s="54">
        <v>0.15873015873015872</v>
      </c>
      <c r="AD8" s="51" t="s">
        <v>139</v>
      </c>
      <c r="AE8" s="54">
        <v>0.55314960629921262</v>
      </c>
      <c r="AF8" s="51" t="s">
        <v>139</v>
      </c>
      <c r="AG8" s="54">
        <v>0.41232227488151657</v>
      </c>
      <c r="AH8" s="51" t="s">
        <v>139</v>
      </c>
      <c r="AI8" s="54">
        <v>0.46204620462046203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205</v>
      </c>
      <c r="C9" s="118">
        <v>25</v>
      </c>
      <c r="D9" s="49" t="s">
        <v>192</v>
      </c>
      <c r="E9" s="50">
        <v>-60.89999999999997</v>
      </c>
      <c r="F9" s="51" t="s">
        <v>164</v>
      </c>
      <c r="G9" s="63">
        <v>-2.1755102040816339</v>
      </c>
      <c r="H9" s="51" t="s">
        <v>164</v>
      </c>
      <c r="I9" s="63">
        <v>-0.18915343915343405</v>
      </c>
      <c r="J9" s="51" t="s">
        <v>164</v>
      </c>
      <c r="K9" s="52">
        <v>2.0612244897959182</v>
      </c>
      <c r="L9" s="51" t="s">
        <v>196</v>
      </c>
      <c r="M9" s="53">
        <v>0.25</v>
      </c>
      <c r="N9" s="51" t="s">
        <v>205</v>
      </c>
      <c r="O9" s="53">
        <v>0.4</v>
      </c>
      <c r="P9" s="51" t="s">
        <v>192</v>
      </c>
      <c r="Q9" s="54">
        <v>0.28055555555555556</v>
      </c>
      <c r="R9" s="51" t="s">
        <v>213</v>
      </c>
      <c r="S9" s="54">
        <v>0.1891891891891892</v>
      </c>
      <c r="T9" s="51" t="s">
        <v>196</v>
      </c>
      <c r="U9" s="55">
        <v>7964.7058823529414</v>
      </c>
      <c r="V9" s="51" t="s">
        <v>164</v>
      </c>
      <c r="W9" s="55">
        <v>-8285.3333333333339</v>
      </c>
      <c r="X9" s="51" t="s">
        <v>205</v>
      </c>
      <c r="Y9" s="53">
        <v>0.16</v>
      </c>
      <c r="Z9" s="51" t="s">
        <v>139</v>
      </c>
      <c r="AA9" s="54">
        <v>0.24399615754082613</v>
      </c>
      <c r="AB9" s="51" t="s">
        <v>194</v>
      </c>
      <c r="AC9" s="54">
        <v>0.15</v>
      </c>
      <c r="AD9" s="51" t="s">
        <v>192</v>
      </c>
      <c r="AE9" s="54">
        <v>0.53333333333333333</v>
      </c>
      <c r="AF9" s="51" t="s">
        <v>164</v>
      </c>
      <c r="AG9" s="54">
        <v>0.38461538461538464</v>
      </c>
      <c r="AH9" s="51" t="s">
        <v>164</v>
      </c>
      <c r="AI9" s="54">
        <v>0.43925233644859812</v>
      </c>
      <c r="AJ9" s="51" t="s">
        <v>213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213</v>
      </c>
      <c r="G10" s="63">
        <v>-4.6222222222222218</v>
      </c>
      <c r="H10" s="51" t="s">
        <v>205</v>
      </c>
      <c r="I10" s="63">
        <v>-0.54777777777777936</v>
      </c>
      <c r="J10" s="51" t="s">
        <v>213</v>
      </c>
      <c r="K10" s="52">
        <v>2.1111111111111112</v>
      </c>
      <c r="L10" s="51" t="s">
        <v>189</v>
      </c>
      <c r="M10" s="53">
        <v>0.22222222222222221</v>
      </c>
      <c r="N10" s="51" t="s">
        <v>164</v>
      </c>
      <c r="O10" s="53">
        <v>0.42857142857142855</v>
      </c>
      <c r="P10" s="51" t="s">
        <v>164</v>
      </c>
      <c r="Q10" s="54">
        <v>0.27088607594936709</v>
      </c>
      <c r="R10" s="51" t="s">
        <v>164</v>
      </c>
      <c r="S10" s="54">
        <v>0.189873417721519</v>
      </c>
      <c r="T10" s="51" t="s">
        <v>194</v>
      </c>
      <c r="U10" s="55">
        <v>7642.8571428571431</v>
      </c>
      <c r="V10" s="51" t="s">
        <v>126</v>
      </c>
      <c r="W10" s="55">
        <v>-8542.8571428571431</v>
      </c>
      <c r="X10" s="51" t="s">
        <v>164</v>
      </c>
      <c r="Y10" s="53">
        <v>0.18367346938775511</v>
      </c>
      <c r="Z10" s="51" t="s">
        <v>194</v>
      </c>
      <c r="AA10" s="54">
        <v>0.21363636363636362</v>
      </c>
      <c r="AB10" s="51" t="s">
        <v>196</v>
      </c>
      <c r="AC10" s="54">
        <v>0.13846153846153847</v>
      </c>
      <c r="AD10" s="51" t="s">
        <v>194</v>
      </c>
      <c r="AE10" s="54">
        <v>0.51063829787234039</v>
      </c>
      <c r="AF10" s="51" t="s">
        <v>192</v>
      </c>
      <c r="AG10" s="54">
        <v>0.3707865168539326</v>
      </c>
      <c r="AH10" s="51" t="s">
        <v>194</v>
      </c>
      <c r="AI10" s="54">
        <v>0.42857142857142855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164</v>
      </c>
      <c r="E11" s="50">
        <v>-106.60000000000007</v>
      </c>
      <c r="F11" s="51" t="s">
        <v>194</v>
      </c>
      <c r="G11" s="63">
        <v>-8.3827586206896534</v>
      </c>
      <c r="H11" s="51" t="s">
        <v>192</v>
      </c>
      <c r="I11" s="63">
        <v>-2.0056573056573064</v>
      </c>
      <c r="J11" s="51" t="s">
        <v>189</v>
      </c>
      <c r="K11" s="52">
        <v>2.2222222222222223</v>
      </c>
      <c r="L11" s="51" t="s">
        <v>213</v>
      </c>
      <c r="M11" s="53">
        <v>0.22222222222222221</v>
      </c>
      <c r="N11" s="51" t="s">
        <v>189</v>
      </c>
      <c r="O11" s="53">
        <v>0.44444444444444442</v>
      </c>
      <c r="P11" s="51" t="s">
        <v>196</v>
      </c>
      <c r="Q11" s="54">
        <v>0.26153846153846155</v>
      </c>
      <c r="R11" s="51" t="s">
        <v>205</v>
      </c>
      <c r="S11" s="54">
        <v>0.19597989949748743</v>
      </c>
      <c r="T11" s="51" t="s">
        <v>192</v>
      </c>
      <c r="U11" s="55">
        <v>7611.8811881188121</v>
      </c>
      <c r="V11" s="51" t="s">
        <v>213</v>
      </c>
      <c r="W11" s="55">
        <v>-8671.4285714285706</v>
      </c>
      <c r="X11" s="51" t="s">
        <v>194</v>
      </c>
      <c r="Y11" s="53">
        <v>0.20689655172413793</v>
      </c>
      <c r="Z11" s="51" t="s">
        <v>205</v>
      </c>
      <c r="AA11" s="54">
        <v>0.17587939698492464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196</v>
      </c>
      <c r="AG11" s="54">
        <v>0.33333333333333331</v>
      </c>
      <c r="AH11" s="51" t="s">
        <v>192</v>
      </c>
      <c r="AI11" s="54">
        <v>0.41584158415841582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-243.09999999999994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2.2758620689655173</v>
      </c>
      <c r="L12" s="51" t="s">
        <v>194</v>
      </c>
      <c r="M12" s="53">
        <v>0.20689655172413793</v>
      </c>
      <c r="N12" s="51" t="s">
        <v>194</v>
      </c>
      <c r="O12" s="53">
        <v>0.48275862068965519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-9212.8205128205136</v>
      </c>
      <c r="X12" s="51" t="s">
        <v>193</v>
      </c>
      <c r="Y12" s="53">
        <v>0.23076923076923078</v>
      </c>
      <c r="Z12" s="51" t="s">
        <v>193</v>
      </c>
      <c r="AA12" s="54">
        <v>0.14136125654450263</v>
      </c>
      <c r="AB12" s="51" t="s">
        <v>189</v>
      </c>
      <c r="AC12" s="54">
        <v>8.1081081081081086E-2</v>
      </c>
      <c r="AD12" s="51" t="s">
        <v>164</v>
      </c>
      <c r="AE12" s="54">
        <v>0.45689655172413796</v>
      </c>
      <c r="AF12" s="51" t="s">
        <v>205</v>
      </c>
      <c r="AG12" s="54">
        <v>0.28333333333333333</v>
      </c>
      <c r="AH12" s="51" t="s">
        <v>205</v>
      </c>
      <c r="AI12" s="54">
        <v>0.36923076923076925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26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264</v>
      </c>
      <c r="C2" s="132"/>
      <c r="E2" s="28" t="s">
        <v>66</v>
      </c>
      <c r="F2" s="25" t="s">
        <v>22</v>
      </c>
      <c r="G2" s="13">
        <v>433</v>
      </c>
      <c r="H2" s="91">
        <f>IF(B$19=0,0,G2/B$19)</f>
        <v>0.71452145214521456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-11.627906976744185</v>
      </c>
      <c r="P2" s="80">
        <v>258</v>
      </c>
      <c r="Q2" s="67">
        <v>-3000</v>
      </c>
    </row>
    <row r="3" spans="1:17" x14ac:dyDescent="0.45">
      <c r="A3" s="21" t="s">
        <v>8</v>
      </c>
      <c r="B3" s="133">
        <v>2082</v>
      </c>
      <c r="C3" s="134"/>
      <c r="E3" s="29" t="s">
        <v>72</v>
      </c>
      <c r="F3" s="26" t="s">
        <v>27</v>
      </c>
      <c r="G3" s="14">
        <v>341</v>
      </c>
      <c r="H3" s="92">
        <f>IF(B$19=0,0,G3/B$19)</f>
        <v>0.56270627062706269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-3.9215686274509802</v>
      </c>
      <c r="P3" s="81">
        <v>255</v>
      </c>
      <c r="Q3" s="68">
        <v>-1000</v>
      </c>
    </row>
    <row r="4" spans="1:17" x14ac:dyDescent="0.45">
      <c r="A4" s="21" t="s">
        <v>6</v>
      </c>
      <c r="B4" s="135">
        <v>-3.1974423109204508E-14</v>
      </c>
      <c r="C4" s="136"/>
      <c r="E4" s="29" t="s">
        <v>64</v>
      </c>
      <c r="F4" s="26" t="s">
        <v>20</v>
      </c>
      <c r="G4" s="14">
        <v>276</v>
      </c>
      <c r="H4" s="92">
        <f>IF(B$19=0,0,G4/B$19)</f>
        <v>0.45544554455445546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-8.3333333333333339</v>
      </c>
      <c r="P4" s="81">
        <v>240</v>
      </c>
      <c r="Q4" s="68">
        <v>-2000</v>
      </c>
    </row>
    <row r="5" spans="1:17" x14ac:dyDescent="0.45">
      <c r="A5" s="21" t="s">
        <v>7</v>
      </c>
      <c r="B5" s="123">
        <f>IF(B$2=0,0,B$4/B$2)</f>
        <v>-1.2111523905001707E-16</v>
      </c>
      <c r="C5" s="124"/>
      <c r="E5" s="29" t="s">
        <v>160</v>
      </c>
      <c r="F5" s="26" t="s">
        <v>161</v>
      </c>
      <c r="G5" s="14">
        <v>258</v>
      </c>
      <c r="H5" s="92">
        <f>IF(B$19=0,0,G5/B$19)</f>
        <v>0.42574257425742573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23.474178403755868</v>
      </c>
      <c r="P5" s="81">
        <v>213</v>
      </c>
      <c r="Q5" s="68">
        <v>5000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187</v>
      </c>
      <c r="H6" s="92">
        <f>IF(B$19=0,0,G6/B$19)</f>
        <v>0.3085808580858086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-69.892473118279568</v>
      </c>
      <c r="P6" s="81">
        <v>186</v>
      </c>
      <c r="Q6" s="68">
        <v>-13000</v>
      </c>
    </row>
    <row r="7" spans="1:17" x14ac:dyDescent="0.45">
      <c r="A7" s="21" t="s">
        <v>2</v>
      </c>
      <c r="B7" s="14">
        <v>88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150</v>
      </c>
      <c r="H7" s="92">
        <f>IF(B$19=0,0,G7/B$19)</f>
        <v>0.24752475247524752</v>
      </c>
      <c r="I7" s="60">
        <v>6</v>
      </c>
      <c r="K7" s="7">
        <v>5</v>
      </c>
      <c r="L7" s="65">
        <v>-55.999999999999993</v>
      </c>
      <c r="N7" s="79" t="s">
        <v>133</v>
      </c>
      <c r="O7" s="85">
        <f t="shared" si="0"/>
        <v>96.296296296296291</v>
      </c>
      <c r="P7" s="82">
        <v>135</v>
      </c>
      <c r="Q7" s="69">
        <v>13000</v>
      </c>
    </row>
    <row r="8" spans="1:17" x14ac:dyDescent="0.45">
      <c r="A8" s="21" t="s">
        <v>3</v>
      </c>
      <c r="B8" s="14">
        <v>88</v>
      </c>
      <c r="C8" s="8">
        <f t="shared" si="1"/>
        <v>0.33333333333333331</v>
      </c>
      <c r="E8" s="29" t="s">
        <v>89</v>
      </c>
      <c r="F8" s="26" t="s">
        <v>44</v>
      </c>
      <c r="G8" s="14">
        <v>89</v>
      </c>
      <c r="H8" s="92">
        <f>IF(B$19=0,0,G8/B$19)</f>
        <v>0.14686468646864687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88</v>
      </c>
      <c r="C9" s="9">
        <f t="shared" si="1"/>
        <v>0.33333333333333331</v>
      </c>
      <c r="E9" s="29" t="s">
        <v>69</v>
      </c>
      <c r="F9" s="26" t="s">
        <v>24</v>
      </c>
      <c r="G9" s="14">
        <v>81</v>
      </c>
      <c r="H9" s="92">
        <f>IF(B$19=0,0,G9/B$19)</f>
        <v>0.13366336633663367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41.571590909090908</v>
      </c>
      <c r="C10" s="114">
        <v>3658.2999999999997</v>
      </c>
      <c r="E10" s="29" t="s">
        <v>65</v>
      </c>
      <c r="F10" s="26" t="s">
        <v>21</v>
      </c>
      <c r="G10" s="14">
        <v>59</v>
      </c>
      <c r="H10" s="92">
        <f>IF(B$19=0,0,G10/B$19)</f>
        <v>9.7359735973597358E-2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-7.4784090909090883</v>
      </c>
      <c r="P10" s="80">
        <v>88</v>
      </c>
      <c r="Q10" s="71">
        <v>-658.0999999999998</v>
      </c>
    </row>
    <row r="11" spans="1:17" x14ac:dyDescent="0.45">
      <c r="A11" s="22" t="s">
        <v>186</v>
      </c>
      <c r="B11" s="113">
        <f>IF(B8=0,0,C11/B8)</f>
        <v>-3.6102272727272746</v>
      </c>
      <c r="C11" s="114">
        <v>-317.70000000000016</v>
      </c>
      <c r="E11" s="29" t="s">
        <v>70</v>
      </c>
      <c r="F11" s="26" t="s">
        <v>25</v>
      </c>
      <c r="G11" s="14">
        <v>51</v>
      </c>
      <c r="H11" s="92">
        <f>IF(B$19=0,0,G11/B$19)</f>
        <v>8.4158415841584164E-2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1.1670454545454538</v>
      </c>
      <c r="P11" s="81">
        <v>88</v>
      </c>
      <c r="Q11" s="72">
        <v>102.69999999999995</v>
      </c>
    </row>
    <row r="12" spans="1:17" x14ac:dyDescent="0.45">
      <c r="A12" s="22" t="s">
        <v>187</v>
      </c>
      <c r="B12" s="113">
        <f>IF(B9=0,0,C12/B9)</f>
        <v>-37.961363636363629</v>
      </c>
      <c r="C12" s="114">
        <v>-3340.5999999999995</v>
      </c>
      <c r="E12" s="29" t="s">
        <v>71</v>
      </c>
      <c r="F12" s="26" t="s">
        <v>26</v>
      </c>
      <c r="G12" s="14">
        <v>41</v>
      </c>
      <c r="H12" s="92">
        <f>IF(B$19=0,0,G12/B$19)</f>
        <v>6.7656765676567657E-2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6.3113636363636338</v>
      </c>
      <c r="P12" s="82">
        <v>88</v>
      </c>
      <c r="Q12" s="73">
        <v>555.39999999999975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35</v>
      </c>
      <c r="H13" s="92">
        <f>IF(B$19=0,0,G13/B$19)</f>
        <v>5.7755775577557754E-2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35</v>
      </c>
      <c r="C14" s="11">
        <f t="shared" si="1"/>
        <v>0.13257575757575757</v>
      </c>
      <c r="E14" s="29" t="s">
        <v>83</v>
      </c>
      <c r="F14" s="26" t="s">
        <v>38</v>
      </c>
      <c r="G14" s="14">
        <v>32</v>
      </c>
      <c r="H14" s="92">
        <f>IF(B$19=0,0,G14/B$19)</f>
        <v>5.2805280528052806E-2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508</v>
      </c>
      <c r="C15" s="12">
        <f>IF(B$3=0,0,B15/B$3)</f>
        <v>0.24399615754082613</v>
      </c>
      <c r="E15" s="29" t="s">
        <v>78</v>
      </c>
      <c r="F15" s="26" t="s">
        <v>33</v>
      </c>
      <c r="G15" s="14">
        <v>19</v>
      </c>
      <c r="H15" s="92">
        <f>IF(B$19=0,0,G15/B$19)</f>
        <v>3.1353135313531351E-2</v>
      </c>
      <c r="I15" s="60">
        <v>7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422</v>
      </c>
      <c r="C16" s="8">
        <f>IF(B$3=0,0,B16/B$3)</f>
        <v>0.20268972142170991</v>
      </c>
      <c r="E16" s="29" t="s">
        <v>81</v>
      </c>
      <c r="F16" s="26" t="s">
        <v>36</v>
      </c>
      <c r="G16" s="14">
        <v>16</v>
      </c>
      <c r="H16" s="92">
        <f>IF(B$19=0,0,G16/B$19)</f>
        <v>2.6402640264026403E-2</v>
      </c>
      <c r="I16" s="60">
        <v>3</v>
      </c>
      <c r="K16" s="7">
        <v>14</v>
      </c>
      <c r="L16" s="65">
        <v>12.800000000000002</v>
      </c>
      <c r="N16" s="78" t="s">
        <v>194</v>
      </c>
      <c r="O16" s="87">
        <f>IF(P16=0,0,Q16/P16)</f>
        <v>12.574137931034484</v>
      </c>
      <c r="P16" s="81">
        <v>58</v>
      </c>
      <c r="Q16" s="72">
        <v>729.30000000000007</v>
      </c>
    </row>
    <row r="17" spans="1:17" x14ac:dyDescent="0.45">
      <c r="A17" s="20" t="s">
        <v>123</v>
      </c>
      <c r="B17" s="13">
        <f>B23</f>
        <v>281</v>
      </c>
      <c r="C17" s="6">
        <f>IF(B$15=0,0,B17/B$15)</f>
        <v>0.55314960629921262</v>
      </c>
      <c r="E17" s="29" t="s">
        <v>79</v>
      </c>
      <c r="F17" s="26" t="s">
        <v>34</v>
      </c>
      <c r="G17" s="14">
        <v>13</v>
      </c>
      <c r="H17" s="92">
        <f>IF(B$19=0,0,G17/B$19)</f>
        <v>2.1452145214521452E-2</v>
      </c>
      <c r="I17" s="60">
        <v>4</v>
      </c>
      <c r="K17" s="7">
        <v>15</v>
      </c>
      <c r="L17" s="65">
        <v>1.7763568394002505E-15</v>
      </c>
      <c r="N17" s="78" t="s">
        <v>213</v>
      </c>
      <c r="O17" s="87">
        <f>IF(P17=0,0,Q17/P17)</f>
        <v>6.9333333333333345</v>
      </c>
      <c r="P17" s="81">
        <v>18</v>
      </c>
      <c r="Q17" s="72">
        <v>124.80000000000003</v>
      </c>
    </row>
    <row r="18" spans="1:17" x14ac:dyDescent="0.45">
      <c r="A18" s="20" t="s">
        <v>124</v>
      </c>
      <c r="B18" s="13">
        <f>B24</f>
        <v>174</v>
      </c>
      <c r="C18" s="6">
        <f>IF(B$16=0,0,B18/B$16)</f>
        <v>0.41232227488151657</v>
      </c>
      <c r="E18" s="29" t="s">
        <v>91</v>
      </c>
      <c r="F18" s="26" t="s">
        <v>46</v>
      </c>
      <c r="G18" s="14">
        <v>13</v>
      </c>
      <c r="H18" s="92">
        <f>IF(B$19=0,0,G18/B$19)</f>
        <v>2.1452145214521452E-2</v>
      </c>
      <c r="I18" s="60">
        <v>3</v>
      </c>
      <c r="K18" s="7">
        <v>16</v>
      </c>
      <c r="L18" s="65">
        <v>3.4000000000000017</v>
      </c>
      <c r="N18" s="78" t="s">
        <v>164</v>
      </c>
      <c r="O18" s="87">
        <f>IF(P18=0,0,Q18/P18)</f>
        <v>3.2632653061224444</v>
      </c>
      <c r="P18" s="81">
        <v>98</v>
      </c>
      <c r="Q18" s="72">
        <v>319.79999999999956</v>
      </c>
    </row>
    <row r="19" spans="1:17" x14ac:dyDescent="0.45">
      <c r="A19" s="20" t="s">
        <v>10</v>
      </c>
      <c r="B19" s="13">
        <f>B22+B21</f>
        <v>606</v>
      </c>
      <c r="C19" s="6">
        <f>IF(B$3=0,0,B19/B$3)</f>
        <v>0.29106628242074928</v>
      </c>
      <c r="E19" s="29" t="s">
        <v>92</v>
      </c>
      <c r="F19" s="26" t="s">
        <v>47</v>
      </c>
      <c r="G19" s="14">
        <v>8</v>
      </c>
      <c r="H19" s="92">
        <f>IF(B$19=0,0,G19/B$19)</f>
        <v>1.3201320132013201E-2</v>
      </c>
      <c r="I19" s="60">
        <v>5</v>
      </c>
      <c r="K19" s="7">
        <v>17</v>
      </c>
      <c r="L19" s="65">
        <v>-35.800000000000004</v>
      </c>
      <c r="N19" s="78" t="s">
        <v>205</v>
      </c>
      <c r="O19" s="87">
        <f>IF(P19=0,0,Q19/P19)</f>
        <v>2.9460000000000006</v>
      </c>
      <c r="P19" s="81">
        <v>50</v>
      </c>
      <c r="Q19" s="72">
        <v>147.30000000000004</v>
      </c>
    </row>
    <row r="20" spans="1:17" x14ac:dyDescent="0.45">
      <c r="A20" s="21" t="s">
        <v>13</v>
      </c>
      <c r="B20" s="14">
        <v>325</v>
      </c>
      <c r="C20" s="8">
        <f>IF(B$3=0,0,B20/B$3)</f>
        <v>0.15609990393852066</v>
      </c>
      <c r="E20" s="29" t="s">
        <v>156</v>
      </c>
      <c r="F20" s="26" t="s">
        <v>157</v>
      </c>
      <c r="G20" s="14">
        <v>7</v>
      </c>
      <c r="H20" s="92">
        <f>IF(B$19=0,0,G20/B$19)</f>
        <v>1.155115511551155E-2</v>
      </c>
      <c r="I20" s="60">
        <v>3</v>
      </c>
      <c r="K20" s="7">
        <v>18</v>
      </c>
      <c r="L20" s="65">
        <v>-7.1054273576010019E-15</v>
      </c>
      <c r="N20" s="78" t="s">
        <v>192</v>
      </c>
      <c r="O20" s="87">
        <f>IF(P20=0,0,Q20/P20)</f>
        <v>2.0300000000000047</v>
      </c>
      <c r="P20" s="81">
        <v>90</v>
      </c>
      <c r="Q20" s="72">
        <v>182.70000000000041</v>
      </c>
    </row>
    <row r="21" spans="1:17" x14ac:dyDescent="0.45">
      <c r="A21" s="21" t="s">
        <v>12</v>
      </c>
      <c r="B21" s="14">
        <v>280</v>
      </c>
      <c r="C21" s="8">
        <f>IF(B$19=0,0,B21/B$19)</f>
        <v>0.46204620462046203</v>
      </c>
      <c r="E21" s="29" t="s">
        <v>85</v>
      </c>
      <c r="F21" s="26" t="s">
        <v>40</v>
      </c>
      <c r="G21" s="14">
        <v>3</v>
      </c>
      <c r="H21" s="92">
        <f>IF(B$19=0,0,G21/B$19)</f>
        <v>4.9504950495049506E-3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326</v>
      </c>
      <c r="C22" s="8">
        <f>IF(B$19=0,0,B22/B$19)</f>
        <v>0.53795379537953791</v>
      </c>
      <c r="E22" s="29" t="s">
        <v>73</v>
      </c>
      <c r="F22" s="26" t="s">
        <v>28</v>
      </c>
      <c r="G22" s="14">
        <v>2</v>
      </c>
      <c r="H22" s="92">
        <f>IF(B$19=0,0,G22/B$19)</f>
        <v>3.3003300330033004E-3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-5.0076923076923077</v>
      </c>
      <c r="P22" s="81">
        <v>52</v>
      </c>
      <c r="Q22" s="72">
        <v>-260.39999999999998</v>
      </c>
    </row>
    <row r="23" spans="1:17" x14ac:dyDescent="0.45">
      <c r="A23" s="21" t="s">
        <v>184</v>
      </c>
      <c r="B23" s="14">
        <v>281</v>
      </c>
      <c r="C23" s="8">
        <f>IF(B$19=0,0,B23/B$19)</f>
        <v>0.4636963696369637</v>
      </c>
      <c r="E23" s="29" t="s">
        <v>75</v>
      </c>
      <c r="F23" s="26" t="s">
        <v>30</v>
      </c>
      <c r="G23" s="14">
        <v>2</v>
      </c>
      <c r="H23" s="92">
        <f>IF(B$19=0,0,G23/B$19)</f>
        <v>3.3003300330033004E-3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-12.011718749999986</v>
      </c>
      <c r="P23" s="81">
        <v>128</v>
      </c>
      <c r="Q23" s="72">
        <v>-1537.4999999999982</v>
      </c>
    </row>
    <row r="24" spans="1:17" x14ac:dyDescent="0.45">
      <c r="A24" s="21" t="s">
        <v>182</v>
      </c>
      <c r="B24" s="14">
        <v>174</v>
      </c>
      <c r="C24" s="8">
        <f>IF(B$19=0,0,B24/B$19)</f>
        <v>0.28712871287128711</v>
      </c>
      <c r="E24" s="29" t="s">
        <v>77</v>
      </c>
      <c r="F24" s="26" t="s">
        <v>32</v>
      </c>
      <c r="G24" s="14">
        <v>2</v>
      </c>
      <c r="H24" s="92">
        <f>IF(B$19=0,0,G24/B$19)</f>
        <v>3.3003300330033004E-3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151</v>
      </c>
      <c r="C25" s="8">
        <f>IF(B$19=0,0,B25/B$19)</f>
        <v>0.24917491749174916</v>
      </c>
      <c r="E25" s="29" t="s">
        <v>87</v>
      </c>
      <c r="F25" s="26" t="s">
        <v>42</v>
      </c>
      <c r="G25" s="14">
        <v>2</v>
      </c>
      <c r="H25" s="92">
        <f>IF(B$19=0,0,G25/B$19)</f>
        <v>3.3003300330033004E-3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8927.5577557755769</v>
      </c>
      <c r="C26" s="10">
        <v>5410100</v>
      </c>
      <c r="E26" s="29" t="s">
        <v>93</v>
      </c>
      <c r="F26" s="26" t="s">
        <v>48</v>
      </c>
      <c r="G26" s="14">
        <v>2</v>
      </c>
      <c r="H26" s="92">
        <f>IF(B$19=0,0,G26/B$19)</f>
        <v>3.3003300330033004E-3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9353.7037037037044</v>
      </c>
      <c r="C27" s="100">
        <v>4040800</v>
      </c>
      <c r="E27" s="29" t="s">
        <v>84</v>
      </c>
      <c r="F27" s="26" t="s">
        <v>39</v>
      </c>
      <c r="G27" s="14">
        <v>1</v>
      </c>
      <c r="H27" s="92">
        <f>IF(B$19=0,0,G27/B$19)</f>
        <v>1.6501650165016502E-3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7869.5402298850577</v>
      </c>
      <c r="C28" s="100">
        <v>1369300</v>
      </c>
      <c r="E28" s="29" t="s">
        <v>88</v>
      </c>
      <c r="F28" s="26" t="s">
        <v>43</v>
      </c>
      <c r="G28" s="14">
        <v>1</v>
      </c>
      <c r="H28" s="92">
        <f>IF(B$19=0,0,G28/B$19)</f>
        <v>1.6501650165016502E-3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-8153.8461538461543</v>
      </c>
      <c r="C29" s="100">
        <v>-2650000</v>
      </c>
      <c r="E29" s="29" t="s">
        <v>95</v>
      </c>
      <c r="F29" s="26" t="s">
        <v>50</v>
      </c>
      <c r="G29" s="14">
        <v>1</v>
      </c>
      <c r="H29" s="92">
        <f>IF(B$19=0,0,G29/B$19)</f>
        <v>1.6501650165016502E-3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1</v>
      </c>
      <c r="E30" s="29" t="s">
        <v>97</v>
      </c>
      <c r="F30" s="26" t="s">
        <v>52</v>
      </c>
      <c r="G30" s="14">
        <v>1</v>
      </c>
      <c r="H30" s="92">
        <f>IF(B$19=0,0,G30/B$19)</f>
        <v>1.6501650165016502E-3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7</v>
      </c>
      <c r="E31" s="29" t="s">
        <v>102</v>
      </c>
      <c r="F31" s="26" t="s">
        <v>57</v>
      </c>
      <c r="G31" s="14">
        <v>1</v>
      </c>
      <c r="H31" s="92">
        <f>IF(B$19=0,0,G31/B$19)</f>
        <v>1.6501650165016502E-3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7</v>
      </c>
      <c r="C32" s="126"/>
      <c r="E32" s="29" t="s">
        <v>74</v>
      </c>
      <c r="F32" s="26" t="s">
        <v>29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76</v>
      </c>
      <c r="F33" s="26" t="s">
        <v>31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5</v>
      </c>
      <c r="C34" s="11">
        <f>IF(B$3=0,0,B34/B$3)</f>
        <v>2.4015369836695487E-3</v>
      </c>
      <c r="E34" s="29" t="s">
        <v>80</v>
      </c>
      <c r="F34" s="26" t="s">
        <v>35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82</v>
      </c>
      <c r="F35" s="26" t="s">
        <v>37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47</v>
      </c>
      <c r="C36" s="102">
        <f t="shared" ref="C36:C48" si="2">IF(B$19=0,0,B36/B$19)</f>
        <v>7.7557755775577553E-2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108</v>
      </c>
      <c r="C37" s="8">
        <f t="shared" si="2"/>
        <v>0.17821782178217821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105</v>
      </c>
      <c r="C38" s="8">
        <f t="shared" si="2"/>
        <v>0.17326732673267325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113</v>
      </c>
      <c r="C39" s="8">
        <f t="shared" si="2"/>
        <v>0.18646864686468648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87</v>
      </c>
      <c r="C40" s="8">
        <f t="shared" si="2"/>
        <v>0.14356435643564355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57</v>
      </c>
      <c r="C41" s="8">
        <f t="shared" si="2"/>
        <v>9.405940594059406E-2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37</v>
      </c>
      <c r="C42" s="8">
        <f t="shared" si="2"/>
        <v>6.1056105610561059E-2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15</v>
      </c>
      <c r="C43" s="8">
        <f t="shared" si="2"/>
        <v>2.4752475247524754E-2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10</v>
      </c>
      <c r="C44" s="8">
        <f t="shared" si="2"/>
        <v>1.65016501650165E-2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8</v>
      </c>
      <c r="C45" s="8">
        <f t="shared" si="2"/>
        <v>1.3201320132013201E-2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6.6006600660066007E-3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2</v>
      </c>
      <c r="C47" s="8">
        <f t="shared" si="2"/>
        <v>3.3003300330033004E-3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13</v>
      </c>
      <c r="C48" s="11">
        <f t="shared" si="2"/>
        <v>2.1452145214521452E-2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49</v>
      </c>
      <c r="C2" s="132"/>
      <c r="E2" s="28" t="s">
        <v>66</v>
      </c>
      <c r="F2" s="25" t="s">
        <v>22</v>
      </c>
      <c r="G2" s="13">
        <v>91</v>
      </c>
      <c r="H2" s="91">
        <f>IF(B$19=0,0,G2/B$19)</f>
        <v>0.85046728971962615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-1295.7446808510638</v>
      </c>
      <c r="P2" s="80">
        <v>47</v>
      </c>
      <c r="Q2" s="67">
        <v>-60900</v>
      </c>
    </row>
    <row r="3" spans="1:17" x14ac:dyDescent="0.45">
      <c r="A3" s="21" t="s">
        <v>8</v>
      </c>
      <c r="B3" s="133">
        <v>395</v>
      </c>
      <c r="C3" s="134"/>
      <c r="E3" s="29" t="s">
        <v>64</v>
      </c>
      <c r="F3" s="26" t="s">
        <v>20</v>
      </c>
      <c r="G3" s="14">
        <v>54</v>
      </c>
      <c r="H3" s="92">
        <f>IF(B$19=0,0,G3/B$19)</f>
        <v>0.50467289719626163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-1536.1702127659576</v>
      </c>
      <c r="P3" s="81">
        <v>47</v>
      </c>
      <c r="Q3" s="68">
        <v>-72200</v>
      </c>
    </row>
    <row r="4" spans="1:17" x14ac:dyDescent="0.45">
      <c r="A4" s="21" t="s">
        <v>6</v>
      </c>
      <c r="B4" s="135">
        <v>-106.60000000000007</v>
      </c>
      <c r="C4" s="136"/>
      <c r="E4" s="29" t="s">
        <v>72</v>
      </c>
      <c r="F4" s="26" t="s">
        <v>27</v>
      </c>
      <c r="G4" s="14">
        <v>54</v>
      </c>
      <c r="H4" s="92">
        <f>IF(B$19=0,0,G4/B$19)</f>
        <v>0.50467289719626163</v>
      </c>
      <c r="I4" s="60">
        <v>7</v>
      </c>
      <c r="K4" s="7">
        <v>2</v>
      </c>
      <c r="L4" s="65">
        <v>32.9</v>
      </c>
      <c r="N4" s="78" t="s">
        <v>130</v>
      </c>
      <c r="O4" s="84">
        <f t="shared" si="0"/>
        <v>523.25581395348843</v>
      </c>
      <c r="P4" s="81">
        <v>43</v>
      </c>
      <c r="Q4" s="68">
        <v>22500</v>
      </c>
    </row>
    <row r="5" spans="1:17" x14ac:dyDescent="0.45">
      <c r="A5" s="21" t="s">
        <v>7</v>
      </c>
      <c r="B5" s="123">
        <f>IF(B$2=0,0,B$4/B$2)</f>
        <v>-2.1755102040816339</v>
      </c>
      <c r="C5" s="124"/>
      <c r="E5" s="29" t="s">
        <v>160</v>
      </c>
      <c r="F5" s="26" t="s">
        <v>161</v>
      </c>
      <c r="G5" s="14">
        <v>53</v>
      </c>
      <c r="H5" s="92">
        <f>IF(B$19=0,0,G5/B$19)</f>
        <v>0.49532710280373832</v>
      </c>
      <c r="I5" s="60">
        <v>2</v>
      </c>
      <c r="K5" s="7">
        <v>3</v>
      </c>
      <c r="L5" s="65">
        <v>61.5</v>
      </c>
      <c r="N5" s="78" t="s">
        <v>131</v>
      </c>
      <c r="O5" s="84">
        <f t="shared" si="0"/>
        <v>-1853.8461538461538</v>
      </c>
      <c r="P5" s="81">
        <v>39</v>
      </c>
      <c r="Q5" s="68">
        <v>-72300</v>
      </c>
    </row>
    <row r="6" spans="1:17" x14ac:dyDescent="0.45">
      <c r="A6" s="21" t="s">
        <v>1</v>
      </c>
      <c r="B6" s="137">
        <f>IF(B$2=0,0,(B$7*1+B$8*2+B$9*3)/B$2)</f>
        <v>2.0612244897959182</v>
      </c>
      <c r="C6" s="138"/>
      <c r="E6" s="29" t="s">
        <v>68</v>
      </c>
      <c r="F6" s="26" t="s">
        <v>12</v>
      </c>
      <c r="G6" s="14">
        <v>30</v>
      </c>
      <c r="H6" s="92">
        <f>IF(B$19=0,0,G6/B$19)</f>
        <v>0.28037383177570091</v>
      </c>
      <c r="I6" s="60">
        <v>5</v>
      </c>
      <c r="K6" s="7">
        <v>4</v>
      </c>
      <c r="L6" s="65">
        <v>27.4</v>
      </c>
      <c r="N6" s="78" t="s">
        <v>132</v>
      </c>
      <c r="O6" s="84">
        <f t="shared" si="0"/>
        <v>350</v>
      </c>
      <c r="P6" s="81">
        <v>36</v>
      </c>
      <c r="Q6" s="68">
        <v>12600</v>
      </c>
    </row>
    <row r="7" spans="1:17" x14ac:dyDescent="0.45">
      <c r="A7" s="21" t="s">
        <v>2</v>
      </c>
      <c r="B7" s="14">
        <v>18</v>
      </c>
      <c r="C7" s="8">
        <f t="shared" ref="C7:C14" si="1">IF(B$2=0,0,B7/B$2)</f>
        <v>0.36734693877551022</v>
      </c>
      <c r="E7" s="29" t="s">
        <v>67</v>
      </c>
      <c r="F7" s="26" t="s">
        <v>23</v>
      </c>
      <c r="G7" s="14">
        <v>27</v>
      </c>
      <c r="H7" s="92">
        <f>IF(B$19=0,0,G7/B$19)</f>
        <v>0.25233644859813081</v>
      </c>
      <c r="I7" s="60">
        <v>5</v>
      </c>
      <c r="K7" s="7">
        <v>5</v>
      </c>
      <c r="L7" s="65">
        <v>18</v>
      </c>
      <c r="N7" s="79" t="s">
        <v>133</v>
      </c>
      <c r="O7" s="85">
        <f t="shared" si="0"/>
        <v>3638.4615384615386</v>
      </c>
      <c r="P7" s="82">
        <v>26</v>
      </c>
      <c r="Q7" s="69">
        <v>94600</v>
      </c>
    </row>
    <row r="8" spans="1:17" x14ac:dyDescent="0.45">
      <c r="A8" s="21" t="s">
        <v>3</v>
      </c>
      <c r="B8" s="14">
        <v>10</v>
      </c>
      <c r="C8" s="8">
        <f t="shared" si="1"/>
        <v>0.20408163265306123</v>
      </c>
      <c r="E8" s="29" t="s">
        <v>89</v>
      </c>
      <c r="F8" s="26" t="s">
        <v>44</v>
      </c>
      <c r="G8" s="14">
        <v>15</v>
      </c>
      <c r="H8" s="92">
        <f>IF(B$19=0,0,G8/B$19)</f>
        <v>0.14018691588785046</v>
      </c>
      <c r="I8" s="60">
        <v>6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21</v>
      </c>
      <c r="C9" s="9">
        <f t="shared" si="1"/>
        <v>0.42857142857142855</v>
      </c>
      <c r="E9" s="29" t="s">
        <v>70</v>
      </c>
      <c r="F9" s="26" t="s">
        <v>25</v>
      </c>
      <c r="G9" s="14">
        <v>13</v>
      </c>
      <c r="H9" s="92">
        <f>IF(B$19=0,0,G9/B$19)</f>
        <v>0.12149532710280374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41.461111111111123</v>
      </c>
      <c r="C10" s="114">
        <v>746.30000000000018</v>
      </c>
      <c r="E10" s="29" t="s">
        <v>65</v>
      </c>
      <c r="F10" s="26" t="s">
        <v>21</v>
      </c>
      <c r="G10" s="14">
        <v>11</v>
      </c>
      <c r="H10" s="92">
        <f>IF(B$19=0,0,G10/B$19)</f>
        <v>0.10280373831775701</v>
      </c>
      <c r="I10" s="60">
        <v>5</v>
      </c>
      <c r="K10" s="7">
        <v>8</v>
      </c>
      <c r="L10" s="65">
        <v>-9.9999999999999964</v>
      </c>
      <c r="N10" s="77" t="s">
        <v>152</v>
      </c>
      <c r="O10" s="86">
        <f>IF(P10=0,0,Q10/P10)</f>
        <v>-11.394117647058826</v>
      </c>
      <c r="P10" s="80">
        <v>17</v>
      </c>
      <c r="Q10" s="71">
        <v>-193.70000000000005</v>
      </c>
    </row>
    <row r="11" spans="1:17" x14ac:dyDescent="0.45">
      <c r="A11" s="22" t="s">
        <v>186</v>
      </c>
      <c r="B11" s="113">
        <f>IF(B8=0,0,C11/B8)</f>
        <v>-2.7</v>
      </c>
      <c r="C11" s="114">
        <v>-27</v>
      </c>
      <c r="E11" s="29" t="s">
        <v>69</v>
      </c>
      <c r="F11" s="26" t="s">
        <v>24</v>
      </c>
      <c r="G11" s="14">
        <v>11</v>
      </c>
      <c r="H11" s="92">
        <f>IF(B$19=0,0,G11/B$19)</f>
        <v>0.10280373831775701</v>
      </c>
      <c r="I11" s="60">
        <v>8</v>
      </c>
      <c r="K11" s="7">
        <v>9</v>
      </c>
      <c r="L11" s="65">
        <v>33.5</v>
      </c>
      <c r="N11" s="78" t="s">
        <v>153</v>
      </c>
      <c r="O11" s="87">
        <f>IF(P11=0,0,Q11/P11)</f>
        <v>11.053846153846154</v>
      </c>
      <c r="P11" s="81">
        <v>13</v>
      </c>
      <c r="Q11" s="72">
        <v>143.69999999999999</v>
      </c>
    </row>
    <row r="12" spans="1:17" x14ac:dyDescent="0.45">
      <c r="A12" s="22" t="s">
        <v>187</v>
      </c>
      <c r="B12" s="113">
        <f>IF(B9=0,0,C12/B9)</f>
        <v>-39.328571428571422</v>
      </c>
      <c r="C12" s="114">
        <v>-825.89999999999986</v>
      </c>
      <c r="E12" s="29" t="s">
        <v>86</v>
      </c>
      <c r="F12" s="26" t="s">
        <v>41</v>
      </c>
      <c r="G12" s="14">
        <v>10</v>
      </c>
      <c r="H12" s="92">
        <f>IF(B$19=0,0,G12/B$19)</f>
        <v>9.3457943925233641E-2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-2.9789473684210517</v>
      </c>
      <c r="P12" s="82">
        <v>19</v>
      </c>
      <c r="Q12" s="73">
        <v>-56.59999999999998</v>
      </c>
    </row>
    <row r="13" spans="1:17" x14ac:dyDescent="0.45">
      <c r="A13" s="22" t="s">
        <v>188</v>
      </c>
      <c r="B13" s="123">
        <f>AVERAGE(B10:B12)</f>
        <v>-0.18915343915343405</v>
      </c>
      <c r="C13" s="124"/>
      <c r="E13" s="29" t="s">
        <v>91</v>
      </c>
      <c r="F13" s="26" t="s">
        <v>46</v>
      </c>
      <c r="G13" s="14">
        <v>7</v>
      </c>
      <c r="H13" s="92">
        <f>IF(B$19=0,0,G13/B$19)</f>
        <v>6.5420560747663545E-2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0.18367346938775511</v>
      </c>
      <c r="E14" s="29" t="s">
        <v>71</v>
      </c>
      <c r="F14" s="26" t="s">
        <v>26</v>
      </c>
      <c r="G14" s="14">
        <v>6</v>
      </c>
      <c r="H14" s="92">
        <f>IF(B$19=0,0,G14/B$19)</f>
        <v>5.6074766355140186E-2</v>
      </c>
      <c r="I14" s="60">
        <v>8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116</v>
      </c>
      <c r="C15" s="12">
        <f>IF(B$3=0,0,B15/B$3)</f>
        <v>0.29367088607594938</v>
      </c>
      <c r="E15" s="29" t="s">
        <v>78</v>
      </c>
      <c r="F15" s="26" t="s">
        <v>33</v>
      </c>
      <c r="G15" s="14">
        <v>4</v>
      </c>
      <c r="H15" s="92">
        <f>IF(B$19=0,0,G15/B$19)</f>
        <v>3.7383177570093455E-2</v>
      </c>
      <c r="I15" s="60">
        <v>5</v>
      </c>
      <c r="K15" s="7">
        <v>13</v>
      </c>
      <c r="L15" s="65">
        <v>-33.5</v>
      </c>
      <c r="N15" s="77" t="s">
        <v>189</v>
      </c>
      <c r="O15" s="86">
        <f t="shared" ref="O15:O22" si="2"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78</v>
      </c>
      <c r="C16" s="8">
        <f>IF(B$3=0,0,B16/B$3)</f>
        <v>0.19746835443037974</v>
      </c>
      <c r="E16" s="29" t="s">
        <v>81</v>
      </c>
      <c r="F16" s="26" t="s">
        <v>36</v>
      </c>
      <c r="G16" s="14">
        <v>4</v>
      </c>
      <c r="H16" s="92">
        <f>IF(B$19=0,0,G16/B$19)</f>
        <v>3.7383177570093455E-2</v>
      </c>
      <c r="I16" s="60">
        <v>2</v>
      </c>
      <c r="K16" s="7">
        <v>14</v>
      </c>
      <c r="L16" s="65">
        <v>15.100000000000001</v>
      </c>
      <c r="N16" s="78" t="s">
        <v>213</v>
      </c>
      <c r="O16" s="87">
        <f t="shared" si="2"/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53</v>
      </c>
      <c r="C17" s="6">
        <f>IF(B$15=0,0,B17/B$15)</f>
        <v>0.45689655172413796</v>
      </c>
      <c r="E17" s="29" t="s">
        <v>79</v>
      </c>
      <c r="F17" s="26" t="s">
        <v>34</v>
      </c>
      <c r="G17" s="14">
        <v>3</v>
      </c>
      <c r="H17" s="92">
        <f>IF(B$19=0,0,G17/B$19)</f>
        <v>2.8037383177570093E-2</v>
      </c>
      <c r="I17" s="60">
        <v>3</v>
      </c>
      <c r="K17" s="7">
        <v>15</v>
      </c>
      <c r="L17" s="65">
        <v>-33.1</v>
      </c>
      <c r="N17" s="78" t="s">
        <v>205</v>
      </c>
      <c r="O17" s="87">
        <f t="shared" si="2"/>
        <v>8.1272727272727252</v>
      </c>
      <c r="P17" s="81">
        <v>11</v>
      </c>
      <c r="Q17" s="72">
        <v>89.399999999999977</v>
      </c>
    </row>
    <row r="18" spans="1:17" x14ac:dyDescent="0.45">
      <c r="A18" s="20" t="s">
        <v>124</v>
      </c>
      <c r="B18" s="13">
        <f>B24</f>
        <v>30</v>
      </c>
      <c r="C18" s="6">
        <f>IF(B$16=0,0,B18/B$16)</f>
        <v>0.38461538461538464</v>
      </c>
      <c r="E18" s="29" t="s">
        <v>83</v>
      </c>
      <c r="F18" s="26" t="s">
        <v>38</v>
      </c>
      <c r="G18" s="14">
        <v>3</v>
      </c>
      <c r="H18" s="92">
        <f>IF(B$19=0,0,G18/B$19)</f>
        <v>2.8037383177570093E-2</v>
      </c>
      <c r="I18" s="60">
        <v>7</v>
      </c>
      <c r="K18" s="7">
        <v>16</v>
      </c>
      <c r="L18" s="65">
        <v>-10.8</v>
      </c>
      <c r="N18" s="78" t="s">
        <v>192</v>
      </c>
      <c r="O18" s="87">
        <f t="shared" si="2"/>
        <v>3.0166666666666653</v>
      </c>
      <c r="P18" s="81">
        <v>18</v>
      </c>
      <c r="Q18" s="72">
        <v>54.299999999999976</v>
      </c>
    </row>
    <row r="19" spans="1:17" x14ac:dyDescent="0.45">
      <c r="A19" s="20" t="s">
        <v>10</v>
      </c>
      <c r="B19" s="13">
        <f>B22+B21</f>
        <v>107</v>
      </c>
      <c r="C19" s="6">
        <f>IF(B$3=0,0,B19/B$3)</f>
        <v>0.27088607594936709</v>
      </c>
      <c r="E19" s="29" t="s">
        <v>92</v>
      </c>
      <c r="F19" s="26" t="s">
        <v>47</v>
      </c>
      <c r="G19" s="14">
        <v>2</v>
      </c>
      <c r="H19" s="92">
        <f>IF(B$19=0,0,G19/B$19)</f>
        <v>1.8691588785046728E-2</v>
      </c>
      <c r="I19" s="60">
        <v>2</v>
      </c>
      <c r="K19" s="7">
        <v>17</v>
      </c>
      <c r="L19" s="65">
        <v>-32.900000000000006</v>
      </c>
      <c r="N19" s="78" t="s">
        <v>196</v>
      </c>
      <c r="O19" s="87">
        <f t="shared" si="2"/>
        <v>-0.29999999999999244</v>
      </c>
      <c r="P19" s="81">
        <v>3</v>
      </c>
      <c r="Q19" s="72">
        <v>-0.89999999999997726</v>
      </c>
    </row>
    <row r="20" spans="1:17" x14ac:dyDescent="0.45">
      <c r="A20" s="21" t="s">
        <v>13</v>
      </c>
      <c r="B20" s="14">
        <v>75</v>
      </c>
      <c r="C20" s="8">
        <f>IF(B$3=0,0,B20/B$3)</f>
        <v>0.189873417721519</v>
      </c>
      <c r="E20" s="29" t="s">
        <v>75</v>
      </c>
      <c r="F20" s="26" t="s">
        <v>30</v>
      </c>
      <c r="G20" s="14">
        <v>1</v>
      </c>
      <c r="H20" s="92">
        <f>IF(B$19=0,0,G20/B$19)</f>
        <v>9.3457943925233638E-3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 t="shared" si="2"/>
        <v>-4.6657894736842049</v>
      </c>
      <c r="P20" s="81">
        <v>38</v>
      </c>
      <c r="Q20" s="72">
        <v>-177.29999999999978</v>
      </c>
    </row>
    <row r="21" spans="1:17" x14ac:dyDescent="0.45">
      <c r="A21" s="21" t="s">
        <v>12</v>
      </c>
      <c r="B21" s="14">
        <v>47</v>
      </c>
      <c r="C21" s="8">
        <f>IF(B$19=0,0,B21/B$19)</f>
        <v>0.43925233644859812</v>
      </c>
      <c r="E21" s="29" t="s">
        <v>97</v>
      </c>
      <c r="F21" s="26" t="s">
        <v>52</v>
      </c>
      <c r="G21" s="14">
        <v>1</v>
      </c>
      <c r="H21" s="92">
        <f>IF(B$19=0,0,G21/B$19)</f>
        <v>9.3457943925233638E-3</v>
      </c>
      <c r="I21" s="60">
        <v>1</v>
      </c>
      <c r="K21" s="7">
        <v>19</v>
      </c>
      <c r="L21" s="65">
        <v>-44.500000000000014</v>
      </c>
      <c r="N21" s="78" t="s">
        <v>194</v>
      </c>
      <c r="O21" s="87">
        <f t="shared" si="2"/>
        <v>-29.537500000000005</v>
      </c>
      <c r="P21" s="81">
        <v>8</v>
      </c>
      <c r="Q21" s="72">
        <v>-236.30000000000004</v>
      </c>
    </row>
    <row r="22" spans="1:17" x14ac:dyDescent="0.45">
      <c r="A22" s="21" t="s">
        <v>11</v>
      </c>
      <c r="B22" s="14">
        <v>60</v>
      </c>
      <c r="C22" s="8">
        <f>IF(B$19=0,0,B22/B$19)</f>
        <v>0.56074766355140182</v>
      </c>
      <c r="E22" s="29" t="s">
        <v>156</v>
      </c>
      <c r="F22" s="26" t="s">
        <v>157</v>
      </c>
      <c r="G22" s="14">
        <v>1</v>
      </c>
      <c r="H22" s="92">
        <f>IF(B$19=0,0,G22/B$19)</f>
        <v>9.3457943925233638E-3</v>
      </c>
      <c r="I22" s="60">
        <v>5</v>
      </c>
      <c r="K22" s="7">
        <v>20</v>
      </c>
      <c r="L22" s="65">
        <v>-72.000000000000014</v>
      </c>
      <c r="N22" s="78" t="s">
        <v>193</v>
      </c>
      <c r="O22" s="87">
        <f t="shared" si="2"/>
        <v>-33.971428571428568</v>
      </c>
      <c r="P22" s="81">
        <v>7</v>
      </c>
      <c r="Q22" s="72">
        <v>-237.79999999999998</v>
      </c>
    </row>
    <row r="23" spans="1:17" x14ac:dyDescent="0.45">
      <c r="A23" s="21" t="s">
        <v>184</v>
      </c>
      <c r="B23" s="14">
        <v>53</v>
      </c>
      <c r="C23" s="8">
        <f>IF(B$19=0,0,B23/B$19)</f>
        <v>0.49532710280373832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30</v>
      </c>
      <c r="C24" s="8">
        <f>IF(B$19=0,0,B24/B$19)</f>
        <v>0.28037383177570091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24</v>
      </c>
      <c r="C25" s="8">
        <f>IF(B$19=0,0,B25/B$19)</f>
        <v>0.22429906542056074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10267.289719626167</v>
      </c>
      <c r="C26" s="10">
        <v>1098600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11044.155844155845</v>
      </c>
      <c r="C27" s="100">
        <v>850400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8273.3333333333339</v>
      </c>
      <c r="C28" s="100">
        <v>248200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-8285.3333333333339</v>
      </c>
      <c r="C29" s="100">
        <v>-621400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5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2</v>
      </c>
      <c r="C34" s="11">
        <f>IF(B$3=0,0,B34/B$3)</f>
        <v>5.0632911392405064E-3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4</v>
      </c>
      <c r="C36" s="102">
        <f t="shared" ref="C36:C48" si="3">IF(B$19=0,0,B36/B$19)</f>
        <v>3.7383177570093455E-2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13</v>
      </c>
      <c r="C37" s="8">
        <f t="shared" si="3"/>
        <v>0.12149532710280374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10</v>
      </c>
      <c r="C38" s="8">
        <f t="shared" si="3"/>
        <v>9.3457943925233641E-2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30</v>
      </c>
      <c r="C39" s="8">
        <f t="shared" si="3"/>
        <v>0.28037383177570091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20</v>
      </c>
      <c r="C40" s="8">
        <f t="shared" si="3"/>
        <v>0.18691588785046728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11</v>
      </c>
      <c r="C41" s="8">
        <f t="shared" si="3"/>
        <v>0.10280373831775701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9</v>
      </c>
      <c r="C42" s="8">
        <f t="shared" si="3"/>
        <v>8.4112149532710276E-2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4</v>
      </c>
      <c r="C43" s="8">
        <f t="shared" si="3"/>
        <v>3.7383177570093455E-2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1</v>
      </c>
      <c r="C44" s="8">
        <f t="shared" si="3"/>
        <v>9.3457943925233638E-3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2</v>
      </c>
      <c r="C47" s="8">
        <f t="shared" si="3"/>
        <v>1.8691588785046728E-2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3"/>
        <v>2.8037383177570093E-2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7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8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7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9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6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64</v>
      </c>
      <c r="C2" s="132"/>
      <c r="E2" s="28" t="s">
        <v>66</v>
      </c>
      <c r="F2" s="25" t="s">
        <v>22</v>
      </c>
      <c r="G2" s="13">
        <v>101</v>
      </c>
      <c r="H2" s="91">
        <f>IF(B$19=0,0,G2/B$19)</f>
        <v>0.6558441558441559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-137.5</v>
      </c>
      <c r="P2" s="80">
        <v>64</v>
      </c>
      <c r="Q2" s="67">
        <v>-8800</v>
      </c>
    </row>
    <row r="3" spans="1:17" x14ac:dyDescent="0.45">
      <c r="A3" s="21" t="s">
        <v>8</v>
      </c>
      <c r="B3" s="133">
        <v>504</v>
      </c>
      <c r="C3" s="134"/>
      <c r="E3" s="29" t="s">
        <v>72</v>
      </c>
      <c r="F3" s="26" t="s">
        <v>27</v>
      </c>
      <c r="G3" s="14">
        <v>76</v>
      </c>
      <c r="H3" s="92">
        <f>IF(B$19=0,0,G3/B$19)</f>
        <v>0.4935064935064935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3740.3225806451615</v>
      </c>
      <c r="P3" s="81">
        <v>62</v>
      </c>
      <c r="Q3" s="68">
        <v>231900</v>
      </c>
    </row>
    <row r="4" spans="1:17" x14ac:dyDescent="0.45">
      <c r="A4" s="21" t="s">
        <v>6</v>
      </c>
      <c r="B4" s="135">
        <v>512.50000000000023</v>
      </c>
      <c r="C4" s="136"/>
      <c r="E4" s="29" t="s">
        <v>64</v>
      </c>
      <c r="F4" s="26" t="s">
        <v>20</v>
      </c>
      <c r="G4" s="14">
        <v>71</v>
      </c>
      <c r="H4" s="92">
        <f>IF(B$19=0,0,G4/B$19)</f>
        <v>0.46103896103896103</v>
      </c>
      <c r="I4" s="60">
        <v>5</v>
      </c>
      <c r="K4" s="7">
        <v>2</v>
      </c>
      <c r="L4" s="65">
        <v>99.6</v>
      </c>
      <c r="N4" s="78" t="s">
        <v>130</v>
      </c>
      <c r="O4" s="84">
        <f t="shared" si="0"/>
        <v>3303.4482758620688</v>
      </c>
      <c r="P4" s="81">
        <v>58</v>
      </c>
      <c r="Q4" s="68">
        <v>191600</v>
      </c>
    </row>
    <row r="5" spans="1:17" x14ac:dyDescent="0.45">
      <c r="A5" s="21" t="s">
        <v>7</v>
      </c>
      <c r="B5" s="123">
        <f>IF(B$2=0,0,B$4/B$2)</f>
        <v>8.0078125000000036</v>
      </c>
      <c r="C5" s="124"/>
      <c r="E5" s="29" t="s">
        <v>160</v>
      </c>
      <c r="F5" s="26" t="s">
        <v>161</v>
      </c>
      <c r="G5" s="14">
        <v>69</v>
      </c>
      <c r="H5" s="92">
        <f>IF(B$19=0,0,G5/B$19)</f>
        <v>0.44805194805194803</v>
      </c>
      <c r="I5" s="60">
        <v>4</v>
      </c>
      <c r="K5" s="7">
        <v>3</v>
      </c>
      <c r="L5" s="65">
        <v>98.1</v>
      </c>
      <c r="N5" s="78" t="s">
        <v>131</v>
      </c>
      <c r="O5" s="84">
        <f t="shared" si="0"/>
        <v>1811.7647058823529</v>
      </c>
      <c r="P5" s="81">
        <v>51</v>
      </c>
      <c r="Q5" s="68">
        <v>92400</v>
      </c>
    </row>
    <row r="6" spans="1:17" x14ac:dyDescent="0.45">
      <c r="A6" s="21" t="s">
        <v>1</v>
      </c>
      <c r="B6" s="137">
        <f>IF(B$2=0,0,(B$7*1+B$8*2+B$9*3)/B$2)</f>
        <v>1.8125</v>
      </c>
      <c r="C6" s="138"/>
      <c r="E6" s="29" t="s">
        <v>68</v>
      </c>
      <c r="F6" s="26" t="s">
        <v>12</v>
      </c>
      <c r="G6" s="14">
        <v>64</v>
      </c>
      <c r="H6" s="92">
        <f>IF(B$19=0,0,G6/B$19)</f>
        <v>0.41558441558441561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-1441.304347826087</v>
      </c>
      <c r="P6" s="81">
        <v>46</v>
      </c>
      <c r="Q6" s="68">
        <v>-66300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0.390625</v>
      </c>
      <c r="E7" s="29" t="s">
        <v>67</v>
      </c>
      <c r="F7" s="26" t="s">
        <v>23</v>
      </c>
      <c r="G7" s="14">
        <v>43</v>
      </c>
      <c r="H7" s="92">
        <f>IF(B$19=0,0,G7/B$19)</f>
        <v>0.2792207792207792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740</v>
      </c>
      <c r="P7" s="82">
        <v>35</v>
      </c>
      <c r="Q7" s="69">
        <v>25900</v>
      </c>
    </row>
    <row r="8" spans="1:17" x14ac:dyDescent="0.45">
      <c r="A8" s="21" t="s">
        <v>3</v>
      </c>
      <c r="B8" s="14">
        <v>26</v>
      </c>
      <c r="C8" s="8">
        <f t="shared" si="1"/>
        <v>0.40625</v>
      </c>
      <c r="E8" s="29" t="s">
        <v>89</v>
      </c>
      <c r="F8" s="26" t="s">
        <v>44</v>
      </c>
      <c r="G8" s="14">
        <v>27</v>
      </c>
      <c r="H8" s="92">
        <f>IF(B$19=0,0,G8/B$19)</f>
        <v>0.17532467532467533</v>
      </c>
      <c r="I8" s="60">
        <v>3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0.203125</v>
      </c>
      <c r="E9" s="29" t="s">
        <v>69</v>
      </c>
      <c r="F9" s="26" t="s">
        <v>24</v>
      </c>
      <c r="G9" s="14">
        <v>26</v>
      </c>
      <c r="H9" s="92">
        <f>IF(B$19=0,0,G9/B$19)</f>
        <v>0.16883116883116883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43.295999999999992</v>
      </c>
      <c r="C10" s="114">
        <v>1082.3999999999999</v>
      </c>
      <c r="E10" s="29" t="s">
        <v>65</v>
      </c>
      <c r="F10" s="26" t="s">
        <v>21</v>
      </c>
      <c r="G10" s="14">
        <v>18</v>
      </c>
      <c r="H10" s="92">
        <f>IF(B$19=0,0,G10/B$19)</f>
        <v>0.11688311688311688</v>
      </c>
      <c r="I10" s="60">
        <v>4</v>
      </c>
      <c r="K10" s="7">
        <v>8</v>
      </c>
      <c r="L10" s="65">
        <v>132.6</v>
      </c>
      <c r="N10" s="77" t="s">
        <v>152</v>
      </c>
      <c r="O10" s="86">
        <f>IF(P10=0,0,Q10/P10)</f>
        <v>-2.7095238095238097</v>
      </c>
      <c r="P10" s="80">
        <v>21</v>
      </c>
      <c r="Q10" s="71">
        <v>-56.9</v>
      </c>
    </row>
    <row r="11" spans="1:17" x14ac:dyDescent="0.45">
      <c r="A11" s="22" t="s">
        <v>186</v>
      </c>
      <c r="B11" s="113">
        <f>IF(B8=0,0,C11/B8)</f>
        <v>-1.3153846153846152</v>
      </c>
      <c r="C11" s="114">
        <v>-34.199999999999996</v>
      </c>
      <c r="E11" s="29" t="s">
        <v>71</v>
      </c>
      <c r="F11" s="26" t="s">
        <v>26</v>
      </c>
      <c r="G11" s="14">
        <v>13</v>
      </c>
      <c r="H11" s="92">
        <f>IF(B$19=0,0,G11/B$19)</f>
        <v>8.4415584415584416E-2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7.7478260869565174</v>
      </c>
      <c r="P11" s="81">
        <v>23</v>
      </c>
      <c r="Q11" s="72">
        <v>178.1999999999999</v>
      </c>
    </row>
    <row r="12" spans="1:17" x14ac:dyDescent="0.45">
      <c r="A12" s="22" t="s">
        <v>187</v>
      </c>
      <c r="B12" s="113">
        <f>IF(B9=0,0,C12/B9)</f>
        <v>-41.207692307692312</v>
      </c>
      <c r="C12" s="114">
        <v>-535.70000000000005</v>
      </c>
      <c r="E12" s="29" t="s">
        <v>86</v>
      </c>
      <c r="F12" s="26" t="s">
        <v>41</v>
      </c>
      <c r="G12" s="14">
        <v>13</v>
      </c>
      <c r="H12" s="92">
        <f>IF(B$19=0,0,G12/B$19)</f>
        <v>8.4415584415584416E-2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19.560000000000006</v>
      </c>
      <c r="P12" s="82">
        <v>20</v>
      </c>
      <c r="Q12" s="73">
        <v>391.2000000000001</v>
      </c>
    </row>
    <row r="13" spans="1:17" x14ac:dyDescent="0.45">
      <c r="A13" s="22" t="s">
        <v>188</v>
      </c>
      <c r="B13" s="123">
        <f>AVERAGE(B10:B12)</f>
        <v>0.25764102564102132</v>
      </c>
      <c r="C13" s="124"/>
      <c r="E13" s="29" t="s">
        <v>70</v>
      </c>
      <c r="F13" s="26" t="s">
        <v>25</v>
      </c>
      <c r="G13" s="14">
        <v>12</v>
      </c>
      <c r="H13" s="92">
        <f>IF(B$19=0,0,G13/B$19)</f>
        <v>7.792207792207792E-2</v>
      </c>
      <c r="I13" s="60">
        <v>6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7.8125E-2</v>
      </c>
      <c r="E14" s="29" t="s">
        <v>83</v>
      </c>
      <c r="F14" s="26" t="s">
        <v>38</v>
      </c>
      <c r="G14" s="14">
        <v>7</v>
      </c>
      <c r="H14" s="92">
        <f>IF(B$19=0,0,G14/B$19)</f>
        <v>4.5454545454545456E-2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129</v>
      </c>
      <c r="C15" s="12">
        <f>IF(B$3=0,0,B15/B$3)</f>
        <v>0.25595238095238093</v>
      </c>
      <c r="E15" s="29" t="s">
        <v>81</v>
      </c>
      <c r="F15" s="26" t="s">
        <v>36</v>
      </c>
      <c r="G15" s="14">
        <v>4</v>
      </c>
      <c r="H15" s="92">
        <f>IF(B$19=0,0,G15/B$19)</f>
        <v>2.5974025974025976E-2</v>
      </c>
      <c r="I15" s="60">
        <v>4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80</v>
      </c>
      <c r="C16" s="8">
        <f>IF(B$3=0,0,B16/B$3)</f>
        <v>0.15873015873015872</v>
      </c>
      <c r="E16" s="29" t="s">
        <v>156</v>
      </c>
      <c r="F16" s="26" t="s">
        <v>157</v>
      </c>
      <c r="G16" s="14">
        <v>4</v>
      </c>
      <c r="H16" s="92">
        <f>IF(B$19=0,0,G16/B$19)</f>
        <v>2.5974025974025976E-2</v>
      </c>
      <c r="I16" s="60">
        <v>1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77</v>
      </c>
      <c r="C17" s="6">
        <f>IF(B$15=0,0,B17/B$15)</f>
        <v>0.5968992248062015</v>
      </c>
      <c r="E17" s="29" t="s">
        <v>79</v>
      </c>
      <c r="F17" s="26" t="s">
        <v>34</v>
      </c>
      <c r="G17" s="14">
        <v>3</v>
      </c>
      <c r="H17" s="92">
        <f>IF(B$19=0,0,G17/B$19)</f>
        <v>1.948051948051948E-2</v>
      </c>
      <c r="I17" s="60">
        <v>5</v>
      </c>
      <c r="K17" s="7">
        <v>15</v>
      </c>
      <c r="L17" s="65">
        <v>213.5</v>
      </c>
      <c r="N17" s="78" t="s">
        <v>194</v>
      </c>
      <c r="O17" s="87">
        <f>IF(P17=0,0,Q17/P17)</f>
        <v>21.873333333333338</v>
      </c>
      <c r="P17" s="81">
        <v>15</v>
      </c>
      <c r="Q17" s="72">
        <v>328.10000000000008</v>
      </c>
    </row>
    <row r="18" spans="1:17" x14ac:dyDescent="0.45">
      <c r="A18" s="20" t="s">
        <v>124</v>
      </c>
      <c r="B18" s="13">
        <f>B24</f>
        <v>37</v>
      </c>
      <c r="C18" s="6">
        <f>IF(B$16=0,0,B18/B$16)</f>
        <v>0.46250000000000002</v>
      </c>
      <c r="E18" s="29" t="s">
        <v>92</v>
      </c>
      <c r="F18" s="26" t="s">
        <v>47</v>
      </c>
      <c r="G18" s="14">
        <v>3</v>
      </c>
      <c r="H18" s="92">
        <f>IF(B$19=0,0,G18/B$19)</f>
        <v>1.948051948051948E-2</v>
      </c>
      <c r="I18" s="60">
        <v>1</v>
      </c>
      <c r="K18" s="7">
        <v>16</v>
      </c>
      <c r="L18" s="65">
        <v>273.8</v>
      </c>
      <c r="N18" s="78" t="s">
        <v>193</v>
      </c>
      <c r="O18" s="87">
        <f>IF(P18=0,0,Q18/P18)</f>
        <v>21.374999999999996</v>
      </c>
      <c r="P18" s="81">
        <v>12</v>
      </c>
      <c r="Q18" s="72">
        <v>256.49999999999994</v>
      </c>
    </row>
    <row r="19" spans="1:17" x14ac:dyDescent="0.45">
      <c r="A19" s="20" t="s">
        <v>10</v>
      </c>
      <c r="B19" s="13">
        <f>B22+B21</f>
        <v>154</v>
      </c>
      <c r="C19" s="6">
        <f>IF(B$3=0,0,B19/B$3)</f>
        <v>0.30555555555555558</v>
      </c>
      <c r="E19" s="29" t="s">
        <v>78</v>
      </c>
      <c r="F19" s="26" t="s">
        <v>33</v>
      </c>
      <c r="G19" s="14">
        <v>2</v>
      </c>
      <c r="H19" s="92">
        <f>IF(B$19=0,0,G19/B$19)</f>
        <v>1.2987012987012988E-2</v>
      </c>
      <c r="I19" s="60">
        <v>8</v>
      </c>
      <c r="K19" s="7">
        <v>17</v>
      </c>
      <c r="L19" s="65">
        <v>242.8</v>
      </c>
      <c r="N19" s="78" t="s">
        <v>192</v>
      </c>
      <c r="O19" s="87">
        <f>IF(P19=0,0,Q19/P19)</f>
        <v>18.844000000000008</v>
      </c>
      <c r="P19" s="81">
        <v>25</v>
      </c>
      <c r="Q19" s="72">
        <v>471.10000000000019</v>
      </c>
    </row>
    <row r="20" spans="1:17" x14ac:dyDescent="0.45">
      <c r="A20" s="21" t="s">
        <v>13</v>
      </c>
      <c r="B20" s="14">
        <v>70</v>
      </c>
      <c r="C20" s="8">
        <f>IF(B$3=0,0,B20/B$3)</f>
        <v>0.1388888888888889</v>
      </c>
      <c r="E20" s="29" t="s">
        <v>91</v>
      </c>
      <c r="F20" s="26" t="s">
        <v>46</v>
      </c>
      <c r="G20" s="14">
        <v>2</v>
      </c>
      <c r="H20" s="92">
        <f>IF(B$19=0,0,G20/B$19)</f>
        <v>1.2987012987012988E-2</v>
      </c>
      <c r="I20" s="60">
        <v>5</v>
      </c>
      <c r="K20" s="7">
        <v>18</v>
      </c>
      <c r="L20" s="65">
        <v>280</v>
      </c>
      <c r="N20" s="78" t="s">
        <v>213</v>
      </c>
      <c r="O20" s="87">
        <f>IF(P20=0,0,Q20/P20)</f>
        <v>4.7444444444444436</v>
      </c>
      <c r="P20" s="81">
        <v>9</v>
      </c>
      <c r="Q20" s="72">
        <v>42.699999999999989</v>
      </c>
    </row>
    <row r="21" spans="1:17" x14ac:dyDescent="0.45">
      <c r="A21" s="21" t="s">
        <v>12</v>
      </c>
      <c r="B21" s="14">
        <v>82</v>
      </c>
      <c r="C21" s="8">
        <f>IF(B$19=0,0,B21/B$19)</f>
        <v>0.53246753246753242</v>
      </c>
      <c r="E21" s="29" t="s">
        <v>93</v>
      </c>
      <c r="F21" s="26" t="s">
        <v>48</v>
      </c>
      <c r="G21" s="14">
        <v>2</v>
      </c>
      <c r="H21" s="92">
        <f>IF(B$19=0,0,G21/B$19)</f>
        <v>1.2987012987012988E-2</v>
      </c>
      <c r="I21" s="60">
        <v>1</v>
      </c>
      <c r="K21" s="7">
        <v>19</v>
      </c>
      <c r="L21" s="65">
        <v>281.5</v>
      </c>
      <c r="N21" s="78" t="s">
        <v>164</v>
      </c>
      <c r="O21" s="87">
        <f>IF(P21=0,0,Q21/P21)</f>
        <v>4.6657894736842076</v>
      </c>
      <c r="P21" s="81">
        <v>38</v>
      </c>
      <c r="Q21" s="72">
        <v>177.2999999999999</v>
      </c>
    </row>
    <row r="22" spans="1:17" x14ac:dyDescent="0.45">
      <c r="A22" s="21" t="s">
        <v>11</v>
      </c>
      <c r="B22" s="14">
        <v>72</v>
      </c>
      <c r="C22" s="8">
        <f>IF(B$19=0,0,B22/B$19)</f>
        <v>0.46753246753246752</v>
      </c>
      <c r="E22" s="29" t="s">
        <v>73</v>
      </c>
      <c r="F22" s="26" t="s">
        <v>28</v>
      </c>
      <c r="G22" s="14">
        <v>1</v>
      </c>
      <c r="H22" s="92">
        <f>IF(B$19=0,0,G22/B$19)</f>
        <v>6.4935064935064939E-3</v>
      </c>
      <c r="I22" s="60">
        <v>2</v>
      </c>
      <c r="K22" s="7">
        <v>20</v>
      </c>
      <c r="L22" s="65">
        <v>287.2</v>
      </c>
      <c r="N22" s="78" t="s">
        <v>205</v>
      </c>
      <c r="O22" s="87">
        <f>IF(P22=0,0,Q22/P22)</f>
        <v>0.57619047619047592</v>
      </c>
      <c r="P22" s="81">
        <v>21</v>
      </c>
      <c r="Q22" s="72">
        <v>12.099999999999994</v>
      </c>
    </row>
    <row r="23" spans="1:17" x14ac:dyDescent="0.45">
      <c r="A23" s="21" t="s">
        <v>184</v>
      </c>
      <c r="B23" s="14">
        <v>77</v>
      </c>
      <c r="C23" s="8">
        <f>IF(B$19=0,0,B23/B$19)</f>
        <v>0.5</v>
      </c>
      <c r="E23" s="29" t="s">
        <v>84</v>
      </c>
      <c r="F23" s="26" t="s">
        <v>39</v>
      </c>
      <c r="G23" s="14">
        <v>1</v>
      </c>
      <c r="H23" s="92">
        <f>IF(B$19=0,0,G23/B$19)</f>
        <v>6.4935064935064939E-3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37</v>
      </c>
      <c r="C24" s="8">
        <f>IF(B$19=0,0,B24/B$19)</f>
        <v>0.24025974025974026</v>
      </c>
      <c r="E24" s="29" t="s">
        <v>87</v>
      </c>
      <c r="F24" s="26" t="s">
        <v>42</v>
      </c>
      <c r="G24" s="14">
        <v>1</v>
      </c>
      <c r="H24" s="92">
        <f>IF(B$19=0,0,G24/B$19)</f>
        <v>6.4935064935064939E-3</v>
      </c>
      <c r="I24" s="60">
        <v>2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40</v>
      </c>
      <c r="C25" s="8">
        <f>IF(B$19=0,0,B25/B$19)</f>
        <v>0.25974025974025972</v>
      </c>
      <c r="E25" s="29" t="s">
        <v>95</v>
      </c>
      <c r="F25" s="26" t="s">
        <v>50</v>
      </c>
      <c r="G25" s="14">
        <v>1</v>
      </c>
      <c r="H25" s="92">
        <f>IF(B$19=0,0,G25/B$19)</f>
        <v>6.4935064935064939E-3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9988.3116883116891</v>
      </c>
      <c r="C26" s="10">
        <v>1538200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10317.948717948719</v>
      </c>
      <c r="C27" s="100">
        <v>1207200</v>
      </c>
      <c r="E27" s="29" t="s">
        <v>75</v>
      </c>
      <c r="F27" s="26" t="s">
        <v>30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8945.9459459459467</v>
      </c>
      <c r="C28" s="100">
        <v>331000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-8542.8571428571431</v>
      </c>
      <c r="C29" s="100">
        <v>-598000</v>
      </c>
      <c r="E29" s="29" t="s">
        <v>77</v>
      </c>
      <c r="F29" s="26" t="s">
        <v>32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1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4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8</v>
      </c>
      <c r="C36" s="102">
        <f t="shared" ref="C36:C48" si="2">IF(B$19=0,0,B36/B$19)</f>
        <v>5.1948051948051951E-2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23</v>
      </c>
      <c r="C37" s="8">
        <f t="shared" si="2"/>
        <v>0.14935064935064934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25</v>
      </c>
      <c r="C38" s="8">
        <f t="shared" si="2"/>
        <v>0.16233766233766234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30</v>
      </c>
      <c r="C39" s="8">
        <f t="shared" si="2"/>
        <v>0.19480519480519481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27</v>
      </c>
      <c r="C40" s="8">
        <f t="shared" si="2"/>
        <v>0.17532467532467533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14</v>
      </c>
      <c r="C41" s="8">
        <f t="shared" si="2"/>
        <v>9.0909090909090912E-2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8</v>
      </c>
      <c r="C42" s="8">
        <f t="shared" si="2"/>
        <v>5.1948051948051951E-2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5</v>
      </c>
      <c r="C43" s="8">
        <f t="shared" si="2"/>
        <v>3.2467532467532464E-2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2"/>
        <v>2.5974025974025976E-2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3</v>
      </c>
      <c r="C45" s="8">
        <f t="shared" si="2"/>
        <v>1.948051948051948E-2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6.4935064935064939E-3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2"/>
        <v>3.896103896103896E-2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29</v>
      </c>
      <c r="C2" s="132"/>
      <c r="E2" s="28" t="s">
        <v>66</v>
      </c>
      <c r="F2" s="25" t="s">
        <v>22</v>
      </c>
      <c r="G2" s="13">
        <v>46</v>
      </c>
      <c r="H2" s="91">
        <f>IF(B$19=0,0,G2/B$19)</f>
        <v>0.73015873015873012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-3814.2857142857142</v>
      </c>
      <c r="P2" s="80">
        <v>28</v>
      </c>
      <c r="Q2" s="67">
        <v>-106800</v>
      </c>
    </row>
    <row r="3" spans="1:17" x14ac:dyDescent="0.45">
      <c r="A3" s="21" t="s">
        <v>8</v>
      </c>
      <c r="B3" s="133">
        <v>220</v>
      </c>
      <c r="C3" s="134"/>
      <c r="E3" s="29" t="s">
        <v>72</v>
      </c>
      <c r="F3" s="26" t="s">
        <v>27</v>
      </c>
      <c r="G3" s="14">
        <v>35</v>
      </c>
      <c r="H3" s="92">
        <f>IF(B$19=0,0,G3/B$19)</f>
        <v>0.55555555555555558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1385.7142857142858</v>
      </c>
      <c r="P3" s="81">
        <v>28</v>
      </c>
      <c r="Q3" s="68">
        <v>38800</v>
      </c>
    </row>
    <row r="4" spans="1:17" x14ac:dyDescent="0.45">
      <c r="A4" s="21" t="s">
        <v>6</v>
      </c>
      <c r="B4" s="135">
        <v>-243.09999999999994</v>
      </c>
      <c r="C4" s="136"/>
      <c r="E4" s="29" t="s">
        <v>160</v>
      </c>
      <c r="F4" s="26" t="s">
        <v>161</v>
      </c>
      <c r="G4" s="14">
        <v>30</v>
      </c>
      <c r="H4" s="92">
        <f>IF(B$19=0,0,G4/B$19)</f>
        <v>0.47619047619047616</v>
      </c>
      <c r="I4" s="60">
        <v>3</v>
      </c>
      <c r="K4" s="7">
        <v>2</v>
      </c>
      <c r="L4" s="65">
        <v>-106.5</v>
      </c>
      <c r="N4" s="78" t="s">
        <v>130</v>
      </c>
      <c r="O4" s="84">
        <f t="shared" si="0"/>
        <v>-3100</v>
      </c>
      <c r="P4" s="81">
        <v>25</v>
      </c>
      <c r="Q4" s="68">
        <v>-77500</v>
      </c>
    </row>
    <row r="5" spans="1:17" x14ac:dyDescent="0.45">
      <c r="A5" s="21" t="s">
        <v>7</v>
      </c>
      <c r="B5" s="123">
        <f>IF(B$2=0,0,B$4/B$2)</f>
        <v>-8.3827586206896534</v>
      </c>
      <c r="C5" s="124"/>
      <c r="E5" s="29" t="s">
        <v>64</v>
      </c>
      <c r="F5" s="26" t="s">
        <v>20</v>
      </c>
      <c r="G5" s="14">
        <v>26</v>
      </c>
      <c r="H5" s="92">
        <f>IF(B$19=0,0,G5/B$19)</f>
        <v>0.41269841269841268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-861.90476190476193</v>
      </c>
      <c r="P5" s="81">
        <v>21</v>
      </c>
      <c r="Q5" s="68">
        <v>-18100</v>
      </c>
    </row>
    <row r="6" spans="1:17" x14ac:dyDescent="0.45">
      <c r="A6" s="21" t="s">
        <v>1</v>
      </c>
      <c r="B6" s="137">
        <f>IF(B$2=0,0,(B$7*1+B$8*2+B$9*3)/B$2)</f>
        <v>2.2758620689655173</v>
      </c>
      <c r="C6" s="138"/>
      <c r="E6" s="29" t="s">
        <v>68</v>
      </c>
      <c r="F6" s="26" t="s">
        <v>12</v>
      </c>
      <c r="G6" s="14">
        <v>16</v>
      </c>
      <c r="H6" s="92">
        <f>IF(B$19=0,0,G6/B$19)</f>
        <v>0.25396825396825395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1935.2941176470588</v>
      </c>
      <c r="P6" s="81">
        <v>17</v>
      </c>
      <c r="Q6" s="68">
        <v>32900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0.20689655172413793</v>
      </c>
      <c r="E7" s="29" t="s">
        <v>67</v>
      </c>
      <c r="F7" s="26" t="s">
        <v>23</v>
      </c>
      <c r="G7" s="14">
        <v>10</v>
      </c>
      <c r="H7" s="92">
        <f>IF(B$19=0,0,G7/B$19)</f>
        <v>0.15873015873015872</v>
      </c>
      <c r="I7" s="60">
        <v>10</v>
      </c>
      <c r="K7" s="7">
        <v>5</v>
      </c>
      <c r="L7" s="65">
        <v>-116</v>
      </c>
      <c r="N7" s="79" t="s">
        <v>133</v>
      </c>
      <c r="O7" s="85">
        <f t="shared" si="0"/>
        <v>-4370</v>
      </c>
      <c r="P7" s="82">
        <v>10</v>
      </c>
      <c r="Q7" s="69">
        <v>-43700</v>
      </c>
    </row>
    <row r="8" spans="1:17" x14ac:dyDescent="0.45">
      <c r="A8" s="21" t="s">
        <v>3</v>
      </c>
      <c r="B8" s="14">
        <v>9</v>
      </c>
      <c r="C8" s="8">
        <f t="shared" si="1"/>
        <v>0.31034482758620691</v>
      </c>
      <c r="E8" s="29" t="s">
        <v>89</v>
      </c>
      <c r="F8" s="26" t="s">
        <v>44</v>
      </c>
      <c r="G8" s="14">
        <v>9</v>
      </c>
      <c r="H8" s="92">
        <f>IF(B$19=0,0,G8/B$19)</f>
        <v>0.14285714285714285</v>
      </c>
      <c r="I8" s="60">
        <v>5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14</v>
      </c>
      <c r="C9" s="9">
        <f t="shared" si="1"/>
        <v>0.48275862068965519</v>
      </c>
      <c r="E9" s="29" t="s">
        <v>69</v>
      </c>
      <c r="F9" s="26" t="s">
        <v>24</v>
      </c>
      <c r="G9" s="14">
        <v>8</v>
      </c>
      <c r="H9" s="92">
        <f>IF(B$19=0,0,G9/B$19)</f>
        <v>0.12698412698412698</v>
      </c>
      <c r="I9" s="60">
        <v>6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48.816666666666663</v>
      </c>
      <c r="C10" s="114">
        <v>292.89999999999998</v>
      </c>
      <c r="E10" s="29" t="s">
        <v>70</v>
      </c>
      <c r="F10" s="26" t="s">
        <v>25</v>
      </c>
      <c r="G10" s="14">
        <v>7</v>
      </c>
      <c r="H10" s="92">
        <f>IF(B$19=0,0,G10/B$19)</f>
        <v>0.1111111111111111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-30.222222222222221</v>
      </c>
      <c r="P10" s="80">
        <v>9</v>
      </c>
      <c r="Q10" s="71">
        <v>-272</v>
      </c>
    </row>
    <row r="11" spans="1:17" x14ac:dyDescent="0.45">
      <c r="A11" s="22" t="s">
        <v>186</v>
      </c>
      <c r="B11" s="113">
        <f>IF(B8=0,0,C11/B8)</f>
        <v>-3.5111111111111111</v>
      </c>
      <c r="C11" s="114">
        <v>-31.6</v>
      </c>
      <c r="E11" s="29" t="s">
        <v>65</v>
      </c>
      <c r="F11" s="26" t="s">
        <v>21</v>
      </c>
      <c r="G11" s="14">
        <v>5</v>
      </c>
      <c r="H11" s="92">
        <f>IF(B$19=0,0,G11/B$19)</f>
        <v>7.9365079365079361E-2</v>
      </c>
      <c r="I11" s="60">
        <v>8</v>
      </c>
      <c r="K11" s="7">
        <v>9</v>
      </c>
      <c r="L11" s="65">
        <v>-172.39999999999998</v>
      </c>
      <c r="N11" s="78" t="s">
        <v>153</v>
      </c>
      <c r="O11" s="87">
        <f>IF(P11=0,0,Q11/P11)</f>
        <v>-10.154545454545454</v>
      </c>
      <c r="P11" s="81">
        <v>11</v>
      </c>
      <c r="Q11" s="72">
        <v>-111.7</v>
      </c>
    </row>
    <row r="12" spans="1:17" x14ac:dyDescent="0.45">
      <c r="A12" s="22" t="s">
        <v>187</v>
      </c>
      <c r="B12" s="113">
        <f>IF(B9=0,0,C12/B9)</f>
        <v>-36.028571428571425</v>
      </c>
      <c r="C12" s="114">
        <v>-504.4</v>
      </c>
      <c r="E12" s="29" t="s">
        <v>71</v>
      </c>
      <c r="F12" s="26" t="s">
        <v>26</v>
      </c>
      <c r="G12" s="14">
        <v>4</v>
      </c>
      <c r="H12" s="92">
        <f>IF(B$19=0,0,G12/B$19)</f>
        <v>6.3492063492063489E-2</v>
      </c>
      <c r="I12" s="60">
        <v>6</v>
      </c>
      <c r="K12" s="7">
        <v>10</v>
      </c>
      <c r="L12" s="65">
        <v>-217.59999999999997</v>
      </c>
      <c r="N12" s="79" t="s">
        <v>154</v>
      </c>
      <c r="O12" s="88">
        <f>IF(P12=0,0,Q12/P12)</f>
        <v>15.622222222222222</v>
      </c>
      <c r="P12" s="82">
        <v>9</v>
      </c>
      <c r="Q12" s="73">
        <v>140.6</v>
      </c>
    </row>
    <row r="13" spans="1:17" x14ac:dyDescent="0.45">
      <c r="A13" s="22" t="s">
        <v>188</v>
      </c>
      <c r="B13" s="123">
        <f>AVERAGE(B10:B12)</f>
        <v>3.0923280423280417</v>
      </c>
      <c r="C13" s="124"/>
      <c r="E13" s="29" t="s">
        <v>86</v>
      </c>
      <c r="F13" s="26" t="s">
        <v>41</v>
      </c>
      <c r="G13" s="14">
        <v>3</v>
      </c>
      <c r="H13" s="92">
        <f>IF(B$19=0,0,G13/B$19)</f>
        <v>4.7619047619047616E-2</v>
      </c>
      <c r="I13" s="60">
        <v>6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0.20689655172413793</v>
      </c>
      <c r="E14" s="29" t="s">
        <v>78</v>
      </c>
      <c r="F14" s="26" t="s">
        <v>33</v>
      </c>
      <c r="G14" s="14">
        <v>2</v>
      </c>
      <c r="H14" s="92">
        <f>IF(B$19=0,0,G14/B$19)</f>
        <v>3.1746031746031744E-2</v>
      </c>
      <c r="I14" s="60">
        <v>6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47</v>
      </c>
      <c r="C15" s="12">
        <f>IF(B$3=0,0,B15/B$3)</f>
        <v>0.21363636363636362</v>
      </c>
      <c r="E15" s="29" t="s">
        <v>81</v>
      </c>
      <c r="F15" s="26" t="s">
        <v>36</v>
      </c>
      <c r="G15" s="14">
        <v>1</v>
      </c>
      <c r="H15" s="92">
        <f>IF(B$19=0,0,G15/B$19)</f>
        <v>1.5873015873015872E-2</v>
      </c>
      <c r="I15" s="60">
        <v>6</v>
      </c>
      <c r="K15" s="7">
        <v>13</v>
      </c>
      <c r="L15" s="65">
        <v>-280.59999999999997</v>
      </c>
      <c r="N15" s="77" t="s">
        <v>164</v>
      </c>
      <c r="O15" s="86">
        <f>IF(P15=0,0,Q15/P15)</f>
        <v>29.537500000000005</v>
      </c>
      <c r="P15" s="80">
        <v>8</v>
      </c>
      <c r="Q15" s="71">
        <v>236.30000000000004</v>
      </c>
    </row>
    <row r="16" spans="1:17" x14ac:dyDescent="0.45">
      <c r="A16" s="21" t="s">
        <v>118</v>
      </c>
      <c r="B16" s="14">
        <v>33</v>
      </c>
      <c r="C16" s="8">
        <f>IF(B$3=0,0,B16/B$3)</f>
        <v>0.15</v>
      </c>
      <c r="E16" s="29" t="s">
        <v>87</v>
      </c>
      <c r="F16" s="26" t="s">
        <v>42</v>
      </c>
      <c r="G16" s="14">
        <v>1</v>
      </c>
      <c r="H16" s="92">
        <f>IF(B$19=0,0,G16/B$19)</f>
        <v>1.5873015873015872E-2</v>
      </c>
      <c r="I16" s="60">
        <v>1</v>
      </c>
      <c r="K16" s="7">
        <v>14</v>
      </c>
      <c r="L16" s="65">
        <v>-330.7</v>
      </c>
      <c r="N16" s="78" t="s">
        <v>205</v>
      </c>
      <c r="O16" s="87">
        <f>IF(P16=0,0,Q16/P16)</f>
        <v>-1.7999999999999987</v>
      </c>
      <c r="P16" s="81">
        <v>9</v>
      </c>
      <c r="Q16" s="72">
        <v>-16.199999999999989</v>
      </c>
    </row>
    <row r="17" spans="1:17" x14ac:dyDescent="0.45">
      <c r="A17" s="20" t="s">
        <v>123</v>
      </c>
      <c r="B17" s="13">
        <f>B23</f>
        <v>24</v>
      </c>
      <c r="C17" s="6">
        <f>IF(B$15=0,0,B17/B$15)</f>
        <v>0.51063829787234039</v>
      </c>
      <c r="E17" s="29" t="s">
        <v>91</v>
      </c>
      <c r="F17" s="26" t="s">
        <v>46</v>
      </c>
      <c r="G17" s="14">
        <v>1</v>
      </c>
      <c r="H17" s="92">
        <f>IF(B$19=0,0,G17/B$19)</f>
        <v>1.5873015873015872E-2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>IF(P17=0,0,Q17/P17)</f>
        <v>-9.4571428571428573</v>
      </c>
      <c r="P17" s="81">
        <v>14</v>
      </c>
      <c r="Q17" s="72">
        <v>-132.4</v>
      </c>
    </row>
    <row r="18" spans="1:17" x14ac:dyDescent="0.45">
      <c r="A18" s="20" t="s">
        <v>124</v>
      </c>
      <c r="B18" s="13">
        <f>B24</f>
        <v>21</v>
      </c>
      <c r="C18" s="6">
        <f>IF(B$16=0,0,B18/B$16)</f>
        <v>0.63636363636363635</v>
      </c>
      <c r="E18" s="29" t="s">
        <v>92</v>
      </c>
      <c r="F18" s="26" t="s">
        <v>47</v>
      </c>
      <c r="G18" s="14">
        <v>1</v>
      </c>
      <c r="H18" s="92">
        <f>IF(B$19=0,0,G18/B$19)</f>
        <v>1.5873015873015872E-2</v>
      </c>
      <c r="I18" s="60">
        <v>3</v>
      </c>
      <c r="K18" s="7">
        <v>16</v>
      </c>
      <c r="L18" s="65">
        <v>-234.59999999999997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63</v>
      </c>
      <c r="C19" s="6">
        <f>IF(B$3=0,0,B19/B$3)</f>
        <v>0.28636363636363638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>IF(P19=0,0,Q19/P19)</f>
        <v>-21.873333333333338</v>
      </c>
      <c r="P19" s="81">
        <v>15</v>
      </c>
      <c r="Q19" s="72">
        <v>-328.10000000000008</v>
      </c>
    </row>
    <row r="20" spans="1:17" x14ac:dyDescent="0.45">
      <c r="A20" s="21" t="s">
        <v>13</v>
      </c>
      <c r="B20" s="14">
        <v>38</v>
      </c>
      <c r="C20" s="8">
        <f>IF(B$3=0,0,B20/B$3)</f>
        <v>0.17272727272727273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>IF(P20=0,0,Q20/P20)</f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27</v>
      </c>
      <c r="C21" s="8">
        <f>IF(B$19=0,0,B21/B$19)</f>
        <v>0.42857142857142855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36</v>
      </c>
      <c r="C22" s="8">
        <f>IF(B$19=0,0,B22/B$19)</f>
        <v>0.5714285714285714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24</v>
      </c>
      <c r="C23" s="8">
        <f>IF(B$19=0,0,B23/B$19)</f>
        <v>0.38095238095238093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21</v>
      </c>
      <c r="C24" s="8">
        <f>IF(B$19=0,0,B24/B$19)</f>
        <v>0.33333333333333331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18</v>
      </c>
      <c r="C25" s="8">
        <f>IF(B$19=0,0,B25/B$19)</f>
        <v>0.2857142857142857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7642.8571428571431</v>
      </c>
      <c r="C26" s="10">
        <v>481500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8888.0952380952385</v>
      </c>
      <c r="C27" s="100">
        <v>373300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5152.3809523809523</v>
      </c>
      <c r="C28" s="100">
        <v>108200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-7550</v>
      </c>
      <c r="C29" s="100">
        <v>-286900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0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4.5454545454545452E-3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8</v>
      </c>
      <c r="C36" s="102">
        <f t="shared" ref="C36:C48" si="2">IF(B$19=0,0,B36/B$19)</f>
        <v>0.12698412698412698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13</v>
      </c>
      <c r="C37" s="8">
        <f t="shared" si="2"/>
        <v>0.20634920634920634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14</v>
      </c>
      <c r="C38" s="8">
        <f t="shared" si="2"/>
        <v>0.22222222222222221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7</v>
      </c>
      <c r="C39" s="8">
        <f t="shared" si="2"/>
        <v>0.1111111111111111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6</v>
      </c>
      <c r="C40" s="8">
        <f t="shared" si="2"/>
        <v>9.5238095238095233E-2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9</v>
      </c>
      <c r="C41" s="8">
        <f t="shared" si="2"/>
        <v>0.14285714285714285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2"/>
        <v>4.7619047619047616E-2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1.5873015873015872E-2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1.5873015873015872E-2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1.5873015873015872E-2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45</v>
      </c>
      <c r="C2" s="132"/>
      <c r="E2" s="28" t="s">
        <v>72</v>
      </c>
      <c r="F2" s="25" t="s">
        <v>27</v>
      </c>
      <c r="G2" s="13">
        <v>67</v>
      </c>
      <c r="H2" s="91">
        <f>IF(B$19=0,0,G2/B$19)</f>
        <v>0.6633663366336634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602.27272727272725</v>
      </c>
      <c r="P2" s="80">
        <v>44</v>
      </c>
      <c r="Q2" s="67">
        <v>26500</v>
      </c>
    </row>
    <row r="3" spans="1:17" x14ac:dyDescent="0.45">
      <c r="A3" s="21" t="s">
        <v>8</v>
      </c>
      <c r="B3" s="133">
        <v>360</v>
      </c>
      <c r="C3" s="134"/>
      <c r="E3" s="29" t="s">
        <v>66</v>
      </c>
      <c r="F3" s="26" t="s">
        <v>22</v>
      </c>
      <c r="G3" s="14">
        <v>59</v>
      </c>
      <c r="H3" s="92">
        <f>IF(B$19=0,0,G3/B$19)</f>
        <v>0.58415841584158412</v>
      </c>
      <c r="I3" s="60">
        <v>9</v>
      </c>
      <c r="K3" s="7">
        <v>1</v>
      </c>
      <c r="L3" s="65">
        <v>-0.5</v>
      </c>
      <c r="N3" s="78" t="s">
        <v>129</v>
      </c>
      <c r="O3" s="84">
        <f t="shared" si="0"/>
        <v>-406.81818181818181</v>
      </c>
      <c r="P3" s="81">
        <v>44</v>
      </c>
      <c r="Q3" s="68">
        <v>-17900</v>
      </c>
    </row>
    <row r="4" spans="1:17" x14ac:dyDescent="0.45">
      <c r="A4" s="21" t="s">
        <v>6</v>
      </c>
      <c r="B4" s="135">
        <v>-60.89999999999997</v>
      </c>
      <c r="C4" s="136"/>
      <c r="E4" s="29" t="s">
        <v>64</v>
      </c>
      <c r="F4" s="26" t="s">
        <v>20</v>
      </c>
      <c r="G4" s="14">
        <v>46</v>
      </c>
      <c r="H4" s="92">
        <f>IF(B$19=0,0,G4/B$19)</f>
        <v>0.45544554455445546</v>
      </c>
      <c r="I4" s="60">
        <v>6</v>
      </c>
      <c r="K4" s="7">
        <v>2</v>
      </c>
      <c r="L4" s="65">
        <v>-62.8</v>
      </c>
      <c r="N4" s="78" t="s">
        <v>130</v>
      </c>
      <c r="O4" s="84">
        <f t="shared" si="0"/>
        <v>-1200</v>
      </c>
      <c r="P4" s="81">
        <v>44</v>
      </c>
      <c r="Q4" s="68">
        <v>-52800</v>
      </c>
    </row>
    <row r="5" spans="1:17" x14ac:dyDescent="0.45">
      <c r="A5" s="21" t="s">
        <v>7</v>
      </c>
      <c r="B5" s="123">
        <f>IF(B$2=0,0,B$4/B$2)</f>
        <v>-1.3533333333333326</v>
      </c>
      <c r="C5" s="124"/>
      <c r="E5" s="29" t="s">
        <v>160</v>
      </c>
      <c r="F5" s="26" t="s">
        <v>161</v>
      </c>
      <c r="G5" s="14">
        <v>40</v>
      </c>
      <c r="H5" s="92">
        <f>IF(B$19=0,0,G5/B$19)</f>
        <v>0.39603960396039606</v>
      </c>
      <c r="I5" s="60">
        <v>8</v>
      </c>
      <c r="K5" s="7">
        <v>3</v>
      </c>
      <c r="L5" s="65">
        <v>-48.5</v>
      </c>
      <c r="N5" s="78" t="s">
        <v>131</v>
      </c>
      <c r="O5" s="84">
        <f t="shared" si="0"/>
        <v>960.97560975609758</v>
      </c>
      <c r="P5" s="81">
        <v>41</v>
      </c>
      <c r="Q5" s="68">
        <v>39400</v>
      </c>
    </row>
    <row r="6" spans="1:17" x14ac:dyDescent="0.45">
      <c r="A6" s="21" t="s">
        <v>1</v>
      </c>
      <c r="B6" s="137">
        <f>IF(B$2=0,0,(B$7*1+B$8*2+B$9*3)/B$2)</f>
        <v>1.9777777777777779</v>
      </c>
      <c r="C6" s="138"/>
      <c r="E6" s="29" t="s">
        <v>67</v>
      </c>
      <c r="F6" s="26" t="s">
        <v>23</v>
      </c>
      <c r="G6" s="14">
        <v>27</v>
      </c>
      <c r="H6" s="92">
        <f>IF(B$19=0,0,G6/B$19)</f>
        <v>0.26732673267326734</v>
      </c>
      <c r="I6" s="60">
        <v>4</v>
      </c>
      <c r="K6" s="7">
        <v>4</v>
      </c>
      <c r="L6" s="65">
        <v>-75.599999999999994</v>
      </c>
      <c r="N6" s="78" t="s">
        <v>132</v>
      </c>
      <c r="O6" s="84">
        <f t="shared" si="0"/>
        <v>-1591.4285714285713</v>
      </c>
      <c r="P6" s="81">
        <v>35</v>
      </c>
      <c r="Q6" s="68">
        <v>-55700</v>
      </c>
    </row>
    <row r="7" spans="1:17" x14ac:dyDescent="0.45">
      <c r="A7" s="21" t="s">
        <v>2</v>
      </c>
      <c r="B7" s="14">
        <v>14</v>
      </c>
      <c r="C7" s="8">
        <f t="shared" ref="C7:C14" si="1">IF(B$2=0,0,B7/B$2)</f>
        <v>0.31111111111111112</v>
      </c>
      <c r="E7" s="29" t="s">
        <v>68</v>
      </c>
      <c r="F7" s="26" t="s">
        <v>12</v>
      </c>
      <c r="G7" s="14">
        <v>25</v>
      </c>
      <c r="H7" s="92">
        <f>IF(B$19=0,0,G7/B$19)</f>
        <v>0.24752475247524752</v>
      </c>
      <c r="I7" s="60">
        <v>9</v>
      </c>
      <c r="K7" s="7">
        <v>5</v>
      </c>
      <c r="L7" s="65">
        <v>-96.5</v>
      </c>
      <c r="N7" s="79" t="s">
        <v>133</v>
      </c>
      <c r="O7" s="85">
        <f t="shared" si="0"/>
        <v>532</v>
      </c>
      <c r="P7" s="82">
        <v>25</v>
      </c>
      <c r="Q7" s="69">
        <v>13300</v>
      </c>
    </row>
    <row r="8" spans="1:17" x14ac:dyDescent="0.45">
      <c r="A8" s="21" t="s">
        <v>3</v>
      </c>
      <c r="B8" s="14">
        <v>18</v>
      </c>
      <c r="C8" s="8">
        <f t="shared" si="1"/>
        <v>0.4</v>
      </c>
      <c r="E8" s="29" t="s">
        <v>89</v>
      </c>
      <c r="F8" s="26" t="s">
        <v>44</v>
      </c>
      <c r="G8" s="14">
        <v>14</v>
      </c>
      <c r="H8" s="92">
        <f>IF(B$19=0,0,G8/B$19)</f>
        <v>0.13861386138613863</v>
      </c>
      <c r="I8" s="60">
        <v>7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0.28888888888888886</v>
      </c>
      <c r="E9" s="29" t="s">
        <v>69</v>
      </c>
      <c r="F9" s="26" t="s">
        <v>24</v>
      </c>
      <c r="G9" s="14">
        <v>10</v>
      </c>
      <c r="H9" s="92">
        <f>IF(B$19=0,0,G9/B$19)</f>
        <v>9.9009900990099015E-2</v>
      </c>
      <c r="I9" s="60">
        <v>9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36.542857142857137</v>
      </c>
      <c r="C10" s="114">
        <v>511.59999999999997</v>
      </c>
      <c r="E10" s="29" t="s">
        <v>65</v>
      </c>
      <c r="F10" s="26" t="s">
        <v>21</v>
      </c>
      <c r="G10" s="14">
        <v>8</v>
      </c>
      <c r="H10" s="92">
        <f>IF(B$19=0,0,G10/B$19)</f>
        <v>7.9207920792079209E-2</v>
      </c>
      <c r="I10" s="60">
        <v>9</v>
      </c>
      <c r="K10" s="7">
        <v>8</v>
      </c>
      <c r="L10" s="65">
        <v>-28.3</v>
      </c>
      <c r="N10" s="77" t="s">
        <v>152</v>
      </c>
      <c r="O10" s="86">
        <f>IF(P10=0,0,Q10/P10)</f>
        <v>-7.3500000000000005</v>
      </c>
      <c r="P10" s="80">
        <v>14</v>
      </c>
      <c r="Q10" s="71">
        <v>-102.9</v>
      </c>
    </row>
    <row r="11" spans="1:17" x14ac:dyDescent="0.45">
      <c r="A11" s="22" t="s">
        <v>186</v>
      </c>
      <c r="B11" s="113">
        <f>IF(B8=0,0,C11/B8)</f>
        <v>-3.8444444444444446</v>
      </c>
      <c r="C11" s="114">
        <v>-69.2</v>
      </c>
      <c r="E11" s="29" t="s">
        <v>71</v>
      </c>
      <c r="F11" s="26" t="s">
        <v>26</v>
      </c>
      <c r="G11" s="14">
        <v>8</v>
      </c>
      <c r="H11" s="92">
        <f>IF(B$19=0,0,G11/B$19)</f>
        <v>7.9207920792079209E-2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-2.1529411764705881</v>
      </c>
      <c r="P11" s="81">
        <v>17</v>
      </c>
      <c r="Q11" s="72">
        <v>-36.6</v>
      </c>
    </row>
    <row r="12" spans="1:17" x14ac:dyDescent="0.45">
      <c r="A12" s="22" t="s">
        <v>187</v>
      </c>
      <c r="B12" s="113">
        <f>IF(B9=0,0,C12/B9)</f>
        <v>-38.715384615384615</v>
      </c>
      <c r="C12" s="114">
        <v>-503.3</v>
      </c>
      <c r="E12" s="29" t="s">
        <v>83</v>
      </c>
      <c r="F12" s="26" t="s">
        <v>38</v>
      </c>
      <c r="G12" s="14">
        <v>7</v>
      </c>
      <c r="H12" s="92">
        <f>IF(B$19=0,0,G12/B$19)</f>
        <v>6.9306930693069313E-2</v>
      </c>
      <c r="I12" s="60">
        <v>3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-2.0056573056573064</v>
      </c>
      <c r="C13" s="124"/>
      <c r="E13" s="29" t="s">
        <v>70</v>
      </c>
      <c r="F13" s="26" t="s">
        <v>25</v>
      </c>
      <c r="G13" s="14">
        <v>5</v>
      </c>
      <c r="H13" s="92">
        <f>IF(B$19=0,0,G13/B$19)</f>
        <v>4.9504950495049507E-2</v>
      </c>
      <c r="I13" s="60">
        <v>8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8.8888888888888892E-2</v>
      </c>
      <c r="E14" s="29" t="s">
        <v>79</v>
      </c>
      <c r="F14" s="26" t="s">
        <v>34</v>
      </c>
      <c r="G14" s="14">
        <v>5</v>
      </c>
      <c r="H14" s="92">
        <f>IF(B$19=0,0,G14/B$19)</f>
        <v>4.9504950495049507E-2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90</v>
      </c>
      <c r="C15" s="12">
        <f>IF(B$3=0,0,B15/B$3)</f>
        <v>0.25</v>
      </c>
      <c r="E15" s="29" t="s">
        <v>78</v>
      </c>
      <c r="F15" s="26" t="s">
        <v>33</v>
      </c>
      <c r="G15" s="14">
        <v>4</v>
      </c>
      <c r="H15" s="92">
        <f>IF(B$19=0,0,G15/B$19)</f>
        <v>3.9603960396039604E-2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89</v>
      </c>
      <c r="C16" s="8">
        <f>IF(B$3=0,0,B16/B$3)</f>
        <v>0.24722222222222223</v>
      </c>
      <c r="E16" s="29" t="s">
        <v>91</v>
      </c>
      <c r="F16" s="26" t="s">
        <v>46</v>
      </c>
      <c r="G16" s="14">
        <v>3</v>
      </c>
      <c r="H16" s="92">
        <f>IF(B$19=0,0,G16/B$19)</f>
        <v>2.9702970297029702E-2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 t="shared" si="2"/>
        <v>18.040000000000003</v>
      </c>
      <c r="P16" s="81">
        <v>15</v>
      </c>
      <c r="Q16" s="72">
        <v>270.60000000000002</v>
      </c>
    </row>
    <row r="17" spans="1:17" x14ac:dyDescent="0.45">
      <c r="A17" s="20" t="s">
        <v>123</v>
      </c>
      <c r="B17" s="13">
        <f>B23</f>
        <v>48</v>
      </c>
      <c r="C17" s="6">
        <f>IF(B$15=0,0,B17/B$15)</f>
        <v>0.53333333333333333</v>
      </c>
      <c r="E17" s="29" t="s">
        <v>81</v>
      </c>
      <c r="F17" s="26" t="s">
        <v>36</v>
      </c>
      <c r="G17" s="14">
        <v>2</v>
      </c>
      <c r="H17" s="92">
        <f>IF(B$19=0,0,G17/B$19)</f>
        <v>1.9801980198019802E-2</v>
      </c>
      <c r="I17" s="60">
        <v>5</v>
      </c>
      <c r="K17" s="7">
        <v>15</v>
      </c>
      <c r="L17" s="65">
        <v>-121.39999999999998</v>
      </c>
      <c r="N17" s="78" t="s">
        <v>194</v>
      </c>
      <c r="O17" s="87">
        <f t="shared" si="2"/>
        <v>9.4571428571428591</v>
      </c>
      <c r="P17" s="81">
        <v>14</v>
      </c>
      <c r="Q17" s="72">
        <v>132.40000000000003</v>
      </c>
    </row>
    <row r="18" spans="1:17" x14ac:dyDescent="0.45">
      <c r="A18" s="20" t="s">
        <v>124</v>
      </c>
      <c r="B18" s="13">
        <f>B24</f>
        <v>33</v>
      </c>
      <c r="C18" s="6">
        <f>IF(B$16=0,0,B18/B$16)</f>
        <v>0.3707865168539326</v>
      </c>
      <c r="E18" s="29" t="s">
        <v>86</v>
      </c>
      <c r="F18" s="26" t="s">
        <v>41</v>
      </c>
      <c r="G18" s="14">
        <v>2</v>
      </c>
      <c r="H18" s="92">
        <f>IF(B$19=0,0,G18/B$19)</f>
        <v>1.9801980198019802E-2</v>
      </c>
      <c r="I18" s="60">
        <v>8</v>
      </c>
      <c r="K18" s="7">
        <v>16</v>
      </c>
      <c r="L18" s="65">
        <v>-141.29999999999998</v>
      </c>
      <c r="N18" s="78" t="s">
        <v>205</v>
      </c>
      <c r="O18" s="87">
        <f t="shared" si="2"/>
        <v>0.53750000000000053</v>
      </c>
      <c r="P18" s="81">
        <v>8</v>
      </c>
      <c r="Q18" s="72">
        <v>4.3000000000000043</v>
      </c>
    </row>
    <row r="19" spans="1:17" x14ac:dyDescent="0.45">
      <c r="A19" s="20" t="s">
        <v>10</v>
      </c>
      <c r="B19" s="13">
        <f>B22+B21</f>
        <v>101</v>
      </c>
      <c r="C19" s="6">
        <f>IF(B$3=0,0,B19/B$3)</f>
        <v>0.28055555555555556</v>
      </c>
      <c r="E19" s="29" t="s">
        <v>85</v>
      </c>
      <c r="F19" s="26" t="s">
        <v>40</v>
      </c>
      <c r="G19" s="14">
        <v>1</v>
      </c>
      <c r="H19" s="92">
        <f>IF(B$19=0,0,G19/B$19)</f>
        <v>9.9009900990099011E-3</v>
      </c>
      <c r="I19" s="60">
        <v>2</v>
      </c>
      <c r="K19" s="7">
        <v>17</v>
      </c>
      <c r="L19" s="65">
        <v>-149.1</v>
      </c>
      <c r="N19" s="78" t="s">
        <v>164</v>
      </c>
      <c r="O19" s="87">
        <f t="shared" si="2"/>
        <v>-3.0166666666666648</v>
      </c>
      <c r="P19" s="81">
        <v>18</v>
      </c>
      <c r="Q19" s="72">
        <v>-54.299999999999969</v>
      </c>
    </row>
    <row r="20" spans="1:17" x14ac:dyDescent="0.45">
      <c r="A20" s="21" t="s">
        <v>13</v>
      </c>
      <c r="B20" s="14">
        <v>40</v>
      </c>
      <c r="C20" s="8">
        <f>IF(B$3=0,0,B20/B$3)</f>
        <v>0.1111111111111111</v>
      </c>
      <c r="E20" s="29" t="s">
        <v>92</v>
      </c>
      <c r="F20" s="26" t="s">
        <v>47</v>
      </c>
      <c r="G20" s="14">
        <v>1</v>
      </c>
      <c r="H20" s="92">
        <f>IF(B$19=0,0,G20/B$19)</f>
        <v>9.9009900990099011E-3</v>
      </c>
      <c r="I20" s="60">
        <v>6</v>
      </c>
      <c r="K20" s="7">
        <v>18</v>
      </c>
      <c r="L20" s="65">
        <v>-201.89999999999998</v>
      </c>
      <c r="N20" s="78" t="s">
        <v>126</v>
      </c>
      <c r="O20" s="87">
        <f t="shared" si="2"/>
        <v>-18.844000000000008</v>
      </c>
      <c r="P20" s="81">
        <v>25</v>
      </c>
      <c r="Q20" s="72">
        <v>-471.10000000000019</v>
      </c>
    </row>
    <row r="21" spans="1:17" x14ac:dyDescent="0.45">
      <c r="A21" s="21" t="s">
        <v>12</v>
      </c>
      <c r="B21" s="14">
        <v>42</v>
      </c>
      <c r="C21" s="8">
        <f>IF(B$19=0,0,B21/B$19)</f>
        <v>0.41584158415841582</v>
      </c>
      <c r="E21" s="29" t="s">
        <v>156</v>
      </c>
      <c r="F21" s="26" t="s">
        <v>157</v>
      </c>
      <c r="G21" s="14">
        <v>1</v>
      </c>
      <c r="H21" s="92">
        <f>IF(B$19=0,0,G21/B$19)</f>
        <v>9.9009900990099011E-3</v>
      </c>
      <c r="I21" s="60">
        <v>4</v>
      </c>
      <c r="K21" s="7">
        <v>19</v>
      </c>
      <c r="L21" s="65">
        <v>-152.39999999999998</v>
      </c>
      <c r="N21" s="78" t="s">
        <v>196</v>
      </c>
      <c r="O21" s="87">
        <f t="shared" si="2"/>
        <v>-19.342857142857145</v>
      </c>
      <c r="P21" s="81">
        <v>7</v>
      </c>
      <c r="Q21" s="72">
        <v>-135.4</v>
      </c>
    </row>
    <row r="22" spans="1:17" x14ac:dyDescent="0.45">
      <c r="A22" s="21" t="s">
        <v>11</v>
      </c>
      <c r="B22" s="14">
        <v>59</v>
      </c>
      <c r="C22" s="8">
        <f>IF(B$19=0,0,B22/B$19)</f>
        <v>0.58415841584158412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48</v>
      </c>
      <c r="C23" s="8">
        <f>IF(B$19=0,0,B23/B$19)</f>
        <v>0.47524752475247523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33</v>
      </c>
      <c r="C24" s="8">
        <f>IF(B$19=0,0,B24/B$19)</f>
        <v>0.32673267326732675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20</v>
      </c>
      <c r="C25" s="8">
        <f>IF(B$19=0,0,B25/B$19)</f>
        <v>0.19801980198019803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7611.8811881188121</v>
      </c>
      <c r="C26" s="10">
        <v>768800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7847.0588235294117</v>
      </c>
      <c r="C27" s="100">
        <v>533600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7127.272727272727</v>
      </c>
      <c r="C28" s="100">
        <v>235200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-7855</v>
      </c>
      <c r="C29" s="100">
        <v>-314200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20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3">IF(B$19=0,0,B36/B$19)</f>
        <v>0.10891089108910891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17</v>
      </c>
      <c r="C37" s="8">
        <f t="shared" si="3"/>
        <v>0.16831683168316833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28</v>
      </c>
      <c r="C38" s="8">
        <f t="shared" si="3"/>
        <v>0.27722772277227725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15</v>
      </c>
      <c r="C39" s="8">
        <f t="shared" si="3"/>
        <v>0.14851485148514851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9</v>
      </c>
      <c r="C40" s="8">
        <f t="shared" si="3"/>
        <v>8.9108910891089105E-2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4</v>
      </c>
      <c r="C41" s="8">
        <f t="shared" si="3"/>
        <v>3.9603960396039604E-2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8</v>
      </c>
      <c r="C42" s="8">
        <f t="shared" si="3"/>
        <v>7.9207920792079209E-2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3"/>
        <v>2.9702970297029702E-2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3"/>
        <v>1.9801980198019802E-2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2</v>
      </c>
      <c r="C45" s="8">
        <f t="shared" si="3"/>
        <v>1.9801980198019802E-2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3"/>
        <v>9.9009900990099011E-3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1</v>
      </c>
      <c r="C48" s="11">
        <f t="shared" si="3"/>
        <v>9.9009900990099011E-3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26</v>
      </c>
      <c r="C2" s="132"/>
      <c r="E2" s="28" t="s">
        <v>72</v>
      </c>
      <c r="F2" s="25" t="s">
        <v>27</v>
      </c>
      <c r="G2" s="13">
        <v>43</v>
      </c>
      <c r="H2" s="91">
        <f>IF(B$19=0,0,G2/B$19)</f>
        <v>0.71666666666666667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-900</v>
      </c>
      <c r="P2" s="80">
        <v>26</v>
      </c>
      <c r="Q2" s="67">
        <v>-23400</v>
      </c>
    </row>
    <row r="3" spans="1:17" x14ac:dyDescent="0.45">
      <c r="A3" s="21" t="s">
        <v>8</v>
      </c>
      <c r="B3" s="133">
        <v>191</v>
      </c>
      <c r="C3" s="134"/>
      <c r="E3" s="29" t="s">
        <v>66</v>
      </c>
      <c r="F3" s="26" t="s">
        <v>22</v>
      </c>
      <c r="G3" s="14">
        <v>40</v>
      </c>
      <c r="H3" s="92">
        <f>IF(B$19=0,0,G3/B$19)</f>
        <v>0.66666666666666663</v>
      </c>
      <c r="I3" s="60">
        <v>6</v>
      </c>
      <c r="K3" s="7">
        <v>1</v>
      </c>
      <c r="L3" s="65">
        <v>56</v>
      </c>
      <c r="N3" s="78" t="s">
        <v>129</v>
      </c>
      <c r="O3" s="84">
        <f t="shared" si="0"/>
        <v>-1900</v>
      </c>
      <c r="P3" s="81">
        <v>25</v>
      </c>
      <c r="Q3" s="68">
        <v>-47500</v>
      </c>
    </row>
    <row r="4" spans="1:17" x14ac:dyDescent="0.45">
      <c r="A4" s="21" t="s">
        <v>6</v>
      </c>
      <c r="B4" s="135">
        <v>86.8</v>
      </c>
      <c r="C4" s="136"/>
      <c r="E4" s="29" t="s">
        <v>64</v>
      </c>
      <c r="F4" s="26" t="s">
        <v>20</v>
      </c>
      <c r="G4" s="14">
        <v>17</v>
      </c>
      <c r="H4" s="92">
        <f>IF(B$19=0,0,G4/B$19)</f>
        <v>0.28333333333333333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2950</v>
      </c>
      <c r="P4" s="81">
        <v>22</v>
      </c>
      <c r="Q4" s="68">
        <v>64900</v>
      </c>
    </row>
    <row r="5" spans="1:17" x14ac:dyDescent="0.45">
      <c r="A5" s="21" t="s">
        <v>7</v>
      </c>
      <c r="B5" s="123">
        <f>IF(B$2=0,0,B$4/B$2)</f>
        <v>3.3384615384615381</v>
      </c>
      <c r="C5" s="124"/>
      <c r="E5" s="29" t="s">
        <v>68</v>
      </c>
      <c r="F5" s="26" t="s">
        <v>12</v>
      </c>
      <c r="G5" s="14">
        <v>15</v>
      </c>
      <c r="H5" s="92">
        <f>IF(B$19=0,0,G5/B$19)</f>
        <v>0.25</v>
      </c>
      <c r="I5" s="60">
        <v>7</v>
      </c>
      <c r="K5" s="7">
        <v>3</v>
      </c>
      <c r="L5" s="65">
        <v>159</v>
      </c>
      <c r="N5" s="78" t="s">
        <v>131</v>
      </c>
      <c r="O5" s="84">
        <f t="shared" si="0"/>
        <v>-1273.6842105263158</v>
      </c>
      <c r="P5" s="81">
        <v>19</v>
      </c>
      <c r="Q5" s="68">
        <v>-24200</v>
      </c>
    </row>
    <row r="6" spans="1:17" x14ac:dyDescent="0.45">
      <c r="A6" s="21" t="s">
        <v>1</v>
      </c>
      <c r="B6" s="137">
        <f>IF(B$2=0,0,(B$7*1+B$8*2+B$9*3)/B$2)</f>
        <v>1.9615384615384615</v>
      </c>
      <c r="C6" s="138"/>
      <c r="E6" s="29" t="s">
        <v>160</v>
      </c>
      <c r="F6" s="26" t="s">
        <v>161</v>
      </c>
      <c r="G6" s="14">
        <v>15</v>
      </c>
      <c r="H6" s="92">
        <f>IF(B$19=0,0,G6/B$19)</f>
        <v>0.25</v>
      </c>
      <c r="I6" s="60">
        <v>10</v>
      </c>
      <c r="K6" s="7">
        <v>4</v>
      </c>
      <c r="L6" s="65">
        <v>112.4</v>
      </c>
      <c r="N6" s="78" t="s">
        <v>132</v>
      </c>
      <c r="O6" s="84">
        <f t="shared" si="0"/>
        <v>4700</v>
      </c>
      <c r="P6" s="81">
        <v>14</v>
      </c>
      <c r="Q6" s="68">
        <v>65800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0.38461538461538464</v>
      </c>
      <c r="E7" s="29" t="s">
        <v>67</v>
      </c>
      <c r="F7" s="26" t="s">
        <v>23</v>
      </c>
      <c r="G7" s="14">
        <v>12</v>
      </c>
      <c r="H7" s="92">
        <f>IF(B$19=0,0,G7/B$19)</f>
        <v>0.2</v>
      </c>
      <c r="I7" s="60">
        <v>7</v>
      </c>
      <c r="K7" s="7">
        <v>5</v>
      </c>
      <c r="L7" s="65">
        <v>140.30000000000001</v>
      </c>
      <c r="N7" s="79" t="s">
        <v>133</v>
      </c>
      <c r="O7" s="85">
        <f t="shared" si="0"/>
        <v>-800</v>
      </c>
      <c r="P7" s="82">
        <v>11</v>
      </c>
      <c r="Q7" s="69">
        <v>-8800</v>
      </c>
    </row>
    <row r="8" spans="1:17" x14ac:dyDescent="0.45">
      <c r="A8" s="21" t="s">
        <v>3</v>
      </c>
      <c r="B8" s="14">
        <v>7</v>
      </c>
      <c r="C8" s="8">
        <f t="shared" si="1"/>
        <v>0.26923076923076922</v>
      </c>
      <c r="E8" s="29" t="s">
        <v>69</v>
      </c>
      <c r="F8" s="26" t="s">
        <v>24</v>
      </c>
      <c r="G8" s="14">
        <v>9</v>
      </c>
      <c r="H8" s="92">
        <f>IF(B$19=0,0,G8/B$19)</f>
        <v>0.15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0.34615384615384615</v>
      </c>
      <c r="E9" s="29" t="s">
        <v>83</v>
      </c>
      <c r="F9" s="26" t="s">
        <v>38</v>
      </c>
      <c r="G9" s="14">
        <v>9</v>
      </c>
      <c r="H9" s="92">
        <f>IF(B$19=0,0,G9/B$19)</f>
        <v>0.15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43.13</v>
      </c>
      <c r="C10" s="114">
        <v>431.3</v>
      </c>
      <c r="E10" s="29" t="s">
        <v>89</v>
      </c>
      <c r="F10" s="26" t="s">
        <v>44</v>
      </c>
      <c r="G10" s="14">
        <v>6</v>
      </c>
      <c r="H10" s="92">
        <f>IF(B$19=0,0,G10/B$19)</f>
        <v>0.1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1.9285714285714282</v>
      </c>
      <c r="C11" s="114">
        <v>13.499999999999996</v>
      </c>
      <c r="E11" s="29" t="s">
        <v>65</v>
      </c>
      <c r="F11" s="26" t="s">
        <v>21</v>
      </c>
      <c r="G11" s="14">
        <v>5</v>
      </c>
      <c r="H11" s="92">
        <f>IF(B$19=0,0,G11/B$19)</f>
        <v>8.3333333333333329E-2</v>
      </c>
      <c r="I11" s="60">
        <v>7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-39.777777777777779</v>
      </c>
      <c r="C12" s="114">
        <v>-358</v>
      </c>
      <c r="E12" s="29" t="s">
        <v>81</v>
      </c>
      <c r="F12" s="26" t="s">
        <v>36</v>
      </c>
      <c r="G12" s="14">
        <v>4</v>
      </c>
      <c r="H12" s="92">
        <f>IF(B$19=0,0,G12/B$19)</f>
        <v>6.6666666666666666E-2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11.98</v>
      </c>
      <c r="P12" s="82">
        <v>10</v>
      </c>
      <c r="Q12" s="73">
        <v>119.8</v>
      </c>
    </row>
    <row r="13" spans="1:17" x14ac:dyDescent="0.45">
      <c r="A13" s="22" t="s">
        <v>188</v>
      </c>
      <c r="B13" s="123">
        <f>AVERAGE(B10:B12)</f>
        <v>1.7602645502645515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0.05</v>
      </c>
      <c r="I13" s="60">
        <v>7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0.23076923076923078</v>
      </c>
      <c r="E14" s="29" t="s">
        <v>78</v>
      </c>
      <c r="F14" s="26" t="s">
        <v>33</v>
      </c>
      <c r="G14" s="14">
        <v>3</v>
      </c>
      <c r="H14" s="92">
        <f>IF(B$19=0,0,G14/B$19)</f>
        <v>0.05</v>
      </c>
      <c r="I14" s="60">
        <v>1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27</v>
      </c>
      <c r="C15" s="12">
        <f>IF(B$3=0,0,B15/B$3)</f>
        <v>0.14136125654450263</v>
      </c>
      <c r="E15" s="29" t="s">
        <v>71</v>
      </c>
      <c r="F15" s="26" t="s">
        <v>26</v>
      </c>
      <c r="G15" s="14">
        <v>2</v>
      </c>
      <c r="H15" s="92">
        <f>IF(B$19=0,0,G15/B$19)</f>
        <v>3.3333333333333333E-2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0" si="2"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60</v>
      </c>
      <c r="C16" s="8">
        <f>IF(B$3=0,0,B16/B$3)</f>
        <v>0.31413612565445026</v>
      </c>
      <c r="E16" s="29" t="s">
        <v>85</v>
      </c>
      <c r="F16" s="26" t="s">
        <v>40</v>
      </c>
      <c r="G16" s="14">
        <v>2</v>
      </c>
      <c r="H16" s="92">
        <f>IF(B$19=0,0,G16/B$19)</f>
        <v>3.3333333333333333E-2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 t="shared" si="2"/>
        <v>33.971428571428568</v>
      </c>
      <c r="P16" s="81">
        <v>7</v>
      </c>
      <c r="Q16" s="72">
        <v>237.79999999999998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0.62962962962962965</v>
      </c>
      <c r="E17" s="29" t="s">
        <v>75</v>
      </c>
      <c r="F17" s="26" t="s">
        <v>30</v>
      </c>
      <c r="G17" s="14">
        <v>1</v>
      </c>
      <c r="H17" s="92">
        <f>IF(B$19=0,0,G17/B$19)</f>
        <v>1.6666666666666666E-2</v>
      </c>
      <c r="I17" s="60">
        <v>1</v>
      </c>
      <c r="K17" s="7">
        <v>15</v>
      </c>
      <c r="L17" s="65">
        <v>112.6</v>
      </c>
      <c r="N17" s="78" t="s">
        <v>196</v>
      </c>
      <c r="O17" s="87">
        <f t="shared" si="2"/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0.43333333333333335</v>
      </c>
      <c r="E18" s="29" t="s">
        <v>88</v>
      </c>
      <c r="F18" s="26" t="s">
        <v>43</v>
      </c>
      <c r="G18" s="14">
        <v>1</v>
      </c>
      <c r="H18" s="92">
        <f>IF(B$19=0,0,G18/B$19)</f>
        <v>1.6666666666666666E-2</v>
      </c>
      <c r="I18" s="60">
        <v>1</v>
      </c>
      <c r="K18" s="7">
        <v>16</v>
      </c>
      <c r="L18" s="65">
        <v>119.3</v>
      </c>
      <c r="N18" s="78" t="s">
        <v>189</v>
      </c>
      <c r="O18" s="87">
        <f t="shared" si="2"/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60</v>
      </c>
      <c r="C19" s="6">
        <f>IF(B$3=0,0,B19/B$3)</f>
        <v>0.31413612565445026</v>
      </c>
      <c r="E19" s="29" t="s">
        <v>102</v>
      </c>
      <c r="F19" s="26" t="s">
        <v>57</v>
      </c>
      <c r="G19" s="14">
        <v>1</v>
      </c>
      <c r="H19" s="92">
        <f>IF(B$19=0,0,G19/B$19)</f>
        <v>1.6666666666666666E-2</v>
      </c>
      <c r="I19" s="60">
        <v>1</v>
      </c>
      <c r="K19" s="7">
        <v>17</v>
      </c>
      <c r="L19" s="65">
        <v>71.699999999999989</v>
      </c>
      <c r="N19" s="78" t="s">
        <v>192</v>
      </c>
      <c r="O19" s="87">
        <f t="shared" si="2"/>
        <v>-18.040000000000003</v>
      </c>
      <c r="P19" s="81">
        <v>15</v>
      </c>
      <c r="Q19" s="72">
        <v>-270.60000000000002</v>
      </c>
    </row>
    <row r="20" spans="1:17" x14ac:dyDescent="0.45">
      <c r="A20" s="21" t="s">
        <v>13</v>
      </c>
      <c r="B20" s="14">
        <v>27</v>
      </c>
      <c r="C20" s="8">
        <f>IF(B$3=0,0,B20/B$3)</f>
        <v>0.14136125654450263</v>
      </c>
      <c r="E20" s="29" t="s">
        <v>156</v>
      </c>
      <c r="F20" s="26" t="s">
        <v>157</v>
      </c>
      <c r="G20" s="14">
        <v>1</v>
      </c>
      <c r="H20" s="92">
        <f>IF(B$19=0,0,G20/B$19)</f>
        <v>1.6666666666666666E-2</v>
      </c>
      <c r="I20" s="60">
        <v>2</v>
      </c>
      <c r="K20" s="7">
        <v>18</v>
      </c>
      <c r="L20" s="65">
        <v>45.399999999999991</v>
      </c>
      <c r="N20" s="78" t="s">
        <v>126</v>
      </c>
      <c r="O20" s="87">
        <f t="shared" si="2"/>
        <v>-21.374999999999996</v>
      </c>
      <c r="P20" s="81">
        <v>12</v>
      </c>
      <c r="Q20" s="72">
        <v>-256.49999999999994</v>
      </c>
    </row>
    <row r="21" spans="1:17" x14ac:dyDescent="0.45">
      <c r="A21" s="21" t="s">
        <v>12</v>
      </c>
      <c r="B21" s="14">
        <v>28</v>
      </c>
      <c r="C21" s="8">
        <f>IF(B$19=0,0,B21/B$19)</f>
        <v>0.46666666666666667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32</v>
      </c>
      <c r="C22" s="8">
        <f>IF(B$19=0,0,B22/B$19)</f>
        <v>0.53333333333333333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17</v>
      </c>
      <c r="C23" s="8">
        <f>IF(B$19=0,0,B23/B$19)</f>
        <v>0.28333333333333333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26</v>
      </c>
      <c r="C24" s="8">
        <f>IF(B$19=0,0,B24/B$19)</f>
        <v>0.43333333333333335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17</v>
      </c>
      <c r="C25" s="8">
        <f>IF(B$19=0,0,B25/B$19)</f>
        <v>0.28333333333333333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8308.3333333333339</v>
      </c>
      <c r="C26" s="10">
        <v>498500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9094.1176470588234</v>
      </c>
      <c r="C27" s="100">
        <v>309200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7280.7692307692305</v>
      </c>
      <c r="C28" s="100">
        <v>189300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-7514.8148148148148</v>
      </c>
      <c r="C29" s="100">
        <v>-202900</v>
      </c>
      <c r="E29" s="29" t="s">
        <v>86</v>
      </c>
      <c r="F29" s="26" t="s">
        <v>41</v>
      </c>
      <c r="G29" s="14">
        <v>0</v>
      </c>
      <c r="H29" s="92">
        <f>IF(B$19=0,0,G29/B$19)</f>
        <v>0</v>
      </c>
      <c r="I29" s="60">
        <v>9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27</v>
      </c>
      <c r="C31" s="94">
        <v>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7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6</v>
      </c>
      <c r="C36" s="102">
        <f t="shared" ref="C36:C48" si="3">IF(B$19=0,0,B36/B$19)</f>
        <v>0.1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13</v>
      </c>
      <c r="C37" s="8">
        <f t="shared" si="3"/>
        <v>0.21666666666666667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12</v>
      </c>
      <c r="C38" s="8">
        <f t="shared" si="3"/>
        <v>0.2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</row>
    <row r="39" spans="1:9" x14ac:dyDescent="0.45">
      <c r="A39" s="21" t="s">
        <v>170</v>
      </c>
      <c r="B39" s="122">
        <v>9</v>
      </c>
      <c r="C39" s="8">
        <f t="shared" si="3"/>
        <v>0.15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11</v>
      </c>
      <c r="C40" s="8">
        <f t="shared" si="3"/>
        <v>0.18333333333333332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3"/>
        <v>0.05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0.05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3"/>
        <v>1.6666666666666666E-2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1.6666666666666666E-2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1.6666666666666666E-2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8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25</v>
      </c>
      <c r="C2" s="132"/>
      <c r="E2" s="28" t="s">
        <v>66</v>
      </c>
      <c r="F2" s="25" t="s">
        <v>22</v>
      </c>
      <c r="G2" s="13">
        <v>61</v>
      </c>
      <c r="H2" s="91">
        <f>IF(B$19=0,0,G2/B$19)</f>
        <v>0.93846153846153846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2104.1666666666665</v>
      </c>
      <c r="P2" s="80">
        <v>24</v>
      </c>
      <c r="Q2" s="67">
        <v>50500</v>
      </c>
    </row>
    <row r="3" spans="1:17" x14ac:dyDescent="0.45">
      <c r="A3" s="21" t="s">
        <v>8</v>
      </c>
      <c r="B3" s="133">
        <v>199</v>
      </c>
      <c r="C3" s="134"/>
      <c r="E3" s="29" t="s">
        <v>72</v>
      </c>
      <c r="F3" s="26" t="s">
        <v>27</v>
      </c>
      <c r="G3" s="14">
        <v>38</v>
      </c>
      <c r="H3" s="92">
        <f>IF(B$19=0,0,G3/B$19)</f>
        <v>0.58461538461538465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-5033.333333333333</v>
      </c>
      <c r="P3" s="81">
        <v>24</v>
      </c>
      <c r="Q3" s="68">
        <v>-120800</v>
      </c>
    </row>
    <row r="4" spans="1:17" x14ac:dyDescent="0.45">
      <c r="A4" s="21" t="s">
        <v>6</v>
      </c>
      <c r="B4" s="135">
        <v>-49.100000000000009</v>
      </c>
      <c r="C4" s="136"/>
      <c r="E4" s="29" t="s">
        <v>160</v>
      </c>
      <c r="F4" s="26" t="s">
        <v>161</v>
      </c>
      <c r="G4" s="14">
        <v>25</v>
      </c>
      <c r="H4" s="92">
        <f>IF(B$19=0,0,G4/B$19)</f>
        <v>0.38461538461538464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-1786.9565217391305</v>
      </c>
      <c r="P4" s="81">
        <v>23</v>
      </c>
      <c r="Q4" s="68">
        <v>-41100</v>
      </c>
    </row>
    <row r="5" spans="1:17" x14ac:dyDescent="0.45">
      <c r="A5" s="21" t="s">
        <v>7</v>
      </c>
      <c r="B5" s="123">
        <f>IF(B$2=0,0,B$4/B$2)</f>
        <v>-1.9640000000000004</v>
      </c>
      <c r="C5" s="124"/>
      <c r="E5" s="29" t="s">
        <v>64</v>
      </c>
      <c r="F5" s="26" t="s">
        <v>20</v>
      </c>
      <c r="G5" s="14">
        <v>22</v>
      </c>
      <c r="H5" s="92">
        <f>IF(B$19=0,0,G5/B$19)</f>
        <v>0.33846153846153848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690</v>
      </c>
      <c r="P5" s="81">
        <v>20</v>
      </c>
      <c r="Q5" s="68">
        <v>13800</v>
      </c>
    </row>
    <row r="6" spans="1:17" x14ac:dyDescent="0.45">
      <c r="A6" s="21" t="s">
        <v>1</v>
      </c>
      <c r="B6" s="137">
        <f>IF(B$2=0,0,(B$7*1+B$8*2+B$9*3)/B$2)</f>
        <v>2.04</v>
      </c>
      <c r="C6" s="138"/>
      <c r="E6" s="29" t="s">
        <v>68</v>
      </c>
      <c r="F6" s="26" t="s">
        <v>12</v>
      </c>
      <c r="G6" s="14">
        <v>14</v>
      </c>
      <c r="H6" s="92">
        <f>IF(B$19=0,0,G6/B$19)</f>
        <v>0.2153846153846154</v>
      </c>
      <c r="I6" s="60">
        <v>10</v>
      </c>
      <c r="K6" s="7">
        <v>4</v>
      </c>
      <c r="L6" s="65">
        <v>-41.199999999999996</v>
      </c>
      <c r="N6" s="78" t="s">
        <v>132</v>
      </c>
      <c r="O6" s="84">
        <f t="shared" si="0"/>
        <v>455.55555555555554</v>
      </c>
      <c r="P6" s="81">
        <v>18</v>
      </c>
      <c r="Q6" s="68">
        <v>8200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0.36</v>
      </c>
      <c r="E7" s="29" t="s">
        <v>89</v>
      </c>
      <c r="F7" s="26" t="s">
        <v>44</v>
      </c>
      <c r="G7" s="14">
        <v>13</v>
      </c>
      <c r="H7" s="92">
        <f>IF(B$19=0,0,G7/B$19)</f>
        <v>0.2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-1427.2727272727273</v>
      </c>
      <c r="P7" s="82">
        <v>11</v>
      </c>
      <c r="Q7" s="69">
        <v>-15700</v>
      </c>
    </row>
    <row r="8" spans="1:17" x14ac:dyDescent="0.45">
      <c r="A8" s="21" t="s">
        <v>3</v>
      </c>
      <c r="B8" s="14">
        <v>6</v>
      </c>
      <c r="C8" s="8">
        <f t="shared" si="1"/>
        <v>0.24</v>
      </c>
      <c r="E8" s="29" t="s">
        <v>67</v>
      </c>
      <c r="F8" s="26" t="s">
        <v>23</v>
      </c>
      <c r="G8" s="14">
        <v>12</v>
      </c>
      <c r="H8" s="92">
        <f>IF(B$19=0,0,G8/B$19)</f>
        <v>0.18461538461538463</v>
      </c>
      <c r="I8" s="60">
        <v>9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0.4</v>
      </c>
      <c r="E9" s="29" t="s">
        <v>69</v>
      </c>
      <c r="F9" s="26" t="s">
        <v>24</v>
      </c>
      <c r="G9" s="14">
        <v>12</v>
      </c>
      <c r="H9" s="92">
        <f>IF(B$19=0,0,G9/B$19)</f>
        <v>0.18461538461538463</v>
      </c>
      <c r="I9" s="60">
        <v>1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36.533333333333331</v>
      </c>
      <c r="C10" s="114">
        <v>328.8</v>
      </c>
      <c r="E10" s="29" t="s">
        <v>70</v>
      </c>
      <c r="F10" s="26" t="s">
        <v>25</v>
      </c>
      <c r="G10" s="14">
        <v>8</v>
      </c>
      <c r="H10" s="92">
        <f>IF(B$19=0,0,G10/B$19)</f>
        <v>0.12307692307692308</v>
      </c>
      <c r="I10" s="60">
        <v>2</v>
      </c>
      <c r="K10" s="7">
        <v>8</v>
      </c>
      <c r="L10" s="65">
        <v>-128.6</v>
      </c>
      <c r="N10" s="77" t="s">
        <v>152</v>
      </c>
      <c r="O10" s="86">
        <f>IF(P10=0,0,Q10/P10)</f>
        <v>-1.0124999999999997</v>
      </c>
      <c r="P10" s="80">
        <v>8</v>
      </c>
      <c r="Q10" s="71">
        <v>-8.0999999999999979</v>
      </c>
    </row>
    <row r="11" spans="1:17" x14ac:dyDescent="0.45">
      <c r="A11" s="22" t="s">
        <v>186</v>
      </c>
      <c r="B11" s="113">
        <f>IF(B8=0,0,C11/B8)</f>
        <v>-0.96666666666666667</v>
      </c>
      <c r="C11" s="114">
        <v>-5.8</v>
      </c>
      <c r="E11" s="29" t="s">
        <v>65</v>
      </c>
      <c r="F11" s="26" t="s">
        <v>21</v>
      </c>
      <c r="G11" s="14">
        <v>5</v>
      </c>
      <c r="H11" s="92">
        <f>IF(B$19=0,0,G11/B$19)</f>
        <v>7.6923076923076927E-2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4.8499999999999996</v>
      </c>
      <c r="P11" s="81">
        <v>6</v>
      </c>
      <c r="Q11" s="72">
        <v>29.099999999999998</v>
      </c>
    </row>
    <row r="12" spans="1:17" x14ac:dyDescent="0.45">
      <c r="A12" s="22" t="s">
        <v>187</v>
      </c>
      <c r="B12" s="113">
        <f>IF(B9=0,0,C12/B9)</f>
        <v>-37.21</v>
      </c>
      <c r="C12" s="114">
        <v>-372.1</v>
      </c>
      <c r="E12" s="29" t="s">
        <v>83</v>
      </c>
      <c r="F12" s="26" t="s">
        <v>38</v>
      </c>
      <c r="G12" s="14">
        <v>5</v>
      </c>
      <c r="H12" s="92">
        <f>IF(B$19=0,0,G12/B$19)</f>
        <v>7.6923076923076927E-2</v>
      </c>
      <c r="I12" s="60">
        <v>2</v>
      </c>
      <c r="K12" s="7">
        <v>10</v>
      </c>
      <c r="L12" s="65">
        <v>-112.8</v>
      </c>
      <c r="N12" s="79" t="s">
        <v>154</v>
      </c>
      <c r="O12" s="88">
        <f>IF(P12=0,0,Q12/P12)</f>
        <v>-6.3727272727272739</v>
      </c>
      <c r="P12" s="82">
        <v>11</v>
      </c>
      <c r="Q12" s="73">
        <v>-70.100000000000009</v>
      </c>
    </row>
    <row r="13" spans="1:17" x14ac:dyDescent="0.45">
      <c r="A13" s="22" t="s">
        <v>188</v>
      </c>
      <c r="B13" s="123">
        <f>AVERAGE(B10:B12)</f>
        <v>-0.54777777777777936</v>
      </c>
      <c r="C13" s="124"/>
      <c r="E13" s="29" t="s">
        <v>71</v>
      </c>
      <c r="F13" s="26" t="s">
        <v>26</v>
      </c>
      <c r="G13" s="14">
        <v>4</v>
      </c>
      <c r="H13" s="92">
        <f>IF(B$19=0,0,G13/B$19)</f>
        <v>6.1538461538461542E-2</v>
      </c>
      <c r="I13" s="60">
        <v>7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0.16</v>
      </c>
      <c r="E14" s="29" t="s">
        <v>86</v>
      </c>
      <c r="F14" s="26" t="s">
        <v>41</v>
      </c>
      <c r="G14" s="14">
        <v>4</v>
      </c>
      <c r="H14" s="92">
        <f>IF(B$19=0,0,G14/B$19)</f>
        <v>6.1538461538461542E-2</v>
      </c>
      <c r="I14" s="60">
        <v>4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35</v>
      </c>
      <c r="C15" s="12">
        <f>IF(B$3=0,0,B15/B$3)</f>
        <v>0.17587939698492464</v>
      </c>
      <c r="E15" s="29" t="s">
        <v>78</v>
      </c>
      <c r="F15" s="26" t="s">
        <v>33</v>
      </c>
      <c r="G15" s="14">
        <v>3</v>
      </c>
      <c r="H15" s="92">
        <f>IF(B$19=0,0,G15/B$19)</f>
        <v>4.6153846153846156E-2</v>
      </c>
      <c r="I15" s="60">
        <v>2</v>
      </c>
      <c r="K15" s="7">
        <v>13</v>
      </c>
      <c r="L15" s="65">
        <v>-63.4</v>
      </c>
      <c r="N15" s="77" t="s">
        <v>194</v>
      </c>
      <c r="O15" s="86">
        <f>IF(P15=0,0,Q15/P15)</f>
        <v>1.7999999999999996</v>
      </c>
      <c r="P15" s="80">
        <v>9</v>
      </c>
      <c r="Q15" s="71">
        <v>16.199999999999996</v>
      </c>
    </row>
    <row r="16" spans="1:17" x14ac:dyDescent="0.45">
      <c r="A16" s="21" t="s">
        <v>118</v>
      </c>
      <c r="B16" s="14">
        <v>60</v>
      </c>
      <c r="C16" s="8">
        <f>IF(B$3=0,0,B16/B$3)</f>
        <v>0.30150753768844218</v>
      </c>
      <c r="E16" s="29" t="s">
        <v>81</v>
      </c>
      <c r="F16" s="26" t="s">
        <v>36</v>
      </c>
      <c r="G16" s="14">
        <v>1</v>
      </c>
      <c r="H16" s="92">
        <f>IF(B$19=0,0,G16/B$19)</f>
        <v>1.5384615384615385E-2</v>
      </c>
      <c r="I16" s="60">
        <v>7</v>
      </c>
      <c r="K16" s="7">
        <v>14</v>
      </c>
      <c r="L16" s="65">
        <v>-42.4</v>
      </c>
      <c r="N16" s="78" t="s">
        <v>192</v>
      </c>
      <c r="O16" s="87">
        <f>IF(P16=0,0,Q16/P16)</f>
        <v>-0.53750000000000053</v>
      </c>
      <c r="P16" s="81">
        <v>8</v>
      </c>
      <c r="Q16" s="72">
        <v>-4.3000000000000043</v>
      </c>
    </row>
    <row r="17" spans="1:17" x14ac:dyDescent="0.45">
      <c r="A17" s="20" t="s">
        <v>123</v>
      </c>
      <c r="B17" s="13">
        <f>B23</f>
        <v>22</v>
      </c>
      <c r="C17" s="6">
        <f>IF(B$15=0,0,B17/B$15)</f>
        <v>0.62857142857142856</v>
      </c>
      <c r="E17" s="29" t="s">
        <v>92</v>
      </c>
      <c r="F17" s="26" t="s">
        <v>47</v>
      </c>
      <c r="G17" s="14">
        <v>1</v>
      </c>
      <c r="H17" s="92">
        <f>IF(B$19=0,0,G17/B$19)</f>
        <v>1.5384615384615385E-2</v>
      </c>
      <c r="I17" s="60">
        <v>4</v>
      </c>
      <c r="K17" s="7">
        <v>15</v>
      </c>
      <c r="L17" s="65">
        <v>-65.7</v>
      </c>
      <c r="N17" s="78" t="s">
        <v>126</v>
      </c>
      <c r="O17" s="87">
        <f>IF(P17=0,0,Q17/P17)</f>
        <v>-0.57619047619047847</v>
      </c>
      <c r="P17" s="81">
        <v>21</v>
      </c>
      <c r="Q17" s="72">
        <v>-12.100000000000048</v>
      </c>
    </row>
    <row r="18" spans="1:17" x14ac:dyDescent="0.45">
      <c r="A18" s="20" t="s">
        <v>124</v>
      </c>
      <c r="B18" s="13">
        <f>B24</f>
        <v>17</v>
      </c>
      <c r="C18" s="6">
        <f>IF(B$16=0,0,B18/B$16)</f>
        <v>0.28333333333333333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164</v>
      </c>
      <c r="O18" s="87">
        <f>IF(P18=0,0,Q18/P18)</f>
        <v>-8.127272727272727</v>
      </c>
      <c r="P18" s="81">
        <v>11</v>
      </c>
      <c r="Q18" s="72">
        <v>-89.4</v>
      </c>
    </row>
    <row r="19" spans="1:17" x14ac:dyDescent="0.45">
      <c r="A19" s="20" t="s">
        <v>10</v>
      </c>
      <c r="B19" s="13">
        <f>B22+B21</f>
        <v>65</v>
      </c>
      <c r="C19" s="6">
        <f>IF(B$3=0,0,B19/B$3)</f>
        <v>0.32663316582914576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K19" s="7">
        <v>17</v>
      </c>
      <c r="L19" s="65">
        <v>-52.900000000000013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39</v>
      </c>
      <c r="C20" s="8">
        <f>IF(B$3=0,0,B20/B$3)</f>
        <v>0.19597989949748743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</row>
    <row r="21" spans="1:17" x14ac:dyDescent="0.45">
      <c r="A21" s="21" t="s">
        <v>12</v>
      </c>
      <c r="B21" s="14">
        <v>24</v>
      </c>
      <c r="C21" s="8">
        <f>IF(B$19=0,0,B21/B$19)</f>
        <v>0.36923076923076925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45">
      <c r="A22" s="21" t="s">
        <v>11</v>
      </c>
      <c r="B22" s="14">
        <v>41</v>
      </c>
      <c r="C22" s="8">
        <f>IF(B$19=0,0,B22/B$19)</f>
        <v>0.63076923076923075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22</v>
      </c>
      <c r="C23" s="8">
        <f>IF(B$19=0,0,B23/B$19)</f>
        <v>0.33846153846153848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17</v>
      </c>
      <c r="C24" s="8">
        <f>IF(B$19=0,0,B24/B$19)</f>
        <v>0.26153846153846155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26</v>
      </c>
      <c r="C25" s="8">
        <f>IF(B$19=0,0,B25/B$19)</f>
        <v>0.4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8783.0769230769238</v>
      </c>
      <c r="C26" s="10">
        <v>570900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8572.9166666666661</v>
      </c>
      <c r="C27" s="100">
        <v>411500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9376.4705882352937</v>
      </c>
      <c r="C28" s="100">
        <v>159400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-9212.8205128205136</v>
      </c>
      <c r="C29" s="100">
        <v>-359300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11</v>
      </c>
      <c r="C31" s="94">
        <v>7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5</v>
      </c>
      <c r="C36" s="102">
        <f t="shared" ref="C36:C48" si="2">IF(B$19=0,0,B36/B$19)</f>
        <v>7.6923076923076927E-2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17</v>
      </c>
      <c r="C37" s="8">
        <f t="shared" si="2"/>
        <v>0.26153846153846155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7</v>
      </c>
      <c r="C38" s="8">
        <f t="shared" si="2"/>
        <v>0.1076923076923077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14</v>
      </c>
      <c r="C39" s="8">
        <f t="shared" si="2"/>
        <v>0.2153846153846154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7</v>
      </c>
      <c r="C40" s="8">
        <f t="shared" si="2"/>
        <v>0.1076923076923077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7.6923076923076927E-2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2"/>
        <v>4.6153846153846156E-2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3.0769230769230771E-2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1.5384615384615385E-2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1.5384615384615385E-2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3.0769230769230771E-2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1.5384615384615385E-2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1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4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3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6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5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9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2020-06-26T10:59:28Z</dcterms:modified>
</cp:coreProperties>
</file>