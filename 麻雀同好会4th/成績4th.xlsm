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2A66C81B-64A8-41AE-A942-8BDF07EEB34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36" r:id="rId6"/>
    <sheet name="れんたろう" sheetId="6138" r:id="rId7"/>
    <sheet name="ともき" sheetId="6140" r:id="rId8"/>
    <sheet name="だいち" sheetId="6142" r:id="rId9"/>
    <sheet name="りくと" sheetId="6144" r:id="rId10"/>
    <sheet name="まっつん" sheetId="6146" r:id="rId11"/>
    <sheet name="たかの" sheetId="6148" r:id="rId12"/>
    <sheet name="のり" sheetId="6150" r:id="rId13"/>
    <sheet name="ただ" sheetId="6152" r:id="rId14"/>
    <sheet name="ただ2" sheetId="6153" state="hidden" r:id="rId15"/>
    <sheet name="のり2" sheetId="6151" state="hidden" r:id="rId16"/>
    <sheet name="たかの2" sheetId="6149" state="hidden" r:id="rId17"/>
    <sheet name="まっつん2" sheetId="6147" state="hidden" r:id="rId18"/>
    <sheet name="りくと2" sheetId="6145" state="hidden" r:id="rId19"/>
    <sheet name="だいち2" sheetId="6143" state="hidden" r:id="rId20"/>
    <sheet name="ともき2" sheetId="6141" state="hidden" r:id="rId21"/>
    <sheet name="れんたろう2" sheetId="6139" state="hidden" r:id="rId22"/>
    <sheet name="全体2" sheetId="6137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44" l="1"/>
  <c r="O16" i="6152"/>
  <c r="O16" i="6140"/>
  <c r="O20" i="6148"/>
  <c r="O18" i="6152" l="1"/>
  <c r="O15" i="6140"/>
  <c r="O19" i="6152"/>
  <c r="O15" i="6138"/>
  <c r="O15" i="6146" l="1"/>
  <c r="O18" i="6140"/>
  <c r="O18" i="6142"/>
  <c r="O20" i="6146"/>
  <c r="O16" i="6136"/>
  <c r="O17" i="6152"/>
  <c r="O15" i="6152"/>
  <c r="C34" i="6152"/>
  <c r="B29" i="6152"/>
  <c r="C20" i="6152"/>
  <c r="B19" i="6152"/>
  <c r="H51" i="6152" s="1"/>
  <c r="B18" i="6152"/>
  <c r="B28" i="6152" s="1"/>
  <c r="B17" i="6152"/>
  <c r="C17" i="6152" s="1"/>
  <c r="C16" i="6152"/>
  <c r="C15" i="6152"/>
  <c r="C14" i="6152"/>
  <c r="O12" i="6152"/>
  <c r="B12" i="6152"/>
  <c r="O11" i="6152"/>
  <c r="B11" i="6152"/>
  <c r="O10" i="6152"/>
  <c r="B10" i="6152"/>
  <c r="C9" i="6152"/>
  <c r="C8" i="6152"/>
  <c r="O7" i="6152"/>
  <c r="C7" i="6152"/>
  <c r="O6" i="6152"/>
  <c r="B6" i="6152"/>
  <c r="O5" i="6152"/>
  <c r="B5" i="6152"/>
  <c r="O4" i="6152"/>
  <c r="O3" i="6152"/>
  <c r="O2" i="6152"/>
  <c r="B13" i="6152" l="1"/>
  <c r="C18" i="6152"/>
  <c r="H15" i="6152"/>
  <c r="H31" i="6152"/>
  <c r="H26" i="6152"/>
  <c r="H21" i="6152"/>
  <c r="H41" i="6152"/>
  <c r="C25" i="6152"/>
  <c r="H7" i="6152"/>
  <c r="H45" i="6152"/>
  <c r="H5" i="6152"/>
  <c r="H22" i="6152"/>
  <c r="H43" i="6152"/>
  <c r="H35" i="6152"/>
  <c r="H23" i="6152"/>
  <c r="C36" i="6152"/>
  <c r="C21" i="6152"/>
  <c r="H47" i="6152"/>
  <c r="C42" i="6152"/>
  <c r="H8" i="6152"/>
  <c r="C46" i="6152"/>
  <c r="H9" i="6152"/>
  <c r="H3" i="6152"/>
  <c r="H17" i="6152"/>
  <c r="H20" i="6152"/>
  <c r="H14" i="6152"/>
  <c r="C39" i="6152"/>
  <c r="C47" i="6152"/>
  <c r="H19" i="6152"/>
  <c r="H34" i="6152"/>
  <c r="H10" i="6152"/>
  <c r="H27" i="6152"/>
  <c r="B26" i="6152"/>
  <c r="H39" i="6152"/>
  <c r="H2" i="6152"/>
  <c r="H11" i="6152"/>
  <c r="H18" i="6152"/>
  <c r="C22" i="6152"/>
  <c r="H30" i="6152"/>
  <c r="C40" i="6152"/>
  <c r="C48" i="6152"/>
  <c r="H49" i="6152"/>
  <c r="H25" i="6152"/>
  <c r="H29" i="6152"/>
  <c r="H37" i="6152"/>
  <c r="C43" i="6152"/>
  <c r="H4" i="6152"/>
  <c r="H6" i="6152"/>
  <c r="H12" i="6152"/>
  <c r="H16" i="6152"/>
  <c r="C19" i="6152"/>
  <c r="C24" i="6152"/>
  <c r="C38" i="6152"/>
  <c r="C44" i="6152"/>
  <c r="H52" i="6152"/>
  <c r="H36" i="6152"/>
  <c r="H40" i="6152"/>
  <c r="H44" i="6152"/>
  <c r="H48" i="6152"/>
  <c r="H24" i="6152"/>
  <c r="H28" i="6152"/>
  <c r="H32" i="6152"/>
  <c r="C37" i="6152"/>
  <c r="C41" i="6152"/>
  <c r="C45" i="6152"/>
  <c r="H50" i="6152"/>
  <c r="H13" i="6152"/>
  <c r="C23" i="6152"/>
  <c r="B27" i="6152"/>
  <c r="H33" i="6152"/>
  <c r="H38" i="6152"/>
  <c r="H42" i="6152"/>
  <c r="H46" i="6152"/>
  <c r="O16" i="6142" l="1"/>
  <c r="O19" i="6148"/>
  <c r="O20" i="6138"/>
  <c r="O16" i="6148"/>
  <c r="O15" i="6142" l="1"/>
  <c r="O19" i="6144"/>
  <c r="O17" i="6138"/>
  <c r="O18" i="6138"/>
  <c r="O16" i="6144"/>
  <c r="O18" i="6146"/>
  <c r="O16" i="6150" l="1"/>
  <c r="O18" i="6150"/>
  <c r="O21" i="6146"/>
  <c r="O16" i="6146"/>
  <c r="O17" i="6142"/>
  <c r="O19" i="6142"/>
  <c r="O17" i="6148"/>
  <c r="O15" i="6150"/>
  <c r="O17" i="6150"/>
  <c r="C34" i="6150"/>
  <c r="B29" i="6150"/>
  <c r="C20" i="6150"/>
  <c r="B19" i="6150"/>
  <c r="H5" i="6150" s="1"/>
  <c r="C18" i="6150"/>
  <c r="B18" i="6150"/>
  <c r="B28" i="6150" s="1"/>
  <c r="B17" i="6150"/>
  <c r="C17" i="6150" s="1"/>
  <c r="C16" i="6150"/>
  <c r="C15" i="6150"/>
  <c r="C14" i="6150"/>
  <c r="O12" i="6150"/>
  <c r="B12" i="6150"/>
  <c r="O11" i="6150"/>
  <c r="B11" i="6150"/>
  <c r="O10" i="6150"/>
  <c r="B10" i="6150"/>
  <c r="C9" i="6150"/>
  <c r="C8" i="6150"/>
  <c r="O7" i="6150"/>
  <c r="C7" i="6150"/>
  <c r="O6" i="6150"/>
  <c r="B6" i="6150"/>
  <c r="O5" i="6150"/>
  <c r="B5" i="6150"/>
  <c r="O4" i="6150"/>
  <c r="O3" i="6150"/>
  <c r="O2" i="6150"/>
  <c r="O18" i="6144"/>
  <c r="O17" i="6136"/>
  <c r="O18" i="6148"/>
  <c r="O15" i="6148"/>
  <c r="C34" i="6148"/>
  <c r="B29" i="6148"/>
  <c r="C20" i="6148"/>
  <c r="B19" i="6148"/>
  <c r="H51" i="6148" s="1"/>
  <c r="B18" i="6148"/>
  <c r="C18" i="6148" s="1"/>
  <c r="B17" i="6148"/>
  <c r="C17" i="6148" s="1"/>
  <c r="C16" i="6148"/>
  <c r="C15" i="6148"/>
  <c r="C14" i="6148"/>
  <c r="O12" i="6148"/>
  <c r="B12" i="6148"/>
  <c r="O11" i="6148"/>
  <c r="B11" i="6148"/>
  <c r="O10" i="6148"/>
  <c r="B10" i="6148"/>
  <c r="C9" i="6148"/>
  <c r="C8" i="6148"/>
  <c r="O7" i="6148"/>
  <c r="C7" i="6148"/>
  <c r="O6" i="6148"/>
  <c r="B6" i="6148"/>
  <c r="O5" i="6148"/>
  <c r="B5" i="6148"/>
  <c r="O4" i="6148"/>
  <c r="O3" i="6148"/>
  <c r="O2" i="6148"/>
  <c r="O17" i="6146"/>
  <c r="O19" i="6146"/>
  <c r="C34" i="6146"/>
  <c r="B29" i="6146"/>
  <c r="C20" i="6146"/>
  <c r="B19" i="6146"/>
  <c r="H20" i="6146" s="1"/>
  <c r="B18" i="6146"/>
  <c r="C18" i="6146" s="1"/>
  <c r="B17" i="6146"/>
  <c r="C17" i="6146" s="1"/>
  <c r="C16" i="6146"/>
  <c r="C15" i="6146"/>
  <c r="C14" i="6146"/>
  <c r="O12" i="6146"/>
  <c r="B12" i="6146"/>
  <c r="O11" i="6146"/>
  <c r="B11" i="6146"/>
  <c r="O10" i="6146"/>
  <c r="B10" i="6146"/>
  <c r="C9" i="6146"/>
  <c r="C8" i="6146"/>
  <c r="O7" i="6146"/>
  <c r="C7" i="6146"/>
  <c r="O6" i="6146"/>
  <c r="B6" i="6146"/>
  <c r="O5" i="6146"/>
  <c r="B5" i="6146"/>
  <c r="O4" i="6146"/>
  <c r="O3" i="6146"/>
  <c r="O2" i="6146"/>
  <c r="O15" i="6136"/>
  <c r="O20" i="6144"/>
  <c r="O17" i="6144"/>
  <c r="C34" i="6144"/>
  <c r="B29" i="6144"/>
  <c r="C20" i="6144"/>
  <c r="B19" i="6144"/>
  <c r="H51" i="6144" s="1"/>
  <c r="H22" i="6144"/>
  <c r="B18" i="6144"/>
  <c r="C18" i="6144" s="1"/>
  <c r="B17" i="6144"/>
  <c r="C17" i="6144" s="1"/>
  <c r="C16" i="6144"/>
  <c r="C15" i="6144"/>
  <c r="C14" i="6144"/>
  <c r="O12" i="6144"/>
  <c r="B12" i="6144"/>
  <c r="O11" i="6144"/>
  <c r="B11" i="6144"/>
  <c r="O10" i="6144"/>
  <c r="B10" i="6144"/>
  <c r="C9" i="6144"/>
  <c r="C8" i="6144"/>
  <c r="O7" i="6144"/>
  <c r="C7" i="6144"/>
  <c r="O6" i="6144"/>
  <c r="B6" i="6144"/>
  <c r="O5" i="6144"/>
  <c r="B5" i="6144"/>
  <c r="O4" i="6144"/>
  <c r="O3" i="6144"/>
  <c r="O2" i="6144"/>
  <c r="O21" i="6136"/>
  <c r="O20" i="6136"/>
  <c r="O20" i="6142"/>
  <c r="O21" i="6142"/>
  <c r="C34" i="6142"/>
  <c r="B29" i="6142"/>
  <c r="C20" i="6142"/>
  <c r="B19" i="6142"/>
  <c r="H16" i="6142" s="1"/>
  <c r="B18" i="6142"/>
  <c r="B28" i="6142" s="1"/>
  <c r="B17" i="6142"/>
  <c r="C17" i="6142" s="1"/>
  <c r="C16" i="6142"/>
  <c r="C15" i="6142"/>
  <c r="C14" i="6142"/>
  <c r="O12" i="6142"/>
  <c r="B12" i="6142"/>
  <c r="O11" i="6142"/>
  <c r="B11" i="6142"/>
  <c r="O10" i="6142"/>
  <c r="B10" i="6142"/>
  <c r="C9" i="6142"/>
  <c r="C8" i="6142"/>
  <c r="O7" i="6142"/>
  <c r="C7" i="6142"/>
  <c r="O6" i="6142"/>
  <c r="B6" i="6142"/>
  <c r="O5" i="6142"/>
  <c r="B5" i="6142"/>
  <c r="O4" i="6142"/>
  <c r="O3" i="6142"/>
  <c r="O2" i="6142"/>
  <c r="O19" i="6140"/>
  <c r="O17" i="6140"/>
  <c r="C34" i="6140"/>
  <c r="B29" i="6140"/>
  <c r="C20" i="6140"/>
  <c r="B19" i="6140"/>
  <c r="H51" i="6140" s="1"/>
  <c r="B18" i="6140"/>
  <c r="B28" i="6140" s="1"/>
  <c r="B17" i="6140"/>
  <c r="C17" i="6140" s="1"/>
  <c r="C16" i="6140"/>
  <c r="C15" i="6140"/>
  <c r="C14" i="6140"/>
  <c r="O12" i="6140"/>
  <c r="B12" i="6140"/>
  <c r="O11" i="6140"/>
  <c r="B11" i="6140"/>
  <c r="O10" i="6140"/>
  <c r="B10" i="6140"/>
  <c r="C9" i="6140"/>
  <c r="C8" i="6140"/>
  <c r="O7" i="6140"/>
  <c r="C7" i="6140"/>
  <c r="O6" i="6140"/>
  <c r="B6" i="6140"/>
  <c r="O5" i="6140"/>
  <c r="B5" i="6140"/>
  <c r="O4" i="6140"/>
  <c r="O3" i="6140"/>
  <c r="O2" i="6140"/>
  <c r="O19" i="6136"/>
  <c r="O19" i="6138"/>
  <c r="O16" i="6138"/>
  <c r="C34" i="6138"/>
  <c r="B29" i="6138"/>
  <c r="C20" i="6138"/>
  <c r="B19" i="6138"/>
  <c r="H20" i="6138" s="1"/>
  <c r="B18" i="6138"/>
  <c r="B28" i="6138" s="1"/>
  <c r="B17" i="6138"/>
  <c r="C17" i="6138" s="1"/>
  <c r="C16" i="6138"/>
  <c r="C15" i="6138"/>
  <c r="C14" i="6138"/>
  <c r="O12" i="6138"/>
  <c r="B12" i="6138"/>
  <c r="O11" i="6138"/>
  <c r="B11" i="6138"/>
  <c r="O10" i="6138"/>
  <c r="B10" i="6138"/>
  <c r="C9" i="6138"/>
  <c r="C8" i="6138"/>
  <c r="O7" i="6138"/>
  <c r="C7" i="6138"/>
  <c r="O6" i="6138"/>
  <c r="B6" i="6138"/>
  <c r="O5" i="6138"/>
  <c r="B5" i="6138"/>
  <c r="O4" i="6138"/>
  <c r="O3" i="6138"/>
  <c r="O2" i="6138"/>
  <c r="O22" i="6136"/>
  <c r="O18" i="6136"/>
  <c r="C34" i="6136"/>
  <c r="B29" i="6136"/>
  <c r="C20" i="6136"/>
  <c r="B19" i="6136"/>
  <c r="H51" i="6136" s="1"/>
  <c r="B18" i="6136"/>
  <c r="B28" i="6136" s="1"/>
  <c r="B17" i="6136"/>
  <c r="C17" i="6136" s="1"/>
  <c r="C16" i="6136"/>
  <c r="C15" i="6136"/>
  <c r="C14" i="6136"/>
  <c r="O12" i="6136"/>
  <c r="B12" i="6136"/>
  <c r="O11" i="6136"/>
  <c r="B11" i="6136"/>
  <c r="O10" i="6136"/>
  <c r="B10" i="6136"/>
  <c r="C9" i="6136"/>
  <c r="C8" i="6136"/>
  <c r="O7" i="6136"/>
  <c r="C7" i="6136"/>
  <c r="O6" i="6136"/>
  <c r="B6" i="6136"/>
  <c r="O5" i="6136"/>
  <c r="B5" i="6136"/>
  <c r="O4" i="6136"/>
  <c r="O3" i="6136"/>
  <c r="O2" i="6136"/>
  <c r="B28" i="6144" l="1"/>
  <c r="C42" i="6144"/>
  <c r="H26" i="6146"/>
  <c r="C18" i="6140"/>
  <c r="B13" i="6140"/>
  <c r="B13" i="6148"/>
  <c r="B28" i="6146"/>
  <c r="H16" i="6148"/>
  <c r="H19" i="6148"/>
  <c r="C24" i="6148"/>
  <c r="H8" i="6148"/>
  <c r="H6" i="6148"/>
  <c r="B13" i="6138"/>
  <c r="C18" i="6138"/>
  <c r="B13" i="6146"/>
  <c r="B13" i="6142"/>
  <c r="H2" i="6138"/>
  <c r="H26" i="6138"/>
  <c r="B13" i="6144"/>
  <c r="C48" i="6144"/>
  <c r="H14" i="6144"/>
  <c r="H18" i="6144"/>
  <c r="H29" i="6144"/>
  <c r="H7" i="6144"/>
  <c r="H4" i="6144"/>
  <c r="H35" i="6144"/>
  <c r="H15" i="6144"/>
  <c r="H24" i="6144"/>
  <c r="H36" i="6144"/>
  <c r="H2" i="6144"/>
  <c r="C21" i="6144"/>
  <c r="C22" i="6144"/>
  <c r="C40" i="6144"/>
  <c r="H49" i="6144"/>
  <c r="H19" i="6144"/>
  <c r="B26" i="6144"/>
  <c r="H41" i="6144"/>
  <c r="H26" i="6144"/>
  <c r="H30" i="6144"/>
  <c r="C36" i="6144"/>
  <c r="H43" i="6144"/>
  <c r="H52" i="6144"/>
  <c r="H20" i="6144"/>
  <c r="C44" i="6144"/>
  <c r="H9" i="6144"/>
  <c r="H10" i="6144"/>
  <c r="C19" i="6144"/>
  <c r="C24" i="6144"/>
  <c r="H11" i="6144"/>
  <c r="H27" i="6144"/>
  <c r="H13" i="6144"/>
  <c r="C38" i="6144"/>
  <c r="H45" i="6144"/>
  <c r="H5" i="6144"/>
  <c r="H3" i="6144"/>
  <c r="H17" i="6144"/>
  <c r="C25" i="6144"/>
  <c r="H31" i="6144"/>
  <c r="H39" i="6144"/>
  <c r="C46" i="6144"/>
  <c r="H6" i="6144"/>
  <c r="H16" i="6144"/>
  <c r="H37" i="6144"/>
  <c r="H8" i="6144"/>
  <c r="H21" i="6144"/>
  <c r="H23" i="6144"/>
  <c r="H12" i="6144"/>
  <c r="H34" i="6144"/>
  <c r="C39" i="6144"/>
  <c r="H47" i="6144"/>
  <c r="H23" i="6138"/>
  <c r="H5" i="6138"/>
  <c r="H11" i="6138"/>
  <c r="H13" i="6138"/>
  <c r="H38" i="6138"/>
  <c r="C22" i="6138"/>
  <c r="H3" i="6138"/>
  <c r="H22" i="6138"/>
  <c r="H29" i="6138"/>
  <c r="H44" i="6138"/>
  <c r="H35" i="6138"/>
  <c r="H15" i="6138"/>
  <c r="C42" i="6138"/>
  <c r="H7" i="6138"/>
  <c r="H12" i="6138"/>
  <c r="C24" i="6138"/>
  <c r="H8" i="6138"/>
  <c r="B26" i="6138"/>
  <c r="H46" i="6138"/>
  <c r="C46" i="6138"/>
  <c r="H19" i="6138"/>
  <c r="H48" i="6138"/>
  <c r="H12" i="6140"/>
  <c r="H2" i="6140"/>
  <c r="H10" i="6140"/>
  <c r="H21" i="6140"/>
  <c r="C25" i="6140"/>
  <c r="C43" i="6140"/>
  <c r="H35" i="6140"/>
  <c r="H27" i="6140"/>
  <c r="H22" i="6140"/>
  <c r="H14" i="6140"/>
  <c r="C38" i="6140"/>
  <c r="C46" i="6140"/>
  <c r="H7" i="6140"/>
  <c r="H16" i="6140"/>
  <c r="H47" i="6140"/>
  <c r="H23" i="6140"/>
  <c r="H6" i="6140"/>
  <c r="H11" i="6140"/>
  <c r="H20" i="6140"/>
  <c r="H13" i="6140"/>
  <c r="H30" i="6140"/>
  <c r="C39" i="6140"/>
  <c r="H49" i="6140"/>
  <c r="H36" i="6140"/>
  <c r="H8" i="6140"/>
  <c r="H17" i="6140"/>
  <c r="C22" i="6140"/>
  <c r="H31" i="6140"/>
  <c r="C40" i="6140"/>
  <c r="H5" i="6140"/>
  <c r="H44" i="6140"/>
  <c r="C44" i="6140"/>
  <c r="H4" i="6140"/>
  <c r="H39" i="6140"/>
  <c r="H3" i="6140"/>
  <c r="H26" i="6140"/>
  <c r="H34" i="6140"/>
  <c r="H41" i="6140"/>
  <c r="H52" i="6140"/>
  <c r="B13" i="6150"/>
  <c r="H12" i="6150"/>
  <c r="H15" i="6150"/>
  <c r="H35" i="6150"/>
  <c r="H14" i="6150"/>
  <c r="H7" i="6146"/>
  <c r="H11" i="6146"/>
  <c r="H24" i="6146"/>
  <c r="H3" i="6146"/>
  <c r="H18" i="6146"/>
  <c r="H3" i="6150"/>
  <c r="C19" i="6150"/>
  <c r="H6" i="6150"/>
  <c r="H10" i="6150"/>
  <c r="C43" i="6150"/>
  <c r="C47" i="6150"/>
  <c r="C24" i="6150"/>
  <c r="H43" i="6150"/>
  <c r="H47" i="6150"/>
  <c r="H19" i="6150"/>
  <c r="H29" i="6150"/>
  <c r="H8" i="6150"/>
  <c r="H13" i="6150"/>
  <c r="H16" i="6150"/>
  <c r="C21" i="6150"/>
  <c r="C25" i="6150"/>
  <c r="H36" i="6150"/>
  <c r="H40" i="6150"/>
  <c r="H44" i="6150"/>
  <c r="H48" i="6150"/>
  <c r="H39" i="6150"/>
  <c r="H52" i="6150"/>
  <c r="H22" i="6150"/>
  <c r="H9" i="6150"/>
  <c r="H2" i="6150"/>
  <c r="H11" i="6150"/>
  <c r="H23" i="6150"/>
  <c r="H26" i="6150"/>
  <c r="H30" i="6150"/>
  <c r="C36" i="6150"/>
  <c r="C40" i="6150"/>
  <c r="C44" i="6150"/>
  <c r="C48" i="6150"/>
  <c r="C39" i="6150"/>
  <c r="H17" i="6150"/>
  <c r="H20" i="6150"/>
  <c r="C22" i="6150"/>
  <c r="B26" i="6150"/>
  <c r="H31" i="6150"/>
  <c r="H37" i="6150"/>
  <c r="H41" i="6150"/>
  <c r="H45" i="6150"/>
  <c r="H49" i="6150"/>
  <c r="H24" i="6150"/>
  <c r="H27" i="6150"/>
  <c r="H32" i="6150"/>
  <c r="C37" i="6150"/>
  <c r="C41" i="6150"/>
  <c r="C45" i="6150"/>
  <c r="H50" i="6150"/>
  <c r="H18" i="6150"/>
  <c r="C23" i="6150"/>
  <c r="B27" i="6150"/>
  <c r="H33" i="6150"/>
  <c r="H38" i="6150"/>
  <c r="H42" i="6150"/>
  <c r="H46" i="6150"/>
  <c r="H51" i="6150"/>
  <c r="H7" i="6150"/>
  <c r="H4" i="6150"/>
  <c r="H21" i="6150"/>
  <c r="H25" i="6150"/>
  <c r="H28" i="6150"/>
  <c r="H34" i="6150"/>
  <c r="C38" i="6150"/>
  <c r="C42" i="6150"/>
  <c r="C46" i="6150"/>
  <c r="H4" i="6148"/>
  <c r="H17" i="6148"/>
  <c r="C38" i="6148"/>
  <c r="H40" i="6148"/>
  <c r="H3" i="6148"/>
  <c r="H14" i="6148"/>
  <c r="H10" i="6148"/>
  <c r="C42" i="6148"/>
  <c r="H11" i="6148"/>
  <c r="H2" i="6148"/>
  <c r="H26" i="6148"/>
  <c r="H43" i="6148"/>
  <c r="B28" i="6148"/>
  <c r="C46" i="6148"/>
  <c r="H47" i="6148"/>
  <c r="H7" i="6148"/>
  <c r="C19" i="6148"/>
  <c r="H13" i="6148"/>
  <c r="H35" i="6148"/>
  <c r="H9" i="6148"/>
  <c r="H52" i="6148"/>
  <c r="H22" i="6148"/>
  <c r="H24" i="6148"/>
  <c r="H27" i="6148"/>
  <c r="H30" i="6148"/>
  <c r="H36" i="6148"/>
  <c r="C39" i="6148"/>
  <c r="C43" i="6148"/>
  <c r="C47" i="6148"/>
  <c r="H5" i="6148"/>
  <c r="H18" i="6148"/>
  <c r="H20" i="6148"/>
  <c r="C21" i="6148"/>
  <c r="C25" i="6148"/>
  <c r="H37" i="6148"/>
  <c r="H41" i="6148"/>
  <c r="H44" i="6148"/>
  <c r="H48" i="6148"/>
  <c r="H28" i="6148"/>
  <c r="H31" i="6148"/>
  <c r="C36" i="6148"/>
  <c r="C40" i="6148"/>
  <c r="C44" i="6148"/>
  <c r="C48" i="6148"/>
  <c r="H21" i="6148"/>
  <c r="H23" i="6148"/>
  <c r="C22" i="6148"/>
  <c r="B26" i="6148"/>
  <c r="H32" i="6148"/>
  <c r="H38" i="6148"/>
  <c r="H15" i="6148"/>
  <c r="H45" i="6148"/>
  <c r="H49" i="6148"/>
  <c r="H25" i="6148"/>
  <c r="H29" i="6148"/>
  <c r="H33" i="6148"/>
  <c r="C37" i="6148"/>
  <c r="C41" i="6148"/>
  <c r="C45" i="6148"/>
  <c r="H50" i="6148"/>
  <c r="H12" i="6148"/>
  <c r="C23" i="6148"/>
  <c r="B27" i="6148"/>
  <c r="H34" i="6148"/>
  <c r="H39" i="6148"/>
  <c r="H42" i="6148"/>
  <c r="H46" i="6148"/>
  <c r="H37" i="6146"/>
  <c r="H40" i="6146"/>
  <c r="H21" i="6146"/>
  <c r="H29" i="6146"/>
  <c r="C42" i="6146"/>
  <c r="H4" i="6146"/>
  <c r="B26" i="6146"/>
  <c r="H46" i="6146"/>
  <c r="H50" i="6146"/>
  <c r="H2" i="6146"/>
  <c r="C21" i="6146"/>
  <c r="H8" i="6146"/>
  <c r="C36" i="6146"/>
  <c r="H44" i="6146"/>
  <c r="H5" i="6146"/>
  <c r="H9" i="6146"/>
  <c r="H23" i="6146"/>
  <c r="H15" i="6146"/>
  <c r="H38" i="6146"/>
  <c r="H45" i="6146"/>
  <c r="H52" i="6146"/>
  <c r="C22" i="6146"/>
  <c r="C38" i="6146"/>
  <c r="C44" i="6146"/>
  <c r="C24" i="6146"/>
  <c r="H19" i="6146"/>
  <c r="H41" i="6146"/>
  <c r="C46" i="6146"/>
  <c r="H25" i="6146"/>
  <c r="C19" i="6146"/>
  <c r="C25" i="6146"/>
  <c r="H35" i="6146"/>
  <c r="C40" i="6146"/>
  <c r="H48" i="6146"/>
  <c r="H10" i="6146"/>
  <c r="H6" i="6146"/>
  <c r="H13" i="6146"/>
  <c r="H22" i="6146"/>
  <c r="H16" i="6146"/>
  <c r="H30" i="6146"/>
  <c r="H42" i="6146"/>
  <c r="C48" i="6146"/>
  <c r="H12" i="6146"/>
  <c r="H27" i="6146"/>
  <c r="H17" i="6146"/>
  <c r="H32" i="6146"/>
  <c r="H36" i="6146"/>
  <c r="C39" i="6146"/>
  <c r="C43" i="6146"/>
  <c r="C47" i="6146"/>
  <c r="H49" i="6146"/>
  <c r="H28" i="6146"/>
  <c r="H31" i="6146"/>
  <c r="H33" i="6146"/>
  <c r="C37" i="6146"/>
  <c r="C41" i="6146"/>
  <c r="C45" i="6146"/>
  <c r="H51" i="6146"/>
  <c r="H14" i="6146"/>
  <c r="C23" i="6146"/>
  <c r="B27" i="6146"/>
  <c r="H34" i="6146"/>
  <c r="H39" i="6146"/>
  <c r="H43" i="6146"/>
  <c r="H47" i="6146"/>
  <c r="C43" i="6144"/>
  <c r="C47" i="6144"/>
  <c r="H40" i="6144"/>
  <c r="H44" i="6144"/>
  <c r="H48" i="6144"/>
  <c r="H25" i="6144"/>
  <c r="H28" i="6144"/>
  <c r="H32" i="6144"/>
  <c r="C37" i="6144"/>
  <c r="C41" i="6144"/>
  <c r="C45" i="6144"/>
  <c r="H50" i="6144"/>
  <c r="C23" i="6144"/>
  <c r="B27" i="6144"/>
  <c r="H33" i="6144"/>
  <c r="H38" i="6144"/>
  <c r="H42" i="6144"/>
  <c r="H46" i="6144"/>
  <c r="H29" i="6142"/>
  <c r="H7" i="6142"/>
  <c r="C18" i="6142"/>
  <c r="H36" i="6142"/>
  <c r="H26" i="6142"/>
  <c r="H4" i="6142"/>
  <c r="H37" i="6142"/>
  <c r="H12" i="6142"/>
  <c r="C22" i="6142"/>
  <c r="C40" i="6142"/>
  <c r="H41" i="6142"/>
  <c r="B26" i="6142"/>
  <c r="H42" i="6142"/>
  <c r="C21" i="6142"/>
  <c r="H14" i="6142"/>
  <c r="H8" i="6142"/>
  <c r="H46" i="6142"/>
  <c r="C46" i="6142"/>
  <c r="H19" i="6142"/>
  <c r="H27" i="6142"/>
  <c r="H48" i="6142"/>
  <c r="H32" i="6142"/>
  <c r="H34" i="6142"/>
  <c r="C36" i="6142"/>
  <c r="C42" i="6142"/>
  <c r="H49" i="6142"/>
  <c r="C19" i="6142"/>
  <c r="C48" i="6142"/>
  <c r="H13" i="6142"/>
  <c r="H6" i="6142"/>
  <c r="C24" i="6142"/>
  <c r="H38" i="6142"/>
  <c r="H20" i="6142"/>
  <c r="H10" i="6142"/>
  <c r="H22" i="6142"/>
  <c r="C38" i="6142"/>
  <c r="C43" i="6142"/>
  <c r="H50" i="6142"/>
  <c r="H11" i="6142"/>
  <c r="H2" i="6142"/>
  <c r="H3" i="6142"/>
  <c r="C25" i="6142"/>
  <c r="H15" i="6142"/>
  <c r="H40" i="6142"/>
  <c r="H45" i="6142"/>
  <c r="H5" i="6142"/>
  <c r="H24" i="6142"/>
  <c r="H44" i="6142"/>
  <c r="H9" i="6142"/>
  <c r="H25" i="6142"/>
  <c r="H17" i="6142"/>
  <c r="H30" i="6142"/>
  <c r="H21" i="6142"/>
  <c r="H23" i="6142"/>
  <c r="C39" i="6142"/>
  <c r="C44" i="6142"/>
  <c r="H52" i="6142"/>
  <c r="C47" i="6142"/>
  <c r="H31" i="6142"/>
  <c r="H33" i="6142"/>
  <c r="H18" i="6142"/>
  <c r="C37" i="6142"/>
  <c r="C41" i="6142"/>
  <c r="C45" i="6142"/>
  <c r="H51" i="6142"/>
  <c r="H28" i="6142"/>
  <c r="C23" i="6142"/>
  <c r="B27" i="6142"/>
  <c r="H35" i="6142"/>
  <c r="H39" i="6142"/>
  <c r="H43" i="6142"/>
  <c r="H47" i="6142"/>
  <c r="C18" i="6136"/>
  <c r="H7" i="6136"/>
  <c r="H8" i="6136"/>
  <c r="H43" i="6136"/>
  <c r="B27" i="6136"/>
  <c r="H30" i="6136"/>
  <c r="C42" i="6136"/>
  <c r="C46" i="6136"/>
  <c r="H14" i="6136"/>
  <c r="H9" i="6140"/>
  <c r="H15" i="6140"/>
  <c r="H18" i="6140"/>
  <c r="C21" i="6140"/>
  <c r="B26" i="6140"/>
  <c r="H40" i="6140"/>
  <c r="H45" i="6140"/>
  <c r="H25" i="6140"/>
  <c r="H29" i="6140"/>
  <c r="C36" i="6140"/>
  <c r="C42" i="6140"/>
  <c r="C47" i="6140"/>
  <c r="H19" i="6140"/>
  <c r="C19" i="6140"/>
  <c r="C24" i="6140"/>
  <c r="H37" i="6140"/>
  <c r="H43" i="6140"/>
  <c r="C48" i="6140"/>
  <c r="H48" i="6140"/>
  <c r="H24" i="6140"/>
  <c r="H28" i="6140"/>
  <c r="H32" i="6140"/>
  <c r="C37" i="6140"/>
  <c r="C41" i="6140"/>
  <c r="C45" i="6140"/>
  <c r="H50" i="6140"/>
  <c r="C23" i="6140"/>
  <c r="B27" i="6140"/>
  <c r="H33" i="6140"/>
  <c r="H38" i="6140"/>
  <c r="H42" i="6140"/>
  <c r="H46" i="6140"/>
  <c r="H38" i="6136"/>
  <c r="C48" i="6136"/>
  <c r="H29" i="6136"/>
  <c r="H49" i="6136"/>
  <c r="H4" i="6136"/>
  <c r="H12" i="6136"/>
  <c r="H39" i="6136"/>
  <c r="H48" i="6136"/>
  <c r="C36" i="6136"/>
  <c r="C22" i="6136"/>
  <c r="H9" i="6136"/>
  <c r="H23" i="6136"/>
  <c r="C23" i="6136"/>
  <c r="H27" i="6136"/>
  <c r="C38" i="6138"/>
  <c r="H50" i="6138"/>
  <c r="H10" i="6138"/>
  <c r="H40" i="6138"/>
  <c r="H4" i="6138"/>
  <c r="H25" i="6138"/>
  <c r="C19" i="6138"/>
  <c r="H42" i="6138"/>
  <c r="H52" i="6138"/>
  <c r="H17" i="6138"/>
  <c r="H27" i="6138"/>
  <c r="H9" i="6138"/>
  <c r="H32" i="6138"/>
  <c r="H36" i="6138"/>
  <c r="C39" i="6138"/>
  <c r="C43" i="6138"/>
  <c r="C47" i="6138"/>
  <c r="H6" i="6138"/>
  <c r="H21" i="6138"/>
  <c r="H24" i="6138"/>
  <c r="C21" i="6138"/>
  <c r="C25" i="6138"/>
  <c r="H37" i="6138"/>
  <c r="H41" i="6138"/>
  <c r="H45" i="6138"/>
  <c r="H49" i="6138"/>
  <c r="H14" i="6138"/>
  <c r="H30" i="6138"/>
  <c r="H18" i="6138"/>
  <c r="C36" i="6138"/>
  <c r="C40" i="6138"/>
  <c r="C44" i="6138"/>
  <c r="C48" i="6138"/>
  <c r="H28" i="6138"/>
  <c r="H31" i="6138"/>
  <c r="H33" i="6138"/>
  <c r="C37" i="6138"/>
  <c r="C41" i="6138"/>
  <c r="C45" i="6138"/>
  <c r="H51" i="6138"/>
  <c r="H16" i="6138"/>
  <c r="C23" i="6138"/>
  <c r="B27" i="6138"/>
  <c r="H34" i="6138"/>
  <c r="H39" i="6138"/>
  <c r="H43" i="6138"/>
  <c r="H47" i="6138"/>
  <c r="B13" i="6136"/>
  <c r="H50" i="6136"/>
  <c r="H40" i="6136"/>
  <c r="H44" i="6136"/>
  <c r="C24" i="6136"/>
  <c r="H18" i="6136"/>
  <c r="H45" i="6136"/>
  <c r="H10" i="6136"/>
  <c r="H11" i="6136"/>
  <c r="H17" i="6136"/>
  <c r="H36" i="6136"/>
  <c r="C44" i="6136"/>
  <c r="H19" i="6136"/>
  <c r="H20" i="6136"/>
  <c r="H6" i="6136"/>
  <c r="H28" i="6136"/>
  <c r="H15" i="6136"/>
  <c r="C25" i="6136"/>
  <c r="H41" i="6136"/>
  <c r="H21" i="6136"/>
  <c r="H26" i="6136"/>
  <c r="H42" i="6136"/>
  <c r="H46" i="6136"/>
  <c r="H5" i="6136"/>
  <c r="H25" i="6136"/>
  <c r="H33" i="6136"/>
  <c r="C19" i="6136"/>
  <c r="C38" i="6136"/>
  <c r="H2" i="6136"/>
  <c r="H3" i="6136"/>
  <c r="H24" i="6136"/>
  <c r="C21" i="6136"/>
  <c r="B26" i="6136"/>
  <c r="C40" i="6136"/>
  <c r="H47" i="6136"/>
  <c r="H52" i="6136"/>
  <c r="H16" i="6136"/>
  <c r="H31" i="6136"/>
  <c r="H13" i="6136"/>
  <c r="H35" i="6136"/>
  <c r="H37" i="6136"/>
  <c r="C39" i="6136"/>
  <c r="C43" i="6136"/>
  <c r="C47" i="6136"/>
  <c r="H32" i="6136"/>
  <c r="H34" i="6136"/>
  <c r="H22" i="6136"/>
  <c r="C37" i="6136"/>
  <c r="C41" i="6136"/>
  <c r="C45" i="613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<sst xmlns="http://schemas.openxmlformats.org/spreadsheetml/2006/main" count="2382" uniqueCount="212">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</sst>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全体!$L$2:$L$116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0-416C-B356-8127EC561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-9.0090090090090094</c:v>
                </c:pt>
                <c:pt idx="1">
                  <c:v>-9.0090090090090094</c:v>
                </c:pt>
                <c:pt idx="2">
                  <c:v>18.518518518518519</c:v>
                </c:pt>
                <c:pt idx="3">
                  <c:v>-11.494252873563218</c:v>
                </c:pt>
                <c:pt idx="4">
                  <c:v>-66.666666666666671</c:v>
                </c:pt>
                <c:pt idx="5">
                  <c:v>95.238095238095241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D-4AEB-9071-16497CBE4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44</c:v>
                </c:pt>
                <c:pt idx="3">
                  <c:v>48</c:v>
                </c:pt>
                <c:pt idx="4">
                  <c:v>37</c:v>
                </c:pt>
                <c:pt idx="5">
                  <c:v>18</c:v>
                </c:pt>
                <c:pt idx="6">
                  <c:v>17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5-4367-8B3B-AA64D2768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れんたろう!$L$2:$L$17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61-4107-BDE1-2AB2AF25E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614.28571428571433</c:v>
                </c:pt>
                <c:pt idx="1">
                  <c:v>1446.6666666666667</c:v>
                </c:pt>
                <c:pt idx="2">
                  <c:v>-2146.6666666666665</c:v>
                </c:pt>
                <c:pt idx="3">
                  <c:v>-7246.1538461538457</c:v>
                </c:pt>
                <c:pt idx="4">
                  <c:v>-615.38461538461536</c:v>
                </c:pt>
                <c:pt idx="5">
                  <c:v>9844.4444444444453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8-4251-9648-2F779102D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2-4D55-BFAC-912959779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D-4FEB-8FBB-36D8CEDFF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2316.6666666666665</c:v>
                </c:pt>
                <c:pt idx="1">
                  <c:v>142.85714285714286</c:v>
                </c:pt>
                <c:pt idx="2">
                  <c:v>-3385.7142857142858</c:v>
                </c:pt>
                <c:pt idx="3">
                  <c:v>2485.7142857142858</c:v>
                </c:pt>
                <c:pt idx="4">
                  <c:v>1000</c:v>
                </c:pt>
                <c:pt idx="5">
                  <c:v>-6916.666666666667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3-40D6-B2F4-F2771529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C-47CE-B64D-48B49CA8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だいち!$L$2:$L$28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2-49EC-9789-D230CB2CD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642.30769230769226</c:v>
                </c:pt>
                <c:pt idx="1">
                  <c:v>6157.6923076923076</c:v>
                </c:pt>
                <c:pt idx="2">
                  <c:v>6796</c:v>
                </c:pt>
                <c:pt idx="3">
                  <c:v>5415</c:v>
                </c:pt>
                <c:pt idx="4">
                  <c:v>-1133.3333333333333</c:v>
                </c:pt>
                <c:pt idx="5">
                  <c:v>-1064.2857142857142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A2-4BB2-A7A2-9550B3CCE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12</c:v>
                </c:pt>
                <c:pt idx="3">
                  <c:v>15</c:v>
                </c:pt>
                <c:pt idx="4">
                  <c:v>14</c:v>
                </c:pt>
                <c:pt idx="5">
                  <c:v>6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D-4EE1-A6B9-FE292DD08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4-4168-ACA7-B0699EDA6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-6392.8571428571431</c:v>
                </c:pt>
                <c:pt idx="1">
                  <c:v>-2300</c:v>
                </c:pt>
                <c:pt idx="2">
                  <c:v>-8558.3333333333339</c:v>
                </c:pt>
                <c:pt idx="3">
                  <c:v>2325</c:v>
                </c:pt>
                <c:pt idx="4">
                  <c:v>400</c:v>
                </c:pt>
                <c:pt idx="5">
                  <c:v>-2850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A-44FA-A7B8-F50820C42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8-42AB-8910-FEF7BA386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1-4AE7-83DA-4DDC24F3C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1620</c:v>
                </c:pt>
                <c:pt idx="1">
                  <c:v>-1496</c:v>
                </c:pt>
                <c:pt idx="2">
                  <c:v>-604</c:v>
                </c:pt>
                <c:pt idx="3">
                  <c:v>-395.45454545454544</c:v>
                </c:pt>
                <c:pt idx="4">
                  <c:v>-1752.6315789473683</c:v>
                </c:pt>
                <c:pt idx="5">
                  <c:v>581.25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A-4818-A899-3BA99B3B9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14</c:v>
                </c:pt>
                <c:pt idx="3">
                  <c:v>10</c:v>
                </c:pt>
                <c:pt idx="4">
                  <c:v>4</c:v>
                </c:pt>
                <c:pt idx="5">
                  <c:v>2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1-4CD6-B10B-447125C28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C-40B3-A88D-D1BD89DCD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-3715.3846153846152</c:v>
                </c:pt>
                <c:pt idx="1">
                  <c:v>-1633.3333333333333</c:v>
                </c:pt>
                <c:pt idx="2">
                  <c:v>6016.666666666667</c:v>
                </c:pt>
                <c:pt idx="3">
                  <c:v>-888.88888888888891</c:v>
                </c:pt>
                <c:pt idx="4">
                  <c:v>4683.333333333333</c:v>
                </c:pt>
                <c:pt idx="5">
                  <c:v>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2-4B4D-9778-C10F429F2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5-42A9-B284-2660DDC8F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1-4596-8F94-B2D7D2D03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-8580</c:v>
                </c:pt>
                <c:pt idx="3">
                  <c:v>-4133.333333333333</c:v>
                </c:pt>
                <c:pt idx="4">
                  <c:v>4000</c:v>
                </c:pt>
                <c:pt idx="5">
                  <c:v>-3550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1-4A00-B155-9C35E9C86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B-49BD-AAAE-E7B043274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C-4E8D-9505-C3C504090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7137.5</c:v>
                </c:pt>
                <c:pt idx="1">
                  <c:v>-12112.5</c:v>
                </c:pt>
                <c:pt idx="2">
                  <c:v>-3357.1428571428573</c:v>
                </c:pt>
                <c:pt idx="3">
                  <c:v>-4400</c:v>
                </c:pt>
                <c:pt idx="4">
                  <c:v>2950</c:v>
                </c:pt>
                <c:pt idx="5">
                  <c:v>-3775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92-4D1A-8E73-B2BE664A4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4-4FF6-AF76-9D9EBB5FA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ただ2!$B$3:$B$11</c:f>
              <c:numCache>
                <c:formatCode>\+0.0;\-0.0;\±0</c:formatCode>
                <c:ptCount val="9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ただ2!$C$3:$C$11</c:f>
              <c:numCache>
                <c:formatCode>\+0.0;\-0.0;\±0</c:formatCode>
                <c:ptCount val="9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328310154394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ただ2!$D$3:$D$11</c:f>
              <c:numCache>
                <c:formatCode>0.00\ "位"</c:formatCode>
                <c:ptCount val="9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ただ2!$E$3:$E$11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ただ2!$F$3:$F$11</c:f>
              <c:numCache>
                <c:formatCode>0.0%</c:formatCode>
                <c:ptCount val="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ただ2!$G$3:$G$11</c:f>
              <c:numCache>
                <c:formatCode>0.0%</c:formatCode>
                <c:ptCount val="9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97293972939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ただ2!$H$3:$H$11</c:f>
              <c:numCache>
                <c:formatCode>0.0%</c:formatCode>
                <c:ptCount val="9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82164821648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ただ2!$I$3:$I$11</c:f>
              <c:numCache>
                <c:formatCode>0</c:formatCode>
                <c:ptCount val="9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357.3221757322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ただ2!$J$3:$J$11</c:f>
              <c:numCache>
                <c:formatCode>0</c:formatCode>
                <c:ptCount val="9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2.23880597014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ただ2!$K$3:$K$11</c:f>
              <c:numCache>
                <c:formatCode>0.0%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1578947368421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ただ2!$L$3:$L$11</c:f>
              <c:numCache>
                <c:formatCode>0.0%</c:formatCode>
                <c:ptCount val="9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84255842558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ただ2!$M$3:$M$11</c:f>
              <c:numCache>
                <c:formatCode>0.0%</c:formatCode>
                <c:ptCount val="9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509225092250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ただ2!$N$3:$N$11</c:f>
              <c:numCache>
                <c:formatCode>0.0%</c:formatCode>
                <c:ptCount val="9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076923076923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ただ2!$O$3:$O$11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7049180327868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ただ2!$P$3:$P$11</c:f>
              <c:numCache>
                <c:formatCode>0.0%</c:formatCode>
                <c:ptCount val="9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146443514644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360E23-36B8-4522-97C1-B5F9D0568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323C44-B6F7-411D-B9F0-A74A8C0A3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2FD258-8EA2-4ADF-8F3F-2D69C2928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B89D1A-5A62-4CF8-A1CC-26EE126A1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834C82-8CDC-4181-BE08-A61E1FABD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0E2E482-F09A-4CD6-97D2-BE34834A0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FD7976-D5AE-414B-9A2D-91DF0B05D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669F2D-6D81-4505-9380-60484A9B8B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E25D554-5F91-4D78-AB9F-3220FEEA9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B36D7F-5180-419D-A7CA-7DBEE27AD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E7AAC2-D3EE-4CB1-BB44-E61B61EF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3EB945-1E0E-486E-A054-3A02CE74A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4EA33C-C4D5-4AF0-8414-181890E11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DAA3A2-7EA4-4F53-B131-B231C7476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86618B-14D8-4C1C-88D9-08F1DA86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512508-57E8-44D6-9DC2-10DD7E92B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81C6DD-0DE0-4BE0-A0A0-4932AE29BC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C7CF36-A6D0-4BFD-9D0F-903F45ECE2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EB0C12-5DD8-4BB2-9175-9611A4BEF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01BA8B-B61C-46E5-9BFF-9945B4D19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0737977-13F3-4165-B3B9-63EFC20B9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09EE82-6EA0-4D1B-BFDC-E748CA444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2F8504-ACD2-4197-B9E5-4552F5362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3E5DF5-0D6B-45BB-B128-00BCC5325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2ADB71-53B5-45EB-B168-C7DE39E26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496C28-0B51-433E-B224-1E4EAAF68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E276D0-E4D3-44F1-BE3C-683B93A63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114</v>
      </c>
    </row>
    <row r="2" spans="1:2" x14ac:dyDescent="0.45">
      <c r="A2" t="s">
        <v>164</v>
      </c>
      <c r="B2">
        <v>15</v>
      </c>
    </row>
    <row r="3" spans="1:2" x14ac:dyDescent="0.45">
      <c r="A3" t="s">
        <v>189</v>
      </c>
      <c r="B3">
        <v>7</v>
      </c>
    </row>
    <row r="4" spans="1:2" x14ac:dyDescent="0.45">
      <c r="A4" t="s">
        <v>126</v>
      </c>
      <c r="B4">
        <v>26</v>
      </c>
    </row>
    <row r="5" spans="1:2" x14ac:dyDescent="0.45">
      <c r="A5" t="s">
        <v>194</v>
      </c>
      <c r="B5">
        <v>14</v>
      </c>
    </row>
    <row r="6" spans="1:2" x14ac:dyDescent="0.45">
      <c r="A6" t="s">
        <v>192</v>
      </c>
      <c r="B6">
        <v>26</v>
      </c>
    </row>
    <row r="7" spans="1:2" x14ac:dyDescent="0.45">
      <c r="A7" t="s">
        <v>193</v>
      </c>
      <c r="B7">
        <v>13</v>
      </c>
    </row>
    <row r="8" spans="1:2" x14ac:dyDescent="0.45">
      <c r="A8" t="s">
        <v>196</v>
      </c>
      <c r="B8">
        <v>5</v>
      </c>
    </row>
    <row r="9" spans="1:2" x14ac:dyDescent="0.45">
      <c r="A9" t="s">
        <v>205</v>
      </c>
      <c r="B9">
        <v>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0.59001910071677732</v>
      </c>
      <c r="C2" s="140"/>
      <c r="D2" s="145"/>
      <c r="E2" s="146"/>
      <c r="F2" s="145"/>
      <c r="G2" s="146"/>
      <c r="H2" s="139">
        <v>0.9576464090748954</v>
      </c>
      <c r="I2" s="140"/>
      <c r="J2" s="139">
        <v>0.89199176017884019</v>
      </c>
      <c r="K2" s="140"/>
      <c r="L2" s="139">
        <v>0.78716170877718172</v>
      </c>
      <c r="M2" s="140"/>
      <c r="N2" s="139">
        <v>0.85312171497902245</v>
      </c>
      <c r="O2" s="140"/>
      <c r="P2" s="139">
        <v>0.90969696568551384</v>
      </c>
      <c r="Q2" s="140"/>
      <c r="R2" s="139">
        <v>0.31605667998764642</v>
      </c>
      <c r="S2" s="140"/>
      <c r="T2" s="139">
        <v>0.64284079209552669</v>
      </c>
      <c r="U2" s="140"/>
      <c r="V2" s="139">
        <v>-0.15900628062791983</v>
      </c>
      <c r="W2" s="140"/>
      <c r="X2" s="139">
        <v>0.81547965723219207</v>
      </c>
      <c r="Y2" s="140"/>
      <c r="Z2" s="139">
        <v>-0.47127093775755158</v>
      </c>
      <c r="AA2" s="140"/>
      <c r="AB2" s="139">
        <v>0.36295672825795339</v>
      </c>
      <c r="AC2" s="140"/>
      <c r="AD2" s="139">
        <v>0.88549781192919363</v>
      </c>
      <c r="AE2" s="140"/>
      <c r="AF2" s="139">
        <v>0.98343997771965275</v>
      </c>
      <c r="AG2" s="140"/>
      <c r="AH2" s="139">
        <v>0.81720530046121242</v>
      </c>
      <c r="AI2" s="140"/>
      <c r="AJ2" s="139">
        <v>0.80599496774949375</v>
      </c>
      <c r="AK2" s="140"/>
    </row>
    <row r="3" spans="1:37" x14ac:dyDescent="0.45">
      <c r="A3" s="40">
        <v>1</v>
      </c>
      <c r="B3" s="43" t="s">
        <v>139</v>
      </c>
      <c r="C3" s="117">
        <v>38</v>
      </c>
      <c r="D3" s="41" t="s">
        <v>126</v>
      </c>
      <c r="E3" s="42">
        <v>525.30000000000007</v>
      </c>
      <c r="F3" s="43" t="s">
        <v>126</v>
      </c>
      <c r="G3" s="62">
        <v>20.203846153846158</v>
      </c>
      <c r="H3" s="43" t="s">
        <v>205</v>
      </c>
      <c r="I3" s="62">
        <v>6.477777777777777</v>
      </c>
      <c r="J3" s="43" t="s">
        <v>126</v>
      </c>
      <c r="K3" s="44">
        <v>1.6538461538461537</v>
      </c>
      <c r="L3" s="43" t="s">
        <v>193</v>
      </c>
      <c r="M3" s="45">
        <v>0.53846153846153844</v>
      </c>
      <c r="N3" s="43" t="s">
        <v>126</v>
      </c>
      <c r="O3" s="45">
        <v>0.15384615384615385</v>
      </c>
      <c r="P3" s="43" t="s">
        <v>126</v>
      </c>
      <c r="Q3" s="46">
        <v>0.38743455497382201</v>
      </c>
      <c r="R3" s="43" t="s">
        <v>196</v>
      </c>
      <c r="S3" s="46">
        <v>0.11764705882352941</v>
      </c>
      <c r="T3" s="43" t="s">
        <v>164</v>
      </c>
      <c r="U3" s="47">
        <v>11479.310344827587</v>
      </c>
      <c r="V3" s="43" t="s">
        <v>196</v>
      </c>
      <c r="W3" s="47">
        <v>-4400</v>
      </c>
      <c r="X3" s="43" t="s">
        <v>126</v>
      </c>
      <c r="Y3" s="45">
        <v>0</v>
      </c>
      <c r="Z3" s="43" t="s">
        <v>164</v>
      </c>
      <c r="AA3" s="46">
        <v>0.31034482758620691</v>
      </c>
      <c r="AB3" s="43" t="s">
        <v>193</v>
      </c>
      <c r="AC3" s="46">
        <v>0.38372093023255816</v>
      </c>
      <c r="AD3" s="43" t="s">
        <v>205</v>
      </c>
      <c r="AE3" s="46">
        <v>0.77777777777777779</v>
      </c>
      <c r="AF3" s="43" t="s">
        <v>189</v>
      </c>
      <c r="AG3" s="46">
        <v>0.6</v>
      </c>
      <c r="AH3" s="43" t="s">
        <v>189</v>
      </c>
      <c r="AI3" s="46">
        <v>0.6428571428571429</v>
      </c>
      <c r="AJ3" s="43" t="s">
        <v>193</v>
      </c>
      <c r="AK3" s="57">
        <v>106500</v>
      </c>
    </row>
    <row r="4" spans="1:37" x14ac:dyDescent="0.45">
      <c r="A4" s="48">
        <v>2</v>
      </c>
      <c r="B4" s="51" t="s">
        <v>126</v>
      </c>
      <c r="C4" s="118">
        <v>26</v>
      </c>
      <c r="D4" s="49" t="s">
        <v>193</v>
      </c>
      <c r="E4" s="50">
        <v>83.1</v>
      </c>
      <c r="F4" s="51" t="s">
        <v>193</v>
      </c>
      <c r="G4" s="63">
        <v>6.3923076923076918</v>
      </c>
      <c r="H4" s="51" t="s">
        <v>126</v>
      </c>
      <c r="I4" s="63">
        <v>5.2059116809116803</v>
      </c>
      <c r="J4" s="51" t="s">
        <v>193</v>
      </c>
      <c r="K4" s="52">
        <v>1.8461538461538463</v>
      </c>
      <c r="L4" s="51" t="s">
        <v>126</v>
      </c>
      <c r="M4" s="53">
        <v>0.5</v>
      </c>
      <c r="N4" s="51" t="s">
        <v>196</v>
      </c>
      <c r="O4" s="53">
        <v>0.2</v>
      </c>
      <c r="P4" s="51" t="s">
        <v>193</v>
      </c>
      <c r="Q4" s="54">
        <v>0.36046511627906974</v>
      </c>
      <c r="R4" s="51" t="s">
        <v>126</v>
      </c>
      <c r="S4" s="54">
        <v>0.12041884816753927</v>
      </c>
      <c r="T4" s="51" t="s">
        <v>126</v>
      </c>
      <c r="U4" s="55">
        <v>10679.72972972973</v>
      </c>
      <c r="V4" s="51" t="s">
        <v>189</v>
      </c>
      <c r="W4" s="55">
        <v>-6628.5714285714284</v>
      </c>
      <c r="X4" s="51" t="s">
        <v>189</v>
      </c>
      <c r="Y4" s="53">
        <v>0</v>
      </c>
      <c r="Z4" s="51" t="s">
        <v>194</v>
      </c>
      <c r="AA4" s="54">
        <v>0.2988505747126437</v>
      </c>
      <c r="AB4" s="51" t="s">
        <v>205</v>
      </c>
      <c r="AC4" s="54">
        <v>0.3728813559322034</v>
      </c>
      <c r="AD4" s="51" t="s">
        <v>126</v>
      </c>
      <c r="AE4" s="54">
        <v>0.65957446808510634</v>
      </c>
      <c r="AF4" s="51" t="s">
        <v>126</v>
      </c>
      <c r="AG4" s="54">
        <v>0.56097560975609762</v>
      </c>
      <c r="AH4" s="51" t="s">
        <v>126</v>
      </c>
      <c r="AI4" s="54">
        <v>0.48648648648648651</v>
      </c>
      <c r="AJ4" s="51" t="s">
        <v>139</v>
      </c>
      <c r="AK4" s="58">
        <v>106500</v>
      </c>
    </row>
    <row r="5" spans="1:37" x14ac:dyDescent="0.45">
      <c r="A5" s="48">
        <v>3</v>
      </c>
      <c r="B5" s="51" t="s">
        <v>192</v>
      </c>
      <c r="C5" s="118">
        <v>26</v>
      </c>
      <c r="D5" s="49" t="s">
        <v>139</v>
      </c>
      <c r="E5" s="50">
        <v>-7.1054273576010019E-15</v>
      </c>
      <c r="F5" s="51" t="s">
        <v>139</v>
      </c>
      <c r="G5" s="63">
        <v>-6.232831015439475E-17</v>
      </c>
      <c r="H5" s="51" t="s">
        <v>139</v>
      </c>
      <c r="I5" s="63">
        <v>0</v>
      </c>
      <c r="J5" s="51" t="s">
        <v>192</v>
      </c>
      <c r="K5" s="52">
        <v>1.9230769230769231</v>
      </c>
      <c r="L5" s="51" t="s">
        <v>164</v>
      </c>
      <c r="M5" s="53">
        <v>0.4</v>
      </c>
      <c r="N5" s="51" t="s">
        <v>192</v>
      </c>
      <c r="O5" s="53">
        <v>0.23076923076923078</v>
      </c>
      <c r="P5" s="51" t="s">
        <v>205</v>
      </c>
      <c r="Q5" s="54">
        <v>0.32203389830508472</v>
      </c>
      <c r="R5" s="51" t="s">
        <v>193</v>
      </c>
      <c r="S5" s="54">
        <v>0.12790697674418605</v>
      </c>
      <c r="T5" s="51" t="s">
        <v>189</v>
      </c>
      <c r="U5" s="55">
        <v>9985.7142857142862</v>
      </c>
      <c r="V5" s="51" t="s">
        <v>164</v>
      </c>
      <c r="W5" s="55">
        <v>-7268.9655172413795</v>
      </c>
      <c r="X5" s="51" t="s">
        <v>196</v>
      </c>
      <c r="Y5" s="53">
        <v>0</v>
      </c>
      <c r="Z5" s="51" t="s">
        <v>189</v>
      </c>
      <c r="AA5" s="54">
        <v>0.27777777777777779</v>
      </c>
      <c r="AB5" s="51" t="s">
        <v>139</v>
      </c>
      <c r="AC5" s="54">
        <v>0.22509225092250923</v>
      </c>
      <c r="AD5" s="51" t="s">
        <v>193</v>
      </c>
      <c r="AE5" s="54">
        <v>0.625</v>
      </c>
      <c r="AF5" s="51" t="s">
        <v>193</v>
      </c>
      <c r="AG5" s="54">
        <v>0.42424242424242425</v>
      </c>
      <c r="AH5" s="51" t="s">
        <v>193</v>
      </c>
      <c r="AI5" s="54">
        <v>0.4838709677419355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15</v>
      </c>
      <c r="D6" s="49" t="s">
        <v>192</v>
      </c>
      <c r="E6" s="50">
        <v>-24.699999999999989</v>
      </c>
      <c r="F6" s="51" t="s">
        <v>192</v>
      </c>
      <c r="G6" s="63">
        <v>-0.94999999999999951</v>
      </c>
      <c r="H6" s="51" t="s">
        <v>164</v>
      </c>
      <c r="I6" s="63">
        <v>-2.93888888888889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189</v>
      </c>
      <c r="O6" s="53">
        <v>0.2857142857142857</v>
      </c>
      <c r="P6" s="51" t="s">
        <v>139</v>
      </c>
      <c r="Q6" s="54">
        <v>0.29397293972939731</v>
      </c>
      <c r="R6" s="51" t="s">
        <v>192</v>
      </c>
      <c r="S6" s="54">
        <v>0.12903225806451613</v>
      </c>
      <c r="T6" s="51" t="s">
        <v>205</v>
      </c>
      <c r="U6" s="55">
        <v>9442.105263157895</v>
      </c>
      <c r="V6" s="51" t="s">
        <v>192</v>
      </c>
      <c r="W6" s="55">
        <v>-7541.666666666667</v>
      </c>
      <c r="X6" s="51" t="s">
        <v>192</v>
      </c>
      <c r="Y6" s="53">
        <v>7.6923076923076927E-2</v>
      </c>
      <c r="Z6" s="51" t="s">
        <v>192</v>
      </c>
      <c r="AA6" s="54">
        <v>0.27419354838709675</v>
      </c>
      <c r="AB6" s="51" t="s">
        <v>192</v>
      </c>
      <c r="AC6" s="54">
        <v>0.22043010752688172</v>
      </c>
      <c r="AD6" s="51" t="s">
        <v>192</v>
      </c>
      <c r="AE6" s="54">
        <v>0.5490196078431373</v>
      </c>
      <c r="AF6" s="51" t="s">
        <v>139</v>
      </c>
      <c r="AG6" s="54">
        <v>0.37704918032786883</v>
      </c>
      <c r="AH6" s="51" t="s">
        <v>139</v>
      </c>
      <c r="AI6" s="54">
        <v>0.43514644351464438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194</v>
      </c>
      <c r="C7" s="118">
        <v>14</v>
      </c>
      <c r="D7" s="49" t="s">
        <v>189</v>
      </c>
      <c r="E7" s="50">
        <v>-26.899999999999988</v>
      </c>
      <c r="F7" s="51" t="s">
        <v>164</v>
      </c>
      <c r="G7" s="63">
        <v>-2.2066666666666666</v>
      </c>
      <c r="H7" s="51" t="s">
        <v>193</v>
      </c>
      <c r="I7" s="63">
        <v>-3.1780952380952385</v>
      </c>
      <c r="J7" s="51" t="s">
        <v>139</v>
      </c>
      <c r="K7" s="52">
        <v>2</v>
      </c>
      <c r="L7" s="51" t="s">
        <v>192</v>
      </c>
      <c r="M7" s="53">
        <v>0.30769230769230771</v>
      </c>
      <c r="N7" s="51" t="s">
        <v>139</v>
      </c>
      <c r="O7" s="53">
        <v>0.33333333333333331</v>
      </c>
      <c r="P7" s="51" t="s">
        <v>192</v>
      </c>
      <c r="Q7" s="54">
        <v>0.27419354838709675</v>
      </c>
      <c r="R7" s="51" t="s">
        <v>194</v>
      </c>
      <c r="S7" s="54">
        <v>0.14942528735632185</v>
      </c>
      <c r="T7" s="51" t="s">
        <v>139</v>
      </c>
      <c r="U7" s="55">
        <v>9357.3221757322171</v>
      </c>
      <c r="V7" s="51" t="s">
        <v>139</v>
      </c>
      <c r="W7" s="55">
        <v>-8252.2388059701498</v>
      </c>
      <c r="X7" s="51" t="s">
        <v>139</v>
      </c>
      <c r="Y7" s="53">
        <v>0.13157894736842105</v>
      </c>
      <c r="Z7" s="51" t="s">
        <v>139</v>
      </c>
      <c r="AA7" s="54">
        <v>0.25584255842558423</v>
      </c>
      <c r="AB7" s="51" t="s">
        <v>164</v>
      </c>
      <c r="AC7" s="54">
        <v>0.21551724137931033</v>
      </c>
      <c r="AD7" s="51" t="s">
        <v>139</v>
      </c>
      <c r="AE7" s="54">
        <v>0.54807692307692313</v>
      </c>
      <c r="AF7" s="51" t="s">
        <v>164</v>
      </c>
      <c r="AG7" s="54">
        <v>0.32</v>
      </c>
      <c r="AH7" s="51" t="s">
        <v>192</v>
      </c>
      <c r="AI7" s="54">
        <v>0.39215686274509803</v>
      </c>
      <c r="AJ7" s="51" t="s">
        <v>192</v>
      </c>
      <c r="AK7" s="58">
        <v>88500</v>
      </c>
    </row>
    <row r="8" spans="1:37" x14ac:dyDescent="0.45">
      <c r="A8" s="48">
        <v>6</v>
      </c>
      <c r="B8" s="51" t="s">
        <v>193</v>
      </c>
      <c r="C8" s="118">
        <v>13</v>
      </c>
      <c r="D8" s="49" t="s">
        <v>164</v>
      </c>
      <c r="E8" s="50">
        <v>-33.1</v>
      </c>
      <c r="F8" s="51" t="s">
        <v>189</v>
      </c>
      <c r="G8" s="63">
        <v>-3.8428571428571412</v>
      </c>
      <c r="H8" s="51" t="s">
        <v>189</v>
      </c>
      <c r="I8" s="63">
        <v>-3.4222222222222221</v>
      </c>
      <c r="J8" s="51" t="s">
        <v>189</v>
      </c>
      <c r="K8" s="52">
        <v>2</v>
      </c>
      <c r="L8" s="51" t="s">
        <v>189</v>
      </c>
      <c r="M8" s="53">
        <v>0.2857142857142857</v>
      </c>
      <c r="N8" s="51" t="s">
        <v>193</v>
      </c>
      <c r="O8" s="53">
        <v>0.38461538461538464</v>
      </c>
      <c r="P8" s="51" t="s">
        <v>189</v>
      </c>
      <c r="Q8" s="54">
        <v>0.25925925925925924</v>
      </c>
      <c r="R8" s="51" t="s">
        <v>139</v>
      </c>
      <c r="S8" s="54">
        <v>0.16482164821648215</v>
      </c>
      <c r="T8" s="51" t="s">
        <v>193</v>
      </c>
      <c r="U8" s="55">
        <v>8300</v>
      </c>
      <c r="V8" s="51" t="s">
        <v>193</v>
      </c>
      <c r="W8" s="55">
        <v>-8509.0909090909099</v>
      </c>
      <c r="X8" s="51" t="s">
        <v>164</v>
      </c>
      <c r="Y8" s="53">
        <v>0.13333333333333333</v>
      </c>
      <c r="Z8" s="51" t="s">
        <v>126</v>
      </c>
      <c r="AA8" s="54">
        <v>0.24607329842931938</v>
      </c>
      <c r="AB8" s="51" t="s">
        <v>126</v>
      </c>
      <c r="AC8" s="54">
        <v>0.21465968586387435</v>
      </c>
      <c r="AD8" s="51" t="s">
        <v>189</v>
      </c>
      <c r="AE8" s="54">
        <v>0.53333333333333333</v>
      </c>
      <c r="AF8" s="51" t="s">
        <v>192</v>
      </c>
      <c r="AG8" s="54">
        <v>0.31707317073170732</v>
      </c>
      <c r="AH8" s="51" t="s">
        <v>205</v>
      </c>
      <c r="AI8" s="54">
        <v>0.36842105263157893</v>
      </c>
      <c r="AJ8" s="51" t="s">
        <v>164</v>
      </c>
      <c r="AK8" s="58">
        <v>73600</v>
      </c>
    </row>
    <row r="9" spans="1:37" x14ac:dyDescent="0.45">
      <c r="A9" s="48">
        <v>7</v>
      </c>
      <c r="B9" s="51" t="s">
        <v>205</v>
      </c>
      <c r="C9" s="118">
        <v>8</v>
      </c>
      <c r="D9" s="49" t="s">
        <v>196</v>
      </c>
      <c r="E9" s="50">
        <v>-64.400000000000006</v>
      </c>
      <c r="F9" s="51" t="s">
        <v>196</v>
      </c>
      <c r="G9" s="63">
        <v>-12.88</v>
      </c>
      <c r="H9" s="51" t="s">
        <v>192</v>
      </c>
      <c r="I9" s="63">
        <v>-3.5861111111111108</v>
      </c>
      <c r="J9" s="51" t="s">
        <v>196</v>
      </c>
      <c r="K9" s="52">
        <v>2.2000000000000002</v>
      </c>
      <c r="L9" s="51" t="s">
        <v>205</v>
      </c>
      <c r="M9" s="53">
        <v>0.25</v>
      </c>
      <c r="N9" s="51" t="s">
        <v>164</v>
      </c>
      <c r="O9" s="53">
        <v>0.4</v>
      </c>
      <c r="P9" s="51" t="s">
        <v>164</v>
      </c>
      <c r="Q9" s="54">
        <v>0.25</v>
      </c>
      <c r="R9" s="51" t="s">
        <v>164</v>
      </c>
      <c r="S9" s="54">
        <v>0.25</v>
      </c>
      <c r="T9" s="51" t="s">
        <v>192</v>
      </c>
      <c r="U9" s="55">
        <v>8147.0588235294117</v>
      </c>
      <c r="V9" s="51" t="s">
        <v>126</v>
      </c>
      <c r="W9" s="55">
        <v>-8921.7391304347821</v>
      </c>
      <c r="X9" s="51" t="s">
        <v>193</v>
      </c>
      <c r="Y9" s="53">
        <v>0.23076923076923078</v>
      </c>
      <c r="Z9" s="51" t="s">
        <v>196</v>
      </c>
      <c r="AA9" s="54">
        <v>0.23529411764705882</v>
      </c>
      <c r="AB9" s="51" t="s">
        <v>196</v>
      </c>
      <c r="AC9" s="54">
        <v>0.17647058823529413</v>
      </c>
      <c r="AD9" s="51" t="s">
        <v>196</v>
      </c>
      <c r="AE9" s="54">
        <v>0.5</v>
      </c>
      <c r="AF9" s="51" t="s">
        <v>205</v>
      </c>
      <c r="AG9" s="54">
        <v>0.22727272727272727</v>
      </c>
      <c r="AH9" s="51" t="s">
        <v>164</v>
      </c>
      <c r="AI9" s="54">
        <v>0.34482758620689657</v>
      </c>
      <c r="AJ9" s="51" t="s">
        <v>189</v>
      </c>
      <c r="AK9" s="58">
        <v>66700</v>
      </c>
    </row>
    <row r="10" spans="1:37" x14ac:dyDescent="0.45">
      <c r="A10" s="48">
        <v>8</v>
      </c>
      <c r="B10" s="51" t="s">
        <v>189</v>
      </c>
      <c r="C10" s="118">
        <v>7</v>
      </c>
      <c r="D10" s="49" t="s">
        <v>205</v>
      </c>
      <c r="E10" s="50">
        <v>-128.6</v>
      </c>
      <c r="F10" s="51" t="s">
        <v>205</v>
      </c>
      <c r="G10" s="63">
        <v>-16.074999999999999</v>
      </c>
      <c r="H10" s="51" t="s">
        <v>196</v>
      </c>
      <c r="I10" s="63">
        <v>-8.5666666666666682</v>
      </c>
      <c r="J10" s="51" t="s">
        <v>205</v>
      </c>
      <c r="K10" s="52">
        <v>2.5</v>
      </c>
      <c r="L10" s="51" t="s">
        <v>194</v>
      </c>
      <c r="M10" s="53">
        <v>0</v>
      </c>
      <c r="N10" s="51" t="s">
        <v>194</v>
      </c>
      <c r="O10" s="53">
        <v>0.5714285714285714</v>
      </c>
      <c r="P10" s="51" t="s">
        <v>196</v>
      </c>
      <c r="Q10" s="54">
        <v>0.17647058823529413</v>
      </c>
      <c r="R10" s="51" t="s">
        <v>189</v>
      </c>
      <c r="S10" s="54">
        <v>0.25925925925925924</v>
      </c>
      <c r="T10" s="51" t="s">
        <v>194</v>
      </c>
      <c r="U10" s="55">
        <v>6253.333333333333</v>
      </c>
      <c r="V10" s="51" t="s">
        <v>194</v>
      </c>
      <c r="W10" s="55">
        <v>-9046.1538461538457</v>
      </c>
      <c r="X10" s="51" t="s">
        <v>194</v>
      </c>
      <c r="Y10" s="53">
        <v>0.35714285714285715</v>
      </c>
      <c r="Z10" s="51" t="s">
        <v>193</v>
      </c>
      <c r="AA10" s="54">
        <v>0.18604651162790697</v>
      </c>
      <c r="AB10" s="51" t="s">
        <v>194</v>
      </c>
      <c r="AC10" s="54">
        <v>0.11494252873563218</v>
      </c>
      <c r="AD10" s="51" t="s">
        <v>164</v>
      </c>
      <c r="AE10" s="54">
        <v>0.47222222222222221</v>
      </c>
      <c r="AF10" s="51" t="s">
        <v>194</v>
      </c>
      <c r="AG10" s="54">
        <v>0.2</v>
      </c>
      <c r="AH10" s="51" t="s">
        <v>194</v>
      </c>
      <c r="AI10" s="54">
        <v>0.33333333333333331</v>
      </c>
      <c r="AJ10" s="51" t="s">
        <v>194</v>
      </c>
      <c r="AK10" s="58">
        <v>46300</v>
      </c>
    </row>
    <row r="11" spans="1:37" x14ac:dyDescent="0.45">
      <c r="A11" s="48">
        <v>9</v>
      </c>
      <c r="B11" s="51" t="s">
        <v>196</v>
      </c>
      <c r="C11" s="118">
        <v>5</v>
      </c>
      <c r="D11" s="49" t="s">
        <v>194</v>
      </c>
      <c r="E11" s="50">
        <v>-330.7</v>
      </c>
      <c r="F11" s="51" t="s">
        <v>194</v>
      </c>
      <c r="G11" s="63">
        <v>-23.62142857142857</v>
      </c>
      <c r="H11" s="51" t="s">
        <v>194</v>
      </c>
      <c r="I11" s="63">
        <v>-13.972222222222223</v>
      </c>
      <c r="J11" s="51" t="s">
        <v>194</v>
      </c>
      <c r="K11" s="52">
        <v>2.5714285714285716</v>
      </c>
      <c r="L11" s="51" t="s">
        <v>196</v>
      </c>
      <c r="M11" s="53">
        <v>0</v>
      </c>
      <c r="N11" s="51" t="s">
        <v>205</v>
      </c>
      <c r="O11" s="53">
        <v>0.75</v>
      </c>
      <c r="P11" s="51" t="s">
        <v>194</v>
      </c>
      <c r="Q11" s="54">
        <v>0.17241379310344829</v>
      </c>
      <c r="R11" s="51" t="s">
        <v>205</v>
      </c>
      <c r="S11" s="54">
        <v>0.2711864406779661</v>
      </c>
      <c r="T11" s="51" t="s">
        <v>196</v>
      </c>
      <c r="U11" s="55">
        <v>4566.666666666667</v>
      </c>
      <c r="V11" s="51" t="s">
        <v>205</v>
      </c>
      <c r="W11" s="55">
        <v>-11700</v>
      </c>
      <c r="X11" s="51" t="s">
        <v>205</v>
      </c>
      <c r="Y11" s="53">
        <v>0.375</v>
      </c>
      <c r="Z11" s="51" t="s">
        <v>205</v>
      </c>
      <c r="AA11" s="54">
        <v>0.15254237288135594</v>
      </c>
      <c r="AB11" s="51" t="s">
        <v>189</v>
      </c>
      <c r="AC11" s="54">
        <v>9.2592592592592587E-2</v>
      </c>
      <c r="AD11" s="51" t="s">
        <v>194</v>
      </c>
      <c r="AE11" s="54">
        <v>0.34615384615384615</v>
      </c>
      <c r="AF11" s="51" t="s">
        <v>196</v>
      </c>
      <c r="AG11" s="54">
        <v>0.16666666666666666</v>
      </c>
      <c r="AH11" s="51" t="s">
        <v>196</v>
      </c>
      <c r="AI11" s="54">
        <v>0.33333333333333331</v>
      </c>
      <c r="AJ11" s="51" t="s">
        <v>196</v>
      </c>
      <c r="AK11" s="58">
        <v>36900</v>
      </c>
    </row>
  </sheetData>
  <sortState xmlns:xlrd2="http://schemas.microsoft.com/office/spreadsheetml/2017/richdata2" ref="AJ3:AK3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C0DD3-0D17-4E7B-8B5D-86B242167C51}">
  <sheetPr codeName="Sheet4"/>
  <dimension ref="A1:Q11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114</v>
      </c>
      <c r="C2" s="132"/>
      <c r="E2" s="28" t="s">
        <v>66</v>
      </c>
      <c r="F2" s="25" t="s">
        <v>22</v>
      </c>
      <c r="G2" s="13">
        <v>181</v>
      </c>
      <c r="H2" s="91">
        <f>IF(B$19=0,0,G2/B$19)</f>
        <v>0.75732217573221761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-9.0090090090090094</v>
      </c>
      <c r="P2" s="80">
        <v>111</v>
      </c>
      <c r="Q2" s="67">
        <v>-1000</v>
      </c>
    </row>
    <row r="3" spans="1:17" x14ac:dyDescent="0.45">
      <c r="A3" s="21" t="s">
        <v>8</v>
      </c>
      <c r="B3" s="133">
        <v>813</v>
      </c>
      <c r="C3" s="134"/>
      <c r="E3" s="29" t="s">
        <v>72</v>
      </c>
      <c r="F3" s="26" t="s">
        <v>27</v>
      </c>
      <c r="G3" s="14">
        <v>141</v>
      </c>
      <c r="H3" s="92">
        <f>IF(B$19=0,0,G3/B$19)</f>
        <v>0.58995815899581594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-9.0090090090090094</v>
      </c>
      <c r="P3" s="81">
        <v>111</v>
      </c>
      <c r="Q3" s="68">
        <v>-1000</v>
      </c>
    </row>
    <row r="4" spans="1:17" x14ac:dyDescent="0.45">
      <c r="A4" s="21" t="s">
        <v>6</v>
      </c>
      <c r="B4" s="135">
        <v>-7.1054273576010019E-15</v>
      </c>
      <c r="C4" s="136"/>
      <c r="E4" s="29" t="s">
        <v>64</v>
      </c>
      <c r="F4" s="26" t="s">
        <v>20</v>
      </c>
      <c r="G4" s="14">
        <v>105</v>
      </c>
      <c r="H4" s="92">
        <f>IF(B$19=0,0,G4/B$19)</f>
        <v>0.43933054393305437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18.518518518518519</v>
      </c>
      <c r="P4" s="81">
        <v>108</v>
      </c>
      <c r="Q4" s="68">
        <v>2000</v>
      </c>
    </row>
    <row r="5" spans="1:17" x14ac:dyDescent="0.45">
      <c r="A5" s="21" t="s">
        <v>7</v>
      </c>
      <c r="B5" s="123">
        <f>IF(B$2=0,0,B$4/B$2)</f>
        <v>-6.232831015439475E-17</v>
      </c>
      <c r="C5" s="124"/>
      <c r="E5" s="29" t="s">
        <v>160</v>
      </c>
      <c r="F5" s="26" t="s">
        <v>161</v>
      </c>
      <c r="G5" s="14">
        <v>93</v>
      </c>
      <c r="H5" s="92">
        <f>IF(B$19=0,0,G5/B$19)</f>
        <v>0.38912133891213391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-11.494252873563218</v>
      </c>
      <c r="P5" s="81">
        <v>87</v>
      </c>
      <c r="Q5" s="68">
        <v>-1000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70</v>
      </c>
      <c r="H6" s="92">
        <f>IF(B$19=0,0,G6/B$19)</f>
        <v>0.29288702928870292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-66.666666666666671</v>
      </c>
      <c r="P6" s="81">
        <v>75</v>
      </c>
      <c r="Q6" s="68">
        <v>-5000</v>
      </c>
    </row>
    <row r="7" spans="1:17" x14ac:dyDescent="0.45">
      <c r="A7" s="21" t="s">
        <v>2</v>
      </c>
      <c r="B7" s="14">
        <v>38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53</v>
      </c>
      <c r="H7" s="92">
        <f>IF(B$19=0,0,G7/B$19)</f>
        <v>0.22175732217573221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95.238095238095241</v>
      </c>
      <c r="P7" s="82">
        <v>63</v>
      </c>
      <c r="Q7" s="69">
        <v>6000</v>
      </c>
    </row>
    <row r="8" spans="1:17" x14ac:dyDescent="0.45">
      <c r="A8" s="21" t="s">
        <v>3</v>
      </c>
      <c r="B8" s="14">
        <v>38</v>
      </c>
      <c r="C8" s="8">
        <f t="shared" si="1"/>
        <v>0.33333333333333331</v>
      </c>
      <c r="E8" s="29" t="s">
        <v>89</v>
      </c>
      <c r="F8" s="26" t="s">
        <v>44</v>
      </c>
      <c r="G8" s="14">
        <v>37</v>
      </c>
      <c r="H8" s="92">
        <f>IF(B$19=0,0,G8/B$19)</f>
        <v>0.15481171548117154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38</v>
      </c>
      <c r="C9" s="9">
        <f t="shared" si="1"/>
        <v>0.33333333333333331</v>
      </c>
      <c r="E9" s="29" t="s">
        <v>69</v>
      </c>
      <c r="F9" s="26" t="s">
        <v>24</v>
      </c>
      <c r="G9" s="14">
        <v>31</v>
      </c>
      <c r="H9" s="92">
        <f>IF(B$19=0,0,G9/B$19)</f>
        <v>0.1297071129707113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42.30263157894737</v>
      </c>
      <c r="C10" s="114">
        <v>1607.5</v>
      </c>
      <c r="E10" s="29" t="s">
        <v>65</v>
      </c>
      <c r="F10" s="26" t="s">
        <v>21</v>
      </c>
      <c r="G10" s="14">
        <v>23</v>
      </c>
      <c r="H10" s="92">
        <f>IF(B$19=0,0,G10/B$19)</f>
        <v>9.6234309623430964E-2</v>
      </c>
      <c r="I10" s="60">
        <v>5</v>
      </c>
      <c r="K10" s="7">
        <v>8</v>
      </c>
      <c r="L10" s="65">
        <v>-81.5</v>
      </c>
      <c r="N10" s="77" t="s">
        <v>152</v>
      </c>
      <c r="O10" s="86">
        <f>IF(P10=0,0,Q10/P10)</f>
        <v>-10.697368421052634</v>
      </c>
      <c r="P10" s="80">
        <v>38</v>
      </c>
      <c r="Q10" s="71">
        <v>-406.50000000000006</v>
      </c>
    </row>
    <row r="11" spans="1:17" x14ac:dyDescent="0.45">
      <c r="A11" s="22" t="s">
        <v>186</v>
      </c>
      <c r="B11" s="113">
        <f>IF(B8=0,0,C11/B8)</f>
        <v>-4.0868421052631581</v>
      </c>
      <c r="C11" s="114">
        <v>-155.30000000000001</v>
      </c>
      <c r="E11" s="29" t="s">
        <v>71</v>
      </c>
      <c r="F11" s="26" t="s">
        <v>26</v>
      </c>
      <c r="G11" s="14">
        <v>17</v>
      </c>
      <c r="H11" s="92">
        <f>IF(B$19=0,0,G11/B$19)</f>
        <v>7.1129707112970716E-2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-1.3921052631578961</v>
      </c>
      <c r="P11" s="81">
        <v>38</v>
      </c>
      <c r="Q11" s="72">
        <v>-52.900000000000048</v>
      </c>
    </row>
    <row r="12" spans="1:17" x14ac:dyDescent="0.45">
      <c r="A12" s="22" t="s">
        <v>187</v>
      </c>
      <c r="B12" s="113">
        <f>IF(B9=0,0,C12/B9)</f>
        <v>-38.215789473684204</v>
      </c>
      <c r="C12" s="114">
        <v>-1452.1999999999998</v>
      </c>
      <c r="E12" s="29" t="s">
        <v>83</v>
      </c>
      <c r="F12" s="26" t="s">
        <v>38</v>
      </c>
      <c r="G12" s="14">
        <v>15</v>
      </c>
      <c r="H12" s="92">
        <f>IF(B$19=0,0,G12/B$19)</f>
        <v>6.2761506276150625E-2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12.089473684210521</v>
      </c>
      <c r="P12" s="82">
        <v>38</v>
      </c>
      <c r="Q12" s="73">
        <v>459.39999999999981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15</v>
      </c>
      <c r="H13" s="92">
        <f>IF(B$19=0,0,G13/B$19)</f>
        <v>6.2761506276150625E-2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15</v>
      </c>
      <c r="C14" s="11">
        <f t="shared" si="1"/>
        <v>0.13157894736842105</v>
      </c>
      <c r="E14" s="29" t="s">
        <v>70</v>
      </c>
      <c r="F14" s="26" t="s">
        <v>25</v>
      </c>
      <c r="G14" s="14">
        <v>12</v>
      </c>
      <c r="H14" s="92">
        <f>IF(B$19=0,0,G14/B$19)</f>
        <v>5.0209205020920501E-2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208</v>
      </c>
      <c r="C15" s="12">
        <f>IF(B$3=0,0,B15/B$3)</f>
        <v>0.25584255842558423</v>
      </c>
      <c r="E15" s="29" t="s">
        <v>78</v>
      </c>
      <c r="F15" s="26" t="s">
        <v>33</v>
      </c>
      <c r="G15" s="14">
        <v>8</v>
      </c>
      <c r="H15" s="92">
        <f>IF(B$19=0,0,G15/B$19)</f>
        <v>3.3472803347280332E-2</v>
      </c>
      <c r="I15" s="60">
        <v>5</v>
      </c>
      <c r="K15" s="7">
        <v>13</v>
      </c>
      <c r="L15" s="65">
        <v>14.300000000000002</v>
      </c>
      <c r="N15" s="77" t="s">
        <v>194</v>
      </c>
      <c r="O15" s="86">
        <f>IF(P15=0,0,Q15/P15)</f>
        <v>35.432142857142857</v>
      </c>
      <c r="P15" s="80">
        <v>28</v>
      </c>
      <c r="Q15" s="71">
        <v>992.1</v>
      </c>
    </row>
    <row r="16" spans="1:17" x14ac:dyDescent="0.45">
      <c r="A16" s="21" t="s">
        <v>118</v>
      </c>
      <c r="B16" s="14">
        <v>183</v>
      </c>
      <c r="C16" s="8">
        <f>IF(B$3=0,0,B16/B$3)</f>
        <v>0.22509225092250923</v>
      </c>
      <c r="E16" s="29" t="s">
        <v>79</v>
      </c>
      <c r="F16" s="26" t="s">
        <v>34</v>
      </c>
      <c r="G16" s="14">
        <v>7</v>
      </c>
      <c r="H16" s="92">
        <f>IF(B$19=0,0,G16/B$19)</f>
        <v>2.9288702928870293E-2</v>
      </c>
      <c r="I16" s="60">
        <v>3</v>
      </c>
      <c r="K16" s="7">
        <v>14</v>
      </c>
      <c r="L16" s="65">
        <v>12.800000000000002</v>
      </c>
      <c r="N16" s="78" t="s">
        <v>205</v>
      </c>
      <c r="O16" s="87">
        <f>IF(P16=0,0,Q16/P16)</f>
        <v>24.112500000000001</v>
      </c>
      <c r="P16" s="81">
        <v>16</v>
      </c>
      <c r="Q16" s="72">
        <v>385.8</v>
      </c>
    </row>
    <row r="17" spans="1:17" x14ac:dyDescent="0.45">
      <c r="A17" s="20" t="s">
        <v>123</v>
      </c>
      <c r="B17" s="13">
        <f>B23</f>
        <v>114</v>
      </c>
      <c r="C17" s="6">
        <f>IF(B$15=0,0,B17/B$15)</f>
        <v>0.54807692307692313</v>
      </c>
      <c r="E17" s="29" t="s">
        <v>81</v>
      </c>
      <c r="F17" s="26" t="s">
        <v>36</v>
      </c>
      <c r="G17" s="14">
        <v>7</v>
      </c>
      <c r="H17" s="92">
        <f>IF(B$19=0,0,G17/B$19)</f>
        <v>2.9288702928870293E-2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19.32</v>
      </c>
      <c r="P17" s="81">
        <v>10</v>
      </c>
      <c r="Q17" s="72">
        <v>193.2</v>
      </c>
    </row>
    <row r="18" spans="1:17" x14ac:dyDescent="0.45">
      <c r="A18" s="20" t="s">
        <v>124</v>
      </c>
      <c r="B18" s="13">
        <f>B24</f>
        <v>69</v>
      </c>
      <c r="C18" s="6">
        <f>IF(B$16=0,0,B18/B$16)</f>
        <v>0.37704918032786883</v>
      </c>
      <c r="E18" s="29" t="s">
        <v>92</v>
      </c>
      <c r="F18" s="26" t="s">
        <v>47</v>
      </c>
      <c r="G18" s="14">
        <v>5</v>
      </c>
      <c r="H18" s="92">
        <f>IF(B$19=0,0,G18/B$19)</f>
        <v>2.0920502092050208E-2</v>
      </c>
      <c r="I18" s="60">
        <v>3</v>
      </c>
      <c r="K18" s="7">
        <v>16</v>
      </c>
      <c r="L18" s="65">
        <v>3.4000000000000017</v>
      </c>
      <c r="N18" s="78" t="s">
        <v>189</v>
      </c>
      <c r="O18" s="87">
        <f>IF(P18=0,0,Q18/P18)</f>
        <v>5.7642857142857142</v>
      </c>
      <c r="P18" s="81">
        <v>14</v>
      </c>
      <c r="Q18" s="72">
        <v>80.7</v>
      </c>
    </row>
    <row r="19" spans="1:17" x14ac:dyDescent="0.45">
      <c r="A19" s="20" t="s">
        <v>10</v>
      </c>
      <c r="B19" s="13">
        <f>B22+B21</f>
        <v>239</v>
      </c>
      <c r="C19" s="6">
        <f>IF(B$3=0,0,B19/B$3)</f>
        <v>0.29397293972939731</v>
      </c>
      <c r="E19" s="29" t="s">
        <v>156</v>
      </c>
      <c r="F19" s="26" t="s">
        <v>157</v>
      </c>
      <c r="G19" s="14">
        <v>5</v>
      </c>
      <c r="H19" s="92">
        <f>IF(B$19=0,0,G19/B$19)</f>
        <v>2.0920502092050208E-2</v>
      </c>
      <c r="I19" s="60">
        <v>3</v>
      </c>
      <c r="K19" s="7">
        <v>17</v>
      </c>
      <c r="L19" s="65">
        <v>-35.800000000000004</v>
      </c>
      <c r="N19" s="78" t="s">
        <v>164</v>
      </c>
      <c r="O19" s="87">
        <f>IF(P19=0,0,Q19/P19)</f>
        <v>3.3100000000000014</v>
      </c>
      <c r="P19" s="81">
        <v>30</v>
      </c>
      <c r="Q19" s="72">
        <v>99.30000000000004</v>
      </c>
    </row>
    <row r="20" spans="1:17" x14ac:dyDescent="0.45">
      <c r="A20" s="21" t="s">
        <v>13</v>
      </c>
      <c r="B20" s="14">
        <v>134</v>
      </c>
      <c r="C20" s="8">
        <f>IF(B$3=0,0,B20/B$3)</f>
        <v>0.16482164821648215</v>
      </c>
      <c r="E20" s="29" t="s">
        <v>91</v>
      </c>
      <c r="F20" s="26" t="s">
        <v>46</v>
      </c>
      <c r="G20" s="14">
        <v>4</v>
      </c>
      <c r="H20" s="92">
        <f>IF(B$19=0,0,G20/B$19)</f>
        <v>1.6736401673640166E-2</v>
      </c>
      <c r="I20" s="60">
        <v>4</v>
      </c>
      <c r="K20" s="7">
        <v>18</v>
      </c>
      <c r="L20" s="65">
        <v>-7.1054273576010019E-15</v>
      </c>
      <c r="N20" s="78" t="s">
        <v>192</v>
      </c>
      <c r="O20" s="87">
        <f>IF(P20=0,0,Q20/P20)</f>
        <v>1.4249999999999983</v>
      </c>
      <c r="P20" s="81">
        <v>52</v>
      </c>
      <c r="Q20" s="72">
        <v>74.099999999999909</v>
      </c>
    </row>
    <row r="21" spans="1:17" x14ac:dyDescent="0.45">
      <c r="A21" s="21" t="s">
        <v>12</v>
      </c>
      <c r="B21" s="14">
        <v>104</v>
      </c>
      <c r="C21" s="8">
        <f>IF(B$19=0,0,B21/B$19)</f>
        <v>0.43514644351464438</v>
      </c>
      <c r="E21" s="29" t="s">
        <v>87</v>
      </c>
      <c r="F21" s="26" t="s">
        <v>42</v>
      </c>
      <c r="G21" s="14">
        <v>2</v>
      </c>
      <c r="H21" s="92">
        <f>IF(B$19=0,0,G21/B$19)</f>
        <v>8.368200836820083E-3</v>
      </c>
      <c r="I21" s="60">
        <v>3</v>
      </c>
      <c r="K21" s="7">
        <v>19</v>
      </c>
      <c r="L21" s="65">
        <v>-27.100000000000009</v>
      </c>
      <c r="N21" s="78" t="s">
        <v>193</v>
      </c>
      <c r="O21" s="87">
        <f>IF(P21=0,0,Q21/P21)</f>
        <v>-9.5884615384615408</v>
      </c>
      <c r="P21" s="81">
        <v>26</v>
      </c>
      <c r="Q21" s="72">
        <v>-249.30000000000007</v>
      </c>
    </row>
    <row r="22" spans="1:17" x14ac:dyDescent="0.45">
      <c r="A22" s="21" t="s">
        <v>11</v>
      </c>
      <c r="B22" s="14">
        <v>135</v>
      </c>
      <c r="C22" s="8">
        <f>IF(B$19=0,0,B22/B$19)</f>
        <v>0.56485355648535562</v>
      </c>
      <c r="E22" s="29" t="s">
        <v>93</v>
      </c>
      <c r="F22" s="26" t="s">
        <v>48</v>
      </c>
      <c r="G22" s="14">
        <v>2</v>
      </c>
      <c r="H22" s="92">
        <f>IF(B$19=0,0,G22/B$19)</f>
        <v>8.368200836820083E-3</v>
      </c>
      <c r="I22" s="60">
        <v>2</v>
      </c>
      <c r="K22" s="7">
        <v>20</v>
      </c>
      <c r="L22" s="65">
        <v>-28.600000000000009</v>
      </c>
      <c r="N22" s="78" t="s">
        <v>126</v>
      </c>
      <c r="O22" s="87">
        <f>IF(P22=0,0,Q22/P22)</f>
        <v>-30.305769230769229</v>
      </c>
      <c r="P22" s="81">
        <v>52</v>
      </c>
      <c r="Q22" s="72">
        <v>-1575.8999999999999</v>
      </c>
    </row>
    <row r="23" spans="1:17" x14ac:dyDescent="0.45">
      <c r="A23" s="21" t="s">
        <v>184</v>
      </c>
      <c r="B23" s="14">
        <v>114</v>
      </c>
      <c r="C23" s="8">
        <f>IF(B$19=0,0,B23/B$19)</f>
        <v>0.47698744769874479</v>
      </c>
      <c r="E23" s="29" t="s">
        <v>73</v>
      </c>
      <c r="F23" s="26" t="s">
        <v>28</v>
      </c>
      <c r="G23" s="14">
        <v>1</v>
      </c>
      <c r="H23" s="92">
        <f>IF(B$19=0,0,G23/B$19)</f>
        <v>4.1841004184100415E-3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69</v>
      </c>
      <c r="C24" s="8">
        <f>IF(B$19=0,0,B24/B$19)</f>
        <v>0.28870292887029286</v>
      </c>
      <c r="E24" s="29" t="s">
        <v>75</v>
      </c>
      <c r="F24" s="26" t="s">
        <v>30</v>
      </c>
      <c r="G24" s="14">
        <v>1</v>
      </c>
      <c r="H24" s="92">
        <f>IF(B$19=0,0,G24/B$19)</f>
        <v>4.1841004184100415E-3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56</v>
      </c>
      <c r="C25" s="8">
        <f>IF(B$19=0,0,B25/B$19)</f>
        <v>0.23430962343096234</v>
      </c>
      <c r="E25" s="29" t="s">
        <v>77</v>
      </c>
      <c r="F25" s="26" t="s">
        <v>32</v>
      </c>
      <c r="G25" s="14">
        <v>1</v>
      </c>
      <c r="H25" s="92">
        <f>IF(B$19=0,0,G25/B$19)</f>
        <v>4.1841004184100415E-3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9357.3221757322171</v>
      </c>
      <c r="C26" s="10">
        <v>2236400</v>
      </c>
      <c r="E26" s="29" t="s">
        <v>95</v>
      </c>
      <c r="F26" s="26" t="s">
        <v>50</v>
      </c>
      <c r="G26" s="14">
        <v>1</v>
      </c>
      <c r="H26" s="92">
        <f>IF(B$19=0,0,G26/B$19)</f>
        <v>4.1841004184100415E-3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9562.3529411764703</v>
      </c>
      <c r="C27" s="100">
        <v>1625600</v>
      </c>
      <c r="E27" s="29" t="s">
        <v>102</v>
      </c>
      <c r="F27" s="26" t="s">
        <v>57</v>
      </c>
      <c r="G27" s="14">
        <v>1</v>
      </c>
      <c r="H27" s="92">
        <f>IF(B$19=0,0,G27/B$19)</f>
        <v>4.1841004184100415E-3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8852.173913043478</v>
      </c>
      <c r="C28" s="100">
        <v>610800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-8252.2388059701498</v>
      </c>
      <c r="C29" s="100">
        <v>-1105800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13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106500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2</v>
      </c>
      <c r="C34" s="11">
        <f>IF(B$3=0,0,B34/B$3)</f>
        <v>2.4600246002460025E-3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16</v>
      </c>
      <c r="C36" s="102">
        <f t="shared" ref="C36:C48" si="2">IF(B$19=0,0,B36/B$19)</f>
        <v>6.6945606694560664E-2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36</v>
      </c>
      <c r="C37" s="8">
        <f t="shared" si="2"/>
        <v>0.15062761506276151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44</v>
      </c>
      <c r="C38" s="8">
        <f t="shared" si="2"/>
        <v>0.18410041841004185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48</v>
      </c>
      <c r="C39" s="8">
        <f t="shared" si="2"/>
        <v>0.20083682008368201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37</v>
      </c>
      <c r="C40" s="8">
        <f t="shared" si="2"/>
        <v>0.15481171548117154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18</v>
      </c>
      <c r="C41" s="8">
        <f t="shared" si="2"/>
        <v>7.5313807531380755E-2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17</v>
      </c>
      <c r="C42" s="8">
        <f t="shared" si="2"/>
        <v>7.1129707112970716E-2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4</v>
      </c>
      <c r="C43" s="8">
        <f t="shared" si="2"/>
        <v>1.6736401673640166E-2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1.2552301255230125E-2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4</v>
      </c>
      <c r="C45" s="8">
        <f t="shared" si="2"/>
        <v>1.6736401673640166E-2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2</v>
      </c>
      <c r="C46" s="8">
        <f t="shared" si="2"/>
        <v>8.368200836820083E-3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4.1841004184100415E-3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9</v>
      </c>
      <c r="C48" s="11">
        <f t="shared" si="2"/>
        <v>3.7656903765690378E-2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DF110-B51D-4685-9443-6F5A52559BB7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15</v>
      </c>
      <c r="C2" s="132"/>
      <c r="E2" s="28" t="s">
        <v>66</v>
      </c>
      <c r="F2" s="25" t="s">
        <v>22</v>
      </c>
      <c r="G2" s="13">
        <v>36</v>
      </c>
      <c r="H2" s="91">
        <f>IF(B$19=0,0,G2/B$19)</f>
        <v>1.2413793103448276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614.28571428571433</v>
      </c>
      <c r="P2" s="80">
        <v>14</v>
      </c>
      <c r="Q2" s="67">
        <v>8600</v>
      </c>
    </row>
    <row r="3" spans="1:17" x14ac:dyDescent="0.45">
      <c r="A3" s="21" t="s">
        <v>8</v>
      </c>
      <c r="B3" s="133">
        <v>116</v>
      </c>
      <c r="C3" s="134"/>
      <c r="E3" s="29" t="s">
        <v>64</v>
      </c>
      <c r="F3" s="26" t="s">
        <v>20</v>
      </c>
      <c r="G3" s="14">
        <v>16</v>
      </c>
      <c r="H3" s="92">
        <f>IF(B$19=0,0,G3/B$19)</f>
        <v>0.55172413793103448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1446.6666666666667</v>
      </c>
      <c r="P3" s="81">
        <v>15</v>
      </c>
      <c r="Q3" s="68">
        <v>21700</v>
      </c>
    </row>
    <row r="4" spans="1:17" x14ac:dyDescent="0.45">
      <c r="A4" s="21" t="s">
        <v>6</v>
      </c>
      <c r="B4" s="135">
        <v>-33.1</v>
      </c>
      <c r="C4" s="136"/>
      <c r="E4" s="29" t="s">
        <v>160</v>
      </c>
      <c r="F4" s="26" t="s">
        <v>161</v>
      </c>
      <c r="G4" s="14">
        <v>15</v>
      </c>
      <c r="H4" s="92">
        <f>IF(B$19=0,0,G4/B$19)</f>
        <v>0.51724137931034486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-2146.6666666666665</v>
      </c>
      <c r="P4" s="81">
        <v>15</v>
      </c>
      <c r="Q4" s="68">
        <v>-32200</v>
      </c>
    </row>
    <row r="5" spans="1:17" x14ac:dyDescent="0.45">
      <c r="A5" s="21" t="s">
        <v>7</v>
      </c>
      <c r="B5" s="123">
        <f>IF(B$2=0,0,B$4/B$2)</f>
        <v>-2.2066666666666666</v>
      </c>
      <c r="C5" s="124"/>
      <c r="E5" s="29" t="s">
        <v>72</v>
      </c>
      <c r="F5" s="26" t="s">
        <v>27</v>
      </c>
      <c r="G5" s="14">
        <v>14</v>
      </c>
      <c r="H5" s="92">
        <f>IF(B$19=0,0,G5/B$19)</f>
        <v>0.48275862068965519</v>
      </c>
      <c r="I5" s="60">
        <v>7</v>
      </c>
      <c r="K5" s="7">
        <v>3</v>
      </c>
      <c r="L5" s="65">
        <v>61.5</v>
      </c>
      <c r="N5" s="78" t="s">
        <v>131</v>
      </c>
      <c r="O5" s="84">
        <f t="shared" si="0"/>
        <v>-7246.1538461538457</v>
      </c>
      <c r="P5" s="81">
        <v>13</v>
      </c>
      <c r="Q5" s="68">
        <v>-94200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8</v>
      </c>
      <c r="H6" s="92">
        <f>IF(B$19=0,0,G6/B$19)</f>
        <v>0.27586206896551724</v>
      </c>
      <c r="I6" s="60">
        <v>1</v>
      </c>
      <c r="K6" s="7">
        <v>4</v>
      </c>
      <c r="L6" s="65">
        <v>27.4</v>
      </c>
      <c r="N6" s="78" t="s">
        <v>132</v>
      </c>
      <c r="O6" s="84">
        <f t="shared" si="0"/>
        <v>-615.38461538461536</v>
      </c>
      <c r="P6" s="81">
        <v>13</v>
      </c>
      <c r="Q6" s="68">
        <v>-8000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0.4</v>
      </c>
      <c r="E7" s="29" t="s">
        <v>68</v>
      </c>
      <c r="F7" s="26" t="s">
        <v>12</v>
      </c>
      <c r="G7" s="14">
        <v>8</v>
      </c>
      <c r="H7" s="92">
        <f>IF(B$19=0,0,G7/B$19)</f>
        <v>0.27586206896551724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9844.4444444444453</v>
      </c>
      <c r="P7" s="82">
        <v>9</v>
      </c>
      <c r="Q7" s="69">
        <v>88600</v>
      </c>
    </row>
    <row r="8" spans="1:17" x14ac:dyDescent="0.45">
      <c r="A8" s="21" t="s">
        <v>3</v>
      </c>
      <c r="B8" s="14">
        <v>3</v>
      </c>
      <c r="C8" s="8">
        <f t="shared" si="1"/>
        <v>0.2</v>
      </c>
      <c r="E8" s="29" t="s">
        <v>65</v>
      </c>
      <c r="F8" s="26" t="s">
        <v>21</v>
      </c>
      <c r="G8" s="14">
        <v>5</v>
      </c>
      <c r="H8" s="92">
        <f>IF(B$19=0,0,G8/B$19)</f>
        <v>0.17241379310344829</v>
      </c>
      <c r="I8" s="60">
        <v>1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0.4</v>
      </c>
      <c r="E9" s="29" t="s">
        <v>86</v>
      </c>
      <c r="F9" s="26" t="s">
        <v>41</v>
      </c>
      <c r="G9" s="14">
        <v>5</v>
      </c>
      <c r="H9" s="92">
        <f>IF(B$19=0,0,G9/B$19)</f>
        <v>0.17241379310344829</v>
      </c>
      <c r="I9" s="60">
        <v>1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34.449999999999996</v>
      </c>
      <c r="C10" s="114">
        <v>206.7</v>
      </c>
      <c r="E10" s="29" t="s">
        <v>89</v>
      </c>
      <c r="F10" s="26" t="s">
        <v>44</v>
      </c>
      <c r="G10" s="14">
        <v>5</v>
      </c>
      <c r="H10" s="92">
        <f>IF(B$19=0,0,G10/B$19)</f>
        <v>0.17241379310344829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-16.740000000000002</v>
      </c>
      <c r="P10" s="80">
        <v>5</v>
      </c>
      <c r="Q10" s="71">
        <v>-83.7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3</v>
      </c>
      <c r="H11" s="92">
        <f>IF(B$19=0,0,G11/B$19)</f>
        <v>0.10344827586206896</v>
      </c>
      <c r="I11" s="60">
        <v>7</v>
      </c>
      <c r="K11" s="7">
        <v>9</v>
      </c>
      <c r="L11" s="65">
        <v>33.5</v>
      </c>
      <c r="N11" s="78" t="s">
        <v>153</v>
      </c>
      <c r="O11" s="87">
        <f>IF(P11=0,0,Q11/P11)</f>
        <v>-11.3</v>
      </c>
      <c r="P11" s="81">
        <v>5</v>
      </c>
      <c r="Q11" s="72">
        <v>-56.500000000000007</v>
      </c>
    </row>
    <row r="12" spans="1:17" x14ac:dyDescent="0.45">
      <c r="A12" s="22" t="s">
        <v>187</v>
      </c>
      <c r="B12" s="113">
        <f>IF(B9=0,0,C12/B9)</f>
        <v>-36.666666666666664</v>
      </c>
      <c r="C12" s="114">
        <v>-220</v>
      </c>
      <c r="E12" s="29" t="s">
        <v>71</v>
      </c>
      <c r="F12" s="26" t="s">
        <v>26</v>
      </c>
      <c r="G12" s="14">
        <v>3</v>
      </c>
      <c r="H12" s="92">
        <f>IF(B$19=0,0,G12/B$19)</f>
        <v>0.10344827586206896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21.419999999999998</v>
      </c>
      <c r="P12" s="82">
        <v>5</v>
      </c>
      <c r="Q12" s="73">
        <v>107.1</v>
      </c>
    </row>
    <row r="13" spans="1:17" x14ac:dyDescent="0.45">
      <c r="A13" s="22" t="s">
        <v>188</v>
      </c>
      <c r="B13" s="123">
        <f>AVERAGE(B10:B12)</f>
        <v>-2.93888888888889</v>
      </c>
      <c r="C13" s="124"/>
      <c r="E13" s="29" t="s">
        <v>81</v>
      </c>
      <c r="F13" s="26" t="s">
        <v>36</v>
      </c>
      <c r="G13" s="14">
        <v>2</v>
      </c>
      <c r="H13" s="92">
        <f>IF(B$19=0,0,G13/B$19)</f>
        <v>6.8965517241379309E-2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0.13333333333333333</v>
      </c>
      <c r="E14" s="29" t="s">
        <v>83</v>
      </c>
      <c r="F14" s="26" t="s">
        <v>38</v>
      </c>
      <c r="G14" s="14">
        <v>2</v>
      </c>
      <c r="H14" s="92">
        <f>IF(B$19=0,0,G14/B$19)</f>
        <v>6.8965517241379309E-2</v>
      </c>
      <c r="I14" s="60">
        <v>4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36</v>
      </c>
      <c r="C15" s="12">
        <f>IF(B$3=0,0,B15/B$3)</f>
        <v>0.31034482758620691</v>
      </c>
      <c r="E15" s="29" t="s">
        <v>70</v>
      </c>
      <c r="F15" s="26" t="s">
        <v>25</v>
      </c>
      <c r="G15" s="14">
        <v>1</v>
      </c>
      <c r="H15" s="92">
        <f>IF(B$19=0,0,G15/B$19)</f>
        <v>3.4482758620689655E-2</v>
      </c>
      <c r="I15" s="60">
        <v>5</v>
      </c>
      <c r="K15" s="7">
        <v>13</v>
      </c>
      <c r="L15" s="65">
        <v>-33.5</v>
      </c>
      <c r="N15" s="77" t="s">
        <v>205</v>
      </c>
      <c r="O15" s="86">
        <f>IF(P15=0,0,Q15/P15)</f>
        <v>98.7</v>
      </c>
      <c r="P15" s="80">
        <v>1</v>
      </c>
      <c r="Q15" s="71">
        <v>98.7</v>
      </c>
    </row>
    <row r="16" spans="1:17" x14ac:dyDescent="0.45">
      <c r="A16" s="21" t="s">
        <v>118</v>
      </c>
      <c r="B16" s="14">
        <v>25</v>
      </c>
      <c r="C16" s="8">
        <f>IF(B$3=0,0,B16/B$3)</f>
        <v>0.21551724137931033</v>
      </c>
      <c r="E16" s="29" t="s">
        <v>78</v>
      </c>
      <c r="F16" s="26" t="s">
        <v>33</v>
      </c>
      <c r="G16" s="14">
        <v>1</v>
      </c>
      <c r="H16" s="92">
        <f>IF(B$19=0,0,G16/B$19)</f>
        <v>3.4482758620689655E-2</v>
      </c>
      <c r="I16" s="60">
        <v>4</v>
      </c>
      <c r="K16" s="7">
        <v>14</v>
      </c>
      <c r="L16" s="65">
        <v>15.100000000000001</v>
      </c>
      <c r="N16" s="78" t="s">
        <v>189</v>
      </c>
      <c r="O16" s="87">
        <f>IF(P16=0,0,Q16/P16)</f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0.47222222222222221</v>
      </c>
      <c r="E17" s="29" t="s">
        <v>79</v>
      </c>
      <c r="F17" s="26" t="s">
        <v>34</v>
      </c>
      <c r="G17" s="14">
        <v>1</v>
      </c>
      <c r="H17" s="92">
        <f>IF(B$19=0,0,G17/B$19)</f>
        <v>3.4482758620689655E-2</v>
      </c>
      <c r="I17" s="60">
        <v>2</v>
      </c>
      <c r="K17" s="7">
        <v>15</v>
      </c>
      <c r="L17" s="65">
        <v>-33.1</v>
      </c>
      <c r="N17" s="78" t="s">
        <v>194</v>
      </c>
      <c r="O17" s="87">
        <f>IF(P17=0,0,Q17/P17)</f>
        <v>5.5333333333333341</v>
      </c>
      <c r="P17" s="81">
        <v>3</v>
      </c>
      <c r="Q17" s="72">
        <v>16.600000000000001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0.32</v>
      </c>
      <c r="E18" s="29" t="s">
        <v>91</v>
      </c>
      <c r="F18" s="26" t="s">
        <v>46</v>
      </c>
      <c r="G18" s="14">
        <v>1</v>
      </c>
      <c r="H18" s="92">
        <f>IF(B$19=0,0,G18/B$19)</f>
        <v>3.4482758620689655E-2</v>
      </c>
      <c r="I18" s="60">
        <v>2</v>
      </c>
      <c r="N18" s="78" t="s">
        <v>192</v>
      </c>
      <c r="O18" s="87">
        <f>IF(P18=0,0,Q18/P18)</f>
        <v>-12.319999999999999</v>
      </c>
      <c r="P18" s="81">
        <v>10</v>
      </c>
      <c r="Q18" s="72">
        <v>-123.19999999999999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0.25</v>
      </c>
      <c r="E19" s="29" t="s">
        <v>92</v>
      </c>
      <c r="F19" s="26" t="s">
        <v>47</v>
      </c>
      <c r="G19" s="14">
        <v>1</v>
      </c>
      <c r="H19" s="92">
        <f>IF(B$19=0,0,G19/B$19)</f>
        <v>3.4482758620689655E-2</v>
      </c>
      <c r="I19" s="60">
        <v>2</v>
      </c>
      <c r="N19" s="78" t="s">
        <v>126</v>
      </c>
      <c r="O19" s="87">
        <f>IF(P19=0,0,Q19/P19)</f>
        <v>-13.609090909090908</v>
      </c>
      <c r="P19" s="81">
        <v>11</v>
      </c>
      <c r="Q19" s="72">
        <v>-149.69999999999999</v>
      </c>
    </row>
    <row r="20" spans="1:17" x14ac:dyDescent="0.45">
      <c r="A20" s="21" t="s">
        <v>13</v>
      </c>
      <c r="B20" s="14">
        <v>29</v>
      </c>
      <c r="C20" s="8">
        <f>IF(B$3=0,0,B20/B$3)</f>
        <v>0.25</v>
      </c>
      <c r="E20" s="29" t="s">
        <v>156</v>
      </c>
      <c r="F20" s="26" t="s">
        <v>157</v>
      </c>
      <c r="G20" s="14">
        <v>1</v>
      </c>
      <c r="H20" s="92">
        <f>IF(B$19=0,0,G20/B$19)</f>
        <v>3.4482758620689655E-2</v>
      </c>
      <c r="I20" s="60">
        <v>2</v>
      </c>
      <c r="N20" s="78" t="s">
        <v>193</v>
      </c>
      <c r="O20" s="87">
        <f>IF(P20=0,0,Q20/P20)</f>
        <v>-48.4</v>
      </c>
      <c r="P20" s="81">
        <v>1</v>
      </c>
      <c r="Q20" s="72">
        <v>-48.4</v>
      </c>
    </row>
    <row r="21" spans="1:17" x14ac:dyDescent="0.45">
      <c r="A21" s="21" t="s">
        <v>12</v>
      </c>
      <c r="B21" s="14">
        <v>10</v>
      </c>
      <c r="C21" s="8">
        <f>IF(B$19=0,0,B21/B$19)</f>
        <v>0.34482758620689657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19</v>
      </c>
      <c r="C22" s="8">
        <f>IF(B$19=0,0,B22/B$19)</f>
        <v>0.65517241379310343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0.58620689655172409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8</v>
      </c>
      <c r="C24" s="8">
        <f>IF(B$19=0,0,B24/B$19)</f>
        <v>0.27586206896551724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0.13793103448275862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11479.310344827587</v>
      </c>
      <c r="C26" s="10">
        <v>332900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11647.619047619048</v>
      </c>
      <c r="C27" s="100">
        <v>244600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11037.5</v>
      </c>
      <c r="C28" s="100">
        <v>88300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-7268.9655172413795</v>
      </c>
      <c r="C29" s="100">
        <v>-210800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20</v>
      </c>
      <c r="C31" s="94">
        <v>3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73600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8.6206896551724137E-3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3.4482758620689655E-2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6.8965517241379309E-2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2"/>
        <v>0.34482758620689657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0.20689655172413793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3.4482758620689655E-2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0.13793103448275862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2</v>
      </c>
      <c r="C43" s="8">
        <f t="shared" si="2"/>
        <v>6.8965517241379309E-2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3.4482758620689655E-2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2"/>
        <v>3.4482758620689655E-2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3.4482758620689655E-2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5C5D4-F0B3-4B4B-856B-C587CBB2E540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14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2316.6666666666665</v>
      </c>
      <c r="P2" s="80">
        <v>6</v>
      </c>
      <c r="Q2" s="67">
        <v>13900</v>
      </c>
    </row>
    <row r="3" spans="1:17" x14ac:dyDescent="0.45">
      <c r="A3" s="21" t="s">
        <v>8</v>
      </c>
      <c r="B3" s="133">
        <v>54</v>
      </c>
      <c r="C3" s="134"/>
      <c r="E3" s="29" t="s">
        <v>72</v>
      </c>
      <c r="F3" s="26" t="s">
        <v>27</v>
      </c>
      <c r="G3" s="14">
        <v>11</v>
      </c>
      <c r="H3" s="92">
        <f>IF(B$19=0,0,G3/B$19)</f>
        <v>0.7857142857142857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142.85714285714286</v>
      </c>
      <c r="P3" s="81">
        <v>7</v>
      </c>
      <c r="Q3" s="68">
        <v>1000</v>
      </c>
    </row>
    <row r="4" spans="1:17" x14ac:dyDescent="0.45">
      <c r="A4" s="21" t="s">
        <v>6</v>
      </c>
      <c r="B4" s="135">
        <v>-26.899999999999988</v>
      </c>
      <c r="C4" s="136"/>
      <c r="E4" s="29" t="s">
        <v>64</v>
      </c>
      <c r="F4" s="26" t="s">
        <v>20</v>
      </c>
      <c r="G4" s="14">
        <v>9</v>
      </c>
      <c r="H4" s="92">
        <f>IF(B$19=0,0,G4/B$19)</f>
        <v>0.6428571428571429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-3385.7142857142858</v>
      </c>
      <c r="P4" s="81">
        <v>7</v>
      </c>
      <c r="Q4" s="68">
        <v>-23700</v>
      </c>
    </row>
    <row r="5" spans="1:17" x14ac:dyDescent="0.45">
      <c r="A5" s="21" t="s">
        <v>7</v>
      </c>
      <c r="B5" s="123">
        <f>IF(B$2=0,0,B$4/B$2)</f>
        <v>-3.8428571428571412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0.6428571428571429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2485.7142857142858</v>
      </c>
      <c r="P5" s="81">
        <v>7</v>
      </c>
      <c r="Q5" s="68">
        <v>17400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0.2857142857142857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1000</v>
      </c>
      <c r="P6" s="81">
        <v>6</v>
      </c>
      <c r="Q6" s="68">
        <v>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0.2857142857142857</v>
      </c>
      <c r="E7" s="29" t="s">
        <v>89</v>
      </c>
      <c r="F7" s="26" t="s">
        <v>44</v>
      </c>
      <c r="G7" s="14">
        <v>3</v>
      </c>
      <c r="H7" s="92">
        <f>IF(B$19=0,0,G7/B$19)</f>
        <v>0.21428571428571427</v>
      </c>
      <c r="I7" s="60">
        <v>1</v>
      </c>
      <c r="K7" s="7">
        <v>5</v>
      </c>
      <c r="L7" s="65">
        <v>-57.899999999999991</v>
      </c>
      <c r="N7" s="79" t="s">
        <v>133</v>
      </c>
      <c r="O7" s="85">
        <f t="shared" si="0"/>
        <v>-6916.666666666667</v>
      </c>
      <c r="P7" s="82">
        <v>6</v>
      </c>
      <c r="Q7" s="69">
        <v>-41500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2</v>
      </c>
      <c r="H8" s="92">
        <f>IF(B$19=0,0,G8/B$19)</f>
        <v>0.14285714285714285</v>
      </c>
      <c r="I8" s="60">
        <v>4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67</v>
      </c>
      <c r="F9" s="26" t="s">
        <v>23</v>
      </c>
      <c r="G9" s="14">
        <v>2</v>
      </c>
      <c r="H9" s="92">
        <f>IF(B$19=0,0,G9/B$19)</f>
        <v>0.14285714285714285</v>
      </c>
      <c r="I9" s="60">
        <v>9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0.14285714285714285</v>
      </c>
      <c r="I10" s="60">
        <v>4</v>
      </c>
      <c r="N10" s="77" t="s">
        <v>152</v>
      </c>
      <c r="O10" s="86">
        <f>IF(P10=0,0,Q10/P10)</f>
        <v>1.7250000000000005</v>
      </c>
      <c r="P10" s="80">
        <v>4</v>
      </c>
      <c r="Q10" s="71">
        <v>6.9000000000000021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-11.266666666666666</v>
      </c>
      <c r="P11" s="81">
        <v>3</v>
      </c>
      <c r="Q11" s="72">
        <v>-33.799999999999997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7.1428571428571425E-2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-3.4222222222222221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7.1428571428571425E-2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5</v>
      </c>
      <c r="C16" s="8">
        <f>IF(B$3=0,0,B16/B$3)</f>
        <v>9.2592592592592587E-2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49.75</v>
      </c>
      <c r="P16" s="81">
        <v>2</v>
      </c>
      <c r="Q16" s="72">
        <v>99.5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-15.100000000000001</v>
      </c>
      <c r="P17" s="81">
        <v>4</v>
      </c>
      <c r="Q17" s="72">
        <v>-60.400000000000006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-23.599999999999998</v>
      </c>
      <c r="P18" s="81">
        <v>3</v>
      </c>
      <c r="Q18" s="72">
        <v>-70.8</v>
      </c>
    </row>
    <row r="19" spans="1:17" x14ac:dyDescent="0.45">
      <c r="A19" s="20" t="s">
        <v>10</v>
      </c>
      <c r="B19" s="13">
        <f>B22+B21</f>
        <v>14</v>
      </c>
      <c r="C19" s="6">
        <f>IF(B$3=0,0,B19/B$3)</f>
        <v>0.25925925925925924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6</v>
      </c>
      <c r="N19" s="78" t="s">
        <v>164</v>
      </c>
      <c r="O19" s="87">
        <f>IF(P19=0,0,Q19/P19)</f>
        <v>-26.674999999999997</v>
      </c>
      <c r="P19" s="81">
        <v>4</v>
      </c>
      <c r="Q19" s="72">
        <v>-106.69999999999999</v>
      </c>
    </row>
    <row r="20" spans="1:17" x14ac:dyDescent="0.45">
      <c r="A20" s="21" t="s">
        <v>13</v>
      </c>
      <c r="B20" s="14">
        <v>14</v>
      </c>
      <c r="C20" s="8">
        <f>IF(B$3=0,0,B20/B$3)</f>
        <v>0.25925925925925924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9</v>
      </c>
      <c r="C21" s="8">
        <f>IF(B$19=0,0,B21/B$19)</f>
        <v>0.6428571428571429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0.35714285714285715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8</v>
      </c>
      <c r="C23" s="8">
        <f>IF(B$19=0,0,B23/B$19)</f>
        <v>0.5714285714285714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0.21428571428571427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0.21428571428571427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9985.7142857142862</v>
      </c>
      <c r="C26" s="10">
        <v>139800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166</v>
      </c>
      <c r="B27" s="99">
        <f>IF($B$19-B$18=0,0,C27/($B$19-B$18))</f>
        <v>9281.818181818182</v>
      </c>
      <c r="C27" s="100">
        <v>102100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-6628.5714285714284</v>
      </c>
      <c r="C29" s="100">
        <v>-92800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1.8518518518518517E-2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0.21428571428571427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0.35714285714285715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F284-0AD6-4BDB-8BFE-67A412AA1945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66</v>
      </c>
      <c r="F2" s="25" t="s">
        <v>22</v>
      </c>
      <c r="G2" s="13">
        <v>55</v>
      </c>
      <c r="H2" s="91">
        <f>IF(B$19=0,0,G2/B$19)</f>
        <v>0.7432432432432432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642.30769230769226</v>
      </c>
      <c r="P2" s="80">
        <v>26</v>
      </c>
      <c r="Q2" s="67">
        <v>16700</v>
      </c>
    </row>
    <row r="3" spans="1:17" x14ac:dyDescent="0.45">
      <c r="A3" s="21" t="s">
        <v>8</v>
      </c>
      <c r="B3" s="133">
        <v>191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0.51351351351351349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6157.6923076923076</v>
      </c>
      <c r="P3" s="81">
        <v>26</v>
      </c>
      <c r="Q3" s="68">
        <v>160100</v>
      </c>
    </row>
    <row r="4" spans="1:17" x14ac:dyDescent="0.45">
      <c r="A4" s="21" t="s">
        <v>6</v>
      </c>
      <c r="B4" s="135">
        <v>525.30000000000007</v>
      </c>
      <c r="C4" s="136"/>
      <c r="E4" s="29" t="s">
        <v>64</v>
      </c>
      <c r="F4" s="26" t="s">
        <v>20</v>
      </c>
      <c r="G4" s="14">
        <v>26</v>
      </c>
      <c r="H4" s="92">
        <f>IF(B$19=0,0,G4/B$19)</f>
        <v>0.35135135135135137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6796</v>
      </c>
      <c r="P4" s="81">
        <v>25</v>
      </c>
      <c r="Q4" s="68">
        <v>169900</v>
      </c>
    </row>
    <row r="5" spans="1:17" x14ac:dyDescent="0.45">
      <c r="A5" s="21" t="s">
        <v>7</v>
      </c>
      <c r="B5" s="123">
        <f>IF(B$2=0,0,B$4/B$2)</f>
        <v>20.203846153846158</v>
      </c>
      <c r="C5" s="124"/>
      <c r="E5" s="29" t="s">
        <v>160</v>
      </c>
      <c r="F5" s="26" t="s">
        <v>161</v>
      </c>
      <c r="G5" s="14">
        <v>26</v>
      </c>
      <c r="H5" s="92">
        <f>IF(B$19=0,0,G5/B$19)</f>
        <v>0.35135135135135137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5415</v>
      </c>
      <c r="P5" s="81">
        <v>20</v>
      </c>
      <c r="Q5" s="68">
        <v>108300</v>
      </c>
    </row>
    <row r="6" spans="1:17" x14ac:dyDescent="0.45">
      <c r="A6" s="21" t="s">
        <v>1</v>
      </c>
      <c r="B6" s="137">
        <f>IF(B$2=0,0,(B$7*1+B$8*2+B$9*3)/B$2)</f>
        <v>1.6538461538461537</v>
      </c>
      <c r="C6" s="138"/>
      <c r="E6" s="29" t="s">
        <v>68</v>
      </c>
      <c r="F6" s="26" t="s">
        <v>12</v>
      </c>
      <c r="G6" s="14">
        <v>23</v>
      </c>
      <c r="H6" s="92">
        <f>IF(B$19=0,0,G6/B$19)</f>
        <v>0.3108108108108108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-1133.3333333333333</v>
      </c>
      <c r="P6" s="81">
        <v>18</v>
      </c>
      <c r="Q6" s="68">
        <v>-20400</v>
      </c>
    </row>
    <row r="7" spans="1:17" x14ac:dyDescent="0.45">
      <c r="A7" s="21" t="s">
        <v>2</v>
      </c>
      <c r="B7" s="14">
        <v>13</v>
      </c>
      <c r="C7" s="8">
        <f t="shared" ref="C7:C14" si="1">IF(B$2=0,0,B7/B$2)</f>
        <v>0.5</v>
      </c>
      <c r="E7" s="29" t="s">
        <v>67</v>
      </c>
      <c r="F7" s="26" t="s">
        <v>23</v>
      </c>
      <c r="G7" s="14">
        <v>14</v>
      </c>
      <c r="H7" s="92">
        <f>IF(B$19=0,0,G7/B$19)</f>
        <v>0.1891891891891892</v>
      </c>
      <c r="I7" s="60">
        <v>6</v>
      </c>
      <c r="K7" s="7">
        <v>5</v>
      </c>
      <c r="L7" s="65">
        <v>143.1</v>
      </c>
      <c r="N7" s="79" t="s">
        <v>133</v>
      </c>
      <c r="O7" s="85">
        <f t="shared" si="0"/>
        <v>-1064.2857142857142</v>
      </c>
      <c r="P7" s="82">
        <v>14</v>
      </c>
      <c r="Q7" s="69">
        <v>-14900</v>
      </c>
    </row>
    <row r="8" spans="1:17" x14ac:dyDescent="0.45">
      <c r="A8" s="21" t="s">
        <v>3</v>
      </c>
      <c r="B8" s="14">
        <v>9</v>
      </c>
      <c r="C8" s="8">
        <f t="shared" si="1"/>
        <v>0.34615384615384615</v>
      </c>
      <c r="E8" s="29" t="s">
        <v>89</v>
      </c>
      <c r="F8" s="26" t="s">
        <v>44</v>
      </c>
      <c r="G8" s="14">
        <v>13</v>
      </c>
      <c r="H8" s="92">
        <f>IF(B$19=0,0,G8/B$19)</f>
        <v>0.17567567567567569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0.15384615384615385</v>
      </c>
      <c r="E9" s="29" t="s">
        <v>69</v>
      </c>
      <c r="F9" s="26" t="s">
        <v>24</v>
      </c>
      <c r="G9" s="14">
        <v>11</v>
      </c>
      <c r="H9" s="92">
        <f>IF(B$19=0,0,G9/B$19)</f>
        <v>0.14864864864864866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50.153846153846153</v>
      </c>
      <c r="C10" s="114">
        <v>652</v>
      </c>
      <c r="E10" s="29" t="s">
        <v>86</v>
      </c>
      <c r="F10" s="26" t="s">
        <v>41</v>
      </c>
      <c r="G10" s="14">
        <v>8</v>
      </c>
      <c r="H10" s="92">
        <f>IF(B$19=0,0,G10/B$19)</f>
        <v>0.10810810810810811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4.5</v>
      </c>
      <c r="P10" s="80">
        <v>7</v>
      </c>
      <c r="Q10" s="71">
        <v>31.5</v>
      </c>
    </row>
    <row r="11" spans="1:17" x14ac:dyDescent="0.45">
      <c r="A11" s="22" t="s">
        <v>186</v>
      </c>
      <c r="B11" s="113">
        <f>IF(B8=0,0,C11/B8)</f>
        <v>2.2888888888888892</v>
      </c>
      <c r="C11" s="114">
        <v>20.6</v>
      </c>
      <c r="E11" s="29" t="s">
        <v>71</v>
      </c>
      <c r="F11" s="26" t="s">
        <v>26</v>
      </c>
      <c r="G11" s="14">
        <v>6</v>
      </c>
      <c r="H11" s="92">
        <f>IF(B$19=0,0,G11/B$19)</f>
        <v>8.1081081081081086E-2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27.024999999999999</v>
      </c>
      <c r="P11" s="81">
        <v>8</v>
      </c>
      <c r="Q11" s="72">
        <v>216.2</v>
      </c>
    </row>
    <row r="12" spans="1:17" x14ac:dyDescent="0.45">
      <c r="A12" s="22" t="s">
        <v>187</v>
      </c>
      <c r="B12" s="113">
        <f>IF(B9=0,0,C12/B9)</f>
        <v>-36.825000000000003</v>
      </c>
      <c r="C12" s="114">
        <v>-147.30000000000001</v>
      </c>
      <c r="E12" s="29" t="s">
        <v>83</v>
      </c>
      <c r="F12" s="26" t="s">
        <v>38</v>
      </c>
      <c r="G12" s="14">
        <v>6</v>
      </c>
      <c r="H12" s="92">
        <f>IF(B$19=0,0,G12/B$19)</f>
        <v>8.1081081081081086E-2</v>
      </c>
      <c r="I12" s="60">
        <v>2</v>
      </c>
      <c r="K12" s="7">
        <v>10</v>
      </c>
      <c r="L12" s="65">
        <v>229</v>
      </c>
      <c r="N12" s="79" t="s">
        <v>154</v>
      </c>
      <c r="O12" s="88">
        <f>IF(P12=0,0,Q12/P12)</f>
        <v>25.236363636363638</v>
      </c>
      <c r="P12" s="82">
        <v>11</v>
      </c>
      <c r="Q12" s="73">
        <v>277.60000000000002</v>
      </c>
    </row>
    <row r="13" spans="1:17" x14ac:dyDescent="0.45">
      <c r="A13" s="22" t="s">
        <v>188</v>
      </c>
      <c r="B13" s="123">
        <f>AVERAGE(B10:B12)</f>
        <v>5.2059116809116803</v>
      </c>
      <c r="C13" s="124"/>
      <c r="E13" s="29" t="s">
        <v>65</v>
      </c>
      <c r="F13" s="26" t="s">
        <v>21</v>
      </c>
      <c r="G13" s="14">
        <v>5</v>
      </c>
      <c r="H13" s="92">
        <f>IF(B$19=0,0,G13/B$19)</f>
        <v>6.7567567567567571E-2</v>
      </c>
      <c r="I13" s="60">
        <v>7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3</v>
      </c>
      <c r="H14" s="92">
        <f>IF(B$19=0,0,G14/B$19)</f>
        <v>4.0540540540540543E-2</v>
      </c>
      <c r="I14" s="60">
        <v>4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47</v>
      </c>
      <c r="C15" s="12">
        <f>IF(B$3=0,0,B15/B$3)</f>
        <v>0.24607329842931938</v>
      </c>
      <c r="E15" s="29" t="s">
        <v>92</v>
      </c>
      <c r="F15" s="26" t="s">
        <v>47</v>
      </c>
      <c r="G15" s="14">
        <v>3</v>
      </c>
      <c r="H15" s="92">
        <f>IF(B$19=0,0,G15/B$19)</f>
        <v>4.0540540540540543E-2</v>
      </c>
      <c r="I15" s="60">
        <v>1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41</v>
      </c>
      <c r="C16" s="8">
        <f>IF(B$3=0,0,B16/B$3)</f>
        <v>0.21465968586387435</v>
      </c>
      <c r="E16" s="29" t="s">
        <v>156</v>
      </c>
      <c r="F16" s="26" t="s">
        <v>157</v>
      </c>
      <c r="G16" s="14">
        <v>3</v>
      </c>
      <c r="H16" s="92">
        <f>IF(B$19=0,0,G16/B$19)</f>
        <v>4.0540540540540543E-2</v>
      </c>
      <c r="I16" s="60">
        <v>1</v>
      </c>
      <c r="K16" s="7">
        <v>14</v>
      </c>
      <c r="L16" s="65">
        <v>249.2</v>
      </c>
      <c r="N16" s="78" t="s">
        <v>193</v>
      </c>
      <c r="O16" s="87">
        <f>IF(P16=0,0,Q16/P16)</f>
        <v>40.874999999999993</v>
      </c>
      <c r="P16" s="81">
        <v>4</v>
      </c>
      <c r="Q16" s="72">
        <v>163.49999999999997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0.65957446808510634</v>
      </c>
      <c r="E17" s="29" t="s">
        <v>79</v>
      </c>
      <c r="F17" s="26" t="s">
        <v>34</v>
      </c>
      <c r="G17" s="14">
        <v>2</v>
      </c>
      <c r="H17" s="92">
        <f>IF(B$19=0,0,G17/B$19)</f>
        <v>2.7027027027027029E-2</v>
      </c>
      <c r="I17" s="60">
        <v>4</v>
      </c>
      <c r="K17" s="7">
        <v>15</v>
      </c>
      <c r="L17" s="65">
        <v>213.5</v>
      </c>
      <c r="N17" s="78" t="s">
        <v>196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0.56097560975609762</v>
      </c>
      <c r="E18" s="29" t="s">
        <v>93</v>
      </c>
      <c r="F18" s="26" t="s">
        <v>48</v>
      </c>
      <c r="G18" s="14">
        <v>2</v>
      </c>
      <c r="H18" s="92">
        <f>IF(B$19=0,0,G18/B$19)</f>
        <v>2.7027027027027029E-2</v>
      </c>
      <c r="I18" s="60">
        <v>1</v>
      </c>
      <c r="K18" s="7">
        <v>16</v>
      </c>
      <c r="L18" s="65">
        <v>273.8</v>
      </c>
      <c r="N18" s="78" t="s">
        <v>205</v>
      </c>
      <c r="O18" s="87">
        <f>IF(P18=0,0,Q18/P18)</f>
        <v>32.975000000000001</v>
      </c>
      <c r="P18" s="81">
        <v>8</v>
      </c>
      <c r="Q18" s="72">
        <v>263.8</v>
      </c>
    </row>
    <row r="19" spans="1:17" x14ac:dyDescent="0.45">
      <c r="A19" s="20" t="s">
        <v>10</v>
      </c>
      <c r="B19" s="13">
        <f>B22+B21</f>
        <v>74</v>
      </c>
      <c r="C19" s="6">
        <f>IF(B$3=0,0,B19/B$3)</f>
        <v>0.38743455497382201</v>
      </c>
      <c r="E19" s="29" t="s">
        <v>73</v>
      </c>
      <c r="F19" s="26" t="s">
        <v>28</v>
      </c>
      <c r="G19" s="14">
        <v>1</v>
      </c>
      <c r="H19" s="92">
        <f>IF(B$19=0,0,G19/B$19)</f>
        <v>1.3513513513513514E-2</v>
      </c>
      <c r="I19" s="60">
        <v>1</v>
      </c>
      <c r="K19" s="7">
        <v>17</v>
      </c>
      <c r="L19" s="65">
        <v>242.8</v>
      </c>
      <c r="N19" s="78" t="s">
        <v>192</v>
      </c>
      <c r="O19" s="87">
        <f>IF(P19=0,0,Q19/P19)</f>
        <v>30.606666666666666</v>
      </c>
      <c r="P19" s="81">
        <v>15</v>
      </c>
      <c r="Q19" s="72">
        <v>459.09999999999997</v>
      </c>
    </row>
    <row r="20" spans="1:17" x14ac:dyDescent="0.45">
      <c r="A20" s="21" t="s">
        <v>13</v>
      </c>
      <c r="B20" s="14">
        <v>23</v>
      </c>
      <c r="C20" s="8">
        <f>IF(B$3=0,0,B20/B$3)</f>
        <v>0.12041884816753927</v>
      </c>
      <c r="E20" s="29" t="s">
        <v>81</v>
      </c>
      <c r="F20" s="26" t="s">
        <v>36</v>
      </c>
      <c r="G20" s="14">
        <v>1</v>
      </c>
      <c r="H20" s="92">
        <f>IF(B$19=0,0,G20/B$19)</f>
        <v>1.3513513513513514E-2</v>
      </c>
      <c r="I20" s="60">
        <v>6</v>
      </c>
      <c r="K20" s="7">
        <v>18</v>
      </c>
      <c r="L20" s="65">
        <v>280</v>
      </c>
      <c r="N20" s="78" t="s">
        <v>189</v>
      </c>
      <c r="O20" s="87">
        <f>IF(P20=0,0,Q20/P20)</f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36</v>
      </c>
      <c r="C21" s="8">
        <f>IF(B$19=0,0,B21/B$19)</f>
        <v>0.48648648648648651</v>
      </c>
      <c r="E21" s="29" t="s">
        <v>87</v>
      </c>
      <c r="F21" s="26" t="s">
        <v>42</v>
      </c>
      <c r="G21" s="14">
        <v>1</v>
      </c>
      <c r="H21" s="92">
        <f>IF(B$19=0,0,G21/B$19)</f>
        <v>1.3513513513513514E-2</v>
      </c>
      <c r="I21" s="60">
        <v>2</v>
      </c>
      <c r="K21" s="7">
        <v>19</v>
      </c>
      <c r="L21" s="65">
        <v>281.5</v>
      </c>
      <c r="N21" s="78" t="s">
        <v>164</v>
      </c>
      <c r="O21" s="87">
        <f>IF(P21=0,0,Q21/P21)</f>
        <v>13.609090909090908</v>
      </c>
      <c r="P21" s="81">
        <v>11</v>
      </c>
      <c r="Q21" s="72">
        <v>149.69999999999999</v>
      </c>
    </row>
    <row r="22" spans="1:17" x14ac:dyDescent="0.45">
      <c r="A22" s="21" t="s">
        <v>11</v>
      </c>
      <c r="B22" s="14">
        <v>38</v>
      </c>
      <c r="C22" s="8">
        <f>IF(B$19=0,0,B22/B$19)</f>
        <v>0.51351351351351349</v>
      </c>
      <c r="E22" s="29" t="s">
        <v>91</v>
      </c>
      <c r="F22" s="26" t="s">
        <v>46</v>
      </c>
      <c r="G22" s="14">
        <v>1</v>
      </c>
      <c r="H22" s="92">
        <f>IF(B$19=0,0,G22/B$19)</f>
        <v>1.3513513513513514E-2</v>
      </c>
      <c r="I22" s="60">
        <v>5</v>
      </c>
      <c r="K22" s="7">
        <v>20</v>
      </c>
      <c r="L22" s="65">
        <v>287.2</v>
      </c>
    </row>
    <row r="23" spans="1:17" x14ac:dyDescent="0.45">
      <c r="A23" s="21" t="s">
        <v>184</v>
      </c>
      <c r="B23" s="14">
        <v>31</v>
      </c>
      <c r="C23" s="8">
        <f>IF(B$19=0,0,B23/B$19)</f>
        <v>0.41891891891891891</v>
      </c>
      <c r="E23" s="29" t="s">
        <v>95</v>
      </c>
      <c r="F23" s="26" t="s">
        <v>50</v>
      </c>
      <c r="G23" s="14">
        <v>1</v>
      </c>
      <c r="H23" s="92">
        <f>IF(B$19=0,0,G23/B$19)</f>
        <v>1.3513513513513514E-2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23</v>
      </c>
      <c r="C24" s="8">
        <f>IF(B$19=0,0,B24/B$19)</f>
        <v>0.3108108108108108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20</v>
      </c>
      <c r="C25" s="8">
        <f>IF(B$19=0,0,B25/B$19)</f>
        <v>0.27027027027027029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10679.72972972973</v>
      </c>
      <c r="C26" s="10">
        <v>790300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10958.823529411764</v>
      </c>
      <c r="C27" s="100">
        <v>558900</v>
      </c>
      <c r="E27" s="29" t="s">
        <v>77</v>
      </c>
      <c r="F27" s="26" t="s">
        <v>32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10060.869565217392</v>
      </c>
      <c r="C28" s="100">
        <v>231400</v>
      </c>
      <c r="E28" s="29" t="s">
        <v>78</v>
      </c>
      <c r="F28" s="26" t="s">
        <v>33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-8921.7391304347821</v>
      </c>
      <c r="C29" s="100">
        <v>-205200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11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5.4054054054054057E-2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0.12162162162162163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2"/>
        <v>0.16216216216216217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15</v>
      </c>
      <c r="C39" s="8">
        <f t="shared" si="2"/>
        <v>0.20270270270270271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14</v>
      </c>
      <c r="C40" s="8">
        <f t="shared" si="2"/>
        <v>0.1891891891891892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8.1081081081081086E-2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5</v>
      </c>
      <c r="C42" s="8">
        <f t="shared" si="2"/>
        <v>6.7567567567567571E-2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1.3513513513513514E-2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1.3513513513513514E-2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1.3513513513513514E-2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6</v>
      </c>
      <c r="C48" s="11">
        <f t="shared" si="2"/>
        <v>8.1081081081081086E-2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63E3A-96EC-4AB2-8F62-DBF2C8DF404A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14</v>
      </c>
      <c r="C2" s="132"/>
      <c r="E2" s="28" t="s">
        <v>64</v>
      </c>
      <c r="F2" s="25" t="s">
        <v>20</v>
      </c>
      <c r="G2" s="13">
        <v>9</v>
      </c>
      <c r="H2" s="91">
        <f>IF(B$19=0,0,G2/B$19)</f>
        <v>0.6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-6392.8571428571431</v>
      </c>
      <c r="P2" s="80">
        <v>14</v>
      </c>
      <c r="Q2" s="67">
        <v>-89500</v>
      </c>
    </row>
    <row r="3" spans="1:17" x14ac:dyDescent="0.45">
      <c r="A3" s="21" t="s">
        <v>8</v>
      </c>
      <c r="B3" s="133">
        <v>87</v>
      </c>
      <c r="C3" s="134"/>
      <c r="E3" s="29" t="s">
        <v>72</v>
      </c>
      <c r="F3" s="26" t="s">
        <v>27</v>
      </c>
      <c r="G3" s="14">
        <v>7</v>
      </c>
      <c r="H3" s="92">
        <f>IF(B$19=0,0,G3/B$19)</f>
        <v>0.46666666666666667</v>
      </c>
      <c r="I3" s="60">
        <v>8</v>
      </c>
      <c r="K3" s="7">
        <v>1</v>
      </c>
      <c r="L3" s="65">
        <v>-55.5</v>
      </c>
      <c r="N3" s="78" t="s">
        <v>129</v>
      </c>
      <c r="O3" s="84">
        <f t="shared" si="0"/>
        <v>-2300</v>
      </c>
      <c r="P3" s="81">
        <v>13</v>
      </c>
      <c r="Q3" s="68">
        <v>-29900</v>
      </c>
    </row>
    <row r="4" spans="1:17" x14ac:dyDescent="0.45">
      <c r="A4" s="21" t="s">
        <v>6</v>
      </c>
      <c r="B4" s="135">
        <v>-330.7</v>
      </c>
      <c r="C4" s="136"/>
      <c r="E4" s="29" t="s">
        <v>160</v>
      </c>
      <c r="F4" s="26" t="s">
        <v>161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-8558.3333333333339</v>
      </c>
      <c r="P4" s="81">
        <v>12</v>
      </c>
      <c r="Q4" s="68">
        <v>-102700</v>
      </c>
    </row>
    <row r="5" spans="1:17" x14ac:dyDescent="0.45">
      <c r="A5" s="21" t="s">
        <v>7</v>
      </c>
      <c r="B5" s="123">
        <f>IF(B$2=0,0,B$4/B$2)</f>
        <v>-23.62142857142857</v>
      </c>
      <c r="C5" s="124"/>
      <c r="E5" s="29" t="s">
        <v>66</v>
      </c>
      <c r="F5" s="26" t="s">
        <v>22</v>
      </c>
      <c r="G5" s="14">
        <v>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2325</v>
      </c>
      <c r="P5" s="81">
        <v>8</v>
      </c>
      <c r="Q5" s="68">
        <v>18600</v>
      </c>
    </row>
    <row r="6" spans="1:17" x14ac:dyDescent="0.45">
      <c r="A6" s="21" t="s">
        <v>1</v>
      </c>
      <c r="B6" s="137">
        <f>IF(B$2=0,0,(B$7*1+B$8*2+B$9*3)/B$2)</f>
        <v>2.5714285714285716</v>
      </c>
      <c r="C6" s="138"/>
      <c r="E6" s="29" t="s">
        <v>68</v>
      </c>
      <c r="F6" s="26" t="s">
        <v>12</v>
      </c>
      <c r="G6" s="14">
        <v>5</v>
      </c>
      <c r="H6" s="92">
        <f>IF(B$19=0,0,G6/B$19)</f>
        <v>0.33333333333333331</v>
      </c>
      <c r="I6" s="60">
        <v>1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4</v>
      </c>
      <c r="H7" s="92">
        <f>IF(B$19=0,0,G7/B$19)</f>
        <v>0.26666666666666666</v>
      </c>
      <c r="I7" s="60">
        <v>3</v>
      </c>
      <c r="K7" s="7">
        <v>5</v>
      </c>
      <c r="L7" s="65">
        <v>-116</v>
      </c>
      <c r="N7" s="79" t="s">
        <v>133</v>
      </c>
      <c r="O7" s="85">
        <f t="shared" si="0"/>
        <v>-2850</v>
      </c>
      <c r="P7" s="82">
        <v>6</v>
      </c>
      <c r="Q7" s="69">
        <v>-17100</v>
      </c>
    </row>
    <row r="8" spans="1:17" x14ac:dyDescent="0.45">
      <c r="A8" s="21" t="s">
        <v>3</v>
      </c>
      <c r="B8" s="14">
        <v>6</v>
      </c>
      <c r="C8" s="8">
        <f t="shared" si="1"/>
        <v>0.42857142857142855</v>
      </c>
      <c r="E8" s="29" t="s">
        <v>69</v>
      </c>
      <c r="F8" s="26" t="s">
        <v>24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0.5714285714285714</v>
      </c>
      <c r="E9" s="29" t="s">
        <v>65</v>
      </c>
      <c r="F9" s="26" t="s">
        <v>21</v>
      </c>
      <c r="G9" s="14">
        <v>1</v>
      </c>
      <c r="H9" s="92">
        <f>IF(B$19=0,0,G9/B$19)</f>
        <v>6.6666666666666666E-2</v>
      </c>
      <c r="I9" s="60">
        <v>8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6.6666666666666666E-2</v>
      </c>
      <c r="I10" s="60">
        <v>6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81</v>
      </c>
      <c r="F11" s="26" t="s">
        <v>36</v>
      </c>
      <c r="G11" s="14">
        <v>1</v>
      </c>
      <c r="H11" s="92">
        <f>IF(B$19=0,0,G11/B$19)</f>
        <v>6.6666666666666666E-2</v>
      </c>
      <c r="I11" s="60">
        <v>2</v>
      </c>
      <c r="K11" s="7">
        <v>9</v>
      </c>
      <c r="L11" s="65">
        <v>-172.39999999999998</v>
      </c>
      <c r="N11" s="78" t="s">
        <v>153</v>
      </c>
      <c r="O11" s="87">
        <f>IF(P11=0,0,Q11/P11)</f>
        <v>-13.616666666666667</v>
      </c>
      <c r="P11" s="81">
        <v>6</v>
      </c>
      <c r="Q11" s="72">
        <v>-81.7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87</v>
      </c>
      <c r="F12" s="26" t="s">
        <v>42</v>
      </c>
      <c r="G12" s="14">
        <v>1</v>
      </c>
      <c r="H12" s="92">
        <f>IF(B$19=0,0,G12/B$19)</f>
        <v>6.6666666666666666E-2</v>
      </c>
      <c r="I12" s="60">
        <v>1</v>
      </c>
      <c r="K12" s="7">
        <v>10</v>
      </c>
      <c r="L12" s="65">
        <v>-217.59999999999997</v>
      </c>
      <c r="N12" s="79" t="s">
        <v>154</v>
      </c>
      <c r="O12" s="88">
        <f>IF(P12=0,0,Q12/P12)</f>
        <v>-30.833333333333332</v>
      </c>
      <c r="P12" s="82">
        <v>3</v>
      </c>
      <c r="Q12" s="73">
        <v>-92.5</v>
      </c>
    </row>
    <row r="13" spans="1:17" x14ac:dyDescent="0.45">
      <c r="A13" s="22" t="s">
        <v>188</v>
      </c>
      <c r="B13" s="123">
        <f>AVERAGE(B10:B12)</f>
        <v>-13.972222222222223</v>
      </c>
      <c r="C13" s="124"/>
      <c r="E13" s="29" t="s">
        <v>91</v>
      </c>
      <c r="F13" s="26" t="s">
        <v>46</v>
      </c>
      <c r="G13" s="14">
        <v>1</v>
      </c>
      <c r="H13" s="92">
        <f>IF(B$19=0,0,G13/B$19)</f>
        <v>6.6666666666666666E-2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0.35714285714285715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26</v>
      </c>
      <c r="C15" s="12">
        <f>IF(B$3=0,0,B15/B$3)</f>
        <v>0.2988505747126437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K15" s="7">
        <v>13</v>
      </c>
      <c r="L15" s="65">
        <v>-280.59999999999997</v>
      </c>
      <c r="N15" s="77" t="s">
        <v>205</v>
      </c>
      <c r="O15" s="86">
        <f>IF(P15=0,0,Q15/P15)</f>
        <v>-3.3666666666666649</v>
      </c>
      <c r="P15" s="80">
        <v>3</v>
      </c>
      <c r="Q15" s="71">
        <v>-10.099999999999994</v>
      </c>
    </row>
    <row r="16" spans="1:17" x14ac:dyDescent="0.45">
      <c r="A16" s="21" t="s">
        <v>118</v>
      </c>
      <c r="B16" s="14">
        <v>10</v>
      </c>
      <c r="C16" s="8">
        <f>IF(B$3=0,0,B16/B$3)</f>
        <v>0.11494252873563218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K16" s="7">
        <v>14</v>
      </c>
      <c r="L16" s="65">
        <v>-330.7</v>
      </c>
      <c r="N16" s="78" t="s">
        <v>164</v>
      </c>
      <c r="O16" s="87">
        <f>IF(P16=0,0,Q16/P16)</f>
        <v>-5.5333333333333341</v>
      </c>
      <c r="P16" s="81">
        <v>3</v>
      </c>
      <c r="Q16" s="72">
        <v>-16.600000000000001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0.34615384615384615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192</v>
      </c>
      <c r="O17" s="87">
        <f>IF(P17=0,0,Q17/P17)</f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0.2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0.17241379310344829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126</v>
      </c>
      <c r="O19" s="87">
        <f>IF(P19=0,0,Q19/P19)</f>
        <v>-51.2</v>
      </c>
      <c r="P19" s="81">
        <v>8</v>
      </c>
      <c r="Q19" s="72">
        <v>-409.6</v>
      </c>
    </row>
    <row r="20" spans="1:17" x14ac:dyDescent="0.45">
      <c r="A20" s="21" t="s">
        <v>13</v>
      </c>
      <c r="B20" s="14">
        <v>13</v>
      </c>
      <c r="C20" s="8">
        <f>IF(B$3=0,0,B20/B$3)</f>
        <v>0.14942528735632185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6</v>
      </c>
      <c r="N20" s="78" t="s">
        <v>193</v>
      </c>
      <c r="O20" s="87">
        <f>IF(P20=0,0,Q20/P20)</f>
        <v>-70.36666666666666</v>
      </c>
      <c r="P20" s="81">
        <v>6</v>
      </c>
      <c r="Q20" s="72">
        <v>-422.2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2</v>
      </c>
      <c r="C24" s="8">
        <f>IF(B$19=0,0,B24/B$19)</f>
        <v>0.13333333333333333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4</v>
      </c>
      <c r="C25" s="8">
        <f>IF(B$19=0,0,B25/B$19)</f>
        <v>0.26666666666666666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6253.333333333333</v>
      </c>
      <c r="C26" s="10">
        <v>93800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6907.6923076923076</v>
      </c>
      <c r="C27" s="100">
        <v>89800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2000</v>
      </c>
      <c r="C28" s="100">
        <v>4000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-9046.1538461538457</v>
      </c>
      <c r="C29" s="100">
        <v>-117600</v>
      </c>
      <c r="E29" s="29" t="s">
        <v>89</v>
      </c>
      <c r="F29" s="26" t="s">
        <v>44</v>
      </c>
      <c r="G29" s="14">
        <v>0</v>
      </c>
      <c r="H29" s="92">
        <f>IF(B$19=0,0,G29/B$19)</f>
        <v>0</v>
      </c>
      <c r="I29" s="60">
        <v>8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46300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6.6666666666666666E-2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0.26666666666666666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6.6666666666666666E-2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0.13333333333333333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6.6666666666666666E-2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0731-F664-463E-B944-315C8947612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31</v>
      </c>
      <c r="H2" s="91">
        <f>IF(B$19=0,0,G2/B$19)</f>
        <v>0.60784313725490191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1620</v>
      </c>
      <c r="P2" s="80">
        <v>25</v>
      </c>
      <c r="Q2" s="67">
        <v>40500</v>
      </c>
    </row>
    <row r="3" spans="1:17" x14ac:dyDescent="0.45">
      <c r="A3" s="21" t="s">
        <v>8</v>
      </c>
      <c r="B3" s="133">
        <v>186</v>
      </c>
      <c r="C3" s="134"/>
      <c r="E3" s="29" t="s">
        <v>64</v>
      </c>
      <c r="F3" s="26" t="s">
        <v>20</v>
      </c>
      <c r="G3" s="14">
        <v>25</v>
      </c>
      <c r="H3" s="92">
        <f>IF(B$19=0,0,G3/B$19)</f>
        <v>0.49019607843137253</v>
      </c>
      <c r="I3" s="60">
        <v>5</v>
      </c>
      <c r="K3" s="7">
        <v>1</v>
      </c>
      <c r="L3" s="65">
        <v>-0.5</v>
      </c>
      <c r="N3" s="78" t="s">
        <v>129</v>
      </c>
      <c r="O3" s="84">
        <f t="shared" si="0"/>
        <v>-1496</v>
      </c>
      <c r="P3" s="81">
        <v>25</v>
      </c>
      <c r="Q3" s="68">
        <v>-37400</v>
      </c>
    </row>
    <row r="4" spans="1:17" x14ac:dyDescent="0.45">
      <c r="A4" s="21" t="s">
        <v>6</v>
      </c>
      <c r="B4" s="135">
        <v>-24.699999999999989</v>
      </c>
      <c r="C4" s="136"/>
      <c r="E4" s="29" t="s">
        <v>66</v>
      </c>
      <c r="F4" s="26" t="s">
        <v>22</v>
      </c>
      <c r="G4" s="14">
        <v>24</v>
      </c>
      <c r="H4" s="92">
        <f>IF(B$19=0,0,G4/B$19)</f>
        <v>0.47058823529411764</v>
      </c>
      <c r="I4" s="60">
        <v>7</v>
      </c>
      <c r="K4" s="7">
        <v>2</v>
      </c>
      <c r="L4" s="65">
        <v>-62.8</v>
      </c>
      <c r="N4" s="78" t="s">
        <v>130</v>
      </c>
      <c r="O4" s="84">
        <f t="shared" si="0"/>
        <v>-604</v>
      </c>
      <c r="P4" s="81">
        <v>25</v>
      </c>
      <c r="Q4" s="68">
        <v>-15100</v>
      </c>
    </row>
    <row r="5" spans="1:17" x14ac:dyDescent="0.45">
      <c r="A5" s="21" t="s">
        <v>7</v>
      </c>
      <c r="B5" s="123">
        <f>IF(B$2=0,0,B$4/B$2)</f>
        <v>-0.94999999999999951</v>
      </c>
      <c r="C5" s="124"/>
      <c r="E5" s="29" t="s">
        <v>160</v>
      </c>
      <c r="F5" s="26" t="s">
        <v>161</v>
      </c>
      <c r="G5" s="14">
        <v>22</v>
      </c>
      <c r="H5" s="92">
        <f>IF(B$19=0,0,G5/B$19)</f>
        <v>0.43137254901960786</v>
      </c>
      <c r="I5" s="60">
        <v>4</v>
      </c>
      <c r="K5" s="7">
        <v>3</v>
      </c>
      <c r="L5" s="65">
        <v>-48.5</v>
      </c>
      <c r="N5" s="78" t="s">
        <v>131</v>
      </c>
      <c r="O5" s="84">
        <f t="shared" si="0"/>
        <v>-395.45454545454544</v>
      </c>
      <c r="P5" s="81">
        <v>22</v>
      </c>
      <c r="Q5" s="68">
        <v>-8700</v>
      </c>
    </row>
    <row r="6" spans="1:17" x14ac:dyDescent="0.45">
      <c r="A6" s="21" t="s">
        <v>1</v>
      </c>
      <c r="B6" s="137">
        <f>IF(B$2=0,0,(B$7*1+B$8*2+B$9*3)/B$2)</f>
        <v>1.9230769230769231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0.31372549019607843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-1752.6315789473683</v>
      </c>
      <c r="P6" s="81">
        <v>19</v>
      </c>
      <c r="Q6" s="68">
        <v>-33300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0.30769230769230771</v>
      </c>
      <c r="E7" s="29" t="s">
        <v>67</v>
      </c>
      <c r="F7" s="26" t="s">
        <v>23</v>
      </c>
      <c r="G7" s="14">
        <v>14</v>
      </c>
      <c r="H7" s="92">
        <f>IF(B$19=0,0,G7/B$19)</f>
        <v>0.27450980392156865</v>
      </c>
      <c r="I7" s="60">
        <v>2</v>
      </c>
      <c r="K7" s="7">
        <v>5</v>
      </c>
      <c r="L7" s="65">
        <v>-96.5</v>
      </c>
      <c r="N7" s="79" t="s">
        <v>133</v>
      </c>
      <c r="O7" s="85">
        <f t="shared" si="0"/>
        <v>581.25</v>
      </c>
      <c r="P7" s="82">
        <v>16</v>
      </c>
      <c r="Q7" s="69">
        <v>9300</v>
      </c>
    </row>
    <row r="8" spans="1:17" x14ac:dyDescent="0.45">
      <c r="A8" s="21" t="s">
        <v>3</v>
      </c>
      <c r="B8" s="14">
        <v>12</v>
      </c>
      <c r="C8" s="8">
        <f t="shared" si="1"/>
        <v>0.46153846153846156</v>
      </c>
      <c r="E8" s="29" t="s">
        <v>89</v>
      </c>
      <c r="F8" s="26" t="s">
        <v>44</v>
      </c>
      <c r="G8" s="14">
        <v>8</v>
      </c>
      <c r="H8" s="92">
        <f>IF(B$19=0,0,G8/B$19)</f>
        <v>0.15686274509803921</v>
      </c>
      <c r="I8" s="60">
        <v>5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0.23076923076923078</v>
      </c>
      <c r="E9" s="29" t="s">
        <v>69</v>
      </c>
      <c r="F9" s="26" t="s">
        <v>24</v>
      </c>
      <c r="G9" s="14">
        <v>5</v>
      </c>
      <c r="H9" s="92">
        <f>IF(B$19=0,0,G9/B$19)</f>
        <v>9.8039215686274508E-2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34.65</v>
      </c>
      <c r="C10" s="114">
        <v>277.2</v>
      </c>
      <c r="E10" s="29" t="s">
        <v>65</v>
      </c>
      <c r="F10" s="26" t="s">
        <v>21</v>
      </c>
      <c r="G10" s="14">
        <v>4</v>
      </c>
      <c r="H10" s="92">
        <f>IF(B$19=0,0,G10/B$19)</f>
        <v>7.8431372549019607E-2</v>
      </c>
      <c r="I10" s="60">
        <v>6</v>
      </c>
      <c r="K10" s="7">
        <v>8</v>
      </c>
      <c r="L10" s="65">
        <v>-28.3</v>
      </c>
      <c r="N10" s="77" t="s">
        <v>152</v>
      </c>
      <c r="O10" s="86">
        <f>IF(P10=0,0,Q10/P10)</f>
        <v>-17.55</v>
      </c>
      <c r="P10" s="80">
        <v>8</v>
      </c>
      <c r="Q10" s="71">
        <v>-140.4</v>
      </c>
    </row>
    <row r="11" spans="1:17" x14ac:dyDescent="0.45">
      <c r="A11" s="22" t="s">
        <v>186</v>
      </c>
      <c r="B11" s="113">
        <f>IF(B8=0,0,C11/B8)</f>
        <v>-4.9083333333333323</v>
      </c>
      <c r="C11" s="114">
        <v>-58.899999999999991</v>
      </c>
      <c r="E11" s="29" t="s">
        <v>70</v>
      </c>
      <c r="F11" s="26" t="s">
        <v>25</v>
      </c>
      <c r="G11" s="14">
        <v>4</v>
      </c>
      <c r="H11" s="92">
        <f>IF(B$19=0,0,G11/B$19)</f>
        <v>7.8431372549019607E-2</v>
      </c>
      <c r="I11" s="60">
        <v>2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79</v>
      </c>
      <c r="F12" s="26" t="s">
        <v>34</v>
      </c>
      <c r="G12" s="14">
        <v>4</v>
      </c>
      <c r="H12" s="92">
        <f>IF(B$19=0,0,G12/B$19)</f>
        <v>7.8431372549019607E-2</v>
      </c>
      <c r="I12" s="60">
        <v>1</v>
      </c>
      <c r="K12" s="7">
        <v>10</v>
      </c>
      <c r="L12" s="65">
        <v>-14.9</v>
      </c>
      <c r="N12" s="79" t="s">
        <v>154</v>
      </c>
      <c r="O12" s="88">
        <f>IF(P12=0,0,Q12/P12)</f>
        <v>15.266666666666667</v>
      </c>
      <c r="P12" s="82">
        <v>9</v>
      </c>
      <c r="Q12" s="73">
        <v>137.4</v>
      </c>
    </row>
    <row r="13" spans="1:17" x14ac:dyDescent="0.45">
      <c r="A13" s="22" t="s">
        <v>188</v>
      </c>
      <c r="B13" s="123">
        <f>AVERAGE(B10:B12)</f>
        <v>-3.5861111111111108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5.8823529411764705E-2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7.6923076923076927E-2</v>
      </c>
      <c r="E14" s="29" t="s">
        <v>78</v>
      </c>
      <c r="F14" s="26" t="s">
        <v>33</v>
      </c>
      <c r="G14" s="14">
        <v>3</v>
      </c>
      <c r="H14" s="92">
        <f>IF(B$19=0,0,G14/B$19)</f>
        <v>5.8823529411764705E-2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51</v>
      </c>
      <c r="C15" s="12">
        <f>IF(B$3=0,0,B15/B$3)</f>
        <v>0.27419354838709675</v>
      </c>
      <c r="E15" s="29" t="s">
        <v>83</v>
      </c>
      <c r="F15" s="26" t="s">
        <v>38</v>
      </c>
      <c r="G15" s="14">
        <v>2</v>
      </c>
      <c r="H15" s="92">
        <f>IF(B$19=0,0,G15/B$19)</f>
        <v>3.9215686274509803E-2</v>
      </c>
      <c r="I15" s="60">
        <v>7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41</v>
      </c>
      <c r="C16" s="8">
        <f>IF(B$3=0,0,B16/B$3)</f>
        <v>0.22043010752688172</v>
      </c>
      <c r="E16" s="29" t="s">
        <v>81</v>
      </c>
      <c r="F16" s="26" t="s">
        <v>36</v>
      </c>
      <c r="G16" s="14">
        <v>1</v>
      </c>
      <c r="H16" s="92">
        <f>IF(B$19=0,0,G16/B$19)</f>
        <v>1.9607843137254902E-2</v>
      </c>
      <c r="I16" s="60">
        <v>5</v>
      </c>
      <c r="K16" s="7">
        <v>14</v>
      </c>
      <c r="L16" s="65">
        <v>-149.39999999999998</v>
      </c>
      <c r="N16" s="78" t="s">
        <v>196</v>
      </c>
      <c r="O16" s="87">
        <f>IF(P16=0,0,Q16/P16)</f>
        <v>19.850000000000001</v>
      </c>
      <c r="P16" s="81">
        <v>4</v>
      </c>
      <c r="Q16" s="72">
        <v>79.400000000000006</v>
      </c>
    </row>
    <row r="17" spans="1:17" x14ac:dyDescent="0.45">
      <c r="A17" s="20" t="s">
        <v>123</v>
      </c>
      <c r="B17" s="13">
        <f>B23</f>
        <v>28</v>
      </c>
      <c r="C17" s="6">
        <f>IF(B$15=0,0,B17/B$15)</f>
        <v>0.5490196078431373</v>
      </c>
      <c r="E17" s="29" t="s">
        <v>86</v>
      </c>
      <c r="F17" s="26" t="s">
        <v>41</v>
      </c>
      <c r="G17" s="14">
        <v>1</v>
      </c>
      <c r="H17" s="92">
        <f>IF(B$19=0,0,G17/B$19)</f>
        <v>1.9607843137254902E-2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>IF(P17=0,0,Q17/P17)</f>
        <v>16.157142857142858</v>
      </c>
      <c r="P17" s="81">
        <v>7</v>
      </c>
      <c r="Q17" s="72">
        <v>113.10000000000001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0.31707317073170732</v>
      </c>
      <c r="E18" s="29" t="s">
        <v>91</v>
      </c>
      <c r="F18" s="26" t="s">
        <v>46</v>
      </c>
      <c r="G18" s="14">
        <v>1</v>
      </c>
      <c r="H18" s="92">
        <f>IF(B$19=0,0,G18/B$19)</f>
        <v>1.9607843137254902E-2</v>
      </c>
      <c r="I18" s="60">
        <v>3</v>
      </c>
      <c r="K18" s="7">
        <v>16</v>
      </c>
      <c r="L18" s="65">
        <v>-141.29999999999998</v>
      </c>
      <c r="N18" s="78" t="s">
        <v>164</v>
      </c>
      <c r="O18" s="87">
        <f>IF(P18=0,0,Q18/P18)</f>
        <v>12.32</v>
      </c>
      <c r="P18" s="81">
        <v>10</v>
      </c>
      <c r="Q18" s="72">
        <v>123.2</v>
      </c>
    </row>
    <row r="19" spans="1:17" x14ac:dyDescent="0.45">
      <c r="A19" s="20" t="s">
        <v>10</v>
      </c>
      <c r="B19" s="13">
        <f>B22+B21</f>
        <v>51</v>
      </c>
      <c r="C19" s="6">
        <f>IF(B$3=0,0,B19/B$3)</f>
        <v>0.27419354838709675</v>
      </c>
      <c r="E19" s="29" t="s">
        <v>92</v>
      </c>
      <c r="F19" s="26" t="s">
        <v>47</v>
      </c>
      <c r="G19" s="14">
        <v>1</v>
      </c>
      <c r="H19" s="92">
        <f>IF(B$19=0,0,G19/B$19)</f>
        <v>1.9607843137254902E-2</v>
      </c>
      <c r="I19" s="60">
        <v>4</v>
      </c>
      <c r="K19" s="7">
        <v>17</v>
      </c>
      <c r="L19" s="65">
        <v>-149.1</v>
      </c>
      <c r="N19" s="78" t="s">
        <v>193</v>
      </c>
      <c r="O19" s="87">
        <f>IF(P19=0,0,Q19/P19)</f>
        <v>2.2800000000000038</v>
      </c>
      <c r="P19" s="81">
        <v>10</v>
      </c>
      <c r="Q19" s="72">
        <v>22.80000000000004</v>
      </c>
    </row>
    <row r="20" spans="1:17" x14ac:dyDescent="0.45">
      <c r="A20" s="21" t="s">
        <v>13</v>
      </c>
      <c r="B20" s="14">
        <v>24</v>
      </c>
      <c r="C20" s="8">
        <f>IF(B$3=0,0,B20/B$3)</f>
        <v>0.12903225806451613</v>
      </c>
      <c r="E20" s="29" t="s">
        <v>156</v>
      </c>
      <c r="F20" s="26" t="s">
        <v>157</v>
      </c>
      <c r="G20" s="14">
        <v>1</v>
      </c>
      <c r="H20" s="92">
        <f>IF(B$19=0,0,G20/B$19)</f>
        <v>1.9607843137254902E-2</v>
      </c>
      <c r="I20" s="60">
        <v>4</v>
      </c>
      <c r="K20" s="7">
        <v>18</v>
      </c>
      <c r="L20" s="65">
        <v>-201.89999999999998</v>
      </c>
      <c r="N20" s="78" t="s">
        <v>205</v>
      </c>
      <c r="O20" s="87">
        <f>IF(P20=0,0,Q20/P20)</f>
        <v>-8.1000000000000014</v>
      </c>
      <c r="P20" s="81">
        <v>3</v>
      </c>
      <c r="Q20" s="72">
        <v>-24.300000000000004</v>
      </c>
    </row>
    <row r="21" spans="1:17" x14ac:dyDescent="0.45">
      <c r="A21" s="21" t="s">
        <v>12</v>
      </c>
      <c r="B21" s="14">
        <v>20</v>
      </c>
      <c r="C21" s="8">
        <f>IF(B$19=0,0,B21/B$19)</f>
        <v>0.39215686274509803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  <c r="K21" s="7">
        <v>19</v>
      </c>
      <c r="L21" s="65">
        <v>-152.39999999999998</v>
      </c>
      <c r="N21" s="78" t="s">
        <v>126</v>
      </c>
      <c r="O21" s="87">
        <f>IF(P21=0,0,Q21/P21)</f>
        <v>-30.606666666666669</v>
      </c>
      <c r="P21" s="81">
        <v>15</v>
      </c>
      <c r="Q21" s="72">
        <v>-459.1</v>
      </c>
    </row>
    <row r="22" spans="1:17" x14ac:dyDescent="0.45">
      <c r="A22" s="21" t="s">
        <v>11</v>
      </c>
      <c r="B22" s="14">
        <v>31</v>
      </c>
      <c r="C22" s="8">
        <f>IF(B$19=0,0,B22/B$19)</f>
        <v>0.60784313725490191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28</v>
      </c>
      <c r="C23" s="8">
        <f>IF(B$19=0,0,B23/B$19)</f>
        <v>0.5490196078431373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13</v>
      </c>
      <c r="C24" s="8">
        <f>IF(B$19=0,0,B24/B$19)</f>
        <v>0.25490196078431371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10</v>
      </c>
      <c r="C25" s="8">
        <f>IF(B$19=0,0,B25/B$19)</f>
        <v>0.19607843137254902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8147.0588235294117</v>
      </c>
      <c r="C26" s="10">
        <v>415500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8444.7368421052633</v>
      </c>
      <c r="C27" s="100">
        <v>320900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7276.9230769230771</v>
      </c>
      <c r="C28" s="100">
        <v>94600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-7541.666666666667</v>
      </c>
      <c r="C29" s="100">
        <v>-181000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21</v>
      </c>
      <c r="C31" s="94">
        <v>11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6</v>
      </c>
      <c r="C36" s="102">
        <f t="shared" ref="C36:C48" si="2">IF(B$19=0,0,B36/B$19)</f>
        <v>0.11764705882352941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2"/>
        <v>0.11764705882352941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14</v>
      </c>
      <c r="C38" s="8">
        <f t="shared" si="2"/>
        <v>0.27450980392156865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2"/>
        <v>0.19607843137254902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7.8431372549019607E-2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3.9215686274509803E-2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5</v>
      </c>
      <c r="C42" s="8">
        <f t="shared" si="2"/>
        <v>9.8039215686274508E-2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1.9607843137254902E-2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1.9607843137254902E-2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1</v>
      </c>
      <c r="C46" s="8">
        <f t="shared" si="2"/>
        <v>1.9607843137254902E-2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1.9607843137254902E-2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08E6-DD78-4143-B6A3-6C3319C7E33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13</v>
      </c>
      <c r="C2" s="132"/>
      <c r="E2" s="28" t="s">
        <v>66</v>
      </c>
      <c r="F2" s="25" t="s">
        <v>22</v>
      </c>
      <c r="G2" s="13">
        <v>26</v>
      </c>
      <c r="H2" s="91">
        <f>IF(B$19=0,0,G2/B$19)</f>
        <v>0.83870967741935487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-3715.3846153846152</v>
      </c>
      <c r="P2" s="80">
        <v>13</v>
      </c>
      <c r="Q2" s="67">
        <v>-48300</v>
      </c>
    </row>
    <row r="3" spans="1:17" x14ac:dyDescent="0.45">
      <c r="A3" s="21" t="s">
        <v>8</v>
      </c>
      <c r="B3" s="133">
        <v>86</v>
      </c>
      <c r="C3" s="134"/>
      <c r="E3" s="29" t="s">
        <v>72</v>
      </c>
      <c r="F3" s="26" t="s">
        <v>27</v>
      </c>
      <c r="G3" s="14">
        <v>25</v>
      </c>
      <c r="H3" s="92">
        <f>IF(B$19=0,0,G3/B$19)</f>
        <v>0.80645161290322576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-1633.3333333333333</v>
      </c>
      <c r="P3" s="81">
        <v>12</v>
      </c>
      <c r="Q3" s="68">
        <v>-19600</v>
      </c>
    </row>
    <row r="4" spans="1:17" x14ac:dyDescent="0.45">
      <c r="A4" s="21" t="s">
        <v>6</v>
      </c>
      <c r="B4" s="135">
        <v>83.1</v>
      </c>
      <c r="C4" s="136"/>
      <c r="E4" s="29" t="s">
        <v>64</v>
      </c>
      <c r="F4" s="26" t="s">
        <v>20</v>
      </c>
      <c r="G4" s="14">
        <v>10</v>
      </c>
      <c r="H4" s="92">
        <f>IF(B$19=0,0,G4/B$19)</f>
        <v>0.32258064516129031</v>
      </c>
      <c r="I4" s="60">
        <v>8</v>
      </c>
      <c r="K4" s="7">
        <v>2</v>
      </c>
      <c r="L4" s="65">
        <v>137.5</v>
      </c>
      <c r="N4" s="78" t="s">
        <v>130</v>
      </c>
      <c r="O4" s="84">
        <f t="shared" si="0"/>
        <v>6016.666666666667</v>
      </c>
      <c r="P4" s="81">
        <v>12</v>
      </c>
      <c r="Q4" s="68">
        <v>72200</v>
      </c>
    </row>
    <row r="5" spans="1:17" x14ac:dyDescent="0.45">
      <c r="A5" s="21" t="s">
        <v>7</v>
      </c>
      <c r="B5" s="123">
        <f>IF(B$2=0,0,B$4/B$2)</f>
        <v>6.3923076923076918</v>
      </c>
      <c r="C5" s="124"/>
      <c r="E5" s="29" t="s">
        <v>67</v>
      </c>
      <c r="F5" s="26" t="s">
        <v>23</v>
      </c>
      <c r="G5" s="14">
        <v>7</v>
      </c>
      <c r="H5" s="92">
        <f>IF(B$19=0,0,G5/B$19)</f>
        <v>0.22580645161290322</v>
      </c>
      <c r="I5" s="60">
        <v>4</v>
      </c>
      <c r="K5" s="7">
        <v>3</v>
      </c>
      <c r="L5" s="65">
        <v>159</v>
      </c>
      <c r="N5" s="78" t="s">
        <v>131</v>
      </c>
      <c r="O5" s="84">
        <f t="shared" si="0"/>
        <v>-888.88888888888891</v>
      </c>
      <c r="P5" s="81">
        <v>9</v>
      </c>
      <c r="Q5" s="68">
        <v>-8000</v>
      </c>
    </row>
    <row r="6" spans="1:17" x14ac:dyDescent="0.45">
      <c r="A6" s="21" t="s">
        <v>1</v>
      </c>
      <c r="B6" s="137">
        <f>IF(B$2=0,0,(B$7*1+B$8*2+B$9*3)/B$2)</f>
        <v>1.8461538461538463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0.22580645161290322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4683.333333333333</v>
      </c>
      <c r="P6" s="81">
        <v>6</v>
      </c>
      <c r="Q6" s="68">
        <v>28100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0.53846153846153844</v>
      </c>
      <c r="E7" s="29" t="s">
        <v>69</v>
      </c>
      <c r="F7" s="26" t="s">
        <v>24</v>
      </c>
      <c r="G7" s="14">
        <v>4</v>
      </c>
      <c r="H7" s="92">
        <f>IF(B$19=0,0,G7/B$19)</f>
        <v>0.12903225806451613</v>
      </c>
      <c r="I7" s="60">
        <v>6</v>
      </c>
      <c r="K7" s="7">
        <v>5</v>
      </c>
      <c r="L7" s="65">
        <v>140.30000000000001</v>
      </c>
      <c r="N7" s="79" t="s">
        <v>133</v>
      </c>
      <c r="O7" s="85">
        <f t="shared" si="0"/>
        <v>633.33333333333337</v>
      </c>
      <c r="P7" s="82">
        <v>6</v>
      </c>
      <c r="Q7" s="69">
        <v>3800</v>
      </c>
    </row>
    <row r="8" spans="1:17" x14ac:dyDescent="0.45">
      <c r="A8" s="21" t="s">
        <v>3</v>
      </c>
      <c r="B8" s="14">
        <v>1</v>
      </c>
      <c r="C8" s="8">
        <f t="shared" si="1"/>
        <v>7.6923076923076927E-2</v>
      </c>
      <c r="E8" s="29" t="s">
        <v>89</v>
      </c>
      <c r="F8" s="26" t="s">
        <v>44</v>
      </c>
      <c r="G8" s="14">
        <v>4</v>
      </c>
      <c r="H8" s="92">
        <f>IF(B$19=0,0,G8/B$19)</f>
        <v>0.12903225806451613</v>
      </c>
      <c r="I8" s="60">
        <v>7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160</v>
      </c>
      <c r="F9" s="26" t="s">
        <v>161</v>
      </c>
      <c r="G9" s="14">
        <v>4</v>
      </c>
      <c r="H9" s="92">
        <f>IF(B$19=0,0,G9/B$19)</f>
        <v>0.12903225806451613</v>
      </c>
      <c r="I9" s="60">
        <v>9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40.18571428571429</v>
      </c>
      <c r="C10" s="114">
        <v>281.3</v>
      </c>
      <c r="E10" s="29" t="s">
        <v>83</v>
      </c>
      <c r="F10" s="26" t="s">
        <v>38</v>
      </c>
      <c r="G10" s="14">
        <v>3</v>
      </c>
      <c r="H10" s="92">
        <f>IF(B$19=0,0,G10/B$19)</f>
        <v>9.6774193548387094E-2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-20.725000000000001</v>
      </c>
      <c r="P10" s="80">
        <v>4</v>
      </c>
      <c r="Q10" s="71">
        <v>-82.9</v>
      </c>
    </row>
    <row r="11" spans="1:17" x14ac:dyDescent="0.45">
      <c r="A11" s="22" t="s">
        <v>186</v>
      </c>
      <c r="B11" s="113">
        <f>IF(B8=0,0,C11/B8)</f>
        <v>-12.6</v>
      </c>
      <c r="C11" s="114">
        <v>-12.6</v>
      </c>
      <c r="E11" s="29" t="s">
        <v>65</v>
      </c>
      <c r="F11" s="26" t="s">
        <v>21</v>
      </c>
      <c r="G11" s="14">
        <v>2</v>
      </c>
      <c r="H11" s="92">
        <f>IF(B$19=0,0,G11/B$19)</f>
        <v>6.4516129032258063E-2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-1.2000000000000011</v>
      </c>
      <c r="P11" s="81">
        <v>4</v>
      </c>
      <c r="Q11" s="72">
        <v>-4.8000000000000043</v>
      </c>
    </row>
    <row r="12" spans="1:17" x14ac:dyDescent="0.45">
      <c r="A12" s="22" t="s">
        <v>187</v>
      </c>
      <c r="B12" s="113">
        <f>IF(B9=0,0,C12/B9)</f>
        <v>-37.120000000000005</v>
      </c>
      <c r="C12" s="114">
        <v>-185.60000000000002</v>
      </c>
      <c r="E12" s="29" t="s">
        <v>78</v>
      </c>
      <c r="F12" s="26" t="s">
        <v>33</v>
      </c>
      <c r="G12" s="14">
        <v>2</v>
      </c>
      <c r="H12" s="92">
        <f>IF(B$19=0,0,G12/B$19)</f>
        <v>6.4516129032258063E-2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23">
        <f>AVERAGE(B10:B12)</f>
        <v>-3.1780952380952385</v>
      </c>
      <c r="C13" s="124"/>
      <c r="E13" s="29" t="s">
        <v>81</v>
      </c>
      <c r="F13" s="26" t="s">
        <v>36</v>
      </c>
      <c r="G13" s="14">
        <v>2</v>
      </c>
      <c r="H13" s="92">
        <f>IF(B$19=0,0,G13/B$19)</f>
        <v>6.4516129032258063E-2</v>
      </c>
      <c r="I13" s="60">
        <v>3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0.23076923076923078</v>
      </c>
      <c r="E14" s="29" t="s">
        <v>75</v>
      </c>
      <c r="F14" s="26" t="s">
        <v>30</v>
      </c>
      <c r="G14" s="14">
        <v>1</v>
      </c>
      <c r="H14" s="92">
        <f>IF(B$19=0,0,G14/B$19)</f>
        <v>3.2258064516129031E-2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0.18604651162790697</v>
      </c>
      <c r="E15" s="29" t="s">
        <v>102</v>
      </c>
      <c r="F15" s="26" t="s">
        <v>57</v>
      </c>
      <c r="G15" s="14">
        <v>1</v>
      </c>
      <c r="H15" s="92">
        <f>IF(B$19=0,0,G15/B$19)</f>
        <v>3.2258064516129031E-2</v>
      </c>
      <c r="I15" s="60">
        <v>1</v>
      </c>
      <c r="K15" s="7">
        <v>13</v>
      </c>
      <c r="L15" s="65">
        <v>83.1</v>
      </c>
      <c r="N15" s="77" t="s">
        <v>194</v>
      </c>
      <c r="O15" s="86">
        <f>IF(P15=0,0,Q15/P15)</f>
        <v>70.36666666666666</v>
      </c>
      <c r="P15" s="80">
        <v>6</v>
      </c>
      <c r="Q15" s="71">
        <v>422.2</v>
      </c>
    </row>
    <row r="16" spans="1:17" x14ac:dyDescent="0.45">
      <c r="A16" s="21" t="s">
        <v>118</v>
      </c>
      <c r="B16" s="14">
        <v>33</v>
      </c>
      <c r="C16" s="8">
        <f>IF(B$3=0,0,B16/B$3)</f>
        <v>0.38372093023255816</v>
      </c>
      <c r="E16" s="29" t="s">
        <v>70</v>
      </c>
      <c r="F16" s="26" t="s">
        <v>25</v>
      </c>
      <c r="G16" s="14">
        <v>0</v>
      </c>
      <c r="H16" s="92">
        <f>IF(B$19=0,0,G16/B$19)</f>
        <v>0</v>
      </c>
      <c r="I16" s="60">
        <v>6</v>
      </c>
      <c r="N16" s="78" t="s">
        <v>164</v>
      </c>
      <c r="O16" s="87">
        <f>IF(P16=0,0,Q16/P16)</f>
        <v>48.4</v>
      </c>
      <c r="P16" s="81">
        <v>1</v>
      </c>
      <c r="Q16" s="72">
        <v>48.4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8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0.42424242424242425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192</v>
      </c>
      <c r="O18" s="87">
        <f>IF(P18=0,0,Q18/P18)</f>
        <v>-2.2800000000000038</v>
      </c>
      <c r="P18" s="81">
        <v>10</v>
      </c>
      <c r="Q18" s="72">
        <v>-22.80000000000004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0.36046511627906974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-40.875</v>
      </c>
      <c r="P19" s="81">
        <v>4</v>
      </c>
      <c r="Q19" s="72">
        <v>-163.5</v>
      </c>
    </row>
    <row r="20" spans="1:17" x14ac:dyDescent="0.45">
      <c r="A20" s="21" t="s">
        <v>13</v>
      </c>
      <c r="B20" s="14">
        <v>11</v>
      </c>
      <c r="C20" s="8">
        <f>IF(B$3=0,0,B20/B$3)</f>
        <v>0.12790697674418605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189</v>
      </c>
      <c r="O20" s="87">
        <f>IF(P20=0,0,Q20/P20)</f>
        <v>-49.75</v>
      </c>
      <c r="P20" s="81">
        <v>2</v>
      </c>
      <c r="Q20" s="72">
        <v>-99.5</v>
      </c>
    </row>
    <row r="21" spans="1:17" x14ac:dyDescent="0.45">
      <c r="A21" s="21" t="s">
        <v>12</v>
      </c>
      <c r="B21" s="14">
        <v>15</v>
      </c>
      <c r="C21" s="8">
        <f>IF(B$19=0,0,B21/B$19)</f>
        <v>0.4838709677419355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16</v>
      </c>
      <c r="C22" s="8">
        <f>IF(B$19=0,0,B22/B$19)</f>
        <v>0.5161290322580645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5</v>
      </c>
    </row>
    <row r="23" spans="1:17" x14ac:dyDescent="0.45">
      <c r="A23" s="21" t="s">
        <v>184</v>
      </c>
      <c r="B23" s="14">
        <v>10</v>
      </c>
      <c r="C23" s="8">
        <f>IF(B$19=0,0,B23/B$19)</f>
        <v>0.32258064516129031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0.45161290322580644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0.22580645161290322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8300</v>
      </c>
      <c r="C26" s="10">
        <v>257300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9717.6470588235297</v>
      </c>
      <c r="C27" s="100">
        <v>165200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6578.5714285714284</v>
      </c>
      <c r="C28" s="100">
        <v>92100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-8509.0909090909099</v>
      </c>
      <c r="C29" s="100">
        <v>-93600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5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22</v>
      </c>
      <c r="C31" s="94">
        <v>22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6.4516129032258063E-2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8</v>
      </c>
      <c r="C37" s="8">
        <f t="shared" si="2"/>
        <v>0.25806451612903225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0.19354838709677419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0.16129032258064516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0.19354838709677419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3.2258064516129031E-2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1</v>
      </c>
      <c r="C42" s="8">
        <f t="shared" si="2"/>
        <v>3.2258064516129031E-2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3.2258064516129031E-2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3.2258064516129031E-2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005B6-C5D6-4840-8F42-8F5E7A3B3BAC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5</v>
      </c>
      <c r="Q2" s="67">
        <v>0</v>
      </c>
    </row>
    <row r="3" spans="1:17" x14ac:dyDescent="0.45">
      <c r="A3" s="21" t="s">
        <v>8</v>
      </c>
      <c r="B3" s="133">
        <v>34</v>
      </c>
      <c r="C3" s="134"/>
      <c r="E3" s="29" t="s">
        <v>68</v>
      </c>
      <c r="F3" s="26" t="s">
        <v>12</v>
      </c>
      <c r="G3" s="14">
        <v>2</v>
      </c>
      <c r="H3" s="92">
        <f>IF(B$19=0,0,G3/B$19)</f>
        <v>0.33333333333333331</v>
      </c>
      <c r="I3" s="60">
        <v>1</v>
      </c>
      <c r="K3" s="7">
        <v>1</v>
      </c>
      <c r="L3" s="65">
        <v>-30.5</v>
      </c>
      <c r="N3" s="78" t="s">
        <v>129</v>
      </c>
      <c r="O3" s="84">
        <f t="shared" si="0"/>
        <v>0</v>
      </c>
      <c r="P3" s="81">
        <v>5</v>
      </c>
      <c r="Q3" s="68">
        <v>0</v>
      </c>
    </row>
    <row r="4" spans="1:17" x14ac:dyDescent="0.45">
      <c r="A4" s="21" t="s">
        <v>6</v>
      </c>
      <c r="B4" s="135">
        <v>-64.400000000000006</v>
      </c>
      <c r="C4" s="136"/>
      <c r="E4" s="29" t="s">
        <v>72</v>
      </c>
      <c r="F4" s="26" t="s">
        <v>27</v>
      </c>
      <c r="G4" s="14">
        <v>2</v>
      </c>
      <c r="H4" s="92">
        <f>IF(B$19=0,0,G4/B$19)</f>
        <v>0.33333333333333331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-8580</v>
      </c>
      <c r="P4" s="81">
        <v>5</v>
      </c>
      <c r="Q4" s="68">
        <v>-42900</v>
      </c>
    </row>
    <row r="5" spans="1:17" x14ac:dyDescent="0.45">
      <c r="A5" s="21" t="s">
        <v>7</v>
      </c>
      <c r="B5" s="123">
        <f>IF(B$2=0,0,B$4/B$2)</f>
        <v>-12.88</v>
      </c>
      <c r="C5" s="124"/>
      <c r="E5" s="29" t="s">
        <v>160</v>
      </c>
      <c r="F5" s="26" t="s">
        <v>161</v>
      </c>
      <c r="G5" s="14">
        <v>2</v>
      </c>
      <c r="H5" s="92">
        <f>IF(B$19=0,0,G5/B$19)</f>
        <v>0.33333333333333331</v>
      </c>
      <c r="I5" s="60">
        <v>8</v>
      </c>
      <c r="K5" s="7">
        <v>3</v>
      </c>
      <c r="L5" s="65">
        <v>-41.400000000000006</v>
      </c>
      <c r="N5" s="78" t="s">
        <v>131</v>
      </c>
      <c r="O5" s="84">
        <f t="shared" si="0"/>
        <v>-4133.333333333333</v>
      </c>
      <c r="P5" s="81">
        <v>3</v>
      </c>
      <c r="Q5" s="68">
        <v>-12400</v>
      </c>
    </row>
    <row r="6" spans="1:17" x14ac:dyDescent="0.45">
      <c r="A6" s="21" t="s">
        <v>1</v>
      </c>
      <c r="B6" s="137">
        <f>IF(B$2=0,0,(B$7*1+B$8*2+B$9*3)/B$2)</f>
        <v>2.2000000000000002</v>
      </c>
      <c r="C6" s="138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2</v>
      </c>
      <c r="K6" s="7">
        <v>4</v>
      </c>
      <c r="L6" s="65">
        <v>-56.000000000000007</v>
      </c>
      <c r="N6" s="78" t="s">
        <v>132</v>
      </c>
      <c r="O6" s="84">
        <f t="shared" si="0"/>
        <v>4000</v>
      </c>
      <c r="P6" s="81">
        <v>2</v>
      </c>
      <c r="Q6" s="68">
        <v>8000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1</v>
      </c>
      <c r="H7" s="92">
        <f>IF(B$19=0,0,G7/B$19)</f>
        <v>0.16666666666666666</v>
      </c>
      <c r="I7" s="60">
        <v>9</v>
      </c>
      <c r="K7" s="7">
        <v>5</v>
      </c>
      <c r="L7" s="65">
        <v>-64.400000000000006</v>
      </c>
      <c r="N7" s="79" t="s">
        <v>133</v>
      </c>
      <c r="O7" s="85">
        <f t="shared" si="0"/>
        <v>-3550</v>
      </c>
      <c r="P7" s="82">
        <v>2</v>
      </c>
      <c r="Q7" s="69">
        <v>-7100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86</v>
      </c>
      <c r="F9" s="26" t="s">
        <v>41</v>
      </c>
      <c r="G9" s="14">
        <v>1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-14.6</v>
      </c>
      <c r="P10" s="80">
        <v>1</v>
      </c>
      <c r="Q10" s="71">
        <v>-14.6</v>
      </c>
    </row>
    <row r="11" spans="1:17" x14ac:dyDescent="0.45">
      <c r="A11" s="22" t="s">
        <v>186</v>
      </c>
      <c r="B11" s="113">
        <f>IF(B8=0,0,C11/B8)</f>
        <v>-12.9</v>
      </c>
      <c r="C11" s="114">
        <v>-51.6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-19.45</v>
      </c>
      <c r="P11" s="81">
        <v>2</v>
      </c>
      <c r="Q11" s="72">
        <v>-38.9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-8.5666666666666682</v>
      </c>
      <c r="C13" s="124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3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6</v>
      </c>
      <c r="C16" s="8">
        <f>IF(B$3=0,0,B16/B$3)</f>
        <v>0.17647058823529413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-19.849999999999998</v>
      </c>
      <c r="P16" s="81">
        <v>4</v>
      </c>
      <c r="Q16" s="72">
        <v>-79.399999999999991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193</v>
      </c>
      <c r="O17" s="87">
        <f>IF(P17=0,0,Q17/P17)</f>
        <v>-21.5</v>
      </c>
      <c r="P17" s="81">
        <v>3</v>
      </c>
      <c r="Q17" s="72">
        <v>-64.5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0.16666666666666666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-34.9</v>
      </c>
      <c r="P18" s="81">
        <v>2</v>
      </c>
      <c r="Q18" s="72">
        <v>-69.8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4</v>
      </c>
      <c r="C20" s="8">
        <f>IF(B$3=0,0,B20/B$3)</f>
        <v>0.11764705882352941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7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8</v>
      </c>
    </row>
    <row r="24" spans="1:17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4566.666666666667</v>
      </c>
      <c r="C26" s="10">
        <v>27400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5280</v>
      </c>
      <c r="C27" s="100">
        <v>26400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5">
      <c r="A29" s="22" t="s">
        <v>165</v>
      </c>
      <c r="B29" s="99">
        <f>IF(B$20=0,0,C29/B$20)</f>
        <v>-4400</v>
      </c>
      <c r="C29" s="100">
        <v>-17600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2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36900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0.33333333333333331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9D19-7287-4E19-AA2F-8E281EADEF50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66</v>
      </c>
      <c r="F2" s="25" t="s">
        <v>22</v>
      </c>
      <c r="G2" s="13">
        <v>19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7137.5</v>
      </c>
      <c r="P2" s="80">
        <v>8</v>
      </c>
      <c r="Q2" s="67">
        <v>57100</v>
      </c>
    </row>
    <row r="3" spans="1:17" x14ac:dyDescent="0.45">
      <c r="A3" s="21" t="s">
        <v>8</v>
      </c>
      <c r="B3" s="133">
        <v>59</v>
      </c>
      <c r="C3" s="134"/>
      <c r="E3" s="29" t="s">
        <v>72</v>
      </c>
      <c r="F3" s="26" t="s">
        <v>27</v>
      </c>
      <c r="G3" s="14">
        <v>13</v>
      </c>
      <c r="H3" s="92">
        <f>IF(B$19=0,0,G3/B$19)</f>
        <v>0.68421052631578949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-12112.5</v>
      </c>
      <c r="P3" s="81">
        <v>8</v>
      </c>
      <c r="Q3" s="68">
        <v>-96900</v>
      </c>
    </row>
    <row r="4" spans="1:17" x14ac:dyDescent="0.45">
      <c r="A4" s="21" t="s">
        <v>6</v>
      </c>
      <c r="B4" s="135">
        <v>-128.6</v>
      </c>
      <c r="C4" s="136"/>
      <c r="E4" s="29" t="s">
        <v>160</v>
      </c>
      <c r="F4" s="26" t="s">
        <v>161</v>
      </c>
      <c r="G4" s="14">
        <v>8</v>
      </c>
      <c r="H4" s="92">
        <f>IF(B$19=0,0,G4/B$19)</f>
        <v>0.42105263157894735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-3357.1428571428573</v>
      </c>
      <c r="P4" s="81">
        <v>7</v>
      </c>
      <c r="Q4" s="68">
        <v>-23500</v>
      </c>
    </row>
    <row r="5" spans="1:17" x14ac:dyDescent="0.45">
      <c r="A5" s="21" t="s">
        <v>7</v>
      </c>
      <c r="B5" s="123">
        <f>IF(B$2=0,0,B$4/B$2)</f>
        <v>-16.074999999999999</v>
      </c>
      <c r="C5" s="124"/>
      <c r="E5" s="29" t="s">
        <v>64</v>
      </c>
      <c r="F5" s="26" t="s">
        <v>20</v>
      </c>
      <c r="G5" s="14">
        <v>6</v>
      </c>
      <c r="H5" s="92">
        <f>IF(B$19=0,0,G5/B$19)</f>
        <v>0.31578947368421051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-4400</v>
      </c>
      <c r="P5" s="81">
        <v>5</v>
      </c>
      <c r="Q5" s="68">
        <v>-22000</v>
      </c>
    </row>
    <row r="6" spans="1:17" x14ac:dyDescent="0.45">
      <c r="A6" s="21" t="s">
        <v>1</v>
      </c>
      <c r="B6" s="137">
        <f>IF(B$2=0,0,(B$7*1+B$8*2+B$9*3)/B$2)</f>
        <v>2.5</v>
      </c>
      <c r="C6" s="138"/>
      <c r="E6" s="29" t="s">
        <v>68</v>
      </c>
      <c r="F6" s="26" t="s">
        <v>12</v>
      </c>
      <c r="G6" s="14">
        <v>5</v>
      </c>
      <c r="H6" s="92">
        <f>IF(B$19=0,0,G6/B$19)</f>
        <v>0.26315789473684209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2950</v>
      </c>
      <c r="P6" s="81">
        <v>4</v>
      </c>
      <c r="Q6" s="68">
        <v>11800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70</v>
      </c>
      <c r="F7" s="26" t="s">
        <v>25</v>
      </c>
      <c r="G7" s="14">
        <v>4</v>
      </c>
      <c r="H7" s="92">
        <f>IF(B$19=0,0,G7/B$19)</f>
        <v>0.21052631578947367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-3775</v>
      </c>
      <c r="P7" s="82">
        <v>4</v>
      </c>
      <c r="Q7" s="69">
        <v>-15100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89</v>
      </c>
      <c r="F8" s="26" t="s">
        <v>44</v>
      </c>
      <c r="G8" s="14">
        <v>4</v>
      </c>
      <c r="H8" s="92">
        <f>IF(B$19=0,0,G8/B$19)</f>
        <v>0.21052631578947367</v>
      </c>
      <c r="I8" s="60">
        <v>2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0.75</v>
      </c>
      <c r="E9" s="29" t="s">
        <v>65</v>
      </c>
      <c r="F9" s="26" t="s">
        <v>21</v>
      </c>
      <c r="G9" s="14">
        <v>3</v>
      </c>
      <c r="H9" s="92">
        <f>IF(B$19=0,0,G9/B$19)</f>
        <v>0.15789473684210525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67</v>
      </c>
      <c r="F10" s="26" t="s">
        <v>23</v>
      </c>
      <c r="G10" s="14">
        <v>3</v>
      </c>
      <c r="H10" s="92">
        <f>IF(B$19=0,0,G10/B$19)</f>
        <v>0.15789473684210525</v>
      </c>
      <c r="I10" s="60">
        <v>8</v>
      </c>
      <c r="K10" s="7">
        <v>8</v>
      </c>
      <c r="L10" s="65">
        <v>-128.6</v>
      </c>
      <c r="N10" s="77" t="s">
        <v>152</v>
      </c>
      <c r="O10" s="86">
        <f>IF(P10=0,0,Q10/P10)</f>
        <v>8.3000000000000007</v>
      </c>
      <c r="P10" s="80">
        <v>4</v>
      </c>
      <c r="Q10" s="71">
        <v>33.200000000000003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3</v>
      </c>
      <c r="H11" s="92">
        <f>IF(B$19=0,0,G11/B$19)</f>
        <v>0.15789473684210525</v>
      </c>
      <c r="I11" s="60">
        <v>2</v>
      </c>
      <c r="N11" s="78" t="s">
        <v>153</v>
      </c>
      <c r="O11" s="87">
        <f>IF(P11=0,0,Q11/P11)</f>
        <v>-31.7</v>
      </c>
      <c r="P11" s="81">
        <v>1</v>
      </c>
      <c r="Q11" s="72">
        <v>-31.7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71</v>
      </c>
      <c r="F12" s="26" t="s">
        <v>26</v>
      </c>
      <c r="G12" s="14">
        <v>2</v>
      </c>
      <c r="H12" s="92">
        <f>IF(B$19=0,0,G12/B$19)</f>
        <v>0.10526315789473684</v>
      </c>
      <c r="I12" s="60">
        <v>2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6.477777777777777</v>
      </c>
      <c r="C13" s="124"/>
      <c r="E13" s="29" t="s">
        <v>78</v>
      </c>
      <c r="F13" s="26" t="s">
        <v>33</v>
      </c>
      <c r="G13" s="14">
        <v>2</v>
      </c>
      <c r="H13" s="92">
        <f>IF(B$19=0,0,G13/B$19)</f>
        <v>0.10526315789473684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0.375</v>
      </c>
      <c r="E14" s="29" t="s">
        <v>83</v>
      </c>
      <c r="F14" s="26" t="s">
        <v>38</v>
      </c>
      <c r="G14" s="14">
        <v>1</v>
      </c>
      <c r="H14" s="92">
        <f>IF(B$19=0,0,G14/B$19)</f>
        <v>5.2631578947368418E-2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0.15254237288135594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22</v>
      </c>
      <c r="C16" s="8">
        <f>IF(B$3=0,0,B16/B$3)</f>
        <v>0.3728813559322034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0.77777777777777779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-32.975000000000001</v>
      </c>
      <c r="P17" s="81">
        <v>8</v>
      </c>
      <c r="Q17" s="72">
        <v>-263.8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0.22727272727272727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189</v>
      </c>
      <c r="O18" s="87">
        <f>IF(P18=0,0,Q18/P18)</f>
        <v>-57.7</v>
      </c>
      <c r="P18" s="81">
        <v>1</v>
      </c>
      <c r="Q18" s="72">
        <v>-57.7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0.32203389830508472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164</v>
      </c>
      <c r="O19" s="87">
        <f>IF(P19=0,0,Q19/P19)</f>
        <v>-98.7</v>
      </c>
      <c r="P19" s="81">
        <v>1</v>
      </c>
      <c r="Q19" s="72">
        <v>-98.7</v>
      </c>
    </row>
    <row r="20" spans="1:17" x14ac:dyDescent="0.45">
      <c r="A20" s="21" t="s">
        <v>13</v>
      </c>
      <c r="B20" s="14">
        <v>16</v>
      </c>
      <c r="C20" s="8">
        <f>IF(B$3=0,0,B20/B$3)</f>
        <v>0.2711864406779661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7</v>
      </c>
      <c r="C21" s="8">
        <f>IF(B$19=0,0,B21/B$19)</f>
        <v>0.36842105263157893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12</v>
      </c>
      <c r="C22" s="8">
        <f>IF(B$19=0,0,B22/B$19)</f>
        <v>0.63157894736842102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7</v>
      </c>
      <c r="C23" s="8">
        <f>IF(B$19=0,0,B23/B$19)</f>
        <v>0.36842105263157893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5</v>
      </c>
      <c r="C24" s="8">
        <f>IF(B$19=0,0,B24/B$19)</f>
        <v>0.26315789473684209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0.36842105263157893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9442.105263157895</v>
      </c>
      <c r="C26" s="10">
        <v>179400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166</v>
      </c>
      <c r="B27" s="99">
        <f>IF($B$19-B$18=0,0,C27/($B$19-B$18))</f>
        <v>8407.1428571428569</v>
      </c>
      <c r="C27" s="100">
        <v>117700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12340</v>
      </c>
      <c r="C28" s="100">
        <v>61700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-11700</v>
      </c>
      <c r="C29" s="100">
        <v>-187200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5.2631578947368418E-2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0.21052631578947367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0.15789473684210525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0.15789473684210525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5.2631578947368418E-2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1</v>
      </c>
      <c r="C46" s="8">
        <f t="shared" si="2"/>
        <v>5.2631578947368418E-2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A7236-3EE9-4487-BE01-16D1FCD3B28F}">
  <sheetPr codeName="Sheet22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A3C86-CD7F-4527-9DA1-EA33B2A0665B}">
  <sheetPr codeName="Sheet2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849FF-CFEC-4A85-BF04-C3E58E53B15D}">
  <sheetPr codeName="Sheet18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2E90D-67E0-4035-88F6-BA9B87E41F5C}">
  <sheetPr codeName="Sheet16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A5AE-36F7-4965-9F7B-B2E028926951}">
  <sheetPr codeName="Sheet14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C25E-5565-4E3B-90C7-0B0D1BC5E5B1}">
  <sheetPr codeName="Sheet12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DF660-B69D-4E3D-AAFC-3562C8C657D5}">
  <sheetPr codeName="Sheet10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59CC9-5207-4610-A8A6-677046CE0F69}">
  <sheetPr codeName="Sheet8"/>
  <dimension ref="A1:Q1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B43B9-D0BE-42FB-823F-323F6DFD1C30}">
  <sheetPr codeName="Sheet6"/>
  <dimension ref="A1:Q4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2020-04-10T02:57:13Z</dcterms:modified>
</cp:coreProperties>
</file>