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AC579854-9917-4452-B722-1E6FDB0F9CE2}" xr6:coauthVersionLast="44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6" r:id="rId6"/>
    <sheet name="れんたろう" sheetId="6248" r:id="rId7"/>
    <sheet name="ともき" sheetId="6250" r:id="rId8"/>
    <sheet name="だいち" sheetId="6252" r:id="rId9"/>
    <sheet name="りくと" sheetId="6254" r:id="rId10"/>
    <sheet name="まっつん" sheetId="6256" r:id="rId11"/>
    <sheet name="たかの" sheetId="6258" r:id="rId12"/>
    <sheet name="のり" sheetId="6260" r:id="rId13"/>
    <sheet name="ただ" sheetId="6262" r:id="rId14"/>
    <sheet name="ぱぱ" sheetId="6264" r:id="rId15"/>
    <sheet name="てんちゃん" sheetId="6266" r:id="rId16"/>
    <sheet name="てんちゃん2" sheetId="6267" state="hidden" r:id="rId17"/>
    <sheet name="ぱぱ2" sheetId="6265" state="hidden" r:id="rId18"/>
    <sheet name="ただ2" sheetId="6263" state="hidden" r:id="rId19"/>
    <sheet name="のり2" sheetId="6261" state="hidden" r:id="rId20"/>
    <sheet name="たかの2" sheetId="6259" state="hidden" r:id="rId21"/>
    <sheet name="まっつん2" sheetId="6257" state="hidden" r:id="rId22"/>
    <sheet name="りくと2" sheetId="6255" state="hidden" r:id="rId23"/>
    <sheet name="だいち2" sheetId="6253" state="hidden" r:id="rId24"/>
    <sheet name="ともき2" sheetId="6251" state="hidden" r:id="rId25"/>
    <sheet name="れんたろう2" sheetId="6249" state="hidden" r:id="rId26"/>
    <sheet name="全体2" sheetId="6247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15">てんちゃん!$B$19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15">てんちゃん!$C$19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15">てんちゃん!$B$25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15">てんちゃん!$C$25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15">てんちゃん!$B$34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15">てんちゃん!$C$34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15">てんちゃん!$B$21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15">てんちゃん!$C$21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15">てんちゃん!$B$7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15">てんちゃん!$C$7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15">てんちゃん!$B$13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15">てんちゃん!$B$14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15">てんちゃん!$C$14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15">てんちゃん!$B$9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15">てんちゃん!$C$9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15">てんちゃん!$B$23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15">てんちゃん!$C$23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15">てんちゃん!$B$15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15">てんちゃん!$B$17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15">てんちゃん!$C$17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15">てんちゃん!$C$15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15">てんちゃん!$B$22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15">てんちゃん!$C$22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15">てんちゃん!$B$10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15">てんちゃん!$C$10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15">てんちゃん!$B$36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15">てんちゃん!$C$36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15">てんちゃん!$C$30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15">てんちゃん!$C$31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15">てんちゃん!$B$33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15">てんちゃん!$B$32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15">てんちゃん!$B$33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15">てんちゃん!$B$12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15">てんちゃん!$C$12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15">てんちゃん!$B$3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15">てんちゃん!$B$2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15">てんちゃん!$C$26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15">てんちゃん!$B$4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15">てんちゃん!$C$28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15">てんちゃん!$C$29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15">てんちゃん!$C$27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15">てんちゃん!$B$11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15">てんちゃん!$B$8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15">てんちゃん!$C$11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15">てんちゃん!$C$8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15">てんちゃん!$B$24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15">てんちゃん!$B$28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15">てんちゃん!$C$24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15">てんちゃん!$B$16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15">てんちゃん!$B$18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15">てんちゃん!$C$18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15">てんちゃん!$C$16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15">てんちゃん!$B$26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15">てんちゃん!$B$5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15">てんちゃん!$B$6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15">てんちゃん!$B$29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15">てんちゃん!$B$20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15">てんちゃん!$C$20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15">てんちゃん!$B$1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15">てんちゃん!$B$27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15">てんちゃん!$B$30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15">てんちゃん!$B$31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6266" l="1"/>
  <c r="O15" i="6256"/>
  <c r="O16" i="6266" l="1"/>
  <c r="O16" i="6254"/>
  <c r="O15" i="6266"/>
  <c r="O17" i="6266"/>
  <c r="C39" i="6266"/>
  <c r="C34" i="6266"/>
  <c r="B29" i="6266"/>
  <c r="C20" i="6266"/>
  <c r="B19" i="6266"/>
  <c r="H50" i="6266" s="1"/>
  <c r="B18" i="6266"/>
  <c r="B28" i="6266" s="1"/>
  <c r="B17" i="6266"/>
  <c r="C17" i="6266" s="1"/>
  <c r="C16" i="6266"/>
  <c r="C15" i="6266"/>
  <c r="C14" i="6266"/>
  <c r="O12" i="6266"/>
  <c r="B12" i="6266"/>
  <c r="O11" i="6266"/>
  <c r="B11" i="6266"/>
  <c r="O10" i="6266"/>
  <c r="B10" i="6266"/>
  <c r="C9" i="6266"/>
  <c r="C8" i="6266"/>
  <c r="O7" i="6266"/>
  <c r="C7" i="6266"/>
  <c r="O6" i="6266"/>
  <c r="B6" i="6266"/>
  <c r="O5" i="6266"/>
  <c r="B5" i="6266"/>
  <c r="O4" i="6266"/>
  <c r="O3" i="6266"/>
  <c r="O2" i="6266"/>
  <c r="O17" i="6262"/>
  <c r="O15" i="6252"/>
  <c r="O15" i="6246"/>
  <c r="B26" i="6266" l="1"/>
  <c r="H19" i="6266"/>
  <c r="H4" i="6266"/>
  <c r="H21" i="6266"/>
  <c r="H7" i="6266"/>
  <c r="C42" i="6266"/>
  <c r="H43" i="6266"/>
  <c r="H13" i="6266"/>
  <c r="H44" i="6266"/>
  <c r="H8" i="6266"/>
  <c r="C36" i="6266"/>
  <c r="C21" i="6266"/>
  <c r="C46" i="6266"/>
  <c r="H10" i="6266"/>
  <c r="H22" i="6266"/>
  <c r="C22" i="6266"/>
  <c r="H37" i="6266"/>
  <c r="H16" i="6266"/>
  <c r="H9" i="6266"/>
  <c r="H30" i="6266"/>
  <c r="H31" i="6266"/>
  <c r="H11" i="6266"/>
  <c r="H2" i="6266"/>
  <c r="H15" i="6266"/>
  <c r="C24" i="6266"/>
  <c r="H38" i="6266"/>
  <c r="H47" i="6266"/>
  <c r="B27" i="6266"/>
  <c r="C38" i="6266"/>
  <c r="H17" i="6266"/>
  <c r="H39" i="6266"/>
  <c r="B13" i="6266"/>
  <c r="C18" i="6266"/>
  <c r="H33" i="6266"/>
  <c r="H48" i="6266"/>
  <c r="H25" i="6266"/>
  <c r="H20" i="6266"/>
  <c r="H34" i="6266"/>
  <c r="H41" i="6266"/>
  <c r="C48" i="6266"/>
  <c r="C25" i="6266"/>
  <c r="H6" i="6266"/>
  <c r="H3" i="6266"/>
  <c r="H12" i="6266"/>
  <c r="H14" i="6266"/>
  <c r="H26" i="6266"/>
  <c r="H42" i="6266"/>
  <c r="H49" i="6266"/>
  <c r="C44" i="6266"/>
  <c r="H51" i="6266"/>
  <c r="C23" i="6266"/>
  <c r="H28" i="6266"/>
  <c r="H35" i="6266"/>
  <c r="H40" i="6266"/>
  <c r="H45" i="6266"/>
  <c r="H5" i="6266"/>
  <c r="H18" i="6266"/>
  <c r="C19" i="6266"/>
  <c r="H24" i="6266"/>
  <c r="H29" i="6266"/>
  <c r="H36" i="6266"/>
  <c r="C40" i="6266"/>
  <c r="H46" i="6266"/>
  <c r="H52" i="6266"/>
  <c r="C43" i="6266"/>
  <c r="C47" i="6266"/>
  <c r="H23" i="6266"/>
  <c r="H27" i="6266"/>
  <c r="H32" i="6266"/>
  <c r="C37" i="6266"/>
  <c r="C41" i="6266"/>
  <c r="C45" i="6266"/>
  <c r="O15" i="6258"/>
  <c r="O20" i="6262"/>
  <c r="O20" i="6248" l="1"/>
  <c r="O16" i="6260"/>
  <c r="O15" i="6264" l="1"/>
  <c r="O16" i="6264"/>
  <c r="C34" i="6264"/>
  <c r="B29" i="6264"/>
  <c r="C20" i="6264"/>
  <c r="B19" i="6264"/>
  <c r="H7" i="6264" s="1"/>
  <c r="C18" i="6264"/>
  <c r="B18" i="6264"/>
  <c r="B17" i="6264"/>
  <c r="C17" i="6264" s="1"/>
  <c r="C16" i="6264"/>
  <c r="C15" i="6264"/>
  <c r="C14" i="6264"/>
  <c r="O12" i="6264"/>
  <c r="B12" i="6264"/>
  <c r="O11" i="6264"/>
  <c r="B11" i="6264"/>
  <c r="O10" i="6264"/>
  <c r="B10" i="6264"/>
  <c r="C9" i="6264"/>
  <c r="C8" i="6264"/>
  <c r="O7" i="6264"/>
  <c r="C7" i="6264"/>
  <c r="O6" i="6264"/>
  <c r="B6" i="6264"/>
  <c r="O5" i="6264"/>
  <c r="B5" i="6264"/>
  <c r="O4" i="6264"/>
  <c r="O3" i="6264"/>
  <c r="O2" i="6264"/>
  <c r="O22" i="6252"/>
  <c r="O16" i="6248"/>
  <c r="O18" i="6246"/>
  <c r="B13" i="6264" l="1"/>
  <c r="H5" i="6264"/>
  <c r="H10" i="6264"/>
  <c r="H36" i="6264"/>
  <c r="H2" i="6264"/>
  <c r="H6" i="6264"/>
  <c r="H9" i="6264"/>
  <c r="H17" i="6264"/>
  <c r="H19" i="6264"/>
  <c r="H12" i="6264"/>
  <c r="B27" i="6264"/>
  <c r="C19" i="6264"/>
  <c r="H38" i="6264"/>
  <c r="H11" i="6264"/>
  <c r="C24" i="6264"/>
  <c r="H4" i="6264"/>
  <c r="H15" i="6264"/>
  <c r="H33" i="6264"/>
  <c r="H44" i="6264"/>
  <c r="H8" i="6264"/>
  <c r="H18" i="6264"/>
  <c r="H20" i="6264"/>
  <c r="H21" i="6264"/>
  <c r="C21" i="6264"/>
  <c r="H3" i="6264"/>
  <c r="H16" i="6264"/>
  <c r="C25" i="6264"/>
  <c r="H40" i="6264"/>
  <c r="C23" i="6264"/>
  <c r="H31" i="6264"/>
  <c r="H37" i="6264"/>
  <c r="H48" i="6264"/>
  <c r="H41" i="6264"/>
  <c r="H45" i="6264"/>
  <c r="H49" i="6264"/>
  <c r="H42" i="6264"/>
  <c r="H46" i="6264"/>
  <c r="H51" i="6264"/>
  <c r="C22" i="6264"/>
  <c r="B26" i="6264"/>
  <c r="H39" i="6264"/>
  <c r="H43" i="6264"/>
  <c r="H47" i="6264"/>
  <c r="H52" i="6264"/>
  <c r="B28" i="6264"/>
  <c r="H23" i="6264"/>
  <c r="H25" i="6264"/>
  <c r="H13" i="6264"/>
  <c r="H28" i="6264"/>
  <c r="H29" i="6264"/>
  <c r="H32" i="6264"/>
  <c r="H35" i="6264"/>
  <c r="C37" i="6264"/>
  <c r="C39" i="6264"/>
  <c r="C41" i="6264"/>
  <c r="C43" i="6264"/>
  <c r="C45" i="6264"/>
  <c r="C47" i="6264"/>
  <c r="H50" i="6264"/>
  <c r="H22" i="6264"/>
  <c r="H24" i="6264"/>
  <c r="H26" i="6264"/>
  <c r="H27" i="6264"/>
  <c r="H14" i="6264"/>
  <c r="H30" i="6264"/>
  <c r="H34" i="6264"/>
  <c r="C36" i="6264"/>
  <c r="C38" i="6264"/>
  <c r="C40" i="6264"/>
  <c r="C42" i="6264"/>
  <c r="C44" i="6264"/>
  <c r="C46" i="6264"/>
  <c r="C48" i="6264"/>
  <c r="O17" i="6254" l="1"/>
  <c r="O16" i="6262"/>
  <c r="O16" i="6250"/>
  <c r="O19" i="6258"/>
  <c r="O21" i="6262" l="1"/>
  <c r="O15" i="6250"/>
  <c r="O18" i="6262"/>
  <c r="O17" i="6248"/>
  <c r="O16" i="6256" l="1"/>
  <c r="O17" i="6250"/>
  <c r="O21" i="6252"/>
  <c r="O19" i="6256"/>
  <c r="O19" i="6246"/>
  <c r="O19" i="6262"/>
  <c r="O15" i="6262"/>
  <c r="C34" i="6262"/>
  <c r="B29" i="6262"/>
  <c r="C20" i="6262"/>
  <c r="B19" i="6262"/>
  <c r="H4" i="6262" s="1"/>
  <c r="B18" i="6262"/>
  <c r="C18" i="6262" s="1"/>
  <c r="B17" i="6262"/>
  <c r="C17" i="6262" s="1"/>
  <c r="C16" i="6262"/>
  <c r="C15" i="6262"/>
  <c r="C14" i="6262"/>
  <c r="O12" i="6262"/>
  <c r="B12" i="6262"/>
  <c r="O11" i="6262"/>
  <c r="B11" i="6262"/>
  <c r="O10" i="6262"/>
  <c r="B10" i="6262"/>
  <c r="C9" i="6262"/>
  <c r="C8" i="6262"/>
  <c r="O7" i="6262"/>
  <c r="C7" i="6262"/>
  <c r="O6" i="6262"/>
  <c r="B6" i="6262"/>
  <c r="O5" i="6262"/>
  <c r="B5" i="6262"/>
  <c r="O4" i="6262"/>
  <c r="O3" i="6262"/>
  <c r="O2" i="6262"/>
  <c r="B13" i="6262" l="1"/>
  <c r="H23" i="6262"/>
  <c r="H9" i="6262"/>
  <c r="C22" i="6262"/>
  <c r="B26" i="6262"/>
  <c r="H39" i="6262"/>
  <c r="H43" i="6262"/>
  <c r="H47" i="6262"/>
  <c r="H52" i="6262"/>
  <c r="H11" i="6262"/>
  <c r="H6" i="6262"/>
  <c r="H12" i="6262"/>
  <c r="H20" i="6262"/>
  <c r="H21" i="6262"/>
  <c r="H14" i="6262"/>
  <c r="B27" i="6262"/>
  <c r="C19" i="6262"/>
  <c r="C23" i="6262"/>
  <c r="H36" i="6262"/>
  <c r="H40" i="6262"/>
  <c r="H44" i="6262"/>
  <c r="H48" i="6262"/>
  <c r="H7" i="6262"/>
  <c r="H19" i="6262"/>
  <c r="C24" i="6262"/>
  <c r="H18" i="6262"/>
  <c r="H37" i="6262"/>
  <c r="H41" i="6262"/>
  <c r="H45" i="6262"/>
  <c r="H49" i="6262"/>
  <c r="H5" i="6262"/>
  <c r="H2" i="6262"/>
  <c r="H10" i="6262"/>
  <c r="H3" i="6262"/>
  <c r="H17" i="6262"/>
  <c r="H22" i="6262"/>
  <c r="H24" i="6262"/>
  <c r="C21" i="6262"/>
  <c r="C25" i="6262"/>
  <c r="H33" i="6262"/>
  <c r="H38" i="6262"/>
  <c r="H42" i="6262"/>
  <c r="H46" i="6262"/>
  <c r="H51" i="6262"/>
  <c r="B28" i="6262"/>
  <c r="H25" i="6262"/>
  <c r="H26" i="6262"/>
  <c r="H13" i="6262"/>
  <c r="H29" i="6262"/>
  <c r="H30" i="6262"/>
  <c r="H32" i="6262"/>
  <c r="H35" i="6262"/>
  <c r="C37" i="6262"/>
  <c r="C39" i="6262"/>
  <c r="C41" i="6262"/>
  <c r="C43" i="6262"/>
  <c r="C45" i="6262"/>
  <c r="C47" i="6262"/>
  <c r="H50" i="6262"/>
  <c r="H16" i="6262"/>
  <c r="H15" i="6262"/>
  <c r="H27" i="6262"/>
  <c r="H28" i="6262"/>
  <c r="H8" i="6262"/>
  <c r="H31" i="6262"/>
  <c r="H34" i="6262"/>
  <c r="C36" i="6262"/>
  <c r="C38" i="6262"/>
  <c r="C40" i="6262"/>
  <c r="C42" i="6262"/>
  <c r="C44" i="6262"/>
  <c r="C46" i="6262"/>
  <c r="C48" i="6262"/>
  <c r="O18" i="6252" l="1"/>
  <c r="O21" i="6258"/>
  <c r="O21" i="6248"/>
  <c r="O18" i="6258"/>
  <c r="O20" i="6252" l="1"/>
  <c r="O19" i="6254"/>
  <c r="O22" i="6248"/>
  <c r="O18" i="6248"/>
  <c r="O15" i="6254"/>
  <c r="O20" i="6256"/>
  <c r="O17" i="6260" l="1"/>
  <c r="O19" i="6260"/>
  <c r="O22" i="6256"/>
  <c r="O21" i="6256"/>
  <c r="O16" i="6252"/>
  <c r="O19" i="6252"/>
  <c r="O17" i="6258"/>
  <c r="O15" i="6260"/>
  <c r="O18" i="6260"/>
  <c r="C34" i="6260"/>
  <c r="B29" i="6260"/>
  <c r="C20" i="6260"/>
  <c r="B19" i="6260"/>
  <c r="H4" i="6260" s="1"/>
  <c r="B18" i="6260"/>
  <c r="C18" i="6260" s="1"/>
  <c r="B17" i="6260"/>
  <c r="C17" i="6260" s="1"/>
  <c r="C16" i="6260"/>
  <c r="C15" i="6260"/>
  <c r="C14" i="6260"/>
  <c r="O12" i="6260"/>
  <c r="B12" i="6260"/>
  <c r="O11" i="6260"/>
  <c r="B11" i="6260"/>
  <c r="O10" i="6260"/>
  <c r="B10" i="6260"/>
  <c r="C9" i="6260"/>
  <c r="C8" i="6260"/>
  <c r="O7" i="6260"/>
  <c r="C7" i="6260"/>
  <c r="O6" i="6260"/>
  <c r="B6" i="6260"/>
  <c r="O5" i="6260"/>
  <c r="B5" i="6260"/>
  <c r="O4" i="6260"/>
  <c r="O3" i="6260"/>
  <c r="O2" i="6260"/>
  <c r="O20" i="6254"/>
  <c r="O22" i="6246"/>
  <c r="O20" i="6258"/>
  <c r="O16" i="6258"/>
  <c r="C34" i="6258"/>
  <c r="B29" i="6258"/>
  <c r="C20" i="6258"/>
  <c r="B19" i="6258"/>
  <c r="H52" i="6258" s="1"/>
  <c r="B18" i="6258"/>
  <c r="B28" i="6258" s="1"/>
  <c r="B17" i="6258"/>
  <c r="C17" i="6258" s="1"/>
  <c r="C16" i="6258"/>
  <c r="C15" i="6258"/>
  <c r="C14" i="6258"/>
  <c r="O12" i="6258"/>
  <c r="B12" i="6258"/>
  <c r="O11" i="6258"/>
  <c r="B11" i="6258"/>
  <c r="O10" i="6258"/>
  <c r="B10" i="6258"/>
  <c r="C9" i="6258"/>
  <c r="C8" i="6258"/>
  <c r="O7" i="6258"/>
  <c r="C7" i="6258"/>
  <c r="O6" i="6258"/>
  <c r="B6" i="6258"/>
  <c r="O5" i="6258"/>
  <c r="B5" i="6258"/>
  <c r="O4" i="6258"/>
  <c r="O3" i="6258"/>
  <c r="O2" i="6258"/>
  <c r="O18" i="6256"/>
  <c r="O17" i="6256"/>
  <c r="C34" i="6256"/>
  <c r="B29" i="6256"/>
  <c r="C20" i="6256"/>
  <c r="B19" i="6256"/>
  <c r="H52" i="6256" s="1"/>
  <c r="B18" i="6256"/>
  <c r="B28" i="6256" s="1"/>
  <c r="B17" i="6256"/>
  <c r="C17" i="6256" s="1"/>
  <c r="C16" i="6256"/>
  <c r="C15" i="6256"/>
  <c r="C14" i="6256"/>
  <c r="O12" i="6256"/>
  <c r="B12" i="6256"/>
  <c r="O11" i="6256"/>
  <c r="B11" i="6256"/>
  <c r="O10" i="6256"/>
  <c r="B10" i="6256"/>
  <c r="C9" i="6256"/>
  <c r="C8" i="6256"/>
  <c r="O7" i="6256"/>
  <c r="C7" i="6256"/>
  <c r="O6" i="6256"/>
  <c r="B6" i="6256"/>
  <c r="O5" i="6256"/>
  <c r="B5" i="6256"/>
  <c r="O4" i="6256"/>
  <c r="O3" i="6256"/>
  <c r="O2" i="6256"/>
  <c r="O17" i="6246"/>
  <c r="O21" i="6254"/>
  <c r="O18" i="6254"/>
  <c r="C34" i="6254"/>
  <c r="B29" i="6254"/>
  <c r="C20" i="6254"/>
  <c r="B19" i="6254"/>
  <c r="H52" i="6254" s="1"/>
  <c r="B18" i="6254"/>
  <c r="B28" i="6254" s="1"/>
  <c r="B17" i="6254"/>
  <c r="C17" i="6254" s="1"/>
  <c r="C16" i="6254"/>
  <c r="C15" i="6254"/>
  <c r="C14" i="6254"/>
  <c r="O12" i="6254"/>
  <c r="B12" i="6254"/>
  <c r="O11" i="6254"/>
  <c r="B11" i="6254"/>
  <c r="O10" i="6254"/>
  <c r="B10" i="6254"/>
  <c r="C9" i="6254"/>
  <c r="C8" i="6254"/>
  <c r="O7" i="6254"/>
  <c r="C7" i="6254"/>
  <c r="O6" i="6254"/>
  <c r="B6" i="6254"/>
  <c r="O5" i="6254"/>
  <c r="B5" i="6254"/>
  <c r="O4" i="6254"/>
  <c r="O3" i="6254"/>
  <c r="O2" i="6254"/>
  <c r="O23" i="6246"/>
  <c r="O20" i="6246"/>
  <c r="O17" i="6252"/>
  <c r="O23" i="6252"/>
  <c r="C34" i="6252"/>
  <c r="B29" i="6252"/>
  <c r="C20" i="6252"/>
  <c r="B19" i="6252"/>
  <c r="H5" i="6252" s="1"/>
  <c r="B18" i="6252"/>
  <c r="C18" i="6252" s="1"/>
  <c r="B17" i="6252"/>
  <c r="C17" i="6252" s="1"/>
  <c r="C16" i="6252"/>
  <c r="C15" i="6252"/>
  <c r="C14" i="6252"/>
  <c r="O12" i="6252"/>
  <c r="B12" i="6252"/>
  <c r="O11" i="6252"/>
  <c r="B11" i="6252"/>
  <c r="O10" i="6252"/>
  <c r="B10" i="6252"/>
  <c r="C9" i="6252"/>
  <c r="C8" i="6252"/>
  <c r="O7" i="6252"/>
  <c r="C7" i="6252"/>
  <c r="O6" i="6252"/>
  <c r="B6" i="6252"/>
  <c r="O5" i="6252"/>
  <c r="B5" i="6252"/>
  <c r="O4" i="6252"/>
  <c r="O3" i="6252"/>
  <c r="O2" i="6252"/>
  <c r="O18" i="6250"/>
  <c r="O19" i="6250"/>
  <c r="C34" i="6250"/>
  <c r="B29" i="6250"/>
  <c r="C20" i="6250"/>
  <c r="B19" i="6250"/>
  <c r="H5" i="6250" s="1"/>
  <c r="B18" i="6250"/>
  <c r="C18" i="6250" s="1"/>
  <c r="B17" i="6250"/>
  <c r="C17" i="6250" s="1"/>
  <c r="C16" i="6250"/>
  <c r="C15" i="6250"/>
  <c r="C14" i="6250"/>
  <c r="O12" i="6250"/>
  <c r="B12" i="6250"/>
  <c r="O11" i="6250"/>
  <c r="B11" i="6250"/>
  <c r="O10" i="6250"/>
  <c r="B10" i="6250"/>
  <c r="C9" i="6250"/>
  <c r="C8" i="6250"/>
  <c r="O7" i="6250"/>
  <c r="C7" i="6250"/>
  <c r="O6" i="6250"/>
  <c r="B6" i="6250"/>
  <c r="O5" i="6250"/>
  <c r="B5" i="6250"/>
  <c r="O4" i="6250"/>
  <c r="O3" i="6250"/>
  <c r="O2" i="6250"/>
  <c r="O21" i="6246"/>
  <c r="O19" i="6248"/>
  <c r="O15" i="6248"/>
  <c r="C34" i="6248"/>
  <c r="B29" i="6248"/>
  <c r="C20" i="6248"/>
  <c r="B19" i="6248"/>
  <c r="H5" i="6248" s="1"/>
  <c r="B18" i="6248"/>
  <c r="C18" i="6248" s="1"/>
  <c r="B17" i="6248"/>
  <c r="C17" i="6248" s="1"/>
  <c r="C16" i="6248"/>
  <c r="C15" i="6248"/>
  <c r="C14" i="6248"/>
  <c r="O12" i="6248"/>
  <c r="B12" i="6248"/>
  <c r="O11" i="6248"/>
  <c r="B11" i="6248"/>
  <c r="O10" i="6248"/>
  <c r="B10" i="6248"/>
  <c r="C9" i="6248"/>
  <c r="C8" i="6248"/>
  <c r="O7" i="6248"/>
  <c r="C7" i="6248"/>
  <c r="O6" i="6248"/>
  <c r="B6" i="6248"/>
  <c r="O5" i="6248"/>
  <c r="B5" i="6248"/>
  <c r="O4" i="6248"/>
  <c r="O3" i="6248"/>
  <c r="O2" i="6248"/>
  <c r="O24" i="6246"/>
  <c r="O16" i="6246"/>
  <c r="C34" i="6246"/>
  <c r="B29" i="6246"/>
  <c r="C20" i="6246"/>
  <c r="B19" i="6246"/>
  <c r="H5" i="6246" s="1"/>
  <c r="B18" i="6246"/>
  <c r="C18" i="6246" s="1"/>
  <c r="B17" i="6246"/>
  <c r="C17" i="6246" s="1"/>
  <c r="C16" i="6246"/>
  <c r="C15" i="6246"/>
  <c r="C14" i="6246"/>
  <c r="O12" i="6246"/>
  <c r="B12" i="6246"/>
  <c r="O11" i="6246"/>
  <c r="B11" i="6246"/>
  <c r="O10" i="6246"/>
  <c r="B10" i="6246"/>
  <c r="C9" i="6246"/>
  <c r="C8" i="6246"/>
  <c r="O7" i="6246"/>
  <c r="C7" i="6246"/>
  <c r="O6" i="6246"/>
  <c r="B6" i="6246"/>
  <c r="O5" i="6246"/>
  <c r="B5" i="6246"/>
  <c r="O4" i="6246"/>
  <c r="O3" i="6246"/>
  <c r="O2" i="6246"/>
  <c r="H2" i="6260" l="1"/>
  <c r="H17" i="6260"/>
  <c r="B13" i="6258"/>
  <c r="B13" i="6250"/>
  <c r="H8" i="6258"/>
  <c r="B13" i="6248"/>
  <c r="C18" i="6256"/>
  <c r="H10" i="6254"/>
  <c r="H5" i="6254"/>
  <c r="H7" i="6254"/>
  <c r="H16" i="6254"/>
  <c r="C18" i="6254"/>
  <c r="H3" i="6254"/>
  <c r="H23" i="6254"/>
  <c r="H2" i="6254"/>
  <c r="H9" i="6254"/>
  <c r="H21" i="6254"/>
  <c r="B13" i="6254"/>
  <c r="C25" i="6254"/>
  <c r="H24" i="6254"/>
  <c r="C19" i="6254"/>
  <c r="H11" i="6254"/>
  <c r="H6" i="6254"/>
  <c r="H13" i="6254"/>
  <c r="H20" i="6254"/>
  <c r="H22" i="6254"/>
  <c r="H14" i="6254"/>
  <c r="C21" i="6254"/>
  <c r="C23" i="6254"/>
  <c r="H18" i="6248"/>
  <c r="H10" i="6248"/>
  <c r="H7" i="6250"/>
  <c r="H10" i="6250"/>
  <c r="H20" i="6250"/>
  <c r="B13" i="6252"/>
  <c r="H21" i="6260"/>
  <c r="H14" i="6260"/>
  <c r="H48" i="6260"/>
  <c r="C21" i="6260"/>
  <c r="H36" i="6260"/>
  <c r="H7" i="6260"/>
  <c r="H15" i="6260"/>
  <c r="H16" i="6260"/>
  <c r="H18" i="6260"/>
  <c r="H19" i="6260"/>
  <c r="B27" i="6260"/>
  <c r="C19" i="6260"/>
  <c r="H40" i="6260"/>
  <c r="H6" i="6260"/>
  <c r="H20" i="6260"/>
  <c r="C25" i="6260"/>
  <c r="H3" i="6260"/>
  <c r="H12" i="6260"/>
  <c r="H33" i="6260"/>
  <c r="H44" i="6260"/>
  <c r="B13" i="6256"/>
  <c r="H9" i="6256"/>
  <c r="H20" i="6256"/>
  <c r="B13" i="6260"/>
  <c r="C23" i="6260"/>
  <c r="H42" i="6260"/>
  <c r="H51" i="6260"/>
  <c r="H9" i="6260"/>
  <c r="H5" i="6260"/>
  <c r="H8" i="6260"/>
  <c r="H38" i="6260"/>
  <c r="H46" i="6260"/>
  <c r="C22" i="6260"/>
  <c r="B26" i="6260"/>
  <c r="H39" i="6260"/>
  <c r="H43" i="6260"/>
  <c r="H47" i="6260"/>
  <c r="H52" i="6260"/>
  <c r="H13" i="6260"/>
  <c r="C24" i="6260"/>
  <c r="H31" i="6260"/>
  <c r="H37" i="6260"/>
  <c r="H41" i="6260"/>
  <c r="H45" i="6260"/>
  <c r="H49" i="6260"/>
  <c r="H17" i="6252"/>
  <c r="B28" i="6260"/>
  <c r="H23" i="6260"/>
  <c r="H25" i="6260"/>
  <c r="H10" i="6260"/>
  <c r="H28" i="6260"/>
  <c r="H29" i="6260"/>
  <c r="H32" i="6260"/>
  <c r="H35" i="6260"/>
  <c r="C37" i="6260"/>
  <c r="C39" i="6260"/>
  <c r="C41" i="6260"/>
  <c r="C43" i="6260"/>
  <c r="C45" i="6260"/>
  <c r="C47" i="6260"/>
  <c r="H50" i="6260"/>
  <c r="H22" i="6260"/>
  <c r="H24" i="6260"/>
  <c r="H26" i="6260"/>
  <c r="H27" i="6260"/>
  <c r="H11" i="6260"/>
  <c r="H30" i="6260"/>
  <c r="H34" i="6260"/>
  <c r="C36" i="6260"/>
  <c r="C38" i="6260"/>
  <c r="C40" i="6260"/>
  <c r="C42" i="6260"/>
  <c r="C44" i="6260"/>
  <c r="C46" i="6260"/>
  <c r="C48" i="6260"/>
  <c r="H6" i="6258"/>
  <c r="H16" i="6258"/>
  <c r="H11" i="6258"/>
  <c r="H20" i="6258"/>
  <c r="H26" i="6258"/>
  <c r="C18" i="6258"/>
  <c r="H14" i="6258"/>
  <c r="H19" i="6258"/>
  <c r="H17" i="6258"/>
  <c r="H7" i="6258"/>
  <c r="H24" i="6258"/>
  <c r="H25" i="6258"/>
  <c r="H15" i="6258"/>
  <c r="C19" i="6258"/>
  <c r="H5" i="6258"/>
  <c r="H2" i="6258"/>
  <c r="H13" i="6258"/>
  <c r="H3" i="6258"/>
  <c r="H27" i="6258"/>
  <c r="H28" i="6258"/>
  <c r="H21" i="6258"/>
  <c r="H22" i="6258"/>
  <c r="H30" i="6258"/>
  <c r="H33" i="6258"/>
  <c r="H36" i="6258"/>
  <c r="C37" i="6258"/>
  <c r="C39" i="6258"/>
  <c r="C41" i="6258"/>
  <c r="C43" i="6258"/>
  <c r="C45" i="6258"/>
  <c r="C47" i="6258"/>
  <c r="H50" i="6258"/>
  <c r="C21" i="6258"/>
  <c r="C23" i="6258"/>
  <c r="C25" i="6258"/>
  <c r="B27" i="6258"/>
  <c r="H34" i="6258"/>
  <c r="H37" i="6258"/>
  <c r="H39" i="6258"/>
  <c r="H41" i="6258"/>
  <c r="H42" i="6258"/>
  <c r="H44" i="6258"/>
  <c r="H46" i="6258"/>
  <c r="H48" i="6258"/>
  <c r="H51" i="6258"/>
  <c r="H12" i="6258"/>
  <c r="H9" i="6258"/>
  <c r="H18" i="6258"/>
  <c r="H29" i="6258"/>
  <c r="H10" i="6258"/>
  <c r="H31" i="6258"/>
  <c r="H35" i="6258"/>
  <c r="C36" i="6258"/>
  <c r="C38" i="6258"/>
  <c r="C40" i="6258"/>
  <c r="C42" i="6258"/>
  <c r="C44" i="6258"/>
  <c r="C46" i="6258"/>
  <c r="C48" i="6258"/>
  <c r="H4" i="6258"/>
  <c r="C22" i="6258"/>
  <c r="C24" i="6258"/>
  <c r="B26" i="6258"/>
  <c r="H32" i="6258"/>
  <c r="H38" i="6258"/>
  <c r="H40" i="6258"/>
  <c r="H23" i="6258"/>
  <c r="H43" i="6258"/>
  <c r="H45" i="6258"/>
  <c r="H47" i="6258"/>
  <c r="H49" i="6258"/>
  <c r="H10" i="6256"/>
  <c r="H7" i="6256"/>
  <c r="H12" i="6256"/>
  <c r="H25" i="6256"/>
  <c r="H6" i="6256"/>
  <c r="H24" i="6256"/>
  <c r="H14" i="6256"/>
  <c r="C19" i="6256"/>
  <c r="H4" i="6256"/>
  <c r="H3" i="6256"/>
  <c r="H11" i="6256"/>
  <c r="H2" i="6256"/>
  <c r="H28" i="6256"/>
  <c r="H29" i="6256"/>
  <c r="H18" i="6256"/>
  <c r="H31" i="6256"/>
  <c r="H32" i="6256"/>
  <c r="H33" i="6256"/>
  <c r="H36" i="6256"/>
  <c r="C37" i="6256"/>
  <c r="C39" i="6256"/>
  <c r="C41" i="6256"/>
  <c r="C43" i="6256"/>
  <c r="C45" i="6256"/>
  <c r="C47" i="6256"/>
  <c r="H51" i="6256"/>
  <c r="H26" i="6256"/>
  <c r="H15" i="6256"/>
  <c r="C21" i="6256"/>
  <c r="C23" i="6256"/>
  <c r="C25" i="6256"/>
  <c r="B27" i="6256"/>
  <c r="H34" i="6256"/>
  <c r="H37" i="6256"/>
  <c r="H39" i="6256"/>
  <c r="H41" i="6256"/>
  <c r="H43" i="6256"/>
  <c r="H45" i="6256"/>
  <c r="H47" i="6256"/>
  <c r="H49" i="6256"/>
  <c r="H23" i="6256"/>
  <c r="H17" i="6256"/>
  <c r="H13" i="6256"/>
  <c r="H22" i="6256"/>
  <c r="H30" i="6256"/>
  <c r="H8" i="6256"/>
  <c r="H16" i="6256"/>
  <c r="H35" i="6256"/>
  <c r="C36" i="6256"/>
  <c r="C38" i="6256"/>
  <c r="C40" i="6256"/>
  <c r="C42" i="6256"/>
  <c r="C44" i="6256"/>
  <c r="C46" i="6256"/>
  <c r="C48" i="6256"/>
  <c r="H5" i="6256"/>
  <c r="H21" i="6256"/>
  <c r="H27" i="6256"/>
  <c r="C22" i="6256"/>
  <c r="C24" i="6256"/>
  <c r="B26" i="6256"/>
  <c r="H19" i="6256"/>
  <c r="H38" i="6256"/>
  <c r="H40" i="6256"/>
  <c r="H42" i="6256"/>
  <c r="H44" i="6256"/>
  <c r="H46" i="6256"/>
  <c r="H48" i="6256"/>
  <c r="H50" i="6256"/>
  <c r="H26" i="6254"/>
  <c r="H28" i="6254"/>
  <c r="H12" i="6254"/>
  <c r="H30" i="6254"/>
  <c r="H31" i="6254"/>
  <c r="H32" i="6254"/>
  <c r="H35" i="6254"/>
  <c r="C37" i="6254"/>
  <c r="C39" i="6254"/>
  <c r="C41" i="6254"/>
  <c r="C43" i="6254"/>
  <c r="C45" i="6254"/>
  <c r="C47" i="6254"/>
  <c r="H50" i="6254"/>
  <c r="B27" i="6254"/>
  <c r="H33" i="6254"/>
  <c r="H36" i="6254"/>
  <c r="H38" i="6254"/>
  <c r="H40" i="6254"/>
  <c r="H42" i="6254"/>
  <c r="H44" i="6254"/>
  <c r="H46" i="6254"/>
  <c r="H48" i="6254"/>
  <c r="H51" i="6254"/>
  <c r="H15" i="6254"/>
  <c r="H27" i="6254"/>
  <c r="H29" i="6254"/>
  <c r="H17" i="6254"/>
  <c r="H8" i="6254"/>
  <c r="H18" i="6254"/>
  <c r="H34" i="6254"/>
  <c r="C36" i="6254"/>
  <c r="C38" i="6254"/>
  <c r="C40" i="6254"/>
  <c r="C42" i="6254"/>
  <c r="C44" i="6254"/>
  <c r="C46" i="6254"/>
  <c r="C48" i="6254"/>
  <c r="H4" i="6254"/>
  <c r="H25" i="6254"/>
  <c r="C22" i="6254"/>
  <c r="C24" i="6254"/>
  <c r="B26" i="6254"/>
  <c r="H19" i="6254"/>
  <c r="H37" i="6254"/>
  <c r="H39" i="6254"/>
  <c r="H41" i="6254"/>
  <c r="H43" i="6254"/>
  <c r="H45" i="6254"/>
  <c r="H47" i="6254"/>
  <c r="H49" i="6254"/>
  <c r="H8" i="6252"/>
  <c r="C22" i="6252"/>
  <c r="B26" i="6252"/>
  <c r="H41" i="6252"/>
  <c r="H45" i="6252"/>
  <c r="H48" i="6252"/>
  <c r="H52" i="6252"/>
  <c r="H10" i="6252"/>
  <c r="H6" i="6252"/>
  <c r="H13" i="6252"/>
  <c r="H29" i="6252"/>
  <c r="H30" i="6252"/>
  <c r="H14" i="6252"/>
  <c r="B27" i="6252"/>
  <c r="C19" i="6252"/>
  <c r="C23" i="6252"/>
  <c r="H38" i="6252"/>
  <c r="H42" i="6252"/>
  <c r="H46" i="6252"/>
  <c r="H49" i="6252"/>
  <c r="H7" i="6252"/>
  <c r="H22" i="6252"/>
  <c r="C24" i="6252"/>
  <c r="H20" i="6252"/>
  <c r="H39" i="6252"/>
  <c r="H43" i="6252"/>
  <c r="H28" i="6252"/>
  <c r="H50" i="6252"/>
  <c r="H4" i="6252"/>
  <c r="H2" i="6252"/>
  <c r="H11" i="6252"/>
  <c r="H3" i="6252"/>
  <c r="H23" i="6252"/>
  <c r="H24" i="6252"/>
  <c r="H31" i="6252"/>
  <c r="C21" i="6252"/>
  <c r="C25" i="6252"/>
  <c r="H36" i="6252"/>
  <c r="H40" i="6252"/>
  <c r="H44" i="6252"/>
  <c r="H47" i="6252"/>
  <c r="H16" i="6252"/>
  <c r="B28" i="6252"/>
  <c r="H32" i="6252"/>
  <c r="H25" i="6252"/>
  <c r="H12" i="6252"/>
  <c r="H34" i="6252"/>
  <c r="H35" i="6252"/>
  <c r="H21" i="6252"/>
  <c r="H37" i="6252"/>
  <c r="C37" i="6252"/>
  <c r="C39" i="6252"/>
  <c r="C41" i="6252"/>
  <c r="C43" i="6252"/>
  <c r="C45" i="6252"/>
  <c r="C47" i="6252"/>
  <c r="H51" i="6252"/>
  <c r="H18" i="6252"/>
  <c r="H15" i="6252"/>
  <c r="H33" i="6252"/>
  <c r="H26" i="6252"/>
  <c r="H9" i="6252"/>
  <c r="H19" i="6252"/>
  <c r="H27" i="6252"/>
  <c r="C36" i="6252"/>
  <c r="C38" i="6252"/>
  <c r="C40" i="6252"/>
  <c r="C42" i="6252"/>
  <c r="C44" i="6252"/>
  <c r="C46" i="6252"/>
  <c r="C48" i="6252"/>
  <c r="H11" i="6246"/>
  <c r="H22" i="6246"/>
  <c r="H47" i="6246"/>
  <c r="H9" i="6246"/>
  <c r="H35" i="6246"/>
  <c r="H38" i="6246"/>
  <c r="H2" i="6246"/>
  <c r="H4" i="6246"/>
  <c r="H3" i="6246"/>
  <c r="C25" i="6246"/>
  <c r="H41" i="6246"/>
  <c r="C22" i="6250"/>
  <c r="B26" i="6250"/>
  <c r="H39" i="6250"/>
  <c r="H43" i="6250"/>
  <c r="H47" i="6250"/>
  <c r="H52" i="6250"/>
  <c r="H9" i="6250"/>
  <c r="H6" i="6250"/>
  <c r="H11" i="6250"/>
  <c r="H16" i="6250"/>
  <c r="H18" i="6250"/>
  <c r="H19" i="6250"/>
  <c r="B27" i="6250"/>
  <c r="C19" i="6250"/>
  <c r="C23" i="6250"/>
  <c r="H36" i="6250"/>
  <c r="H40" i="6250"/>
  <c r="H44" i="6250"/>
  <c r="H48" i="6250"/>
  <c r="H15" i="6250"/>
  <c r="C24" i="6250"/>
  <c r="H31" i="6250"/>
  <c r="H37" i="6250"/>
  <c r="H41" i="6250"/>
  <c r="H45" i="6250"/>
  <c r="H49" i="6250"/>
  <c r="H3" i="6250"/>
  <c r="H2" i="6250"/>
  <c r="H14" i="6250"/>
  <c r="H4" i="6250"/>
  <c r="H17" i="6250"/>
  <c r="H12" i="6250"/>
  <c r="H21" i="6250"/>
  <c r="C21" i="6250"/>
  <c r="C25" i="6250"/>
  <c r="H33" i="6250"/>
  <c r="H38" i="6250"/>
  <c r="H42" i="6250"/>
  <c r="H46" i="6250"/>
  <c r="H51" i="6250"/>
  <c r="B28" i="6250"/>
  <c r="H23" i="6250"/>
  <c r="H24" i="6250"/>
  <c r="H26" i="6250"/>
  <c r="H28" i="6250"/>
  <c r="H29" i="6250"/>
  <c r="H32" i="6250"/>
  <c r="H35" i="6250"/>
  <c r="C37" i="6250"/>
  <c r="C39" i="6250"/>
  <c r="C41" i="6250"/>
  <c r="C43" i="6250"/>
  <c r="C45" i="6250"/>
  <c r="C47" i="6250"/>
  <c r="H50" i="6250"/>
  <c r="H22" i="6250"/>
  <c r="H13" i="6250"/>
  <c r="H25" i="6250"/>
  <c r="H27" i="6250"/>
  <c r="H8" i="6250"/>
  <c r="H30" i="6250"/>
  <c r="H34" i="6250"/>
  <c r="C36" i="6250"/>
  <c r="C38" i="6250"/>
  <c r="C40" i="6250"/>
  <c r="C42" i="6250"/>
  <c r="C44" i="6250"/>
  <c r="C46" i="6250"/>
  <c r="C48" i="6250"/>
  <c r="H44" i="6246"/>
  <c r="H21" i="6246"/>
  <c r="C21" i="6246"/>
  <c r="H19" i="6246"/>
  <c r="C22" i="6248"/>
  <c r="B26" i="6248"/>
  <c r="H40" i="6248"/>
  <c r="H44" i="6248"/>
  <c r="H48" i="6248"/>
  <c r="H52" i="6248"/>
  <c r="H9" i="6248"/>
  <c r="H6" i="6248"/>
  <c r="H14" i="6248"/>
  <c r="H21" i="6248"/>
  <c r="H25" i="6248"/>
  <c r="H16" i="6248"/>
  <c r="B27" i="6248"/>
  <c r="C19" i="6248"/>
  <c r="C23" i="6248"/>
  <c r="H23" i="6248"/>
  <c r="H41" i="6248"/>
  <c r="H45" i="6248"/>
  <c r="H49" i="6248"/>
  <c r="H7" i="6248"/>
  <c r="H24" i="6248"/>
  <c r="C24" i="6248"/>
  <c r="H19" i="6248"/>
  <c r="H38" i="6248"/>
  <c r="H42" i="6248"/>
  <c r="H46" i="6248"/>
  <c r="H50" i="6248"/>
  <c r="H3" i="6248"/>
  <c r="H2" i="6248"/>
  <c r="H11" i="6248"/>
  <c r="H4" i="6248"/>
  <c r="H22" i="6248"/>
  <c r="H26" i="6248"/>
  <c r="H27" i="6248"/>
  <c r="C21" i="6248"/>
  <c r="C25" i="6248"/>
  <c r="H35" i="6248"/>
  <c r="H39" i="6248"/>
  <c r="H43" i="6248"/>
  <c r="H47" i="6248"/>
  <c r="H20" i="6248"/>
  <c r="B28" i="6248"/>
  <c r="H28" i="6248"/>
  <c r="H29" i="6248"/>
  <c r="H12" i="6248"/>
  <c r="H32" i="6248"/>
  <c r="H33" i="6248"/>
  <c r="H34" i="6248"/>
  <c r="H37" i="6248"/>
  <c r="C37" i="6248"/>
  <c r="C39" i="6248"/>
  <c r="C41" i="6248"/>
  <c r="C43" i="6248"/>
  <c r="C45" i="6248"/>
  <c r="C47" i="6248"/>
  <c r="H51" i="6248"/>
  <c r="H15" i="6248"/>
  <c r="H17" i="6248"/>
  <c r="H30" i="6248"/>
  <c r="H31" i="6248"/>
  <c r="H8" i="6248"/>
  <c r="H13" i="6248"/>
  <c r="H36" i="6248"/>
  <c r="C36" i="6248"/>
  <c r="C38" i="6248"/>
  <c r="C40" i="6248"/>
  <c r="C42" i="6248"/>
  <c r="C44" i="6248"/>
  <c r="C46" i="6248"/>
  <c r="C48" i="6248"/>
  <c r="B13" i="6246"/>
  <c r="B26" i="6246"/>
  <c r="H45" i="6246"/>
  <c r="H52" i="6246"/>
  <c r="H13" i="6246"/>
  <c r="H25" i="6246"/>
  <c r="H15" i="6246"/>
  <c r="B27" i="6246"/>
  <c r="C19" i="6246"/>
  <c r="C23" i="6246"/>
  <c r="H31" i="6246"/>
  <c r="H43" i="6246"/>
  <c r="H46" i="6246"/>
  <c r="H49" i="6246"/>
  <c r="H17" i="6246"/>
  <c r="C22" i="6246"/>
  <c r="H42" i="6246"/>
  <c r="H48" i="6246"/>
  <c r="H10" i="6246"/>
  <c r="H6" i="6246"/>
  <c r="H34" i="6246"/>
  <c r="H7" i="6246"/>
  <c r="H23" i="6246"/>
  <c r="C24" i="6246"/>
  <c r="H20" i="6246"/>
  <c r="H40" i="6246"/>
  <c r="H32" i="6246"/>
  <c r="H33" i="6246"/>
  <c r="H50" i="6246"/>
  <c r="B28" i="6246"/>
  <c r="H36" i="6246"/>
  <c r="H28" i="6246"/>
  <c r="H12" i="6246"/>
  <c r="H29" i="6246"/>
  <c r="H37" i="6246"/>
  <c r="H27" i="6246"/>
  <c r="H39" i="6246"/>
  <c r="C37" i="6246"/>
  <c r="C39" i="6246"/>
  <c r="C41" i="6246"/>
  <c r="C43" i="6246"/>
  <c r="C45" i="6246"/>
  <c r="C47" i="6246"/>
  <c r="H51" i="6246"/>
  <c r="H16" i="6246"/>
  <c r="H14" i="6246"/>
  <c r="H24" i="6246"/>
  <c r="H26" i="6246"/>
  <c r="H8" i="6246"/>
  <c r="H18" i="6246"/>
  <c r="H30" i="6246"/>
  <c r="C36" i="6246"/>
  <c r="C38" i="6246"/>
  <c r="C40" i="6246"/>
  <c r="C42" i="6246"/>
  <c r="C44" i="6246"/>
  <c r="C46" i="6246"/>
  <c r="C48" i="624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<sst xmlns="http://schemas.openxmlformats.org/spreadsheetml/2006/main" count="2972" uniqueCount="242">
  <si>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</si>
  <si>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</si>
  <si>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</si>
  <si>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</si>
  <si>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</si>
  <si>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</si>
  <si>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</si>
  <si>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</si>
  <si>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</si>
  <si>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</si>
  <si>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</si>
  <si>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</si>
  <si>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</si>
  <si>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</si>
  <si>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</si>
  <si>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</si>
  <si>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</si>
  <si>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</si>
  <si>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</si>
  <si>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</si>
  <si>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</si>
  <si>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</si>
  <si>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</si>
  <si>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</si>
  <si>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</si>
  <si>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</si>
  <si>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</si>
  <si>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</si>
  <si>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</si>
  <si>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</si>
  <si>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</si>
  <si>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</si>
  <si>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</si>
  <si>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</si>
  <si>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</si>
  <si>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</si>
  <si>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</si>
  <si>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</si>
  <si>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</si>
  <si>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</si>
  <si>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</si>
  <si>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</si>
  <si>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</si>
  <si>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</si>
  <si>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</si>
  <si>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</si>
  <si>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</si>
  <si>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</si>
  <si>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</si>
  <si>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</si>
  <si>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</si>
  <si>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</si>
  <si>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</si>
  <si>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</si>
  <si>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</si>
  <si>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</si>
  <si>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</si>
  <si>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</si>
  <si>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</si>
  <si>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</si>
  <si>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</si>
  <si>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</si>
  <si>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</si>
  <si>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</si>
  <si>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</si>
  <si>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</si>
  <si>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</si>
  <si>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</si>
  <si>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</si>
  <si>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</si>
  <si>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</si>
  <si>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</si>
  <si>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</si>
  <si>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</si>
  <si>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</si>
  <si>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</si>
  <si>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</si>
  <si>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</si>
  <si>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</si>
  <si>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</si>
  <si>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</si>
  <si>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</si>
  <si>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</si>
  <si>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</si>
  <si>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</si>
  <si>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</si>
  <si>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</si>
  <si>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</si>
  <si>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</si>
  <si>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</si>
  <si>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</si>
  <si>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</si>
  <si>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</si>
  <si>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</si>
  <si>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</si>
  <si>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</si>
  <si>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</si>
  <si>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</si>
  <si>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</si>
  <si>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</si>
  <si>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</si>
  <si>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</si>
  <si>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</si>
  <si>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</si>
  <si>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</si>
  <si>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</si>
  <si>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</si>
  <si>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</si>
  <si>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</si>
  <si>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</si>
  <si>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</si>
  <si>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</si>
  <si>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</si>
  <si>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</si>
  <si>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</si>
  <si>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</si>
  <si>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</si>
  <si>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</si>
  <si>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</si>
  <si>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</si>
  <si>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</si>
  <si>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</si>
  <si>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</si>
  <si>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</si>
  <si>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</si>
  <si>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</si>
  <si>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</si>
  <si>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</si>
  <si>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</si>
  <si>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</si>
  <si>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</si>
  <si>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</si>
  <si>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</si>
  <si>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</si>
  <si>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</si>
  <si>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</si>
  <si>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</si>
  <si>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</si>
  <si>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</si>
  <si>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</si>
  <si>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</si>
  <si>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</si>
  <si>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</si>
  <si>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</si>
  <si>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</si>
  <si>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</si>
  <si>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</si>
  <si>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</si>
  <si>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</si>
  <si>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</si>
  <si>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</si>
  <si>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</si>
  <si>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</si>
  <si>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</si>
  <si>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</si>
  <si>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</si>
  <si>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</si>
  <si>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</si>
  <si>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</si>
  <si>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</si>
  <si>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</si>
  <si>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</si>
  <si>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</si>
  <si>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</si>
  <si>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</si>
  <si>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</si>
  <si>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</si>
  <si>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</si>
  <si>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</si>
  <si>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</si>
  <si>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</si>
  <si>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</si>
  <si>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</si>
  <si>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</si>
  <si>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</si>
  <si>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</si>
  <si>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</si>
  <si>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</si>
  <si>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</si>
  <si>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</si>
  <si>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</si>
  <si>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</si>
  <si>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</si>
  <si>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</si>
  <si>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</si>
  <si>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</si>
  <si>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</si>
  <si>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</si>
  <si>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</si>
  <si>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</si>
  <si>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</si>
  <si>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</si>
  <si>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</si>
  <si>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</si>
  <si>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</si>
  <si>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</si>
  <si>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</si>
  <si>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</si>
  <si>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</si>
  <si>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</si>
  <si>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</si>
  <si>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</si>
  <si>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</si>
  <si>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</si>
  <si>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</si>
  <si>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</si>
  <si>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</si>
  <si>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</si>
  <si>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</si>
  <si>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</si>
  <si>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</si>
  <si>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</si>
  <si>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</si>
  <si>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</si>
  <si>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</si>
  <si>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</si>
  <si>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</si>
  <si>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</si>
  <si>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</si>
  <si>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</si>
  <si>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</si>
  <si>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</si>
  <si>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</si>
  <si>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</si>
  <si>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</si>
  <si>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</si>
  <si>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</si>
  <si>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</si>
  <si>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</si>
  <si>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</si>
  <si>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</si>
  <si>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</si>
  <si>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</si>
  <si>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</si>
  <si>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</si>
  <si>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</si>
  <si>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hh</t>
    <phoneticPr fontId="1"/>
  </si>
  <si>
    <t>2020-07-14@0.xlsm</t>
  </si>
  <si>
    <t>2020-07-17@0.xlsm</t>
  </si>
  <si>
    <t>2020-07-18@0.xlsm</t>
  </si>
  <si>
    <t>てんちゃん</t>
  </si>
  <si>
    <t>2020-07-21@0.xlsm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</si>
</sst>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1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全体!$K$2:$K$368</c:f>
              <c:numCache>
                <c:formatCode>General</c:formatCode>
                <c:ptCount val="3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</c:numCache>
            </c:numRef>
          </c:xVal>
          <c:yVal>
            <c:numRef>
              <c:f>全体!$L$2:$L$368</c:f>
              <c:numCache>
                <c:formatCode>\+0.0;\-0.0;\±0</c:formatCode>
                <c:ptCount val="367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  <c:pt idx="328">
                  <c:v>-6.7000000000000144</c:v>
                </c:pt>
                <c:pt idx="329">
                  <c:v>23.899999999999988</c:v>
                </c:pt>
                <c:pt idx="330">
                  <c:v>-1.0658141036401503E-14</c:v>
                </c:pt>
                <c:pt idx="331">
                  <c:v>-20.900000000000009</c:v>
                </c:pt>
                <c:pt idx="332">
                  <c:v>3.4999999999999893</c:v>
                </c:pt>
                <c:pt idx="333">
                  <c:v>-1.0658141036401503E-14</c:v>
                </c:pt>
                <c:pt idx="334">
                  <c:v>-46.800000000000011</c:v>
                </c:pt>
                <c:pt idx="335">
                  <c:v>-44.900000000000013</c:v>
                </c:pt>
                <c:pt idx="336">
                  <c:v>-1.4210854715202004E-14</c:v>
                </c:pt>
                <c:pt idx="337">
                  <c:v>32.399999999999984</c:v>
                </c:pt>
                <c:pt idx="338">
                  <c:v>32.199999999999982</c:v>
                </c:pt>
                <c:pt idx="339">
                  <c:v>-2.1316282072803006E-14</c:v>
                </c:pt>
                <c:pt idx="340">
                  <c:v>36.59999999999998</c:v>
                </c:pt>
                <c:pt idx="341">
                  <c:v>-10.200000000000017</c:v>
                </c:pt>
                <c:pt idx="342">
                  <c:v>-1.7763568394002505E-14</c:v>
                </c:pt>
                <c:pt idx="343">
                  <c:v>-40.100000000000023</c:v>
                </c:pt>
                <c:pt idx="344">
                  <c:v>-33.000000000000021</c:v>
                </c:pt>
                <c:pt idx="345">
                  <c:v>-2.1316282072803006E-14</c:v>
                </c:pt>
                <c:pt idx="346">
                  <c:v>-28.500000000000021</c:v>
                </c:pt>
                <c:pt idx="347">
                  <c:v>-35.700000000000024</c:v>
                </c:pt>
                <c:pt idx="348">
                  <c:v>-2.1316282072803006E-14</c:v>
                </c:pt>
                <c:pt idx="349">
                  <c:v>51.09999999999998</c:v>
                </c:pt>
                <c:pt idx="350">
                  <c:v>48.699999999999982</c:v>
                </c:pt>
                <c:pt idx="351">
                  <c:v>-2.1316282072803006E-14</c:v>
                </c:pt>
                <c:pt idx="352">
                  <c:v>-54.500000000000021</c:v>
                </c:pt>
                <c:pt idx="353">
                  <c:v>27.899999999999984</c:v>
                </c:pt>
                <c:pt idx="354">
                  <c:v>-1.4210854715202004E-14</c:v>
                </c:pt>
                <c:pt idx="355">
                  <c:v>26.599999999999987</c:v>
                </c:pt>
                <c:pt idx="356">
                  <c:v>5.8999999999999879</c:v>
                </c:pt>
                <c:pt idx="357">
                  <c:v>-1.2434497875801753E-14</c:v>
                </c:pt>
                <c:pt idx="358">
                  <c:v>-38.900000000000013</c:v>
                </c:pt>
                <c:pt idx="359">
                  <c:v>-30.600000000000012</c:v>
                </c:pt>
                <c:pt idx="360">
                  <c:v>-1.0658141036401503E-14</c:v>
                </c:pt>
                <c:pt idx="361">
                  <c:v>-25.70000000000001</c:v>
                </c:pt>
                <c:pt idx="362">
                  <c:v>-18.70000000000001</c:v>
                </c:pt>
                <c:pt idx="363">
                  <c:v>-1.0658141036401503E-14</c:v>
                </c:pt>
                <c:pt idx="364">
                  <c:v>-42.400000000000006</c:v>
                </c:pt>
                <c:pt idx="365">
                  <c:v>5.2999999999999972</c:v>
                </c:pt>
                <c:pt idx="366">
                  <c:v>-2.6645352591003757E-15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0-4E99-9147-E0246C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-14.005602240896359</c:v>
                </c:pt>
                <c:pt idx="1">
                  <c:v>2.8011204481792715</c:v>
                </c:pt>
                <c:pt idx="2">
                  <c:v>-14.619883040935672</c:v>
                </c:pt>
                <c:pt idx="3">
                  <c:v>16.181229773462782</c:v>
                </c:pt>
                <c:pt idx="4">
                  <c:v>-49.122807017543863</c:v>
                </c:pt>
                <c:pt idx="5">
                  <c:v>66.666666666666671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CF3-B122-B5B10B9E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58</c:v>
                </c:pt>
                <c:pt idx="1">
                  <c:v>148</c:v>
                </c:pt>
                <c:pt idx="2">
                  <c:v>147</c:v>
                </c:pt>
                <c:pt idx="3">
                  <c:v>154</c:v>
                </c:pt>
                <c:pt idx="4">
                  <c:v>122</c:v>
                </c:pt>
                <c:pt idx="5">
                  <c:v>86</c:v>
                </c:pt>
                <c:pt idx="6">
                  <c:v>50</c:v>
                </c:pt>
                <c:pt idx="7">
                  <c:v>22</c:v>
                </c:pt>
                <c:pt idx="8">
                  <c:v>15</c:v>
                </c:pt>
                <c:pt idx="9">
                  <c:v>10</c:v>
                </c:pt>
                <c:pt idx="10">
                  <c:v>4</c:v>
                </c:pt>
                <c:pt idx="11">
                  <c:v>5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F-4B78-A755-2C512936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れんたろう!$L$2:$L$65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  <c:pt idx="60">
                  <c:v>-152.00000000000006</c:v>
                </c:pt>
                <c:pt idx="61">
                  <c:v>-119.60000000000005</c:v>
                </c:pt>
                <c:pt idx="62">
                  <c:v>-112.60000000000005</c:v>
                </c:pt>
                <c:pt idx="63">
                  <c:v>-64.900000000000048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166-9D43-978BA487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-873.33333333333337</c:v>
                </c:pt>
                <c:pt idx="1">
                  <c:v>-2222.5806451612902</c:v>
                </c:pt>
                <c:pt idx="2">
                  <c:v>558.62068965517244</c:v>
                </c:pt>
                <c:pt idx="3">
                  <c:v>-1316.9811320754718</c:v>
                </c:pt>
                <c:pt idx="4">
                  <c:v>967.30769230769226</c:v>
                </c:pt>
                <c:pt idx="5">
                  <c:v>2736.8421052631579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8-44B8-84F1-33E51820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13</c:v>
                </c:pt>
                <c:pt idx="3">
                  <c:v>35</c:v>
                </c:pt>
                <c:pt idx="4">
                  <c:v>26</c:v>
                </c:pt>
                <c:pt idx="5">
                  <c:v>17</c:v>
                </c:pt>
                <c:pt idx="6">
                  <c:v>11</c:v>
                </c:pt>
                <c:pt idx="7">
                  <c:v>5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A-4154-84E0-548C0B715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6-482C-865A-C3CA2BE3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C-4BA2-A967-66E21275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8AE-A1FE-809B04B6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  <c:pt idx="82">
                  <c:v>719.70000000000016</c:v>
                </c:pt>
                <c:pt idx="83">
                  <c:v>716.20000000000016</c:v>
                </c:pt>
                <c:pt idx="84">
                  <c:v>718.10000000000014</c:v>
                </c:pt>
                <c:pt idx="85">
                  <c:v>685.90000000000009</c:v>
                </c:pt>
                <c:pt idx="86">
                  <c:v>722.50000000000011</c:v>
                </c:pt>
                <c:pt idx="87">
                  <c:v>755.50000000000011</c:v>
                </c:pt>
                <c:pt idx="88">
                  <c:v>791.20000000000016</c:v>
                </c:pt>
                <c:pt idx="89">
                  <c:v>842.30000000000018</c:v>
                </c:pt>
                <c:pt idx="90">
                  <c:v>787.80000000000018</c:v>
                </c:pt>
                <c:pt idx="91">
                  <c:v>781.9000000000002</c:v>
                </c:pt>
                <c:pt idx="92">
                  <c:v>743.00000000000023</c:v>
                </c:pt>
                <c:pt idx="93">
                  <c:v>761.70000000000027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F-4371-8094-C00CB321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1601.0869565217392</c:v>
                </c:pt>
                <c:pt idx="1">
                  <c:v>2768.131868131868</c:v>
                </c:pt>
                <c:pt idx="2">
                  <c:v>1637.9310344827586</c:v>
                </c:pt>
                <c:pt idx="3">
                  <c:v>876.92307692307691</c:v>
                </c:pt>
                <c:pt idx="4">
                  <c:v>-1071.6216216216217</c:v>
                </c:pt>
                <c:pt idx="5">
                  <c:v>2734.4827586206898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731-8B57-DE923E09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</c:v>
                </c:pt>
                <c:pt idx="1">
                  <c:v>32</c:v>
                </c:pt>
                <c:pt idx="2">
                  <c:v>41</c:v>
                </c:pt>
                <c:pt idx="3">
                  <c:v>40</c:v>
                </c:pt>
                <c:pt idx="4">
                  <c:v>37</c:v>
                </c:pt>
                <c:pt idx="5">
                  <c:v>21</c:v>
                </c:pt>
                <c:pt idx="6">
                  <c:v>14</c:v>
                </c:pt>
                <c:pt idx="7">
                  <c:v>8</c:v>
                </c:pt>
                <c:pt idx="8">
                  <c:v>6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546-BA4F-B2A94F2D6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りくと!$L$2:$L$42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  <c:pt idx="37">
                  <c:v>-287.2999999999999</c:v>
                </c:pt>
                <c:pt idx="38">
                  <c:v>-289.69999999999987</c:v>
                </c:pt>
                <c:pt idx="39">
                  <c:v>-263.09999999999985</c:v>
                </c:pt>
                <c:pt idx="40">
                  <c:v>-254.79999999999984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6-4148-B5F3-D07B2C4D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-3848.7179487179487</c:v>
                </c:pt>
                <c:pt idx="1">
                  <c:v>1747.3684210526317</c:v>
                </c:pt>
                <c:pt idx="2">
                  <c:v>-1486.1111111111111</c:v>
                </c:pt>
                <c:pt idx="3">
                  <c:v>-1487.0967741935483</c:v>
                </c:pt>
                <c:pt idx="4">
                  <c:v>3596.2962962962961</c:v>
                </c:pt>
                <c:pt idx="5">
                  <c:v>-3700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6-466F-A3AB-E7526FC0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16</c:v>
                </c:pt>
                <c:pt idx="2">
                  <c:v>17</c:v>
                </c:pt>
                <c:pt idx="3">
                  <c:v>14</c:v>
                </c:pt>
                <c:pt idx="4">
                  <c:v>8</c:v>
                </c:pt>
                <c:pt idx="5">
                  <c:v>13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FF2-BF94-D0C6AE57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まっつん!$L$2:$L$62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  <c:pt idx="56">
                  <c:v>-92.099999999999966</c:v>
                </c:pt>
                <c:pt idx="57">
                  <c:v>-112.99999999999997</c:v>
                </c:pt>
                <c:pt idx="58">
                  <c:v>-30.599999999999966</c:v>
                </c:pt>
                <c:pt idx="59">
                  <c:v>-56.299999999999969</c:v>
                </c:pt>
                <c:pt idx="60">
                  <c:v>-98.69999999999996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4-44F2-BA90-75CA606B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-145.76271186440678</c:v>
                </c:pt>
                <c:pt idx="1">
                  <c:v>-866.10169491525426</c:v>
                </c:pt>
                <c:pt idx="2">
                  <c:v>-767.79661016949149</c:v>
                </c:pt>
                <c:pt idx="3">
                  <c:v>1444.6428571428571</c:v>
                </c:pt>
                <c:pt idx="4">
                  <c:v>-1192</c:v>
                </c:pt>
                <c:pt idx="5">
                  <c:v>-1410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D91-87A3-AB1C0DED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25</c:v>
                </c:pt>
                <c:pt idx="2">
                  <c:v>33</c:v>
                </c:pt>
                <c:pt idx="3">
                  <c:v>22</c:v>
                </c:pt>
                <c:pt idx="4">
                  <c:v>14</c:v>
                </c:pt>
                <c:pt idx="5">
                  <c:v>9</c:v>
                </c:pt>
                <c:pt idx="6">
                  <c:v>9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6-46F6-AC59-CD506DE6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  <c:pt idx="36">
                  <c:v>89.100000000000009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2-43AD-8CC2-9651D5EEC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-1458.3333333333333</c:v>
                </c:pt>
                <c:pt idx="1">
                  <c:v>-280</c:v>
                </c:pt>
                <c:pt idx="2">
                  <c:v>2115.625</c:v>
                </c:pt>
                <c:pt idx="3">
                  <c:v>-779.31034482758616</c:v>
                </c:pt>
                <c:pt idx="4">
                  <c:v>1770.8333333333333</c:v>
                </c:pt>
                <c:pt idx="5">
                  <c:v>585.71428571428567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B-4752-99BF-5D57C42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</c:v>
                </c:pt>
                <c:pt idx="1">
                  <c:v>22</c:v>
                </c:pt>
                <c:pt idx="2">
                  <c:v>17</c:v>
                </c:pt>
                <c:pt idx="3">
                  <c:v>11</c:v>
                </c:pt>
                <c:pt idx="4">
                  <c:v>17</c:v>
                </c:pt>
                <c:pt idx="5">
                  <c:v>6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4-4123-AD90-6CC11EEE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620-ADC8-F0E2F242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3744.4444444444443</c:v>
                </c:pt>
                <c:pt idx="1">
                  <c:v>11.111111111111111</c:v>
                </c:pt>
                <c:pt idx="2">
                  <c:v>-4000</c:v>
                </c:pt>
                <c:pt idx="3">
                  <c:v>-5014.2857142857147</c:v>
                </c:pt>
                <c:pt idx="4">
                  <c:v>6333.333333333333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7-4C48-B421-62DA7FE3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8-4F75-A94C-2AFC4C74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  <c:pt idx="39">
                  <c:v>-153.30000000000001</c:v>
                </c:pt>
                <c:pt idx="40">
                  <c:v>-153.5</c:v>
                </c:pt>
                <c:pt idx="41">
                  <c:v>-200.3</c:v>
                </c:pt>
                <c:pt idx="42">
                  <c:v>-193.20000000000002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F-4EB5-920A-412F4BBBA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680</c:v>
                </c:pt>
                <c:pt idx="1">
                  <c:v>-2204.7619047619046</c:v>
                </c:pt>
                <c:pt idx="2">
                  <c:v>-1525</c:v>
                </c:pt>
                <c:pt idx="3">
                  <c:v>1436.1111111111111</c:v>
                </c:pt>
                <c:pt idx="4">
                  <c:v>-1740</c:v>
                </c:pt>
                <c:pt idx="5">
                  <c:v>-1759.2592592592594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F-4321-A7B1-DABE6256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15</c:v>
                </c:pt>
                <c:pt idx="3">
                  <c:v>19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9-47C2-AA65-5BE4908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8-4F69-9B50-38CE03A7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C68-85D6-20884966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4275-A79E-908D081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94-4AF8-A4E4-C91A04A2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-7160</c:v>
                </c:pt>
                <c:pt idx="1">
                  <c:v>-2425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8C-4ADE-80B7-DA29A3463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7-4604-8920-2EBD640A3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たかの2!$B$3:$B$39</c:f>
              <c:numCache>
                <c:formatCode>\+0.0;\-0.0;\±0</c:formatCode>
                <c:ptCount val="3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  <c:pt idx="36">
                  <c:v>89.100000000000009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6645352591003757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たかの2!$C$3:$C$39</c:f>
              <c:numCache>
                <c:formatCode>\+0.0;\-0.0;\±0</c:formatCode>
                <c:ptCount val="37"/>
                <c:pt idx="1">
                  <c:v>56</c:v>
                </c:pt>
                <c:pt idx="2">
                  <c:v>68.75</c:v>
                </c:pt>
                <c:pt idx="3">
                  <c:v>53</c:v>
                </c:pt>
                <c:pt idx="4">
                  <c:v>28.1</c:v>
                </c:pt>
                <c:pt idx="5">
                  <c:v>28.060000000000002</c:v>
                </c:pt>
                <c:pt idx="6">
                  <c:v>27.883333333333336</c:v>
                </c:pt>
                <c:pt idx="7">
                  <c:v>16.914285714285715</c:v>
                </c:pt>
                <c:pt idx="8">
                  <c:v>12.100000000000001</c:v>
                </c:pt>
                <c:pt idx="9">
                  <c:v>5.7333333333333343</c:v>
                </c:pt>
                <c:pt idx="10">
                  <c:v>2.830000000000001</c:v>
                </c:pt>
                <c:pt idx="11">
                  <c:v>4.036363636363637</c:v>
                </c:pt>
                <c:pt idx="12">
                  <c:v>2.6500000000000004</c:v>
                </c:pt>
                <c:pt idx="13">
                  <c:v>6.3923076923076918</c:v>
                </c:pt>
                <c:pt idx="14">
                  <c:v>6.3857142857142852</c:v>
                </c:pt>
                <c:pt idx="15">
                  <c:v>7.5066666666666659</c:v>
                </c:pt>
                <c:pt idx="16">
                  <c:v>7.4562499999999998</c:v>
                </c:pt>
                <c:pt idx="17">
                  <c:v>4.2176470588235286</c:v>
                </c:pt>
                <c:pt idx="18">
                  <c:v>2.5222222222222217</c:v>
                </c:pt>
                <c:pt idx="19">
                  <c:v>5.2684210526315782</c:v>
                </c:pt>
                <c:pt idx="20">
                  <c:v>2.6399999999999997</c:v>
                </c:pt>
                <c:pt idx="21">
                  <c:v>1.9523809523809523</c:v>
                </c:pt>
                <c:pt idx="22">
                  <c:v>4.1136363636363633</c:v>
                </c:pt>
                <c:pt idx="23">
                  <c:v>4.2173913043478262</c:v>
                </c:pt>
                <c:pt idx="24">
                  <c:v>3.8416666666666668</c:v>
                </c:pt>
                <c:pt idx="25">
                  <c:v>1.64</c:v>
                </c:pt>
                <c:pt idx="26">
                  <c:v>3.3384615384615381</c:v>
                </c:pt>
                <c:pt idx="27">
                  <c:v>3.159259259259259</c:v>
                </c:pt>
                <c:pt idx="28">
                  <c:v>1.8035714285714286</c:v>
                </c:pt>
                <c:pt idx="29">
                  <c:v>1.9862068965517241</c:v>
                </c:pt>
                <c:pt idx="30">
                  <c:v>2.7333333333333334</c:v>
                </c:pt>
                <c:pt idx="31">
                  <c:v>2.6419354838709679</c:v>
                </c:pt>
                <c:pt idx="32">
                  <c:v>2.3781250000000003</c:v>
                </c:pt>
                <c:pt idx="33">
                  <c:v>2.560606060606061</c:v>
                </c:pt>
                <c:pt idx="34">
                  <c:v>1.8764705882352946</c:v>
                </c:pt>
                <c:pt idx="35">
                  <c:v>2.6971428571428575</c:v>
                </c:pt>
                <c:pt idx="36">
                  <c:v>2.4750000000000001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2801509811485679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たかの2!$D$3:$D$39</c:f>
              <c:numCache>
                <c:formatCode>0.00\ "位"</c:formatCode>
                <c:ptCount val="37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1.5</c:v>
                </c:pt>
                <c:pt idx="5">
                  <c:v>1.4</c:v>
                </c:pt>
                <c:pt idx="6">
                  <c:v>1.3333333333333333</c:v>
                </c:pt>
                <c:pt idx="7">
                  <c:v>1.5714285714285714</c:v>
                </c:pt>
                <c:pt idx="8">
                  <c:v>1.75</c:v>
                </c:pt>
                <c:pt idx="9">
                  <c:v>1.8888888888888888</c:v>
                </c:pt>
                <c:pt idx="10">
                  <c:v>2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1.8666666666666667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2</c:v>
                </c:pt>
                <c:pt idx="19">
                  <c:v>1.9473684210526316</c:v>
                </c:pt>
                <c:pt idx="20">
                  <c:v>2</c:v>
                </c:pt>
                <c:pt idx="21">
                  <c:v>2</c:v>
                </c:pt>
                <c:pt idx="22">
                  <c:v>1.9545454545454546</c:v>
                </c:pt>
                <c:pt idx="23">
                  <c:v>1.9565217391304348</c:v>
                </c:pt>
                <c:pt idx="24">
                  <c:v>1.9583333333333333</c:v>
                </c:pt>
                <c:pt idx="25">
                  <c:v>2</c:v>
                </c:pt>
                <c:pt idx="26">
                  <c:v>1.9615384615384615</c:v>
                </c:pt>
                <c:pt idx="27">
                  <c:v>1.962962962962963</c:v>
                </c:pt>
                <c:pt idx="28">
                  <c:v>2</c:v>
                </c:pt>
                <c:pt idx="29">
                  <c:v>2</c:v>
                </c:pt>
                <c:pt idx="30">
                  <c:v>1.9666666666666666</c:v>
                </c:pt>
                <c:pt idx="31">
                  <c:v>1.967741935483871</c:v>
                </c:pt>
                <c:pt idx="32">
                  <c:v>1.96875</c:v>
                </c:pt>
                <c:pt idx="33">
                  <c:v>1.9696969696969697</c:v>
                </c:pt>
                <c:pt idx="34">
                  <c:v>2</c:v>
                </c:pt>
                <c:pt idx="35">
                  <c:v>1.9714285714285715</c:v>
                </c:pt>
                <c:pt idx="36">
                  <c:v>1.9722222222222223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たかの2!$E$3:$E$39</c:f>
              <c:numCache>
                <c:formatCode>0.0%</c:formatCode>
                <c:ptCount val="37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0.36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0.3235294117647059</c:v>
                </c:pt>
                <c:pt idx="35">
                  <c:v>0.34285714285714286</c:v>
                </c:pt>
                <c:pt idx="3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たかの2!$F$3:$F$39</c:f>
              <c:numCache>
                <c:formatCode>0.0%</c:formatCode>
                <c:ptCount val="3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0.3235294117647059</c:v>
                </c:pt>
                <c:pt idx="35">
                  <c:v>0.31428571428571428</c:v>
                </c:pt>
                <c:pt idx="36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たかの2!$G$3:$G$39</c:f>
              <c:numCache>
                <c:formatCode>0.0%</c:formatCode>
                <c:ptCount val="37"/>
                <c:pt idx="1">
                  <c:v>0.5</c:v>
                </c:pt>
                <c:pt idx="2">
                  <c:v>0.75</c:v>
                </c:pt>
                <c:pt idx="3">
                  <c:v>0.52173913043478259</c:v>
                </c:pt>
                <c:pt idx="4">
                  <c:v>0.4</c:v>
                </c:pt>
                <c:pt idx="5">
                  <c:v>0.4</c:v>
                </c:pt>
                <c:pt idx="6">
                  <c:v>0.39130434782608697</c:v>
                </c:pt>
                <c:pt idx="7">
                  <c:v>0.36538461538461536</c:v>
                </c:pt>
                <c:pt idx="8">
                  <c:v>0.35</c:v>
                </c:pt>
                <c:pt idx="9">
                  <c:v>0.328125</c:v>
                </c:pt>
                <c:pt idx="10">
                  <c:v>0.30555555555555558</c:v>
                </c:pt>
                <c:pt idx="11">
                  <c:v>0.32051282051282054</c:v>
                </c:pt>
                <c:pt idx="12">
                  <c:v>0.32926829268292684</c:v>
                </c:pt>
                <c:pt idx="13">
                  <c:v>0.36046511627906974</c:v>
                </c:pt>
                <c:pt idx="14">
                  <c:v>0.34375</c:v>
                </c:pt>
                <c:pt idx="15">
                  <c:v>0.34653465346534651</c:v>
                </c:pt>
                <c:pt idx="16">
                  <c:v>0.34862385321100919</c:v>
                </c:pt>
                <c:pt idx="17">
                  <c:v>0.33613445378151263</c:v>
                </c:pt>
                <c:pt idx="18">
                  <c:v>0.32539682539682541</c:v>
                </c:pt>
                <c:pt idx="19">
                  <c:v>0.33333333333333331</c:v>
                </c:pt>
                <c:pt idx="20">
                  <c:v>0.32116788321167883</c:v>
                </c:pt>
                <c:pt idx="21">
                  <c:v>0.31034482758620691</c:v>
                </c:pt>
                <c:pt idx="22">
                  <c:v>0.32484076433121017</c:v>
                </c:pt>
                <c:pt idx="23">
                  <c:v>0.32515337423312884</c:v>
                </c:pt>
                <c:pt idx="24">
                  <c:v>0.32369942196531792</c:v>
                </c:pt>
                <c:pt idx="25">
                  <c:v>0.30939226519337015</c:v>
                </c:pt>
                <c:pt idx="26">
                  <c:v>0.31413612565445026</c:v>
                </c:pt>
                <c:pt idx="27">
                  <c:v>0.30964467005076141</c:v>
                </c:pt>
                <c:pt idx="28">
                  <c:v>0.30582524271844658</c:v>
                </c:pt>
                <c:pt idx="29">
                  <c:v>0.31132075471698112</c:v>
                </c:pt>
                <c:pt idx="30">
                  <c:v>0.31192660550458717</c:v>
                </c:pt>
                <c:pt idx="31">
                  <c:v>0.31555555555555553</c:v>
                </c:pt>
                <c:pt idx="32">
                  <c:v>0.31120331950207469</c:v>
                </c:pt>
                <c:pt idx="33">
                  <c:v>0.3147410358565737</c:v>
                </c:pt>
                <c:pt idx="34">
                  <c:v>0.31517509727626458</c:v>
                </c:pt>
                <c:pt idx="35">
                  <c:v>0.3193916349809886</c:v>
                </c:pt>
                <c:pt idx="36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9719626168224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たかの2!$H$3:$H$39</c:f>
              <c:numCache>
                <c:formatCode>0.0%</c:formatCode>
                <c:ptCount val="37"/>
                <c:pt idx="1">
                  <c:v>0.25</c:v>
                </c:pt>
                <c:pt idx="2">
                  <c:v>8.3333333333333329E-2</c:v>
                </c:pt>
                <c:pt idx="3">
                  <c:v>8.6956521739130432E-2</c:v>
                </c:pt>
                <c:pt idx="4">
                  <c:v>0.13333333333333333</c:v>
                </c:pt>
                <c:pt idx="5">
                  <c:v>0.125</c:v>
                </c:pt>
                <c:pt idx="6">
                  <c:v>0.10869565217391304</c:v>
                </c:pt>
                <c:pt idx="7">
                  <c:v>0.13461538461538461</c:v>
                </c:pt>
                <c:pt idx="8">
                  <c:v>0.13333333333333333</c:v>
                </c:pt>
                <c:pt idx="9">
                  <c:v>0.171875</c:v>
                </c:pt>
                <c:pt idx="10">
                  <c:v>0.15277777777777779</c:v>
                </c:pt>
                <c:pt idx="11">
                  <c:v>0.14102564102564102</c:v>
                </c:pt>
                <c:pt idx="12">
                  <c:v>0.13414634146341464</c:v>
                </c:pt>
                <c:pt idx="13">
                  <c:v>0.12790697674418605</c:v>
                </c:pt>
                <c:pt idx="14">
                  <c:v>0.125</c:v>
                </c:pt>
                <c:pt idx="15">
                  <c:v>0.11881188118811881</c:v>
                </c:pt>
                <c:pt idx="16">
                  <c:v>0.11926605504587157</c:v>
                </c:pt>
                <c:pt idx="17">
                  <c:v>0.14285714285714285</c:v>
                </c:pt>
                <c:pt idx="18">
                  <c:v>0.14285714285714285</c:v>
                </c:pt>
                <c:pt idx="19">
                  <c:v>0.13636363636363635</c:v>
                </c:pt>
                <c:pt idx="20">
                  <c:v>0.145985401459854</c:v>
                </c:pt>
                <c:pt idx="21">
                  <c:v>0.14482758620689656</c:v>
                </c:pt>
                <c:pt idx="22">
                  <c:v>0.13375796178343949</c:v>
                </c:pt>
                <c:pt idx="23">
                  <c:v>0.13496932515337423</c:v>
                </c:pt>
                <c:pt idx="24">
                  <c:v>0.13294797687861271</c:v>
                </c:pt>
                <c:pt idx="25">
                  <c:v>0.13259668508287292</c:v>
                </c:pt>
                <c:pt idx="26">
                  <c:v>0.14136125654450263</c:v>
                </c:pt>
                <c:pt idx="27">
                  <c:v>0.14213197969543148</c:v>
                </c:pt>
                <c:pt idx="28">
                  <c:v>0.14563106796116504</c:v>
                </c:pt>
                <c:pt idx="29">
                  <c:v>0.14150943396226415</c:v>
                </c:pt>
                <c:pt idx="30">
                  <c:v>0.13761467889908258</c:v>
                </c:pt>
                <c:pt idx="31">
                  <c:v>0.13333333333333333</c:v>
                </c:pt>
                <c:pt idx="32">
                  <c:v>0.13692946058091288</c:v>
                </c:pt>
                <c:pt idx="33">
                  <c:v>0.1394422310756972</c:v>
                </c:pt>
                <c:pt idx="34">
                  <c:v>0.14396887159533073</c:v>
                </c:pt>
                <c:pt idx="35">
                  <c:v>0.14068441064638784</c:v>
                </c:pt>
                <c:pt idx="36">
                  <c:v>0.14181818181818182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609553478712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たかの2!$I$3:$I$39</c:f>
              <c:numCache>
                <c:formatCode>0</c:formatCode>
                <c:ptCount val="37"/>
                <c:pt idx="1">
                  <c:v>28000</c:v>
                </c:pt>
                <c:pt idx="2">
                  <c:v>12555.555555555555</c:v>
                </c:pt>
                <c:pt idx="3">
                  <c:v>11216.666666666666</c:v>
                </c:pt>
                <c:pt idx="4">
                  <c:v>11216.666666666666</c:v>
                </c:pt>
                <c:pt idx="5">
                  <c:v>10318.75</c:v>
                </c:pt>
                <c:pt idx="6">
                  <c:v>10283.333333333334</c:v>
                </c:pt>
                <c:pt idx="7">
                  <c:v>9878.9473684210534</c:v>
                </c:pt>
                <c:pt idx="8">
                  <c:v>9185.7142857142862</c:v>
                </c:pt>
                <c:pt idx="9">
                  <c:v>9185.7142857142862</c:v>
                </c:pt>
                <c:pt idx="10">
                  <c:v>8836.363636363636</c:v>
                </c:pt>
                <c:pt idx="11">
                  <c:v>8184</c:v>
                </c:pt>
                <c:pt idx="12">
                  <c:v>8148.1481481481478</c:v>
                </c:pt>
                <c:pt idx="13">
                  <c:v>8300</c:v>
                </c:pt>
                <c:pt idx="14">
                  <c:v>8221.2121212121219</c:v>
                </c:pt>
                <c:pt idx="15">
                  <c:v>8305.7142857142862</c:v>
                </c:pt>
                <c:pt idx="16">
                  <c:v>7971.0526315789475</c:v>
                </c:pt>
                <c:pt idx="17">
                  <c:v>7675</c:v>
                </c:pt>
                <c:pt idx="18">
                  <c:v>7682.9268292682927</c:v>
                </c:pt>
                <c:pt idx="19">
                  <c:v>8250</c:v>
                </c:pt>
                <c:pt idx="20">
                  <c:v>8250</c:v>
                </c:pt>
                <c:pt idx="21">
                  <c:v>8153.333333333333</c:v>
                </c:pt>
                <c:pt idx="22">
                  <c:v>8037.2549019607841</c:v>
                </c:pt>
                <c:pt idx="23">
                  <c:v>7958.4905660377362</c:v>
                </c:pt>
                <c:pt idx="24">
                  <c:v>7930.3571428571431</c:v>
                </c:pt>
                <c:pt idx="25">
                  <c:v>7930.3571428571431</c:v>
                </c:pt>
                <c:pt idx="26">
                  <c:v>8308.3333333333339</c:v>
                </c:pt>
                <c:pt idx="27">
                  <c:v>8236.065573770491</c:v>
                </c:pt>
                <c:pt idx="28">
                  <c:v>8120.6349206349205</c:v>
                </c:pt>
                <c:pt idx="29">
                  <c:v>8086.363636363636</c:v>
                </c:pt>
                <c:pt idx="30">
                  <c:v>7964.7058823529414</c:v>
                </c:pt>
                <c:pt idx="31">
                  <c:v>7805.6338028169012</c:v>
                </c:pt>
                <c:pt idx="32">
                  <c:v>7746.666666666667</c:v>
                </c:pt>
                <c:pt idx="33">
                  <c:v>7745.5696202531644</c:v>
                </c:pt>
                <c:pt idx="34">
                  <c:v>7734.5679012345681</c:v>
                </c:pt>
                <c:pt idx="35">
                  <c:v>7826.1904761904761</c:v>
                </c:pt>
                <c:pt idx="36">
                  <c:v>7734.090909090909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80.16726403823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たかの2!$J$3:$J$39</c:f>
              <c:numCache>
                <c:formatCode>0</c:formatCode>
                <c:ptCount val="37"/>
                <c:pt idx="1">
                  <c:v>-12000</c:v>
                </c:pt>
                <c:pt idx="2">
                  <c:v>-12000</c:v>
                </c:pt>
                <c:pt idx="3">
                  <c:v>-6800</c:v>
                </c:pt>
                <c:pt idx="4">
                  <c:v>-4225</c:v>
                </c:pt>
                <c:pt idx="5">
                  <c:v>-4980</c:v>
                </c:pt>
                <c:pt idx="6">
                  <c:v>-4980</c:v>
                </c:pt>
                <c:pt idx="7">
                  <c:v>-9271.4285714285706</c:v>
                </c:pt>
                <c:pt idx="8">
                  <c:v>-8237.5</c:v>
                </c:pt>
                <c:pt idx="9">
                  <c:v>-8509.0909090909099</c:v>
                </c:pt>
                <c:pt idx="10">
                  <c:v>-8509.0909090909099</c:v>
                </c:pt>
                <c:pt idx="11">
                  <c:v>-8509.0909090909099</c:v>
                </c:pt>
                <c:pt idx="12">
                  <c:v>-8509.0909090909099</c:v>
                </c:pt>
                <c:pt idx="13">
                  <c:v>-8509.0909090909099</c:v>
                </c:pt>
                <c:pt idx="14">
                  <c:v>-8041.666666666667</c:v>
                </c:pt>
                <c:pt idx="15">
                  <c:v>-8041.666666666667</c:v>
                </c:pt>
                <c:pt idx="16">
                  <c:v>-7576.9230769230771</c:v>
                </c:pt>
                <c:pt idx="17">
                  <c:v>-6929.411764705882</c:v>
                </c:pt>
                <c:pt idx="18">
                  <c:v>-7211.1111111111113</c:v>
                </c:pt>
                <c:pt idx="19">
                  <c:v>-7211.1111111111113</c:v>
                </c:pt>
                <c:pt idx="20">
                  <c:v>-7775</c:v>
                </c:pt>
                <c:pt idx="21">
                  <c:v>-7785.7142857142853</c:v>
                </c:pt>
                <c:pt idx="22">
                  <c:v>-7785.7142857142853</c:v>
                </c:pt>
                <c:pt idx="23">
                  <c:v>-7609.090909090909</c:v>
                </c:pt>
                <c:pt idx="24">
                  <c:v>-7447.826086956522</c:v>
                </c:pt>
                <c:pt idx="25">
                  <c:v>-7887.5</c:v>
                </c:pt>
                <c:pt idx="26">
                  <c:v>-7514.8148148148148</c:v>
                </c:pt>
                <c:pt idx="27">
                  <c:v>-7385.7142857142853</c:v>
                </c:pt>
                <c:pt idx="28">
                  <c:v>-7280</c:v>
                </c:pt>
                <c:pt idx="29">
                  <c:v>-7280</c:v>
                </c:pt>
                <c:pt idx="30">
                  <c:v>-7280</c:v>
                </c:pt>
                <c:pt idx="31">
                  <c:v>-7280</c:v>
                </c:pt>
                <c:pt idx="32">
                  <c:v>-6827.272727272727</c:v>
                </c:pt>
                <c:pt idx="33">
                  <c:v>-7008.5714285714284</c:v>
                </c:pt>
                <c:pt idx="34">
                  <c:v>-7170.27027027027</c:v>
                </c:pt>
                <c:pt idx="35">
                  <c:v>-7170.27027027027</c:v>
                </c:pt>
                <c:pt idx="36">
                  <c:v>-7315.3846153846152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21.46118721461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たかの2!$K$3:$K$39</c:f>
              <c:numCache>
                <c:formatCode>0.0%</c:formatCode>
                <c:ptCount val="3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0.24</c:v>
                </c:pt>
                <c:pt idx="26">
                  <c:v>0.23076923076923078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021857923497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たかの2!$L$3:$L$39</c:f>
              <c:numCache>
                <c:formatCode>0.0%</c:formatCode>
                <c:ptCount val="37"/>
                <c:pt idx="1">
                  <c:v>0</c:v>
                </c:pt>
                <c:pt idx="2">
                  <c:v>0.33333333333333331</c:v>
                </c:pt>
                <c:pt idx="3">
                  <c:v>0.2608695652173913</c:v>
                </c:pt>
                <c:pt idx="4">
                  <c:v>0.23333333333333334</c:v>
                </c:pt>
                <c:pt idx="5">
                  <c:v>0.22500000000000001</c:v>
                </c:pt>
                <c:pt idx="6">
                  <c:v>0.2391304347826087</c:v>
                </c:pt>
                <c:pt idx="7">
                  <c:v>0.23076923076923078</c:v>
                </c:pt>
                <c:pt idx="8">
                  <c:v>0.21666666666666667</c:v>
                </c:pt>
                <c:pt idx="9">
                  <c:v>0.203125</c:v>
                </c:pt>
                <c:pt idx="10">
                  <c:v>0.18055555555555555</c:v>
                </c:pt>
                <c:pt idx="11">
                  <c:v>0.17948717948717949</c:v>
                </c:pt>
                <c:pt idx="12">
                  <c:v>0.17073170731707318</c:v>
                </c:pt>
                <c:pt idx="13">
                  <c:v>0.18604651162790697</c:v>
                </c:pt>
                <c:pt idx="14">
                  <c:v>0.17708333333333334</c:v>
                </c:pt>
                <c:pt idx="15">
                  <c:v>0.18811881188118812</c:v>
                </c:pt>
                <c:pt idx="16">
                  <c:v>0.1743119266055046</c:v>
                </c:pt>
                <c:pt idx="17">
                  <c:v>0.16806722689075632</c:v>
                </c:pt>
                <c:pt idx="18">
                  <c:v>0.15873015873015872</c:v>
                </c:pt>
                <c:pt idx="19">
                  <c:v>0.15909090909090909</c:v>
                </c:pt>
                <c:pt idx="20">
                  <c:v>0.15328467153284672</c:v>
                </c:pt>
                <c:pt idx="21">
                  <c:v>0.15172413793103448</c:v>
                </c:pt>
                <c:pt idx="22">
                  <c:v>0.1464968152866242</c:v>
                </c:pt>
                <c:pt idx="23">
                  <c:v>0.1411042944785276</c:v>
                </c:pt>
                <c:pt idx="24">
                  <c:v>0.14450867052023122</c:v>
                </c:pt>
                <c:pt idx="25">
                  <c:v>0.13812154696132597</c:v>
                </c:pt>
                <c:pt idx="26">
                  <c:v>0.14136125654450263</c:v>
                </c:pt>
                <c:pt idx="27">
                  <c:v>0.13705583756345177</c:v>
                </c:pt>
                <c:pt idx="28">
                  <c:v>0.14077669902912621</c:v>
                </c:pt>
                <c:pt idx="29">
                  <c:v>0.14150943396226415</c:v>
                </c:pt>
                <c:pt idx="30">
                  <c:v>0.13761467889908258</c:v>
                </c:pt>
                <c:pt idx="31">
                  <c:v>0.13333333333333333</c:v>
                </c:pt>
                <c:pt idx="32">
                  <c:v>0.13278008298755187</c:v>
                </c:pt>
                <c:pt idx="33">
                  <c:v>0.1394422310756972</c:v>
                </c:pt>
                <c:pt idx="34">
                  <c:v>0.14785992217898833</c:v>
                </c:pt>
                <c:pt idx="35">
                  <c:v>0.15209125475285171</c:v>
                </c:pt>
                <c:pt idx="36">
                  <c:v>0.15272727272727274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160609207338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たかの2!$M$3:$M$39</c:f>
              <c:numCache>
                <c:formatCode>0.0%</c:formatCode>
                <c:ptCount val="37"/>
                <c:pt idx="1">
                  <c:v>0.5</c:v>
                </c:pt>
                <c:pt idx="2">
                  <c:v>0.25</c:v>
                </c:pt>
                <c:pt idx="3">
                  <c:v>0.2608695652173913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0.36956521739130432</c:v>
                </c:pt>
                <c:pt idx="7">
                  <c:v>0.34615384615384615</c:v>
                </c:pt>
                <c:pt idx="8">
                  <c:v>0.4</c:v>
                </c:pt>
                <c:pt idx="9">
                  <c:v>0.421875</c:v>
                </c:pt>
                <c:pt idx="10">
                  <c:v>0.3888888888888889</c:v>
                </c:pt>
                <c:pt idx="11">
                  <c:v>0.37179487179487181</c:v>
                </c:pt>
                <c:pt idx="12">
                  <c:v>0.37804878048780488</c:v>
                </c:pt>
                <c:pt idx="13">
                  <c:v>0.38372093023255816</c:v>
                </c:pt>
                <c:pt idx="14">
                  <c:v>0.36458333333333331</c:v>
                </c:pt>
                <c:pt idx="15">
                  <c:v>0.35643564356435642</c:v>
                </c:pt>
                <c:pt idx="16">
                  <c:v>0.3577981651376147</c:v>
                </c:pt>
                <c:pt idx="17">
                  <c:v>0.33613445378151263</c:v>
                </c:pt>
                <c:pt idx="18">
                  <c:v>0.34126984126984128</c:v>
                </c:pt>
                <c:pt idx="19">
                  <c:v>0.34090909090909088</c:v>
                </c:pt>
                <c:pt idx="20">
                  <c:v>0.33576642335766421</c:v>
                </c:pt>
                <c:pt idx="21">
                  <c:v>0.33103448275862069</c:v>
                </c:pt>
                <c:pt idx="22">
                  <c:v>0.33121019108280253</c:v>
                </c:pt>
                <c:pt idx="23">
                  <c:v>0.33128834355828218</c:v>
                </c:pt>
                <c:pt idx="24">
                  <c:v>0.33526011560693642</c:v>
                </c:pt>
                <c:pt idx="25">
                  <c:v>0.32044198895027626</c:v>
                </c:pt>
                <c:pt idx="26">
                  <c:v>0.31413612565445026</c:v>
                </c:pt>
                <c:pt idx="27">
                  <c:v>0.32487309644670048</c:v>
                </c:pt>
                <c:pt idx="28">
                  <c:v>0.32524271844660196</c:v>
                </c:pt>
                <c:pt idx="29">
                  <c:v>0.32075471698113206</c:v>
                </c:pt>
                <c:pt idx="30">
                  <c:v>0.33027522935779818</c:v>
                </c:pt>
                <c:pt idx="31">
                  <c:v>0.33333333333333331</c:v>
                </c:pt>
                <c:pt idx="32">
                  <c:v>0.35269709543568467</c:v>
                </c:pt>
                <c:pt idx="33">
                  <c:v>0.36254980079681276</c:v>
                </c:pt>
                <c:pt idx="34">
                  <c:v>0.35408560311284049</c:v>
                </c:pt>
                <c:pt idx="35">
                  <c:v>0.34980988593155893</c:v>
                </c:pt>
                <c:pt idx="36">
                  <c:v>0.35272727272727272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5607476635514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たかの2!$N$3:$N$39</c:f>
              <c:numCache>
                <c:formatCode>0.0%</c:formatCode>
                <c:ptCount val="37"/>
                <c:pt idx="1">
                  <c:v>0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0.55555555555555558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0.53846153846153844</c:v>
                </c:pt>
                <c:pt idx="9">
                  <c:v>0.53846153846153844</c:v>
                </c:pt>
                <c:pt idx="10">
                  <c:v>0.53846153846153844</c:v>
                </c:pt>
                <c:pt idx="11">
                  <c:v>0.5714285714285714</c:v>
                </c:pt>
                <c:pt idx="12">
                  <c:v>0.5714285714285714</c:v>
                </c:pt>
                <c:pt idx="13">
                  <c:v>0.625</c:v>
                </c:pt>
                <c:pt idx="14">
                  <c:v>0.6470588235294118</c:v>
                </c:pt>
                <c:pt idx="15">
                  <c:v>0.63157894736842102</c:v>
                </c:pt>
                <c:pt idx="16">
                  <c:v>0.63157894736842102</c:v>
                </c:pt>
                <c:pt idx="17">
                  <c:v>0.6</c:v>
                </c:pt>
                <c:pt idx="18">
                  <c:v>0.6</c:v>
                </c:pt>
                <c:pt idx="19">
                  <c:v>0.61904761904761907</c:v>
                </c:pt>
                <c:pt idx="20">
                  <c:v>0.61904761904761907</c:v>
                </c:pt>
                <c:pt idx="21">
                  <c:v>0.59090909090909094</c:v>
                </c:pt>
                <c:pt idx="22">
                  <c:v>0.60869565217391308</c:v>
                </c:pt>
                <c:pt idx="23">
                  <c:v>0.60869565217391308</c:v>
                </c:pt>
                <c:pt idx="24">
                  <c:v>0.6</c:v>
                </c:pt>
                <c:pt idx="25">
                  <c:v>0.6</c:v>
                </c:pt>
                <c:pt idx="26">
                  <c:v>0.62962962962962965</c:v>
                </c:pt>
                <c:pt idx="27">
                  <c:v>0.62962962962962965</c:v>
                </c:pt>
                <c:pt idx="28">
                  <c:v>0.62068965517241381</c:v>
                </c:pt>
                <c:pt idx="29">
                  <c:v>0.6333333333333333</c:v>
                </c:pt>
                <c:pt idx="30">
                  <c:v>0.6333333333333333</c:v>
                </c:pt>
                <c:pt idx="31">
                  <c:v>0.6333333333333333</c:v>
                </c:pt>
                <c:pt idx="32">
                  <c:v>0.625</c:v>
                </c:pt>
                <c:pt idx="33">
                  <c:v>0.6</c:v>
                </c:pt>
                <c:pt idx="34">
                  <c:v>0.60526315789473684</c:v>
                </c:pt>
                <c:pt idx="35">
                  <c:v>0.625</c:v>
                </c:pt>
                <c:pt idx="36">
                  <c:v>0.6428571428571429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8739255014326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たかの2!$O$3:$O$39</c:f>
              <c:numCache>
                <c:formatCode>0.0%</c:formatCode>
                <c:ptCount val="37"/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0.3</c:v>
                </c:pt>
                <c:pt idx="5">
                  <c:v>0.4</c:v>
                </c:pt>
                <c:pt idx="6">
                  <c:v>0.35294117647058826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0.29629629629629628</c:v>
                </c:pt>
                <c:pt idx="10">
                  <c:v>0.32142857142857145</c:v>
                </c:pt>
                <c:pt idx="11">
                  <c:v>0.34482758620689657</c:v>
                </c:pt>
                <c:pt idx="12">
                  <c:v>0.38709677419354838</c:v>
                </c:pt>
                <c:pt idx="13">
                  <c:v>0.42424242424242425</c:v>
                </c:pt>
                <c:pt idx="14">
                  <c:v>0.4</c:v>
                </c:pt>
                <c:pt idx="15">
                  <c:v>0.41666666666666669</c:v>
                </c:pt>
                <c:pt idx="16">
                  <c:v>0.41025641025641024</c:v>
                </c:pt>
                <c:pt idx="17">
                  <c:v>0.42499999999999999</c:v>
                </c:pt>
                <c:pt idx="18">
                  <c:v>0.41860465116279072</c:v>
                </c:pt>
                <c:pt idx="19">
                  <c:v>0.42222222222222222</c:v>
                </c:pt>
                <c:pt idx="20">
                  <c:v>0.41304347826086957</c:v>
                </c:pt>
                <c:pt idx="21">
                  <c:v>0.41666666666666669</c:v>
                </c:pt>
                <c:pt idx="22">
                  <c:v>0.44230769230769229</c:v>
                </c:pt>
                <c:pt idx="23">
                  <c:v>0.46296296296296297</c:v>
                </c:pt>
                <c:pt idx="24">
                  <c:v>0.44827586206896552</c:v>
                </c:pt>
                <c:pt idx="25">
                  <c:v>0.44827586206896552</c:v>
                </c:pt>
                <c:pt idx="26">
                  <c:v>0.43333333333333335</c:v>
                </c:pt>
                <c:pt idx="27">
                  <c:v>0.40625</c:v>
                </c:pt>
                <c:pt idx="28">
                  <c:v>0.40298507462686567</c:v>
                </c:pt>
                <c:pt idx="29">
                  <c:v>0.41176470588235292</c:v>
                </c:pt>
                <c:pt idx="30">
                  <c:v>0.41666666666666669</c:v>
                </c:pt>
                <c:pt idx="31">
                  <c:v>0.42666666666666669</c:v>
                </c:pt>
                <c:pt idx="32">
                  <c:v>0.41176470588235292</c:v>
                </c:pt>
                <c:pt idx="33">
                  <c:v>0.4175824175824176</c:v>
                </c:pt>
                <c:pt idx="34">
                  <c:v>0.4175824175824176</c:v>
                </c:pt>
                <c:pt idx="35">
                  <c:v>0.42391304347826086</c:v>
                </c:pt>
                <c:pt idx="36">
                  <c:v>0.42268041237113402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141414141414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たかの2!$P$3:$P$39</c:f>
              <c:numCache>
                <c:formatCode>0.0%</c:formatCode>
                <c:ptCount val="37"/>
                <c:pt idx="1">
                  <c:v>1</c:v>
                </c:pt>
                <c:pt idx="2">
                  <c:v>0.55555555555555558</c:v>
                </c:pt>
                <c:pt idx="3">
                  <c:v>0.5</c:v>
                </c:pt>
                <c:pt idx="4">
                  <c:v>0.5</c:v>
                </c:pt>
                <c:pt idx="5">
                  <c:v>0.4375</c:v>
                </c:pt>
                <c:pt idx="6">
                  <c:v>0.5</c:v>
                </c:pt>
                <c:pt idx="7">
                  <c:v>0.47368421052631576</c:v>
                </c:pt>
                <c:pt idx="8">
                  <c:v>0.42857142857142855</c:v>
                </c:pt>
                <c:pt idx="9">
                  <c:v>0.42857142857142855</c:v>
                </c:pt>
                <c:pt idx="10">
                  <c:v>0.40909090909090912</c:v>
                </c:pt>
                <c:pt idx="11">
                  <c:v>0.48</c:v>
                </c:pt>
                <c:pt idx="12">
                  <c:v>0.51851851851851849</c:v>
                </c:pt>
                <c:pt idx="13">
                  <c:v>0.4838709677419355</c:v>
                </c:pt>
                <c:pt idx="14">
                  <c:v>0.45454545454545453</c:v>
                </c:pt>
                <c:pt idx="15">
                  <c:v>0.48571428571428571</c:v>
                </c:pt>
                <c:pt idx="16">
                  <c:v>0.5</c:v>
                </c:pt>
                <c:pt idx="17">
                  <c:v>0.5</c:v>
                </c:pt>
                <c:pt idx="18">
                  <c:v>0.48780487804878048</c:v>
                </c:pt>
                <c:pt idx="19">
                  <c:v>0.52272727272727271</c:v>
                </c:pt>
                <c:pt idx="20">
                  <c:v>0.52272727272727271</c:v>
                </c:pt>
                <c:pt idx="21">
                  <c:v>0.51111111111111107</c:v>
                </c:pt>
                <c:pt idx="22">
                  <c:v>0.49019607843137253</c:v>
                </c:pt>
                <c:pt idx="23">
                  <c:v>0.47169811320754718</c:v>
                </c:pt>
                <c:pt idx="24">
                  <c:v>0.44642857142857145</c:v>
                </c:pt>
                <c:pt idx="25">
                  <c:v>0.44642857142857145</c:v>
                </c:pt>
                <c:pt idx="26">
                  <c:v>0.46666666666666667</c:v>
                </c:pt>
                <c:pt idx="27">
                  <c:v>0.45901639344262296</c:v>
                </c:pt>
                <c:pt idx="28">
                  <c:v>0.46031746031746029</c:v>
                </c:pt>
                <c:pt idx="29">
                  <c:v>0.46969696969696972</c:v>
                </c:pt>
                <c:pt idx="30">
                  <c:v>0.47058823529411764</c:v>
                </c:pt>
                <c:pt idx="31">
                  <c:v>0.46478873239436619</c:v>
                </c:pt>
                <c:pt idx="32">
                  <c:v>0.46666666666666667</c:v>
                </c:pt>
                <c:pt idx="33">
                  <c:v>0.44303797468354428</c:v>
                </c:pt>
                <c:pt idx="34">
                  <c:v>0.44444444444444442</c:v>
                </c:pt>
                <c:pt idx="35">
                  <c:v>0.45238095238095238</c:v>
                </c:pt>
                <c:pt idx="36">
                  <c:v>0.44318181818181818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4313022700119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6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5">
      <c r="A7" s="2" t="s">
        <v>209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210</v>
      </c>
      <c r="B8" s="3">
        <v>44017.977951388886</v>
      </c>
      <c r="C8" s="2" t="s">
        <v>127</v>
      </c>
    </row>
    <row r="9" spans="1:12" x14ac:dyDescent="0.45">
      <c r="A9" s="2" t="s">
        <v>211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213</v>
      </c>
      <c r="B10" s="3">
        <v>44017.977951388886</v>
      </c>
      <c r="C10" s="2" t="s">
        <v>127</v>
      </c>
      <c r="D10" s="2" t="s">
        <v>191</v>
      </c>
    </row>
    <row r="11" spans="1:12" x14ac:dyDescent="0.45">
      <c r="A11" s="2" t="s">
        <v>214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215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216</v>
      </c>
      <c r="B13" s="3">
        <v>44017.977951388886</v>
      </c>
      <c r="C13" s="2" t="s">
        <v>127</v>
      </c>
      <c r="D13" s="2" t="s">
        <v>191</v>
      </c>
    </row>
    <row r="14" spans="1:12" x14ac:dyDescent="0.45">
      <c r="A14" s="2" t="s">
        <v>217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218</v>
      </c>
      <c r="B15" s="3">
        <v>44017.977951388886</v>
      </c>
      <c r="C15" s="2" t="s">
        <v>127</v>
      </c>
      <c r="D15" s="2" t="s">
        <v>191</v>
      </c>
    </row>
    <row r="16" spans="1:12" x14ac:dyDescent="0.45">
      <c r="A16" s="2" t="s">
        <v>219</v>
      </c>
      <c r="B16" s="3">
        <v>44017.977951388886</v>
      </c>
      <c r="C16" s="2" t="s">
        <v>127</v>
      </c>
    </row>
    <row r="17" spans="1:8" x14ac:dyDescent="0.45">
      <c r="A17" s="2" t="s">
        <v>220</v>
      </c>
      <c r="B17" s="3">
        <v>44017.977951388886</v>
      </c>
      <c r="C17" s="2" t="s">
        <v>127</v>
      </c>
      <c r="D17" s="2" t="s">
        <v>191</v>
      </c>
    </row>
    <row r="18" spans="1:8" x14ac:dyDescent="0.45">
      <c r="A18" s="2" t="s">
        <v>221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5">
      <c r="A19" s="2" t="s">
        <v>222</v>
      </c>
      <c r="B19" s="3">
        <v>44017.977951388886</v>
      </c>
      <c r="C19" s="2" t="s">
        <v>127</v>
      </c>
      <c r="D19" s="2" t="s">
        <v>191</v>
      </c>
    </row>
    <row r="20" spans="1:8" x14ac:dyDescent="0.45">
      <c r="A20" s="2" t="s">
        <v>223</v>
      </c>
      <c r="B20" s="3">
        <v>44017.977951388886</v>
      </c>
      <c r="C20" s="2" t="s">
        <v>127</v>
      </c>
      <c r="D20" s="2" t="s">
        <v>191</v>
      </c>
    </row>
    <row r="21" spans="1:8" x14ac:dyDescent="0.45">
      <c r="A21" s="2" t="s">
        <v>224</v>
      </c>
      <c r="B21" s="3">
        <v>44017.977951388886</v>
      </c>
      <c r="C21" s="2" t="s">
        <v>127</v>
      </c>
      <c r="D21" s="2" t="s">
        <v>191</v>
      </c>
    </row>
    <row r="22" spans="1:8" x14ac:dyDescent="0.45">
      <c r="A22" s="2" t="s">
        <v>225</v>
      </c>
      <c r="B22" s="3">
        <v>44017.977951388886</v>
      </c>
      <c r="C22" s="2" t="s">
        <v>127</v>
      </c>
    </row>
    <row r="23" spans="1:8" x14ac:dyDescent="0.45">
      <c r="A23" s="2" t="s">
        <v>226</v>
      </c>
      <c r="B23" s="3">
        <v>44017.977951388886</v>
      </c>
      <c r="C23" s="2" t="s">
        <v>127</v>
      </c>
    </row>
    <row r="24" spans="1:8" x14ac:dyDescent="0.45">
      <c r="A24" s="2" t="s">
        <v>227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5">
      <c r="A25" s="2" t="s">
        <v>228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5">
      <c r="A26" s="2" t="s">
        <v>229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5">
      <c r="A27" s="2" t="s">
        <v>230</v>
      </c>
      <c r="B27" s="3">
        <v>44017.977951388886</v>
      </c>
      <c r="C27" s="2" t="s">
        <v>127</v>
      </c>
      <c r="D27" s="2" t="s">
        <v>191</v>
      </c>
    </row>
    <row r="28" spans="1:8" x14ac:dyDescent="0.45">
      <c r="A28" s="2" t="s">
        <v>231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5">
      <c r="A29" s="2" t="s">
        <v>232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5">
      <c r="A30" s="2" t="s">
        <v>233</v>
      </c>
      <c r="B30" s="3">
        <v>44018.651041666664</v>
      </c>
      <c r="C30" s="2" t="s">
        <v>127</v>
      </c>
    </row>
    <row r="31" spans="1:8" x14ac:dyDescent="0.45">
      <c r="A31" s="2" t="s">
        <v>234</v>
      </c>
      <c r="B31" s="3">
        <v>44022.791030092594</v>
      </c>
      <c r="C31" s="2" t="s">
        <v>127</v>
      </c>
      <c r="D31" s="2" t="s">
        <v>191</v>
      </c>
    </row>
    <row r="32" spans="1:8" x14ac:dyDescent="0.45">
      <c r="A32" s="2" t="s">
        <v>235</v>
      </c>
      <c r="B32" s="3">
        <v>44024.751493055555</v>
      </c>
      <c r="C32" s="2" t="s">
        <v>127</v>
      </c>
      <c r="D32" s="2" t="s">
        <v>191</v>
      </c>
    </row>
    <row r="33" spans="1:7" x14ac:dyDescent="0.45">
      <c r="A33" s="2" t="s">
        <v>237</v>
      </c>
      <c r="B33" s="3">
        <v>44026.760995370372</v>
      </c>
      <c r="C33" s="2" t="s">
        <v>127</v>
      </c>
    </row>
    <row r="34" spans="1:7" x14ac:dyDescent="0.45">
      <c r="A34" s="2" t="s">
        <v>238</v>
      </c>
      <c r="B34" s="3">
        <v>44030.014479166668</v>
      </c>
      <c r="C34" s="2" t="s">
        <v>127</v>
      </c>
      <c r="D34" s="2" t="s">
        <v>191</v>
      </c>
      <c r="E34" s="2" t="s">
        <v>195</v>
      </c>
      <c r="F34" s="2" t="s">
        <v>197</v>
      </c>
    </row>
    <row r="35" spans="1:7" x14ac:dyDescent="0.45">
      <c r="A35" s="2" t="s">
        <v>239</v>
      </c>
      <c r="B35" s="3">
        <v>44030.997048611112</v>
      </c>
      <c r="C35" s="2" t="s">
        <v>127</v>
      </c>
      <c r="D35" s="2" t="s">
        <v>191</v>
      </c>
      <c r="E35" s="2" t="s">
        <v>195</v>
      </c>
      <c r="F35" s="2" t="s">
        <v>197</v>
      </c>
      <c r="G35" s="2" t="s">
        <v>198</v>
      </c>
    </row>
    <row r="36" spans="1:7" x14ac:dyDescent="0.45">
      <c r="A36" s="2" t="s">
        <v>241</v>
      </c>
      <c r="B36" s="3">
        <v>44033.989502314813</v>
      </c>
      <c r="C36" s="2" t="s">
        <v>127</v>
      </c>
      <c r="D36" s="2" t="s">
        <v>191</v>
      </c>
      <c r="E36" s="2" t="s">
        <v>195</v>
      </c>
      <c r="F36" s="2" t="s">
        <v>197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366</v>
      </c>
    </row>
    <row r="2" spans="1:2" x14ac:dyDescent="0.45">
      <c r="A2" t="s">
        <v>164</v>
      </c>
      <c r="B2">
        <v>63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93</v>
      </c>
    </row>
    <row r="5" spans="1:2" x14ac:dyDescent="0.45">
      <c r="A5" t="s">
        <v>194</v>
      </c>
      <c r="B5">
        <v>40</v>
      </c>
    </row>
    <row r="6" spans="1:2" x14ac:dyDescent="0.45">
      <c r="A6" t="s">
        <v>192</v>
      </c>
      <c r="B6">
        <v>60</v>
      </c>
    </row>
    <row r="7" spans="1:2" x14ac:dyDescent="0.45">
      <c r="A7" t="s">
        <v>193</v>
      </c>
      <c r="B7">
        <v>36</v>
      </c>
    </row>
    <row r="8" spans="1:2" x14ac:dyDescent="0.45">
      <c r="A8" t="s">
        <v>196</v>
      </c>
      <c r="B8">
        <v>9</v>
      </c>
    </row>
    <row r="9" spans="1:2" x14ac:dyDescent="0.45">
      <c r="A9" t="s">
        <v>205</v>
      </c>
      <c r="B9">
        <v>42</v>
      </c>
    </row>
    <row r="10" spans="1:2" x14ac:dyDescent="0.45">
      <c r="A10" t="s">
        <v>212</v>
      </c>
      <c r="B10">
        <v>9</v>
      </c>
    </row>
    <row r="11" spans="1:2" x14ac:dyDescent="0.45">
      <c r="A11" t="s">
        <v>240</v>
      </c>
      <c r="B11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/>
      <c r="C1" s="134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0</v>
      </c>
      <c r="C2" s="136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7">
        <v>0</v>
      </c>
      <c r="C3" s="138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9">
        <v>0</v>
      </c>
      <c r="C4" s="140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7">
        <f>IF(B$2=0,0,B$4/B$2)</f>
        <v>0</v>
      </c>
      <c r="C5" s="128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1">
        <f>IF(B$2=0,0,(B$7*1+B$8*2+B$9*3)/B$2)</f>
        <v>0</v>
      </c>
      <c r="C6" s="142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9">
        <v>0</v>
      </c>
      <c r="C32" s="130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1">
        <v>-1000000</v>
      </c>
      <c r="C33" s="132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236</v>
      </c>
      <c r="B1" s="147" t="s">
        <v>9</v>
      </c>
      <c r="C1" s="148"/>
      <c r="D1" s="143" t="s">
        <v>6</v>
      </c>
      <c r="E1" s="144"/>
      <c r="F1" s="143" t="s">
        <v>7</v>
      </c>
      <c r="G1" s="144"/>
      <c r="H1" s="147" t="s">
        <v>188</v>
      </c>
      <c r="I1" s="148"/>
      <c r="J1" s="143" t="s">
        <v>15</v>
      </c>
      <c r="K1" s="144"/>
      <c r="L1" s="143" t="s">
        <v>14</v>
      </c>
      <c r="M1" s="144"/>
      <c r="N1" s="143" t="s">
        <v>150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181</v>
      </c>
      <c r="AK1" s="144"/>
    </row>
    <row r="2" spans="1:37" x14ac:dyDescent="0.45">
      <c r="A2" s="38" t="s">
        <v>149</v>
      </c>
      <c r="B2" s="145">
        <v>0.81342713300749181</v>
      </c>
      <c r="C2" s="146"/>
      <c r="D2" s="149"/>
      <c r="E2" s="150"/>
      <c r="F2" s="149"/>
      <c r="G2" s="150"/>
      <c r="H2" s="145">
        <v>-0.29173868061300157</v>
      </c>
      <c r="I2" s="146"/>
      <c r="J2" s="145">
        <v>0.92351567414204916</v>
      </c>
      <c r="K2" s="146"/>
      <c r="L2" s="145">
        <v>0.86479822211469437</v>
      </c>
      <c r="M2" s="146"/>
      <c r="N2" s="145">
        <v>0.93523827378686497</v>
      </c>
      <c r="O2" s="146"/>
      <c r="P2" s="145">
        <v>0.3422172006295312</v>
      </c>
      <c r="Q2" s="146"/>
      <c r="R2" s="145">
        <v>0.36729571626784274</v>
      </c>
      <c r="S2" s="146"/>
      <c r="T2" s="145">
        <v>0.47997236203150373</v>
      </c>
      <c r="U2" s="146"/>
      <c r="V2" s="145">
        <v>-8.7528296442272946E-2</v>
      </c>
      <c r="W2" s="146"/>
      <c r="X2" s="145">
        <v>0.55732662741917316</v>
      </c>
      <c r="Y2" s="146"/>
      <c r="Z2" s="145">
        <v>0.10205886208324154</v>
      </c>
      <c r="AA2" s="146"/>
      <c r="AB2" s="145">
        <v>-0.21679928148270275</v>
      </c>
      <c r="AC2" s="146"/>
      <c r="AD2" s="145">
        <v>0.19759309565152272</v>
      </c>
      <c r="AE2" s="146"/>
      <c r="AF2" s="145">
        <v>0.19245666019358804</v>
      </c>
      <c r="AG2" s="146"/>
      <c r="AH2" s="145">
        <v>0.31492569330187897</v>
      </c>
      <c r="AI2" s="146"/>
      <c r="AJ2" s="145">
        <v>-4.0541743717772043E-3</v>
      </c>
      <c r="AK2" s="146"/>
    </row>
    <row r="3" spans="1:37" x14ac:dyDescent="0.45">
      <c r="A3" s="40">
        <v>1</v>
      </c>
      <c r="B3" s="43" t="s">
        <v>139</v>
      </c>
      <c r="C3" s="117">
        <v>122</v>
      </c>
      <c r="D3" s="41" t="s">
        <v>126</v>
      </c>
      <c r="E3" s="42">
        <v>761.70000000000027</v>
      </c>
      <c r="F3" s="43" t="s">
        <v>126</v>
      </c>
      <c r="G3" s="62">
        <v>8.1903225806451641</v>
      </c>
      <c r="H3" s="43" t="s">
        <v>196</v>
      </c>
      <c r="I3" s="62">
        <v>9.3444444444444432</v>
      </c>
      <c r="J3" s="43" t="s">
        <v>126</v>
      </c>
      <c r="K3" s="44">
        <v>1.7741935483870968</v>
      </c>
      <c r="L3" s="43" t="s">
        <v>126</v>
      </c>
      <c r="M3" s="45">
        <v>0.45161290322580644</v>
      </c>
      <c r="N3" s="43" t="s">
        <v>196</v>
      </c>
      <c r="O3" s="45">
        <v>0.1111111111111111</v>
      </c>
      <c r="P3" s="43" t="s">
        <v>193</v>
      </c>
      <c r="Q3" s="46">
        <v>0.32</v>
      </c>
      <c r="R3" s="43" t="s">
        <v>196</v>
      </c>
      <c r="S3" s="46">
        <v>6.8493150684931503E-2</v>
      </c>
      <c r="T3" s="43" t="s">
        <v>164</v>
      </c>
      <c r="U3" s="47">
        <v>10461.481481481482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212</v>
      </c>
      <c r="AA3" s="46">
        <v>0.32432432432432434</v>
      </c>
      <c r="AB3" s="43" t="s">
        <v>193</v>
      </c>
      <c r="AC3" s="46">
        <v>0.35272727272727272</v>
      </c>
      <c r="AD3" s="43" t="s">
        <v>212</v>
      </c>
      <c r="AE3" s="46">
        <v>0.70833333333333337</v>
      </c>
      <c r="AF3" s="43" t="s">
        <v>194</v>
      </c>
      <c r="AG3" s="46">
        <v>0.57446808510638303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93</v>
      </c>
      <c r="D4" s="49" t="s">
        <v>193</v>
      </c>
      <c r="E4" s="50">
        <v>89.100000000000009</v>
      </c>
      <c r="F4" s="51" t="s">
        <v>193</v>
      </c>
      <c r="G4" s="63">
        <v>2.4750000000000001</v>
      </c>
      <c r="H4" s="51" t="s">
        <v>194</v>
      </c>
      <c r="I4" s="63">
        <v>3.3130952380952365</v>
      </c>
      <c r="J4" s="51" t="s">
        <v>196</v>
      </c>
      <c r="K4" s="52">
        <v>1.8888888888888888</v>
      </c>
      <c r="L4" s="51" t="s">
        <v>164</v>
      </c>
      <c r="M4" s="53">
        <v>0.36507936507936506</v>
      </c>
      <c r="N4" s="51" t="s">
        <v>126</v>
      </c>
      <c r="O4" s="53">
        <v>0.22580645161290322</v>
      </c>
      <c r="P4" s="51" t="s">
        <v>205</v>
      </c>
      <c r="Q4" s="54">
        <v>0.31578947368421051</v>
      </c>
      <c r="R4" s="51" t="s">
        <v>192</v>
      </c>
      <c r="S4" s="54">
        <v>0.11632653061224489</v>
      </c>
      <c r="T4" s="51" t="s">
        <v>126</v>
      </c>
      <c r="U4" s="55">
        <v>9835.1111111111113</v>
      </c>
      <c r="V4" s="51" t="s">
        <v>194</v>
      </c>
      <c r="W4" s="55">
        <v>-7176</v>
      </c>
      <c r="X4" s="51" t="s">
        <v>212</v>
      </c>
      <c r="Y4" s="53">
        <v>0</v>
      </c>
      <c r="Z4" s="51" t="s">
        <v>164</v>
      </c>
      <c r="AA4" s="54">
        <v>0.30339321357285431</v>
      </c>
      <c r="AB4" s="51" t="s">
        <v>205</v>
      </c>
      <c r="AC4" s="54">
        <v>0.26934984520123839</v>
      </c>
      <c r="AD4" s="51" t="s">
        <v>196</v>
      </c>
      <c r="AE4" s="54">
        <v>0.65</v>
      </c>
      <c r="AF4" s="51" t="s">
        <v>212</v>
      </c>
      <c r="AG4" s="54">
        <v>0.5714285714285714</v>
      </c>
      <c r="AH4" s="51" t="s">
        <v>212</v>
      </c>
      <c r="AI4" s="54">
        <v>0.52173913043478259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63</v>
      </c>
      <c r="D5" s="49" t="s">
        <v>196</v>
      </c>
      <c r="E5" s="50">
        <v>21.599999999999987</v>
      </c>
      <c r="F5" s="51" t="s">
        <v>196</v>
      </c>
      <c r="G5" s="63">
        <v>2.3999999999999986</v>
      </c>
      <c r="H5" s="51" t="s">
        <v>212</v>
      </c>
      <c r="I5" s="63">
        <v>2.1361111111111115</v>
      </c>
      <c r="J5" s="51" t="s">
        <v>193</v>
      </c>
      <c r="K5" s="52">
        <v>1.9722222222222223</v>
      </c>
      <c r="L5" s="51" t="s">
        <v>193</v>
      </c>
      <c r="M5" s="53">
        <v>0.33333333333333331</v>
      </c>
      <c r="N5" s="51" t="s">
        <v>193</v>
      </c>
      <c r="O5" s="53">
        <v>0.30555555555555558</v>
      </c>
      <c r="P5" s="51" t="s">
        <v>212</v>
      </c>
      <c r="Q5" s="54">
        <v>0.3108108108108108</v>
      </c>
      <c r="R5" s="51" t="s">
        <v>126</v>
      </c>
      <c r="S5" s="54">
        <v>0.13797814207650272</v>
      </c>
      <c r="T5" s="51" t="s">
        <v>189</v>
      </c>
      <c r="U5" s="55">
        <v>9062.5</v>
      </c>
      <c r="V5" s="51" t="s">
        <v>193</v>
      </c>
      <c r="W5" s="55">
        <v>-7315.3846153846152</v>
      </c>
      <c r="X5" s="51" t="s">
        <v>126</v>
      </c>
      <c r="Y5" s="53">
        <v>6.4516129032258063E-2</v>
      </c>
      <c r="Z5" s="51" t="s">
        <v>189</v>
      </c>
      <c r="AA5" s="54">
        <v>0.28378378378378377</v>
      </c>
      <c r="AB5" s="51" t="s">
        <v>192</v>
      </c>
      <c r="AC5" s="54">
        <v>0.24081632653061225</v>
      </c>
      <c r="AD5" s="51" t="s">
        <v>205</v>
      </c>
      <c r="AE5" s="54">
        <v>0.64912280701754388</v>
      </c>
      <c r="AF5" s="51" t="s">
        <v>189</v>
      </c>
      <c r="AG5" s="54">
        <v>0.5</v>
      </c>
      <c r="AH5" s="51" t="s">
        <v>194</v>
      </c>
      <c r="AI5" s="54">
        <v>0.51724137931034486</v>
      </c>
      <c r="AJ5" s="51" t="s">
        <v>192</v>
      </c>
      <c r="AK5" s="58">
        <v>107400</v>
      </c>
    </row>
    <row r="6" spans="1:37" x14ac:dyDescent="0.45">
      <c r="A6" s="48">
        <v>4</v>
      </c>
      <c r="B6" s="51" t="s">
        <v>192</v>
      </c>
      <c r="C6" s="118">
        <v>60</v>
      </c>
      <c r="D6" s="49" t="s">
        <v>139</v>
      </c>
      <c r="E6" s="50">
        <v>-2.6645352591003757E-15</v>
      </c>
      <c r="F6" s="51" t="s">
        <v>139</v>
      </c>
      <c r="G6" s="63">
        <v>-7.2801509811485679E-18</v>
      </c>
      <c r="H6" s="51" t="s">
        <v>193</v>
      </c>
      <c r="I6" s="63">
        <v>1.3959790209790199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126</v>
      </c>
      <c r="Q6" s="54">
        <v>0.30737704918032788</v>
      </c>
      <c r="R6" s="51" t="s">
        <v>193</v>
      </c>
      <c r="S6" s="54">
        <v>0.14181818181818182</v>
      </c>
      <c r="T6" s="51" t="s">
        <v>139</v>
      </c>
      <c r="U6" s="55">
        <v>8880.1672640382312</v>
      </c>
      <c r="V6" s="51" t="s">
        <v>189</v>
      </c>
      <c r="W6" s="55">
        <v>-7317.6470588235297</v>
      </c>
      <c r="X6" s="51" t="s">
        <v>192</v>
      </c>
      <c r="Y6" s="53">
        <v>8.3333333333333329E-2</v>
      </c>
      <c r="Z6" s="51" t="s">
        <v>196</v>
      </c>
      <c r="AA6" s="54">
        <v>0.27397260273972601</v>
      </c>
      <c r="AB6" s="51" t="s">
        <v>139</v>
      </c>
      <c r="AC6" s="54">
        <v>0.20560747663551401</v>
      </c>
      <c r="AD6" s="51" t="s">
        <v>193</v>
      </c>
      <c r="AE6" s="54">
        <v>0.6428571428571429</v>
      </c>
      <c r="AF6" s="51" t="s">
        <v>126</v>
      </c>
      <c r="AG6" s="54">
        <v>0.48275862068965519</v>
      </c>
      <c r="AH6" s="51" t="s">
        <v>126</v>
      </c>
      <c r="AI6" s="54">
        <v>0.50666666666666671</v>
      </c>
      <c r="AJ6" s="51" t="s">
        <v>193</v>
      </c>
      <c r="AK6" s="58">
        <v>106500</v>
      </c>
    </row>
    <row r="7" spans="1:37" x14ac:dyDescent="0.45">
      <c r="A7" s="48">
        <v>5</v>
      </c>
      <c r="B7" s="51" t="s">
        <v>205</v>
      </c>
      <c r="C7" s="118">
        <v>42</v>
      </c>
      <c r="D7" s="49" t="s">
        <v>212</v>
      </c>
      <c r="E7" s="50">
        <v>-41.599999999999994</v>
      </c>
      <c r="F7" s="51" t="s">
        <v>164</v>
      </c>
      <c r="G7" s="63">
        <v>-1.0301587301587309</v>
      </c>
      <c r="H7" s="51" t="s">
        <v>192</v>
      </c>
      <c r="I7" s="63">
        <v>0.11196172248804004</v>
      </c>
      <c r="J7" s="51" t="s">
        <v>164</v>
      </c>
      <c r="K7" s="52">
        <v>2.0158730158730158</v>
      </c>
      <c r="L7" s="51" t="s">
        <v>192</v>
      </c>
      <c r="M7" s="53">
        <v>0.31666666666666665</v>
      </c>
      <c r="N7" s="51" t="s">
        <v>212</v>
      </c>
      <c r="O7" s="53">
        <v>0.33333333333333331</v>
      </c>
      <c r="P7" s="51" t="s">
        <v>139</v>
      </c>
      <c r="Q7" s="54">
        <v>0.28971962616822428</v>
      </c>
      <c r="R7" s="51" t="s">
        <v>240</v>
      </c>
      <c r="S7" s="54">
        <v>0.14634146341463414</v>
      </c>
      <c r="T7" s="51" t="s">
        <v>205</v>
      </c>
      <c r="U7" s="55">
        <v>8118.6274509803925</v>
      </c>
      <c r="V7" s="51" t="s">
        <v>164</v>
      </c>
      <c r="W7" s="55">
        <v>-7834.4086021505373</v>
      </c>
      <c r="X7" s="51" t="s">
        <v>189</v>
      </c>
      <c r="Y7" s="53">
        <v>0.1111111111111111</v>
      </c>
      <c r="Z7" s="51" t="s">
        <v>240</v>
      </c>
      <c r="AA7" s="54">
        <v>0.26829268292682928</v>
      </c>
      <c r="AB7" s="51" t="s">
        <v>164</v>
      </c>
      <c r="AC7" s="54">
        <v>0.19960079840319361</v>
      </c>
      <c r="AD7" s="51" t="s">
        <v>126</v>
      </c>
      <c r="AE7" s="54">
        <v>0.59340659340659341</v>
      </c>
      <c r="AF7" s="51" t="s">
        <v>193</v>
      </c>
      <c r="AG7" s="54">
        <v>0.42268041237113402</v>
      </c>
      <c r="AH7" s="51" t="s">
        <v>139</v>
      </c>
      <c r="AI7" s="54">
        <v>0.47431302270011949</v>
      </c>
      <c r="AJ7" s="51" t="s">
        <v>194</v>
      </c>
      <c r="AK7" s="58">
        <v>104100</v>
      </c>
    </row>
    <row r="8" spans="1:37" x14ac:dyDescent="0.45">
      <c r="A8" s="48">
        <v>6</v>
      </c>
      <c r="B8" s="51" t="s">
        <v>194</v>
      </c>
      <c r="C8" s="118">
        <v>40</v>
      </c>
      <c r="D8" s="49" t="s">
        <v>164</v>
      </c>
      <c r="E8" s="50">
        <v>-64.900000000000048</v>
      </c>
      <c r="F8" s="51" t="s">
        <v>192</v>
      </c>
      <c r="G8" s="63">
        <v>-1.6449999999999994</v>
      </c>
      <c r="H8" s="51" t="s">
        <v>139</v>
      </c>
      <c r="I8" s="63">
        <v>0</v>
      </c>
      <c r="J8" s="51" t="s">
        <v>192</v>
      </c>
      <c r="K8" s="52">
        <v>2.0499999999999998</v>
      </c>
      <c r="L8" s="51" t="s">
        <v>205</v>
      </c>
      <c r="M8" s="53">
        <v>0.2857142857142857</v>
      </c>
      <c r="N8" s="51" t="s">
        <v>192</v>
      </c>
      <c r="O8" s="53">
        <v>0.36666666666666664</v>
      </c>
      <c r="P8" s="51" t="s">
        <v>194</v>
      </c>
      <c r="Q8" s="54">
        <v>0.28431372549019607</v>
      </c>
      <c r="R8" s="51" t="s">
        <v>139</v>
      </c>
      <c r="S8" s="54">
        <v>0.15160955347871236</v>
      </c>
      <c r="T8" s="51" t="s">
        <v>192</v>
      </c>
      <c r="U8" s="55">
        <v>8085.1851851851852</v>
      </c>
      <c r="V8" s="51" t="s">
        <v>139</v>
      </c>
      <c r="W8" s="55">
        <v>-8021.4611872146115</v>
      </c>
      <c r="X8" s="51" t="s">
        <v>139</v>
      </c>
      <c r="Y8" s="53">
        <v>0.11202185792349727</v>
      </c>
      <c r="Z8" s="51" t="s">
        <v>126</v>
      </c>
      <c r="AA8" s="54">
        <v>0.24863387978142076</v>
      </c>
      <c r="AB8" s="51" t="s">
        <v>126</v>
      </c>
      <c r="AC8" s="54">
        <v>0.15846994535519127</v>
      </c>
      <c r="AD8" s="51" t="s">
        <v>139</v>
      </c>
      <c r="AE8" s="54">
        <v>0.55873925501432664</v>
      </c>
      <c r="AF8" s="51" t="s">
        <v>139</v>
      </c>
      <c r="AG8" s="54">
        <v>0.41414141414141414</v>
      </c>
      <c r="AH8" s="51" t="s">
        <v>196</v>
      </c>
      <c r="AI8" s="54">
        <v>0.47368421052631576</v>
      </c>
      <c r="AJ8" s="51" t="s">
        <v>126</v>
      </c>
      <c r="AK8" s="58">
        <v>102700</v>
      </c>
    </row>
    <row r="9" spans="1:37" x14ac:dyDescent="0.45">
      <c r="A9" s="48">
        <v>7</v>
      </c>
      <c r="B9" s="51" t="s">
        <v>193</v>
      </c>
      <c r="C9" s="118">
        <v>36</v>
      </c>
      <c r="D9" s="49" t="s">
        <v>192</v>
      </c>
      <c r="E9" s="50">
        <v>-98.69999999999996</v>
      </c>
      <c r="F9" s="51" t="s">
        <v>205</v>
      </c>
      <c r="G9" s="63">
        <v>-4.6000000000000005</v>
      </c>
      <c r="H9" s="51" t="s">
        <v>126</v>
      </c>
      <c r="I9" s="63">
        <v>-0.38587301587302153</v>
      </c>
      <c r="J9" s="51" t="s">
        <v>205</v>
      </c>
      <c r="K9" s="52">
        <v>2.0952380952380953</v>
      </c>
      <c r="L9" s="51" t="s">
        <v>189</v>
      </c>
      <c r="M9" s="53">
        <v>0.22222222222222221</v>
      </c>
      <c r="N9" s="51" t="s">
        <v>164</v>
      </c>
      <c r="O9" s="53">
        <v>0.38095238095238093</v>
      </c>
      <c r="P9" s="51" t="s">
        <v>192</v>
      </c>
      <c r="Q9" s="54">
        <v>0.27551020408163263</v>
      </c>
      <c r="R9" s="51" t="s">
        <v>194</v>
      </c>
      <c r="S9" s="54">
        <v>0.16339869281045752</v>
      </c>
      <c r="T9" s="51" t="s">
        <v>194</v>
      </c>
      <c r="U9" s="55">
        <v>7955.1724137931033</v>
      </c>
      <c r="V9" s="51" t="s">
        <v>192</v>
      </c>
      <c r="W9" s="55">
        <v>-8182.4561403508769</v>
      </c>
      <c r="X9" s="51" t="s">
        <v>205</v>
      </c>
      <c r="Y9" s="53">
        <v>0.11904761904761904</v>
      </c>
      <c r="Z9" s="51" t="s">
        <v>194</v>
      </c>
      <c r="AA9" s="54">
        <v>0.24183006535947713</v>
      </c>
      <c r="AB9" s="51" t="s">
        <v>194</v>
      </c>
      <c r="AC9" s="54">
        <v>0.15359477124183007</v>
      </c>
      <c r="AD9" s="51" t="s">
        <v>194</v>
      </c>
      <c r="AE9" s="54">
        <v>0.54054054054054057</v>
      </c>
      <c r="AF9" s="51" t="s">
        <v>192</v>
      </c>
      <c r="AG9" s="54">
        <v>0.39830508474576271</v>
      </c>
      <c r="AH9" s="51" t="s">
        <v>205</v>
      </c>
      <c r="AI9" s="54">
        <v>0.46078431372549017</v>
      </c>
      <c r="AJ9" s="51" t="s">
        <v>212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212</v>
      </c>
      <c r="G10" s="63">
        <v>-4.6222222222222218</v>
      </c>
      <c r="H10" s="51" t="s">
        <v>164</v>
      </c>
      <c r="I10" s="63">
        <v>-0.5065821256038584</v>
      </c>
      <c r="J10" s="51" t="s">
        <v>212</v>
      </c>
      <c r="K10" s="52">
        <v>2.1111111111111112</v>
      </c>
      <c r="L10" s="51" t="s">
        <v>196</v>
      </c>
      <c r="M10" s="53">
        <v>0.22222222222222221</v>
      </c>
      <c r="N10" s="51" t="s">
        <v>205</v>
      </c>
      <c r="O10" s="53">
        <v>0.38095238095238093</v>
      </c>
      <c r="P10" s="51" t="s">
        <v>164</v>
      </c>
      <c r="Q10" s="54">
        <v>0.26946107784431139</v>
      </c>
      <c r="R10" s="51" t="s">
        <v>205</v>
      </c>
      <c r="S10" s="54">
        <v>0.17337461300309598</v>
      </c>
      <c r="T10" s="51" t="s">
        <v>196</v>
      </c>
      <c r="U10" s="55">
        <v>7736.8421052631575</v>
      </c>
      <c r="V10" s="51" t="s">
        <v>126</v>
      </c>
      <c r="W10" s="55">
        <v>-8287.1287128712866</v>
      </c>
      <c r="X10" s="51" t="s">
        <v>194</v>
      </c>
      <c r="Y10" s="53">
        <v>0.15</v>
      </c>
      <c r="Z10" s="51" t="s">
        <v>139</v>
      </c>
      <c r="AA10" s="54">
        <v>0.2416060920733818</v>
      </c>
      <c r="AB10" s="51" t="s">
        <v>196</v>
      </c>
      <c r="AC10" s="54">
        <v>0.15068493150684931</v>
      </c>
      <c r="AD10" s="51" t="s">
        <v>192</v>
      </c>
      <c r="AE10" s="54">
        <v>0.53913043478260869</v>
      </c>
      <c r="AF10" s="51" t="s">
        <v>196</v>
      </c>
      <c r="AG10" s="54">
        <v>0.36363636363636365</v>
      </c>
      <c r="AH10" s="51" t="s">
        <v>164</v>
      </c>
      <c r="AI10" s="54">
        <v>0.45185185185185184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196</v>
      </c>
      <c r="C11" s="118">
        <v>9</v>
      </c>
      <c r="D11" s="49" t="s">
        <v>240</v>
      </c>
      <c r="E11" s="50">
        <v>-113.70000000000002</v>
      </c>
      <c r="F11" s="51" t="s">
        <v>194</v>
      </c>
      <c r="G11" s="63">
        <v>-6.3699999999999957</v>
      </c>
      <c r="H11" s="51" t="s">
        <v>205</v>
      </c>
      <c r="I11" s="63">
        <v>-1.1235119047619051</v>
      </c>
      <c r="J11" s="51" t="s">
        <v>189</v>
      </c>
      <c r="K11" s="52">
        <v>2.2222222222222223</v>
      </c>
      <c r="L11" s="51" t="s">
        <v>212</v>
      </c>
      <c r="M11" s="53">
        <v>0.22222222222222221</v>
      </c>
      <c r="N11" s="51" t="s">
        <v>240</v>
      </c>
      <c r="O11" s="53">
        <v>0.4</v>
      </c>
      <c r="P11" s="51" t="s">
        <v>196</v>
      </c>
      <c r="Q11" s="54">
        <v>0.26027397260273971</v>
      </c>
      <c r="R11" s="51" t="s">
        <v>164</v>
      </c>
      <c r="S11" s="54">
        <v>0.18562874251497005</v>
      </c>
      <c r="T11" s="51" t="s">
        <v>193</v>
      </c>
      <c r="U11" s="55">
        <v>7734.090909090909</v>
      </c>
      <c r="V11" s="51" t="s">
        <v>212</v>
      </c>
      <c r="W11" s="55">
        <v>-8671.4285714285706</v>
      </c>
      <c r="X11" s="51" t="s">
        <v>193</v>
      </c>
      <c r="Y11" s="53">
        <v>0.16666666666666666</v>
      </c>
      <c r="Z11" s="51" t="s">
        <v>192</v>
      </c>
      <c r="AA11" s="54">
        <v>0.23469387755102042</v>
      </c>
      <c r="AB11" s="51" t="s">
        <v>240</v>
      </c>
      <c r="AC11" s="54">
        <v>0.12195121951219512</v>
      </c>
      <c r="AD11" s="51" t="s">
        <v>189</v>
      </c>
      <c r="AE11" s="54">
        <v>0.47619047619047616</v>
      </c>
      <c r="AF11" s="51" t="s">
        <v>164</v>
      </c>
      <c r="AG11" s="54">
        <v>0.35</v>
      </c>
      <c r="AH11" s="51" t="s">
        <v>193</v>
      </c>
      <c r="AI11" s="54">
        <v>0.44318181818181818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212</v>
      </c>
      <c r="C12" s="118">
        <v>9</v>
      </c>
      <c r="D12" s="49" t="s">
        <v>205</v>
      </c>
      <c r="E12" s="50">
        <v>-193.20000000000002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2.25</v>
      </c>
      <c r="L12" s="51" t="s">
        <v>194</v>
      </c>
      <c r="M12" s="53">
        <v>0.2</v>
      </c>
      <c r="N12" s="51" t="s">
        <v>189</v>
      </c>
      <c r="O12" s="53">
        <v>0.44444444444444442</v>
      </c>
      <c r="P12" s="51" t="s">
        <v>189</v>
      </c>
      <c r="Q12" s="54">
        <v>0.21621621621621623</v>
      </c>
      <c r="R12" s="51" t="s">
        <v>212</v>
      </c>
      <c r="S12" s="54">
        <v>0.1891891891891892</v>
      </c>
      <c r="T12" s="51" t="s">
        <v>212</v>
      </c>
      <c r="U12" s="55">
        <v>7530.434782608696</v>
      </c>
      <c r="V12" s="51" t="s">
        <v>240</v>
      </c>
      <c r="W12" s="55">
        <v>-8866.6666666666661</v>
      </c>
      <c r="X12" s="51" t="s">
        <v>164</v>
      </c>
      <c r="Y12" s="53">
        <v>0.17460317460317459</v>
      </c>
      <c r="Z12" s="51" t="s">
        <v>205</v>
      </c>
      <c r="AA12" s="54">
        <v>0.17647058823529413</v>
      </c>
      <c r="AB12" s="51" t="s">
        <v>212</v>
      </c>
      <c r="AC12" s="54">
        <v>9.45945945945946E-2</v>
      </c>
      <c r="AD12" s="51" t="s">
        <v>164</v>
      </c>
      <c r="AE12" s="54">
        <v>0.46710526315789475</v>
      </c>
      <c r="AF12" s="51" t="s">
        <v>205</v>
      </c>
      <c r="AG12" s="54">
        <v>0.32183908045977011</v>
      </c>
      <c r="AH12" s="51" t="s">
        <v>192</v>
      </c>
      <c r="AI12" s="54">
        <v>0.42962962962962964</v>
      </c>
      <c r="AJ12" s="51" t="s">
        <v>189</v>
      </c>
      <c r="AK12" s="58">
        <v>66700</v>
      </c>
    </row>
    <row r="13" spans="1:37" x14ac:dyDescent="0.45">
      <c r="A13" s="48">
        <v>11</v>
      </c>
      <c r="B13" s="51" t="s">
        <v>240</v>
      </c>
      <c r="C13" s="118">
        <v>5</v>
      </c>
      <c r="D13" s="49" t="s">
        <v>194</v>
      </c>
      <c r="E13" s="50">
        <v>-254.79999999999984</v>
      </c>
      <c r="F13" s="51" t="s">
        <v>240</v>
      </c>
      <c r="G13" s="63">
        <v>-22.740000000000002</v>
      </c>
      <c r="H13" s="51" t="s">
        <v>240</v>
      </c>
      <c r="I13" s="63">
        <v>-17.566666666666666</v>
      </c>
      <c r="J13" s="51" t="s">
        <v>240</v>
      </c>
      <c r="K13" s="52">
        <v>2.4</v>
      </c>
      <c r="L13" s="51" t="s">
        <v>240</v>
      </c>
      <c r="M13" s="53">
        <v>0</v>
      </c>
      <c r="N13" s="51" t="s">
        <v>194</v>
      </c>
      <c r="O13" s="53">
        <v>0.45</v>
      </c>
      <c r="P13" s="51" t="s">
        <v>240</v>
      </c>
      <c r="Q13" s="54">
        <v>0.17073170731707318</v>
      </c>
      <c r="R13" s="51" t="s">
        <v>189</v>
      </c>
      <c r="S13" s="54">
        <v>0.22972972972972974</v>
      </c>
      <c r="T13" s="51" t="s">
        <v>240</v>
      </c>
      <c r="U13" s="55">
        <v>7142.8571428571431</v>
      </c>
      <c r="V13" s="51" t="s">
        <v>205</v>
      </c>
      <c r="W13" s="55">
        <v>-9228.5714285714294</v>
      </c>
      <c r="X13" s="51" t="s">
        <v>240</v>
      </c>
      <c r="Y13" s="53">
        <v>0.2</v>
      </c>
      <c r="Z13" s="51" t="s">
        <v>193</v>
      </c>
      <c r="AA13" s="54">
        <v>0.15272727272727274</v>
      </c>
      <c r="AB13" s="51" t="s">
        <v>189</v>
      </c>
      <c r="AC13" s="54">
        <v>8.1081081081081086E-2</v>
      </c>
      <c r="AD13" s="51" t="s">
        <v>240</v>
      </c>
      <c r="AE13" s="54">
        <v>0.45454545454545453</v>
      </c>
      <c r="AF13" s="51" t="s">
        <v>240</v>
      </c>
      <c r="AG13" s="54">
        <v>0.2</v>
      </c>
      <c r="AH13" s="51" t="s">
        <v>240</v>
      </c>
      <c r="AI13" s="54">
        <v>0.42857142857142855</v>
      </c>
      <c r="AJ13" s="51" t="s">
        <v>240</v>
      </c>
      <c r="AK13" s="58">
        <v>45200</v>
      </c>
    </row>
  </sheetData>
  <sortState xmlns:xlrd2="http://schemas.microsoft.com/office/spreadsheetml/2017/richdata2" ref="AJ3:AK42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5C6B-E77A-471B-97EC-924ABD9F2C1D}">
  <sheetPr codeName="Sheet4"/>
  <dimension ref="A1:Q368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139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366</v>
      </c>
      <c r="C2" s="136"/>
      <c r="E2" s="28" t="s">
        <v>66</v>
      </c>
      <c r="F2" s="25" t="s">
        <v>22</v>
      </c>
      <c r="G2" s="13">
        <v>614</v>
      </c>
      <c r="H2" s="91">
        <f>IF(B$19=0,0,G2/B$19)</f>
        <v>0.73357228195937874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-14.005602240896359</v>
      </c>
      <c r="P2" s="80">
        <v>357</v>
      </c>
      <c r="Q2" s="67">
        <v>-5000</v>
      </c>
    </row>
    <row r="3" spans="1:17" x14ac:dyDescent="0.45">
      <c r="A3" s="21" t="s">
        <v>8</v>
      </c>
      <c r="B3" s="137">
        <v>2889</v>
      </c>
      <c r="C3" s="138"/>
      <c r="E3" s="29" t="s">
        <v>72</v>
      </c>
      <c r="F3" s="26" t="s">
        <v>27</v>
      </c>
      <c r="G3" s="14">
        <v>465</v>
      </c>
      <c r="H3" s="92">
        <f>IF(B$19=0,0,G3/B$19)</f>
        <v>0.55555555555555558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2.8011204481792715</v>
      </c>
      <c r="P3" s="81">
        <v>357</v>
      </c>
      <c r="Q3" s="68">
        <v>1000</v>
      </c>
    </row>
    <row r="4" spans="1:17" x14ac:dyDescent="0.45">
      <c r="A4" s="21" t="s">
        <v>6</v>
      </c>
      <c r="B4" s="139">
        <v>-2.6645352591003757E-15</v>
      </c>
      <c r="C4" s="140"/>
      <c r="E4" s="29" t="s">
        <v>64</v>
      </c>
      <c r="F4" s="26" t="s">
        <v>20</v>
      </c>
      <c r="G4" s="14">
        <v>378</v>
      </c>
      <c r="H4" s="92">
        <f>IF(B$19=0,0,G4/B$19)</f>
        <v>0.45161290322580644</v>
      </c>
      <c r="I4" s="60">
        <v>7</v>
      </c>
      <c r="K4" s="7">
        <v>2</v>
      </c>
      <c r="L4" s="65">
        <v>-39.199999999999996</v>
      </c>
      <c r="N4" s="78" t="s">
        <v>130</v>
      </c>
      <c r="O4" s="84">
        <f t="shared" si="0"/>
        <v>-14.619883040935672</v>
      </c>
      <c r="P4" s="81">
        <v>342</v>
      </c>
      <c r="Q4" s="68">
        <v>-5000</v>
      </c>
    </row>
    <row r="5" spans="1:17" x14ac:dyDescent="0.45">
      <c r="A5" s="21" t="s">
        <v>7</v>
      </c>
      <c r="B5" s="127">
        <f>IF(B$2=0,0,B$4/B$2)</f>
        <v>-7.2801509811485679E-18</v>
      </c>
      <c r="C5" s="128"/>
      <c r="E5" s="29" t="s">
        <v>160</v>
      </c>
      <c r="F5" s="26" t="s">
        <v>161</v>
      </c>
      <c r="G5" s="14">
        <v>362</v>
      </c>
      <c r="H5" s="92">
        <f>IF(B$19=0,0,G5/B$19)</f>
        <v>0.43249701314217442</v>
      </c>
      <c r="I5" s="60">
        <v>7</v>
      </c>
      <c r="K5" s="7">
        <v>3</v>
      </c>
      <c r="L5" s="65">
        <v>7.1054273576010019E-15</v>
      </c>
      <c r="N5" s="78" t="s">
        <v>131</v>
      </c>
      <c r="O5" s="84">
        <f t="shared" si="0"/>
        <v>16.181229773462782</v>
      </c>
      <c r="P5" s="81">
        <v>309</v>
      </c>
      <c r="Q5" s="68">
        <v>5000</v>
      </c>
    </row>
    <row r="6" spans="1:17" x14ac:dyDescent="0.45">
      <c r="A6" s="21" t="s">
        <v>1</v>
      </c>
      <c r="B6" s="141">
        <f>IF(B$2=0,0,(B$7*1+B$8*2+B$9*3)/B$2)</f>
        <v>2</v>
      </c>
      <c r="C6" s="142"/>
      <c r="E6" s="29" t="s">
        <v>68</v>
      </c>
      <c r="F6" s="26" t="s">
        <v>12</v>
      </c>
      <c r="G6" s="14">
        <v>268</v>
      </c>
      <c r="H6" s="92">
        <f>IF(B$19=0,0,G6/B$19)</f>
        <v>0.32019115890083633</v>
      </c>
      <c r="I6" s="60">
        <v>6</v>
      </c>
      <c r="K6" s="7">
        <v>4</v>
      </c>
      <c r="L6" s="65">
        <v>-55.499999999999993</v>
      </c>
      <c r="N6" s="78" t="s">
        <v>132</v>
      </c>
      <c r="O6" s="84">
        <f t="shared" si="0"/>
        <v>-49.122807017543863</v>
      </c>
      <c r="P6" s="81">
        <v>285</v>
      </c>
      <c r="Q6" s="68">
        <v>-14000</v>
      </c>
    </row>
    <row r="7" spans="1:17" x14ac:dyDescent="0.45">
      <c r="A7" s="21" t="s">
        <v>2</v>
      </c>
      <c r="B7" s="14">
        <v>122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219</v>
      </c>
      <c r="H7" s="92">
        <f>IF(B$19=0,0,G7/B$19)</f>
        <v>0.26164874551971329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66.666666666666671</v>
      </c>
      <c r="P7" s="82">
        <v>225</v>
      </c>
      <c r="Q7" s="69">
        <v>15000</v>
      </c>
    </row>
    <row r="8" spans="1:17" x14ac:dyDescent="0.45">
      <c r="A8" s="21" t="s">
        <v>3</v>
      </c>
      <c r="B8" s="14">
        <v>122</v>
      </c>
      <c r="C8" s="8">
        <f t="shared" si="1"/>
        <v>0.33333333333333331</v>
      </c>
      <c r="E8" s="29" t="s">
        <v>89</v>
      </c>
      <c r="F8" s="26" t="s">
        <v>44</v>
      </c>
      <c r="G8" s="14">
        <v>119</v>
      </c>
      <c r="H8" s="92">
        <f>IF(B$19=0,0,G8/B$19)</f>
        <v>0.14217443249701314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122</v>
      </c>
      <c r="C9" s="9">
        <f t="shared" si="1"/>
        <v>0.33333333333333331</v>
      </c>
      <c r="E9" s="29" t="s">
        <v>69</v>
      </c>
      <c r="F9" s="26" t="s">
        <v>24</v>
      </c>
      <c r="G9" s="14">
        <v>115</v>
      </c>
      <c r="H9" s="92">
        <f>IF(B$19=0,0,G9/B$19)</f>
        <v>0.13739545997610514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38.947540983606558</v>
      </c>
      <c r="C10" s="114">
        <v>4751.6000000000004</v>
      </c>
      <c r="E10" s="29" t="s">
        <v>65</v>
      </c>
      <c r="F10" s="26" t="s">
        <v>21</v>
      </c>
      <c r="G10" s="14">
        <v>81</v>
      </c>
      <c r="H10" s="92">
        <f>IF(B$19=0,0,G10/B$19)</f>
        <v>9.6774193548387094E-2</v>
      </c>
      <c r="I10" s="60">
        <v>7</v>
      </c>
      <c r="K10" s="7">
        <v>8</v>
      </c>
      <c r="L10" s="65">
        <v>-81.5</v>
      </c>
      <c r="N10" s="77" t="s">
        <v>152</v>
      </c>
      <c r="O10" s="86">
        <f>IF(P10=0,0,Q10/P10)</f>
        <v>-6.3352459016393414</v>
      </c>
      <c r="P10" s="80">
        <v>122</v>
      </c>
      <c r="Q10" s="71">
        <v>-772.89999999999964</v>
      </c>
    </row>
    <row r="11" spans="1:17" x14ac:dyDescent="0.45">
      <c r="A11" s="22" t="s">
        <v>186</v>
      </c>
      <c r="B11" s="113">
        <f>IF(B8=0,0,C11/B8)</f>
        <v>-2.4713114754098364</v>
      </c>
      <c r="C11" s="114">
        <v>-301.50000000000006</v>
      </c>
      <c r="E11" s="29" t="s">
        <v>70</v>
      </c>
      <c r="F11" s="26" t="s">
        <v>25</v>
      </c>
      <c r="G11" s="14">
        <v>70</v>
      </c>
      <c r="H11" s="92">
        <f>IF(B$19=0,0,G11/B$19)</f>
        <v>8.3632019115890077E-2</v>
      </c>
      <c r="I11" s="60">
        <v>6</v>
      </c>
      <c r="K11" s="7">
        <v>9</v>
      </c>
      <c r="L11" s="65">
        <v>0</v>
      </c>
      <c r="N11" s="78" t="s">
        <v>153</v>
      </c>
      <c r="O11" s="87">
        <f>IF(P11=0,0,Q11/P11)</f>
        <v>2.5786885245901638</v>
      </c>
      <c r="P11" s="81">
        <v>122</v>
      </c>
      <c r="Q11" s="72">
        <v>314.59999999999997</v>
      </c>
    </row>
    <row r="12" spans="1:17" x14ac:dyDescent="0.45">
      <c r="A12" s="22" t="s">
        <v>187</v>
      </c>
      <c r="B12" s="113">
        <f>IF(B9=0,0,C12/B9)</f>
        <v>-36.476229508196717</v>
      </c>
      <c r="C12" s="114">
        <v>-4450.0999999999995</v>
      </c>
      <c r="E12" s="29" t="s">
        <v>86</v>
      </c>
      <c r="F12" s="26" t="s">
        <v>41</v>
      </c>
      <c r="G12" s="14">
        <v>49</v>
      </c>
      <c r="H12" s="92">
        <f>IF(B$19=0,0,G12/B$19)</f>
        <v>5.8542413381123058E-2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3.7565573770491771</v>
      </c>
      <c r="P12" s="82">
        <v>122</v>
      </c>
      <c r="Q12" s="73">
        <v>458.29999999999961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71</v>
      </c>
      <c r="F13" s="26" t="s">
        <v>26</v>
      </c>
      <c r="G13" s="14">
        <v>48</v>
      </c>
      <c r="H13" s="92">
        <f>IF(B$19=0,0,G13/B$19)</f>
        <v>5.7347670250896057E-2</v>
      </c>
      <c r="I13" s="60">
        <v>6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41</v>
      </c>
      <c r="C14" s="11">
        <f t="shared" si="1"/>
        <v>0.11202185792349727</v>
      </c>
      <c r="E14" s="29" t="s">
        <v>83</v>
      </c>
      <c r="F14" s="26" t="s">
        <v>38</v>
      </c>
      <c r="G14" s="14">
        <v>41</v>
      </c>
      <c r="H14" s="92">
        <f>IF(B$19=0,0,G14/B$19)</f>
        <v>4.8984468339307051E-2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698</v>
      </c>
      <c r="C15" s="12">
        <f>IF(B$3=0,0,B15/B$3)</f>
        <v>0.2416060920733818</v>
      </c>
      <c r="E15" s="29" t="s">
        <v>78</v>
      </c>
      <c r="F15" s="26" t="s">
        <v>33</v>
      </c>
      <c r="G15" s="14">
        <v>35</v>
      </c>
      <c r="H15" s="92">
        <f>IF(B$19=0,0,G15/B$19)</f>
        <v>4.1816009557945039E-2</v>
      </c>
      <c r="I15" s="60">
        <v>5</v>
      </c>
      <c r="K15" s="7">
        <v>13</v>
      </c>
      <c r="L15" s="65">
        <v>14.300000000000002</v>
      </c>
      <c r="N15" s="77" t="s">
        <v>240</v>
      </c>
      <c r="O15" s="86">
        <f>IF(P15=0,0,Q15/P15)</f>
        <v>34.11</v>
      </c>
      <c r="P15" s="80">
        <v>10</v>
      </c>
      <c r="Q15" s="71">
        <v>341.1</v>
      </c>
    </row>
    <row r="16" spans="1:17" x14ac:dyDescent="0.45">
      <c r="A16" s="21" t="s">
        <v>118</v>
      </c>
      <c r="B16" s="14">
        <v>594</v>
      </c>
      <c r="C16" s="8">
        <f>IF(B$3=0,0,B16/B$3)</f>
        <v>0.20560747663551401</v>
      </c>
      <c r="E16" s="29" t="s">
        <v>81</v>
      </c>
      <c r="F16" s="26" t="s">
        <v>36</v>
      </c>
      <c r="G16" s="14">
        <v>27</v>
      </c>
      <c r="H16" s="92">
        <f>IF(B$19=0,0,G16/B$19)</f>
        <v>3.2258064516129031E-2</v>
      </c>
      <c r="I16" s="60">
        <v>4</v>
      </c>
      <c r="K16" s="7">
        <v>14</v>
      </c>
      <c r="L16" s="65">
        <v>12.800000000000002</v>
      </c>
      <c r="N16" s="78" t="s">
        <v>189</v>
      </c>
      <c r="O16" s="87">
        <f>IF(P16=0,0,Q16/P16)</f>
        <v>17.583333333333336</v>
      </c>
      <c r="P16" s="81">
        <v>18</v>
      </c>
      <c r="Q16" s="72">
        <v>316.50000000000006</v>
      </c>
    </row>
    <row r="17" spans="1:17" x14ac:dyDescent="0.45">
      <c r="A17" s="20" t="s">
        <v>123</v>
      </c>
      <c r="B17" s="13">
        <f>B23</f>
        <v>390</v>
      </c>
      <c r="C17" s="6">
        <f>IF(B$15=0,0,B17/B$15)</f>
        <v>0.55873925501432664</v>
      </c>
      <c r="E17" s="29" t="s">
        <v>79</v>
      </c>
      <c r="F17" s="26" t="s">
        <v>34</v>
      </c>
      <c r="G17" s="14">
        <v>21</v>
      </c>
      <c r="H17" s="92">
        <f>IF(B$19=0,0,G17/B$19)</f>
        <v>2.5089605734767026E-2</v>
      </c>
      <c r="I17" s="60">
        <v>6</v>
      </c>
      <c r="K17" s="7">
        <v>15</v>
      </c>
      <c r="L17" s="65">
        <v>1.7763568394002505E-15</v>
      </c>
      <c r="N17" s="78" t="s">
        <v>194</v>
      </c>
      <c r="O17" s="87">
        <f>IF(P17=0,0,Q17/P17)</f>
        <v>9.5550000000000033</v>
      </c>
      <c r="P17" s="81">
        <v>80</v>
      </c>
      <c r="Q17" s="72">
        <v>764.40000000000032</v>
      </c>
    </row>
    <row r="18" spans="1:17" x14ac:dyDescent="0.45">
      <c r="A18" s="20" t="s">
        <v>124</v>
      </c>
      <c r="B18" s="13">
        <f>B24</f>
        <v>246</v>
      </c>
      <c r="C18" s="6">
        <f>IF(B$16=0,0,B18/B$16)</f>
        <v>0.41414141414141414</v>
      </c>
      <c r="E18" s="29" t="s">
        <v>91</v>
      </c>
      <c r="F18" s="26" t="s">
        <v>46</v>
      </c>
      <c r="G18" s="14">
        <v>18</v>
      </c>
      <c r="H18" s="92">
        <f>IF(B$19=0,0,G18/B$19)</f>
        <v>2.1505376344086023E-2</v>
      </c>
      <c r="I18" s="60">
        <v>3</v>
      </c>
      <c r="K18" s="7">
        <v>16</v>
      </c>
      <c r="L18" s="65">
        <v>3.4000000000000017</v>
      </c>
      <c r="N18" s="78" t="s">
        <v>212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837</v>
      </c>
      <c r="C19" s="6">
        <f>IF(B$3=0,0,B19/B$3)</f>
        <v>0.28971962616822428</v>
      </c>
      <c r="E19" s="29" t="s">
        <v>156</v>
      </c>
      <c r="F19" s="26" t="s">
        <v>157</v>
      </c>
      <c r="G19" s="14">
        <v>13</v>
      </c>
      <c r="H19" s="92">
        <f>IF(B$19=0,0,G19/B$19)</f>
        <v>1.5531660692951015E-2</v>
      </c>
      <c r="I19" s="60">
        <v>2</v>
      </c>
      <c r="K19" s="7">
        <v>17</v>
      </c>
      <c r="L19" s="65">
        <v>-35.800000000000004</v>
      </c>
      <c r="N19" s="78" t="s">
        <v>205</v>
      </c>
      <c r="O19" s="87">
        <f>IF(P19=0,0,Q19/P19)</f>
        <v>6.9</v>
      </c>
      <c r="P19" s="81">
        <v>84</v>
      </c>
      <c r="Q19" s="72">
        <v>579.6</v>
      </c>
    </row>
    <row r="20" spans="1:17" x14ac:dyDescent="0.45">
      <c r="A20" s="21" t="s">
        <v>13</v>
      </c>
      <c r="B20" s="14">
        <v>438</v>
      </c>
      <c r="C20" s="8">
        <f>IF(B$3=0,0,B20/B$3)</f>
        <v>0.15160955347871236</v>
      </c>
      <c r="E20" s="29" t="s">
        <v>92</v>
      </c>
      <c r="F20" s="26" t="s">
        <v>47</v>
      </c>
      <c r="G20" s="14">
        <v>10</v>
      </c>
      <c r="H20" s="92">
        <f>IF(B$19=0,0,G20/B$19)</f>
        <v>1.1947431302270013E-2</v>
      </c>
      <c r="I20" s="60">
        <v>4</v>
      </c>
      <c r="K20" s="7">
        <v>18</v>
      </c>
      <c r="L20" s="65">
        <v>-7.1054273576010019E-15</v>
      </c>
      <c r="N20" s="78" t="s">
        <v>192</v>
      </c>
      <c r="O20" s="87">
        <f>IF(P20=0,0,Q20/P20)</f>
        <v>2.4675000000000029</v>
      </c>
      <c r="P20" s="81">
        <v>120</v>
      </c>
      <c r="Q20" s="72">
        <v>296.10000000000036</v>
      </c>
    </row>
    <row r="21" spans="1:17" x14ac:dyDescent="0.45">
      <c r="A21" s="21" t="s">
        <v>12</v>
      </c>
      <c r="B21" s="14">
        <v>397</v>
      </c>
      <c r="C21" s="8">
        <f>IF(B$19=0,0,B21/B$19)</f>
        <v>0.47431302270011949</v>
      </c>
      <c r="E21" s="29" t="s">
        <v>77</v>
      </c>
      <c r="F21" s="26" t="s">
        <v>32</v>
      </c>
      <c r="G21" s="14">
        <v>6</v>
      </c>
      <c r="H21" s="92">
        <f>IF(B$19=0,0,G21/B$19)</f>
        <v>7.1684587813620072E-3</v>
      </c>
      <c r="I21" s="60">
        <v>5</v>
      </c>
      <c r="K21" s="7">
        <v>19</v>
      </c>
      <c r="L21" s="65">
        <v>-27.100000000000009</v>
      </c>
      <c r="N21" s="78" t="s">
        <v>164</v>
      </c>
      <c r="O21" s="87">
        <f>IF(P21=0,0,Q21/P21)</f>
        <v>1.5452380952380924</v>
      </c>
      <c r="P21" s="81">
        <v>126</v>
      </c>
      <c r="Q21" s="72">
        <v>194.69999999999965</v>
      </c>
    </row>
    <row r="22" spans="1:17" x14ac:dyDescent="0.45">
      <c r="A22" s="21" t="s">
        <v>11</v>
      </c>
      <c r="B22" s="14">
        <v>440</v>
      </c>
      <c r="C22" s="8">
        <f>IF(B$19=0,0,B22/B$19)</f>
        <v>0.52568697729988056</v>
      </c>
      <c r="E22" s="29" t="s">
        <v>75</v>
      </c>
      <c r="F22" s="26" t="s">
        <v>30</v>
      </c>
      <c r="G22" s="14">
        <v>5</v>
      </c>
      <c r="H22" s="92">
        <f>IF(B$19=0,0,G22/B$19)</f>
        <v>5.9737156511350063E-3</v>
      </c>
      <c r="I22" s="60">
        <v>5</v>
      </c>
      <c r="K22" s="7">
        <v>20</v>
      </c>
      <c r="L22" s="65">
        <v>-28.600000000000009</v>
      </c>
      <c r="N22" s="78" t="s">
        <v>196</v>
      </c>
      <c r="O22" s="87">
        <f>IF(P22=0,0,Q22/P22)</f>
        <v>-3.6000000000000023</v>
      </c>
      <c r="P22" s="81">
        <v>18</v>
      </c>
      <c r="Q22" s="72">
        <v>-64.80000000000004</v>
      </c>
    </row>
    <row r="23" spans="1:17" x14ac:dyDescent="0.45">
      <c r="A23" s="21" t="s">
        <v>184</v>
      </c>
      <c r="B23" s="14">
        <v>390</v>
      </c>
      <c r="C23" s="8">
        <f>IF(B$19=0,0,B23/B$19)</f>
        <v>0.46594982078853048</v>
      </c>
      <c r="E23" s="29" t="s">
        <v>73</v>
      </c>
      <c r="F23" s="26" t="s">
        <v>28</v>
      </c>
      <c r="G23" s="14">
        <v>3</v>
      </c>
      <c r="H23" s="92">
        <f>IF(B$19=0,0,G23/B$19)</f>
        <v>3.5842293906810036E-3</v>
      </c>
      <c r="I23" s="60">
        <v>4</v>
      </c>
      <c r="K23" s="7">
        <v>21</v>
      </c>
      <c r="L23" s="65">
        <v>-7.1054273576010019E-15</v>
      </c>
      <c r="N23" s="78" t="s">
        <v>193</v>
      </c>
      <c r="O23" s="87">
        <f>IF(P23=0,0,Q23/P23)</f>
        <v>-3.7124999999999995</v>
      </c>
      <c r="P23" s="81">
        <v>72</v>
      </c>
      <c r="Q23" s="72">
        <v>-267.29999999999995</v>
      </c>
    </row>
    <row r="24" spans="1:17" x14ac:dyDescent="0.45">
      <c r="A24" s="21" t="s">
        <v>182</v>
      </c>
      <c r="B24" s="14">
        <v>246</v>
      </c>
      <c r="C24" s="8">
        <f>IF(B$19=0,0,B24/B$19)</f>
        <v>0.29390681003584229</v>
      </c>
      <c r="E24" s="29" t="s">
        <v>85</v>
      </c>
      <c r="F24" s="26" t="s">
        <v>40</v>
      </c>
      <c r="G24" s="14">
        <v>3</v>
      </c>
      <c r="H24" s="92">
        <f>IF(B$19=0,0,G24/B$19)</f>
        <v>3.5842293906810036E-3</v>
      </c>
      <c r="I24" s="60">
        <v>3</v>
      </c>
      <c r="K24" s="7">
        <v>22</v>
      </c>
      <c r="L24" s="65">
        <v>-7.5000000000000071</v>
      </c>
      <c r="N24" s="78" t="s">
        <v>126</v>
      </c>
      <c r="O24" s="87">
        <f>IF(P24=0,0,Q24/P24)</f>
        <v>-12.285483870967729</v>
      </c>
      <c r="P24" s="81">
        <v>186</v>
      </c>
      <c r="Q24" s="72">
        <v>-2285.0999999999976</v>
      </c>
    </row>
    <row r="25" spans="1:17" x14ac:dyDescent="0.45">
      <c r="A25" s="21" t="s">
        <v>183</v>
      </c>
      <c r="B25" s="14">
        <v>201</v>
      </c>
      <c r="C25" s="8">
        <f>IF(B$19=0,0,B25/B$19)</f>
        <v>0.24014336917562723</v>
      </c>
      <c r="E25" s="29" t="s">
        <v>74</v>
      </c>
      <c r="F25" s="26" t="s">
        <v>29</v>
      </c>
      <c r="G25" s="14">
        <v>2</v>
      </c>
      <c r="H25" s="92">
        <f>IF(B$19=0,0,G25/B$19)</f>
        <v>2.3894862604540022E-3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8880.1672640382312</v>
      </c>
      <c r="C26" s="10">
        <v>7432700</v>
      </c>
      <c r="E26" s="29" t="s">
        <v>87</v>
      </c>
      <c r="F26" s="26" t="s">
        <v>42</v>
      </c>
      <c r="G26" s="14">
        <v>2</v>
      </c>
      <c r="H26" s="92">
        <f>IF(B$19=0,0,G26/B$19)</f>
        <v>2.3894862604540022E-3</v>
      </c>
      <c r="I26" s="60">
        <v>3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9456.3451776649745</v>
      </c>
      <c r="C27" s="100">
        <v>5588700</v>
      </c>
      <c r="E27" s="29" t="s">
        <v>93</v>
      </c>
      <c r="F27" s="26" t="s">
        <v>48</v>
      </c>
      <c r="G27" s="14">
        <v>2</v>
      </c>
      <c r="H27" s="92">
        <f>IF(B$19=0,0,G27/B$19)</f>
        <v>2.3894862604540022E-3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7495.9349593495936</v>
      </c>
      <c r="C28" s="100">
        <v>1844000</v>
      </c>
      <c r="E28" s="29" t="s">
        <v>84</v>
      </c>
      <c r="F28" s="26" t="s">
        <v>39</v>
      </c>
      <c r="G28" s="14">
        <v>1</v>
      </c>
      <c r="H28" s="92">
        <f>IF(B$19=0,0,G28/B$19)</f>
        <v>1.1947431302270011E-3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-8021.4611872146115</v>
      </c>
      <c r="C29" s="100">
        <v>-3513400</v>
      </c>
      <c r="E29" s="29" t="s">
        <v>88</v>
      </c>
      <c r="F29" s="26" t="s">
        <v>43</v>
      </c>
      <c r="G29" s="14">
        <v>1</v>
      </c>
      <c r="H29" s="92">
        <f>IF(B$19=0,0,G29/B$19)</f>
        <v>1.1947431302270011E-3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95</v>
      </c>
      <c r="F30" s="26" t="s">
        <v>50</v>
      </c>
      <c r="G30" s="14">
        <v>1</v>
      </c>
      <c r="H30" s="92">
        <f>IF(B$19=0,0,G30/B$19)</f>
        <v>1.1947431302270011E-3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0</v>
      </c>
      <c r="E31" s="29" t="s">
        <v>97</v>
      </c>
      <c r="F31" s="26" t="s">
        <v>52</v>
      </c>
      <c r="G31" s="14">
        <v>1</v>
      </c>
      <c r="H31" s="92">
        <f>IF(B$19=0,0,G31/B$19)</f>
        <v>1.1947431302270011E-3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9">
        <v>10</v>
      </c>
      <c r="C32" s="130"/>
      <c r="E32" s="29" t="s">
        <v>102</v>
      </c>
      <c r="F32" s="26" t="s">
        <v>57</v>
      </c>
      <c r="G32" s="14">
        <v>1</v>
      </c>
      <c r="H32" s="92">
        <f>IF(B$19=0,0,G32/B$19)</f>
        <v>1.1947431302270011E-3</v>
      </c>
      <c r="I32" s="60">
        <v>2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1">
        <v>116000</v>
      </c>
      <c r="C33" s="132"/>
      <c r="E33" s="29" t="s">
        <v>106</v>
      </c>
      <c r="F33" s="26" t="s">
        <v>113</v>
      </c>
      <c r="G33" s="14">
        <v>1</v>
      </c>
      <c r="H33" s="92">
        <f>IF(B$19=0,0,G33/B$19)</f>
        <v>1.1947431302270011E-3</v>
      </c>
      <c r="I33" s="60">
        <v>2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8</v>
      </c>
      <c r="C34" s="11">
        <f>IF(B$3=0,0,B34/B$3)</f>
        <v>2.7691242644513675E-3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58</v>
      </c>
      <c r="C36" s="102">
        <f t="shared" ref="C36:C48" si="2">IF(B$19=0,0,B36/B$19)</f>
        <v>6.9295101553166066E-2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148</v>
      </c>
      <c r="C37" s="8">
        <f t="shared" si="2"/>
        <v>0.17682198327359619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147</v>
      </c>
      <c r="C38" s="8">
        <f t="shared" si="2"/>
        <v>0.17562724014336917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154</v>
      </c>
      <c r="C39" s="8">
        <f t="shared" si="2"/>
        <v>0.18399044205495818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122</v>
      </c>
      <c r="C40" s="8">
        <f t="shared" si="2"/>
        <v>0.14575866188769415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86</v>
      </c>
      <c r="C41" s="8">
        <f t="shared" si="2"/>
        <v>0.10274790919952211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50</v>
      </c>
      <c r="C42" s="8">
        <f t="shared" si="2"/>
        <v>5.9737156511350059E-2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22</v>
      </c>
      <c r="C43" s="8">
        <f t="shared" si="2"/>
        <v>2.6284348864994027E-2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15</v>
      </c>
      <c r="C44" s="8">
        <f t="shared" si="2"/>
        <v>1.7921146953405017E-2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10</v>
      </c>
      <c r="C45" s="8">
        <f t="shared" si="2"/>
        <v>1.1947431302270013E-2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4.7789725209080045E-3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5</v>
      </c>
      <c r="C47" s="8">
        <f t="shared" si="2"/>
        <v>5.9737156511350063E-3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16</v>
      </c>
      <c r="C48" s="11">
        <f t="shared" si="2"/>
        <v>1.9115890083632018E-2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  <row r="276" spans="11:12" x14ac:dyDescent="0.45">
      <c r="K276" s="7">
        <v>274</v>
      </c>
      <c r="L276" s="65">
        <v>-34.800000000000033</v>
      </c>
    </row>
    <row r="277" spans="11:12" x14ac:dyDescent="0.45">
      <c r="K277" s="7">
        <v>275</v>
      </c>
      <c r="L277" s="65">
        <v>-50.800000000000033</v>
      </c>
    </row>
    <row r="278" spans="11:12" x14ac:dyDescent="0.45">
      <c r="K278" s="7">
        <v>276</v>
      </c>
      <c r="L278" s="65">
        <v>-3.5527136788005009E-14</v>
      </c>
    </row>
    <row r="279" spans="11:12" x14ac:dyDescent="0.45">
      <c r="K279" s="7">
        <v>277</v>
      </c>
      <c r="L279" s="65">
        <v>33.199999999999967</v>
      </c>
    </row>
    <row r="280" spans="11:12" x14ac:dyDescent="0.45">
      <c r="K280" s="7">
        <v>278</v>
      </c>
      <c r="L280" s="65">
        <v>41.599999999999966</v>
      </c>
    </row>
    <row r="281" spans="11:12" x14ac:dyDescent="0.45">
      <c r="K281" s="7">
        <v>279</v>
      </c>
      <c r="L281" s="65">
        <v>-3.5527136788005009E-14</v>
      </c>
    </row>
    <row r="282" spans="11:12" x14ac:dyDescent="0.45">
      <c r="K282" s="7">
        <v>280</v>
      </c>
      <c r="L282" s="65">
        <v>11.899999999999965</v>
      </c>
    </row>
    <row r="283" spans="11:12" x14ac:dyDescent="0.45">
      <c r="K283" s="7">
        <v>281</v>
      </c>
      <c r="L283" s="65">
        <v>36.199999999999967</v>
      </c>
    </row>
    <row r="284" spans="11:12" x14ac:dyDescent="0.45">
      <c r="K284" s="7">
        <v>282</v>
      </c>
      <c r="L284" s="65">
        <v>-3.5527136788005009E-14</v>
      </c>
    </row>
    <row r="285" spans="11:12" x14ac:dyDescent="0.45">
      <c r="K285" s="7">
        <v>283</v>
      </c>
      <c r="L285" s="65">
        <v>6.1999999999999647</v>
      </c>
    </row>
    <row r="286" spans="11:12" x14ac:dyDescent="0.45">
      <c r="K286" s="7">
        <v>284</v>
      </c>
      <c r="L286" s="65">
        <v>-28.100000000000033</v>
      </c>
    </row>
    <row r="287" spans="11:12" x14ac:dyDescent="0.45">
      <c r="K287" s="7">
        <v>285</v>
      </c>
      <c r="L287" s="65">
        <v>-3.1974423109204508E-14</v>
      </c>
    </row>
    <row r="288" spans="11:12" x14ac:dyDescent="0.45">
      <c r="K288" s="7">
        <v>286</v>
      </c>
      <c r="L288" s="65">
        <v>-40.800000000000026</v>
      </c>
    </row>
    <row r="289" spans="11:12" x14ac:dyDescent="0.45">
      <c r="K289" s="7">
        <v>287</v>
      </c>
      <c r="L289" s="65">
        <v>-33.700000000000024</v>
      </c>
    </row>
    <row r="290" spans="11:12" x14ac:dyDescent="0.45">
      <c r="K290" s="7">
        <v>288</v>
      </c>
      <c r="L290" s="65">
        <v>-2.1316282072803006E-14</v>
      </c>
    </row>
    <row r="291" spans="11:12" x14ac:dyDescent="0.45">
      <c r="K291" s="7">
        <v>289</v>
      </c>
      <c r="L291" s="65">
        <v>0.99999999999997868</v>
      </c>
    </row>
    <row r="292" spans="11:12" x14ac:dyDescent="0.45">
      <c r="K292" s="7">
        <v>290</v>
      </c>
      <c r="L292" s="65">
        <v>-24.40000000000002</v>
      </c>
    </row>
    <row r="293" spans="11:12" x14ac:dyDescent="0.45">
      <c r="K293" s="7">
        <v>291</v>
      </c>
      <c r="L293" s="65">
        <v>-2.1316282072803006E-14</v>
      </c>
    </row>
    <row r="294" spans="11:12" x14ac:dyDescent="0.45">
      <c r="K294" s="7">
        <v>292</v>
      </c>
      <c r="L294" s="65">
        <v>-0.10000000000002132</v>
      </c>
    </row>
    <row r="295" spans="11:12" x14ac:dyDescent="0.45">
      <c r="K295" s="7">
        <v>293</v>
      </c>
      <c r="L295" s="65">
        <v>-19.400000000000023</v>
      </c>
    </row>
    <row r="296" spans="11:12" x14ac:dyDescent="0.45">
      <c r="K296" s="7">
        <v>294</v>
      </c>
      <c r="L296" s="65">
        <v>-2.4868995751603507E-14</v>
      </c>
    </row>
    <row r="297" spans="11:12" x14ac:dyDescent="0.45">
      <c r="K297" s="7">
        <v>295</v>
      </c>
      <c r="L297" s="65">
        <v>60.499999999999972</v>
      </c>
    </row>
    <row r="298" spans="11:12" x14ac:dyDescent="0.45">
      <c r="K298" s="7">
        <v>296</v>
      </c>
      <c r="L298" s="65">
        <v>54.699999999999974</v>
      </c>
    </row>
    <row r="299" spans="11:12" x14ac:dyDescent="0.45">
      <c r="K299" s="7">
        <v>297</v>
      </c>
      <c r="L299" s="65">
        <v>-2.8421709430404007E-14</v>
      </c>
    </row>
    <row r="300" spans="11:12" x14ac:dyDescent="0.45">
      <c r="K300" s="7">
        <v>298</v>
      </c>
      <c r="L300" s="65">
        <v>20.199999999999971</v>
      </c>
    </row>
    <row r="301" spans="11:12" x14ac:dyDescent="0.45">
      <c r="K301" s="7">
        <v>299</v>
      </c>
      <c r="L301" s="65">
        <v>18.199999999999971</v>
      </c>
    </row>
    <row r="302" spans="11:12" x14ac:dyDescent="0.45">
      <c r="K302" s="7">
        <v>300</v>
      </c>
      <c r="L302" s="65">
        <v>-2.8421709430404007E-14</v>
      </c>
    </row>
    <row r="303" spans="11:12" x14ac:dyDescent="0.45">
      <c r="K303" s="7">
        <v>301</v>
      </c>
      <c r="L303" s="65">
        <v>-27.500000000000028</v>
      </c>
    </row>
    <row r="304" spans="11:12" x14ac:dyDescent="0.45">
      <c r="K304" s="7">
        <v>302</v>
      </c>
      <c r="L304" s="65">
        <v>-19.10000000000003</v>
      </c>
    </row>
    <row r="305" spans="11:12" x14ac:dyDescent="0.45">
      <c r="K305" s="7">
        <v>303</v>
      </c>
      <c r="L305" s="65">
        <v>-2.8421709430404007E-14</v>
      </c>
    </row>
    <row r="306" spans="11:12" x14ac:dyDescent="0.45">
      <c r="K306" s="7">
        <v>304</v>
      </c>
      <c r="L306" s="65">
        <v>29.499999999999972</v>
      </c>
    </row>
    <row r="307" spans="11:12" x14ac:dyDescent="0.45">
      <c r="K307" s="7">
        <v>305</v>
      </c>
      <c r="L307" s="65">
        <v>30.799999999999972</v>
      </c>
    </row>
    <row r="308" spans="11:12" x14ac:dyDescent="0.45">
      <c r="K308" s="7">
        <v>306</v>
      </c>
      <c r="L308" s="65">
        <v>-2.8421709430404007E-14</v>
      </c>
    </row>
    <row r="309" spans="11:12" x14ac:dyDescent="0.45">
      <c r="K309" s="7">
        <v>307</v>
      </c>
      <c r="L309" s="65">
        <v>14.099999999999971</v>
      </c>
    </row>
    <row r="310" spans="11:12" x14ac:dyDescent="0.45">
      <c r="K310" s="7">
        <v>308</v>
      </c>
      <c r="L310" s="65">
        <v>50.299999999999976</v>
      </c>
    </row>
    <row r="311" spans="11:12" x14ac:dyDescent="0.45">
      <c r="K311" s="7">
        <v>309</v>
      </c>
      <c r="L311" s="65">
        <v>-2.1316282072803006E-14</v>
      </c>
    </row>
    <row r="312" spans="11:12" x14ac:dyDescent="0.45">
      <c r="K312" s="7">
        <v>310</v>
      </c>
      <c r="L312" s="65">
        <v>8.399999999999979</v>
      </c>
    </row>
    <row r="313" spans="11:12" x14ac:dyDescent="0.45">
      <c r="K313" s="7">
        <v>311</v>
      </c>
      <c r="L313" s="65">
        <v>42.499999999999979</v>
      </c>
    </row>
    <row r="314" spans="11:12" x14ac:dyDescent="0.45">
      <c r="K314" s="7">
        <v>312</v>
      </c>
      <c r="L314" s="65">
        <v>-2.1316282072803006E-14</v>
      </c>
    </row>
    <row r="315" spans="11:12" x14ac:dyDescent="0.45">
      <c r="K315" s="7">
        <v>313</v>
      </c>
      <c r="L315" s="65">
        <v>-19.200000000000021</v>
      </c>
    </row>
    <row r="316" spans="11:12" x14ac:dyDescent="0.45">
      <c r="K316" s="7">
        <v>314</v>
      </c>
      <c r="L316" s="65">
        <v>-15.80000000000002</v>
      </c>
    </row>
    <row r="317" spans="11:12" x14ac:dyDescent="0.45">
      <c r="K317" s="7">
        <v>315</v>
      </c>
      <c r="L317" s="65">
        <v>-1.9539925233402755E-14</v>
      </c>
    </row>
    <row r="318" spans="11:12" x14ac:dyDescent="0.45">
      <c r="K318" s="7">
        <v>316</v>
      </c>
      <c r="L318" s="65">
        <v>7.0999999999999801</v>
      </c>
    </row>
    <row r="319" spans="11:12" x14ac:dyDescent="0.45">
      <c r="K319" s="7">
        <v>317</v>
      </c>
      <c r="L319" s="65">
        <v>28.199999999999982</v>
      </c>
    </row>
    <row r="320" spans="11:12" x14ac:dyDescent="0.45">
      <c r="K320" s="7">
        <v>318</v>
      </c>
      <c r="L320" s="65">
        <v>-1.7763568394002505E-14</v>
      </c>
    </row>
    <row r="321" spans="11:12" x14ac:dyDescent="0.45">
      <c r="K321" s="7">
        <v>319</v>
      </c>
      <c r="L321" s="65">
        <v>-20.400000000000016</v>
      </c>
    </row>
    <row r="322" spans="11:12" x14ac:dyDescent="0.45">
      <c r="K322" s="7">
        <v>320</v>
      </c>
      <c r="L322" s="65">
        <v>-16.300000000000018</v>
      </c>
    </row>
    <row r="323" spans="11:12" x14ac:dyDescent="0.45">
      <c r="K323" s="7">
        <v>321</v>
      </c>
      <c r="L323" s="65">
        <v>-1.7763568394002505E-14</v>
      </c>
    </row>
    <row r="324" spans="11:12" x14ac:dyDescent="0.45">
      <c r="K324" s="7">
        <v>322</v>
      </c>
      <c r="L324" s="65">
        <v>4.7999999999999821</v>
      </c>
    </row>
    <row r="325" spans="11:12" x14ac:dyDescent="0.45">
      <c r="K325" s="7">
        <v>323</v>
      </c>
      <c r="L325" s="65">
        <v>-28.500000000000014</v>
      </c>
    </row>
    <row r="326" spans="11:12" x14ac:dyDescent="0.45">
      <c r="K326" s="7">
        <v>324</v>
      </c>
      <c r="L326" s="65">
        <v>-1.4210854715202004E-14</v>
      </c>
    </row>
    <row r="327" spans="11:12" x14ac:dyDescent="0.45">
      <c r="K327" s="7">
        <v>325</v>
      </c>
      <c r="L327" s="65">
        <v>29.499999999999986</v>
      </c>
    </row>
    <row r="328" spans="11:12" x14ac:dyDescent="0.45">
      <c r="K328" s="7">
        <v>326</v>
      </c>
      <c r="L328" s="65">
        <v>23.099999999999987</v>
      </c>
    </row>
    <row r="329" spans="11:12" x14ac:dyDescent="0.45">
      <c r="K329" s="7">
        <v>327</v>
      </c>
      <c r="L329" s="65">
        <v>-1.4210854715202004E-14</v>
      </c>
    </row>
    <row r="330" spans="11:12" x14ac:dyDescent="0.45">
      <c r="K330" s="7">
        <v>328</v>
      </c>
      <c r="L330" s="65">
        <v>-6.7000000000000144</v>
      </c>
    </row>
    <row r="331" spans="11:12" x14ac:dyDescent="0.45">
      <c r="K331" s="7">
        <v>329</v>
      </c>
      <c r="L331" s="65">
        <v>23.899999999999988</v>
      </c>
    </row>
    <row r="332" spans="11:12" x14ac:dyDescent="0.45">
      <c r="K332" s="7">
        <v>330</v>
      </c>
      <c r="L332" s="65">
        <v>-1.0658141036401503E-14</v>
      </c>
    </row>
    <row r="333" spans="11:12" x14ac:dyDescent="0.45">
      <c r="K333" s="7">
        <v>331</v>
      </c>
      <c r="L333" s="65">
        <v>-20.900000000000009</v>
      </c>
    </row>
    <row r="334" spans="11:12" x14ac:dyDescent="0.45">
      <c r="K334" s="7">
        <v>332</v>
      </c>
      <c r="L334" s="65">
        <v>3.4999999999999893</v>
      </c>
    </row>
    <row r="335" spans="11:12" x14ac:dyDescent="0.45">
      <c r="K335" s="7">
        <v>333</v>
      </c>
      <c r="L335" s="65">
        <v>-1.0658141036401503E-14</v>
      </c>
    </row>
    <row r="336" spans="11:12" x14ac:dyDescent="0.45">
      <c r="K336" s="7">
        <v>334</v>
      </c>
      <c r="L336" s="65">
        <v>-46.800000000000011</v>
      </c>
    </row>
    <row r="337" spans="11:12" x14ac:dyDescent="0.45">
      <c r="K337" s="7">
        <v>335</v>
      </c>
      <c r="L337" s="65">
        <v>-44.900000000000013</v>
      </c>
    </row>
    <row r="338" spans="11:12" x14ac:dyDescent="0.45">
      <c r="K338" s="7">
        <v>336</v>
      </c>
      <c r="L338" s="65">
        <v>-1.4210854715202004E-14</v>
      </c>
    </row>
    <row r="339" spans="11:12" x14ac:dyDescent="0.45">
      <c r="K339" s="7">
        <v>337</v>
      </c>
      <c r="L339" s="65">
        <v>32.399999999999984</v>
      </c>
    </row>
    <row r="340" spans="11:12" x14ac:dyDescent="0.45">
      <c r="K340" s="7">
        <v>338</v>
      </c>
      <c r="L340" s="65">
        <v>32.199999999999982</v>
      </c>
    </row>
    <row r="341" spans="11:12" x14ac:dyDescent="0.45">
      <c r="K341" s="7">
        <v>339</v>
      </c>
      <c r="L341" s="65">
        <v>-2.1316282072803006E-14</v>
      </c>
    </row>
    <row r="342" spans="11:12" x14ac:dyDescent="0.45">
      <c r="K342" s="7">
        <v>340</v>
      </c>
      <c r="L342" s="65">
        <v>36.59999999999998</v>
      </c>
    </row>
    <row r="343" spans="11:12" x14ac:dyDescent="0.45">
      <c r="K343" s="7">
        <v>341</v>
      </c>
      <c r="L343" s="65">
        <v>-10.200000000000017</v>
      </c>
    </row>
    <row r="344" spans="11:12" x14ac:dyDescent="0.45">
      <c r="K344" s="7">
        <v>342</v>
      </c>
      <c r="L344" s="65">
        <v>-1.7763568394002505E-14</v>
      </c>
    </row>
    <row r="345" spans="11:12" x14ac:dyDescent="0.45">
      <c r="K345" s="7">
        <v>343</v>
      </c>
      <c r="L345" s="65">
        <v>-40.100000000000023</v>
      </c>
    </row>
    <row r="346" spans="11:12" x14ac:dyDescent="0.45">
      <c r="K346" s="7">
        <v>344</v>
      </c>
      <c r="L346" s="65">
        <v>-33.000000000000021</v>
      </c>
    </row>
    <row r="347" spans="11:12" x14ac:dyDescent="0.45">
      <c r="K347" s="7">
        <v>345</v>
      </c>
      <c r="L347" s="65">
        <v>-2.1316282072803006E-14</v>
      </c>
    </row>
    <row r="348" spans="11:12" x14ac:dyDescent="0.45">
      <c r="K348" s="7">
        <v>346</v>
      </c>
      <c r="L348" s="65">
        <v>-28.500000000000021</v>
      </c>
    </row>
    <row r="349" spans="11:12" x14ac:dyDescent="0.45">
      <c r="K349" s="7">
        <v>347</v>
      </c>
      <c r="L349" s="65">
        <v>-35.700000000000024</v>
      </c>
    </row>
    <row r="350" spans="11:12" x14ac:dyDescent="0.45">
      <c r="K350" s="7">
        <v>348</v>
      </c>
      <c r="L350" s="65">
        <v>-2.1316282072803006E-14</v>
      </c>
    </row>
    <row r="351" spans="11:12" x14ac:dyDescent="0.45">
      <c r="K351" s="7">
        <v>349</v>
      </c>
      <c r="L351" s="65">
        <v>51.09999999999998</v>
      </c>
    </row>
    <row r="352" spans="11:12" x14ac:dyDescent="0.45">
      <c r="K352" s="7">
        <v>350</v>
      </c>
      <c r="L352" s="65">
        <v>48.699999999999982</v>
      </c>
    </row>
    <row r="353" spans="11:12" x14ac:dyDescent="0.45">
      <c r="K353" s="7">
        <v>351</v>
      </c>
      <c r="L353" s="65">
        <v>-2.1316282072803006E-14</v>
      </c>
    </row>
    <row r="354" spans="11:12" x14ac:dyDescent="0.45">
      <c r="K354" s="7">
        <v>352</v>
      </c>
      <c r="L354" s="65">
        <v>-54.500000000000021</v>
      </c>
    </row>
    <row r="355" spans="11:12" x14ac:dyDescent="0.45">
      <c r="K355" s="7">
        <v>353</v>
      </c>
      <c r="L355" s="65">
        <v>27.899999999999984</v>
      </c>
    </row>
    <row r="356" spans="11:12" x14ac:dyDescent="0.45">
      <c r="K356" s="7">
        <v>354</v>
      </c>
      <c r="L356" s="65">
        <v>-1.4210854715202004E-14</v>
      </c>
    </row>
    <row r="357" spans="11:12" x14ac:dyDescent="0.45">
      <c r="K357" s="7">
        <v>355</v>
      </c>
      <c r="L357" s="65">
        <v>26.599999999999987</v>
      </c>
    </row>
    <row r="358" spans="11:12" x14ac:dyDescent="0.45">
      <c r="K358" s="7">
        <v>356</v>
      </c>
      <c r="L358" s="65">
        <v>5.8999999999999879</v>
      </c>
    </row>
    <row r="359" spans="11:12" x14ac:dyDescent="0.45">
      <c r="K359" s="7">
        <v>357</v>
      </c>
      <c r="L359" s="65">
        <v>-1.2434497875801753E-14</v>
      </c>
    </row>
    <row r="360" spans="11:12" x14ac:dyDescent="0.45">
      <c r="K360" s="7">
        <v>358</v>
      </c>
      <c r="L360" s="65">
        <v>-38.900000000000013</v>
      </c>
    </row>
    <row r="361" spans="11:12" x14ac:dyDescent="0.45">
      <c r="K361" s="7">
        <v>359</v>
      </c>
      <c r="L361" s="65">
        <v>-30.600000000000012</v>
      </c>
    </row>
    <row r="362" spans="11:12" x14ac:dyDescent="0.45">
      <c r="K362" s="7">
        <v>360</v>
      </c>
      <c r="L362" s="65">
        <v>-1.0658141036401503E-14</v>
      </c>
    </row>
    <row r="363" spans="11:12" x14ac:dyDescent="0.45">
      <c r="K363" s="7">
        <v>361</v>
      </c>
      <c r="L363" s="65">
        <v>-25.70000000000001</v>
      </c>
    </row>
    <row r="364" spans="11:12" x14ac:dyDescent="0.45">
      <c r="K364" s="7">
        <v>362</v>
      </c>
      <c r="L364" s="65">
        <v>-18.70000000000001</v>
      </c>
    </row>
    <row r="365" spans="11:12" x14ac:dyDescent="0.45">
      <c r="K365" s="7">
        <v>363</v>
      </c>
      <c r="L365" s="65">
        <v>-1.0658141036401503E-14</v>
      </c>
    </row>
    <row r="366" spans="11:12" x14ac:dyDescent="0.45">
      <c r="K366" s="7">
        <v>364</v>
      </c>
      <c r="L366" s="65">
        <v>-42.400000000000006</v>
      </c>
    </row>
    <row r="367" spans="11:12" x14ac:dyDescent="0.45">
      <c r="K367" s="7">
        <v>365</v>
      </c>
      <c r="L367" s="65">
        <v>5.2999999999999972</v>
      </c>
    </row>
    <row r="368" spans="11:12" x14ac:dyDescent="0.45">
      <c r="K368" s="7">
        <v>366</v>
      </c>
      <c r="L368" s="65">
        <v>-2.6645352591003757E-15</v>
      </c>
    </row>
  </sheetData>
  <sortState xmlns:xlrd2="http://schemas.microsoft.com/office/spreadsheetml/2017/richdata2" ref="N15:Q24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46315-2903-48E4-91F6-AADE9C8976B2}">
  <sheetPr codeName="Sheet7"/>
  <dimension ref="A1:Q6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164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63</v>
      </c>
      <c r="C2" s="136"/>
      <c r="E2" s="28" t="s">
        <v>66</v>
      </c>
      <c r="F2" s="25" t="s">
        <v>22</v>
      </c>
      <c r="G2" s="13">
        <v>125</v>
      </c>
      <c r="H2" s="91">
        <f>IF(B$19=0,0,G2/B$19)</f>
        <v>0.92592592592592593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-873.33333333333337</v>
      </c>
      <c r="P2" s="80">
        <v>60</v>
      </c>
      <c r="Q2" s="67">
        <v>-52400</v>
      </c>
    </row>
    <row r="3" spans="1:17" x14ac:dyDescent="0.45">
      <c r="A3" s="21" t="s">
        <v>8</v>
      </c>
      <c r="B3" s="137">
        <v>501</v>
      </c>
      <c r="C3" s="138"/>
      <c r="E3" s="29" t="s">
        <v>64</v>
      </c>
      <c r="F3" s="26" t="s">
        <v>20</v>
      </c>
      <c r="G3" s="14">
        <v>71</v>
      </c>
      <c r="H3" s="92">
        <f>IF(B$19=0,0,G3/B$19)</f>
        <v>0.52592592592592591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-2222.5806451612902</v>
      </c>
      <c r="P3" s="81">
        <v>62</v>
      </c>
      <c r="Q3" s="68">
        <v>-137800</v>
      </c>
    </row>
    <row r="4" spans="1:17" x14ac:dyDescent="0.45">
      <c r="A4" s="21" t="s">
        <v>6</v>
      </c>
      <c r="B4" s="139">
        <v>-64.900000000000048</v>
      </c>
      <c r="C4" s="140"/>
      <c r="E4" s="29" t="s">
        <v>72</v>
      </c>
      <c r="F4" s="26" t="s">
        <v>27</v>
      </c>
      <c r="G4" s="14">
        <v>69</v>
      </c>
      <c r="H4" s="92">
        <f>IF(B$19=0,0,G4/B$19)</f>
        <v>0.51111111111111107</v>
      </c>
      <c r="I4" s="60">
        <v>7</v>
      </c>
      <c r="K4" s="7">
        <v>2</v>
      </c>
      <c r="L4" s="65">
        <v>32.9</v>
      </c>
      <c r="N4" s="78" t="s">
        <v>130</v>
      </c>
      <c r="O4" s="84">
        <f t="shared" si="0"/>
        <v>558.62068965517244</v>
      </c>
      <c r="P4" s="81">
        <v>58</v>
      </c>
      <c r="Q4" s="68">
        <v>32400</v>
      </c>
    </row>
    <row r="5" spans="1:17" x14ac:dyDescent="0.45">
      <c r="A5" s="21" t="s">
        <v>7</v>
      </c>
      <c r="B5" s="127">
        <f>IF(B$2=0,0,B$4/B$2)</f>
        <v>-1.0301587301587309</v>
      </c>
      <c r="C5" s="128"/>
      <c r="E5" s="29" t="s">
        <v>160</v>
      </c>
      <c r="F5" s="26" t="s">
        <v>161</v>
      </c>
      <c r="G5" s="14">
        <v>64</v>
      </c>
      <c r="H5" s="92">
        <f>IF(B$19=0,0,G5/B$19)</f>
        <v>0.47407407407407409</v>
      </c>
      <c r="I5" s="60">
        <v>3</v>
      </c>
      <c r="K5" s="7">
        <v>3</v>
      </c>
      <c r="L5" s="65">
        <v>61.5</v>
      </c>
      <c r="N5" s="78" t="s">
        <v>131</v>
      </c>
      <c r="O5" s="84">
        <f t="shared" si="0"/>
        <v>-1316.9811320754718</v>
      </c>
      <c r="P5" s="81">
        <v>53</v>
      </c>
      <c r="Q5" s="68">
        <v>-69800</v>
      </c>
    </row>
    <row r="6" spans="1:17" x14ac:dyDescent="0.45">
      <c r="A6" s="21" t="s">
        <v>1</v>
      </c>
      <c r="B6" s="141">
        <f>IF(B$2=0,0,(B$7*1+B$8*2+B$9*3)/B$2)</f>
        <v>2.0158730158730158</v>
      </c>
      <c r="C6" s="142"/>
      <c r="E6" s="29" t="s">
        <v>68</v>
      </c>
      <c r="F6" s="26" t="s">
        <v>12</v>
      </c>
      <c r="G6" s="14">
        <v>43</v>
      </c>
      <c r="H6" s="92">
        <f>IF(B$19=0,0,G6/B$19)</f>
        <v>0.31851851851851853</v>
      </c>
      <c r="I6" s="60">
        <v>7</v>
      </c>
      <c r="K6" s="7">
        <v>4</v>
      </c>
      <c r="L6" s="65">
        <v>27.4</v>
      </c>
      <c r="N6" s="78" t="s">
        <v>132</v>
      </c>
      <c r="O6" s="84">
        <f t="shared" si="0"/>
        <v>967.30769230769226</v>
      </c>
      <c r="P6" s="81">
        <v>52</v>
      </c>
      <c r="Q6" s="68">
        <v>50300</v>
      </c>
    </row>
    <row r="7" spans="1:17" x14ac:dyDescent="0.45">
      <c r="A7" s="21" t="s">
        <v>2</v>
      </c>
      <c r="B7" s="14">
        <v>23</v>
      </c>
      <c r="C7" s="8">
        <f t="shared" ref="C7:C14" si="1">IF(B$2=0,0,B7/B$2)</f>
        <v>0.36507936507936506</v>
      </c>
      <c r="E7" s="29" t="s">
        <v>67</v>
      </c>
      <c r="F7" s="26" t="s">
        <v>23</v>
      </c>
      <c r="G7" s="14">
        <v>34</v>
      </c>
      <c r="H7" s="92">
        <f>IF(B$19=0,0,G7/B$19)</f>
        <v>0.25185185185185183</v>
      </c>
      <c r="I7" s="60">
        <v>7</v>
      </c>
      <c r="K7" s="7">
        <v>5</v>
      </c>
      <c r="L7" s="65">
        <v>18</v>
      </c>
      <c r="N7" s="79" t="s">
        <v>133</v>
      </c>
      <c r="O7" s="85">
        <f t="shared" si="0"/>
        <v>2736.8421052631579</v>
      </c>
      <c r="P7" s="82">
        <v>38</v>
      </c>
      <c r="Q7" s="69">
        <v>104000</v>
      </c>
    </row>
    <row r="8" spans="1:17" x14ac:dyDescent="0.45">
      <c r="A8" s="21" t="s">
        <v>3</v>
      </c>
      <c r="B8" s="14">
        <v>16</v>
      </c>
      <c r="C8" s="8">
        <f t="shared" si="1"/>
        <v>0.25396825396825395</v>
      </c>
      <c r="E8" s="29" t="s">
        <v>89</v>
      </c>
      <c r="F8" s="26" t="s">
        <v>44</v>
      </c>
      <c r="G8" s="14">
        <v>19</v>
      </c>
      <c r="H8" s="92">
        <f>IF(B$19=0,0,G8/B$19)</f>
        <v>0.14074074074074075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24</v>
      </c>
      <c r="C9" s="9">
        <f t="shared" si="1"/>
        <v>0.38095238095238093</v>
      </c>
      <c r="E9" s="29" t="s">
        <v>65</v>
      </c>
      <c r="F9" s="26" t="s">
        <v>21</v>
      </c>
      <c r="G9" s="14">
        <v>17</v>
      </c>
      <c r="H9" s="92">
        <f>IF(B$19=0,0,G9/B$19)</f>
        <v>0.12592592592592591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39.126086956521746</v>
      </c>
      <c r="C10" s="114">
        <v>899.9000000000002</v>
      </c>
      <c r="E10" s="29" t="s">
        <v>69</v>
      </c>
      <c r="F10" s="26" t="s">
        <v>24</v>
      </c>
      <c r="G10" s="14">
        <v>15</v>
      </c>
      <c r="H10" s="92">
        <f>IF(B$19=0,0,G10/B$19)</f>
        <v>0.1111111111111111</v>
      </c>
      <c r="I10" s="60">
        <v>8</v>
      </c>
      <c r="K10" s="7">
        <v>8</v>
      </c>
      <c r="L10" s="65">
        <v>-9.9999999999999964</v>
      </c>
      <c r="N10" s="77" t="s">
        <v>152</v>
      </c>
      <c r="O10" s="86">
        <f>IF(P10=0,0,Q10/P10)</f>
        <v>-10.652380952380954</v>
      </c>
      <c r="P10" s="80">
        <v>21</v>
      </c>
      <c r="Q10" s="71">
        <v>-223.70000000000002</v>
      </c>
    </row>
    <row r="11" spans="1:17" x14ac:dyDescent="0.45">
      <c r="A11" s="22" t="s">
        <v>186</v>
      </c>
      <c r="B11" s="113">
        <f>IF(B8=0,0,C11/B8)</f>
        <v>-1.3375000000000001</v>
      </c>
      <c r="C11" s="114">
        <v>-21.400000000000002</v>
      </c>
      <c r="E11" s="29" t="s">
        <v>70</v>
      </c>
      <c r="F11" s="26" t="s">
        <v>25</v>
      </c>
      <c r="G11" s="14">
        <v>15</v>
      </c>
      <c r="H11" s="92">
        <f>IF(B$19=0,0,G11/B$19)</f>
        <v>0.1111111111111111</v>
      </c>
      <c r="I11" s="60">
        <v>4</v>
      </c>
      <c r="K11" s="7">
        <v>9</v>
      </c>
      <c r="L11" s="65">
        <v>33.5</v>
      </c>
      <c r="N11" s="78" t="s">
        <v>153</v>
      </c>
      <c r="O11" s="87">
        <f>IF(P11=0,0,Q11/P11)</f>
        <v>11.314285714285715</v>
      </c>
      <c r="P11" s="81">
        <v>21</v>
      </c>
      <c r="Q11" s="72">
        <v>237.60000000000002</v>
      </c>
    </row>
    <row r="12" spans="1:17" x14ac:dyDescent="0.45">
      <c r="A12" s="22" t="s">
        <v>187</v>
      </c>
      <c r="B12" s="113">
        <f>IF(B9=0,0,C12/B9)</f>
        <v>-39.308333333333323</v>
      </c>
      <c r="C12" s="114">
        <v>-943.39999999999975</v>
      </c>
      <c r="E12" s="29" t="s">
        <v>86</v>
      </c>
      <c r="F12" s="26" t="s">
        <v>41</v>
      </c>
      <c r="G12" s="14">
        <v>12</v>
      </c>
      <c r="H12" s="92">
        <f>IF(B$19=0,0,G12/B$19)</f>
        <v>8.8888888888888892E-2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-3.7523809523809515</v>
      </c>
      <c r="P12" s="82">
        <v>21</v>
      </c>
      <c r="Q12" s="73">
        <v>-78.799999999999983</v>
      </c>
    </row>
    <row r="13" spans="1:17" x14ac:dyDescent="0.45">
      <c r="A13" s="22" t="s">
        <v>188</v>
      </c>
      <c r="B13" s="127">
        <f>AVERAGE(B10:B12)</f>
        <v>-0.5065821256038584</v>
      </c>
      <c r="C13" s="128"/>
      <c r="E13" s="29" t="s">
        <v>91</v>
      </c>
      <c r="F13" s="26" t="s">
        <v>46</v>
      </c>
      <c r="G13" s="14">
        <v>10</v>
      </c>
      <c r="H13" s="92">
        <f>IF(B$19=0,0,G13/B$19)</f>
        <v>7.407407407407407E-2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0.17460317460317459</v>
      </c>
      <c r="E14" s="29" t="s">
        <v>71</v>
      </c>
      <c r="F14" s="26" t="s">
        <v>26</v>
      </c>
      <c r="G14" s="14">
        <v>7</v>
      </c>
      <c r="H14" s="92">
        <f>IF(B$19=0,0,G14/B$19)</f>
        <v>5.185185185185185E-2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152</v>
      </c>
      <c r="C15" s="12">
        <f>IF(B$3=0,0,B15/B$3)</f>
        <v>0.30339321357285431</v>
      </c>
      <c r="E15" s="29" t="s">
        <v>81</v>
      </c>
      <c r="F15" s="26" t="s">
        <v>36</v>
      </c>
      <c r="G15" s="14">
        <v>7</v>
      </c>
      <c r="H15" s="92">
        <f>IF(B$19=0,0,G15/B$19)</f>
        <v>5.185185185185185E-2</v>
      </c>
      <c r="I15" s="60">
        <v>2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100</v>
      </c>
      <c r="C16" s="8">
        <f>IF(B$3=0,0,B16/B$3)</f>
        <v>0.19960079840319361</v>
      </c>
      <c r="E16" s="29" t="s">
        <v>78</v>
      </c>
      <c r="F16" s="26" t="s">
        <v>33</v>
      </c>
      <c r="G16" s="14">
        <v>5</v>
      </c>
      <c r="H16" s="92">
        <f>IF(B$19=0,0,G16/B$19)</f>
        <v>3.7037037037037035E-2</v>
      </c>
      <c r="I16" s="60">
        <v>6</v>
      </c>
      <c r="K16" s="7">
        <v>14</v>
      </c>
      <c r="L16" s="65">
        <v>15.100000000000001</v>
      </c>
      <c r="N16" s="78" t="s">
        <v>212</v>
      </c>
      <c r="O16" s="87">
        <f>IF(P16=0,0,Q16/P16)</f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71</v>
      </c>
      <c r="C17" s="6">
        <f>IF(B$15=0,0,B17/B$15)</f>
        <v>0.46710526315789475</v>
      </c>
      <c r="E17" s="29" t="s">
        <v>83</v>
      </c>
      <c r="F17" s="26" t="s">
        <v>38</v>
      </c>
      <c r="G17" s="14">
        <v>5</v>
      </c>
      <c r="H17" s="92">
        <f>IF(B$19=0,0,G17/B$19)</f>
        <v>3.7037037037037035E-2</v>
      </c>
      <c r="I17" s="60">
        <v>7</v>
      </c>
      <c r="K17" s="7">
        <v>15</v>
      </c>
      <c r="L17" s="65">
        <v>-33.1</v>
      </c>
      <c r="N17" s="78" t="s">
        <v>205</v>
      </c>
      <c r="O17" s="87">
        <f>IF(P17=0,0,Q17/P17)</f>
        <v>5.4470588235294111</v>
      </c>
      <c r="P17" s="81">
        <v>17</v>
      </c>
      <c r="Q17" s="72">
        <v>92.6</v>
      </c>
    </row>
    <row r="18" spans="1:17" x14ac:dyDescent="0.45">
      <c r="A18" s="20" t="s">
        <v>124</v>
      </c>
      <c r="B18" s="13">
        <f>B24</f>
        <v>35</v>
      </c>
      <c r="C18" s="6">
        <f>IF(B$16=0,0,B18/B$16)</f>
        <v>0.35</v>
      </c>
      <c r="E18" s="29" t="s">
        <v>79</v>
      </c>
      <c r="F18" s="26" t="s">
        <v>34</v>
      </c>
      <c r="G18" s="14">
        <v>4</v>
      </c>
      <c r="H18" s="92">
        <f>IF(B$19=0,0,G18/B$19)</f>
        <v>2.9629629629629631E-2</v>
      </c>
      <c r="I18" s="60">
        <v>4</v>
      </c>
      <c r="K18" s="7">
        <v>16</v>
      </c>
      <c r="L18" s="65">
        <v>-10.8</v>
      </c>
      <c r="N18" s="78" t="s">
        <v>192</v>
      </c>
      <c r="O18" s="87">
        <f>IF(P18=0,0,Q18/P18)</f>
        <v>0.97916666666666641</v>
      </c>
      <c r="P18" s="81">
        <v>24</v>
      </c>
      <c r="Q18" s="72">
        <v>23.499999999999993</v>
      </c>
    </row>
    <row r="19" spans="1:17" x14ac:dyDescent="0.45">
      <c r="A19" s="20" t="s">
        <v>10</v>
      </c>
      <c r="B19" s="13">
        <f>B22+B21</f>
        <v>135</v>
      </c>
      <c r="C19" s="6">
        <f>IF(B$3=0,0,B19/B$3)</f>
        <v>0.26946107784431139</v>
      </c>
      <c r="E19" s="29" t="s">
        <v>92</v>
      </c>
      <c r="F19" s="26" t="s">
        <v>47</v>
      </c>
      <c r="G19" s="14">
        <v>2</v>
      </c>
      <c r="H19" s="92">
        <f>IF(B$19=0,0,G19/B$19)</f>
        <v>1.4814814814814815E-2</v>
      </c>
      <c r="I19" s="60">
        <v>2</v>
      </c>
      <c r="K19" s="7">
        <v>17</v>
      </c>
      <c r="L19" s="65">
        <v>-32.900000000000006</v>
      </c>
      <c r="N19" s="78" t="s">
        <v>126</v>
      </c>
      <c r="O19" s="87">
        <f>IF(P19=0,0,Q19/P19)</f>
        <v>-1.3999999999999952</v>
      </c>
      <c r="P19" s="81">
        <v>49</v>
      </c>
      <c r="Q19" s="72">
        <v>-68.599999999999767</v>
      </c>
    </row>
    <row r="20" spans="1:17" x14ac:dyDescent="0.45">
      <c r="A20" s="21" t="s">
        <v>13</v>
      </c>
      <c r="B20" s="14">
        <v>93</v>
      </c>
      <c r="C20" s="8">
        <f>IF(B$3=0,0,B20/B$3)</f>
        <v>0.18562874251497005</v>
      </c>
      <c r="E20" s="29" t="s">
        <v>156</v>
      </c>
      <c r="F20" s="26" t="s">
        <v>157</v>
      </c>
      <c r="G20" s="14">
        <v>2</v>
      </c>
      <c r="H20" s="92">
        <f>IF(B$19=0,0,G20/B$19)</f>
        <v>1.4814814814814815E-2</v>
      </c>
      <c r="I20" s="60">
        <v>3</v>
      </c>
      <c r="K20" s="7">
        <v>18</v>
      </c>
      <c r="L20" s="65">
        <v>-69.300000000000011</v>
      </c>
      <c r="N20" s="78" t="s">
        <v>196</v>
      </c>
      <c r="O20" s="87">
        <f>IF(P20=0,0,Q20/P20)</f>
        <v>-16.324999999999992</v>
      </c>
      <c r="P20" s="81">
        <v>4</v>
      </c>
      <c r="Q20" s="72">
        <v>-65.299999999999969</v>
      </c>
    </row>
    <row r="21" spans="1:17" x14ac:dyDescent="0.45">
      <c r="A21" s="21" t="s">
        <v>12</v>
      </c>
      <c r="B21" s="14">
        <v>61</v>
      </c>
      <c r="C21" s="8">
        <f>IF(B$19=0,0,B21/B$19)</f>
        <v>0.45185185185185184</v>
      </c>
      <c r="E21" s="29" t="s">
        <v>74</v>
      </c>
      <c r="F21" s="26" t="s">
        <v>29</v>
      </c>
      <c r="G21" s="14">
        <v>1</v>
      </c>
      <c r="H21" s="92">
        <f>IF(B$19=0,0,G21/B$19)</f>
        <v>7.4074074074074077E-3</v>
      </c>
      <c r="I21" s="60">
        <v>2</v>
      </c>
      <c r="K21" s="7">
        <v>19</v>
      </c>
      <c r="L21" s="65">
        <v>-44.500000000000014</v>
      </c>
      <c r="N21" s="78" t="s">
        <v>193</v>
      </c>
      <c r="O21" s="87">
        <f>IF(P21=0,0,Q21/P21)</f>
        <v>-18.444444444444443</v>
      </c>
      <c r="P21" s="81">
        <v>9</v>
      </c>
      <c r="Q21" s="72">
        <v>-166</v>
      </c>
    </row>
    <row r="22" spans="1:17" x14ac:dyDescent="0.45">
      <c r="A22" s="21" t="s">
        <v>11</v>
      </c>
      <c r="B22" s="14">
        <v>74</v>
      </c>
      <c r="C22" s="8">
        <f>IF(B$19=0,0,B22/B$19)</f>
        <v>0.54814814814814816</v>
      </c>
      <c r="E22" s="29" t="s">
        <v>75</v>
      </c>
      <c r="F22" s="26" t="s">
        <v>30</v>
      </c>
      <c r="G22" s="14">
        <v>1</v>
      </c>
      <c r="H22" s="92">
        <f>IF(B$19=0,0,G22/B$19)</f>
        <v>7.4074074074074077E-3</v>
      </c>
      <c r="I22" s="60">
        <v>3</v>
      </c>
      <c r="K22" s="7">
        <v>20</v>
      </c>
      <c r="L22" s="65">
        <v>-72.000000000000014</v>
      </c>
      <c r="N22" s="78" t="s">
        <v>194</v>
      </c>
      <c r="O22" s="87">
        <f>IF(P22=0,0,Q22/P22)</f>
        <v>-19.970000000000006</v>
      </c>
      <c r="P22" s="81">
        <v>10</v>
      </c>
      <c r="Q22" s="72">
        <v>-199.70000000000005</v>
      </c>
    </row>
    <row r="23" spans="1:17" x14ac:dyDescent="0.45">
      <c r="A23" s="21" t="s">
        <v>184</v>
      </c>
      <c r="B23" s="14">
        <v>71</v>
      </c>
      <c r="C23" s="8">
        <f>IF(B$19=0,0,B23/B$19)</f>
        <v>0.52592592592592591</v>
      </c>
      <c r="E23" s="29" t="s">
        <v>97</v>
      </c>
      <c r="F23" s="26" t="s">
        <v>52</v>
      </c>
      <c r="G23" s="14">
        <v>1</v>
      </c>
      <c r="H23" s="92">
        <f>IF(B$19=0,0,G23/B$19)</f>
        <v>7.4074074074074077E-3</v>
      </c>
      <c r="I23" s="60">
        <v>1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35</v>
      </c>
      <c r="C24" s="8">
        <f>IF(B$19=0,0,B24/B$19)</f>
        <v>0.25925925925925924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29</v>
      </c>
      <c r="C25" s="8">
        <f>IF(B$19=0,0,B25/B$19)</f>
        <v>0.21481481481481482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10461.481481481482</v>
      </c>
      <c r="C26" s="10">
        <v>1412300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7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11124</v>
      </c>
      <c r="C27" s="100">
        <v>1112400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8568.5714285714294</v>
      </c>
      <c r="C28" s="100">
        <v>299900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-7834.4086021505373</v>
      </c>
      <c r="C29" s="100">
        <v>-728600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6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9">
        <v>7</v>
      </c>
      <c r="C32" s="130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31">
        <v>116000</v>
      </c>
      <c r="C33" s="132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5</v>
      </c>
      <c r="C34" s="11">
        <f>IF(B$3=0,0,B34/B$3)</f>
        <v>9.9800399201596807E-3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4</v>
      </c>
      <c r="C36" s="102">
        <f t="shared" ref="C36:C48" si="2">IF(B$19=0,0,B36/B$19)</f>
        <v>2.9629629629629631E-2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14</v>
      </c>
      <c r="C37" s="8">
        <f t="shared" si="2"/>
        <v>0.1037037037037037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13</v>
      </c>
      <c r="C38" s="8">
        <f t="shared" si="2"/>
        <v>9.6296296296296297E-2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35</v>
      </c>
      <c r="C39" s="8">
        <f t="shared" si="2"/>
        <v>0.25925925925925924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26</v>
      </c>
      <c r="C40" s="8">
        <f t="shared" si="2"/>
        <v>0.19259259259259259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17</v>
      </c>
      <c r="C41" s="8">
        <f t="shared" si="2"/>
        <v>0.12592592592592591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11</v>
      </c>
      <c r="C42" s="8">
        <f t="shared" si="2"/>
        <v>8.1481481481481488E-2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5</v>
      </c>
      <c r="C43" s="8">
        <f t="shared" si="2"/>
        <v>3.7037037037037035E-2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4</v>
      </c>
      <c r="C44" s="8">
        <f t="shared" si="2"/>
        <v>2.9629629629629631E-2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3</v>
      </c>
      <c r="C47" s="8">
        <f t="shared" si="2"/>
        <v>2.2222222222222223E-2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2"/>
        <v>2.2222222222222223E-2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5">
      <c r="K53" s="7">
        <v>51</v>
      </c>
      <c r="L53" s="65">
        <v>-114.20000000000006</v>
      </c>
    </row>
    <row r="54" spans="5:12" x14ac:dyDescent="0.45">
      <c r="K54" s="7">
        <v>52</v>
      </c>
      <c r="L54" s="65">
        <v>-89.900000000000063</v>
      </c>
    </row>
    <row r="55" spans="5:12" x14ac:dyDescent="0.45">
      <c r="K55" s="7">
        <v>53</v>
      </c>
      <c r="L55" s="65">
        <v>-61.800000000000061</v>
      </c>
    </row>
    <row r="56" spans="5:12" x14ac:dyDescent="0.45">
      <c r="K56" s="7">
        <v>54</v>
      </c>
      <c r="L56" s="65">
        <v>-63.800000000000061</v>
      </c>
    </row>
    <row r="57" spans="5:12" x14ac:dyDescent="0.45">
      <c r="K57" s="7">
        <v>55</v>
      </c>
      <c r="L57" s="65">
        <v>-114.10000000000005</v>
      </c>
    </row>
    <row r="58" spans="5:12" x14ac:dyDescent="0.45">
      <c r="K58" s="7">
        <v>56</v>
      </c>
      <c r="L58" s="65">
        <v>-110.70000000000005</v>
      </c>
    </row>
    <row r="59" spans="5:12" x14ac:dyDescent="0.45">
      <c r="K59" s="7">
        <v>57</v>
      </c>
      <c r="L59" s="65">
        <v>-89.600000000000051</v>
      </c>
    </row>
    <row r="60" spans="5:12" x14ac:dyDescent="0.45">
      <c r="K60" s="7">
        <v>58</v>
      </c>
      <c r="L60" s="65">
        <v>-110.00000000000006</v>
      </c>
    </row>
    <row r="61" spans="5:12" x14ac:dyDescent="0.45">
      <c r="K61" s="7">
        <v>59</v>
      </c>
      <c r="L61" s="65">
        <v>-105.20000000000006</v>
      </c>
    </row>
    <row r="62" spans="5:12" x14ac:dyDescent="0.45">
      <c r="K62" s="7">
        <v>60</v>
      </c>
      <c r="L62" s="65">
        <v>-152.00000000000006</v>
      </c>
    </row>
    <row r="63" spans="5:12" x14ac:dyDescent="0.45">
      <c r="K63" s="7">
        <v>61</v>
      </c>
      <c r="L63" s="65">
        <v>-119.60000000000005</v>
      </c>
    </row>
    <row r="64" spans="5:12" x14ac:dyDescent="0.45">
      <c r="K64" s="7">
        <v>62</v>
      </c>
      <c r="L64" s="65">
        <v>-112.60000000000005</v>
      </c>
    </row>
    <row r="65" spans="11:12" x14ac:dyDescent="0.45">
      <c r="K65" s="7">
        <v>63</v>
      </c>
      <c r="L65" s="65">
        <v>-64.900000000000048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8AC7-600F-4D93-BD3A-C5B4FF0B6BD9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189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9</v>
      </c>
      <c r="C2" s="136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7">
        <v>74</v>
      </c>
      <c r="C3" s="138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9">
        <v>-105.5</v>
      </c>
      <c r="C4" s="140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1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7">
        <f>IF(B$2=0,0,B$4/B$2)</f>
        <v>-11.722222222222221</v>
      </c>
      <c r="C5" s="128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41">
        <f>IF(B$2=0,0,(B$7*1+B$8*2+B$9*3)/B$2)</f>
        <v>2.2222222222222223</v>
      </c>
      <c r="C6" s="142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10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10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1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4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7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2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-3.6805555555555549</v>
      </c>
      <c r="C13" s="128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5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10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9">
        <v>4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1">
        <v>66700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88E22-7249-44F8-858A-468D9C96E270}">
  <sheetPr codeName="Sheet11"/>
  <dimension ref="A1:Q9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126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93</v>
      </c>
      <c r="C2" s="136"/>
      <c r="E2" s="28" t="s">
        <v>66</v>
      </c>
      <c r="F2" s="25" t="s">
        <v>22</v>
      </c>
      <c r="G2" s="13">
        <v>152</v>
      </c>
      <c r="H2" s="91">
        <f>IF(B$19=0,0,G2/B$19)</f>
        <v>0.67555555555555558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1601.0869565217392</v>
      </c>
      <c r="P2" s="80">
        <v>92</v>
      </c>
      <c r="Q2" s="67">
        <v>147300</v>
      </c>
    </row>
    <row r="3" spans="1:17" x14ac:dyDescent="0.45">
      <c r="A3" s="21" t="s">
        <v>8</v>
      </c>
      <c r="B3" s="137">
        <v>732</v>
      </c>
      <c r="C3" s="138"/>
      <c r="E3" s="29" t="s">
        <v>72</v>
      </c>
      <c r="F3" s="26" t="s">
        <v>27</v>
      </c>
      <c r="G3" s="14">
        <v>113</v>
      </c>
      <c r="H3" s="92">
        <f>IF(B$19=0,0,G3/B$19)</f>
        <v>0.50222222222222224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2768.131868131868</v>
      </c>
      <c r="P3" s="81">
        <v>91</v>
      </c>
      <c r="Q3" s="68">
        <v>251900</v>
      </c>
    </row>
    <row r="4" spans="1:17" x14ac:dyDescent="0.45">
      <c r="A4" s="21" t="s">
        <v>6</v>
      </c>
      <c r="B4" s="139">
        <v>761.70000000000027</v>
      </c>
      <c r="C4" s="140"/>
      <c r="E4" s="29" t="s">
        <v>64</v>
      </c>
      <c r="F4" s="26" t="s">
        <v>20</v>
      </c>
      <c r="G4" s="14">
        <v>97</v>
      </c>
      <c r="H4" s="92">
        <f>IF(B$19=0,0,G4/B$19)</f>
        <v>0.43111111111111111</v>
      </c>
      <c r="I4" s="60">
        <v>9</v>
      </c>
      <c r="K4" s="7">
        <v>2</v>
      </c>
      <c r="L4" s="65">
        <v>99.6</v>
      </c>
      <c r="N4" s="78" t="s">
        <v>130</v>
      </c>
      <c r="O4" s="84">
        <f t="shared" si="0"/>
        <v>1637.9310344827586</v>
      </c>
      <c r="P4" s="81">
        <v>87</v>
      </c>
      <c r="Q4" s="68">
        <v>142500</v>
      </c>
    </row>
    <row r="5" spans="1:17" x14ac:dyDescent="0.45">
      <c r="A5" s="21" t="s">
        <v>7</v>
      </c>
      <c r="B5" s="127">
        <f>IF(B$2=0,0,B$4/B$2)</f>
        <v>8.1903225806451641</v>
      </c>
      <c r="C5" s="128"/>
      <c r="E5" s="29" t="s">
        <v>160</v>
      </c>
      <c r="F5" s="26" t="s">
        <v>161</v>
      </c>
      <c r="G5" s="14">
        <v>94</v>
      </c>
      <c r="H5" s="92">
        <f>IF(B$19=0,0,G5/B$19)</f>
        <v>0.4177777777777778</v>
      </c>
      <c r="I5" s="60">
        <v>9</v>
      </c>
      <c r="K5" s="7">
        <v>3</v>
      </c>
      <c r="L5" s="65">
        <v>98.1</v>
      </c>
      <c r="N5" s="78" t="s">
        <v>131</v>
      </c>
      <c r="O5" s="84">
        <f t="shared" si="0"/>
        <v>876.92307692307691</v>
      </c>
      <c r="P5" s="81">
        <v>78</v>
      </c>
      <c r="Q5" s="68">
        <v>68400</v>
      </c>
    </row>
    <row r="6" spans="1:17" x14ac:dyDescent="0.45">
      <c r="A6" s="21" t="s">
        <v>1</v>
      </c>
      <c r="B6" s="141">
        <f>IF(B$2=0,0,(B$7*1+B$8*2+B$9*3)/B$2)</f>
        <v>1.7741935483870968</v>
      </c>
      <c r="C6" s="142"/>
      <c r="E6" s="29" t="s">
        <v>68</v>
      </c>
      <c r="F6" s="26" t="s">
        <v>12</v>
      </c>
      <c r="G6" s="14">
        <v>87</v>
      </c>
      <c r="H6" s="92">
        <f>IF(B$19=0,0,G6/B$19)</f>
        <v>0.38666666666666666</v>
      </c>
      <c r="I6" s="60">
        <v>4</v>
      </c>
      <c r="K6" s="7">
        <v>4</v>
      </c>
      <c r="L6" s="65">
        <v>101.5</v>
      </c>
      <c r="N6" s="78" t="s">
        <v>132</v>
      </c>
      <c r="O6" s="84">
        <f t="shared" si="0"/>
        <v>-1071.6216216216217</v>
      </c>
      <c r="P6" s="81">
        <v>74</v>
      </c>
      <c r="Q6" s="68">
        <v>-79300</v>
      </c>
    </row>
    <row r="7" spans="1:17" x14ac:dyDescent="0.45">
      <c r="A7" s="21" t="s">
        <v>2</v>
      </c>
      <c r="B7" s="14">
        <v>42</v>
      </c>
      <c r="C7" s="8">
        <f t="shared" ref="C7:C14" si="1">IF(B$2=0,0,B7/B$2)</f>
        <v>0.45161290322580644</v>
      </c>
      <c r="E7" s="29" t="s">
        <v>67</v>
      </c>
      <c r="F7" s="26" t="s">
        <v>23</v>
      </c>
      <c r="G7" s="14">
        <v>64</v>
      </c>
      <c r="H7" s="92">
        <f>IF(B$19=0,0,G7/B$19)</f>
        <v>0.28444444444444444</v>
      </c>
      <c r="I7" s="60">
        <v>2</v>
      </c>
      <c r="K7" s="7">
        <v>5</v>
      </c>
      <c r="L7" s="65">
        <v>143.1</v>
      </c>
      <c r="N7" s="79" t="s">
        <v>133</v>
      </c>
      <c r="O7" s="85">
        <f t="shared" si="0"/>
        <v>2734.4827586206898</v>
      </c>
      <c r="P7" s="82">
        <v>58</v>
      </c>
      <c r="Q7" s="69">
        <v>158600</v>
      </c>
    </row>
    <row r="8" spans="1:17" x14ac:dyDescent="0.45">
      <c r="A8" s="21" t="s">
        <v>3</v>
      </c>
      <c r="B8" s="14">
        <v>30</v>
      </c>
      <c r="C8" s="8">
        <f t="shared" si="1"/>
        <v>0.32258064516129031</v>
      </c>
      <c r="E8" s="29" t="s">
        <v>69</v>
      </c>
      <c r="F8" s="26" t="s">
        <v>24</v>
      </c>
      <c r="G8" s="14">
        <v>42</v>
      </c>
      <c r="H8" s="92">
        <f>IF(B$19=0,0,G8/B$19)</f>
        <v>0.18666666666666668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21</v>
      </c>
      <c r="C9" s="9">
        <f t="shared" si="1"/>
        <v>0.22580645161290322</v>
      </c>
      <c r="E9" s="29" t="s">
        <v>89</v>
      </c>
      <c r="F9" s="26" t="s">
        <v>44</v>
      </c>
      <c r="G9" s="14">
        <v>39</v>
      </c>
      <c r="H9" s="92">
        <f>IF(B$19=0,0,G9/B$19)</f>
        <v>0.17333333333333334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37.854761904761894</v>
      </c>
      <c r="C10" s="114">
        <v>1589.8999999999996</v>
      </c>
      <c r="E10" s="29" t="s">
        <v>65</v>
      </c>
      <c r="F10" s="26" t="s">
        <v>21</v>
      </c>
      <c r="G10" s="14">
        <v>24</v>
      </c>
      <c r="H10" s="92">
        <f>IF(B$19=0,0,G10/B$19)</f>
        <v>0.10666666666666667</v>
      </c>
      <c r="I10" s="60">
        <v>5</v>
      </c>
      <c r="K10" s="7">
        <v>8</v>
      </c>
      <c r="L10" s="65">
        <v>132.6</v>
      </c>
      <c r="N10" s="77" t="s">
        <v>152</v>
      </c>
      <c r="O10" s="86">
        <f>IF(P10=0,0,Q10/P10)</f>
        <v>2.5</v>
      </c>
      <c r="P10" s="80">
        <v>29</v>
      </c>
      <c r="Q10" s="71">
        <v>72.5</v>
      </c>
    </row>
    <row r="11" spans="1:17" x14ac:dyDescent="0.45">
      <c r="A11" s="22" t="s">
        <v>186</v>
      </c>
      <c r="B11" s="113">
        <f>IF(B8=0,0,C11/B8)</f>
        <v>-0.99333333333333329</v>
      </c>
      <c r="C11" s="114">
        <v>-29.799999999999997</v>
      </c>
      <c r="E11" s="29" t="s">
        <v>70</v>
      </c>
      <c r="F11" s="26" t="s">
        <v>25</v>
      </c>
      <c r="G11" s="14">
        <v>18</v>
      </c>
      <c r="H11" s="92">
        <f>IF(B$19=0,0,G11/B$19)</f>
        <v>0.08</v>
      </c>
      <c r="I11" s="60">
        <v>7</v>
      </c>
      <c r="K11" s="7">
        <v>9</v>
      </c>
      <c r="L11" s="65">
        <v>151.29999999999998</v>
      </c>
      <c r="N11" s="78" t="s">
        <v>153</v>
      </c>
      <c r="O11" s="87">
        <f>IF(P11=0,0,Q11/P11)</f>
        <v>8.0999999999999979</v>
      </c>
      <c r="P11" s="81">
        <v>31</v>
      </c>
      <c r="Q11" s="72">
        <v>251.09999999999991</v>
      </c>
    </row>
    <row r="12" spans="1:17" x14ac:dyDescent="0.45">
      <c r="A12" s="22" t="s">
        <v>187</v>
      </c>
      <c r="B12" s="113">
        <f>IF(B9=0,0,C12/B9)</f>
        <v>-38.019047619047626</v>
      </c>
      <c r="C12" s="114">
        <v>-798.40000000000009</v>
      </c>
      <c r="E12" s="29" t="s">
        <v>86</v>
      </c>
      <c r="F12" s="26" t="s">
        <v>41</v>
      </c>
      <c r="G12" s="14">
        <v>18</v>
      </c>
      <c r="H12" s="92">
        <f>IF(B$19=0,0,G12/B$19)</f>
        <v>0.08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13.275757575757581</v>
      </c>
      <c r="P12" s="82">
        <v>33</v>
      </c>
      <c r="Q12" s="73">
        <v>438.10000000000014</v>
      </c>
    </row>
    <row r="13" spans="1:17" x14ac:dyDescent="0.45">
      <c r="A13" s="22" t="s">
        <v>188</v>
      </c>
      <c r="B13" s="127">
        <f>AVERAGE(B10:B12)</f>
        <v>-0.38587301587302153</v>
      </c>
      <c r="C13" s="128"/>
      <c r="E13" s="29" t="s">
        <v>71</v>
      </c>
      <c r="F13" s="26" t="s">
        <v>26</v>
      </c>
      <c r="G13" s="14">
        <v>15</v>
      </c>
      <c r="H13" s="92">
        <f>IF(B$19=0,0,G13/B$19)</f>
        <v>6.6666666666666666E-2</v>
      </c>
      <c r="I13" s="60">
        <v>3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6.4516129032258063E-2</v>
      </c>
      <c r="E14" s="29" t="s">
        <v>78</v>
      </c>
      <c r="F14" s="26" t="s">
        <v>33</v>
      </c>
      <c r="G14" s="14">
        <v>12</v>
      </c>
      <c r="H14" s="92">
        <f>IF(B$19=0,0,G14/B$19)</f>
        <v>5.3333333333333337E-2</v>
      </c>
      <c r="I14" s="60">
        <v>1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182</v>
      </c>
      <c r="C15" s="12">
        <f>IF(B$3=0,0,B15/B$3)</f>
        <v>0.24863387978142076</v>
      </c>
      <c r="E15" s="29" t="s">
        <v>83</v>
      </c>
      <c r="F15" s="26" t="s">
        <v>38</v>
      </c>
      <c r="G15" s="14">
        <v>11</v>
      </c>
      <c r="H15" s="92">
        <f>IF(B$19=0,0,G15/B$19)</f>
        <v>4.8888888888888891E-2</v>
      </c>
      <c r="I15" s="60">
        <v>6</v>
      </c>
      <c r="K15" s="7">
        <v>13</v>
      </c>
      <c r="L15" s="65">
        <v>197</v>
      </c>
      <c r="N15" s="77" t="s">
        <v>240</v>
      </c>
      <c r="O15" s="86">
        <f>IF(P15=0,0,Q15/P15)</f>
        <v>43.12</v>
      </c>
      <c r="P15" s="80">
        <v>5</v>
      </c>
      <c r="Q15" s="71">
        <v>215.6</v>
      </c>
    </row>
    <row r="16" spans="1:17" x14ac:dyDescent="0.45">
      <c r="A16" s="21" t="s">
        <v>118</v>
      </c>
      <c r="B16" s="14">
        <v>116</v>
      </c>
      <c r="C16" s="8">
        <f>IF(B$3=0,0,B16/B$3)</f>
        <v>0.15846994535519127</v>
      </c>
      <c r="E16" s="29" t="s">
        <v>156</v>
      </c>
      <c r="F16" s="26" t="s">
        <v>157</v>
      </c>
      <c r="G16" s="14">
        <v>10</v>
      </c>
      <c r="H16" s="92">
        <f>IF(B$19=0,0,G16/B$19)</f>
        <v>4.4444444444444446E-2</v>
      </c>
      <c r="I16" s="60">
        <v>1</v>
      </c>
      <c r="K16" s="7">
        <v>14</v>
      </c>
      <c r="L16" s="65">
        <v>249.2</v>
      </c>
      <c r="N16" s="78" t="s">
        <v>196</v>
      </c>
      <c r="O16" s="87">
        <f>IF(P16=0,0,Q16/P16)</f>
        <v>34.9</v>
      </c>
      <c r="P16" s="81">
        <v>2</v>
      </c>
      <c r="Q16" s="72">
        <v>69.8</v>
      </c>
    </row>
    <row r="17" spans="1:17" x14ac:dyDescent="0.45">
      <c r="A17" s="20" t="s">
        <v>123</v>
      </c>
      <c r="B17" s="13">
        <f>B23</f>
        <v>108</v>
      </c>
      <c r="C17" s="6">
        <f>IF(B$15=0,0,B17/B$15)</f>
        <v>0.59340659340659341</v>
      </c>
      <c r="E17" s="29" t="s">
        <v>79</v>
      </c>
      <c r="F17" s="26" t="s">
        <v>34</v>
      </c>
      <c r="G17" s="14">
        <v>6</v>
      </c>
      <c r="H17" s="92">
        <f>IF(B$19=0,0,G17/B$19)</f>
        <v>2.6666666666666668E-2</v>
      </c>
      <c r="I17" s="60">
        <v>5</v>
      </c>
      <c r="K17" s="7">
        <v>15</v>
      </c>
      <c r="L17" s="65">
        <v>213.5</v>
      </c>
      <c r="N17" s="78" t="s">
        <v>189</v>
      </c>
      <c r="O17" s="87">
        <f>IF(P17=0,0,Q17/P17)</f>
        <v>29.983333333333331</v>
      </c>
      <c r="P17" s="81">
        <v>6</v>
      </c>
      <c r="Q17" s="72">
        <v>179.89999999999998</v>
      </c>
    </row>
    <row r="18" spans="1:17" x14ac:dyDescent="0.45">
      <c r="A18" s="20" t="s">
        <v>124</v>
      </c>
      <c r="B18" s="13">
        <f>B24</f>
        <v>56</v>
      </c>
      <c r="C18" s="6">
        <f>IF(B$16=0,0,B18/B$16)</f>
        <v>0.48275862068965519</v>
      </c>
      <c r="E18" s="29" t="s">
        <v>81</v>
      </c>
      <c r="F18" s="26" t="s">
        <v>36</v>
      </c>
      <c r="G18" s="14">
        <v>6</v>
      </c>
      <c r="H18" s="92">
        <f>IF(B$19=0,0,G18/B$19)</f>
        <v>2.6666666666666668E-2</v>
      </c>
      <c r="I18" s="60">
        <v>5</v>
      </c>
      <c r="K18" s="7">
        <v>16</v>
      </c>
      <c r="L18" s="65">
        <v>273.8</v>
      </c>
      <c r="N18" s="78" t="s">
        <v>193</v>
      </c>
      <c r="O18" s="87">
        <f>IF(P18=0,0,Q18/P18)</f>
        <v>18.461111111111112</v>
      </c>
      <c r="P18" s="81">
        <v>18</v>
      </c>
      <c r="Q18" s="72">
        <v>332.3</v>
      </c>
    </row>
    <row r="19" spans="1:17" x14ac:dyDescent="0.45">
      <c r="A19" s="20" t="s">
        <v>10</v>
      </c>
      <c r="B19" s="13">
        <f>B22+B21</f>
        <v>225</v>
      </c>
      <c r="C19" s="6">
        <f>IF(B$3=0,0,B19/B$3)</f>
        <v>0.30737704918032788</v>
      </c>
      <c r="E19" s="29" t="s">
        <v>91</v>
      </c>
      <c r="F19" s="26" t="s">
        <v>46</v>
      </c>
      <c r="G19" s="14">
        <v>3</v>
      </c>
      <c r="H19" s="92">
        <f>IF(B$19=0,0,G19/B$19)</f>
        <v>1.3333333333333334E-2</v>
      </c>
      <c r="I19" s="60">
        <v>4</v>
      </c>
      <c r="K19" s="7">
        <v>17</v>
      </c>
      <c r="L19" s="65">
        <v>242.8</v>
      </c>
      <c r="N19" s="78" t="s">
        <v>192</v>
      </c>
      <c r="O19" s="87">
        <f>IF(P19=0,0,Q19/P19)</f>
        <v>17.920000000000005</v>
      </c>
      <c r="P19" s="81">
        <v>35</v>
      </c>
      <c r="Q19" s="72">
        <v>627.20000000000016</v>
      </c>
    </row>
    <row r="20" spans="1:17" x14ac:dyDescent="0.45">
      <c r="A20" s="21" t="s">
        <v>13</v>
      </c>
      <c r="B20" s="14">
        <v>101</v>
      </c>
      <c r="C20" s="8">
        <f>IF(B$3=0,0,B20/B$3)</f>
        <v>0.13797814207650272</v>
      </c>
      <c r="E20" s="29" t="s">
        <v>92</v>
      </c>
      <c r="F20" s="26" t="s">
        <v>47</v>
      </c>
      <c r="G20" s="14">
        <v>3</v>
      </c>
      <c r="H20" s="92">
        <f>IF(B$19=0,0,G20/B$19)</f>
        <v>1.3333333333333334E-2</v>
      </c>
      <c r="I20" s="60">
        <v>3</v>
      </c>
      <c r="K20" s="7">
        <v>18</v>
      </c>
      <c r="L20" s="65">
        <v>280</v>
      </c>
      <c r="N20" s="78" t="s">
        <v>194</v>
      </c>
      <c r="O20" s="87">
        <f>IF(P20=0,0,Q20/P20)</f>
        <v>17.357692307692307</v>
      </c>
      <c r="P20" s="81">
        <v>26</v>
      </c>
      <c r="Q20" s="72">
        <v>451.3</v>
      </c>
    </row>
    <row r="21" spans="1:17" x14ac:dyDescent="0.45">
      <c r="A21" s="21" t="s">
        <v>12</v>
      </c>
      <c r="B21" s="14">
        <v>114</v>
      </c>
      <c r="C21" s="8">
        <f>IF(B$19=0,0,B21/B$19)</f>
        <v>0.50666666666666671</v>
      </c>
      <c r="E21" s="29" t="s">
        <v>93</v>
      </c>
      <c r="F21" s="26" t="s">
        <v>48</v>
      </c>
      <c r="G21" s="14">
        <v>2</v>
      </c>
      <c r="H21" s="92">
        <f>IF(B$19=0,0,G21/B$19)</f>
        <v>8.8888888888888889E-3</v>
      </c>
      <c r="I21" s="60">
        <v>1</v>
      </c>
      <c r="K21" s="7">
        <v>19</v>
      </c>
      <c r="L21" s="65">
        <v>281.5</v>
      </c>
      <c r="N21" s="78" t="s">
        <v>205</v>
      </c>
      <c r="O21" s="87">
        <f>IF(P21=0,0,Q21/P21)</f>
        <v>8.2694444444444422</v>
      </c>
      <c r="P21" s="81">
        <v>36</v>
      </c>
      <c r="Q21" s="72">
        <v>297.69999999999993</v>
      </c>
    </row>
    <row r="22" spans="1:17" x14ac:dyDescent="0.45">
      <c r="A22" s="21" t="s">
        <v>11</v>
      </c>
      <c r="B22" s="14">
        <v>111</v>
      </c>
      <c r="C22" s="8">
        <f>IF(B$19=0,0,B22/B$19)</f>
        <v>0.49333333333333335</v>
      </c>
      <c r="E22" s="29" t="s">
        <v>73</v>
      </c>
      <c r="F22" s="26" t="s">
        <v>28</v>
      </c>
      <c r="G22" s="14">
        <v>1</v>
      </c>
      <c r="H22" s="92">
        <f>IF(B$19=0,0,G22/B$19)</f>
        <v>4.4444444444444444E-3</v>
      </c>
      <c r="I22" s="60">
        <v>3</v>
      </c>
      <c r="K22" s="7">
        <v>20</v>
      </c>
      <c r="L22" s="65">
        <v>287.2</v>
      </c>
      <c r="N22" s="78" t="s">
        <v>212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108</v>
      </c>
      <c r="C23" s="8">
        <f>IF(B$19=0,0,B23/B$19)</f>
        <v>0.48</v>
      </c>
      <c r="E23" s="29" t="s">
        <v>75</v>
      </c>
      <c r="F23" s="26" t="s">
        <v>30</v>
      </c>
      <c r="G23" s="14">
        <v>1</v>
      </c>
      <c r="H23" s="92">
        <f>IF(B$19=0,0,G23/B$19)</f>
        <v>4.4444444444444444E-3</v>
      </c>
      <c r="I23" s="60">
        <v>6</v>
      </c>
      <c r="K23" s="7">
        <v>21</v>
      </c>
      <c r="L23" s="65">
        <v>286.3</v>
      </c>
      <c r="N23" s="78" t="s">
        <v>164</v>
      </c>
      <c r="O23" s="87">
        <f>IF(P23=0,0,Q23/P23)</f>
        <v>1.3999999999999968</v>
      </c>
      <c r="P23" s="81">
        <v>49</v>
      </c>
      <c r="Q23" s="72">
        <v>68.599999999999838</v>
      </c>
    </row>
    <row r="24" spans="1:17" x14ac:dyDescent="0.45">
      <c r="A24" s="21" t="s">
        <v>182</v>
      </c>
      <c r="B24" s="14">
        <v>56</v>
      </c>
      <c r="C24" s="8">
        <f>IF(B$19=0,0,B24/B$19)</f>
        <v>0.24888888888888888</v>
      </c>
      <c r="E24" s="29" t="s">
        <v>77</v>
      </c>
      <c r="F24" s="26" t="s">
        <v>32</v>
      </c>
      <c r="G24" s="14">
        <v>1</v>
      </c>
      <c r="H24" s="92">
        <f>IF(B$19=0,0,G24/B$19)</f>
        <v>4.4444444444444444E-3</v>
      </c>
      <c r="I24" s="60">
        <v>6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61</v>
      </c>
      <c r="C25" s="8">
        <f>IF(B$19=0,0,B25/B$19)</f>
        <v>0.27111111111111114</v>
      </c>
      <c r="E25" s="29" t="s">
        <v>84</v>
      </c>
      <c r="F25" s="26" t="s">
        <v>39</v>
      </c>
      <c r="G25" s="14">
        <v>1</v>
      </c>
      <c r="H25" s="92">
        <f>IF(B$19=0,0,G25/B$19)</f>
        <v>4.4444444444444444E-3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9835.1111111111113</v>
      </c>
      <c r="C26" s="10">
        <v>2212900</v>
      </c>
      <c r="E26" s="29" t="s">
        <v>87</v>
      </c>
      <c r="F26" s="26" t="s">
        <v>42</v>
      </c>
      <c r="G26" s="14">
        <v>1</v>
      </c>
      <c r="H26" s="92">
        <f>IF(B$19=0,0,G26/B$19)</f>
        <v>4.4444444444444444E-3</v>
      </c>
      <c r="I26" s="60">
        <v>2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10178.698224852071</v>
      </c>
      <c r="C27" s="100">
        <v>1720200</v>
      </c>
      <c r="E27" s="29" t="s">
        <v>95</v>
      </c>
      <c r="F27" s="26" t="s">
        <v>50</v>
      </c>
      <c r="G27" s="14">
        <v>1</v>
      </c>
      <c r="H27" s="92">
        <f>IF(B$19=0,0,G27/B$19)</f>
        <v>4.4444444444444444E-3</v>
      </c>
      <c r="I27" s="60">
        <v>1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8798.2142857142862</v>
      </c>
      <c r="C28" s="100">
        <v>492700</v>
      </c>
      <c r="E28" s="29" t="s">
        <v>106</v>
      </c>
      <c r="F28" s="26" t="s">
        <v>113</v>
      </c>
      <c r="G28" s="14">
        <v>1</v>
      </c>
      <c r="H28" s="92">
        <f>IF(B$19=0,0,G28/B$19)</f>
        <v>4.4444444444444444E-3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-8287.1287128712866</v>
      </c>
      <c r="C29" s="100">
        <v>-837000</v>
      </c>
      <c r="E29" s="29" t="s">
        <v>74</v>
      </c>
      <c r="F29" s="26" t="s">
        <v>29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6</v>
      </c>
      <c r="C30" s="94">
        <v>1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4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9">
        <v>6</v>
      </c>
      <c r="C32" s="130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31">
        <v>102700</v>
      </c>
      <c r="C33" s="132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13</v>
      </c>
      <c r="C36" s="102">
        <f t="shared" ref="C36:C48" si="2">IF(B$19=0,0,B36/B$19)</f>
        <v>5.7777777777777775E-2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32</v>
      </c>
      <c r="C37" s="8">
        <f t="shared" si="2"/>
        <v>0.14222222222222222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41</v>
      </c>
      <c r="C38" s="8">
        <f t="shared" si="2"/>
        <v>0.18222222222222223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40</v>
      </c>
      <c r="C39" s="8">
        <f t="shared" si="2"/>
        <v>0.17777777777777778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37</v>
      </c>
      <c r="C40" s="8">
        <f t="shared" si="2"/>
        <v>0.16444444444444445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21</v>
      </c>
      <c r="C41" s="8">
        <f t="shared" si="2"/>
        <v>9.3333333333333338E-2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14</v>
      </c>
      <c r="C42" s="8">
        <f t="shared" si="2"/>
        <v>6.222222222222222E-2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8</v>
      </c>
      <c r="C43" s="8">
        <f t="shared" si="2"/>
        <v>3.5555555555555556E-2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6</v>
      </c>
      <c r="C44" s="8">
        <f t="shared" si="2"/>
        <v>2.6666666666666668E-2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4</v>
      </c>
      <c r="C45" s="8">
        <f t="shared" si="2"/>
        <v>1.7777777777777778E-2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4.4444444444444444E-3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1</v>
      </c>
      <c r="C47" s="8">
        <f t="shared" si="2"/>
        <v>4.4444444444444444E-3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7</v>
      </c>
      <c r="C48" s="11">
        <f t="shared" si="2"/>
        <v>3.111111111111111E-2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  <row r="70" spans="11:12" x14ac:dyDescent="0.45">
      <c r="K70" s="7">
        <v>68</v>
      </c>
      <c r="L70" s="65">
        <v>619.60000000000025</v>
      </c>
    </row>
    <row r="71" spans="11:12" x14ac:dyDescent="0.45">
      <c r="K71" s="7">
        <v>69</v>
      </c>
      <c r="L71" s="65">
        <v>631.50000000000023</v>
      </c>
    </row>
    <row r="72" spans="11:12" x14ac:dyDescent="0.45">
      <c r="K72" s="7">
        <v>70</v>
      </c>
      <c r="L72" s="65">
        <v>597.20000000000027</v>
      </c>
    </row>
    <row r="73" spans="11:12" x14ac:dyDescent="0.45">
      <c r="K73" s="7">
        <v>71</v>
      </c>
      <c r="L73" s="65">
        <v>616.60000000000025</v>
      </c>
    </row>
    <row r="74" spans="11:12" x14ac:dyDescent="0.45">
      <c r="K74" s="7">
        <v>72</v>
      </c>
      <c r="L74" s="65">
        <v>677.10000000000025</v>
      </c>
    </row>
    <row r="75" spans="11:12" x14ac:dyDescent="0.45">
      <c r="K75" s="7">
        <v>73</v>
      </c>
      <c r="L75" s="65">
        <v>658.9000000000002</v>
      </c>
    </row>
    <row r="76" spans="11:12" x14ac:dyDescent="0.45">
      <c r="K76" s="7">
        <v>74</v>
      </c>
      <c r="L76" s="65">
        <v>678.00000000000023</v>
      </c>
    </row>
    <row r="77" spans="11:12" x14ac:dyDescent="0.45">
      <c r="K77" s="7">
        <v>75</v>
      </c>
      <c r="L77" s="65">
        <v>707.50000000000023</v>
      </c>
    </row>
    <row r="78" spans="11:12" x14ac:dyDescent="0.45">
      <c r="K78" s="7">
        <v>76</v>
      </c>
      <c r="L78" s="65">
        <v>741.60000000000025</v>
      </c>
    </row>
    <row r="79" spans="11:12" x14ac:dyDescent="0.45">
      <c r="K79" s="7">
        <v>77</v>
      </c>
      <c r="L79" s="65">
        <v>757.4000000000002</v>
      </c>
    </row>
    <row r="80" spans="11:12" x14ac:dyDescent="0.45">
      <c r="K80" s="7">
        <v>78</v>
      </c>
      <c r="L80" s="65">
        <v>729.20000000000016</v>
      </c>
    </row>
    <row r="81" spans="11:12" x14ac:dyDescent="0.45">
      <c r="K81" s="7">
        <v>79</v>
      </c>
      <c r="L81" s="65">
        <v>745.50000000000011</v>
      </c>
    </row>
    <row r="82" spans="11:12" x14ac:dyDescent="0.45">
      <c r="K82" s="7">
        <v>80</v>
      </c>
      <c r="L82" s="65">
        <v>712.20000000000016</v>
      </c>
    </row>
    <row r="83" spans="11:12" x14ac:dyDescent="0.45">
      <c r="K83" s="7">
        <v>81</v>
      </c>
      <c r="L83" s="65">
        <v>689.10000000000014</v>
      </c>
    </row>
    <row r="84" spans="11:12" x14ac:dyDescent="0.45">
      <c r="K84" s="7">
        <v>82</v>
      </c>
      <c r="L84" s="65">
        <v>719.70000000000016</v>
      </c>
    </row>
    <row r="85" spans="11:12" x14ac:dyDescent="0.45">
      <c r="K85" s="7">
        <v>83</v>
      </c>
      <c r="L85" s="65">
        <v>716.20000000000016</v>
      </c>
    </row>
    <row r="86" spans="11:12" x14ac:dyDescent="0.45">
      <c r="K86" s="7">
        <v>84</v>
      </c>
      <c r="L86" s="65">
        <v>718.10000000000014</v>
      </c>
    </row>
    <row r="87" spans="11:12" x14ac:dyDescent="0.45">
      <c r="K87" s="7">
        <v>85</v>
      </c>
      <c r="L87" s="65">
        <v>685.90000000000009</v>
      </c>
    </row>
    <row r="88" spans="11:12" x14ac:dyDescent="0.45">
      <c r="K88" s="7">
        <v>86</v>
      </c>
      <c r="L88" s="65">
        <v>722.50000000000011</v>
      </c>
    </row>
    <row r="89" spans="11:12" x14ac:dyDescent="0.45">
      <c r="K89" s="7">
        <v>87</v>
      </c>
      <c r="L89" s="65">
        <v>755.50000000000011</v>
      </c>
    </row>
    <row r="90" spans="11:12" x14ac:dyDescent="0.45">
      <c r="K90" s="7">
        <v>88</v>
      </c>
      <c r="L90" s="65">
        <v>791.20000000000016</v>
      </c>
    </row>
    <row r="91" spans="11:12" x14ac:dyDescent="0.45">
      <c r="K91" s="7">
        <v>89</v>
      </c>
      <c r="L91" s="65">
        <v>842.30000000000018</v>
      </c>
    </row>
    <row r="92" spans="11:12" x14ac:dyDescent="0.45">
      <c r="K92" s="7">
        <v>90</v>
      </c>
      <c r="L92" s="65">
        <v>787.80000000000018</v>
      </c>
    </row>
    <row r="93" spans="11:12" x14ac:dyDescent="0.45">
      <c r="K93" s="7">
        <v>91</v>
      </c>
      <c r="L93" s="65">
        <v>781.9000000000002</v>
      </c>
    </row>
    <row r="94" spans="11:12" x14ac:dyDescent="0.45">
      <c r="K94" s="7">
        <v>92</v>
      </c>
      <c r="L94" s="65">
        <v>743.00000000000023</v>
      </c>
    </row>
    <row r="95" spans="11:12" x14ac:dyDescent="0.45">
      <c r="K95" s="7">
        <v>93</v>
      </c>
      <c r="L95" s="65">
        <v>761.70000000000027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14D5-DF1B-4880-A0E6-DFFB0CA1016C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194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40</v>
      </c>
      <c r="C2" s="136"/>
      <c r="E2" s="28" t="s">
        <v>66</v>
      </c>
      <c r="F2" s="25" t="s">
        <v>22</v>
      </c>
      <c r="G2" s="13">
        <v>62</v>
      </c>
      <c r="H2" s="91">
        <f>IF(B$19=0,0,G2/B$19)</f>
        <v>0.71264367816091956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-3848.7179487179487</v>
      </c>
      <c r="P2" s="80">
        <v>39</v>
      </c>
      <c r="Q2" s="67">
        <v>-150100</v>
      </c>
    </row>
    <row r="3" spans="1:17" x14ac:dyDescent="0.45">
      <c r="A3" s="21" t="s">
        <v>8</v>
      </c>
      <c r="B3" s="137">
        <v>306</v>
      </c>
      <c r="C3" s="138"/>
      <c r="E3" s="29" t="s">
        <v>72</v>
      </c>
      <c r="F3" s="26" t="s">
        <v>27</v>
      </c>
      <c r="G3" s="14">
        <v>45</v>
      </c>
      <c r="H3" s="92">
        <f>IF(B$19=0,0,G3/B$19)</f>
        <v>0.51724137931034486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1747.3684210526317</v>
      </c>
      <c r="P3" s="81">
        <v>38</v>
      </c>
      <c r="Q3" s="68">
        <v>66400</v>
      </c>
    </row>
    <row r="4" spans="1:17" x14ac:dyDescent="0.45">
      <c r="A4" s="21" t="s">
        <v>6</v>
      </c>
      <c r="B4" s="139">
        <v>-254.79999999999984</v>
      </c>
      <c r="C4" s="140"/>
      <c r="E4" s="29" t="s">
        <v>160</v>
      </c>
      <c r="F4" s="26" t="s">
        <v>161</v>
      </c>
      <c r="G4" s="14">
        <v>43</v>
      </c>
      <c r="H4" s="92">
        <f>IF(B$19=0,0,G4/B$19)</f>
        <v>0.4942528735632184</v>
      </c>
      <c r="I4" s="60">
        <v>2</v>
      </c>
      <c r="K4" s="7">
        <v>2</v>
      </c>
      <c r="L4" s="65">
        <v>-106.5</v>
      </c>
      <c r="N4" s="78" t="s">
        <v>130</v>
      </c>
      <c r="O4" s="84">
        <f t="shared" si="0"/>
        <v>-1486.1111111111111</v>
      </c>
      <c r="P4" s="81">
        <v>36</v>
      </c>
      <c r="Q4" s="68">
        <v>-53500</v>
      </c>
    </row>
    <row r="5" spans="1:17" x14ac:dyDescent="0.45">
      <c r="A5" s="21" t="s">
        <v>7</v>
      </c>
      <c r="B5" s="127">
        <f>IF(B$2=0,0,B$4/B$2)</f>
        <v>-6.3699999999999957</v>
      </c>
      <c r="C5" s="128"/>
      <c r="E5" s="29" t="s">
        <v>64</v>
      </c>
      <c r="F5" s="26" t="s">
        <v>20</v>
      </c>
      <c r="G5" s="14">
        <v>42</v>
      </c>
      <c r="H5" s="92">
        <f>IF(B$19=0,0,G5/B$19)</f>
        <v>0.48275862068965519</v>
      </c>
      <c r="I5" s="60">
        <v>6</v>
      </c>
      <c r="K5" s="7">
        <v>3</v>
      </c>
      <c r="L5" s="65">
        <v>-108</v>
      </c>
      <c r="N5" s="78" t="s">
        <v>131</v>
      </c>
      <c r="O5" s="84">
        <f t="shared" si="0"/>
        <v>-1487.0967741935483</v>
      </c>
      <c r="P5" s="81">
        <v>31</v>
      </c>
      <c r="Q5" s="68">
        <v>-46100</v>
      </c>
    </row>
    <row r="6" spans="1:17" x14ac:dyDescent="0.45">
      <c r="A6" s="21" t="s">
        <v>1</v>
      </c>
      <c r="B6" s="141">
        <f>IF(B$2=0,0,(B$7*1+B$8*2+B$9*3)/B$2)</f>
        <v>2.25</v>
      </c>
      <c r="C6" s="142"/>
      <c r="E6" s="29" t="s">
        <v>68</v>
      </c>
      <c r="F6" s="26" t="s">
        <v>12</v>
      </c>
      <c r="G6" s="14">
        <v>29</v>
      </c>
      <c r="H6" s="92">
        <f>IF(B$19=0,0,G6/B$19)</f>
        <v>0.33333333333333331</v>
      </c>
      <c r="I6" s="60">
        <v>5</v>
      </c>
      <c r="K6" s="7">
        <v>4</v>
      </c>
      <c r="L6" s="65">
        <v>-115.5</v>
      </c>
      <c r="N6" s="78" t="s">
        <v>132</v>
      </c>
      <c r="O6" s="84">
        <f t="shared" si="0"/>
        <v>3596.2962962962961</v>
      </c>
      <c r="P6" s="81">
        <v>27</v>
      </c>
      <c r="Q6" s="68">
        <v>97100</v>
      </c>
    </row>
    <row r="7" spans="1:17" x14ac:dyDescent="0.45">
      <c r="A7" s="21" t="s">
        <v>2</v>
      </c>
      <c r="B7" s="14">
        <v>8</v>
      </c>
      <c r="C7" s="8">
        <f t="shared" ref="C7:C14" si="1">IF(B$2=0,0,B7/B$2)</f>
        <v>0.2</v>
      </c>
      <c r="E7" s="29" t="s">
        <v>67</v>
      </c>
      <c r="F7" s="26" t="s">
        <v>23</v>
      </c>
      <c r="G7" s="14">
        <v>20</v>
      </c>
      <c r="H7" s="92">
        <f>IF(B$19=0,0,G7/B$19)</f>
        <v>0.22988505747126436</v>
      </c>
      <c r="I7" s="60">
        <v>8</v>
      </c>
      <c r="K7" s="7">
        <v>5</v>
      </c>
      <c r="L7" s="65">
        <v>-116</v>
      </c>
      <c r="N7" s="79" t="s">
        <v>133</v>
      </c>
      <c r="O7" s="85">
        <f t="shared" si="0"/>
        <v>-3700</v>
      </c>
      <c r="P7" s="82">
        <v>22</v>
      </c>
      <c r="Q7" s="69">
        <v>-81400</v>
      </c>
    </row>
    <row r="8" spans="1:17" x14ac:dyDescent="0.45">
      <c r="A8" s="21" t="s">
        <v>3</v>
      </c>
      <c r="B8" s="14">
        <v>14</v>
      </c>
      <c r="C8" s="8">
        <f t="shared" si="1"/>
        <v>0.35</v>
      </c>
      <c r="E8" s="29" t="s">
        <v>89</v>
      </c>
      <c r="F8" s="26" t="s">
        <v>44</v>
      </c>
      <c r="G8" s="14">
        <v>11</v>
      </c>
      <c r="H8" s="92">
        <f>IF(B$19=0,0,G8/B$19)</f>
        <v>0.12643678160919541</v>
      </c>
      <c r="I8" s="60">
        <v>6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1"/>
        <v>0.45</v>
      </c>
      <c r="E9" s="29" t="s">
        <v>69</v>
      </c>
      <c r="F9" s="26" t="s">
        <v>24</v>
      </c>
      <c r="G9" s="14">
        <v>9</v>
      </c>
      <c r="H9" s="92">
        <f>IF(B$19=0,0,G9/B$19)</f>
        <v>0.10344827586206896</v>
      </c>
      <c r="I9" s="60">
        <v>10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43.625</v>
      </c>
      <c r="C10" s="114">
        <v>349</v>
      </c>
      <c r="E10" s="29" t="s">
        <v>70</v>
      </c>
      <c r="F10" s="26" t="s">
        <v>25</v>
      </c>
      <c r="G10" s="14">
        <v>9</v>
      </c>
      <c r="H10" s="92">
        <f>IF(B$19=0,0,G10/B$19)</f>
        <v>0.10344827586206896</v>
      </c>
      <c r="I10" s="60">
        <v>5</v>
      </c>
      <c r="K10" s="7">
        <v>8</v>
      </c>
      <c r="L10" s="65">
        <v>-157.19999999999999</v>
      </c>
      <c r="N10" s="77" t="s">
        <v>152</v>
      </c>
      <c r="O10" s="86">
        <f>IF(P10=0,0,Q10/P10)</f>
        <v>-18.146666666666661</v>
      </c>
      <c r="P10" s="80">
        <v>15</v>
      </c>
      <c r="Q10" s="71">
        <v>-272.19999999999993</v>
      </c>
    </row>
    <row r="11" spans="1:17" x14ac:dyDescent="0.45">
      <c r="A11" s="22" t="s">
        <v>186</v>
      </c>
      <c r="B11" s="113">
        <f>IF(B8=0,0,C11/B8)</f>
        <v>-0.6357142857142859</v>
      </c>
      <c r="C11" s="114">
        <v>-8.9000000000000021</v>
      </c>
      <c r="E11" s="29" t="s">
        <v>65</v>
      </c>
      <c r="F11" s="26" t="s">
        <v>21</v>
      </c>
      <c r="G11" s="14">
        <v>6</v>
      </c>
      <c r="H11" s="92">
        <f>IF(B$19=0,0,G11/B$19)</f>
        <v>6.8965517241379309E-2</v>
      </c>
      <c r="I11" s="60">
        <v>10</v>
      </c>
      <c r="K11" s="7">
        <v>9</v>
      </c>
      <c r="L11" s="65">
        <v>-172.39999999999998</v>
      </c>
      <c r="N11" s="78" t="s">
        <v>153</v>
      </c>
      <c r="O11" s="87">
        <f>IF(P11=0,0,Q11/P11)</f>
        <v>-6.4066666666666672</v>
      </c>
      <c r="P11" s="81">
        <v>15</v>
      </c>
      <c r="Q11" s="72">
        <v>-96.100000000000009</v>
      </c>
    </row>
    <row r="12" spans="1:17" x14ac:dyDescent="0.45">
      <c r="A12" s="22" t="s">
        <v>187</v>
      </c>
      <c r="B12" s="113">
        <f>IF(B9=0,0,C12/B9)</f>
        <v>-33.050000000000004</v>
      </c>
      <c r="C12" s="114">
        <v>-594.90000000000009</v>
      </c>
      <c r="E12" s="29" t="s">
        <v>86</v>
      </c>
      <c r="F12" s="26" t="s">
        <v>41</v>
      </c>
      <c r="G12" s="14">
        <v>6</v>
      </c>
      <c r="H12" s="92">
        <f>IF(B$19=0,0,G12/B$19)</f>
        <v>6.8965517241379309E-2</v>
      </c>
      <c r="I12" s="60">
        <v>4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5">
      <c r="A13" s="22" t="s">
        <v>188</v>
      </c>
      <c r="B13" s="127">
        <f>AVERAGE(B10:B12)</f>
        <v>3.3130952380952365</v>
      </c>
      <c r="C13" s="128"/>
      <c r="E13" s="29" t="s">
        <v>71</v>
      </c>
      <c r="F13" s="26" t="s">
        <v>26</v>
      </c>
      <c r="G13" s="14">
        <v>4</v>
      </c>
      <c r="H13" s="92">
        <f>IF(B$19=0,0,G13/B$19)</f>
        <v>4.5977011494252873E-2</v>
      </c>
      <c r="I13" s="60">
        <v>8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0.15</v>
      </c>
      <c r="E14" s="29" t="s">
        <v>78</v>
      </c>
      <c r="F14" s="26" t="s">
        <v>33</v>
      </c>
      <c r="G14" s="14">
        <v>4</v>
      </c>
      <c r="H14" s="92">
        <f>IF(B$19=0,0,G14/B$19)</f>
        <v>4.5977011494252873E-2</v>
      </c>
      <c r="I14" s="60">
        <v>3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74</v>
      </c>
      <c r="C15" s="12">
        <f>IF(B$3=0,0,B15/B$3)</f>
        <v>0.24183006535947713</v>
      </c>
      <c r="E15" s="29" t="s">
        <v>81</v>
      </c>
      <c r="F15" s="26" t="s">
        <v>36</v>
      </c>
      <c r="G15" s="14">
        <v>3</v>
      </c>
      <c r="H15" s="92">
        <f>IF(B$19=0,0,G15/B$19)</f>
        <v>3.4482758620689655E-2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 t="shared" ref="O15:O21" si="2">IF(P15=0,0,Q15/P15)</f>
        <v>19.970000000000006</v>
      </c>
      <c r="P15" s="80">
        <v>10</v>
      </c>
      <c r="Q15" s="71">
        <v>199.70000000000005</v>
      </c>
    </row>
    <row r="16" spans="1:17" x14ac:dyDescent="0.45">
      <c r="A16" s="21" t="s">
        <v>118</v>
      </c>
      <c r="B16" s="14">
        <v>47</v>
      </c>
      <c r="C16" s="8">
        <f>IF(B$3=0,0,B16/B$3)</f>
        <v>0.15359477124183007</v>
      </c>
      <c r="E16" s="29" t="s">
        <v>73</v>
      </c>
      <c r="F16" s="26" t="s">
        <v>28</v>
      </c>
      <c r="G16" s="14">
        <v>1</v>
      </c>
      <c r="H16" s="92">
        <f>IF(B$19=0,0,G16/B$19)</f>
        <v>1.1494252873563218E-2</v>
      </c>
      <c r="I16" s="60">
        <v>2</v>
      </c>
      <c r="K16" s="7">
        <v>14</v>
      </c>
      <c r="L16" s="65">
        <v>-330.7</v>
      </c>
      <c r="N16" s="78" t="s">
        <v>240</v>
      </c>
      <c r="O16" s="87">
        <f t="shared" si="2"/>
        <v>12.500000000000002</v>
      </c>
      <c r="P16" s="81">
        <v>2</v>
      </c>
      <c r="Q16" s="72">
        <v>25.000000000000004</v>
      </c>
    </row>
    <row r="17" spans="1:17" x14ac:dyDescent="0.45">
      <c r="A17" s="20" t="s">
        <v>123</v>
      </c>
      <c r="B17" s="13">
        <f>B23</f>
        <v>40</v>
      </c>
      <c r="C17" s="6">
        <f>IF(B$15=0,0,B17/B$15)</f>
        <v>0.54054054054054057</v>
      </c>
      <c r="E17" s="29" t="s">
        <v>87</v>
      </c>
      <c r="F17" s="26" t="s">
        <v>42</v>
      </c>
      <c r="G17" s="14">
        <v>1</v>
      </c>
      <c r="H17" s="92">
        <f>IF(B$19=0,0,G17/B$19)</f>
        <v>1.1494252873563218E-2</v>
      </c>
      <c r="I17" s="60">
        <v>1</v>
      </c>
      <c r="K17" s="7">
        <v>15</v>
      </c>
      <c r="L17" s="65">
        <v>-284.09999999999997</v>
      </c>
      <c r="N17" s="78" t="s">
        <v>205</v>
      </c>
      <c r="O17" s="87">
        <f t="shared" si="2"/>
        <v>-0.79166666666666596</v>
      </c>
      <c r="P17" s="81">
        <v>12</v>
      </c>
      <c r="Q17" s="72">
        <v>-9.4999999999999911</v>
      </c>
    </row>
    <row r="18" spans="1:17" x14ac:dyDescent="0.45">
      <c r="A18" s="20" t="s">
        <v>124</v>
      </c>
      <c r="B18" s="13">
        <f>B24</f>
        <v>27</v>
      </c>
      <c r="C18" s="6">
        <f>IF(B$16=0,0,B18/B$16)</f>
        <v>0.57446808510638303</v>
      </c>
      <c r="E18" s="29" t="s">
        <v>91</v>
      </c>
      <c r="F18" s="26" t="s">
        <v>46</v>
      </c>
      <c r="G18" s="14">
        <v>1</v>
      </c>
      <c r="H18" s="92">
        <f>IF(B$19=0,0,G18/B$19)</f>
        <v>1.1494252873563218E-2</v>
      </c>
      <c r="I18" s="60">
        <v>5</v>
      </c>
      <c r="K18" s="7">
        <v>16</v>
      </c>
      <c r="L18" s="65">
        <v>-234.59999999999997</v>
      </c>
      <c r="N18" s="78" t="s">
        <v>192</v>
      </c>
      <c r="O18" s="87">
        <f t="shared" si="2"/>
        <v>-4.0250000000000004</v>
      </c>
      <c r="P18" s="81">
        <v>16</v>
      </c>
      <c r="Q18" s="72">
        <v>-64.400000000000006</v>
      </c>
    </row>
    <row r="19" spans="1:17" x14ac:dyDescent="0.45">
      <c r="A19" s="20" t="s">
        <v>10</v>
      </c>
      <c r="B19" s="13">
        <f>B22+B21</f>
        <v>87</v>
      </c>
      <c r="C19" s="6">
        <f>IF(B$3=0,0,B19/B$3)</f>
        <v>0.28431372549019607</v>
      </c>
      <c r="E19" s="29" t="s">
        <v>92</v>
      </c>
      <c r="F19" s="26" t="s">
        <v>47</v>
      </c>
      <c r="G19" s="14">
        <v>1</v>
      </c>
      <c r="H19" s="92">
        <f>IF(B$19=0,0,G19/B$19)</f>
        <v>1.1494252873563218E-2</v>
      </c>
      <c r="I19" s="60">
        <v>5</v>
      </c>
      <c r="K19" s="7">
        <v>17</v>
      </c>
      <c r="L19" s="65">
        <v>-233.19999999999996</v>
      </c>
      <c r="N19" s="78" t="s">
        <v>126</v>
      </c>
      <c r="O19" s="87">
        <f t="shared" si="2"/>
        <v>-17.357692307692307</v>
      </c>
      <c r="P19" s="81">
        <v>26</v>
      </c>
      <c r="Q19" s="72">
        <v>-451.3</v>
      </c>
    </row>
    <row r="20" spans="1:17" x14ac:dyDescent="0.45">
      <c r="A20" s="21" t="s">
        <v>13</v>
      </c>
      <c r="B20" s="14">
        <v>50</v>
      </c>
      <c r="C20" s="8">
        <f>IF(B$3=0,0,B20/B$3)</f>
        <v>0.16339869281045752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-154.09999999999997</v>
      </c>
      <c r="N20" s="78" t="s">
        <v>196</v>
      </c>
      <c r="O20" s="87">
        <f t="shared" si="2"/>
        <v>-20.5</v>
      </c>
      <c r="P20" s="81">
        <v>1</v>
      </c>
      <c r="Q20" s="72">
        <v>-20.5</v>
      </c>
    </row>
    <row r="21" spans="1:17" x14ac:dyDescent="0.45">
      <c r="A21" s="21" t="s">
        <v>12</v>
      </c>
      <c r="B21" s="14">
        <v>45</v>
      </c>
      <c r="C21" s="8">
        <f>IF(B$19=0,0,B21/B$19)</f>
        <v>0.51724137931034486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7</v>
      </c>
      <c r="K21" s="7">
        <v>19</v>
      </c>
      <c r="L21" s="65">
        <v>-167.29999999999995</v>
      </c>
      <c r="N21" s="78" t="s">
        <v>193</v>
      </c>
      <c r="O21" s="87">
        <f t="shared" si="2"/>
        <v>-34.107692307692304</v>
      </c>
      <c r="P21" s="81">
        <v>13</v>
      </c>
      <c r="Q21" s="72">
        <v>-443.4</v>
      </c>
    </row>
    <row r="22" spans="1:17" x14ac:dyDescent="0.45">
      <c r="A22" s="21" t="s">
        <v>11</v>
      </c>
      <c r="B22" s="14">
        <v>42</v>
      </c>
      <c r="C22" s="8">
        <f>IF(B$19=0,0,B22/B$19)</f>
        <v>0.48275862068965519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40</v>
      </c>
      <c r="C23" s="8">
        <f>IF(B$19=0,0,B23/B$19)</f>
        <v>0.45977011494252873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27</v>
      </c>
      <c r="C24" s="8">
        <f>IF(B$19=0,0,B24/B$19)</f>
        <v>0.31034482758620691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8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20</v>
      </c>
      <c r="C25" s="8">
        <f>IF(B$19=0,0,B25/B$19)</f>
        <v>0.22988505747126436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7955.1724137931033</v>
      </c>
      <c r="C26" s="10">
        <v>692100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9218.3333333333339</v>
      </c>
      <c r="C27" s="100">
        <v>553100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5148.1481481481478</v>
      </c>
      <c r="C28" s="100">
        <v>139000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-7176</v>
      </c>
      <c r="C29" s="100">
        <v>-358800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9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29">
        <v>6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31">
        <v>104100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3.2679738562091504E-3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-277.49999999999994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5">
      <c r="A36" s="56" t="s">
        <v>172</v>
      </c>
      <c r="B36" s="121">
        <v>10</v>
      </c>
      <c r="C36" s="102">
        <f t="shared" ref="C36:C48" si="3">IF(B$19=0,0,B36/B$19)</f>
        <v>0.11494252873563218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5">
      <c r="A37" s="21" t="s">
        <v>168</v>
      </c>
      <c r="B37" s="14">
        <v>16</v>
      </c>
      <c r="C37" s="8">
        <f t="shared" si="3"/>
        <v>0.18390804597701149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5">
      <c r="A38" s="21" t="s">
        <v>169</v>
      </c>
      <c r="B38" s="122">
        <v>17</v>
      </c>
      <c r="C38" s="8">
        <f t="shared" si="3"/>
        <v>0.19540229885057472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-258.7999999999999</v>
      </c>
    </row>
    <row r="39" spans="1:12" x14ac:dyDescent="0.45">
      <c r="A39" s="21" t="s">
        <v>170</v>
      </c>
      <c r="B39" s="122">
        <v>14</v>
      </c>
      <c r="C39" s="8">
        <f t="shared" si="3"/>
        <v>0.16091954022988506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-287.2999999999999</v>
      </c>
    </row>
    <row r="40" spans="1:12" x14ac:dyDescent="0.45">
      <c r="A40" s="21" t="s">
        <v>171</v>
      </c>
      <c r="B40" s="122">
        <v>8</v>
      </c>
      <c r="C40" s="8">
        <f t="shared" si="3"/>
        <v>9.1954022988505746E-2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-289.69999999999987</v>
      </c>
    </row>
    <row r="41" spans="1:12" x14ac:dyDescent="0.45">
      <c r="A41" s="21" t="s">
        <v>173</v>
      </c>
      <c r="B41" s="122">
        <v>13</v>
      </c>
      <c r="C41" s="8">
        <f t="shared" si="3"/>
        <v>0.14942528735632185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-263.09999999999985</v>
      </c>
    </row>
    <row r="42" spans="1:12" x14ac:dyDescent="0.45">
      <c r="A42" s="21" t="s">
        <v>174</v>
      </c>
      <c r="B42" s="122">
        <v>4</v>
      </c>
      <c r="C42" s="8">
        <f t="shared" si="3"/>
        <v>4.5977011494252873E-2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-254.79999999999984</v>
      </c>
    </row>
    <row r="43" spans="1:12" x14ac:dyDescent="0.45">
      <c r="A43" s="21" t="s">
        <v>175</v>
      </c>
      <c r="B43" s="122">
        <v>2</v>
      </c>
      <c r="C43" s="8">
        <f t="shared" si="3"/>
        <v>2.2988505747126436E-2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1.1494252873563218E-2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1.1494252873563218E-2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1.1494252873563218E-2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D5FA-3F71-4EA1-B049-0D5B81FFA4EC}">
  <sheetPr codeName="Sheet15"/>
  <dimension ref="A1:Q6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192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60</v>
      </c>
      <c r="C2" s="136"/>
      <c r="E2" s="28" t="s">
        <v>72</v>
      </c>
      <c r="F2" s="25" t="s">
        <v>27</v>
      </c>
      <c r="G2" s="13">
        <v>90</v>
      </c>
      <c r="H2" s="91">
        <f>IF(B$19=0,0,G2/B$19)</f>
        <v>0.66666666666666663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-145.76271186440678</v>
      </c>
      <c r="P2" s="80">
        <v>59</v>
      </c>
      <c r="Q2" s="67">
        <v>-8600</v>
      </c>
    </row>
    <row r="3" spans="1:17" x14ac:dyDescent="0.45">
      <c r="A3" s="21" t="s">
        <v>8</v>
      </c>
      <c r="B3" s="137">
        <v>490</v>
      </c>
      <c r="C3" s="138"/>
      <c r="E3" s="29" t="s">
        <v>66</v>
      </c>
      <c r="F3" s="26" t="s">
        <v>22</v>
      </c>
      <c r="G3" s="14">
        <v>89</v>
      </c>
      <c r="H3" s="92">
        <f>IF(B$19=0,0,G3/B$19)</f>
        <v>0.65925925925925921</v>
      </c>
      <c r="I3" s="60">
        <v>8</v>
      </c>
      <c r="K3" s="7">
        <v>1</v>
      </c>
      <c r="L3" s="65">
        <v>-0.5</v>
      </c>
      <c r="N3" s="78" t="s">
        <v>129</v>
      </c>
      <c r="O3" s="84">
        <f t="shared" si="0"/>
        <v>-866.10169491525426</v>
      </c>
      <c r="P3" s="81">
        <v>59</v>
      </c>
      <c r="Q3" s="68">
        <v>-51100</v>
      </c>
    </row>
    <row r="4" spans="1:17" x14ac:dyDescent="0.45">
      <c r="A4" s="21" t="s">
        <v>6</v>
      </c>
      <c r="B4" s="139">
        <v>-98.69999999999996</v>
      </c>
      <c r="C4" s="140"/>
      <c r="E4" s="29" t="s">
        <v>64</v>
      </c>
      <c r="F4" s="26" t="s">
        <v>20</v>
      </c>
      <c r="G4" s="14">
        <v>59</v>
      </c>
      <c r="H4" s="92">
        <f>IF(B$19=0,0,G4/B$19)</f>
        <v>0.43703703703703706</v>
      </c>
      <c r="I4" s="60">
        <v>8</v>
      </c>
      <c r="K4" s="7">
        <v>2</v>
      </c>
      <c r="L4" s="65">
        <v>-62.8</v>
      </c>
      <c r="N4" s="78" t="s">
        <v>130</v>
      </c>
      <c r="O4" s="84">
        <f t="shared" si="0"/>
        <v>-767.79661016949149</v>
      </c>
      <c r="P4" s="81">
        <v>59</v>
      </c>
      <c r="Q4" s="68">
        <v>-45300</v>
      </c>
    </row>
    <row r="5" spans="1:17" x14ac:dyDescent="0.45">
      <c r="A5" s="21" t="s">
        <v>7</v>
      </c>
      <c r="B5" s="127">
        <f>IF(B$2=0,0,B$4/B$2)</f>
        <v>-1.6449999999999994</v>
      </c>
      <c r="C5" s="128"/>
      <c r="E5" s="29" t="s">
        <v>160</v>
      </c>
      <c r="F5" s="26" t="s">
        <v>161</v>
      </c>
      <c r="G5" s="14">
        <v>53</v>
      </c>
      <c r="H5" s="92">
        <f>IF(B$19=0,0,G5/B$19)</f>
        <v>0.3925925925925926</v>
      </c>
      <c r="I5" s="60">
        <v>10</v>
      </c>
      <c r="K5" s="7">
        <v>3</v>
      </c>
      <c r="L5" s="65">
        <v>-48.5</v>
      </c>
      <c r="N5" s="78" t="s">
        <v>131</v>
      </c>
      <c r="O5" s="84">
        <f t="shared" si="0"/>
        <v>1444.6428571428571</v>
      </c>
      <c r="P5" s="81">
        <v>56</v>
      </c>
      <c r="Q5" s="68">
        <v>80900</v>
      </c>
    </row>
    <row r="6" spans="1:17" x14ac:dyDescent="0.45">
      <c r="A6" s="21" t="s">
        <v>1</v>
      </c>
      <c r="B6" s="141">
        <f>IF(B$2=0,0,(B$7*1+B$8*2+B$9*3)/B$2)</f>
        <v>2.0499999999999998</v>
      </c>
      <c r="C6" s="142"/>
      <c r="E6" s="29" t="s">
        <v>67</v>
      </c>
      <c r="F6" s="26" t="s">
        <v>23</v>
      </c>
      <c r="G6" s="14">
        <v>37</v>
      </c>
      <c r="H6" s="92">
        <f>IF(B$19=0,0,G6/B$19)</f>
        <v>0.27407407407407408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-1192</v>
      </c>
      <c r="P6" s="81">
        <v>50</v>
      </c>
      <c r="Q6" s="68">
        <v>-59600</v>
      </c>
    </row>
    <row r="7" spans="1:17" x14ac:dyDescent="0.45">
      <c r="A7" s="21" t="s">
        <v>2</v>
      </c>
      <c r="B7" s="14">
        <v>19</v>
      </c>
      <c r="C7" s="8">
        <f t="shared" ref="C7:C14" si="1">IF(B$2=0,0,B7/B$2)</f>
        <v>0.31666666666666665</v>
      </c>
      <c r="E7" s="29" t="s">
        <v>68</v>
      </c>
      <c r="F7" s="26" t="s">
        <v>12</v>
      </c>
      <c r="G7" s="14">
        <v>34</v>
      </c>
      <c r="H7" s="92">
        <f>IF(B$19=0,0,G7/B$19)</f>
        <v>0.25185185185185183</v>
      </c>
      <c r="I7" s="60">
        <v>9</v>
      </c>
      <c r="K7" s="7">
        <v>5</v>
      </c>
      <c r="L7" s="65">
        <v>-96.5</v>
      </c>
      <c r="N7" s="79" t="s">
        <v>133</v>
      </c>
      <c r="O7" s="85">
        <f t="shared" si="0"/>
        <v>-1410</v>
      </c>
      <c r="P7" s="82">
        <v>40</v>
      </c>
      <c r="Q7" s="69">
        <v>-56400</v>
      </c>
    </row>
    <row r="8" spans="1:17" x14ac:dyDescent="0.45">
      <c r="A8" s="21" t="s">
        <v>3</v>
      </c>
      <c r="B8" s="14">
        <v>19</v>
      </c>
      <c r="C8" s="8">
        <f t="shared" si="1"/>
        <v>0.31666666666666665</v>
      </c>
      <c r="E8" s="29" t="s">
        <v>89</v>
      </c>
      <c r="F8" s="26" t="s">
        <v>44</v>
      </c>
      <c r="G8" s="14">
        <v>17</v>
      </c>
      <c r="H8" s="92">
        <f>IF(B$19=0,0,G8/B$19)</f>
        <v>0.12592592592592591</v>
      </c>
      <c r="I8" s="60">
        <v>7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22</v>
      </c>
      <c r="C9" s="9">
        <f t="shared" si="1"/>
        <v>0.36666666666666664</v>
      </c>
      <c r="E9" s="29" t="s">
        <v>69</v>
      </c>
      <c r="F9" s="26" t="s">
        <v>24</v>
      </c>
      <c r="G9" s="14">
        <v>14</v>
      </c>
      <c r="H9" s="92">
        <f>IF(B$19=0,0,G9/B$19)</f>
        <v>0.1037037037037037</v>
      </c>
      <c r="I9" s="60">
        <v>9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38.678947368421056</v>
      </c>
      <c r="C10" s="114">
        <v>734.90000000000009</v>
      </c>
      <c r="E10" s="29" t="s">
        <v>65</v>
      </c>
      <c r="F10" s="26" t="s">
        <v>21</v>
      </c>
      <c r="G10" s="14">
        <v>9</v>
      </c>
      <c r="H10" s="92">
        <f>IF(B$19=0,0,G10/B$19)</f>
        <v>6.6666666666666666E-2</v>
      </c>
      <c r="I10" s="60">
        <v>11</v>
      </c>
      <c r="K10" s="7">
        <v>8</v>
      </c>
      <c r="L10" s="65">
        <v>-28.3</v>
      </c>
      <c r="N10" s="77" t="s">
        <v>152</v>
      </c>
      <c r="O10" s="86">
        <f>IF(P10=0,0,Q10/P10)</f>
        <v>-9.9523809523809526</v>
      </c>
      <c r="P10" s="80">
        <v>21</v>
      </c>
      <c r="Q10" s="71">
        <v>-209</v>
      </c>
    </row>
    <row r="11" spans="1:17" x14ac:dyDescent="0.45">
      <c r="A11" s="22" t="s">
        <v>186</v>
      </c>
      <c r="B11" s="113">
        <f>IF(B8=0,0,C11/B8)</f>
        <v>-3.3157894736842106</v>
      </c>
      <c r="C11" s="114">
        <v>-63</v>
      </c>
      <c r="E11" s="29" t="s">
        <v>70</v>
      </c>
      <c r="F11" s="26" t="s">
        <v>25</v>
      </c>
      <c r="G11" s="14">
        <v>8</v>
      </c>
      <c r="H11" s="92">
        <f>IF(B$19=0,0,G11/B$19)</f>
        <v>5.9259259259259262E-2</v>
      </c>
      <c r="I11" s="60">
        <v>8</v>
      </c>
      <c r="K11" s="7">
        <v>9</v>
      </c>
      <c r="L11" s="65">
        <v>-20.3</v>
      </c>
      <c r="N11" s="78" t="s">
        <v>153</v>
      </c>
      <c r="O11" s="87">
        <f>IF(P11=0,0,Q11/P11)</f>
        <v>2.8300000000000005</v>
      </c>
      <c r="P11" s="81">
        <v>20</v>
      </c>
      <c r="Q11" s="72">
        <v>56.600000000000009</v>
      </c>
    </row>
    <row r="12" spans="1:17" x14ac:dyDescent="0.45">
      <c r="A12" s="22" t="s">
        <v>187</v>
      </c>
      <c r="B12" s="113">
        <f>IF(B9=0,0,C12/B9)</f>
        <v>-35.027272727272724</v>
      </c>
      <c r="C12" s="114">
        <v>-770.59999999999991</v>
      </c>
      <c r="E12" s="29" t="s">
        <v>71</v>
      </c>
      <c r="F12" s="26" t="s">
        <v>26</v>
      </c>
      <c r="G12" s="14">
        <v>8</v>
      </c>
      <c r="H12" s="92">
        <f>IF(B$19=0,0,G12/B$19)</f>
        <v>5.9259259259259262E-2</v>
      </c>
      <c r="I12" s="60">
        <v>4</v>
      </c>
      <c r="K12" s="7">
        <v>10</v>
      </c>
      <c r="L12" s="65">
        <v>-14.9</v>
      </c>
      <c r="N12" s="79" t="s">
        <v>154</v>
      </c>
      <c r="O12" s="88">
        <f>IF(P12=0,0,Q12/P12)</f>
        <v>2.8263157894736857</v>
      </c>
      <c r="P12" s="82">
        <v>19</v>
      </c>
      <c r="Q12" s="73">
        <v>53.700000000000024</v>
      </c>
    </row>
    <row r="13" spans="1:17" x14ac:dyDescent="0.45">
      <c r="A13" s="22" t="s">
        <v>188</v>
      </c>
      <c r="B13" s="127">
        <f>AVERAGE(B10:B12)</f>
        <v>0.11196172248804004</v>
      </c>
      <c r="C13" s="128"/>
      <c r="E13" s="29" t="s">
        <v>83</v>
      </c>
      <c r="F13" s="26" t="s">
        <v>38</v>
      </c>
      <c r="G13" s="14">
        <v>8</v>
      </c>
      <c r="H13" s="92">
        <f>IF(B$19=0,0,G13/B$19)</f>
        <v>5.9259259259259262E-2</v>
      </c>
      <c r="I13" s="60">
        <v>3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8.3333333333333329E-2</v>
      </c>
      <c r="E14" s="29" t="s">
        <v>79</v>
      </c>
      <c r="F14" s="26" t="s">
        <v>34</v>
      </c>
      <c r="G14" s="14">
        <v>6</v>
      </c>
      <c r="H14" s="92">
        <f>IF(B$19=0,0,G14/B$19)</f>
        <v>4.4444444444444446E-2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115</v>
      </c>
      <c r="C15" s="12">
        <f>IF(B$3=0,0,B15/B$3)</f>
        <v>0.23469387755102042</v>
      </c>
      <c r="E15" s="29" t="s">
        <v>78</v>
      </c>
      <c r="F15" s="26" t="s">
        <v>33</v>
      </c>
      <c r="G15" s="14">
        <v>5</v>
      </c>
      <c r="H15" s="92">
        <f>IF(B$19=0,0,G15/B$19)</f>
        <v>3.7037037037037035E-2</v>
      </c>
      <c r="I15" s="60">
        <v>6</v>
      </c>
      <c r="K15" s="7">
        <v>13</v>
      </c>
      <c r="L15" s="65">
        <v>-125.89999999999999</v>
      </c>
      <c r="N15" s="77" t="s">
        <v>240</v>
      </c>
      <c r="O15" s="86">
        <f>IF(P15=0,0,Q15/P15)</f>
        <v>110.30000000000001</v>
      </c>
      <c r="P15" s="80">
        <v>1</v>
      </c>
      <c r="Q15" s="71">
        <v>110.30000000000001</v>
      </c>
    </row>
    <row r="16" spans="1:17" x14ac:dyDescent="0.45">
      <c r="A16" s="21" t="s">
        <v>118</v>
      </c>
      <c r="B16" s="14">
        <v>118</v>
      </c>
      <c r="C16" s="8">
        <f>IF(B$3=0,0,B16/B$3)</f>
        <v>0.24081632653061225</v>
      </c>
      <c r="E16" s="29" t="s">
        <v>91</v>
      </c>
      <c r="F16" s="26" t="s">
        <v>46</v>
      </c>
      <c r="G16" s="14">
        <v>4</v>
      </c>
      <c r="H16" s="92">
        <f>IF(B$19=0,0,G16/B$19)</f>
        <v>2.9629629629629631E-2</v>
      </c>
      <c r="I16" s="60">
        <v>2</v>
      </c>
      <c r="K16" s="7">
        <v>14</v>
      </c>
      <c r="L16" s="65">
        <v>-149.39999999999998</v>
      </c>
      <c r="N16" s="78" t="s">
        <v>189</v>
      </c>
      <c r="O16" s="87">
        <f>IF(P16=0,0,Q16/P16)</f>
        <v>23.599999999999998</v>
      </c>
      <c r="P16" s="81">
        <v>3</v>
      </c>
      <c r="Q16" s="72">
        <v>70.8</v>
      </c>
    </row>
    <row r="17" spans="1:17" x14ac:dyDescent="0.45">
      <c r="A17" s="20" t="s">
        <v>123</v>
      </c>
      <c r="B17" s="13">
        <f>B23</f>
        <v>62</v>
      </c>
      <c r="C17" s="6">
        <f>IF(B$15=0,0,B17/B$15)</f>
        <v>0.53913043478260869</v>
      </c>
      <c r="E17" s="29" t="s">
        <v>81</v>
      </c>
      <c r="F17" s="26" t="s">
        <v>36</v>
      </c>
      <c r="G17" s="14">
        <v>3</v>
      </c>
      <c r="H17" s="92">
        <f>IF(B$19=0,0,G17/B$19)</f>
        <v>2.2222222222222223E-2</v>
      </c>
      <c r="I17" s="60">
        <v>6</v>
      </c>
      <c r="K17" s="7">
        <v>15</v>
      </c>
      <c r="L17" s="65">
        <v>-121.39999999999998</v>
      </c>
      <c r="N17" s="78" t="s">
        <v>193</v>
      </c>
      <c r="O17" s="87">
        <f>IF(P17=0,0,Q17/P17)</f>
        <v>11.071428571428575</v>
      </c>
      <c r="P17" s="81">
        <v>21</v>
      </c>
      <c r="Q17" s="72">
        <v>232.50000000000009</v>
      </c>
    </row>
    <row r="18" spans="1:17" x14ac:dyDescent="0.45">
      <c r="A18" s="20" t="s">
        <v>124</v>
      </c>
      <c r="B18" s="13">
        <f>B24</f>
        <v>47</v>
      </c>
      <c r="C18" s="6">
        <f>IF(B$16=0,0,B18/B$16)</f>
        <v>0.39830508474576271</v>
      </c>
      <c r="E18" s="29" t="s">
        <v>86</v>
      </c>
      <c r="F18" s="26" t="s">
        <v>41</v>
      </c>
      <c r="G18" s="14">
        <v>3</v>
      </c>
      <c r="H18" s="92">
        <f>IF(B$19=0,0,G18/B$19)</f>
        <v>2.2222222222222223E-2</v>
      </c>
      <c r="I18" s="60">
        <v>8</v>
      </c>
      <c r="K18" s="7">
        <v>16</v>
      </c>
      <c r="L18" s="65">
        <v>-141.29999999999998</v>
      </c>
      <c r="N18" s="78" t="s">
        <v>194</v>
      </c>
      <c r="O18" s="87">
        <f>IF(P18=0,0,Q18/P18)</f>
        <v>4.0250000000000021</v>
      </c>
      <c r="P18" s="81">
        <v>16</v>
      </c>
      <c r="Q18" s="72">
        <v>64.400000000000034</v>
      </c>
    </row>
    <row r="19" spans="1:17" x14ac:dyDescent="0.45">
      <c r="A19" s="20" t="s">
        <v>10</v>
      </c>
      <c r="B19" s="13">
        <f>B22+B21</f>
        <v>135</v>
      </c>
      <c r="C19" s="6">
        <f>IF(B$3=0,0,B19/B$3)</f>
        <v>0.27551020408163263</v>
      </c>
      <c r="E19" s="29" t="s">
        <v>92</v>
      </c>
      <c r="F19" s="26" t="s">
        <v>47</v>
      </c>
      <c r="G19" s="14">
        <v>3</v>
      </c>
      <c r="H19" s="92">
        <f>IF(B$19=0,0,G19/B$19)</f>
        <v>2.2222222222222223E-2</v>
      </c>
      <c r="I19" s="60">
        <v>1</v>
      </c>
      <c r="K19" s="7">
        <v>17</v>
      </c>
      <c r="L19" s="65">
        <v>-149.1</v>
      </c>
      <c r="N19" s="78" t="s">
        <v>205</v>
      </c>
      <c r="O19" s="87">
        <f>IF(P19=0,0,Q19/P19)</f>
        <v>-0.84166666666666501</v>
      </c>
      <c r="P19" s="81">
        <v>12</v>
      </c>
      <c r="Q19" s="72">
        <v>-10.09999999999998</v>
      </c>
    </row>
    <row r="20" spans="1:17" x14ac:dyDescent="0.45">
      <c r="A20" s="21" t="s">
        <v>13</v>
      </c>
      <c r="B20" s="14">
        <v>57</v>
      </c>
      <c r="C20" s="8">
        <f>IF(B$3=0,0,B20/B$3)</f>
        <v>0.11632653061224489</v>
      </c>
      <c r="E20" s="29" t="s">
        <v>75</v>
      </c>
      <c r="F20" s="26" t="s">
        <v>30</v>
      </c>
      <c r="G20" s="14">
        <v>1</v>
      </c>
      <c r="H20" s="92">
        <f>IF(B$19=0,0,G20/B$19)</f>
        <v>7.4074074074074077E-3</v>
      </c>
      <c r="I20" s="60">
        <v>3</v>
      </c>
      <c r="K20" s="7">
        <v>18</v>
      </c>
      <c r="L20" s="65">
        <v>-201.89999999999998</v>
      </c>
      <c r="N20" s="78" t="s">
        <v>164</v>
      </c>
      <c r="O20" s="87">
        <f>IF(P20=0,0,Q20/P20)</f>
        <v>-0.97916666666666574</v>
      </c>
      <c r="P20" s="81">
        <v>24</v>
      </c>
      <c r="Q20" s="72">
        <v>-23.499999999999979</v>
      </c>
    </row>
    <row r="21" spans="1:17" x14ac:dyDescent="0.45">
      <c r="A21" s="21" t="s">
        <v>12</v>
      </c>
      <c r="B21" s="14">
        <v>58</v>
      </c>
      <c r="C21" s="8">
        <f>IF(B$19=0,0,B21/B$19)</f>
        <v>0.42962962962962964</v>
      </c>
      <c r="E21" s="29" t="s">
        <v>77</v>
      </c>
      <c r="F21" s="26" t="s">
        <v>32</v>
      </c>
      <c r="G21" s="14">
        <v>1</v>
      </c>
      <c r="H21" s="92">
        <f>IF(B$19=0,0,G21/B$19)</f>
        <v>7.4074074074074077E-3</v>
      </c>
      <c r="I21" s="60">
        <v>4</v>
      </c>
      <c r="K21" s="7">
        <v>19</v>
      </c>
      <c r="L21" s="65">
        <v>-152.39999999999998</v>
      </c>
      <c r="N21" s="78" t="s">
        <v>196</v>
      </c>
      <c r="O21" s="87">
        <f>IF(P21=0,0,Q21/P21)</f>
        <v>-14.1625</v>
      </c>
      <c r="P21" s="81">
        <v>8</v>
      </c>
      <c r="Q21" s="72">
        <v>-113.3</v>
      </c>
    </row>
    <row r="22" spans="1:17" x14ac:dyDescent="0.45">
      <c r="A22" s="21" t="s">
        <v>11</v>
      </c>
      <c r="B22" s="14">
        <v>77</v>
      </c>
      <c r="C22" s="8">
        <f>IF(B$19=0,0,B22/B$19)</f>
        <v>0.57037037037037042</v>
      </c>
      <c r="E22" s="29" t="s">
        <v>85</v>
      </c>
      <c r="F22" s="26" t="s">
        <v>40</v>
      </c>
      <c r="G22" s="14">
        <v>1</v>
      </c>
      <c r="H22" s="92">
        <f>IF(B$19=0,0,G22/B$19)</f>
        <v>7.4074074074074077E-3</v>
      </c>
      <c r="I22" s="60">
        <v>2</v>
      </c>
      <c r="K22" s="7">
        <v>20</v>
      </c>
      <c r="L22" s="65">
        <v>-140.19999999999999</v>
      </c>
      <c r="N22" s="78" t="s">
        <v>126</v>
      </c>
      <c r="O22" s="87">
        <f>IF(P22=0,0,Q22/P22)</f>
        <v>-17.920000000000005</v>
      </c>
      <c r="P22" s="81">
        <v>35</v>
      </c>
      <c r="Q22" s="72">
        <v>-627.20000000000016</v>
      </c>
    </row>
    <row r="23" spans="1:17" x14ac:dyDescent="0.45">
      <c r="A23" s="21" t="s">
        <v>184</v>
      </c>
      <c r="B23" s="14">
        <v>62</v>
      </c>
      <c r="C23" s="8">
        <f>IF(B$19=0,0,B23/B$19)</f>
        <v>0.45925925925925926</v>
      </c>
      <c r="E23" s="29" t="s">
        <v>156</v>
      </c>
      <c r="F23" s="26" t="s">
        <v>157</v>
      </c>
      <c r="G23" s="14">
        <v>1</v>
      </c>
      <c r="H23" s="92">
        <f>IF(B$19=0,0,G23/B$19)</f>
        <v>7.4074074074074077E-3</v>
      </c>
      <c r="I23" s="60">
        <v>4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47</v>
      </c>
      <c r="C24" s="8">
        <f>IF(B$19=0,0,B24/B$19)</f>
        <v>0.34814814814814815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26</v>
      </c>
      <c r="C25" s="8">
        <f>IF(B$19=0,0,B25/B$19)</f>
        <v>0.19259259259259259</v>
      </c>
      <c r="E25" s="29" t="s">
        <v>74</v>
      </c>
      <c r="F25" s="26" t="s">
        <v>29</v>
      </c>
      <c r="G25" s="14">
        <v>0</v>
      </c>
      <c r="H25" s="92">
        <f>IF(B$19=0,0,G25/B$19)</f>
        <v>0</v>
      </c>
      <c r="I25" s="60">
        <v>4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8085.1851851851852</v>
      </c>
      <c r="C26" s="10">
        <v>1091500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8740.9090909090901</v>
      </c>
      <c r="C27" s="100">
        <v>769200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6857.4468085106382</v>
      </c>
      <c r="C28" s="100">
        <v>322300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-8182.4561403508769</v>
      </c>
      <c r="C29" s="100">
        <v>-466400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1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9">
        <v>5</v>
      </c>
      <c r="C32" s="130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31">
        <v>107400</v>
      </c>
      <c r="C33" s="13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8.1481481481481488E-2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25</v>
      </c>
      <c r="C37" s="8">
        <f t="shared" si="2"/>
        <v>0.18518518518518517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33</v>
      </c>
      <c r="C38" s="8">
        <f t="shared" si="2"/>
        <v>0.24444444444444444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22</v>
      </c>
      <c r="C39" s="8">
        <f t="shared" si="2"/>
        <v>0.16296296296296298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14</v>
      </c>
      <c r="C40" s="8">
        <f t="shared" si="2"/>
        <v>0.1037037037037037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9</v>
      </c>
      <c r="C41" s="8">
        <f t="shared" si="2"/>
        <v>6.6666666666666666E-2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9</v>
      </c>
      <c r="C42" s="8">
        <f t="shared" si="2"/>
        <v>6.6666666666666666E-2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2"/>
        <v>2.2222222222222223E-2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2"/>
        <v>1.4814814814814815E-2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3</v>
      </c>
      <c r="C45" s="8">
        <f t="shared" si="2"/>
        <v>2.2222222222222223E-2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2"/>
        <v>7.4074074074074077E-3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3</v>
      </c>
      <c r="C48" s="11">
        <f t="shared" si="2"/>
        <v>2.2222222222222223E-2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5">
      <c r="K53" s="7">
        <v>51</v>
      </c>
      <c r="L53" s="65">
        <v>-66.299999999999983</v>
      </c>
    </row>
    <row r="54" spans="5:12" x14ac:dyDescent="0.45">
      <c r="K54" s="7">
        <v>52</v>
      </c>
      <c r="L54" s="65">
        <v>-46.09999999999998</v>
      </c>
    </row>
    <row r="55" spans="5:12" x14ac:dyDescent="0.45">
      <c r="K55" s="7">
        <v>53</v>
      </c>
      <c r="L55" s="65">
        <v>-73.59999999999998</v>
      </c>
    </row>
    <row r="56" spans="5:12" x14ac:dyDescent="0.45">
      <c r="K56" s="7">
        <v>54</v>
      </c>
      <c r="L56" s="65">
        <v>-104.39999999999998</v>
      </c>
    </row>
    <row r="57" spans="5:12" x14ac:dyDescent="0.45">
      <c r="K57" s="7">
        <v>55</v>
      </c>
      <c r="L57" s="65">
        <v>-68.199999999999974</v>
      </c>
    </row>
    <row r="58" spans="5:12" x14ac:dyDescent="0.45">
      <c r="K58" s="7">
        <v>56</v>
      </c>
      <c r="L58" s="65">
        <v>-92.099999999999966</v>
      </c>
    </row>
    <row r="59" spans="5:12" x14ac:dyDescent="0.45">
      <c r="K59" s="7">
        <v>57</v>
      </c>
      <c r="L59" s="65">
        <v>-112.99999999999997</v>
      </c>
    </row>
    <row r="60" spans="5:12" x14ac:dyDescent="0.45">
      <c r="K60" s="7">
        <v>58</v>
      </c>
      <c r="L60" s="65">
        <v>-30.599999999999966</v>
      </c>
    </row>
    <row r="61" spans="5:12" x14ac:dyDescent="0.45">
      <c r="K61" s="7">
        <v>59</v>
      </c>
      <c r="L61" s="65">
        <v>-56.299999999999969</v>
      </c>
    </row>
    <row r="62" spans="5:12" x14ac:dyDescent="0.45">
      <c r="K62" s="7">
        <v>60</v>
      </c>
      <c r="L62" s="65">
        <v>-98.69999999999996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6C72-88AB-423C-8534-D0602949E4E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193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36</v>
      </c>
      <c r="C2" s="136"/>
      <c r="E2" s="28" t="s">
        <v>66</v>
      </c>
      <c r="F2" s="25" t="s">
        <v>22</v>
      </c>
      <c r="G2" s="13">
        <v>60</v>
      </c>
      <c r="H2" s="91">
        <f>IF(B$19=0,0,G2/B$19)</f>
        <v>0.68181818181818177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-1458.3333333333333</v>
      </c>
      <c r="P2" s="80">
        <v>36</v>
      </c>
      <c r="Q2" s="67">
        <v>-52500</v>
      </c>
    </row>
    <row r="3" spans="1:17" x14ac:dyDescent="0.45">
      <c r="A3" s="21" t="s">
        <v>8</v>
      </c>
      <c r="B3" s="137">
        <v>275</v>
      </c>
      <c r="C3" s="138"/>
      <c r="E3" s="29" t="s">
        <v>72</v>
      </c>
      <c r="F3" s="26" t="s">
        <v>27</v>
      </c>
      <c r="G3" s="14">
        <v>60</v>
      </c>
      <c r="H3" s="92">
        <f>IF(B$19=0,0,G3/B$19)</f>
        <v>0.68181818181818177</v>
      </c>
      <c r="I3" s="60">
        <v>2</v>
      </c>
      <c r="K3" s="7">
        <v>1</v>
      </c>
      <c r="L3" s="65">
        <v>56</v>
      </c>
      <c r="N3" s="78" t="s">
        <v>129</v>
      </c>
      <c r="O3" s="84">
        <f t="shared" si="0"/>
        <v>-280</v>
      </c>
      <c r="P3" s="81">
        <v>35</v>
      </c>
      <c r="Q3" s="68">
        <v>-9800</v>
      </c>
    </row>
    <row r="4" spans="1:17" x14ac:dyDescent="0.45">
      <c r="A4" s="21" t="s">
        <v>6</v>
      </c>
      <c r="B4" s="139">
        <v>89.100000000000009</v>
      </c>
      <c r="C4" s="140"/>
      <c r="E4" s="29" t="s">
        <v>160</v>
      </c>
      <c r="F4" s="26" t="s">
        <v>161</v>
      </c>
      <c r="G4" s="14">
        <v>29</v>
      </c>
      <c r="H4" s="92">
        <f>IF(B$19=0,0,G4/B$19)</f>
        <v>0.32954545454545453</v>
      </c>
      <c r="I4" s="60">
        <v>11</v>
      </c>
      <c r="K4" s="7">
        <v>2</v>
      </c>
      <c r="L4" s="65">
        <v>137.5</v>
      </c>
      <c r="N4" s="78" t="s">
        <v>130</v>
      </c>
      <c r="O4" s="84">
        <f t="shared" si="0"/>
        <v>2115.625</v>
      </c>
      <c r="P4" s="81">
        <v>32</v>
      </c>
      <c r="Q4" s="68">
        <v>67700</v>
      </c>
    </row>
    <row r="5" spans="1:17" x14ac:dyDescent="0.45">
      <c r="A5" s="21" t="s">
        <v>7</v>
      </c>
      <c r="B5" s="127">
        <f>IF(B$2=0,0,B$4/B$2)</f>
        <v>2.4750000000000001</v>
      </c>
      <c r="C5" s="128"/>
      <c r="E5" s="29" t="s">
        <v>64</v>
      </c>
      <c r="F5" s="26" t="s">
        <v>20</v>
      </c>
      <c r="G5" s="14">
        <v>26</v>
      </c>
      <c r="H5" s="92">
        <f>IF(B$19=0,0,G5/B$19)</f>
        <v>0.29545454545454547</v>
      </c>
      <c r="I5" s="60">
        <v>11</v>
      </c>
      <c r="K5" s="7">
        <v>3</v>
      </c>
      <c r="L5" s="65">
        <v>159</v>
      </c>
      <c r="N5" s="78" t="s">
        <v>131</v>
      </c>
      <c r="O5" s="84">
        <f t="shared" si="0"/>
        <v>-779.31034482758616</v>
      </c>
      <c r="P5" s="81">
        <v>29</v>
      </c>
      <c r="Q5" s="68">
        <v>-22600</v>
      </c>
    </row>
    <row r="6" spans="1:17" x14ac:dyDescent="0.45">
      <c r="A6" s="21" t="s">
        <v>1</v>
      </c>
      <c r="B6" s="141">
        <f>IF(B$2=0,0,(B$7*1+B$8*2+B$9*3)/B$2)</f>
        <v>1.9722222222222223</v>
      </c>
      <c r="C6" s="142"/>
      <c r="E6" s="29" t="s">
        <v>68</v>
      </c>
      <c r="F6" s="26" t="s">
        <v>12</v>
      </c>
      <c r="G6" s="14">
        <v>21</v>
      </c>
      <c r="H6" s="92">
        <f>IF(B$19=0,0,G6/B$19)</f>
        <v>0.23863636363636365</v>
      </c>
      <c r="I6" s="60">
        <v>11</v>
      </c>
      <c r="K6" s="7">
        <v>4</v>
      </c>
      <c r="L6" s="65">
        <v>112.4</v>
      </c>
      <c r="N6" s="78" t="s">
        <v>132</v>
      </c>
      <c r="O6" s="84">
        <f t="shared" si="0"/>
        <v>1770.8333333333333</v>
      </c>
      <c r="P6" s="81">
        <v>24</v>
      </c>
      <c r="Q6" s="68">
        <v>42500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18</v>
      </c>
      <c r="H7" s="92">
        <f>IF(B$19=0,0,G7/B$19)</f>
        <v>0.20454545454545456</v>
      </c>
      <c r="I7" s="60">
        <v>9</v>
      </c>
      <c r="K7" s="7">
        <v>5</v>
      </c>
      <c r="L7" s="65">
        <v>140.30000000000001</v>
      </c>
      <c r="N7" s="79" t="s">
        <v>133</v>
      </c>
      <c r="O7" s="85">
        <f t="shared" si="0"/>
        <v>585.71428571428567</v>
      </c>
      <c r="P7" s="82">
        <v>21</v>
      </c>
      <c r="Q7" s="69">
        <v>12300</v>
      </c>
    </row>
    <row r="8" spans="1:17" x14ac:dyDescent="0.45">
      <c r="A8" s="21" t="s">
        <v>3</v>
      </c>
      <c r="B8" s="14">
        <v>13</v>
      </c>
      <c r="C8" s="8">
        <f t="shared" si="1"/>
        <v>0.3611111111111111</v>
      </c>
      <c r="E8" s="29" t="s">
        <v>69</v>
      </c>
      <c r="F8" s="26" t="s">
        <v>24</v>
      </c>
      <c r="G8" s="14">
        <v>12</v>
      </c>
      <c r="H8" s="92">
        <f>IF(B$19=0,0,G8/B$19)</f>
        <v>0.13636363636363635</v>
      </c>
      <c r="I8" s="60">
        <v>5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0.30555555555555558</v>
      </c>
      <c r="E9" s="29" t="s">
        <v>83</v>
      </c>
      <c r="F9" s="26" t="s">
        <v>38</v>
      </c>
      <c r="G9" s="14">
        <v>11</v>
      </c>
      <c r="H9" s="92">
        <f>IF(B$19=0,0,G9/B$19)</f>
        <v>0.125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40.524999999999999</v>
      </c>
      <c r="C10" s="114">
        <v>486.3</v>
      </c>
      <c r="E10" s="29" t="s">
        <v>89</v>
      </c>
      <c r="F10" s="26" t="s">
        <v>44</v>
      </c>
      <c r="G10" s="14">
        <v>10</v>
      </c>
      <c r="H10" s="92">
        <f>IF(B$19=0,0,G10/B$19)</f>
        <v>0.11363636363636363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-7.8636363636363624</v>
      </c>
      <c r="P10" s="80">
        <v>11</v>
      </c>
      <c r="Q10" s="71">
        <v>-86.499999999999986</v>
      </c>
    </row>
    <row r="11" spans="1:17" x14ac:dyDescent="0.45">
      <c r="A11" s="22" t="s">
        <v>186</v>
      </c>
      <c r="B11" s="113">
        <f>IF(B8=0,0,C11/B8)</f>
        <v>1.2538461538461534</v>
      </c>
      <c r="C11" s="114">
        <v>16.299999999999994</v>
      </c>
      <c r="E11" s="29" t="s">
        <v>65</v>
      </c>
      <c r="F11" s="26" t="s">
        <v>21</v>
      </c>
      <c r="G11" s="14">
        <v>8</v>
      </c>
      <c r="H11" s="92">
        <f>IF(B$19=0,0,G11/B$19)</f>
        <v>9.0909090909090912E-2</v>
      </c>
      <c r="I11" s="60">
        <v>8</v>
      </c>
      <c r="K11" s="7">
        <v>9</v>
      </c>
      <c r="L11" s="65">
        <v>51.600000000000009</v>
      </c>
      <c r="N11" s="78" t="s">
        <v>153</v>
      </c>
      <c r="O11" s="87">
        <f>IF(P11=0,0,Q11/P11)</f>
        <v>0.69090909090909036</v>
      </c>
      <c r="P11" s="81">
        <v>11</v>
      </c>
      <c r="Q11" s="72">
        <v>7.5999999999999943</v>
      </c>
    </row>
    <row r="12" spans="1:17" x14ac:dyDescent="0.45">
      <c r="A12" s="22" t="s">
        <v>187</v>
      </c>
      <c r="B12" s="113">
        <f>IF(B9=0,0,C12/B9)</f>
        <v>-37.590909090909093</v>
      </c>
      <c r="C12" s="114">
        <v>-413.5</v>
      </c>
      <c r="E12" s="29" t="s">
        <v>81</v>
      </c>
      <c r="F12" s="26" t="s">
        <v>36</v>
      </c>
      <c r="G12" s="14">
        <v>6</v>
      </c>
      <c r="H12" s="92">
        <f>IF(B$19=0,0,G12/B$19)</f>
        <v>6.8181818181818177E-2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11.999999999999998</v>
      </c>
      <c r="P12" s="82">
        <v>14</v>
      </c>
      <c r="Q12" s="73">
        <v>167.99999999999997</v>
      </c>
    </row>
    <row r="13" spans="1:17" x14ac:dyDescent="0.45">
      <c r="A13" s="22" t="s">
        <v>188</v>
      </c>
      <c r="B13" s="127">
        <f>AVERAGE(B10:B12)</f>
        <v>1.3959790209790199</v>
      </c>
      <c r="C13" s="128"/>
      <c r="E13" s="29" t="s">
        <v>70</v>
      </c>
      <c r="F13" s="26" t="s">
        <v>25</v>
      </c>
      <c r="G13" s="14">
        <v>4</v>
      </c>
      <c r="H13" s="92">
        <f>IF(B$19=0,0,G13/B$19)</f>
        <v>4.5454545454545456E-2</v>
      </c>
      <c r="I13" s="60">
        <v>9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0.16666666666666666</v>
      </c>
      <c r="E14" s="29" t="s">
        <v>71</v>
      </c>
      <c r="F14" s="26" t="s">
        <v>26</v>
      </c>
      <c r="G14" s="14">
        <v>3</v>
      </c>
      <c r="H14" s="92">
        <f>IF(B$19=0,0,G14/B$19)</f>
        <v>3.4090909090909088E-2</v>
      </c>
      <c r="I14" s="60">
        <v>9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42</v>
      </c>
      <c r="C15" s="12">
        <f>IF(B$3=0,0,B15/B$3)</f>
        <v>0.15272727272727274</v>
      </c>
      <c r="E15" s="29" t="s">
        <v>78</v>
      </c>
      <c r="F15" s="26" t="s">
        <v>33</v>
      </c>
      <c r="G15" s="14">
        <v>3</v>
      </c>
      <c r="H15" s="92">
        <f>IF(B$19=0,0,G15/B$19)</f>
        <v>3.4090909090909088E-2</v>
      </c>
      <c r="I15" s="60">
        <v>8</v>
      </c>
      <c r="K15" s="7">
        <v>13</v>
      </c>
      <c r="L15" s="65">
        <v>83.1</v>
      </c>
      <c r="N15" s="77" t="s">
        <v>205</v>
      </c>
      <c r="O15" s="86">
        <f>IF(P15=0,0,Q15/P15)</f>
        <v>35.35</v>
      </c>
      <c r="P15" s="80">
        <v>4</v>
      </c>
      <c r="Q15" s="71">
        <v>141.4</v>
      </c>
    </row>
    <row r="16" spans="1:17" x14ac:dyDescent="0.45">
      <c r="A16" s="21" t="s">
        <v>118</v>
      </c>
      <c r="B16" s="14">
        <v>97</v>
      </c>
      <c r="C16" s="8">
        <f>IF(B$3=0,0,B16/B$3)</f>
        <v>0.35272727272727272</v>
      </c>
      <c r="E16" s="29" t="s">
        <v>77</v>
      </c>
      <c r="F16" s="26" t="s">
        <v>32</v>
      </c>
      <c r="G16" s="14">
        <v>2</v>
      </c>
      <c r="H16" s="92">
        <f>IF(B$19=0,0,G16/B$19)</f>
        <v>2.2727272727272728E-2</v>
      </c>
      <c r="I16" s="60">
        <v>3</v>
      </c>
      <c r="K16" s="7">
        <v>14</v>
      </c>
      <c r="L16" s="65">
        <v>89.399999999999991</v>
      </c>
      <c r="N16" s="78" t="s">
        <v>194</v>
      </c>
      <c r="O16" s="87">
        <f>IF(P16=0,0,Q16/P16)</f>
        <v>34.107692307692304</v>
      </c>
      <c r="P16" s="81">
        <v>13</v>
      </c>
      <c r="Q16" s="72">
        <v>443.4</v>
      </c>
    </row>
    <row r="17" spans="1:17" x14ac:dyDescent="0.45">
      <c r="A17" s="20" t="s">
        <v>123</v>
      </c>
      <c r="B17" s="13">
        <f>B23</f>
        <v>27</v>
      </c>
      <c r="C17" s="6">
        <f>IF(B$15=0,0,B17/B$15)</f>
        <v>0.6428571428571429</v>
      </c>
      <c r="E17" s="29" t="s">
        <v>79</v>
      </c>
      <c r="F17" s="26" t="s">
        <v>34</v>
      </c>
      <c r="G17" s="14">
        <v>2</v>
      </c>
      <c r="H17" s="92">
        <f>IF(B$19=0,0,G17/B$19)</f>
        <v>2.2727272727272728E-2</v>
      </c>
      <c r="I17" s="60">
        <v>7</v>
      </c>
      <c r="K17" s="7">
        <v>15</v>
      </c>
      <c r="L17" s="65">
        <v>112.6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41</v>
      </c>
      <c r="C18" s="6">
        <f>IF(B$16=0,0,B18/B$16)</f>
        <v>0.42268041237113402</v>
      </c>
      <c r="E18" s="29" t="s">
        <v>85</v>
      </c>
      <c r="F18" s="26" t="s">
        <v>40</v>
      </c>
      <c r="G18" s="14">
        <v>2</v>
      </c>
      <c r="H18" s="92">
        <f>IF(B$19=0,0,G18/B$19)</f>
        <v>2.2727272727272728E-2</v>
      </c>
      <c r="I18" s="60">
        <v>1</v>
      </c>
      <c r="K18" s="7">
        <v>16</v>
      </c>
      <c r="L18" s="65">
        <v>119.3</v>
      </c>
      <c r="N18" s="78" t="s">
        <v>164</v>
      </c>
      <c r="O18" s="87">
        <f>IF(P18=0,0,Q18/P18)</f>
        <v>18.444444444444443</v>
      </c>
      <c r="P18" s="81">
        <v>9</v>
      </c>
      <c r="Q18" s="72">
        <v>166</v>
      </c>
    </row>
    <row r="19" spans="1:17" x14ac:dyDescent="0.45">
      <c r="A19" s="20" t="s">
        <v>10</v>
      </c>
      <c r="B19" s="13">
        <f>B22+B21</f>
        <v>88</v>
      </c>
      <c r="C19" s="6">
        <f>IF(B$3=0,0,B19/B$3)</f>
        <v>0.32</v>
      </c>
      <c r="E19" s="29" t="s">
        <v>74</v>
      </c>
      <c r="F19" s="26" t="s">
        <v>29</v>
      </c>
      <c r="G19" s="14">
        <v>1</v>
      </c>
      <c r="H19" s="92">
        <f>IF(B$19=0,0,G19/B$19)</f>
        <v>1.1363636363636364E-2</v>
      </c>
      <c r="I19" s="60">
        <v>1</v>
      </c>
      <c r="K19" s="7">
        <v>17</v>
      </c>
      <c r="L19" s="65">
        <v>71.699999999999989</v>
      </c>
      <c r="N19" s="78" t="s">
        <v>189</v>
      </c>
      <c r="O19" s="87">
        <f>IF(P19=0,0,Q19/P19)</f>
        <v>4.2000000000000011</v>
      </c>
      <c r="P19" s="81">
        <v>4</v>
      </c>
      <c r="Q19" s="72">
        <v>16.800000000000004</v>
      </c>
    </row>
    <row r="20" spans="1:17" x14ac:dyDescent="0.45">
      <c r="A20" s="21" t="s">
        <v>13</v>
      </c>
      <c r="B20" s="14">
        <v>39</v>
      </c>
      <c r="C20" s="8">
        <f>IF(B$3=0,0,B20/B$3)</f>
        <v>0.14181818181818182</v>
      </c>
      <c r="E20" s="29" t="s">
        <v>75</v>
      </c>
      <c r="F20" s="26" t="s">
        <v>30</v>
      </c>
      <c r="G20" s="14">
        <v>1</v>
      </c>
      <c r="H20" s="92">
        <f>IF(B$19=0,0,G20/B$19)</f>
        <v>1.1363636363636364E-2</v>
      </c>
      <c r="I20" s="60">
        <v>1</v>
      </c>
      <c r="K20" s="7">
        <v>18</v>
      </c>
      <c r="L20" s="65">
        <v>45.399999999999991</v>
      </c>
      <c r="N20" s="78" t="s">
        <v>192</v>
      </c>
      <c r="O20" s="87">
        <f>IF(P20=0,0,Q20/P20)</f>
        <v>-11.071428571428575</v>
      </c>
      <c r="P20" s="81">
        <v>21</v>
      </c>
      <c r="Q20" s="72">
        <v>-232.50000000000009</v>
      </c>
    </row>
    <row r="21" spans="1:17" x14ac:dyDescent="0.45">
      <c r="A21" s="21" t="s">
        <v>12</v>
      </c>
      <c r="B21" s="14">
        <v>39</v>
      </c>
      <c r="C21" s="8">
        <f>IF(B$19=0,0,B21/B$19)</f>
        <v>0.44318181818181818</v>
      </c>
      <c r="E21" s="29" t="s">
        <v>86</v>
      </c>
      <c r="F21" s="26" t="s">
        <v>41</v>
      </c>
      <c r="G21" s="14">
        <v>1</v>
      </c>
      <c r="H21" s="92">
        <f>IF(B$19=0,0,G21/B$19)</f>
        <v>1.1363636363636364E-2</v>
      </c>
      <c r="I21" s="60">
        <v>9</v>
      </c>
      <c r="K21" s="7">
        <v>19</v>
      </c>
      <c r="L21" s="65">
        <v>100.1</v>
      </c>
      <c r="N21" s="78" t="s">
        <v>126</v>
      </c>
      <c r="O21" s="87">
        <f>IF(P21=0,0,Q21/P21)</f>
        <v>-18.461111111111112</v>
      </c>
      <c r="P21" s="81">
        <v>18</v>
      </c>
      <c r="Q21" s="72">
        <v>-332.3</v>
      </c>
    </row>
    <row r="22" spans="1:17" x14ac:dyDescent="0.45">
      <c r="A22" s="21" t="s">
        <v>11</v>
      </c>
      <c r="B22" s="14">
        <v>49</v>
      </c>
      <c r="C22" s="8">
        <f>IF(B$19=0,0,B22/B$19)</f>
        <v>0.55681818181818177</v>
      </c>
      <c r="E22" s="29" t="s">
        <v>88</v>
      </c>
      <c r="F22" s="26" t="s">
        <v>43</v>
      </c>
      <c r="G22" s="14">
        <v>1</v>
      </c>
      <c r="H22" s="92">
        <f>IF(B$19=0,0,G22/B$19)</f>
        <v>1.1363636363636364E-2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27</v>
      </c>
      <c r="C23" s="8">
        <f>IF(B$19=0,0,B23/B$19)</f>
        <v>0.30681818181818182</v>
      </c>
      <c r="E23" s="29" t="s">
        <v>102</v>
      </c>
      <c r="F23" s="26" t="s">
        <v>57</v>
      </c>
      <c r="G23" s="14">
        <v>1</v>
      </c>
      <c r="H23" s="92">
        <f>IF(B$19=0,0,G23/B$19)</f>
        <v>1.1363636363636364E-2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41</v>
      </c>
      <c r="C24" s="8">
        <f>IF(B$19=0,0,B24/B$19)</f>
        <v>0.46590909090909088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20</v>
      </c>
      <c r="C25" s="8">
        <f>IF(B$19=0,0,B25/B$19)</f>
        <v>0.22727272727272727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7734.090909090909</v>
      </c>
      <c r="C26" s="10">
        <v>680600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8804.2553191489369</v>
      </c>
      <c r="C27" s="100">
        <v>413800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6507.3170731707314</v>
      </c>
      <c r="C28" s="100">
        <v>266800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-7315.3846153846152</v>
      </c>
      <c r="C29" s="100">
        <v>-285300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5">
      <c r="A31" s="21" t="s">
        <v>159</v>
      </c>
      <c r="B31" s="14">
        <v>27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45">
      <c r="A32" s="56" t="s">
        <v>136</v>
      </c>
      <c r="B32" s="129">
        <v>6</v>
      </c>
      <c r="C32" s="130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5">
      <c r="A33" s="24" t="s">
        <v>181</v>
      </c>
      <c r="B33" s="131">
        <v>106500</v>
      </c>
      <c r="C33" s="13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84.500000000000014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7.9545454545454544E-2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63.800000000000011</v>
      </c>
    </row>
    <row r="37" spans="1:12" x14ac:dyDescent="0.45">
      <c r="A37" s="21" t="s">
        <v>168</v>
      </c>
      <c r="B37" s="14">
        <v>22</v>
      </c>
      <c r="C37" s="8">
        <f t="shared" si="2"/>
        <v>0.25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94.4</v>
      </c>
    </row>
    <row r="38" spans="1:12" x14ac:dyDescent="0.45">
      <c r="A38" s="21" t="s">
        <v>169</v>
      </c>
      <c r="B38" s="122">
        <v>17</v>
      </c>
      <c r="C38" s="8">
        <f t="shared" si="2"/>
        <v>0.19318181818181818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89.100000000000009</v>
      </c>
    </row>
    <row r="39" spans="1:12" x14ac:dyDescent="0.45">
      <c r="A39" s="21" t="s">
        <v>170</v>
      </c>
      <c r="B39" s="122">
        <v>11</v>
      </c>
      <c r="C39" s="8">
        <f t="shared" si="2"/>
        <v>0.125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17</v>
      </c>
      <c r="C40" s="8">
        <f t="shared" si="2"/>
        <v>0.19318181818181818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6</v>
      </c>
      <c r="C41" s="8">
        <f t="shared" si="2"/>
        <v>6.8181818181818177E-2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5</v>
      </c>
      <c r="C42" s="8">
        <f t="shared" si="2"/>
        <v>5.6818181818181816E-2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1</v>
      </c>
      <c r="C43" s="8">
        <f t="shared" si="2"/>
        <v>1.1363636363636364E-2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1.1363636363636364E-2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1.1363636363636364E-2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360D-9E68-48C1-AF47-AB2591A838E2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196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9</v>
      </c>
      <c r="C2" s="136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3744.4444444444443</v>
      </c>
      <c r="P2" s="80">
        <v>9</v>
      </c>
      <c r="Q2" s="67">
        <v>33700</v>
      </c>
    </row>
    <row r="3" spans="1:17" x14ac:dyDescent="0.45">
      <c r="A3" s="21" t="s">
        <v>8</v>
      </c>
      <c r="B3" s="137">
        <v>73</v>
      </c>
      <c r="C3" s="138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11.111111111111111</v>
      </c>
      <c r="P3" s="81">
        <v>9</v>
      </c>
      <c r="Q3" s="68">
        <v>100</v>
      </c>
    </row>
    <row r="4" spans="1:17" x14ac:dyDescent="0.45">
      <c r="A4" s="21" t="s">
        <v>6</v>
      </c>
      <c r="B4" s="139">
        <v>21.599999999999987</v>
      </c>
      <c r="C4" s="140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4</v>
      </c>
      <c r="K4" s="7">
        <v>2</v>
      </c>
      <c r="L4" s="65">
        <v>-28.6</v>
      </c>
      <c r="N4" s="78" t="s">
        <v>130</v>
      </c>
      <c r="O4" s="84">
        <f t="shared" si="0"/>
        <v>-4000</v>
      </c>
      <c r="P4" s="81">
        <v>9</v>
      </c>
      <c r="Q4" s="68">
        <v>-36000</v>
      </c>
    </row>
    <row r="5" spans="1:17" x14ac:dyDescent="0.45">
      <c r="A5" s="21" t="s">
        <v>7</v>
      </c>
      <c r="B5" s="127">
        <f>IF(B$2=0,0,B$4/B$2)</f>
        <v>2.3999999999999986</v>
      </c>
      <c r="C5" s="128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3</v>
      </c>
      <c r="K5" s="7">
        <v>3</v>
      </c>
      <c r="L5" s="65">
        <v>-41.400000000000006</v>
      </c>
      <c r="N5" s="78" t="s">
        <v>131</v>
      </c>
      <c r="O5" s="84">
        <f t="shared" si="0"/>
        <v>-5014.2857142857147</v>
      </c>
      <c r="P5" s="81">
        <v>7</v>
      </c>
      <c r="Q5" s="68">
        <v>-35100</v>
      </c>
    </row>
    <row r="6" spans="1:17" x14ac:dyDescent="0.45">
      <c r="A6" s="21" t="s">
        <v>1</v>
      </c>
      <c r="B6" s="141">
        <f>IF(B$2=0,0,(B$7*1+B$8*2+B$9*3)/B$2)</f>
        <v>1.8888888888888888</v>
      </c>
      <c r="C6" s="142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11</v>
      </c>
      <c r="K6" s="7">
        <v>4</v>
      </c>
      <c r="L6" s="65">
        <v>-56.000000000000007</v>
      </c>
      <c r="N6" s="78" t="s">
        <v>132</v>
      </c>
      <c r="O6" s="84">
        <f t="shared" si="0"/>
        <v>6333.333333333333</v>
      </c>
      <c r="P6" s="81">
        <v>6</v>
      </c>
      <c r="Q6" s="68">
        <v>38000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4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6</v>
      </c>
      <c r="C8" s="8">
        <f t="shared" si="1"/>
        <v>0.66666666666666663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1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0.1111111111111111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6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7.5250000000000004</v>
      </c>
      <c r="P10" s="80">
        <v>4</v>
      </c>
      <c r="Q10" s="71">
        <v>30.1</v>
      </c>
    </row>
    <row r="11" spans="1:17" x14ac:dyDescent="0.45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11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7">
        <f>AVERAGE(B10:B12)</f>
        <v>9.3444444444444432</v>
      </c>
      <c r="C13" s="128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20</v>
      </c>
      <c r="C15" s="12">
        <f>IF(B$3=0,0,B15/B$3)</f>
        <v>0.27397260273972601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10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11</v>
      </c>
      <c r="C16" s="8">
        <f>IF(B$3=0,0,B16/B$3)</f>
        <v>0.15068493150684931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16.324999999999999</v>
      </c>
      <c r="P16" s="81">
        <v>4</v>
      </c>
      <c r="Q16" s="72">
        <v>65.3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192</v>
      </c>
      <c r="O17" s="87">
        <f>IF(P17=0,0,Q17/P17)</f>
        <v>14.162500000000003</v>
      </c>
      <c r="P17" s="81">
        <v>8</v>
      </c>
      <c r="Q17" s="72">
        <v>113.30000000000003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0.26027397260273971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6.8493150684931503E-2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23</v>
      </c>
      <c r="C31" s="94">
        <v>23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9">
        <v>4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1">
        <v>89000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A15D-2F39-44B4-BBD0-7DAB5AD475E5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205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42</v>
      </c>
      <c r="C2" s="136"/>
      <c r="E2" s="28" t="s">
        <v>66</v>
      </c>
      <c r="F2" s="25" t="s">
        <v>22</v>
      </c>
      <c r="G2" s="13">
        <v>89</v>
      </c>
      <c r="H2" s="91">
        <f>IF(B$19=0,0,G2/B$19)</f>
        <v>0.87254901960784315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680</v>
      </c>
      <c r="P2" s="80">
        <v>40</v>
      </c>
      <c r="Q2" s="67">
        <v>27200</v>
      </c>
    </row>
    <row r="3" spans="1:17" x14ac:dyDescent="0.45">
      <c r="A3" s="21" t="s">
        <v>8</v>
      </c>
      <c r="B3" s="137">
        <v>323</v>
      </c>
      <c r="C3" s="138"/>
      <c r="E3" s="29" t="s">
        <v>72</v>
      </c>
      <c r="F3" s="26" t="s">
        <v>27</v>
      </c>
      <c r="G3" s="14">
        <v>56</v>
      </c>
      <c r="H3" s="92">
        <f>IF(B$19=0,0,G3/B$19)</f>
        <v>0.5490196078431373</v>
      </c>
      <c r="I3" s="60">
        <v>5</v>
      </c>
      <c r="K3" s="7">
        <v>1</v>
      </c>
      <c r="L3" s="65">
        <v>68.2</v>
      </c>
      <c r="N3" s="78" t="s">
        <v>129</v>
      </c>
      <c r="O3" s="84">
        <f t="shared" si="0"/>
        <v>-2204.7619047619046</v>
      </c>
      <c r="P3" s="81">
        <v>42</v>
      </c>
      <c r="Q3" s="68">
        <v>-92600</v>
      </c>
    </row>
    <row r="4" spans="1:17" x14ac:dyDescent="0.45">
      <c r="A4" s="21" t="s">
        <v>6</v>
      </c>
      <c r="B4" s="139">
        <v>-193.20000000000002</v>
      </c>
      <c r="C4" s="140"/>
      <c r="E4" s="29" t="s">
        <v>160</v>
      </c>
      <c r="F4" s="26" t="s">
        <v>161</v>
      </c>
      <c r="G4" s="14">
        <v>48</v>
      </c>
      <c r="H4" s="92">
        <f>IF(B$19=0,0,G4/B$19)</f>
        <v>0.47058823529411764</v>
      </c>
      <c r="I4" s="60">
        <v>5</v>
      </c>
      <c r="K4" s="7">
        <v>2</v>
      </c>
      <c r="L4" s="65">
        <v>41.2</v>
      </c>
      <c r="N4" s="78" t="s">
        <v>130</v>
      </c>
      <c r="O4" s="84">
        <f t="shared" si="0"/>
        <v>-1525</v>
      </c>
      <c r="P4" s="81">
        <v>40</v>
      </c>
      <c r="Q4" s="68">
        <v>-61000</v>
      </c>
    </row>
    <row r="5" spans="1:17" x14ac:dyDescent="0.45">
      <c r="A5" s="21" t="s">
        <v>7</v>
      </c>
      <c r="B5" s="127">
        <f>IF(B$2=0,0,B$4/B$2)</f>
        <v>-4.6000000000000005</v>
      </c>
      <c r="C5" s="128"/>
      <c r="E5" s="29" t="s">
        <v>64</v>
      </c>
      <c r="F5" s="26" t="s">
        <v>20</v>
      </c>
      <c r="G5" s="14">
        <v>38</v>
      </c>
      <c r="H5" s="92">
        <f>IF(B$19=0,0,G5/B$19)</f>
        <v>0.37254901960784315</v>
      </c>
      <c r="I5" s="60">
        <v>10</v>
      </c>
      <c r="K5" s="7">
        <v>3</v>
      </c>
      <c r="L5" s="65">
        <v>8.9000000000000057</v>
      </c>
      <c r="N5" s="78" t="s">
        <v>131</v>
      </c>
      <c r="O5" s="84">
        <f t="shared" si="0"/>
        <v>1436.1111111111111</v>
      </c>
      <c r="P5" s="81">
        <v>36</v>
      </c>
      <c r="Q5" s="68">
        <v>51700</v>
      </c>
    </row>
    <row r="6" spans="1:17" x14ac:dyDescent="0.45">
      <c r="A6" s="21" t="s">
        <v>1</v>
      </c>
      <c r="B6" s="141">
        <f>IF(B$2=0,0,(B$7*1+B$8*2+B$9*3)/B$2)</f>
        <v>2.0952380952380953</v>
      </c>
      <c r="C6" s="142"/>
      <c r="E6" s="29" t="s">
        <v>68</v>
      </c>
      <c r="F6" s="26" t="s">
        <v>12</v>
      </c>
      <c r="G6" s="14">
        <v>28</v>
      </c>
      <c r="H6" s="92">
        <f>IF(B$19=0,0,G6/B$19)</f>
        <v>0.27450980392156865</v>
      </c>
      <c r="I6" s="60">
        <v>8</v>
      </c>
      <c r="K6" s="7">
        <v>4</v>
      </c>
      <c r="L6" s="65">
        <v>-41.199999999999996</v>
      </c>
      <c r="N6" s="78" t="s">
        <v>132</v>
      </c>
      <c r="O6" s="84">
        <f t="shared" si="0"/>
        <v>-1740</v>
      </c>
      <c r="P6" s="81">
        <v>35</v>
      </c>
      <c r="Q6" s="68">
        <v>-60900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0.2857142857142857</v>
      </c>
      <c r="E7" s="29" t="s">
        <v>67</v>
      </c>
      <c r="F7" s="26" t="s">
        <v>23</v>
      </c>
      <c r="G7" s="14">
        <v>26</v>
      </c>
      <c r="H7" s="92">
        <f>IF(B$19=0,0,G7/B$19)</f>
        <v>0.25490196078431371</v>
      </c>
      <c r="I7" s="60">
        <v>6</v>
      </c>
      <c r="K7" s="7">
        <v>5</v>
      </c>
      <c r="L7" s="65">
        <v>-72.899999999999991</v>
      </c>
      <c r="N7" s="79" t="s">
        <v>133</v>
      </c>
      <c r="O7" s="85">
        <f t="shared" si="0"/>
        <v>-1759.2592592592594</v>
      </c>
      <c r="P7" s="82">
        <v>27</v>
      </c>
      <c r="Q7" s="69">
        <v>-47500</v>
      </c>
    </row>
    <row r="8" spans="1:17" x14ac:dyDescent="0.45">
      <c r="A8" s="21" t="s">
        <v>3</v>
      </c>
      <c r="B8" s="14">
        <v>14</v>
      </c>
      <c r="C8" s="8">
        <f t="shared" si="1"/>
        <v>0.33333333333333331</v>
      </c>
      <c r="E8" s="29" t="s">
        <v>89</v>
      </c>
      <c r="F8" s="26" t="s">
        <v>44</v>
      </c>
      <c r="G8" s="14">
        <v>17</v>
      </c>
      <c r="H8" s="92">
        <f>IF(B$19=0,0,G8/B$19)</f>
        <v>0.16666666666666666</v>
      </c>
      <c r="I8" s="60">
        <v>3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0.38095238095238093</v>
      </c>
      <c r="E9" s="29" t="s">
        <v>69</v>
      </c>
      <c r="F9" s="26" t="s">
        <v>24</v>
      </c>
      <c r="G9" s="14">
        <v>16</v>
      </c>
      <c r="H9" s="92">
        <f>IF(B$19=0,0,G9/B$19)</f>
        <v>0.15686274509803921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35.549999999999997</v>
      </c>
      <c r="C10" s="114">
        <v>426.59999999999997</v>
      </c>
      <c r="E10" s="29" t="s">
        <v>70</v>
      </c>
      <c r="F10" s="26" t="s">
        <v>25</v>
      </c>
      <c r="G10" s="14">
        <v>12</v>
      </c>
      <c r="H10" s="92">
        <f>IF(B$19=0,0,G10/B$19)</f>
        <v>0.11764705882352941</v>
      </c>
      <c r="I10" s="60">
        <v>3</v>
      </c>
      <c r="K10" s="7">
        <v>8</v>
      </c>
      <c r="L10" s="65">
        <v>-128.6</v>
      </c>
      <c r="N10" s="77" t="s">
        <v>152</v>
      </c>
      <c r="O10" s="86">
        <f>IF(P10=0,0,Q10/P10)</f>
        <v>-5.291666666666667</v>
      </c>
      <c r="P10" s="80">
        <v>12</v>
      </c>
      <c r="Q10" s="71">
        <v>-63.5</v>
      </c>
    </row>
    <row r="11" spans="1:17" x14ac:dyDescent="0.45">
      <c r="A11" s="22" t="s">
        <v>186</v>
      </c>
      <c r="B11" s="113">
        <f>IF(B8=0,0,C11/B8)</f>
        <v>-1.4642857142857142</v>
      </c>
      <c r="C11" s="114">
        <v>-20.5</v>
      </c>
      <c r="E11" s="29" t="s">
        <v>65</v>
      </c>
      <c r="F11" s="26" t="s">
        <v>21</v>
      </c>
      <c r="G11" s="14">
        <v>8</v>
      </c>
      <c r="H11" s="92">
        <f>IF(B$19=0,0,G11/B$19)</f>
        <v>7.8431372549019607E-2</v>
      </c>
      <c r="I11" s="60">
        <v>9</v>
      </c>
      <c r="K11" s="7">
        <v>9</v>
      </c>
      <c r="L11" s="65">
        <v>-120</v>
      </c>
      <c r="N11" s="78" t="s">
        <v>153</v>
      </c>
      <c r="O11" s="87">
        <f>IF(P11=0,0,Q11/P11)</f>
        <v>-0.61538461538461553</v>
      </c>
      <c r="P11" s="81">
        <v>13</v>
      </c>
      <c r="Q11" s="72">
        <v>-8.0000000000000018</v>
      </c>
    </row>
    <row r="12" spans="1:17" x14ac:dyDescent="0.45">
      <c r="A12" s="22" t="s">
        <v>187</v>
      </c>
      <c r="B12" s="113">
        <f>IF(B9=0,0,C12/B9)</f>
        <v>-37.456249999999997</v>
      </c>
      <c r="C12" s="114">
        <v>-599.29999999999995</v>
      </c>
      <c r="E12" s="29" t="s">
        <v>71</v>
      </c>
      <c r="F12" s="26" t="s">
        <v>26</v>
      </c>
      <c r="G12" s="14">
        <v>6</v>
      </c>
      <c r="H12" s="92">
        <f>IF(B$19=0,0,G12/B$19)</f>
        <v>5.8823529411764705E-2</v>
      </c>
      <c r="I12" s="60">
        <v>5</v>
      </c>
      <c r="K12" s="7">
        <v>10</v>
      </c>
      <c r="L12" s="65">
        <v>-112.8</v>
      </c>
      <c r="N12" s="79" t="s">
        <v>154</v>
      </c>
      <c r="O12" s="88">
        <f>IF(P12=0,0,Q12/P12)</f>
        <v>-7.1588235294117659</v>
      </c>
      <c r="P12" s="82">
        <v>17</v>
      </c>
      <c r="Q12" s="73">
        <v>-121.70000000000002</v>
      </c>
    </row>
    <row r="13" spans="1:17" x14ac:dyDescent="0.45">
      <c r="A13" s="22" t="s">
        <v>188</v>
      </c>
      <c r="B13" s="127">
        <f>AVERAGE(B10:B12)</f>
        <v>-1.1235119047619051</v>
      </c>
      <c r="C13" s="128"/>
      <c r="E13" s="29" t="s">
        <v>86</v>
      </c>
      <c r="F13" s="26" t="s">
        <v>41</v>
      </c>
      <c r="G13" s="14">
        <v>6</v>
      </c>
      <c r="H13" s="92">
        <f>IF(B$19=0,0,G13/B$19)</f>
        <v>5.8823529411764705E-2</v>
      </c>
      <c r="I13" s="60">
        <v>5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0.11904761904761904</v>
      </c>
      <c r="E14" s="29" t="s">
        <v>78</v>
      </c>
      <c r="F14" s="26" t="s">
        <v>33</v>
      </c>
      <c r="G14" s="14">
        <v>5</v>
      </c>
      <c r="H14" s="92">
        <f>IF(B$19=0,0,G14/B$19)</f>
        <v>4.9019607843137254E-2</v>
      </c>
      <c r="I14" s="60">
        <v>2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57</v>
      </c>
      <c r="C15" s="12">
        <f>IF(B$3=0,0,B15/B$3)</f>
        <v>0.17647058823529413</v>
      </c>
      <c r="E15" s="29" t="s">
        <v>83</v>
      </c>
      <c r="F15" s="26" t="s">
        <v>38</v>
      </c>
      <c r="G15" s="14">
        <v>5</v>
      </c>
      <c r="H15" s="92">
        <f>IF(B$19=0,0,G15/B$19)</f>
        <v>4.9019607843137254E-2</v>
      </c>
      <c r="I15" s="60">
        <v>4</v>
      </c>
      <c r="K15" s="7">
        <v>13</v>
      </c>
      <c r="L15" s="65">
        <v>-63.4</v>
      </c>
      <c r="N15" s="77" t="s">
        <v>192</v>
      </c>
      <c r="O15" s="86">
        <f t="shared" ref="O15:O21" si="2">IF(P15=0,0,Q15/P15)</f>
        <v>0.84166666666666501</v>
      </c>
      <c r="P15" s="80">
        <v>12</v>
      </c>
      <c r="Q15" s="71">
        <v>10.09999999999998</v>
      </c>
    </row>
    <row r="16" spans="1:17" x14ac:dyDescent="0.45">
      <c r="A16" s="21" t="s">
        <v>118</v>
      </c>
      <c r="B16" s="14">
        <v>87</v>
      </c>
      <c r="C16" s="8">
        <f>IF(B$3=0,0,B16/B$3)</f>
        <v>0.26934984520123839</v>
      </c>
      <c r="E16" s="29" t="s">
        <v>81</v>
      </c>
      <c r="F16" s="26" t="s">
        <v>36</v>
      </c>
      <c r="G16" s="14">
        <v>2</v>
      </c>
      <c r="H16" s="92">
        <f>IF(B$19=0,0,G16/B$19)</f>
        <v>1.9607843137254902E-2</v>
      </c>
      <c r="I16" s="60">
        <v>7</v>
      </c>
      <c r="K16" s="7">
        <v>14</v>
      </c>
      <c r="L16" s="65">
        <v>-42.4</v>
      </c>
      <c r="N16" s="78" t="s">
        <v>194</v>
      </c>
      <c r="O16" s="87">
        <f t="shared" si="2"/>
        <v>0.79166666666666663</v>
      </c>
      <c r="P16" s="81">
        <v>12</v>
      </c>
      <c r="Q16" s="72">
        <v>9.5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0.64912280701754388</v>
      </c>
      <c r="E17" s="29" t="s">
        <v>75</v>
      </c>
      <c r="F17" s="26" t="s">
        <v>30</v>
      </c>
      <c r="G17" s="14">
        <v>1</v>
      </c>
      <c r="H17" s="92">
        <f>IF(B$19=0,0,G17/B$19)</f>
        <v>9.8039215686274508E-3</v>
      </c>
      <c r="I17" s="60">
        <v>2</v>
      </c>
      <c r="K17" s="7">
        <v>15</v>
      </c>
      <c r="L17" s="65">
        <v>-65.7</v>
      </c>
      <c r="N17" s="78" t="s">
        <v>240</v>
      </c>
      <c r="O17" s="87">
        <f t="shared" si="2"/>
        <v>-4.8999999999999986</v>
      </c>
      <c r="P17" s="81">
        <v>2</v>
      </c>
      <c r="Q17" s="72">
        <v>-9.7999999999999972</v>
      </c>
    </row>
    <row r="18" spans="1:17" x14ac:dyDescent="0.45">
      <c r="A18" s="20" t="s">
        <v>124</v>
      </c>
      <c r="B18" s="13">
        <f>B24</f>
        <v>28</v>
      </c>
      <c r="C18" s="6">
        <f>IF(B$16=0,0,B18/B$16)</f>
        <v>0.32183908045977011</v>
      </c>
      <c r="E18" s="29" t="s">
        <v>92</v>
      </c>
      <c r="F18" s="26" t="s">
        <v>47</v>
      </c>
      <c r="G18" s="14">
        <v>1</v>
      </c>
      <c r="H18" s="92">
        <f>IF(B$19=0,0,G18/B$19)</f>
        <v>9.8039215686274508E-3</v>
      </c>
      <c r="I18" s="60">
        <v>6</v>
      </c>
      <c r="K18" s="7">
        <v>16</v>
      </c>
      <c r="L18" s="65">
        <v>-104.80000000000001</v>
      </c>
      <c r="N18" s="78" t="s">
        <v>164</v>
      </c>
      <c r="O18" s="87">
        <f t="shared" si="2"/>
        <v>-5.4470588235294146</v>
      </c>
      <c r="P18" s="81">
        <v>17</v>
      </c>
      <c r="Q18" s="72">
        <v>-92.600000000000051</v>
      </c>
    </row>
    <row r="19" spans="1:17" x14ac:dyDescent="0.45">
      <c r="A19" s="20" t="s">
        <v>10</v>
      </c>
      <c r="B19" s="13">
        <f>B22+B21</f>
        <v>102</v>
      </c>
      <c r="C19" s="6">
        <f>IF(B$3=0,0,B19/B$3)</f>
        <v>0.31578947368421051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5</v>
      </c>
      <c r="K19" s="7">
        <v>17</v>
      </c>
      <c r="L19" s="65">
        <v>-52.900000000000013</v>
      </c>
      <c r="N19" s="78" t="s">
        <v>126</v>
      </c>
      <c r="O19" s="87">
        <f t="shared" si="2"/>
        <v>-8.2694444444444475</v>
      </c>
      <c r="P19" s="81">
        <v>36</v>
      </c>
      <c r="Q19" s="72">
        <v>-297.7000000000001</v>
      </c>
    </row>
    <row r="20" spans="1:17" x14ac:dyDescent="0.45">
      <c r="A20" s="21" t="s">
        <v>13</v>
      </c>
      <c r="B20" s="14">
        <v>56</v>
      </c>
      <c r="C20" s="8">
        <f>IF(B$3=0,0,B20/B$3)</f>
        <v>0.17337461300309598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  <c r="N20" s="78" t="s">
        <v>193</v>
      </c>
      <c r="O20" s="87">
        <f t="shared" si="2"/>
        <v>-35.35</v>
      </c>
      <c r="P20" s="81">
        <v>4</v>
      </c>
      <c r="Q20" s="72">
        <v>-141.4</v>
      </c>
    </row>
    <row r="21" spans="1:17" x14ac:dyDescent="0.45">
      <c r="A21" s="21" t="s">
        <v>12</v>
      </c>
      <c r="B21" s="14">
        <v>47</v>
      </c>
      <c r="C21" s="8">
        <f>IF(B$19=0,0,B21/B$19)</f>
        <v>0.46078431372549017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  <c r="N21" s="78" t="s">
        <v>189</v>
      </c>
      <c r="O21" s="87">
        <f t="shared" si="2"/>
        <v>-57.7</v>
      </c>
      <c r="P21" s="81">
        <v>1</v>
      </c>
      <c r="Q21" s="72">
        <v>-57.7</v>
      </c>
    </row>
    <row r="22" spans="1:17" x14ac:dyDescent="0.45">
      <c r="A22" s="21" t="s">
        <v>11</v>
      </c>
      <c r="B22" s="14">
        <v>55</v>
      </c>
      <c r="C22" s="8">
        <f>IF(B$19=0,0,B22/B$19)</f>
        <v>0.53921568627450978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37</v>
      </c>
      <c r="C23" s="8">
        <f>IF(B$19=0,0,B23/B$19)</f>
        <v>0.36274509803921567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8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28</v>
      </c>
      <c r="C24" s="8">
        <f>IF(B$19=0,0,B24/B$19)</f>
        <v>0.27450980392156865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37</v>
      </c>
      <c r="C25" s="8">
        <f>IF(B$19=0,0,B25/B$19)</f>
        <v>0.36274509803921567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8118.6274509803925</v>
      </c>
      <c r="C26" s="10">
        <v>828100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8355.405405405405</v>
      </c>
      <c r="C27" s="100">
        <v>618300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7492.8571428571431</v>
      </c>
      <c r="C28" s="100">
        <v>209800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-9228.5714285714294</v>
      </c>
      <c r="C29" s="100">
        <v>-516800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5">
      <c r="A31" s="21" t="s">
        <v>159</v>
      </c>
      <c r="B31" s="14">
        <v>17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45">
      <c r="A32" s="56" t="s">
        <v>136</v>
      </c>
      <c r="B32" s="129">
        <v>10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5">
      <c r="A33" s="24" t="s">
        <v>181</v>
      </c>
      <c r="B33" s="131">
        <v>93200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-199.60000000000002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5">
      <c r="A36" s="56" t="s">
        <v>172</v>
      </c>
      <c r="B36" s="121">
        <v>8</v>
      </c>
      <c r="C36" s="102">
        <f t="shared" ref="C36:C48" si="3">IF(B$19=0,0,B36/B$19)</f>
        <v>7.8431372549019607E-2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-238.00000000000003</v>
      </c>
    </row>
    <row r="37" spans="1:12" x14ac:dyDescent="0.45">
      <c r="A37" s="21" t="s">
        <v>168</v>
      </c>
      <c r="B37" s="14">
        <v>25</v>
      </c>
      <c r="C37" s="8">
        <f t="shared" si="3"/>
        <v>0.24509803921568626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-209.50000000000003</v>
      </c>
    </row>
    <row r="38" spans="1:12" x14ac:dyDescent="0.45">
      <c r="A38" s="21" t="s">
        <v>169</v>
      </c>
      <c r="B38" s="122">
        <v>15</v>
      </c>
      <c r="C38" s="8">
        <f t="shared" si="3"/>
        <v>0.14705882352941177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-215.90000000000003</v>
      </c>
    </row>
    <row r="39" spans="1:12" x14ac:dyDescent="0.45">
      <c r="A39" s="21" t="s">
        <v>170</v>
      </c>
      <c r="B39" s="122">
        <v>19</v>
      </c>
      <c r="C39" s="8">
        <f t="shared" si="3"/>
        <v>0.18627450980392157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-222.60000000000002</v>
      </c>
    </row>
    <row r="40" spans="1:12" x14ac:dyDescent="0.45">
      <c r="A40" s="21" t="s">
        <v>171</v>
      </c>
      <c r="B40" s="122">
        <v>13</v>
      </c>
      <c r="C40" s="8">
        <f t="shared" si="3"/>
        <v>0.12745098039215685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-198.20000000000002</v>
      </c>
    </row>
    <row r="41" spans="1:12" x14ac:dyDescent="0.45">
      <c r="A41" s="21" t="s">
        <v>173</v>
      </c>
      <c r="B41" s="122">
        <v>9</v>
      </c>
      <c r="C41" s="8">
        <f t="shared" si="3"/>
        <v>8.8235294117647065E-2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-153.30000000000001</v>
      </c>
    </row>
    <row r="42" spans="1:12" x14ac:dyDescent="0.45">
      <c r="A42" s="21" t="s">
        <v>174</v>
      </c>
      <c r="B42" s="122">
        <v>4</v>
      </c>
      <c r="C42" s="8">
        <f t="shared" si="3"/>
        <v>3.9215686274509803E-2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-153.5</v>
      </c>
    </row>
    <row r="43" spans="1:12" x14ac:dyDescent="0.45">
      <c r="A43" s="21" t="s">
        <v>175</v>
      </c>
      <c r="B43" s="122">
        <v>3</v>
      </c>
      <c r="C43" s="8">
        <f t="shared" si="3"/>
        <v>2.9411764705882353E-2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-200.3</v>
      </c>
    </row>
    <row r="44" spans="1:12" x14ac:dyDescent="0.45">
      <c r="A44" s="21" t="s">
        <v>176</v>
      </c>
      <c r="B44" s="122">
        <v>1</v>
      </c>
      <c r="C44" s="8">
        <f t="shared" si="3"/>
        <v>9.8039215686274508E-3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-193.20000000000002</v>
      </c>
    </row>
    <row r="45" spans="1:12" x14ac:dyDescent="0.45">
      <c r="A45" s="21" t="s">
        <v>177</v>
      </c>
      <c r="B45" s="122">
        <v>1</v>
      </c>
      <c r="C45" s="8">
        <f t="shared" si="3"/>
        <v>9.8039215686274508E-3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2</v>
      </c>
      <c r="C46" s="8">
        <f t="shared" si="3"/>
        <v>1.9607843137254902E-2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3"/>
        <v>9.8039215686274508E-3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9.8039215686274508E-3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CEB-C91F-4C5B-92D9-C37B27CE90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212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9</v>
      </c>
      <c r="C2" s="136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7">
        <v>74</v>
      </c>
      <c r="C3" s="138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9">
        <v>-41.599999999999994</v>
      </c>
      <c r="C4" s="140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7">
        <f>IF(B$2=0,0,B$4/B$2)</f>
        <v>-4.6222222222222218</v>
      </c>
      <c r="C5" s="128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41">
        <f>IF(B$2=0,0,(B$7*1+B$8*2+B$9*3)/B$2)</f>
        <v>2.1111111111111112</v>
      </c>
      <c r="C6" s="142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6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2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6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2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4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7">
        <f>AVERAGE(B10:B12)</f>
        <v>2.1361111111111115</v>
      </c>
      <c r="C13" s="128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5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4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7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7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9">
        <v>5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1">
        <v>95000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4A4CB-651C-4988-AFC4-95E613352557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240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5</v>
      </c>
      <c r="C2" s="136"/>
      <c r="E2" s="28" t="s">
        <v>64</v>
      </c>
      <c r="F2" s="25" t="s">
        <v>20</v>
      </c>
      <c r="G2" s="13">
        <v>5</v>
      </c>
      <c r="H2" s="91">
        <f>IF(B$19=0,0,G2/B$19)</f>
        <v>0.7142857142857143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-7160</v>
      </c>
      <c r="P2" s="80">
        <v>5</v>
      </c>
      <c r="Q2" s="67">
        <v>-35800</v>
      </c>
    </row>
    <row r="3" spans="1:17" x14ac:dyDescent="0.45">
      <c r="A3" s="21" t="s">
        <v>8</v>
      </c>
      <c r="B3" s="137">
        <v>41</v>
      </c>
      <c r="C3" s="138"/>
      <c r="E3" s="29" t="s">
        <v>68</v>
      </c>
      <c r="F3" s="26" t="s">
        <v>12</v>
      </c>
      <c r="G3" s="14">
        <v>3</v>
      </c>
      <c r="H3" s="92">
        <f>IF(B$19=0,0,G3/B$19)</f>
        <v>0.42857142857142855</v>
      </c>
      <c r="I3" s="60">
        <v>2</v>
      </c>
      <c r="K3" s="7">
        <v>1</v>
      </c>
      <c r="L3" s="65">
        <v>10.199999999999999</v>
      </c>
      <c r="N3" s="78" t="s">
        <v>129</v>
      </c>
      <c r="O3" s="84">
        <f t="shared" si="0"/>
        <v>-2425</v>
      </c>
      <c r="P3" s="81">
        <v>4</v>
      </c>
      <c r="Q3" s="68">
        <v>-9700</v>
      </c>
    </row>
    <row r="4" spans="1:17" x14ac:dyDescent="0.45">
      <c r="A4" s="21" t="s">
        <v>6</v>
      </c>
      <c r="B4" s="139">
        <v>-113.70000000000002</v>
      </c>
      <c r="C4" s="140"/>
      <c r="E4" s="29" t="s">
        <v>72</v>
      </c>
      <c r="F4" s="26" t="s">
        <v>27</v>
      </c>
      <c r="G4" s="14">
        <v>3</v>
      </c>
      <c r="H4" s="92">
        <f>IF(B$19=0,0,G4/B$19)</f>
        <v>0.42857142857142855</v>
      </c>
      <c r="I4" s="60">
        <v>10</v>
      </c>
      <c r="K4" s="7">
        <v>2</v>
      </c>
      <c r="L4" s="65">
        <v>-29.900000000000002</v>
      </c>
      <c r="N4" s="78" t="s">
        <v>130</v>
      </c>
      <c r="O4" s="84">
        <f t="shared" si="0"/>
        <v>4475</v>
      </c>
      <c r="P4" s="81">
        <v>4</v>
      </c>
      <c r="Q4" s="68">
        <v>17900</v>
      </c>
    </row>
    <row r="5" spans="1:17" x14ac:dyDescent="0.45">
      <c r="A5" s="21" t="s">
        <v>7</v>
      </c>
      <c r="B5" s="127">
        <f>IF(B$2=0,0,B$4/B$2)</f>
        <v>-22.740000000000002</v>
      </c>
      <c r="C5" s="128"/>
      <c r="E5" s="29" t="s">
        <v>160</v>
      </c>
      <c r="F5" s="26" t="s">
        <v>161</v>
      </c>
      <c r="G5" s="14">
        <v>3</v>
      </c>
      <c r="H5" s="92">
        <f>IF(B$19=0,0,G5/B$19)</f>
        <v>0.42857142857142855</v>
      </c>
      <c r="I5" s="60">
        <v>8</v>
      </c>
      <c r="K5" s="7">
        <v>3</v>
      </c>
      <c r="L5" s="65">
        <v>-37.1</v>
      </c>
      <c r="N5" s="78" t="s">
        <v>131</v>
      </c>
      <c r="O5" s="84">
        <f t="shared" si="0"/>
        <v>-10500</v>
      </c>
      <c r="P5" s="81">
        <v>3</v>
      </c>
      <c r="Q5" s="68">
        <v>-31500</v>
      </c>
    </row>
    <row r="6" spans="1:17" x14ac:dyDescent="0.45">
      <c r="A6" s="21" t="s">
        <v>1</v>
      </c>
      <c r="B6" s="141">
        <f>IF(B$2=0,0,(B$7*1+B$8*2+B$9*3)/B$2)</f>
        <v>2.4</v>
      </c>
      <c r="C6" s="142"/>
      <c r="E6" s="29" t="s">
        <v>65</v>
      </c>
      <c r="F6" s="26" t="s">
        <v>21</v>
      </c>
      <c r="G6" s="14">
        <v>2</v>
      </c>
      <c r="H6" s="92">
        <f>IF(B$19=0,0,G6/B$19)</f>
        <v>0.2857142857142857</v>
      </c>
      <c r="I6" s="60">
        <v>1</v>
      </c>
      <c r="K6" s="7">
        <v>4</v>
      </c>
      <c r="L6" s="65">
        <v>-85.800000000000011</v>
      </c>
      <c r="N6" s="78" t="s">
        <v>132</v>
      </c>
      <c r="O6" s="84">
        <f t="shared" si="0"/>
        <v>-400</v>
      </c>
      <c r="P6" s="81">
        <v>2</v>
      </c>
      <c r="Q6" s="68">
        <v>-800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2</v>
      </c>
      <c r="H7" s="92">
        <f>IF(B$19=0,0,G7/B$19)</f>
        <v>0.2857142857142857</v>
      </c>
      <c r="I7" s="60">
        <v>11</v>
      </c>
      <c r="K7" s="7">
        <v>5</v>
      </c>
      <c r="L7" s="65">
        <v>-113.70000000000002</v>
      </c>
      <c r="N7" s="79" t="s">
        <v>133</v>
      </c>
      <c r="O7" s="85">
        <f t="shared" si="0"/>
        <v>-11000</v>
      </c>
      <c r="P7" s="82">
        <v>2</v>
      </c>
      <c r="Q7" s="69">
        <v>-22000</v>
      </c>
    </row>
    <row r="8" spans="1:17" x14ac:dyDescent="0.45">
      <c r="A8" s="21" t="s">
        <v>3</v>
      </c>
      <c r="B8" s="14">
        <v>3</v>
      </c>
      <c r="C8" s="8">
        <f t="shared" si="1"/>
        <v>0.6</v>
      </c>
      <c r="E8" s="29" t="s">
        <v>67</v>
      </c>
      <c r="F8" s="26" t="s">
        <v>23</v>
      </c>
      <c r="G8" s="14">
        <v>1</v>
      </c>
      <c r="H8" s="92">
        <f>IF(B$19=0,0,G8/B$19)</f>
        <v>0.14285714285714285</v>
      </c>
      <c r="I8" s="60">
        <v>11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69</v>
      </c>
      <c r="F9" s="26" t="s">
        <v>24</v>
      </c>
      <c r="G9" s="14">
        <v>1</v>
      </c>
      <c r="H9" s="92">
        <f>IF(B$19=0,0,G9/B$19)</f>
        <v>0.14285714285714285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0.14285714285714285</v>
      </c>
      <c r="I10" s="60">
        <v>1</v>
      </c>
      <c r="N10" s="77" t="s">
        <v>152</v>
      </c>
      <c r="O10" s="86">
        <f>IF(P10=0,0,Q10/P10)</f>
        <v>-40.1</v>
      </c>
      <c r="P10" s="80">
        <v>1</v>
      </c>
      <c r="Q10" s="71">
        <v>-40.1</v>
      </c>
    </row>
    <row r="11" spans="1:17" x14ac:dyDescent="0.45">
      <c r="A11" s="22" t="s">
        <v>186</v>
      </c>
      <c r="B11" s="113">
        <f>IF(B8=0,0,C11/B8)</f>
        <v>-8.2999999999999989</v>
      </c>
      <c r="C11" s="114">
        <v>-24.9</v>
      </c>
      <c r="E11" s="29" t="s">
        <v>79</v>
      </c>
      <c r="F11" s="26" t="s">
        <v>34</v>
      </c>
      <c r="G11" s="14">
        <v>1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-7.2</v>
      </c>
      <c r="P11" s="81">
        <v>1</v>
      </c>
      <c r="Q11" s="72">
        <v>-7.2</v>
      </c>
    </row>
    <row r="12" spans="1:17" x14ac:dyDescent="0.45">
      <c r="A12" s="22" t="s">
        <v>187</v>
      </c>
      <c r="B12" s="113">
        <f>IF(B9=0,0,C12/B9)</f>
        <v>-44.400000000000006</v>
      </c>
      <c r="C12" s="114">
        <v>-88.800000000000011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10</v>
      </c>
      <c r="N12" s="79" t="s">
        <v>154</v>
      </c>
      <c r="O12" s="88">
        <f>IF(P12=0,0,Q12/P12)</f>
        <v>-22.133333333333336</v>
      </c>
      <c r="P12" s="82">
        <v>3</v>
      </c>
      <c r="Q12" s="73">
        <v>-66.400000000000006</v>
      </c>
    </row>
    <row r="13" spans="1:17" x14ac:dyDescent="0.45">
      <c r="A13" s="22" t="s">
        <v>188</v>
      </c>
      <c r="B13" s="127">
        <f>AVERAGE(B10:B12)</f>
        <v>-17.566666666666666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0.26829268292682928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7</v>
      </c>
      <c r="N15" s="77" t="s">
        <v>205</v>
      </c>
      <c r="O15" s="86">
        <f>IF(P15=0,0,Q15/P15)</f>
        <v>4.8999999999999995</v>
      </c>
      <c r="P15" s="80">
        <v>2</v>
      </c>
      <c r="Q15" s="71">
        <v>9.7999999999999989</v>
      </c>
    </row>
    <row r="16" spans="1:17" x14ac:dyDescent="0.45">
      <c r="A16" s="21" t="s">
        <v>118</v>
      </c>
      <c r="B16" s="14">
        <v>5</v>
      </c>
      <c r="C16" s="8">
        <f>IF(B$3=0,0,B16/B$3)</f>
        <v>0.12195121951219512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-12.500000000000002</v>
      </c>
      <c r="P16" s="81">
        <v>2</v>
      </c>
      <c r="Q16" s="72">
        <v>-25.000000000000004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0.45454545454545453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7</v>
      </c>
      <c r="N17" s="78" t="s">
        <v>126</v>
      </c>
      <c r="O17" s="87">
        <f>IF(P17=0,0,Q17/P17)</f>
        <v>-43.120000000000005</v>
      </c>
      <c r="P17" s="81">
        <v>5</v>
      </c>
      <c r="Q17" s="72">
        <v>-215.60000000000002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9</v>
      </c>
      <c r="N18" s="78" t="s">
        <v>192</v>
      </c>
      <c r="O18" s="87">
        <f>IF(P18=0,0,Q18/P18)</f>
        <v>-110.30000000000001</v>
      </c>
      <c r="P18" s="81">
        <v>1</v>
      </c>
      <c r="Q18" s="72">
        <v>-110.30000000000001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0.17073170731707318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6</v>
      </c>
      <c r="C20" s="8">
        <f>IF(B$3=0,0,B20/B$3)</f>
        <v>0.14634146341463414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3</v>
      </c>
      <c r="C21" s="8">
        <f>IF(B$19=0,0,B21/B$19)</f>
        <v>0.42857142857142855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4</v>
      </c>
      <c r="C22" s="8">
        <f>IF(B$19=0,0,B22/B$19)</f>
        <v>0.5714285714285714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5</v>
      </c>
      <c r="C23" s="8">
        <f>IF(B$19=0,0,B23/B$19)</f>
        <v>0.7142857142857143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1</v>
      </c>
      <c r="C24" s="8">
        <f>IF(B$19=0,0,B24/B$19)</f>
        <v>0.14285714285714285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4</v>
      </c>
    </row>
    <row r="25" spans="1:17" x14ac:dyDescent="0.45">
      <c r="A25" s="21" t="s">
        <v>183</v>
      </c>
      <c r="B25" s="14">
        <v>1</v>
      </c>
      <c r="C25" s="8">
        <f>IF(B$19=0,0,B25/B$19)</f>
        <v>0.14285714285714285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10</v>
      </c>
    </row>
    <row r="26" spans="1:17" x14ac:dyDescent="0.45">
      <c r="A26" s="21" t="s">
        <v>5</v>
      </c>
      <c r="B26" s="18">
        <f>IF(B$19=0,0,C26/B$19)</f>
        <v>7142.8571428571431</v>
      </c>
      <c r="C26" s="10">
        <v>50000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6400</v>
      </c>
      <c r="C27" s="100">
        <v>38400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11600</v>
      </c>
      <c r="C28" s="100">
        <v>11600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11</v>
      </c>
    </row>
    <row r="29" spans="1:17" x14ac:dyDescent="0.45">
      <c r="A29" s="22" t="s">
        <v>165</v>
      </c>
      <c r="B29" s="99">
        <f>IF(B$20=0,0,C29/B$20)</f>
        <v>-8866.6666666666661</v>
      </c>
      <c r="C29" s="100">
        <v>-53200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9">
        <v>2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1">
        <v>45200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1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4</v>
      </c>
      <c r="C39" s="8">
        <f t="shared" si="2"/>
        <v>0.5714285714285714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FBD00-92E5-4D20-9194-9D1646BB2DD9}">
  <sheetPr codeName="Sheet26"/>
  <dimension ref="A1:Q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240</v>
      </c>
      <c r="B1" s="36" t="s">
        <v>240</v>
      </c>
      <c r="C1" s="36" t="s">
        <v>240</v>
      </c>
      <c r="D1" s="37" t="s">
        <v>240</v>
      </c>
      <c r="E1" s="36" t="s">
        <v>240</v>
      </c>
      <c r="F1" s="36" t="s">
        <v>240</v>
      </c>
      <c r="G1" s="36" t="s">
        <v>240</v>
      </c>
      <c r="H1" s="36" t="s">
        <v>240</v>
      </c>
      <c r="I1" s="36" t="s">
        <v>240</v>
      </c>
      <c r="J1" s="36" t="s">
        <v>240</v>
      </c>
      <c r="K1" s="36" t="s">
        <v>240</v>
      </c>
      <c r="L1" s="36" t="s">
        <v>240</v>
      </c>
      <c r="M1" s="36" t="s">
        <v>240</v>
      </c>
      <c r="N1" s="36" t="s">
        <v>240</v>
      </c>
      <c r="O1" s="36" t="s">
        <v>240</v>
      </c>
      <c r="P1" s="36" t="s">
        <v>240</v>
      </c>
      <c r="Q1" s="36" t="s">
        <v>240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10.199999999999999</v>
      </c>
      <c r="C4" s="32">
        <v>10.199999999999999</v>
      </c>
      <c r="D4" s="37">
        <v>2</v>
      </c>
      <c r="E4" s="33">
        <v>0</v>
      </c>
      <c r="F4" s="33">
        <v>0</v>
      </c>
      <c r="G4" s="33">
        <v>0.2857142857142857</v>
      </c>
      <c r="H4" s="33">
        <v>0</v>
      </c>
      <c r="I4" s="34">
        <v>7100</v>
      </c>
      <c r="J4" s="34">
        <v>0</v>
      </c>
      <c r="K4" s="33">
        <v>0</v>
      </c>
      <c r="L4" s="33">
        <v>0.14285714285714285</v>
      </c>
      <c r="M4" s="33">
        <v>0.42857142857142855</v>
      </c>
      <c r="N4" s="33">
        <v>1</v>
      </c>
      <c r="O4" s="33">
        <v>0.33333333333333331</v>
      </c>
      <c r="P4" s="33">
        <v>0</v>
      </c>
    </row>
    <row r="5" spans="1:17" x14ac:dyDescent="0.45">
      <c r="A5" s="35">
        <v>2</v>
      </c>
      <c r="B5" s="32">
        <v>-29.900000000000002</v>
      </c>
      <c r="C5" s="32">
        <v>-14.950000000000001</v>
      </c>
      <c r="D5" s="37">
        <v>2.5</v>
      </c>
      <c r="E5" s="33">
        <v>0</v>
      </c>
      <c r="F5" s="33">
        <v>0.5</v>
      </c>
      <c r="G5" s="33">
        <v>0.2</v>
      </c>
      <c r="H5" s="33">
        <v>6.6666666666666666E-2</v>
      </c>
      <c r="I5" s="34">
        <v>7300</v>
      </c>
      <c r="J5" s="34">
        <v>-16000</v>
      </c>
      <c r="K5" s="33">
        <v>0</v>
      </c>
      <c r="L5" s="33">
        <v>6.6666666666666666E-2</v>
      </c>
      <c r="M5" s="33">
        <v>0.26666666666666666</v>
      </c>
      <c r="N5" s="33">
        <v>1</v>
      </c>
      <c r="O5" s="33">
        <v>0.25</v>
      </c>
      <c r="P5" s="33">
        <v>0.33333333333333331</v>
      </c>
    </row>
    <row r="6" spans="1:17" x14ac:dyDescent="0.45">
      <c r="A6" s="35">
        <v>3</v>
      </c>
      <c r="B6" s="32">
        <v>-37.1</v>
      </c>
      <c r="C6" s="32">
        <v>-12.366666666666667</v>
      </c>
      <c r="D6" s="37">
        <v>2.3333333333333335</v>
      </c>
      <c r="E6" s="33">
        <v>0</v>
      </c>
      <c r="F6" s="33">
        <v>0.33333333333333331</v>
      </c>
      <c r="G6" s="33">
        <v>0.25</v>
      </c>
      <c r="H6" s="33">
        <v>8.3333333333333329E-2</v>
      </c>
      <c r="I6" s="34">
        <v>6400</v>
      </c>
      <c r="J6" s="34">
        <v>-11850</v>
      </c>
      <c r="K6" s="33">
        <v>0</v>
      </c>
      <c r="L6" s="33">
        <v>0.20833333333333334</v>
      </c>
      <c r="M6" s="33">
        <v>0.16666666666666666</v>
      </c>
      <c r="N6" s="33">
        <v>0.8</v>
      </c>
      <c r="O6" s="33">
        <v>0.25</v>
      </c>
      <c r="P6" s="33">
        <v>0.5</v>
      </c>
    </row>
    <row r="7" spans="1:17" x14ac:dyDescent="0.45">
      <c r="A7" s="35">
        <v>4</v>
      </c>
      <c r="B7" s="32">
        <v>-85.800000000000011</v>
      </c>
      <c r="C7" s="32">
        <v>-21.450000000000003</v>
      </c>
      <c r="D7" s="37">
        <v>2.5</v>
      </c>
      <c r="E7" s="33">
        <v>0</v>
      </c>
      <c r="F7" s="33">
        <v>0.5</v>
      </c>
      <c r="G7" s="33">
        <v>0.1875</v>
      </c>
      <c r="H7" s="33">
        <v>9.375E-2</v>
      </c>
      <c r="I7" s="34">
        <v>6400</v>
      </c>
      <c r="J7" s="34">
        <v>-8400</v>
      </c>
      <c r="K7" s="33">
        <v>0.25</v>
      </c>
      <c r="L7" s="33">
        <v>0.1875</v>
      </c>
      <c r="M7" s="33">
        <v>0.125</v>
      </c>
      <c r="N7" s="33">
        <v>0.66666666666666663</v>
      </c>
      <c r="O7" s="33">
        <v>0.25</v>
      </c>
      <c r="P7" s="33">
        <v>0.5</v>
      </c>
    </row>
    <row r="8" spans="1:17" x14ac:dyDescent="0.45">
      <c r="A8" s="35">
        <v>5</v>
      </c>
      <c r="B8" s="32">
        <v>-113.70000000000002</v>
      </c>
      <c r="C8" s="32">
        <v>-22.740000000000002</v>
      </c>
      <c r="D8" s="37">
        <v>2.4</v>
      </c>
      <c r="E8" s="33">
        <v>0</v>
      </c>
      <c r="F8" s="33">
        <v>0.4</v>
      </c>
      <c r="G8" s="33">
        <v>0.17073170731707318</v>
      </c>
      <c r="H8" s="33">
        <v>0.14634146341463414</v>
      </c>
      <c r="I8" s="34">
        <v>7142.8571428571431</v>
      </c>
      <c r="J8" s="34">
        <v>-8866.6666666666661</v>
      </c>
      <c r="K8" s="33">
        <v>0.2</v>
      </c>
      <c r="L8" s="33">
        <v>0.26829268292682928</v>
      </c>
      <c r="M8" s="33">
        <v>0.12195121951219512</v>
      </c>
      <c r="N8" s="33">
        <v>0.45454545454545453</v>
      </c>
      <c r="O8" s="33">
        <v>0.2</v>
      </c>
      <c r="P8" s="33">
        <v>0.42857142857142855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DBED-E05B-4D37-B811-AE55893EF611}">
  <sheetPr codeName="Sheet24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212</v>
      </c>
      <c r="B1" s="36" t="s">
        <v>212</v>
      </c>
      <c r="C1" s="36" t="s">
        <v>212</v>
      </c>
      <c r="D1" s="37" t="s">
        <v>212</v>
      </c>
      <c r="E1" s="36" t="s">
        <v>212</v>
      </c>
      <c r="F1" s="36" t="s">
        <v>212</v>
      </c>
      <c r="G1" s="36" t="s">
        <v>212</v>
      </c>
      <c r="H1" s="36" t="s">
        <v>212</v>
      </c>
      <c r="I1" s="36" t="s">
        <v>212</v>
      </c>
      <c r="J1" s="36" t="s">
        <v>212</v>
      </c>
      <c r="K1" s="36" t="s">
        <v>212</v>
      </c>
      <c r="L1" s="36" t="s">
        <v>212</v>
      </c>
      <c r="M1" s="36" t="s">
        <v>212</v>
      </c>
      <c r="N1" s="36" t="s">
        <v>212</v>
      </c>
      <c r="O1" s="36" t="s">
        <v>212</v>
      </c>
      <c r="P1" s="36" t="s">
        <v>212</v>
      </c>
      <c r="Q1" s="36" t="s">
        <v>212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6685-A7FA-4349-97BA-FD686999AD40}">
  <sheetPr codeName="Sheet22"/>
  <dimension ref="A1:Q4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5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5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5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5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5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5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  <row r="37" spans="1:16" x14ac:dyDescent="0.45">
      <c r="A37" s="35">
        <v>34</v>
      </c>
      <c r="B37" s="32">
        <v>-238.00000000000003</v>
      </c>
      <c r="C37" s="32">
        <v>-7.0000000000000009</v>
      </c>
      <c r="D37" s="37">
        <v>2.1764705882352939</v>
      </c>
      <c r="E37" s="33">
        <v>0.26470588235294118</v>
      </c>
      <c r="F37" s="33">
        <v>0.44117647058823528</v>
      </c>
      <c r="G37" s="33">
        <v>0.29699248120300753</v>
      </c>
      <c r="H37" s="33">
        <v>0.18045112781954886</v>
      </c>
      <c r="I37" s="34">
        <v>8153.164556962025</v>
      </c>
      <c r="J37" s="34">
        <v>-9333.3333333333339</v>
      </c>
      <c r="K37" s="33">
        <v>0.11764705882352941</v>
      </c>
      <c r="L37" s="33">
        <v>0.16917293233082706</v>
      </c>
      <c r="M37" s="33">
        <v>0.28195488721804512</v>
      </c>
      <c r="N37" s="33">
        <v>0.62222222222222223</v>
      </c>
      <c r="O37" s="33">
        <v>0.30666666666666664</v>
      </c>
      <c r="P37" s="33">
        <v>0.379746835443038</v>
      </c>
    </row>
    <row r="38" spans="1:16" x14ac:dyDescent="0.45">
      <c r="A38" s="35">
        <v>35</v>
      </c>
      <c r="B38" s="32">
        <v>-209.50000000000003</v>
      </c>
      <c r="C38" s="32">
        <v>-5.9857142857142867</v>
      </c>
      <c r="D38" s="37">
        <v>2.1428571428571428</v>
      </c>
      <c r="E38" s="33">
        <v>0.2857142857142857</v>
      </c>
      <c r="F38" s="33">
        <v>0.42857142857142855</v>
      </c>
      <c r="G38" s="33">
        <v>0.3014705882352941</v>
      </c>
      <c r="H38" s="33">
        <v>0.17647058823529413</v>
      </c>
      <c r="I38" s="34">
        <v>8186.5853658536589</v>
      </c>
      <c r="J38" s="34">
        <v>-9333.3333333333339</v>
      </c>
      <c r="K38" s="33">
        <v>0.11428571428571428</v>
      </c>
      <c r="L38" s="33">
        <v>0.17279411764705882</v>
      </c>
      <c r="M38" s="33">
        <v>0.28308823529411764</v>
      </c>
      <c r="N38" s="33">
        <v>0.63829787234042556</v>
      </c>
      <c r="O38" s="33">
        <v>0.31168831168831168</v>
      </c>
      <c r="P38" s="33">
        <v>0.3902439024390244</v>
      </c>
    </row>
    <row r="39" spans="1:16" x14ac:dyDescent="0.45">
      <c r="A39" s="35">
        <v>36</v>
      </c>
      <c r="B39" s="32">
        <v>-215.90000000000003</v>
      </c>
      <c r="C39" s="32">
        <v>-5.9972222222222236</v>
      </c>
      <c r="D39" s="37">
        <v>2.1388888888888888</v>
      </c>
      <c r="E39" s="33">
        <v>0.27777777777777779</v>
      </c>
      <c r="F39" s="33">
        <v>0.41666666666666669</v>
      </c>
      <c r="G39" s="33">
        <v>0.30107526881720431</v>
      </c>
      <c r="H39" s="33">
        <v>0.17921146953405018</v>
      </c>
      <c r="I39" s="34">
        <v>8229.7619047619046</v>
      </c>
      <c r="J39" s="34">
        <v>-9328</v>
      </c>
      <c r="K39" s="33">
        <v>0.1111111111111111</v>
      </c>
      <c r="L39" s="33">
        <v>0.17562724014336917</v>
      </c>
      <c r="M39" s="33">
        <v>0.28673835125448027</v>
      </c>
      <c r="N39" s="33">
        <v>0.63265306122448983</v>
      </c>
      <c r="O39" s="33">
        <v>0.3125</v>
      </c>
      <c r="P39" s="33">
        <v>0.40476190476190477</v>
      </c>
    </row>
    <row r="40" spans="1:16" x14ac:dyDescent="0.45">
      <c r="A40" s="35">
        <v>37</v>
      </c>
      <c r="B40" s="32">
        <v>-222.60000000000002</v>
      </c>
      <c r="C40" s="32">
        <v>-6.0162162162162165</v>
      </c>
      <c r="D40" s="37">
        <v>2.1351351351351351</v>
      </c>
      <c r="E40" s="33">
        <v>0.27027027027027029</v>
      </c>
      <c r="F40" s="33">
        <v>0.40540540540540543</v>
      </c>
      <c r="G40" s="33">
        <v>0.30313588850174217</v>
      </c>
      <c r="H40" s="33">
        <v>0.17770034843205576</v>
      </c>
      <c r="I40" s="34">
        <v>8110.3448275862065</v>
      </c>
      <c r="J40" s="34">
        <v>-9301.9607843137255</v>
      </c>
      <c r="K40" s="33">
        <v>0.10810810810810811</v>
      </c>
      <c r="L40" s="33">
        <v>0.18118466898954705</v>
      </c>
      <c r="M40" s="33">
        <v>0.28222996515679444</v>
      </c>
      <c r="N40" s="33">
        <v>0.63461538461538458</v>
      </c>
      <c r="O40" s="33">
        <v>0.32098765432098764</v>
      </c>
      <c r="P40" s="33">
        <v>0.41379310344827586</v>
      </c>
    </row>
    <row r="41" spans="1:16" x14ac:dyDescent="0.45">
      <c r="A41" s="35">
        <v>38</v>
      </c>
      <c r="B41" s="32">
        <v>-198.20000000000002</v>
      </c>
      <c r="C41" s="32">
        <v>-5.215789473684211</v>
      </c>
      <c r="D41" s="37">
        <v>2.1052631578947367</v>
      </c>
      <c r="E41" s="33">
        <v>0.28947368421052633</v>
      </c>
      <c r="F41" s="33">
        <v>0.39473684210526316</v>
      </c>
      <c r="G41" s="33">
        <v>0.30952380952380953</v>
      </c>
      <c r="H41" s="33">
        <v>0.17687074829931973</v>
      </c>
      <c r="I41" s="34">
        <v>8087.9120879120883</v>
      </c>
      <c r="J41" s="34">
        <v>-9161.538461538461</v>
      </c>
      <c r="K41" s="33">
        <v>0.10526315789473684</v>
      </c>
      <c r="L41" s="33">
        <v>0.17687074829931973</v>
      </c>
      <c r="M41" s="33">
        <v>0.27551020408163263</v>
      </c>
      <c r="N41" s="33">
        <v>0.63461538461538458</v>
      </c>
      <c r="O41" s="33">
        <v>0.32098765432098764</v>
      </c>
      <c r="P41" s="33">
        <v>0.43956043956043955</v>
      </c>
    </row>
    <row r="42" spans="1:16" x14ac:dyDescent="0.45">
      <c r="A42" s="35">
        <v>39</v>
      </c>
      <c r="B42" s="32">
        <v>-153.30000000000001</v>
      </c>
      <c r="C42" s="32">
        <v>-3.930769230769231</v>
      </c>
      <c r="D42" s="37">
        <v>2.0769230769230771</v>
      </c>
      <c r="E42" s="33">
        <v>0.30769230769230771</v>
      </c>
      <c r="F42" s="33">
        <v>0.38461538461538464</v>
      </c>
      <c r="G42" s="33">
        <v>0.32</v>
      </c>
      <c r="H42" s="33">
        <v>0.17333333333333334</v>
      </c>
      <c r="I42" s="34">
        <v>7946.875</v>
      </c>
      <c r="J42" s="34">
        <v>-9161.538461538461</v>
      </c>
      <c r="K42" s="33">
        <v>0.10256410256410256</v>
      </c>
      <c r="L42" s="33">
        <v>0.17333333333333334</v>
      </c>
      <c r="M42" s="33">
        <v>0.27333333333333332</v>
      </c>
      <c r="N42" s="33">
        <v>0.63461538461538458</v>
      </c>
      <c r="O42" s="33">
        <v>0.32926829268292684</v>
      </c>
      <c r="P42" s="33">
        <v>0.44791666666666669</v>
      </c>
    </row>
    <row r="43" spans="1:16" x14ac:dyDescent="0.45">
      <c r="A43" s="35">
        <v>40</v>
      </c>
      <c r="B43" s="32">
        <v>-153.5</v>
      </c>
      <c r="C43" s="32">
        <v>-3.8374999999999999</v>
      </c>
      <c r="D43" s="37">
        <v>2.0750000000000002</v>
      </c>
      <c r="E43" s="33">
        <v>0.3</v>
      </c>
      <c r="F43" s="33">
        <v>0.375</v>
      </c>
      <c r="G43" s="33">
        <v>0.32142857142857145</v>
      </c>
      <c r="H43" s="33">
        <v>0.16883116883116883</v>
      </c>
      <c r="I43" s="34">
        <v>7921.212121212121</v>
      </c>
      <c r="J43" s="34">
        <v>-9161.538461538461</v>
      </c>
      <c r="K43" s="33">
        <v>0.1</v>
      </c>
      <c r="L43" s="33">
        <v>0.17207792207792208</v>
      </c>
      <c r="M43" s="33">
        <v>0.27272727272727271</v>
      </c>
      <c r="N43" s="33">
        <v>0.64150943396226412</v>
      </c>
      <c r="O43" s="33">
        <v>0.33333333333333331</v>
      </c>
      <c r="P43" s="33">
        <v>0.46464646464646464</v>
      </c>
    </row>
    <row r="44" spans="1:16" x14ac:dyDescent="0.45">
      <c r="A44" s="35">
        <v>41</v>
      </c>
      <c r="B44" s="32">
        <v>-200.3</v>
      </c>
      <c r="C44" s="32">
        <v>-4.8853658536585369</v>
      </c>
      <c r="D44" s="37">
        <v>2.0975609756097562</v>
      </c>
      <c r="E44" s="33">
        <v>0.29268292682926828</v>
      </c>
      <c r="F44" s="33">
        <v>0.3902439024390244</v>
      </c>
      <c r="G44" s="33">
        <v>0.31746031746031744</v>
      </c>
      <c r="H44" s="33">
        <v>0.17142857142857143</v>
      </c>
      <c r="I44" s="34">
        <v>7881</v>
      </c>
      <c r="J44" s="34">
        <v>-9251.8518518518522</v>
      </c>
      <c r="K44" s="33">
        <v>0.12195121951219512</v>
      </c>
      <c r="L44" s="33">
        <v>0.17460317460317459</v>
      </c>
      <c r="M44" s="33">
        <v>0.26984126984126983</v>
      </c>
      <c r="N44" s="33">
        <v>0.63636363636363635</v>
      </c>
      <c r="O44" s="33">
        <v>0.32941176470588235</v>
      </c>
      <c r="P44" s="33">
        <v>0.46</v>
      </c>
    </row>
    <row r="45" spans="1:16" x14ac:dyDescent="0.45">
      <c r="A45" s="35">
        <v>42</v>
      </c>
      <c r="B45" s="32">
        <v>-193.20000000000002</v>
      </c>
      <c r="C45" s="32">
        <v>-4.6000000000000005</v>
      </c>
      <c r="D45" s="37">
        <v>2.0952380952380953</v>
      </c>
      <c r="E45" s="33">
        <v>0.2857142857142857</v>
      </c>
      <c r="F45" s="33">
        <v>0.38095238095238093</v>
      </c>
      <c r="G45" s="33">
        <v>0.31578947368421051</v>
      </c>
      <c r="H45" s="33">
        <v>0.17337461300309598</v>
      </c>
      <c r="I45" s="34">
        <v>8118.6274509803925</v>
      </c>
      <c r="J45" s="34">
        <v>-9228.5714285714294</v>
      </c>
      <c r="K45" s="33">
        <v>0.11904761904761904</v>
      </c>
      <c r="L45" s="33">
        <v>0.17647058823529413</v>
      </c>
      <c r="M45" s="33">
        <v>0.26934984520123839</v>
      </c>
      <c r="N45" s="33">
        <v>0.64912280701754388</v>
      </c>
      <c r="O45" s="33">
        <v>0.32183908045977011</v>
      </c>
      <c r="P45" s="33">
        <v>0.46078431372549017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1051-9763-4F69-8384-2612E5FC2847}">
  <sheetPr codeName="Sheet2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5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FB93-E7C7-4BB7-8240-FB11CC61D43E}">
  <sheetPr codeName="Sheet18"/>
  <dimension ref="A1:Q3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5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5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5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5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5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5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  <row r="37" spans="1:16" x14ac:dyDescent="0.45">
      <c r="A37" s="35">
        <v>34</v>
      </c>
      <c r="B37" s="32">
        <v>63.800000000000011</v>
      </c>
      <c r="C37" s="32">
        <v>1.8764705882352946</v>
      </c>
      <c r="D37" s="37">
        <v>2</v>
      </c>
      <c r="E37" s="33">
        <v>0.3235294117647059</v>
      </c>
      <c r="F37" s="33">
        <v>0.3235294117647059</v>
      </c>
      <c r="G37" s="33">
        <v>0.31517509727626458</v>
      </c>
      <c r="H37" s="33">
        <v>0.14396887159533073</v>
      </c>
      <c r="I37" s="34">
        <v>7734.5679012345681</v>
      </c>
      <c r="J37" s="34">
        <v>-7170.27027027027</v>
      </c>
      <c r="K37" s="33">
        <v>0.17647058823529413</v>
      </c>
      <c r="L37" s="33">
        <v>0.14785992217898833</v>
      </c>
      <c r="M37" s="33">
        <v>0.35408560311284049</v>
      </c>
      <c r="N37" s="33">
        <v>0.60526315789473684</v>
      </c>
      <c r="O37" s="33">
        <v>0.4175824175824176</v>
      </c>
      <c r="P37" s="33">
        <v>0.44444444444444442</v>
      </c>
    </row>
    <row r="38" spans="1:16" x14ac:dyDescent="0.45">
      <c r="A38" s="35">
        <v>35</v>
      </c>
      <c r="B38" s="32">
        <v>94.4</v>
      </c>
      <c r="C38" s="32">
        <v>2.6971428571428575</v>
      </c>
      <c r="D38" s="37">
        <v>1.9714285714285715</v>
      </c>
      <c r="E38" s="33">
        <v>0.34285714285714286</v>
      </c>
      <c r="F38" s="33">
        <v>0.31428571428571428</v>
      </c>
      <c r="G38" s="33">
        <v>0.3193916349809886</v>
      </c>
      <c r="H38" s="33">
        <v>0.14068441064638784</v>
      </c>
      <c r="I38" s="34">
        <v>7826.1904761904761</v>
      </c>
      <c r="J38" s="34">
        <v>-7170.27027027027</v>
      </c>
      <c r="K38" s="33">
        <v>0.17142857142857143</v>
      </c>
      <c r="L38" s="33">
        <v>0.15209125475285171</v>
      </c>
      <c r="M38" s="33">
        <v>0.34980988593155893</v>
      </c>
      <c r="N38" s="33">
        <v>0.625</v>
      </c>
      <c r="O38" s="33">
        <v>0.42391304347826086</v>
      </c>
      <c r="P38" s="33">
        <v>0.45238095238095238</v>
      </c>
    </row>
    <row r="39" spans="1:16" x14ac:dyDescent="0.45">
      <c r="A39" s="35">
        <v>36</v>
      </c>
      <c r="B39" s="32">
        <v>89.100000000000009</v>
      </c>
      <c r="C39" s="32">
        <v>2.4750000000000001</v>
      </c>
      <c r="D39" s="37">
        <v>1.9722222222222223</v>
      </c>
      <c r="E39" s="33">
        <v>0.33333333333333331</v>
      </c>
      <c r="F39" s="33">
        <v>0.30555555555555558</v>
      </c>
      <c r="G39" s="33">
        <v>0.32</v>
      </c>
      <c r="H39" s="33">
        <v>0.14181818181818182</v>
      </c>
      <c r="I39" s="34">
        <v>7734.090909090909</v>
      </c>
      <c r="J39" s="34">
        <v>-7315.3846153846152</v>
      </c>
      <c r="K39" s="33">
        <v>0.16666666666666666</v>
      </c>
      <c r="L39" s="33">
        <v>0.15272727272727274</v>
      </c>
      <c r="M39" s="33">
        <v>0.35272727272727272</v>
      </c>
      <c r="N39" s="33">
        <v>0.6428571428571429</v>
      </c>
      <c r="O39" s="33">
        <v>0.42268041237113402</v>
      </c>
      <c r="P39" s="33">
        <v>0.44318181818181818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540A-ED1C-438D-8FAA-1A53808905F0}">
  <sheetPr codeName="Sheet16"/>
  <dimension ref="A1:Q6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5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5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5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5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5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5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5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5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5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5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  <row r="59" spans="1:16" x14ac:dyDescent="0.45">
      <c r="A59" s="35">
        <v>56</v>
      </c>
      <c r="B59" s="32">
        <v>-92.099999999999966</v>
      </c>
      <c r="C59" s="32">
        <v>-1.6446428571428566</v>
      </c>
      <c r="D59" s="37">
        <v>2.0178571428571428</v>
      </c>
      <c r="E59" s="33">
        <v>0.32142857142857145</v>
      </c>
      <c r="F59" s="33">
        <v>0.3392857142857143</v>
      </c>
      <c r="G59" s="33">
        <v>0.28193832599118945</v>
      </c>
      <c r="H59" s="33">
        <v>0.11674008810572688</v>
      </c>
      <c r="I59" s="34">
        <v>7771.09375</v>
      </c>
      <c r="J59" s="34">
        <v>-8186.7924528301883</v>
      </c>
      <c r="K59" s="33">
        <v>8.9285714285714288E-2</v>
      </c>
      <c r="L59" s="33">
        <v>0.23568281938325991</v>
      </c>
      <c r="M59" s="33">
        <v>0.25330396475770928</v>
      </c>
      <c r="N59" s="33">
        <v>0.55140186915887845</v>
      </c>
      <c r="O59" s="33">
        <v>0.39130434782608697</v>
      </c>
      <c r="P59" s="33">
        <v>0.421875</v>
      </c>
    </row>
    <row r="60" spans="1:16" x14ac:dyDescent="0.45">
      <c r="A60" s="35">
        <v>57</v>
      </c>
      <c r="B60" s="32">
        <v>-112.99999999999997</v>
      </c>
      <c r="C60" s="32">
        <v>-1.9824561403508767</v>
      </c>
      <c r="D60" s="37">
        <v>2.0350877192982457</v>
      </c>
      <c r="E60" s="33">
        <v>0.31578947368421051</v>
      </c>
      <c r="F60" s="33">
        <v>0.35087719298245612</v>
      </c>
      <c r="G60" s="33">
        <v>0.27982646420824298</v>
      </c>
      <c r="H60" s="33">
        <v>0.11496746203904555</v>
      </c>
      <c r="I60" s="34">
        <v>7803.8759689922481</v>
      </c>
      <c r="J60" s="34">
        <v>-8186.7924528301883</v>
      </c>
      <c r="K60" s="33">
        <v>8.771929824561403E-2</v>
      </c>
      <c r="L60" s="33">
        <v>0.23644251626898047</v>
      </c>
      <c r="M60" s="33">
        <v>0.24945770065075923</v>
      </c>
      <c r="N60" s="33">
        <v>0.55045871559633031</v>
      </c>
      <c r="O60" s="33">
        <v>0.39130434782608697</v>
      </c>
      <c r="P60" s="33">
        <v>0.4263565891472868</v>
      </c>
    </row>
    <row r="61" spans="1:16" x14ac:dyDescent="0.45">
      <c r="A61" s="35">
        <v>58</v>
      </c>
      <c r="B61" s="32">
        <v>-30.599999999999966</v>
      </c>
      <c r="C61" s="32">
        <v>-0.52758620689655111</v>
      </c>
      <c r="D61" s="37">
        <v>2.0172413793103448</v>
      </c>
      <c r="E61" s="33">
        <v>0.32758620689655171</v>
      </c>
      <c r="F61" s="33">
        <v>0.34482758620689657</v>
      </c>
      <c r="G61" s="33">
        <v>0.28297872340425534</v>
      </c>
      <c r="H61" s="33">
        <v>0.1148936170212766</v>
      </c>
      <c r="I61" s="34">
        <v>8103.0075187969924</v>
      </c>
      <c r="J61" s="34">
        <v>-8250</v>
      </c>
      <c r="K61" s="33">
        <v>8.6206896551724144E-2</v>
      </c>
      <c r="L61" s="33">
        <v>0.23829787234042554</v>
      </c>
      <c r="M61" s="33">
        <v>0.24468085106382978</v>
      </c>
      <c r="N61" s="33">
        <v>0.5535714285714286</v>
      </c>
      <c r="O61" s="33">
        <v>0.39130434782608697</v>
      </c>
      <c r="P61" s="33">
        <v>0.42857142857142855</v>
      </c>
    </row>
    <row r="62" spans="1:16" x14ac:dyDescent="0.45">
      <c r="A62" s="35">
        <v>59</v>
      </c>
      <c r="B62" s="32">
        <v>-56.299999999999969</v>
      </c>
      <c r="C62" s="32">
        <v>-0.95423728813559272</v>
      </c>
      <c r="D62" s="37">
        <v>2.0338983050847457</v>
      </c>
      <c r="E62" s="33">
        <v>0.32203389830508472</v>
      </c>
      <c r="F62" s="33">
        <v>0.3559322033898305</v>
      </c>
      <c r="G62" s="33">
        <v>0.28033472803347281</v>
      </c>
      <c r="H62" s="33">
        <v>0.11506276150627615</v>
      </c>
      <c r="I62" s="34">
        <v>8102.2388059701489</v>
      </c>
      <c r="J62" s="34">
        <v>-8240</v>
      </c>
      <c r="K62" s="33">
        <v>8.4745762711864403E-2</v>
      </c>
      <c r="L62" s="33">
        <v>0.23430962343096234</v>
      </c>
      <c r="M62" s="33">
        <v>0.24267782426778242</v>
      </c>
      <c r="N62" s="33">
        <v>0.5535714285714286</v>
      </c>
      <c r="O62" s="33">
        <v>0.39655172413793105</v>
      </c>
      <c r="P62" s="33">
        <v>0.43283582089552236</v>
      </c>
    </row>
    <row r="63" spans="1:16" x14ac:dyDescent="0.45">
      <c r="A63" s="35">
        <v>60</v>
      </c>
      <c r="B63" s="32">
        <v>-98.69999999999996</v>
      </c>
      <c r="C63" s="32">
        <v>-1.6449999999999994</v>
      </c>
      <c r="D63" s="37">
        <v>2.0499999999999998</v>
      </c>
      <c r="E63" s="33">
        <v>0.31666666666666665</v>
      </c>
      <c r="F63" s="33">
        <v>0.36666666666666664</v>
      </c>
      <c r="G63" s="33">
        <v>0.27551020408163263</v>
      </c>
      <c r="H63" s="33">
        <v>0.11632653061224489</v>
      </c>
      <c r="I63" s="34">
        <v>8085.1851851851852</v>
      </c>
      <c r="J63" s="34">
        <v>-8182.4561403508769</v>
      </c>
      <c r="K63" s="33">
        <v>8.3333333333333329E-2</v>
      </c>
      <c r="L63" s="33">
        <v>0.23469387755102042</v>
      </c>
      <c r="M63" s="33">
        <v>0.24081632653061225</v>
      </c>
      <c r="N63" s="33">
        <v>0.53913043478260869</v>
      </c>
      <c r="O63" s="33">
        <v>0.39830508474576271</v>
      </c>
      <c r="P63" s="33">
        <v>0.42962962962962964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8E81-B496-4E0B-8B41-0F484153F2BA}">
  <sheetPr codeName="Sheet14"/>
  <dimension ref="A1:Q4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5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5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5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5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  <row r="39" spans="1:16" x14ac:dyDescent="0.45">
      <c r="A39" s="35">
        <v>36</v>
      </c>
      <c r="B39" s="32">
        <v>-258.7999999999999</v>
      </c>
      <c r="C39" s="32">
        <v>-7.1888888888888864</v>
      </c>
      <c r="D39" s="37">
        <v>2.2777777777777777</v>
      </c>
      <c r="E39" s="33">
        <v>0.19444444444444445</v>
      </c>
      <c r="F39" s="33">
        <v>0.47222222222222221</v>
      </c>
      <c r="G39" s="33">
        <v>0.27436823104693142</v>
      </c>
      <c r="H39" s="33">
        <v>0.16606498194945848</v>
      </c>
      <c r="I39" s="34">
        <v>8010.5263157894733</v>
      </c>
      <c r="J39" s="34">
        <v>-7428.260869565217</v>
      </c>
      <c r="K39" s="33">
        <v>0.16666666666666666</v>
      </c>
      <c r="L39" s="33">
        <v>0.22021660649819494</v>
      </c>
      <c r="M39" s="33">
        <v>0.16245487364620939</v>
      </c>
      <c r="N39" s="33">
        <v>0.50819672131147542</v>
      </c>
      <c r="O39" s="33">
        <v>0.57777777777777772</v>
      </c>
      <c r="P39" s="33">
        <v>0.48684210526315791</v>
      </c>
    </row>
    <row r="40" spans="1:16" x14ac:dyDescent="0.45">
      <c r="A40" s="35">
        <v>37</v>
      </c>
      <c r="B40" s="32">
        <v>-287.2999999999999</v>
      </c>
      <c r="C40" s="32">
        <v>-7.7648648648648617</v>
      </c>
      <c r="D40" s="37">
        <v>2.2972972972972974</v>
      </c>
      <c r="E40" s="33">
        <v>0.1891891891891892</v>
      </c>
      <c r="F40" s="33">
        <v>0.48648648648648651</v>
      </c>
      <c r="G40" s="33">
        <v>0.27272727272727271</v>
      </c>
      <c r="H40" s="33">
        <v>0.16433566433566432</v>
      </c>
      <c r="I40" s="34">
        <v>7948.7179487179483</v>
      </c>
      <c r="J40" s="34">
        <v>-7372.3404255319147</v>
      </c>
      <c r="K40" s="33">
        <v>0.16216216216216217</v>
      </c>
      <c r="L40" s="33">
        <v>0.23076923076923078</v>
      </c>
      <c r="M40" s="33">
        <v>0.15734265734265734</v>
      </c>
      <c r="N40" s="33">
        <v>0.5</v>
      </c>
      <c r="O40" s="33">
        <v>0.57777777777777772</v>
      </c>
      <c r="P40" s="33">
        <v>0.48717948717948717</v>
      </c>
    </row>
    <row r="41" spans="1:16" x14ac:dyDescent="0.45">
      <c r="A41" s="35">
        <v>38</v>
      </c>
      <c r="B41" s="32">
        <v>-289.69999999999987</v>
      </c>
      <c r="C41" s="32">
        <v>-7.6236842105263127</v>
      </c>
      <c r="D41" s="37">
        <v>2.2894736842105261</v>
      </c>
      <c r="E41" s="33">
        <v>0.18421052631578946</v>
      </c>
      <c r="F41" s="33">
        <v>0.47368421052631576</v>
      </c>
      <c r="G41" s="33">
        <v>0.27551020408163263</v>
      </c>
      <c r="H41" s="33">
        <v>0.16666666666666666</v>
      </c>
      <c r="I41" s="34">
        <v>7929.6296296296296</v>
      </c>
      <c r="J41" s="34">
        <v>-7269.3877551020405</v>
      </c>
      <c r="K41" s="33">
        <v>0.15789473684210525</v>
      </c>
      <c r="L41" s="33">
        <v>0.23129251700680273</v>
      </c>
      <c r="M41" s="33">
        <v>0.15646258503401361</v>
      </c>
      <c r="N41" s="33">
        <v>0.5</v>
      </c>
      <c r="O41" s="33">
        <v>0.58695652173913049</v>
      </c>
      <c r="P41" s="33">
        <v>0.50617283950617287</v>
      </c>
    </row>
    <row r="42" spans="1:16" x14ac:dyDescent="0.45">
      <c r="A42" s="35">
        <v>39</v>
      </c>
      <c r="B42" s="32">
        <v>-263.09999999999985</v>
      </c>
      <c r="C42" s="32">
        <v>-6.7461538461538426</v>
      </c>
      <c r="D42" s="37">
        <v>2.2564102564102564</v>
      </c>
      <c r="E42" s="33">
        <v>0.20512820512820512</v>
      </c>
      <c r="F42" s="33">
        <v>0.46153846153846156</v>
      </c>
      <c r="G42" s="33">
        <v>0.28000000000000003</v>
      </c>
      <c r="H42" s="33">
        <v>0.16666666666666666</v>
      </c>
      <c r="I42" s="34">
        <v>7976.1904761904761</v>
      </c>
      <c r="J42" s="34">
        <v>-7176</v>
      </c>
      <c r="K42" s="33">
        <v>0.15384615384615385</v>
      </c>
      <c r="L42" s="33">
        <v>0.23666666666666666</v>
      </c>
      <c r="M42" s="33">
        <v>0.15666666666666668</v>
      </c>
      <c r="N42" s="33">
        <v>0.52112676056338025</v>
      </c>
      <c r="O42" s="33">
        <v>0.57446808510638303</v>
      </c>
      <c r="P42" s="33">
        <v>0.5</v>
      </c>
    </row>
    <row r="43" spans="1:16" x14ac:dyDescent="0.45">
      <c r="A43" s="35">
        <v>40</v>
      </c>
      <c r="B43" s="32">
        <v>-254.79999999999984</v>
      </c>
      <c r="C43" s="32">
        <v>-6.3699999999999957</v>
      </c>
      <c r="D43" s="37">
        <v>2.25</v>
      </c>
      <c r="E43" s="33">
        <v>0.2</v>
      </c>
      <c r="F43" s="33">
        <v>0.45</v>
      </c>
      <c r="G43" s="33">
        <v>0.28431372549019607</v>
      </c>
      <c r="H43" s="33">
        <v>0.16339869281045752</v>
      </c>
      <c r="I43" s="34">
        <v>7955.1724137931033</v>
      </c>
      <c r="J43" s="34">
        <v>-7176</v>
      </c>
      <c r="K43" s="33">
        <v>0.15</v>
      </c>
      <c r="L43" s="33">
        <v>0.24183006535947713</v>
      </c>
      <c r="M43" s="33">
        <v>0.15359477124183007</v>
      </c>
      <c r="N43" s="33">
        <v>0.54054054054054057</v>
      </c>
      <c r="O43" s="33">
        <v>0.57446808510638303</v>
      </c>
      <c r="P43" s="33">
        <v>0.51724137931034486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52FD-D1C2-453D-8583-1CA8940CD3A5}">
  <sheetPr codeName="Sheet12"/>
  <dimension ref="A1:Q9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5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5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5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5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5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5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5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5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5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5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5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  <row r="82" spans="1:16" x14ac:dyDescent="0.45">
      <c r="A82" s="35">
        <v>79</v>
      </c>
      <c r="B82" s="32">
        <v>745.50000000000011</v>
      </c>
      <c r="C82" s="32">
        <v>9.4367088607594951</v>
      </c>
      <c r="D82" s="37">
        <v>1.7468354430379747</v>
      </c>
      <c r="E82" s="33">
        <v>0.45569620253164556</v>
      </c>
      <c r="F82" s="33">
        <v>0.20253164556962025</v>
      </c>
      <c r="G82" s="33">
        <v>0.31160572337042924</v>
      </c>
      <c r="H82" s="33">
        <v>0.14785373608903021</v>
      </c>
      <c r="I82" s="34">
        <v>9828.0612244897966</v>
      </c>
      <c r="J82" s="34">
        <v>-7973.1182795698924</v>
      </c>
      <c r="K82" s="33">
        <v>6.3291139240506333E-2</v>
      </c>
      <c r="L82" s="33">
        <v>0.24960254372019078</v>
      </c>
      <c r="M82" s="33">
        <v>0.16057233704292528</v>
      </c>
      <c r="N82" s="33">
        <v>0.5859872611464968</v>
      </c>
      <c r="O82" s="33">
        <v>0.48514851485148514</v>
      </c>
      <c r="P82" s="33">
        <v>0.51020408163265307</v>
      </c>
    </row>
    <row r="83" spans="1:16" x14ac:dyDescent="0.45">
      <c r="A83" s="35">
        <v>80</v>
      </c>
      <c r="B83" s="32">
        <v>712.20000000000016</v>
      </c>
      <c r="C83" s="32">
        <v>8.9025000000000016</v>
      </c>
      <c r="D83" s="37">
        <v>1.7625</v>
      </c>
      <c r="E83" s="33">
        <v>0.45</v>
      </c>
      <c r="F83" s="33">
        <v>0.21249999999999999</v>
      </c>
      <c r="G83" s="33">
        <v>0.31023622047244093</v>
      </c>
      <c r="H83" s="33">
        <v>0.14645669291338584</v>
      </c>
      <c r="I83" s="34">
        <v>9794.4162436548231</v>
      </c>
      <c r="J83" s="34">
        <v>-7973.1182795698924</v>
      </c>
      <c r="K83" s="33">
        <v>6.25E-2</v>
      </c>
      <c r="L83" s="33">
        <v>0.24724409448818899</v>
      </c>
      <c r="M83" s="33">
        <v>0.15905511811023623</v>
      </c>
      <c r="N83" s="33">
        <v>0.5859872611464968</v>
      </c>
      <c r="O83" s="33">
        <v>0.48514851485148514</v>
      </c>
      <c r="P83" s="33">
        <v>0.51269035532994922</v>
      </c>
    </row>
    <row r="84" spans="1:16" x14ac:dyDescent="0.45">
      <c r="A84" s="35">
        <v>81</v>
      </c>
      <c r="B84" s="32">
        <v>689.10000000000014</v>
      </c>
      <c r="C84" s="32">
        <v>8.5074074074074097</v>
      </c>
      <c r="D84" s="37">
        <v>1.7777777777777777</v>
      </c>
      <c r="E84" s="33">
        <v>0.44444444444444442</v>
      </c>
      <c r="F84" s="33">
        <v>0.22222222222222221</v>
      </c>
      <c r="G84" s="33">
        <v>0.3099688473520249</v>
      </c>
      <c r="H84" s="33">
        <v>0.14485981308411214</v>
      </c>
      <c r="I84" s="34">
        <v>9748.2412060301504</v>
      </c>
      <c r="J84" s="34">
        <v>-7973.1182795698924</v>
      </c>
      <c r="K84" s="33">
        <v>6.1728395061728392E-2</v>
      </c>
      <c r="L84" s="33">
        <v>0.24922118380062305</v>
      </c>
      <c r="M84" s="33">
        <v>0.15887850467289719</v>
      </c>
      <c r="N84" s="33">
        <v>0.58125000000000004</v>
      </c>
      <c r="O84" s="33">
        <v>0.49019607843137253</v>
      </c>
      <c r="P84" s="33">
        <v>0.51256281407035176</v>
      </c>
    </row>
    <row r="85" spans="1:16" x14ac:dyDescent="0.45">
      <c r="A85" s="35">
        <v>82</v>
      </c>
      <c r="B85" s="32">
        <v>719.70000000000016</v>
      </c>
      <c r="C85" s="32">
        <v>8.7768292682926852</v>
      </c>
      <c r="D85" s="37">
        <v>1.7682926829268293</v>
      </c>
      <c r="E85" s="33">
        <v>0.45121951219512196</v>
      </c>
      <c r="F85" s="33">
        <v>0.21951219512195122</v>
      </c>
      <c r="G85" s="33">
        <v>0.31076923076923074</v>
      </c>
      <c r="H85" s="33">
        <v>0.14461538461538462</v>
      </c>
      <c r="I85" s="34">
        <v>9791.5841584158425</v>
      </c>
      <c r="J85" s="34">
        <v>-7915.9574468085102</v>
      </c>
      <c r="K85" s="33">
        <v>6.097560975609756E-2</v>
      </c>
      <c r="L85" s="33">
        <v>0.25230769230769229</v>
      </c>
      <c r="M85" s="33">
        <v>0.15846153846153846</v>
      </c>
      <c r="N85" s="33">
        <v>0.57926829268292679</v>
      </c>
      <c r="O85" s="33">
        <v>0.4854368932038835</v>
      </c>
      <c r="P85" s="33">
        <v>0.50990099009900991</v>
      </c>
    </row>
    <row r="86" spans="1:16" x14ac:dyDescent="0.45">
      <c r="A86" s="35">
        <v>83</v>
      </c>
      <c r="B86" s="32">
        <v>716.20000000000016</v>
      </c>
      <c r="C86" s="32">
        <v>8.6289156626506038</v>
      </c>
      <c r="D86" s="37">
        <v>1.7710843373493976</v>
      </c>
      <c r="E86" s="33">
        <v>0.44578313253012047</v>
      </c>
      <c r="F86" s="33">
        <v>0.21686746987951808</v>
      </c>
      <c r="G86" s="33">
        <v>0.31050228310502281</v>
      </c>
      <c r="H86" s="33">
        <v>0.14307458143074581</v>
      </c>
      <c r="I86" s="34">
        <v>9783.823529411764</v>
      </c>
      <c r="J86" s="34">
        <v>-7915.9574468085102</v>
      </c>
      <c r="K86" s="33">
        <v>6.0240963855421686E-2</v>
      </c>
      <c r="L86" s="33">
        <v>0.25114155251141551</v>
      </c>
      <c r="M86" s="33">
        <v>0.15829528158295281</v>
      </c>
      <c r="N86" s="33">
        <v>0.58181818181818179</v>
      </c>
      <c r="O86" s="33">
        <v>0.49038461538461536</v>
      </c>
      <c r="P86" s="33">
        <v>0.50980392156862742</v>
      </c>
    </row>
    <row r="87" spans="1:16" x14ac:dyDescent="0.45">
      <c r="A87" s="35">
        <v>84</v>
      </c>
      <c r="B87" s="32">
        <v>718.10000000000014</v>
      </c>
      <c r="C87" s="32">
        <v>8.5488095238095259</v>
      </c>
      <c r="D87" s="37">
        <v>1.7738095238095237</v>
      </c>
      <c r="E87" s="33">
        <v>0.44047619047619047</v>
      </c>
      <c r="F87" s="33">
        <v>0.21428571428571427</v>
      </c>
      <c r="G87" s="33">
        <v>0.30920060331825039</v>
      </c>
      <c r="H87" s="33">
        <v>0.14177978883861236</v>
      </c>
      <c r="I87" s="34">
        <v>9745.8536585365855</v>
      </c>
      <c r="J87" s="34">
        <v>-7915.9574468085102</v>
      </c>
      <c r="K87" s="33">
        <v>5.9523809523809521E-2</v>
      </c>
      <c r="L87" s="33">
        <v>0.25037707390648567</v>
      </c>
      <c r="M87" s="33">
        <v>0.15837104072398189</v>
      </c>
      <c r="N87" s="33">
        <v>0.58433734939759041</v>
      </c>
      <c r="O87" s="33">
        <v>0.48571428571428571</v>
      </c>
      <c r="P87" s="33">
        <v>0.50731707317073171</v>
      </c>
    </row>
    <row r="88" spans="1:16" x14ac:dyDescent="0.45">
      <c r="A88" s="35">
        <v>85</v>
      </c>
      <c r="B88" s="32">
        <v>685.90000000000009</v>
      </c>
      <c r="C88" s="32">
        <v>8.0694117647058832</v>
      </c>
      <c r="D88" s="37">
        <v>1.7882352941176471</v>
      </c>
      <c r="E88" s="33">
        <v>0.43529411764705883</v>
      </c>
      <c r="F88" s="33">
        <v>0.22352941176470589</v>
      </c>
      <c r="G88" s="33">
        <v>0.30700447093889716</v>
      </c>
      <c r="H88" s="33">
        <v>0.14157973174366617</v>
      </c>
      <c r="I88" s="34">
        <v>9776.213592233009</v>
      </c>
      <c r="J88" s="34">
        <v>-7958.9473684210525</v>
      </c>
      <c r="K88" s="33">
        <v>5.8823529411764705E-2</v>
      </c>
      <c r="L88" s="33">
        <v>0.25186289120715349</v>
      </c>
      <c r="M88" s="33">
        <v>0.15648286140089418</v>
      </c>
      <c r="N88" s="33">
        <v>0.57988165680473369</v>
      </c>
      <c r="O88" s="33">
        <v>0.48571428571428571</v>
      </c>
      <c r="P88" s="33">
        <v>0.50970873786407767</v>
      </c>
    </row>
    <row r="89" spans="1:16" x14ac:dyDescent="0.45">
      <c r="A89" s="35">
        <v>86</v>
      </c>
      <c r="B89" s="32">
        <v>722.50000000000011</v>
      </c>
      <c r="C89" s="32">
        <v>8.4011627906976756</v>
      </c>
      <c r="D89" s="37">
        <v>1.7790697674418605</v>
      </c>
      <c r="E89" s="33">
        <v>0.44186046511627908</v>
      </c>
      <c r="F89" s="33">
        <v>0.22093023255813954</v>
      </c>
      <c r="G89" s="33">
        <v>0.30825958702064898</v>
      </c>
      <c r="H89" s="33">
        <v>0.14306784660766961</v>
      </c>
      <c r="I89" s="34">
        <v>9787.0813397129186</v>
      </c>
      <c r="J89" s="34">
        <v>-7861.855670103093</v>
      </c>
      <c r="K89" s="33">
        <v>5.8139534883720929E-2</v>
      </c>
      <c r="L89" s="33">
        <v>0.25221238938053098</v>
      </c>
      <c r="M89" s="33">
        <v>0.15781710914454278</v>
      </c>
      <c r="N89" s="33">
        <v>0.57894736842105265</v>
      </c>
      <c r="O89" s="33">
        <v>0.49532710280373832</v>
      </c>
      <c r="P89" s="33">
        <v>0.51196172248803828</v>
      </c>
    </row>
    <row r="90" spans="1:16" x14ac:dyDescent="0.45">
      <c r="A90" s="35">
        <v>87</v>
      </c>
      <c r="B90" s="32">
        <v>755.50000000000011</v>
      </c>
      <c r="C90" s="32">
        <v>8.683908045977013</v>
      </c>
      <c r="D90" s="37">
        <v>1.7701149425287357</v>
      </c>
      <c r="E90" s="33">
        <v>0.44827586206896552</v>
      </c>
      <c r="F90" s="33">
        <v>0.21839080459770116</v>
      </c>
      <c r="G90" s="33">
        <v>0.31049562682215742</v>
      </c>
      <c r="H90" s="33">
        <v>0.14139941690962099</v>
      </c>
      <c r="I90" s="34">
        <v>9778.403755868545</v>
      </c>
      <c r="J90" s="34">
        <v>-7861.855670103093</v>
      </c>
      <c r="K90" s="33">
        <v>5.7471264367816091E-2</v>
      </c>
      <c r="L90" s="33">
        <v>0.25364431486880468</v>
      </c>
      <c r="M90" s="33">
        <v>0.15743440233236153</v>
      </c>
      <c r="N90" s="33">
        <v>0.58045977011494254</v>
      </c>
      <c r="O90" s="33">
        <v>0.49074074074074076</v>
      </c>
      <c r="P90" s="33">
        <v>0.51173708920187788</v>
      </c>
    </row>
    <row r="91" spans="1:16" x14ac:dyDescent="0.45">
      <c r="A91" s="35">
        <v>88</v>
      </c>
      <c r="B91" s="32">
        <v>791.20000000000016</v>
      </c>
      <c r="C91" s="32">
        <v>8.9909090909090921</v>
      </c>
      <c r="D91" s="37">
        <v>1.7613636363636365</v>
      </c>
      <c r="E91" s="33">
        <v>0.45454545454545453</v>
      </c>
      <c r="F91" s="33">
        <v>0.21590909090909091</v>
      </c>
      <c r="G91" s="33">
        <v>0.3107913669064748</v>
      </c>
      <c r="H91" s="33">
        <v>0.14100719424460431</v>
      </c>
      <c r="I91" s="34">
        <v>9807.8703703703704</v>
      </c>
      <c r="J91" s="34">
        <v>-7834.6938775510207</v>
      </c>
      <c r="K91" s="33">
        <v>5.6818181818181816E-2</v>
      </c>
      <c r="L91" s="33">
        <v>0.25179856115107913</v>
      </c>
      <c r="M91" s="33">
        <v>0.15971223021582734</v>
      </c>
      <c r="N91" s="33">
        <v>0.58285714285714285</v>
      </c>
      <c r="O91" s="33">
        <v>0.49549549549549549</v>
      </c>
      <c r="P91" s="33">
        <v>0.51388888888888884</v>
      </c>
    </row>
    <row r="92" spans="1:16" x14ac:dyDescent="0.45">
      <c r="A92" s="35">
        <v>89</v>
      </c>
      <c r="B92" s="32">
        <v>842.30000000000018</v>
      </c>
      <c r="C92" s="32">
        <v>9.4640449438202268</v>
      </c>
      <c r="D92" s="37">
        <v>1.752808988764045</v>
      </c>
      <c r="E92" s="33">
        <v>0.4606741573033708</v>
      </c>
      <c r="F92" s="33">
        <v>0.21348314606741572</v>
      </c>
      <c r="G92" s="33">
        <v>0.31436699857752487</v>
      </c>
      <c r="H92" s="33">
        <v>0.13940256045519203</v>
      </c>
      <c r="I92" s="34">
        <v>9799.5475113122175</v>
      </c>
      <c r="J92" s="34">
        <v>-7834.6938775510207</v>
      </c>
      <c r="K92" s="33">
        <v>5.6179775280898875E-2</v>
      </c>
      <c r="L92" s="33">
        <v>0.25462304409672831</v>
      </c>
      <c r="M92" s="33">
        <v>0.15931721194879089</v>
      </c>
      <c r="N92" s="33">
        <v>0.58659217877094971</v>
      </c>
      <c r="O92" s="33">
        <v>0.5</v>
      </c>
      <c r="P92" s="33">
        <v>0.5113122171945701</v>
      </c>
    </row>
    <row r="93" spans="1:16" x14ac:dyDescent="0.45">
      <c r="A93" s="35">
        <v>90</v>
      </c>
      <c r="B93" s="32">
        <v>787.80000000000018</v>
      </c>
      <c r="C93" s="32">
        <v>8.7533333333333356</v>
      </c>
      <c r="D93" s="37">
        <v>1.7666666666666666</v>
      </c>
      <c r="E93" s="33">
        <v>0.45555555555555555</v>
      </c>
      <c r="F93" s="33">
        <v>0.22222222222222221</v>
      </c>
      <c r="G93" s="33">
        <v>0.31320224719101125</v>
      </c>
      <c r="H93" s="33">
        <v>0.13904494382022473</v>
      </c>
      <c r="I93" s="34">
        <v>9801.3452914798199</v>
      </c>
      <c r="J93" s="34">
        <v>-8240.4040404040406</v>
      </c>
      <c r="K93" s="33">
        <v>6.6666666666666666E-2</v>
      </c>
      <c r="L93" s="33">
        <v>0.25280898876404495</v>
      </c>
      <c r="M93" s="33">
        <v>0.15730337078651685</v>
      </c>
      <c r="N93" s="33">
        <v>0.58888888888888891</v>
      </c>
      <c r="O93" s="33">
        <v>0.5</v>
      </c>
      <c r="P93" s="33">
        <v>0.50672645739910316</v>
      </c>
    </row>
    <row r="94" spans="1:16" x14ac:dyDescent="0.45">
      <c r="A94" s="35">
        <v>91</v>
      </c>
      <c r="B94" s="32">
        <v>781.9000000000002</v>
      </c>
      <c r="C94" s="32">
        <v>8.5923076923076938</v>
      </c>
      <c r="D94" s="37">
        <v>1.7692307692307692</v>
      </c>
      <c r="E94" s="33">
        <v>0.45054945054945056</v>
      </c>
      <c r="F94" s="33">
        <v>0.21978021978021978</v>
      </c>
      <c r="G94" s="33">
        <v>0.31058495821727017</v>
      </c>
      <c r="H94" s="33">
        <v>0.13788300835654596</v>
      </c>
      <c r="I94" s="34">
        <v>9801.3452914798199</v>
      </c>
      <c r="J94" s="34">
        <v>-8240.4040404040406</v>
      </c>
      <c r="K94" s="33">
        <v>6.5934065934065936E-2</v>
      </c>
      <c r="L94" s="33">
        <v>0.25069637883008355</v>
      </c>
      <c r="M94" s="33">
        <v>0.1573816155988858</v>
      </c>
      <c r="N94" s="33">
        <v>0.58888888888888891</v>
      </c>
      <c r="O94" s="33">
        <v>0.49557522123893805</v>
      </c>
      <c r="P94" s="33">
        <v>0.50672645739910316</v>
      </c>
    </row>
    <row r="95" spans="1:16" x14ac:dyDescent="0.45">
      <c r="A95" s="35">
        <v>92</v>
      </c>
      <c r="B95" s="32">
        <v>743.00000000000023</v>
      </c>
      <c r="C95" s="32">
        <v>8.0760869565217419</v>
      </c>
      <c r="D95" s="37">
        <v>1.7826086956521738</v>
      </c>
      <c r="E95" s="33">
        <v>0.44565217391304346</v>
      </c>
      <c r="F95" s="33">
        <v>0.22826086956521738</v>
      </c>
      <c r="G95" s="33">
        <v>0.30801104972375692</v>
      </c>
      <c r="H95" s="33">
        <v>0.13812154696132597</v>
      </c>
      <c r="I95" s="34">
        <v>9801.3452914798199</v>
      </c>
      <c r="J95" s="34">
        <v>-8210</v>
      </c>
      <c r="K95" s="33">
        <v>6.5217391304347824E-2</v>
      </c>
      <c r="L95" s="33">
        <v>0.24861878453038674</v>
      </c>
      <c r="M95" s="33">
        <v>0.15883977900552487</v>
      </c>
      <c r="N95" s="33">
        <v>0.58888888888888891</v>
      </c>
      <c r="O95" s="33">
        <v>0.48695652173913045</v>
      </c>
      <c r="P95" s="33">
        <v>0.50672645739910316</v>
      </c>
    </row>
    <row r="96" spans="1:16" x14ac:dyDescent="0.45">
      <c r="A96" s="35">
        <v>93</v>
      </c>
      <c r="B96" s="32">
        <v>761.70000000000027</v>
      </c>
      <c r="C96" s="32">
        <v>8.1903225806451641</v>
      </c>
      <c r="D96" s="37">
        <v>1.7741935483870968</v>
      </c>
      <c r="E96" s="33">
        <v>0.45161290322580644</v>
      </c>
      <c r="F96" s="33">
        <v>0.22580645161290322</v>
      </c>
      <c r="G96" s="33">
        <v>0.30737704918032788</v>
      </c>
      <c r="H96" s="33">
        <v>0.13797814207650272</v>
      </c>
      <c r="I96" s="34">
        <v>9835.1111111111113</v>
      </c>
      <c r="J96" s="34">
        <v>-8287.1287128712866</v>
      </c>
      <c r="K96" s="33">
        <v>6.4516129032258063E-2</v>
      </c>
      <c r="L96" s="33">
        <v>0.24863387978142076</v>
      </c>
      <c r="M96" s="33">
        <v>0.15846994535519127</v>
      </c>
      <c r="N96" s="33">
        <v>0.59340659340659341</v>
      </c>
      <c r="O96" s="33">
        <v>0.48275862068965519</v>
      </c>
      <c r="P96" s="33">
        <v>0.50666666666666671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20F6-42AF-4B78-8327-BC31CBD27D7F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FC5-E1CA-4B9B-95A6-8DA9C932342E}">
  <sheetPr codeName="Sheet8"/>
  <dimension ref="A1:Q6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5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5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5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5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5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5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5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  <row r="61" spans="1:16" x14ac:dyDescent="0.45">
      <c r="A61" s="35">
        <v>58</v>
      </c>
      <c r="B61" s="32">
        <v>-110.00000000000006</v>
      </c>
      <c r="C61" s="32">
        <v>-1.8965517241379319</v>
      </c>
      <c r="D61" s="37">
        <v>2.0344827586206895</v>
      </c>
      <c r="E61" s="33">
        <v>0.36206896551724138</v>
      </c>
      <c r="F61" s="33">
        <v>0.39655172413793105</v>
      </c>
      <c r="G61" s="33">
        <v>0.27114967462039047</v>
      </c>
      <c r="H61" s="33">
        <v>0.18655097613882862</v>
      </c>
      <c r="I61" s="34">
        <v>10196.799999999999</v>
      </c>
      <c r="J61" s="34">
        <v>-8154.6511627906975</v>
      </c>
      <c r="K61" s="33">
        <v>0.17241379310344829</v>
      </c>
      <c r="L61" s="33">
        <v>0.29284164859002171</v>
      </c>
      <c r="M61" s="33">
        <v>0.2017353579175705</v>
      </c>
      <c r="N61" s="33">
        <v>0.47407407407407409</v>
      </c>
      <c r="O61" s="33">
        <v>0.35483870967741937</v>
      </c>
      <c r="P61" s="33">
        <v>0.44800000000000001</v>
      </c>
    </row>
    <row r="62" spans="1:16" x14ac:dyDescent="0.45">
      <c r="A62" s="35">
        <v>59</v>
      </c>
      <c r="B62" s="32">
        <v>-105.20000000000006</v>
      </c>
      <c r="C62" s="32">
        <v>-1.7830508474576281</v>
      </c>
      <c r="D62" s="37">
        <v>2.0338983050847457</v>
      </c>
      <c r="E62" s="33">
        <v>0.3559322033898305</v>
      </c>
      <c r="F62" s="33">
        <v>0.38983050847457629</v>
      </c>
      <c r="G62" s="33">
        <v>0.26980728051391861</v>
      </c>
      <c r="H62" s="33">
        <v>0.18629550321199143</v>
      </c>
      <c r="I62" s="34">
        <v>10306.349206349207</v>
      </c>
      <c r="J62" s="34">
        <v>-8120.6896551724139</v>
      </c>
      <c r="K62" s="33">
        <v>0.16949152542372881</v>
      </c>
      <c r="L62" s="33">
        <v>0.2955032119914347</v>
      </c>
      <c r="M62" s="33">
        <v>0.2012847965738758</v>
      </c>
      <c r="N62" s="33">
        <v>0.46376811594202899</v>
      </c>
      <c r="O62" s="33">
        <v>0.35106382978723405</v>
      </c>
      <c r="P62" s="33">
        <v>0.45238095238095238</v>
      </c>
    </row>
    <row r="63" spans="1:16" x14ac:dyDescent="0.45">
      <c r="A63" s="35">
        <v>60</v>
      </c>
      <c r="B63" s="32">
        <v>-152.00000000000006</v>
      </c>
      <c r="C63" s="32">
        <v>-2.5333333333333341</v>
      </c>
      <c r="D63" s="37">
        <v>2.0499999999999998</v>
      </c>
      <c r="E63" s="33">
        <v>0.35</v>
      </c>
      <c r="F63" s="33">
        <v>0.4</v>
      </c>
      <c r="G63" s="33">
        <v>0.26638477801268501</v>
      </c>
      <c r="H63" s="33">
        <v>0.19027484143763213</v>
      </c>
      <c r="I63" s="34">
        <v>10306.349206349207</v>
      </c>
      <c r="J63" s="34">
        <v>-7973.333333333333</v>
      </c>
      <c r="K63" s="33">
        <v>0.18333333333333332</v>
      </c>
      <c r="L63" s="33">
        <v>0.29386892177589852</v>
      </c>
      <c r="M63" s="33">
        <v>0.20084566596194503</v>
      </c>
      <c r="N63" s="33">
        <v>0.46043165467625902</v>
      </c>
      <c r="O63" s="33">
        <v>0.3473684210526316</v>
      </c>
      <c r="P63" s="33">
        <v>0.45238095238095238</v>
      </c>
    </row>
    <row r="64" spans="1:16" x14ac:dyDescent="0.45">
      <c r="A64" s="35">
        <v>61</v>
      </c>
      <c r="B64" s="32">
        <v>-119.60000000000005</v>
      </c>
      <c r="C64" s="32">
        <v>-1.960655737704919</v>
      </c>
      <c r="D64" s="37">
        <v>2.0327868852459017</v>
      </c>
      <c r="E64" s="33">
        <v>0.36065573770491804</v>
      </c>
      <c r="F64" s="33">
        <v>0.39344262295081966</v>
      </c>
      <c r="G64" s="33">
        <v>0.26819126819126821</v>
      </c>
      <c r="H64" s="33">
        <v>0.18711018711018712</v>
      </c>
      <c r="I64" s="34">
        <v>10376.744186046511</v>
      </c>
      <c r="J64" s="34">
        <v>-7973.333333333333</v>
      </c>
      <c r="K64" s="33">
        <v>0.18032786885245902</v>
      </c>
      <c r="L64" s="33">
        <v>0.29729729729729731</v>
      </c>
      <c r="M64" s="33">
        <v>0.20166320166320167</v>
      </c>
      <c r="N64" s="33">
        <v>0.46153846153846156</v>
      </c>
      <c r="O64" s="33">
        <v>0.35051546391752575</v>
      </c>
      <c r="P64" s="33">
        <v>0.4573643410852713</v>
      </c>
    </row>
    <row r="65" spans="1:16" x14ac:dyDescent="0.45">
      <c r="A65" s="35">
        <v>62</v>
      </c>
      <c r="B65" s="32">
        <v>-112.60000000000005</v>
      </c>
      <c r="C65" s="32">
        <v>-1.8161290322580654</v>
      </c>
      <c r="D65" s="37">
        <v>2.032258064516129</v>
      </c>
      <c r="E65" s="33">
        <v>0.35483870967741937</v>
      </c>
      <c r="F65" s="33">
        <v>0.38709677419354838</v>
      </c>
      <c r="G65" s="33">
        <v>0.26789366053169733</v>
      </c>
      <c r="H65" s="33">
        <v>0.18609406952965235</v>
      </c>
      <c r="I65" s="34">
        <v>10399.236641221374</v>
      </c>
      <c r="J65" s="34">
        <v>-7920.8791208791208</v>
      </c>
      <c r="K65" s="33">
        <v>0.17741935483870969</v>
      </c>
      <c r="L65" s="33">
        <v>0.29856850715746419</v>
      </c>
      <c r="M65" s="33">
        <v>0.20245398773006135</v>
      </c>
      <c r="N65" s="33">
        <v>0.4589041095890411</v>
      </c>
      <c r="O65" s="33">
        <v>0.35353535353535354</v>
      </c>
      <c r="P65" s="33">
        <v>0.45038167938931295</v>
      </c>
    </row>
    <row r="66" spans="1:16" x14ac:dyDescent="0.45">
      <c r="A66" s="35">
        <v>63</v>
      </c>
      <c r="B66" s="32">
        <v>-64.900000000000048</v>
      </c>
      <c r="C66" s="32">
        <v>-1.0301587301587309</v>
      </c>
      <c r="D66" s="37">
        <v>2.0158730158730158</v>
      </c>
      <c r="E66" s="33">
        <v>0.36507936507936506</v>
      </c>
      <c r="F66" s="33">
        <v>0.38095238095238093</v>
      </c>
      <c r="G66" s="33">
        <v>0.26946107784431139</v>
      </c>
      <c r="H66" s="33">
        <v>0.18562874251497005</v>
      </c>
      <c r="I66" s="34">
        <v>10461.481481481482</v>
      </c>
      <c r="J66" s="34">
        <v>-7834.4086021505373</v>
      </c>
      <c r="K66" s="33">
        <v>0.17460317460317459</v>
      </c>
      <c r="L66" s="33">
        <v>0.30339321357285431</v>
      </c>
      <c r="M66" s="33">
        <v>0.19960079840319361</v>
      </c>
      <c r="N66" s="33">
        <v>0.46710526315789475</v>
      </c>
      <c r="O66" s="33">
        <v>0.35</v>
      </c>
      <c r="P66" s="33">
        <v>0.45185185185185184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315F-3D69-49EE-AC78-B893D71DFCF8}">
  <sheetPr codeName="Sheet6"/>
  <dimension ref="A1:Q12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5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5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5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5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5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5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5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5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5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5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5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5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5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5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5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  <row r="110" spans="1:16" x14ac:dyDescent="0.45">
      <c r="A110" s="35">
        <v>107</v>
      </c>
      <c r="B110" s="32">
        <v>-1.7763568394002505E-14</v>
      </c>
      <c r="C110" s="32">
        <v>-5.5338219295957958E-17</v>
      </c>
      <c r="D110" s="37">
        <v>2</v>
      </c>
      <c r="E110" s="33">
        <v>0.33333333333333331</v>
      </c>
      <c r="F110" s="33">
        <v>0.33333333333333331</v>
      </c>
      <c r="G110" s="33">
        <v>0.29009433962264153</v>
      </c>
      <c r="H110" s="33">
        <v>0.15566037735849056</v>
      </c>
      <c r="I110" s="34">
        <v>8779.9457994579952</v>
      </c>
      <c r="J110" s="34">
        <v>-7982.3232323232323</v>
      </c>
      <c r="K110" s="33">
        <v>0.11526479750778816</v>
      </c>
      <c r="L110" s="33">
        <v>0.23624213836477986</v>
      </c>
      <c r="M110" s="33">
        <v>0.21383647798742139</v>
      </c>
      <c r="N110" s="33">
        <v>0.55241264559068215</v>
      </c>
      <c r="O110" s="33">
        <v>0.41360294117647056</v>
      </c>
      <c r="P110" s="33">
        <v>0.46070460704607047</v>
      </c>
    </row>
    <row r="111" spans="1:16" x14ac:dyDescent="0.45">
      <c r="A111" s="35">
        <v>108</v>
      </c>
      <c r="B111" s="32">
        <v>-1.4210854715202004E-14</v>
      </c>
      <c r="C111" s="32">
        <v>-4.386066270124075E-17</v>
      </c>
      <c r="D111" s="37">
        <v>2</v>
      </c>
      <c r="E111" s="33">
        <v>0.33333333333333331</v>
      </c>
      <c r="F111" s="33">
        <v>0.33333333333333331</v>
      </c>
      <c r="G111" s="33">
        <v>0.29000780640124901</v>
      </c>
      <c r="H111" s="33">
        <v>0.15495706479313037</v>
      </c>
      <c r="I111" s="34">
        <v>8794.0780619111702</v>
      </c>
      <c r="J111" s="34">
        <v>-7975.3148614609572</v>
      </c>
      <c r="K111" s="33">
        <v>0.11419753086419752</v>
      </c>
      <c r="L111" s="33">
        <v>0.23653395784543327</v>
      </c>
      <c r="M111" s="33">
        <v>0.21350507416081185</v>
      </c>
      <c r="N111" s="33">
        <v>0.55115511551155116</v>
      </c>
      <c r="O111" s="33">
        <v>0.41316270566727603</v>
      </c>
      <c r="P111" s="33">
        <v>0.46298788694481829</v>
      </c>
    </row>
    <row r="112" spans="1:16" x14ac:dyDescent="0.45">
      <c r="A112" s="35">
        <v>109</v>
      </c>
      <c r="B112" s="32">
        <v>-1.4210854715202004E-14</v>
      </c>
      <c r="C112" s="32">
        <v>-4.3458271300311938E-17</v>
      </c>
      <c r="D112" s="37">
        <v>2</v>
      </c>
      <c r="E112" s="33">
        <v>0.33333333333333331</v>
      </c>
      <c r="F112" s="33">
        <v>0.33333333333333331</v>
      </c>
      <c r="G112" s="33">
        <v>0.28997289972899731</v>
      </c>
      <c r="H112" s="33">
        <v>0.15447154471544716</v>
      </c>
      <c r="I112" s="34">
        <v>8801.6021361815747</v>
      </c>
      <c r="J112" s="34">
        <v>-7981.4536340852128</v>
      </c>
      <c r="K112" s="33">
        <v>0.11314984709480122</v>
      </c>
      <c r="L112" s="33">
        <v>0.23770809136662796</v>
      </c>
      <c r="M112" s="33">
        <v>0.21331784746418891</v>
      </c>
      <c r="N112" s="33">
        <v>0.55048859934853422</v>
      </c>
      <c r="O112" s="33">
        <v>0.41379310344827586</v>
      </c>
      <c r="P112" s="33">
        <v>0.46461949265687585</v>
      </c>
    </row>
    <row r="113" spans="1:16" x14ac:dyDescent="0.45">
      <c r="A113" s="35">
        <v>110</v>
      </c>
      <c r="B113" s="32">
        <v>-1.0658141036401503E-14</v>
      </c>
      <c r="C113" s="32">
        <v>-3.2297397080004552E-17</v>
      </c>
      <c r="D113" s="37">
        <v>2</v>
      </c>
      <c r="E113" s="33">
        <v>0.33333333333333331</v>
      </c>
      <c r="F113" s="33">
        <v>0.33333333333333331</v>
      </c>
      <c r="G113" s="33">
        <v>0.28998849252013809</v>
      </c>
      <c r="H113" s="33">
        <v>0.15420023014959724</v>
      </c>
      <c r="I113" s="34">
        <v>8813.0952380952385</v>
      </c>
      <c r="J113" s="34">
        <v>-7993.0348258706472</v>
      </c>
      <c r="K113" s="33">
        <v>0.11212121212121212</v>
      </c>
      <c r="L113" s="33">
        <v>0.23858841580360568</v>
      </c>
      <c r="M113" s="33">
        <v>0.21212121212121213</v>
      </c>
      <c r="N113" s="33">
        <v>0.55144694533762062</v>
      </c>
      <c r="O113" s="33">
        <v>0.41410488245931282</v>
      </c>
      <c r="P113" s="33">
        <v>0.46560846560846558</v>
      </c>
    </row>
    <row r="114" spans="1:16" x14ac:dyDescent="0.45">
      <c r="A114" s="35">
        <v>111</v>
      </c>
      <c r="B114" s="32">
        <v>-1.0658141036401503E-14</v>
      </c>
      <c r="C114" s="32">
        <v>-3.2006429538743251E-17</v>
      </c>
      <c r="D114" s="37">
        <v>2</v>
      </c>
      <c r="E114" s="33">
        <v>0.33333333333333331</v>
      </c>
      <c r="F114" s="33">
        <v>0.33333333333333331</v>
      </c>
      <c r="G114" s="33">
        <v>0.29033485540334858</v>
      </c>
      <c r="H114" s="33">
        <v>0.15334855403348555</v>
      </c>
      <c r="I114" s="34">
        <v>8811.4023591087807</v>
      </c>
      <c r="J114" s="34">
        <v>-7978.1637717121585</v>
      </c>
      <c r="K114" s="33">
        <v>0.1111111111111111</v>
      </c>
      <c r="L114" s="33">
        <v>0.2378234398782344</v>
      </c>
      <c r="M114" s="33">
        <v>0.21080669710806696</v>
      </c>
      <c r="N114" s="33">
        <v>0.55200000000000005</v>
      </c>
      <c r="O114" s="33">
        <v>0.41516245487364623</v>
      </c>
      <c r="P114" s="33">
        <v>0.4692005242463958</v>
      </c>
    </row>
    <row r="115" spans="1:16" x14ac:dyDescent="0.45">
      <c r="A115" s="35">
        <v>112</v>
      </c>
      <c r="B115" s="32">
        <v>-1.4210854715202004E-14</v>
      </c>
      <c r="C115" s="32">
        <v>-4.2294210461910723E-17</v>
      </c>
      <c r="D115" s="37">
        <v>2</v>
      </c>
      <c r="E115" s="33">
        <v>0.33333333333333331</v>
      </c>
      <c r="F115" s="33">
        <v>0.33333333333333331</v>
      </c>
      <c r="G115" s="33">
        <v>0.29062736205593348</v>
      </c>
      <c r="H115" s="33">
        <v>0.15343915343915343</v>
      </c>
      <c r="I115" s="34">
        <v>8780.2340702210658</v>
      </c>
      <c r="J115" s="34">
        <v>-7946.5517241379312</v>
      </c>
      <c r="K115" s="33">
        <v>0.1130952380952381</v>
      </c>
      <c r="L115" s="33">
        <v>0.23696145124716553</v>
      </c>
      <c r="M115" s="33">
        <v>0.21050642479213907</v>
      </c>
      <c r="N115" s="33">
        <v>0.55183413078149923</v>
      </c>
      <c r="O115" s="33">
        <v>0.414721723518851</v>
      </c>
      <c r="P115" s="33">
        <v>0.46944083224967492</v>
      </c>
    </row>
    <row r="116" spans="1:16" x14ac:dyDescent="0.45">
      <c r="A116" s="35">
        <v>113</v>
      </c>
      <c r="B116" s="32">
        <v>-2.1316282072803006E-14</v>
      </c>
      <c r="C116" s="32">
        <v>-6.2879888120362847E-17</v>
      </c>
      <c r="D116" s="37">
        <v>2</v>
      </c>
      <c r="E116" s="33">
        <v>0.33333333333333331</v>
      </c>
      <c r="F116" s="33">
        <v>0.33333333333333331</v>
      </c>
      <c r="G116" s="33">
        <v>0.29063670411985021</v>
      </c>
      <c r="H116" s="33">
        <v>0.15243445692883895</v>
      </c>
      <c r="I116" s="34">
        <v>8800.6443298969079</v>
      </c>
      <c r="J116" s="34">
        <v>-7956.5110565110563</v>
      </c>
      <c r="K116" s="33">
        <v>0.11209439528023599</v>
      </c>
      <c r="L116" s="33">
        <v>0.23782771535580524</v>
      </c>
      <c r="M116" s="33">
        <v>0.21011235955056179</v>
      </c>
      <c r="N116" s="33">
        <v>0.55118110236220474</v>
      </c>
      <c r="O116" s="33">
        <v>0.41532976827094475</v>
      </c>
      <c r="P116" s="33">
        <v>0.47293814432989689</v>
      </c>
    </row>
    <row r="117" spans="1:16" x14ac:dyDescent="0.45">
      <c r="A117" s="35">
        <v>114</v>
      </c>
      <c r="B117" s="32">
        <v>-1.7763568394002505E-14</v>
      </c>
      <c r="C117" s="32">
        <v>-5.1940258461995625E-17</v>
      </c>
      <c r="D117" s="37">
        <v>2</v>
      </c>
      <c r="E117" s="33">
        <v>0.33333333333333331</v>
      </c>
      <c r="F117" s="33">
        <v>0.33333333333333331</v>
      </c>
      <c r="G117" s="33">
        <v>0.29059829059829062</v>
      </c>
      <c r="H117" s="33">
        <v>0.15273132664437011</v>
      </c>
      <c r="I117" s="34">
        <v>8796.675191815857</v>
      </c>
      <c r="J117" s="34">
        <v>-7951.3381995133823</v>
      </c>
      <c r="K117" s="33">
        <v>0.11403508771929824</v>
      </c>
      <c r="L117" s="33">
        <v>0.23782980304719434</v>
      </c>
      <c r="M117" s="33">
        <v>0.21070234113712374</v>
      </c>
      <c r="N117" s="33">
        <v>0.55156249999999996</v>
      </c>
      <c r="O117" s="33">
        <v>0.41622574955908287</v>
      </c>
      <c r="P117" s="33">
        <v>0.47186700767263429</v>
      </c>
    </row>
    <row r="118" spans="1:16" x14ac:dyDescent="0.45">
      <c r="A118" s="35">
        <v>115</v>
      </c>
      <c r="B118" s="32">
        <v>-2.1316282072803006E-14</v>
      </c>
      <c r="C118" s="32">
        <v>-6.1786324848704365E-17</v>
      </c>
      <c r="D118" s="37">
        <v>2</v>
      </c>
      <c r="E118" s="33">
        <v>0.33333333333333331</v>
      </c>
      <c r="F118" s="33">
        <v>0.33333333333333331</v>
      </c>
      <c r="G118" s="33">
        <v>0.29060773480662982</v>
      </c>
      <c r="H118" s="33">
        <v>0.15248618784530388</v>
      </c>
      <c r="I118" s="34">
        <v>8826.3624841571618</v>
      </c>
      <c r="J118" s="34">
        <v>-7973.913043478261</v>
      </c>
      <c r="K118" s="33">
        <v>0.11304347826086956</v>
      </c>
      <c r="L118" s="33">
        <v>0.23756906077348067</v>
      </c>
      <c r="M118" s="33">
        <v>0.21031307550644568</v>
      </c>
      <c r="N118" s="33">
        <v>0.55348837209302326</v>
      </c>
      <c r="O118" s="33">
        <v>0.41330998248686512</v>
      </c>
      <c r="P118" s="33">
        <v>0.47275031685678076</v>
      </c>
    </row>
    <row r="119" spans="1:16" x14ac:dyDescent="0.45">
      <c r="A119" s="35">
        <v>116</v>
      </c>
      <c r="B119" s="32">
        <v>-2.1316282072803006E-14</v>
      </c>
      <c r="C119" s="32">
        <v>-6.1253684117250015E-17</v>
      </c>
      <c r="D119" s="37">
        <v>2</v>
      </c>
      <c r="E119" s="33">
        <v>0.33333333333333331</v>
      </c>
      <c r="F119" s="33">
        <v>0.33333333333333331</v>
      </c>
      <c r="G119" s="33">
        <v>0.29066374908825676</v>
      </c>
      <c r="H119" s="33">
        <v>0.15207877461706784</v>
      </c>
      <c r="I119" s="34">
        <v>8817.3149309912169</v>
      </c>
      <c r="J119" s="34">
        <v>-7958.9928057553952</v>
      </c>
      <c r="K119" s="33">
        <v>0.11206896551724138</v>
      </c>
      <c r="L119" s="33">
        <v>0.2388767323121809</v>
      </c>
      <c r="M119" s="33">
        <v>0.20933625091174327</v>
      </c>
      <c r="N119" s="33">
        <v>0.55419847328244276</v>
      </c>
      <c r="O119" s="33">
        <v>0.41463414634146339</v>
      </c>
      <c r="P119" s="33">
        <v>0.47427854454203261</v>
      </c>
    </row>
    <row r="120" spans="1:16" x14ac:dyDescent="0.45">
      <c r="A120" s="35">
        <v>117</v>
      </c>
      <c r="B120" s="32">
        <v>-2.1316282072803006E-14</v>
      </c>
      <c r="C120" s="32">
        <v>-6.0730148355564125E-17</v>
      </c>
      <c r="D120" s="37">
        <v>2</v>
      </c>
      <c r="E120" s="33">
        <v>0.33333333333333331</v>
      </c>
      <c r="F120" s="33">
        <v>0.33333333333333331</v>
      </c>
      <c r="G120" s="33">
        <v>0.29103398409255243</v>
      </c>
      <c r="H120" s="33">
        <v>0.15184381778741865</v>
      </c>
      <c r="I120" s="34">
        <v>8816.0248447204976</v>
      </c>
      <c r="J120" s="34">
        <v>-7928.8095238095239</v>
      </c>
      <c r="K120" s="33">
        <v>0.11396011396011396</v>
      </c>
      <c r="L120" s="33">
        <v>0.23933477946493131</v>
      </c>
      <c r="M120" s="33">
        <v>0.20824295010845986</v>
      </c>
      <c r="N120" s="33">
        <v>0.55438066465256797</v>
      </c>
      <c r="O120" s="33">
        <v>0.41666666666666669</v>
      </c>
      <c r="P120" s="33">
        <v>0.47577639751552797</v>
      </c>
    </row>
    <row r="121" spans="1:16" x14ac:dyDescent="0.45">
      <c r="A121" s="35">
        <v>118</v>
      </c>
      <c r="B121" s="32">
        <v>-1.4210854715202004E-14</v>
      </c>
      <c r="C121" s="32">
        <v>-4.0143657387576282E-17</v>
      </c>
      <c r="D121" s="37">
        <v>2</v>
      </c>
      <c r="E121" s="33">
        <v>0.33333333333333331</v>
      </c>
      <c r="F121" s="33">
        <v>0.33333333333333331</v>
      </c>
      <c r="G121" s="33">
        <v>0.2907268170426065</v>
      </c>
      <c r="H121" s="33">
        <v>0.15216612960973863</v>
      </c>
      <c r="I121" s="34">
        <v>8866.3793103448279</v>
      </c>
      <c r="J121" s="34">
        <v>-8041.6470588235297</v>
      </c>
      <c r="K121" s="33">
        <v>0.11581920903954802</v>
      </c>
      <c r="L121" s="33">
        <v>0.24024346580737557</v>
      </c>
      <c r="M121" s="33">
        <v>0.20658789831722163</v>
      </c>
      <c r="N121" s="33">
        <v>0.5529061102831595</v>
      </c>
      <c r="O121" s="33">
        <v>0.41594454072790293</v>
      </c>
      <c r="P121" s="33">
        <v>0.47413793103448276</v>
      </c>
    </row>
    <row r="122" spans="1:16" x14ac:dyDescent="0.45">
      <c r="A122" s="35">
        <v>119</v>
      </c>
      <c r="B122" s="32">
        <v>-1.2434497875801753E-14</v>
      </c>
      <c r="C122" s="32">
        <v>-3.4830526262750009E-17</v>
      </c>
      <c r="D122" s="37">
        <v>2</v>
      </c>
      <c r="E122" s="33">
        <v>0.33333333333333331</v>
      </c>
      <c r="F122" s="33">
        <v>0.33333333333333331</v>
      </c>
      <c r="G122" s="33">
        <v>0.29064389896833864</v>
      </c>
      <c r="H122" s="33">
        <v>0.15225898256848097</v>
      </c>
      <c r="I122" s="34">
        <v>8863.8922888616889</v>
      </c>
      <c r="J122" s="34">
        <v>-8038.0841121495323</v>
      </c>
      <c r="K122" s="33">
        <v>0.11484593837535013</v>
      </c>
      <c r="L122" s="33">
        <v>0.24083955887584491</v>
      </c>
      <c r="M122" s="33">
        <v>0.20597652081109924</v>
      </c>
      <c r="N122" s="33">
        <v>0.5553914327917282</v>
      </c>
      <c r="O122" s="33">
        <v>0.41450777202072536</v>
      </c>
      <c r="P122" s="33">
        <v>0.47368421052631576</v>
      </c>
    </row>
    <row r="123" spans="1:16" x14ac:dyDescent="0.45">
      <c r="A123" s="35">
        <v>120</v>
      </c>
      <c r="B123" s="32">
        <v>-1.0658141036401503E-14</v>
      </c>
      <c r="C123" s="32">
        <v>-2.9605947323337507E-17</v>
      </c>
      <c r="D123" s="37">
        <v>2</v>
      </c>
      <c r="E123" s="33">
        <v>0.33333333333333331</v>
      </c>
      <c r="F123" s="33">
        <v>0.33333333333333331</v>
      </c>
      <c r="G123" s="33">
        <v>0.2909155178508307</v>
      </c>
      <c r="H123" s="33">
        <v>0.15164369034994699</v>
      </c>
      <c r="I123" s="34">
        <v>8863.6695018226001</v>
      </c>
      <c r="J123" s="34">
        <v>-8031.4685314685312</v>
      </c>
      <c r="K123" s="33">
        <v>0.11388888888888889</v>
      </c>
      <c r="L123" s="33">
        <v>0.24107458465889006</v>
      </c>
      <c r="M123" s="33">
        <v>0.20572640509013787</v>
      </c>
      <c r="N123" s="33">
        <v>0.55865102639296182</v>
      </c>
      <c r="O123" s="33">
        <v>0.41408934707903783</v>
      </c>
      <c r="P123" s="33">
        <v>0.47630619684082626</v>
      </c>
    </row>
    <row r="124" spans="1:16" x14ac:dyDescent="0.45">
      <c r="A124" s="35">
        <v>121</v>
      </c>
      <c r="B124" s="32">
        <v>-1.0658141036401503E-14</v>
      </c>
      <c r="C124" s="32">
        <v>-2.9361270072731413E-17</v>
      </c>
      <c r="D124" s="37">
        <v>2</v>
      </c>
      <c r="E124" s="33">
        <v>0.33333333333333331</v>
      </c>
      <c r="F124" s="33">
        <v>0.33333333333333331</v>
      </c>
      <c r="G124" s="33">
        <v>0.29022082018927448</v>
      </c>
      <c r="H124" s="33">
        <v>0.15141955835962145</v>
      </c>
      <c r="I124" s="34">
        <v>8881.2801932367147</v>
      </c>
      <c r="J124" s="34">
        <v>-8037.9629629629626</v>
      </c>
      <c r="K124" s="33">
        <v>0.11294765840220386</v>
      </c>
      <c r="L124" s="33">
        <v>0.24079915878023134</v>
      </c>
      <c r="M124" s="33">
        <v>0.20539782684893096</v>
      </c>
      <c r="N124" s="33">
        <v>0.55895196506550215</v>
      </c>
      <c r="O124" s="33">
        <v>0.41467576791808874</v>
      </c>
      <c r="P124" s="33">
        <v>0.47584541062801933</v>
      </c>
    </row>
    <row r="125" spans="1:16" x14ac:dyDescent="0.45">
      <c r="A125" s="35">
        <v>122</v>
      </c>
      <c r="B125" s="32">
        <v>-2.6645352591003757E-15</v>
      </c>
      <c r="C125" s="32">
        <v>-7.2801509811485679E-18</v>
      </c>
      <c r="D125" s="37">
        <v>2</v>
      </c>
      <c r="E125" s="33">
        <v>0.33333333333333331</v>
      </c>
      <c r="F125" s="33">
        <v>0.33333333333333331</v>
      </c>
      <c r="G125" s="33">
        <v>0.28971962616822428</v>
      </c>
      <c r="H125" s="33">
        <v>0.15160955347871236</v>
      </c>
      <c r="I125" s="34">
        <v>8880.1672640382312</v>
      </c>
      <c r="J125" s="34">
        <v>-8021.4611872146115</v>
      </c>
      <c r="K125" s="33">
        <v>0.11202185792349727</v>
      </c>
      <c r="L125" s="33">
        <v>0.2416060920733818</v>
      </c>
      <c r="M125" s="33">
        <v>0.20560747663551401</v>
      </c>
      <c r="N125" s="33">
        <v>0.55873925501432664</v>
      </c>
      <c r="O125" s="33">
        <v>0.41414141414141414</v>
      </c>
      <c r="P125" s="33">
        <v>0.47431302270011949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744</vt:i4>
      </vt:variant>
    </vt:vector>
  </HeadingPairs>
  <TitlesOfParts>
    <vt:vector size="786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てんちゃん</vt:lpstr>
      <vt:lpstr>てんちゃん2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てんちゃん!アガリ数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てんちゃん!アガリ率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てんちゃん!ダマアガリ数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てんちゃん!ダマアガリ率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てんちゃん!チョンボ数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てんちゃん!チョンボ率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てんちゃん!ツモ数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てんちゃん!ツモ率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てんちゃん!トップ数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てんちゃん!トップ率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てんちゃん!バランス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てんちゃん!ふっとび数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てんちゃん!ふっとび率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てんちゃん!ラス数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てんちゃん!ラス率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てんちゃん!リーチ数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てんちゃん!リーチ成功数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てんちゃん!リーチ成功率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てんちゃん!リーチ率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てんちゃん!ロン数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てんちゃん!ロン率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てんちゃん!一位スコア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てんちゃん!一翻数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てんちゃん!一翻率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てんちゃん!最高点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てんちゃん!最大ドラ数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てんちゃん!最大点数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てんちゃん!三位スコア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てんちゃん!総局数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てんちゃん!対戦数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てんちゃん!通算アガリ点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てんちゃん!通算スコア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てんちゃん!通算放銃点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てんちゃん!二位スコア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てんちゃん!二位数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てんちゃん!二位率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てんちゃん!副露アガリ数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てんちゃん!副露アガリ点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てんちゃん!副露アガリ率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てんちゃん!副露数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てんちゃん!副露成功数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てんちゃん!副露成功率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てんちゃん!副露率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てんちゃん!平均アガリ点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てんちゃん!平均スコア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てんちゃん!平均順位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てんちゃん!平均放銃点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てんちゃん!放銃数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てんちゃん!放銃率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てんちゃん!名前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てんちゃん!門前アガリ点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てんちゃん!連続アガリ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てんちゃん!連続無放銃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2020-07-21T14:45:40Z</dcterms:modified>
</cp:coreProperties>
</file>