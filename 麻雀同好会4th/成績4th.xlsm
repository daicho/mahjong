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17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18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9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0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1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2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3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4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6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7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8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9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68D24D5C-B831-4421-B187-80EEEFBA4454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606" r:id="rId6"/>
    <sheet name="れんたろう" sheetId="6608" r:id="rId7"/>
    <sheet name="ともき" sheetId="6610" r:id="rId8"/>
    <sheet name="だいち" sheetId="6612" r:id="rId9"/>
    <sheet name="りくと" sheetId="6614" r:id="rId10"/>
    <sheet name="まっつん" sheetId="6616" r:id="rId11"/>
    <sheet name="たかの" sheetId="6618" r:id="rId12"/>
    <sheet name="のり" sheetId="6620" r:id="rId13"/>
    <sheet name="ただ" sheetId="6622" r:id="rId14"/>
    <sheet name="ぱぱ" sheetId="6624" r:id="rId15"/>
    <sheet name="てんちゃん" sheetId="6626" r:id="rId16"/>
    <sheet name="いちかわ" sheetId="6628" r:id="rId17"/>
    <sheet name="いちかわ2" sheetId="6629" state="hidden" r:id="rId18"/>
    <sheet name="てんちゃん2" sheetId="6627" state="hidden" r:id="rId19"/>
    <sheet name="ぱぱ2" sheetId="6625" state="hidden" r:id="rId20"/>
    <sheet name="ただ2" sheetId="6623" state="hidden" r:id="rId21"/>
    <sheet name="のり2" sheetId="6621" state="hidden" r:id="rId22"/>
    <sheet name="たかの2" sheetId="6619" state="hidden" r:id="rId23"/>
    <sheet name="まっつん2" sheetId="6617" state="hidden" r:id="rId24"/>
    <sheet name="りくと2" sheetId="6615" state="hidden" r:id="rId25"/>
    <sheet name="だいち2" sheetId="6613" state="hidden" r:id="rId26"/>
    <sheet name="ともき2" sheetId="6611" state="hidden" r:id="rId27"/>
    <sheet name="れんたろう2" sheetId="6609" state="hidden" r:id="rId28"/>
    <sheet name="全体2" sheetId="6607" state="hidden" r:id="rId29"/>
    <sheet name="通算スコア" sheetId="3331" state="hidden" r:id="rId30"/>
    <sheet name="平均スコア" sheetId="3493" state="hidden" r:id="rId31"/>
    <sheet name="平均順位" sheetId="3183" state="hidden" r:id="rId32"/>
    <sheet name="トップ率" sheetId="3185" state="hidden" r:id="rId33"/>
    <sheet name="ラス率" sheetId="4886" state="hidden" r:id="rId34"/>
    <sheet name="アガリ率" sheetId="3189" state="hidden" r:id="rId35"/>
    <sheet name="放銃率" sheetId="3190" state="hidden" r:id="rId36"/>
    <sheet name="平均アガリ点" sheetId="3520" state="hidden" r:id="rId37"/>
    <sheet name="平均放銃点" sheetId="3521" state="hidden" r:id="rId38"/>
    <sheet name="ふっとび率" sheetId="3522" state="hidden" r:id="rId39"/>
    <sheet name="リーチ率" sheetId="3524" state="hidden" r:id="rId40"/>
    <sheet name="副露率" sheetId="3525" state="hidden" r:id="rId41"/>
    <sheet name="リーチ成功率" sheetId="4841" state="hidden" r:id="rId42"/>
    <sheet name="副露成功率" sheetId="3527" state="hidden" r:id="rId43"/>
    <sheet name="ツモ率" sheetId="3528" state="hidden" r:id="rId44"/>
  </sheets>
  <definedNames>
    <definedName name="アガリ数" localSheetId="3">Template1!$B$20</definedName>
    <definedName name="アガリ数" localSheetId="16">いちかわ!$B$20</definedName>
    <definedName name="アガリ数" localSheetId="8">だいち!$B$20</definedName>
    <definedName name="アガリ数" localSheetId="11">たかの!$B$20</definedName>
    <definedName name="アガリ数" localSheetId="13">ただ!$B$20</definedName>
    <definedName name="アガリ数" localSheetId="15">てんちゃん!$B$20</definedName>
    <definedName name="アガリ数" localSheetId="7">ともき!$B$20</definedName>
    <definedName name="アガリ数" localSheetId="12">のり!$B$20</definedName>
    <definedName name="アガリ数" localSheetId="14">ぱぱ!$B$20</definedName>
    <definedName name="アガリ数" localSheetId="10">まっつん!$B$20</definedName>
    <definedName name="アガリ数" localSheetId="9">りくと!$B$20</definedName>
    <definedName name="アガリ数" localSheetId="6">れんたろう!$B$20</definedName>
    <definedName name="アガリ数" localSheetId="5">全体!$B$20</definedName>
    <definedName name="アガリ数">#REF!</definedName>
    <definedName name="アガリ率" localSheetId="3">Template1!$C$20</definedName>
    <definedName name="アガリ率" localSheetId="16">いちかわ!$C$20</definedName>
    <definedName name="アガリ率" localSheetId="8">だいち!$C$20</definedName>
    <definedName name="アガリ率" localSheetId="11">たかの!$C$20</definedName>
    <definedName name="アガリ率" localSheetId="13">ただ!$C$20</definedName>
    <definedName name="アガリ率" localSheetId="15">てんちゃん!$C$20</definedName>
    <definedName name="アガリ率" localSheetId="7">ともき!$C$20</definedName>
    <definedName name="アガリ率" localSheetId="12">のり!$C$20</definedName>
    <definedName name="アガリ率" localSheetId="14">ぱぱ!$C$20</definedName>
    <definedName name="アガリ率" localSheetId="10">まっつん!$C$20</definedName>
    <definedName name="アガリ率" localSheetId="9">りくと!$C$20</definedName>
    <definedName name="アガリ率" localSheetId="6">れんたろう!$C$20</definedName>
    <definedName name="アガリ率" localSheetId="5">全体!$C$20</definedName>
    <definedName name="アガリ率">#REF!</definedName>
    <definedName name="ダマアガリ数" localSheetId="3">Template1!$B$26</definedName>
    <definedName name="ダマアガリ数" localSheetId="16">いちかわ!$B$26</definedName>
    <definedName name="ダマアガリ数" localSheetId="8">だいち!$B$26</definedName>
    <definedName name="ダマアガリ数" localSheetId="11">たかの!$B$26</definedName>
    <definedName name="ダマアガリ数" localSheetId="13">ただ!$B$26</definedName>
    <definedName name="ダマアガリ数" localSheetId="15">てんちゃん!$B$26</definedName>
    <definedName name="ダマアガリ数" localSheetId="7">ともき!$B$26</definedName>
    <definedName name="ダマアガリ数" localSheetId="12">のり!$B$26</definedName>
    <definedName name="ダマアガリ数" localSheetId="14">ぱぱ!$B$26</definedName>
    <definedName name="ダマアガリ数" localSheetId="10">まっつん!$B$26</definedName>
    <definedName name="ダマアガリ数" localSheetId="9">りくと!$B$26</definedName>
    <definedName name="ダマアガリ数" localSheetId="6">れんたろう!$B$26</definedName>
    <definedName name="ダマアガリ数" localSheetId="5">全体!$B$26</definedName>
    <definedName name="ダマアガリ数">#REF!</definedName>
    <definedName name="ダマアガリ点">#REF!</definedName>
    <definedName name="ダマアガリ率" localSheetId="3">Template1!$C$26</definedName>
    <definedName name="ダマアガリ率" localSheetId="16">いちかわ!$C$26</definedName>
    <definedName name="ダマアガリ率" localSheetId="8">だいち!$C$26</definedName>
    <definedName name="ダマアガリ率" localSheetId="11">たかの!$C$26</definedName>
    <definedName name="ダマアガリ率" localSheetId="13">ただ!$C$26</definedName>
    <definedName name="ダマアガリ率" localSheetId="15">てんちゃん!$C$26</definedName>
    <definedName name="ダマアガリ率" localSheetId="7">ともき!$C$26</definedName>
    <definedName name="ダマアガリ率" localSheetId="12">のり!$C$26</definedName>
    <definedName name="ダマアガリ率" localSheetId="14">ぱぱ!$C$26</definedName>
    <definedName name="ダマアガリ率" localSheetId="10">まっつん!$C$26</definedName>
    <definedName name="ダマアガリ率" localSheetId="9">りくと!$C$26</definedName>
    <definedName name="ダマアガリ率" localSheetId="6">れんたろう!$C$26</definedName>
    <definedName name="ダマアガリ率" localSheetId="5">全体!$C$26</definedName>
    <definedName name="ダマアガリ率">#REF!</definedName>
    <definedName name="チョンボ数" localSheetId="3">Template1!$B$35</definedName>
    <definedName name="チョンボ数" localSheetId="16">いちかわ!$B$35</definedName>
    <definedName name="チョンボ数" localSheetId="8">だいち!$B$35</definedName>
    <definedName name="チョンボ数" localSheetId="11">たかの!$B$35</definedName>
    <definedName name="チョンボ数" localSheetId="13">ただ!$B$35</definedName>
    <definedName name="チョンボ数" localSheetId="15">てんちゃん!$B$35</definedName>
    <definedName name="チョンボ数" localSheetId="7">ともき!$B$35</definedName>
    <definedName name="チョンボ数" localSheetId="12">のり!$B$35</definedName>
    <definedName name="チョンボ数" localSheetId="14">ぱぱ!$B$35</definedName>
    <definedName name="チョンボ数" localSheetId="10">まっつん!$B$35</definedName>
    <definedName name="チョンボ数" localSheetId="9">りくと!$B$35</definedName>
    <definedName name="チョンボ数" localSheetId="6">れんたろう!$B$35</definedName>
    <definedName name="チョンボ数" localSheetId="5">全体!$B$35</definedName>
    <definedName name="チョンボ数">#REF!</definedName>
    <definedName name="チョンボ率" localSheetId="3">Template1!$C$35</definedName>
    <definedName name="チョンボ率" localSheetId="16">いちかわ!$C$35</definedName>
    <definedName name="チョンボ率" localSheetId="8">だいち!$C$35</definedName>
    <definedName name="チョンボ率" localSheetId="11">たかの!$C$35</definedName>
    <definedName name="チョンボ率" localSheetId="13">ただ!$C$35</definedName>
    <definedName name="チョンボ率" localSheetId="15">てんちゃん!$C$35</definedName>
    <definedName name="チョンボ率" localSheetId="7">ともき!$C$35</definedName>
    <definedName name="チョンボ率" localSheetId="12">のり!$C$35</definedName>
    <definedName name="チョンボ率" localSheetId="14">ぱぱ!$C$35</definedName>
    <definedName name="チョンボ率" localSheetId="10">まっつん!$C$35</definedName>
    <definedName name="チョンボ率" localSheetId="9">りくと!$C$35</definedName>
    <definedName name="チョンボ率" localSheetId="6">れんたろう!$C$35</definedName>
    <definedName name="チョンボ率" localSheetId="5">全体!$C$35</definedName>
    <definedName name="チョンボ率">#REF!</definedName>
    <definedName name="ツモ数" localSheetId="3">Template1!$B$22</definedName>
    <definedName name="ツモ数" localSheetId="16">いちかわ!$B$22</definedName>
    <definedName name="ツモ数" localSheetId="8">だいち!$B$22</definedName>
    <definedName name="ツモ数" localSheetId="11">たかの!$B$22</definedName>
    <definedName name="ツモ数" localSheetId="13">ただ!$B$22</definedName>
    <definedName name="ツモ数" localSheetId="15">てんちゃん!$B$22</definedName>
    <definedName name="ツモ数" localSheetId="7">ともき!$B$22</definedName>
    <definedName name="ツモ数" localSheetId="12">のり!$B$22</definedName>
    <definedName name="ツモ数" localSheetId="14">ぱぱ!$B$22</definedName>
    <definedName name="ツモ数" localSheetId="10">まっつん!$B$22</definedName>
    <definedName name="ツモ数" localSheetId="9">りくと!$B$22</definedName>
    <definedName name="ツモ数" localSheetId="6">れんたろう!$B$22</definedName>
    <definedName name="ツモ数" localSheetId="5">全体!$B$22</definedName>
    <definedName name="ツモ数">#REF!</definedName>
    <definedName name="ツモ率" localSheetId="3">Template1!$C$22</definedName>
    <definedName name="ツモ率" localSheetId="16">いちかわ!$C$22</definedName>
    <definedName name="ツモ率" localSheetId="8">だいち!$C$22</definedName>
    <definedName name="ツモ率" localSheetId="11">たかの!$C$22</definedName>
    <definedName name="ツモ率" localSheetId="13">ただ!$C$22</definedName>
    <definedName name="ツモ率" localSheetId="15">てんちゃん!$C$22</definedName>
    <definedName name="ツモ率" localSheetId="7">ともき!$C$22</definedName>
    <definedName name="ツモ率" localSheetId="12">のり!$C$22</definedName>
    <definedName name="ツモ率" localSheetId="14">ぱぱ!$C$22</definedName>
    <definedName name="ツモ率" localSheetId="10">まっつん!$C$22</definedName>
    <definedName name="ツモ率" localSheetId="9">りくと!$C$22</definedName>
    <definedName name="ツモ率" localSheetId="6">れんたろう!$C$22</definedName>
    <definedName name="ツモ率" localSheetId="5">全体!$C$22</definedName>
    <definedName name="ツモ率">#REF!</definedName>
    <definedName name="トップ数" localSheetId="3">Template1!$B$8</definedName>
    <definedName name="トップ数" localSheetId="16">いちかわ!$B$8</definedName>
    <definedName name="トップ数" localSheetId="8">だいち!$B$8</definedName>
    <definedName name="トップ数" localSheetId="11">たかの!$B$8</definedName>
    <definedName name="トップ数" localSheetId="13">ただ!$B$8</definedName>
    <definedName name="トップ数" localSheetId="15">てんちゃん!$B$8</definedName>
    <definedName name="トップ数" localSheetId="7">ともき!$B$8</definedName>
    <definedName name="トップ数" localSheetId="12">のり!$B$8</definedName>
    <definedName name="トップ数" localSheetId="14">ぱぱ!$B$8</definedName>
    <definedName name="トップ数" localSheetId="10">まっつん!$B$8</definedName>
    <definedName name="トップ数" localSheetId="9">りくと!$B$8</definedName>
    <definedName name="トップ数" localSheetId="6">れんたろう!$B$8</definedName>
    <definedName name="トップ数" localSheetId="5">全体!$B$8</definedName>
    <definedName name="トップ数">#REF!</definedName>
    <definedName name="トップ率" localSheetId="3">Template1!$C$8</definedName>
    <definedName name="トップ率" localSheetId="16">いちかわ!$C$8</definedName>
    <definedName name="トップ率" localSheetId="8">だいち!$C$8</definedName>
    <definedName name="トップ率" localSheetId="11">たかの!$C$8</definedName>
    <definedName name="トップ率" localSheetId="13">ただ!$C$8</definedName>
    <definedName name="トップ率" localSheetId="15">てんちゃん!$C$8</definedName>
    <definedName name="トップ率" localSheetId="7">ともき!$C$8</definedName>
    <definedName name="トップ率" localSheetId="12">のり!$C$8</definedName>
    <definedName name="トップ率" localSheetId="14">ぱぱ!$C$8</definedName>
    <definedName name="トップ率" localSheetId="10">まっつん!$C$8</definedName>
    <definedName name="トップ率" localSheetId="9">りくと!$C$8</definedName>
    <definedName name="トップ率" localSheetId="6">れんたろう!$C$8</definedName>
    <definedName name="トップ率" localSheetId="5">全体!$C$8</definedName>
    <definedName name="トップ率">#REF!</definedName>
    <definedName name="バランス" localSheetId="16">いちかわ!$B$14</definedName>
    <definedName name="バランス" localSheetId="8">だいち!$B$14</definedName>
    <definedName name="バランス" localSheetId="11">たかの!$B$14</definedName>
    <definedName name="バランス" localSheetId="13">ただ!$B$14</definedName>
    <definedName name="バランス" localSheetId="15">てんちゃん!$B$14</definedName>
    <definedName name="バランス" localSheetId="7">ともき!$B$14</definedName>
    <definedName name="バランス" localSheetId="12">のり!$B$14</definedName>
    <definedName name="バランス" localSheetId="14">ぱぱ!$B$14</definedName>
    <definedName name="バランス" localSheetId="10">まっつん!$B$14</definedName>
    <definedName name="バランス" localSheetId="9">りくと!$B$14</definedName>
    <definedName name="バランス" localSheetId="6">れんたろう!$B$14</definedName>
    <definedName name="バランス" localSheetId="5">全体!$B$14</definedName>
    <definedName name="バランス">Template1!$B$14</definedName>
    <definedName name="ふっとばし数">#REF!</definedName>
    <definedName name="ふっとばし率">#REF!</definedName>
    <definedName name="ふっとび数" localSheetId="3">Template1!$B$15</definedName>
    <definedName name="ふっとび数" localSheetId="16">いちかわ!$B$15</definedName>
    <definedName name="ふっとび数" localSheetId="8">だいち!$B$15</definedName>
    <definedName name="ふっとび数" localSheetId="11">たかの!$B$15</definedName>
    <definedName name="ふっとび数" localSheetId="13">ただ!$B$15</definedName>
    <definedName name="ふっとび数" localSheetId="15">てんちゃん!$B$15</definedName>
    <definedName name="ふっとび数" localSheetId="7">ともき!$B$15</definedName>
    <definedName name="ふっとび数" localSheetId="12">のり!$B$15</definedName>
    <definedName name="ふっとび数" localSheetId="14">ぱぱ!$B$15</definedName>
    <definedName name="ふっとび数" localSheetId="10">まっつん!$B$15</definedName>
    <definedName name="ふっとび数" localSheetId="9">りくと!$B$15</definedName>
    <definedName name="ふっとび数" localSheetId="6">れんたろう!$B$15</definedName>
    <definedName name="ふっとび数" localSheetId="5">全体!$B$15</definedName>
    <definedName name="ふっとび数">#REF!</definedName>
    <definedName name="ふっとび率" localSheetId="3">Template1!$C$15</definedName>
    <definedName name="ふっとび率" localSheetId="16">いちかわ!$C$15</definedName>
    <definedName name="ふっとび率" localSheetId="8">だいち!$C$15</definedName>
    <definedName name="ふっとび率" localSheetId="11">たかの!$C$15</definedName>
    <definedName name="ふっとび率" localSheetId="13">ただ!$C$15</definedName>
    <definedName name="ふっとび率" localSheetId="15">てんちゃん!$C$15</definedName>
    <definedName name="ふっとび率" localSheetId="7">ともき!$C$15</definedName>
    <definedName name="ふっとび率" localSheetId="12">のり!$C$15</definedName>
    <definedName name="ふっとび率" localSheetId="14">ぱぱ!$C$15</definedName>
    <definedName name="ふっとび率" localSheetId="10">まっつん!$C$15</definedName>
    <definedName name="ふっとび率" localSheetId="9">りくと!$C$15</definedName>
    <definedName name="ふっとび率" localSheetId="6">れんたろう!$C$15</definedName>
    <definedName name="ふっとび率" localSheetId="5">全体!$C$15</definedName>
    <definedName name="ふっとび率">#REF!</definedName>
    <definedName name="ラス数" localSheetId="3">Template1!$B$10</definedName>
    <definedName name="ラス数" localSheetId="16">いちかわ!$B$10</definedName>
    <definedName name="ラス数" localSheetId="8">だいち!$B$10</definedName>
    <definedName name="ラス数" localSheetId="11">たかの!$B$10</definedName>
    <definedName name="ラス数" localSheetId="13">ただ!$B$10</definedName>
    <definedName name="ラス数" localSheetId="15">てんちゃん!$B$10</definedName>
    <definedName name="ラス数" localSheetId="7">ともき!$B$10</definedName>
    <definedName name="ラス数" localSheetId="12">のり!$B$10</definedName>
    <definedName name="ラス数" localSheetId="14">ぱぱ!$B$10</definedName>
    <definedName name="ラス数" localSheetId="10">まっつん!$B$10</definedName>
    <definedName name="ラス数" localSheetId="9">りくと!$B$10</definedName>
    <definedName name="ラス数" localSheetId="6">れんたろう!$B$10</definedName>
    <definedName name="ラス数" localSheetId="5">全体!$B$10</definedName>
    <definedName name="ラス数">#REF!</definedName>
    <definedName name="ラス率" localSheetId="3">Template1!$C$10</definedName>
    <definedName name="ラス率" localSheetId="16">いちかわ!$C$10</definedName>
    <definedName name="ラス率" localSheetId="8">だいち!$C$10</definedName>
    <definedName name="ラス率" localSheetId="11">たかの!$C$10</definedName>
    <definedName name="ラス率" localSheetId="13">ただ!$C$10</definedName>
    <definedName name="ラス率" localSheetId="15">てんちゃん!$C$10</definedName>
    <definedName name="ラス率" localSheetId="7">ともき!$C$10</definedName>
    <definedName name="ラス率" localSheetId="12">のり!$C$10</definedName>
    <definedName name="ラス率" localSheetId="14">ぱぱ!$C$10</definedName>
    <definedName name="ラス率" localSheetId="10">まっつん!$C$10</definedName>
    <definedName name="ラス率" localSheetId="9">りくと!$C$10</definedName>
    <definedName name="ラス率" localSheetId="6">れんたろう!$C$10</definedName>
    <definedName name="ラス率" localSheetId="5">全体!$C$10</definedName>
    <definedName name="ラス率">#REF!</definedName>
    <definedName name="リーチアガリ数" localSheetId="3">Template1!$B$24</definedName>
    <definedName name="リーチアガリ数" localSheetId="16">いちかわ!$B$24</definedName>
    <definedName name="リーチアガリ数" localSheetId="8">だいち!$B$24</definedName>
    <definedName name="リーチアガリ数" localSheetId="11">たかの!$B$24</definedName>
    <definedName name="リーチアガリ数" localSheetId="13">ただ!$B$24</definedName>
    <definedName name="リーチアガリ数" localSheetId="15">てんちゃん!$B$24</definedName>
    <definedName name="リーチアガリ数" localSheetId="7">ともき!$B$24</definedName>
    <definedName name="リーチアガリ数" localSheetId="12">のり!$B$24</definedName>
    <definedName name="リーチアガリ数" localSheetId="14">ぱぱ!$B$24</definedName>
    <definedName name="リーチアガリ数" localSheetId="10">まっつん!$B$24</definedName>
    <definedName name="リーチアガリ数" localSheetId="9">りくと!$B$24</definedName>
    <definedName name="リーチアガリ数" localSheetId="6">れんたろう!$B$24</definedName>
    <definedName name="リーチアガリ数" localSheetId="5">全体!$B$24</definedName>
    <definedName name="リーチアガリ数">#REF!</definedName>
    <definedName name="リーチアガリ率" localSheetId="3">Template1!$C$24</definedName>
    <definedName name="リーチアガリ率" localSheetId="16">いちかわ!$C$24</definedName>
    <definedName name="リーチアガリ率" localSheetId="8">だいち!$C$24</definedName>
    <definedName name="リーチアガリ率" localSheetId="11">たかの!$C$24</definedName>
    <definedName name="リーチアガリ率" localSheetId="13">ただ!$C$24</definedName>
    <definedName name="リーチアガリ率" localSheetId="15">てんちゃん!$C$24</definedName>
    <definedName name="リーチアガリ率" localSheetId="7">ともき!$C$24</definedName>
    <definedName name="リーチアガリ率" localSheetId="12">のり!$C$24</definedName>
    <definedName name="リーチアガリ率" localSheetId="14">ぱぱ!$C$24</definedName>
    <definedName name="リーチアガリ率" localSheetId="10">まっつん!$C$24</definedName>
    <definedName name="リーチアガリ率" localSheetId="9">りくと!$C$24</definedName>
    <definedName name="リーチアガリ率" localSheetId="6">れんたろう!$C$24</definedName>
    <definedName name="リーチアガリ率" localSheetId="5">全体!$C$24</definedName>
    <definedName name="リーチアガリ率">#REF!</definedName>
    <definedName name="リーチ数" localSheetId="3">Template1!$B$16</definedName>
    <definedName name="リーチ数" localSheetId="16">いちかわ!$B$16</definedName>
    <definedName name="リーチ数" localSheetId="8">だいち!$B$16</definedName>
    <definedName name="リーチ数" localSheetId="11">たかの!$B$16</definedName>
    <definedName name="リーチ数" localSheetId="13">ただ!$B$16</definedName>
    <definedName name="リーチ数" localSheetId="15">てんちゃん!$B$16</definedName>
    <definedName name="リーチ数" localSheetId="7">ともき!$B$16</definedName>
    <definedName name="リーチ数" localSheetId="12">のり!$B$16</definedName>
    <definedName name="リーチ数" localSheetId="14">ぱぱ!$B$16</definedName>
    <definedName name="リーチ数" localSheetId="10">まっつん!$B$16</definedName>
    <definedName name="リーチ数" localSheetId="9">りくと!$B$16</definedName>
    <definedName name="リーチ数" localSheetId="6">れんたろう!$B$16</definedName>
    <definedName name="リーチ数" localSheetId="5">全体!$B$16</definedName>
    <definedName name="リーチ数">#REF!</definedName>
    <definedName name="リーチ成功数" localSheetId="3">Template1!$B$18</definedName>
    <definedName name="リーチ成功数" localSheetId="16">いちかわ!$B$18</definedName>
    <definedName name="リーチ成功数" localSheetId="8">だいち!$B$18</definedName>
    <definedName name="リーチ成功数" localSheetId="11">たかの!$B$18</definedName>
    <definedName name="リーチ成功数" localSheetId="13">ただ!$B$18</definedName>
    <definedName name="リーチ成功数" localSheetId="15">てんちゃん!$B$18</definedName>
    <definedName name="リーチ成功数" localSheetId="7">ともき!$B$18</definedName>
    <definedName name="リーチ成功数" localSheetId="12">のり!$B$18</definedName>
    <definedName name="リーチ成功数" localSheetId="14">ぱぱ!$B$18</definedName>
    <definedName name="リーチ成功数" localSheetId="10">まっつん!$B$18</definedName>
    <definedName name="リーチ成功数" localSheetId="9">りくと!$B$18</definedName>
    <definedName name="リーチ成功数" localSheetId="6">れんたろう!$B$18</definedName>
    <definedName name="リーチ成功数" localSheetId="5">全体!$B$18</definedName>
    <definedName name="リーチ成功数">#REF!</definedName>
    <definedName name="リーチ成功率" localSheetId="3">Template1!$C$18</definedName>
    <definedName name="リーチ成功率" localSheetId="16">いちかわ!$C$18</definedName>
    <definedName name="リーチ成功率" localSheetId="8">だいち!$C$18</definedName>
    <definedName name="リーチ成功率" localSheetId="11">たかの!$C$18</definedName>
    <definedName name="リーチ成功率" localSheetId="13">ただ!$C$18</definedName>
    <definedName name="リーチ成功率" localSheetId="15">てんちゃん!$C$18</definedName>
    <definedName name="リーチ成功率" localSheetId="7">ともき!$C$18</definedName>
    <definedName name="リーチ成功率" localSheetId="12">のり!$C$18</definedName>
    <definedName name="リーチ成功率" localSheetId="14">ぱぱ!$C$18</definedName>
    <definedName name="リーチ成功率" localSheetId="10">まっつん!$C$18</definedName>
    <definedName name="リーチ成功率" localSheetId="9">りくと!$C$18</definedName>
    <definedName name="リーチ成功率" localSheetId="6">れんたろう!$C$18</definedName>
    <definedName name="リーチ成功率" localSheetId="5">全体!$C$18</definedName>
    <definedName name="リーチ成功率">#REF!</definedName>
    <definedName name="リーチ率" localSheetId="3">Template1!$C$16</definedName>
    <definedName name="リーチ率" localSheetId="16">いちかわ!$C$16</definedName>
    <definedName name="リーチ率" localSheetId="8">だいち!$C$16</definedName>
    <definedName name="リーチ率" localSheetId="11">たかの!$C$16</definedName>
    <definedName name="リーチ率" localSheetId="13">ただ!$C$16</definedName>
    <definedName name="リーチ率" localSheetId="15">てんちゃん!$C$16</definedName>
    <definedName name="リーチ率" localSheetId="7">ともき!$C$16</definedName>
    <definedName name="リーチ率" localSheetId="12">のり!$C$16</definedName>
    <definedName name="リーチ率" localSheetId="14">ぱぱ!$C$16</definedName>
    <definedName name="リーチ率" localSheetId="10">まっつん!$C$16</definedName>
    <definedName name="リーチ率" localSheetId="9">りくと!$C$16</definedName>
    <definedName name="リーチ率" localSheetId="6">れんたろう!$C$16</definedName>
    <definedName name="リーチ率" localSheetId="5">全体!$C$16</definedName>
    <definedName name="リーチ率">#REF!</definedName>
    <definedName name="レーティング" localSheetId="16">いちかわ!$B$6</definedName>
    <definedName name="レーティング" localSheetId="8">だいち!$B$6</definedName>
    <definedName name="レーティング" localSheetId="11">たかの!$B$6</definedName>
    <definedName name="レーティング" localSheetId="13">ただ!$B$6</definedName>
    <definedName name="レーティング" localSheetId="15">てんちゃん!$B$6</definedName>
    <definedName name="レーティング" localSheetId="7">ともき!$B$6</definedName>
    <definedName name="レーティング" localSheetId="12">のり!$B$6</definedName>
    <definedName name="レーティング" localSheetId="14">ぱぱ!$B$6</definedName>
    <definedName name="レーティング" localSheetId="10">まっつん!$B$6</definedName>
    <definedName name="レーティング" localSheetId="9">りくと!$B$6</definedName>
    <definedName name="レーティング" localSheetId="6">れんたろう!$B$6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6">いちかわ!$B$23</definedName>
    <definedName name="ロン数" localSheetId="8">だいち!$B$23</definedName>
    <definedName name="ロン数" localSheetId="11">たかの!$B$23</definedName>
    <definedName name="ロン数" localSheetId="13">ただ!$B$23</definedName>
    <definedName name="ロン数" localSheetId="15">てんちゃん!$B$23</definedName>
    <definedName name="ロン数" localSheetId="7">ともき!$B$23</definedName>
    <definedName name="ロン数" localSheetId="12">のり!$B$23</definedName>
    <definedName name="ロン数" localSheetId="14">ぱぱ!$B$23</definedName>
    <definedName name="ロン数" localSheetId="10">まっつん!$B$23</definedName>
    <definedName name="ロン数" localSheetId="9">りくと!$B$23</definedName>
    <definedName name="ロン数" localSheetId="6">れんたろう!$B$23</definedName>
    <definedName name="ロン数" localSheetId="5">全体!$B$23</definedName>
    <definedName name="ロン数">#REF!</definedName>
    <definedName name="ロン率" localSheetId="3">Template1!$C$23</definedName>
    <definedName name="ロン率" localSheetId="16">いちかわ!$C$23</definedName>
    <definedName name="ロン率" localSheetId="8">だいち!$C$23</definedName>
    <definedName name="ロン率" localSheetId="11">たかの!$C$23</definedName>
    <definedName name="ロン率" localSheetId="13">ただ!$C$23</definedName>
    <definedName name="ロン率" localSheetId="15">てんちゃん!$C$23</definedName>
    <definedName name="ロン率" localSheetId="7">ともき!$C$23</definedName>
    <definedName name="ロン率" localSheetId="12">のり!$C$23</definedName>
    <definedName name="ロン率" localSheetId="14">ぱぱ!$C$23</definedName>
    <definedName name="ロン率" localSheetId="10">まっつん!$C$23</definedName>
    <definedName name="ロン率" localSheetId="9">りくと!$C$23</definedName>
    <definedName name="ロン率" localSheetId="6">れんたろう!$C$23</definedName>
    <definedName name="ロン率" localSheetId="5">全体!$C$23</definedName>
    <definedName name="ロン率">#REF!</definedName>
    <definedName name="一位スコア" localSheetId="16">いちかわ!$B$11</definedName>
    <definedName name="一位スコア" localSheetId="8">だいち!$B$11</definedName>
    <definedName name="一位スコア" localSheetId="11">たかの!$B$11</definedName>
    <definedName name="一位スコア" localSheetId="13">ただ!$B$11</definedName>
    <definedName name="一位スコア" localSheetId="15">てんちゃん!$B$11</definedName>
    <definedName name="一位スコア" localSheetId="7">ともき!$B$11</definedName>
    <definedName name="一位スコア" localSheetId="12">のり!$B$11</definedName>
    <definedName name="一位スコア" localSheetId="14">ぱぱ!$B$11</definedName>
    <definedName name="一位スコア" localSheetId="10">まっつん!$B$11</definedName>
    <definedName name="一位スコア" localSheetId="9">りくと!$B$11</definedName>
    <definedName name="一位スコア" localSheetId="6">れんたろう!$B$11</definedName>
    <definedName name="一位スコア" localSheetId="5">全体!$B$11</definedName>
    <definedName name="一位スコア">Template1!$B$11</definedName>
    <definedName name="一位通算スコア" localSheetId="16">いちかわ!$C$11</definedName>
    <definedName name="一位通算スコア" localSheetId="8">だいち!$C$11</definedName>
    <definedName name="一位通算スコア" localSheetId="11">たかの!$C$11</definedName>
    <definedName name="一位通算スコア" localSheetId="13">ただ!$C$11</definedName>
    <definedName name="一位通算スコア" localSheetId="15">てんちゃん!$C$11</definedName>
    <definedName name="一位通算スコア" localSheetId="7">ともき!$C$11</definedName>
    <definedName name="一位通算スコア" localSheetId="12">のり!$C$11</definedName>
    <definedName name="一位通算スコア" localSheetId="14">ぱぱ!$C$11</definedName>
    <definedName name="一位通算スコア" localSheetId="10">まっつん!$C$11</definedName>
    <definedName name="一位通算スコア" localSheetId="9">りくと!$C$11</definedName>
    <definedName name="一位通算スコア" localSheetId="6">れんたろう!$C$11</definedName>
    <definedName name="一位通算スコア" localSheetId="5">全体!$C$11</definedName>
    <definedName name="一位通算スコア">Template1!$C$11</definedName>
    <definedName name="一翻数" localSheetId="16">いちかわ!$B$37</definedName>
    <definedName name="一翻数" localSheetId="8">だいち!$B$37</definedName>
    <definedName name="一翻数" localSheetId="11">たかの!$B$37</definedName>
    <definedName name="一翻数" localSheetId="13">ただ!$B$37</definedName>
    <definedName name="一翻数" localSheetId="15">てんちゃん!$B$37</definedName>
    <definedName name="一翻数" localSheetId="7">ともき!$B$37</definedName>
    <definedName name="一翻数" localSheetId="12">のり!$B$37</definedName>
    <definedName name="一翻数" localSheetId="14">ぱぱ!$B$37</definedName>
    <definedName name="一翻数" localSheetId="10">まっつん!$B$37</definedName>
    <definedName name="一翻数" localSheetId="9">りくと!$B$37</definedName>
    <definedName name="一翻数" localSheetId="6">れんたろう!$B$37</definedName>
    <definedName name="一翻数" localSheetId="5">全体!$B$37</definedName>
    <definedName name="一翻数">Template1!$B$37</definedName>
    <definedName name="一翻率" localSheetId="16">いちかわ!$C$37</definedName>
    <definedName name="一翻率" localSheetId="8">だいち!$C$37</definedName>
    <definedName name="一翻率" localSheetId="11">たかの!$C$37</definedName>
    <definedName name="一翻率" localSheetId="13">ただ!$C$37</definedName>
    <definedName name="一翻率" localSheetId="15">てんちゃん!$C$37</definedName>
    <definedName name="一翻率" localSheetId="7">ともき!$C$37</definedName>
    <definedName name="一翻率" localSheetId="12">のり!$C$37</definedName>
    <definedName name="一翻率" localSheetId="14">ぱぱ!$C$37</definedName>
    <definedName name="一翻率" localSheetId="10">まっつん!$C$37</definedName>
    <definedName name="一翻率" localSheetId="9">りくと!$C$37</definedName>
    <definedName name="一翻率" localSheetId="6">れんたろう!$C$37</definedName>
    <definedName name="一翻率" localSheetId="5">全体!$C$37</definedName>
    <definedName name="一翻率">Template1!$C$37</definedName>
    <definedName name="逆転数">#REF!</definedName>
    <definedName name="逆転率">#REF!</definedName>
    <definedName name="現行連続アガリ" localSheetId="3">Template1!$C$31</definedName>
    <definedName name="現行連続アガリ" localSheetId="16">いちかわ!$C$31</definedName>
    <definedName name="現行連続アガリ" localSheetId="8">だいち!$C$31</definedName>
    <definedName name="現行連続アガリ" localSheetId="11">たかの!$C$31</definedName>
    <definedName name="現行連続アガリ" localSheetId="13">ただ!$C$31</definedName>
    <definedName name="現行連続アガリ" localSheetId="15">てんちゃん!$C$31</definedName>
    <definedName name="現行連続アガリ" localSheetId="7">ともき!$C$31</definedName>
    <definedName name="現行連続アガリ" localSheetId="12">のり!$C$31</definedName>
    <definedName name="現行連続アガリ" localSheetId="14">ぱぱ!$C$31</definedName>
    <definedName name="現行連続アガリ" localSheetId="10">まっつん!$C$31</definedName>
    <definedName name="現行連続アガリ" localSheetId="9">りくと!$C$31</definedName>
    <definedName name="現行連続アガリ" localSheetId="6">れんたろう!$C$31</definedName>
    <definedName name="現行連続アガリ" localSheetId="5">全体!$C$31</definedName>
    <definedName name="現行連続アガリ">#REF!</definedName>
    <definedName name="現行連続無放銃" localSheetId="3">Template1!$C$32</definedName>
    <definedName name="現行連続無放銃" localSheetId="16">いちかわ!$C$32</definedName>
    <definedName name="現行連続無放銃" localSheetId="8">だいち!$C$32</definedName>
    <definedName name="現行連続無放銃" localSheetId="11">たかの!$C$32</definedName>
    <definedName name="現行連続無放銃" localSheetId="13">ただ!$C$32</definedName>
    <definedName name="現行連続無放銃" localSheetId="15">てんちゃん!$C$32</definedName>
    <definedName name="現行連続無放銃" localSheetId="7">ともき!$C$32</definedName>
    <definedName name="現行連続無放銃" localSheetId="12">のり!$C$32</definedName>
    <definedName name="現行連続無放銃" localSheetId="14">ぱぱ!$C$32</definedName>
    <definedName name="現行連続無放銃" localSheetId="10">まっつん!$C$32</definedName>
    <definedName name="現行連続無放銃" localSheetId="9">りくと!$C$32</definedName>
    <definedName name="現行連続無放銃" localSheetId="6">れんたろう!$C$32</definedName>
    <definedName name="現行連続無放銃" localSheetId="5">全体!$C$32</definedName>
    <definedName name="現行連続無放銃">#REF!</definedName>
    <definedName name="最高点" localSheetId="3">Template1!$B$34</definedName>
    <definedName name="最高点" localSheetId="16">いちかわ!$B$34</definedName>
    <definedName name="最高点" localSheetId="8">だいち!$B$34</definedName>
    <definedName name="最高点" localSheetId="11">たかの!$B$34</definedName>
    <definedName name="最高点" localSheetId="13">ただ!$B$34</definedName>
    <definedName name="最高点" localSheetId="15">てんちゃん!$B$34</definedName>
    <definedName name="最高点" localSheetId="7">ともき!$B$34</definedName>
    <definedName name="最高点" localSheetId="12">のり!$B$34</definedName>
    <definedName name="最高点" localSheetId="14">ぱぱ!$B$34</definedName>
    <definedName name="最高点" localSheetId="10">まっつん!$B$34</definedName>
    <definedName name="最高点" localSheetId="9">りくと!$B$34</definedName>
    <definedName name="最高点" localSheetId="6">れんたろう!$B$34</definedName>
    <definedName name="最高点" localSheetId="5">全体!$B$34</definedName>
    <definedName name="最高点">#REF!</definedName>
    <definedName name="最大ドラ数" localSheetId="3">Template1!$B$33</definedName>
    <definedName name="最大ドラ数" localSheetId="16">いちかわ!$B$33</definedName>
    <definedName name="最大ドラ数" localSheetId="8">だいち!$B$33</definedName>
    <definedName name="最大ドラ数" localSheetId="11">たかの!$B$33</definedName>
    <definedName name="最大ドラ数" localSheetId="13">ただ!$B$33</definedName>
    <definedName name="最大ドラ数" localSheetId="15">てんちゃん!$B$33</definedName>
    <definedName name="最大ドラ数" localSheetId="7">ともき!$B$33</definedName>
    <definedName name="最大ドラ数" localSheetId="12">のり!$B$33</definedName>
    <definedName name="最大ドラ数" localSheetId="14">ぱぱ!$B$33</definedName>
    <definedName name="最大ドラ数" localSheetId="10">まっつん!$B$33</definedName>
    <definedName name="最大ドラ数" localSheetId="9">りくと!$B$33</definedName>
    <definedName name="最大ドラ数" localSheetId="6">れんたろう!$B$33</definedName>
    <definedName name="最大ドラ数" localSheetId="5">全体!$B$33</definedName>
    <definedName name="最大ドラ数">#REF!</definedName>
    <definedName name="最大点数" localSheetId="3">Template1!$B$34</definedName>
    <definedName name="最大点数" localSheetId="16">いちかわ!$B$34</definedName>
    <definedName name="最大点数" localSheetId="8">だいち!$B$34</definedName>
    <definedName name="最大点数" localSheetId="11">たかの!$B$34</definedName>
    <definedName name="最大点数" localSheetId="13">ただ!$B$34</definedName>
    <definedName name="最大点数" localSheetId="15">てんちゃん!$B$34</definedName>
    <definedName name="最大点数" localSheetId="7">ともき!$B$34</definedName>
    <definedName name="最大点数" localSheetId="12">のり!$B$34</definedName>
    <definedName name="最大点数" localSheetId="14">ぱぱ!$B$34</definedName>
    <definedName name="最大点数" localSheetId="10">まっつん!$B$34</definedName>
    <definedName name="最大点数" localSheetId="9">りくと!$B$34</definedName>
    <definedName name="最大点数" localSheetId="6">れんたろう!$B$34</definedName>
    <definedName name="最大点数" localSheetId="5">全体!$B$34</definedName>
    <definedName name="最大点数">#REF!</definedName>
    <definedName name="三位スコア" localSheetId="16">いちかわ!$B$13</definedName>
    <definedName name="三位スコア" localSheetId="8">だいち!$B$13</definedName>
    <definedName name="三位スコア" localSheetId="11">たかの!$B$13</definedName>
    <definedName name="三位スコア" localSheetId="13">ただ!$B$13</definedName>
    <definedName name="三位スコア" localSheetId="15">てんちゃん!$B$13</definedName>
    <definedName name="三位スコア" localSheetId="7">ともき!$B$13</definedName>
    <definedName name="三位スコア" localSheetId="12">のり!$B$13</definedName>
    <definedName name="三位スコア" localSheetId="14">ぱぱ!$B$13</definedName>
    <definedName name="三位スコア" localSheetId="10">まっつん!$B$13</definedName>
    <definedName name="三位スコア" localSheetId="9">りくと!$B$13</definedName>
    <definedName name="三位スコア" localSheetId="6">れんたろう!$B$13</definedName>
    <definedName name="三位スコア" localSheetId="5">全体!$B$13</definedName>
    <definedName name="三位スコア">Template1!$B$13</definedName>
    <definedName name="三位通算スコア" localSheetId="16">いちかわ!$C$13</definedName>
    <definedName name="三位通算スコア" localSheetId="8">だいち!$C$13</definedName>
    <definedName name="三位通算スコア" localSheetId="11">たかの!$C$13</definedName>
    <definedName name="三位通算スコア" localSheetId="13">ただ!$C$13</definedName>
    <definedName name="三位通算スコア" localSheetId="15">てんちゃん!$C$13</definedName>
    <definedName name="三位通算スコア" localSheetId="7">ともき!$C$13</definedName>
    <definedName name="三位通算スコア" localSheetId="12">のり!$C$13</definedName>
    <definedName name="三位通算スコア" localSheetId="14">ぱぱ!$C$13</definedName>
    <definedName name="三位通算スコア" localSheetId="10">まっつん!$C$13</definedName>
    <definedName name="三位通算スコア" localSheetId="9">りくと!$C$13</definedName>
    <definedName name="三位通算スコア" localSheetId="6">れんたろう!$C$13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6">いちかわ!$B$3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15">てんちゃん!$B$3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6">いちかわ!$B$2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15">てんちゃん!$B$2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Template1!$C$27</definedName>
    <definedName name="通算アガリ点" localSheetId="16">いちかわ!$C$27</definedName>
    <definedName name="通算アガリ点" localSheetId="8">だいち!$C$27</definedName>
    <definedName name="通算アガリ点" localSheetId="11">たかの!$C$27</definedName>
    <definedName name="通算アガリ点" localSheetId="13">ただ!$C$27</definedName>
    <definedName name="通算アガリ点" localSheetId="15">てんちゃん!$C$27</definedName>
    <definedName name="通算アガリ点" localSheetId="7">ともき!$C$27</definedName>
    <definedName name="通算アガリ点" localSheetId="12">のり!$C$27</definedName>
    <definedName name="通算アガリ点" localSheetId="14">ぱぱ!$C$27</definedName>
    <definedName name="通算アガリ点" localSheetId="10">まっつん!$C$27</definedName>
    <definedName name="通算アガリ点" localSheetId="9">りくと!$C$27</definedName>
    <definedName name="通算アガリ点" localSheetId="6">れんたろう!$C$27</definedName>
    <definedName name="通算アガリ点" localSheetId="5">全体!$C$27</definedName>
    <definedName name="通算アガリ点">#REF!</definedName>
    <definedName name="通算スコア" localSheetId="3">Template1!$B$4</definedName>
    <definedName name="通算スコア" localSheetId="16">いちかわ!$B$4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15">てんちゃん!$B$4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Template1!$C$29</definedName>
    <definedName name="通算副露アガリ点" localSheetId="16">いちかわ!$C$29</definedName>
    <definedName name="通算副露アガリ点" localSheetId="8">だいち!$C$29</definedName>
    <definedName name="通算副露アガリ点" localSheetId="11">たかの!$C$29</definedName>
    <definedName name="通算副露アガリ点" localSheetId="13">ただ!$C$29</definedName>
    <definedName name="通算副露アガリ点" localSheetId="15">てんちゃん!$C$29</definedName>
    <definedName name="通算副露アガリ点" localSheetId="7">ともき!$C$29</definedName>
    <definedName name="通算副露アガリ点" localSheetId="12">のり!$C$29</definedName>
    <definedName name="通算副露アガリ点" localSheetId="14">ぱぱ!$C$29</definedName>
    <definedName name="通算副露アガリ点" localSheetId="10">まっつん!$C$29</definedName>
    <definedName name="通算副露アガリ点" localSheetId="9">りくと!$C$29</definedName>
    <definedName name="通算副露アガリ点" localSheetId="6">れんたろう!$C$29</definedName>
    <definedName name="通算副露アガリ点" localSheetId="5">全体!$C$29</definedName>
    <definedName name="通算副露アガリ点">#REF!</definedName>
    <definedName name="通算放銃点" localSheetId="3">Template1!$C$30</definedName>
    <definedName name="通算放銃点" localSheetId="16">いちかわ!$C$30</definedName>
    <definedName name="通算放銃点" localSheetId="8">だいち!$C$30</definedName>
    <definedName name="通算放銃点" localSheetId="11">たかの!$C$30</definedName>
    <definedName name="通算放銃点" localSheetId="13">ただ!$C$30</definedName>
    <definedName name="通算放銃点" localSheetId="15">てんちゃん!$C$30</definedName>
    <definedName name="通算放銃点" localSheetId="7">ともき!$C$30</definedName>
    <definedName name="通算放銃点" localSheetId="12">のり!$C$30</definedName>
    <definedName name="通算放銃点" localSheetId="14">ぱぱ!$C$30</definedName>
    <definedName name="通算放銃点" localSheetId="10">まっつん!$C$30</definedName>
    <definedName name="通算放銃点" localSheetId="9">りくと!$C$30</definedName>
    <definedName name="通算放銃点" localSheetId="6">れんたろう!$C$30</definedName>
    <definedName name="通算放銃点" localSheetId="5">全体!$C$30</definedName>
    <definedName name="通算放銃点">#REF!</definedName>
    <definedName name="通算門前アガリ点" localSheetId="3">Template1!$C$28</definedName>
    <definedName name="通算門前アガリ点" localSheetId="16">いちかわ!$C$28</definedName>
    <definedName name="通算門前アガリ点" localSheetId="8">だいち!$C$28</definedName>
    <definedName name="通算門前アガリ点" localSheetId="11">たかの!$C$28</definedName>
    <definedName name="通算門前アガリ点" localSheetId="13">ただ!$C$28</definedName>
    <definedName name="通算門前アガリ点" localSheetId="15">てんちゃん!$C$28</definedName>
    <definedName name="通算門前アガリ点" localSheetId="7">ともき!$C$28</definedName>
    <definedName name="通算門前アガリ点" localSheetId="12">のり!$C$28</definedName>
    <definedName name="通算門前アガリ点" localSheetId="14">ぱぱ!$C$28</definedName>
    <definedName name="通算門前アガリ点" localSheetId="10">まっつん!$C$28</definedName>
    <definedName name="通算門前アガリ点" localSheetId="9">りくと!$C$28</definedName>
    <definedName name="通算門前アガリ点" localSheetId="6">れんたろう!$C$28</definedName>
    <definedName name="通算門前アガリ点" localSheetId="5">全体!$C$28</definedName>
    <definedName name="通算門前アガリ点">#REF!</definedName>
    <definedName name="二位スコア" localSheetId="16">いちかわ!$B$12</definedName>
    <definedName name="二位スコア" localSheetId="8">だいち!$B$12</definedName>
    <definedName name="二位スコア" localSheetId="11">たかの!$B$12</definedName>
    <definedName name="二位スコア" localSheetId="13">ただ!$B$12</definedName>
    <definedName name="二位スコア" localSheetId="15">てんちゃん!$B$12</definedName>
    <definedName name="二位スコア" localSheetId="7">ともき!$B$12</definedName>
    <definedName name="二位スコア" localSheetId="12">のり!$B$12</definedName>
    <definedName name="二位スコア" localSheetId="14">ぱぱ!$B$12</definedName>
    <definedName name="二位スコア" localSheetId="10">まっつん!$B$12</definedName>
    <definedName name="二位スコア" localSheetId="9">りくと!$B$12</definedName>
    <definedName name="二位スコア" localSheetId="6">れんたろう!$B$12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6">いちかわ!$B$9</definedName>
    <definedName name="二位数" localSheetId="8">だいち!$B$9</definedName>
    <definedName name="二位数" localSheetId="11">たかの!$B$9</definedName>
    <definedName name="二位数" localSheetId="13">ただ!$B$9</definedName>
    <definedName name="二位数" localSheetId="15">てんちゃん!$B$9</definedName>
    <definedName name="二位数" localSheetId="7">ともき!$B$9</definedName>
    <definedName name="二位数" localSheetId="12">のり!$B$9</definedName>
    <definedName name="二位数" localSheetId="14">ぱぱ!$B$9</definedName>
    <definedName name="二位数" localSheetId="10">まっつん!$B$9</definedName>
    <definedName name="二位数" localSheetId="9">りくと!$B$9</definedName>
    <definedName name="二位数" localSheetId="6">れんたろう!$B$9</definedName>
    <definedName name="二位数" localSheetId="5">全体!$B$9</definedName>
    <definedName name="二位数">#REF!</definedName>
    <definedName name="二位通算スコア" localSheetId="16">いちかわ!$C$12</definedName>
    <definedName name="二位通算スコア" localSheetId="8">だいち!$C$12</definedName>
    <definedName name="二位通算スコア" localSheetId="11">たかの!$C$12</definedName>
    <definedName name="二位通算スコア" localSheetId="13">ただ!$C$12</definedName>
    <definedName name="二位通算スコア" localSheetId="15">てんちゃん!$C$12</definedName>
    <definedName name="二位通算スコア" localSheetId="7">ともき!$C$12</definedName>
    <definedName name="二位通算スコア" localSheetId="12">のり!$C$12</definedName>
    <definedName name="二位通算スコア" localSheetId="14">ぱぱ!$C$12</definedName>
    <definedName name="二位通算スコア" localSheetId="10">まっつん!$C$12</definedName>
    <definedName name="二位通算スコア" localSheetId="9">りくと!$C$12</definedName>
    <definedName name="二位通算スコア" localSheetId="6">れんたろう!$C$12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6">いちかわ!$C$9</definedName>
    <definedName name="二位率" localSheetId="8">だいち!$C$9</definedName>
    <definedName name="二位率" localSheetId="11">たかの!$C$9</definedName>
    <definedName name="二位率" localSheetId="13">ただ!$C$9</definedName>
    <definedName name="二位率" localSheetId="15">てんちゃん!$C$9</definedName>
    <definedName name="二位率" localSheetId="7">ともき!$C$9</definedName>
    <definedName name="二位率" localSheetId="12">のり!$C$9</definedName>
    <definedName name="二位率" localSheetId="14">ぱぱ!$C$9</definedName>
    <definedName name="二位率" localSheetId="10">まっつん!$C$9</definedName>
    <definedName name="二位率" localSheetId="9">りくと!$C$9</definedName>
    <definedName name="二位率" localSheetId="6">れんたろう!$C$9</definedName>
    <definedName name="二位率" localSheetId="5">全体!$C$9</definedName>
    <definedName name="二位率">#REF!</definedName>
    <definedName name="副露アガリ数" localSheetId="3">Template1!$B$25</definedName>
    <definedName name="副露アガリ数" localSheetId="16">いちかわ!$B$25</definedName>
    <definedName name="副露アガリ数" localSheetId="8">だいち!$B$25</definedName>
    <definedName name="副露アガリ数" localSheetId="11">たかの!$B$25</definedName>
    <definedName name="副露アガリ数" localSheetId="13">ただ!$B$25</definedName>
    <definedName name="副露アガリ数" localSheetId="15">てんちゃん!$B$25</definedName>
    <definedName name="副露アガリ数" localSheetId="7">ともき!$B$25</definedName>
    <definedName name="副露アガリ数" localSheetId="12">のり!$B$25</definedName>
    <definedName name="副露アガリ数" localSheetId="14">ぱぱ!$B$25</definedName>
    <definedName name="副露アガリ数" localSheetId="10">まっつん!$B$25</definedName>
    <definedName name="副露アガリ数" localSheetId="9">りくと!$B$25</definedName>
    <definedName name="副露アガリ数" localSheetId="6">れんたろう!$B$25</definedName>
    <definedName name="副露アガリ数" localSheetId="5">全体!$B$25</definedName>
    <definedName name="副露アガリ数">#REF!</definedName>
    <definedName name="副露アガリ点" localSheetId="3">Template1!$B$29</definedName>
    <definedName name="副露アガリ点" localSheetId="16">いちかわ!$B$29</definedName>
    <definedName name="副露アガリ点" localSheetId="8">だいち!$B$29</definedName>
    <definedName name="副露アガリ点" localSheetId="11">たかの!$B$29</definedName>
    <definedName name="副露アガリ点" localSheetId="13">ただ!$B$29</definedName>
    <definedName name="副露アガリ点" localSheetId="15">てんちゃん!$B$29</definedName>
    <definedName name="副露アガリ点" localSheetId="7">ともき!$B$29</definedName>
    <definedName name="副露アガリ点" localSheetId="12">のり!$B$29</definedName>
    <definedName name="副露アガリ点" localSheetId="14">ぱぱ!$B$29</definedName>
    <definedName name="副露アガリ点" localSheetId="10">まっつん!$B$29</definedName>
    <definedName name="副露アガリ点" localSheetId="9">りくと!$B$29</definedName>
    <definedName name="副露アガリ点" localSheetId="6">れんたろう!$B$29</definedName>
    <definedName name="副露アガリ点" localSheetId="5">全体!$B$29</definedName>
    <definedName name="副露アガリ点">#REF!</definedName>
    <definedName name="副露アガリ率" localSheetId="3">Template1!$C$25</definedName>
    <definedName name="副露アガリ率" localSheetId="16">いちかわ!$C$25</definedName>
    <definedName name="副露アガリ率" localSheetId="8">だいち!$C$25</definedName>
    <definedName name="副露アガリ率" localSheetId="11">たかの!$C$25</definedName>
    <definedName name="副露アガリ率" localSheetId="13">ただ!$C$25</definedName>
    <definedName name="副露アガリ率" localSheetId="15">てんちゃん!$C$25</definedName>
    <definedName name="副露アガリ率" localSheetId="7">ともき!$C$25</definedName>
    <definedName name="副露アガリ率" localSheetId="12">のり!$C$25</definedName>
    <definedName name="副露アガリ率" localSheetId="14">ぱぱ!$C$25</definedName>
    <definedName name="副露アガリ率" localSheetId="10">まっつん!$C$25</definedName>
    <definedName name="副露アガリ率" localSheetId="9">りくと!$C$25</definedName>
    <definedName name="副露アガリ率" localSheetId="6">れんたろう!$C$25</definedName>
    <definedName name="副露アガリ率" localSheetId="5">全体!$C$25</definedName>
    <definedName name="副露アガリ率">#REF!</definedName>
    <definedName name="副露数" localSheetId="3">Template1!$B$17</definedName>
    <definedName name="副露数" localSheetId="16">いちかわ!$B$17</definedName>
    <definedName name="副露数" localSheetId="8">だいち!$B$17</definedName>
    <definedName name="副露数" localSheetId="11">たかの!$B$17</definedName>
    <definedName name="副露数" localSheetId="13">ただ!$B$17</definedName>
    <definedName name="副露数" localSheetId="15">てんちゃん!$B$17</definedName>
    <definedName name="副露数" localSheetId="7">ともき!$B$17</definedName>
    <definedName name="副露数" localSheetId="12">のり!$B$17</definedName>
    <definedName name="副露数" localSheetId="14">ぱぱ!$B$17</definedName>
    <definedName name="副露数" localSheetId="10">まっつん!$B$17</definedName>
    <definedName name="副露数" localSheetId="9">りくと!$B$17</definedName>
    <definedName name="副露数" localSheetId="6">れんたろう!$B$17</definedName>
    <definedName name="副露数" localSheetId="5">全体!$B$17</definedName>
    <definedName name="副露数">#REF!</definedName>
    <definedName name="副露成功数" localSheetId="3">Template1!$B$19</definedName>
    <definedName name="副露成功数" localSheetId="16">いちかわ!$B$19</definedName>
    <definedName name="副露成功数" localSheetId="8">だいち!$B$19</definedName>
    <definedName name="副露成功数" localSheetId="11">たかの!$B$19</definedName>
    <definedName name="副露成功数" localSheetId="13">ただ!$B$19</definedName>
    <definedName name="副露成功数" localSheetId="15">てんちゃん!$B$19</definedName>
    <definedName name="副露成功数" localSheetId="7">ともき!$B$19</definedName>
    <definedName name="副露成功数" localSheetId="12">のり!$B$19</definedName>
    <definedName name="副露成功数" localSheetId="14">ぱぱ!$B$19</definedName>
    <definedName name="副露成功数" localSheetId="10">まっつん!$B$19</definedName>
    <definedName name="副露成功数" localSheetId="9">りくと!$B$19</definedName>
    <definedName name="副露成功数" localSheetId="6">れんたろう!$B$19</definedName>
    <definedName name="副露成功数" localSheetId="5">全体!$B$19</definedName>
    <definedName name="副露成功数">#REF!</definedName>
    <definedName name="副露成功率" localSheetId="3">Template1!$C$19</definedName>
    <definedName name="副露成功率" localSheetId="16">いちかわ!$C$19</definedName>
    <definedName name="副露成功率" localSheetId="8">だいち!$C$19</definedName>
    <definedName name="副露成功率" localSheetId="11">たかの!$C$19</definedName>
    <definedName name="副露成功率" localSheetId="13">ただ!$C$19</definedName>
    <definedName name="副露成功率" localSheetId="15">てんちゃん!$C$19</definedName>
    <definedName name="副露成功率" localSheetId="7">ともき!$C$19</definedName>
    <definedName name="副露成功率" localSheetId="12">のり!$C$19</definedName>
    <definedName name="副露成功率" localSheetId="14">ぱぱ!$C$19</definedName>
    <definedName name="副露成功率" localSheetId="10">まっつん!$C$19</definedName>
    <definedName name="副露成功率" localSheetId="9">りくと!$C$19</definedName>
    <definedName name="副露成功率" localSheetId="6">れんたろう!$C$19</definedName>
    <definedName name="副露成功率" localSheetId="5">全体!$C$19</definedName>
    <definedName name="副露成功率">#REF!</definedName>
    <definedName name="副露率" localSheetId="3">Template1!$C$17</definedName>
    <definedName name="副露率" localSheetId="16">いちかわ!$C$17</definedName>
    <definedName name="副露率" localSheetId="8">だいち!$C$17</definedName>
    <definedName name="副露率" localSheetId="11">たかの!$C$17</definedName>
    <definedName name="副露率" localSheetId="13">ただ!$C$17</definedName>
    <definedName name="副露率" localSheetId="15">てんちゃん!$C$17</definedName>
    <definedName name="副露率" localSheetId="7">ともき!$C$17</definedName>
    <definedName name="副露率" localSheetId="12">のり!$C$17</definedName>
    <definedName name="副露率" localSheetId="14">ぱぱ!$C$17</definedName>
    <definedName name="副露率" localSheetId="10">まっつん!$C$17</definedName>
    <definedName name="副露率" localSheetId="9">りくと!$C$17</definedName>
    <definedName name="副露率" localSheetId="6">れんたろう!$C$17</definedName>
    <definedName name="副露率" localSheetId="5">全体!$C$17</definedName>
    <definedName name="副露率">#REF!</definedName>
    <definedName name="平均アガリ点" localSheetId="3">Template1!$B$27</definedName>
    <definedName name="平均アガリ点" localSheetId="16">いちかわ!$B$27</definedName>
    <definedName name="平均アガリ点" localSheetId="8">だいち!$B$27</definedName>
    <definedName name="平均アガリ点" localSheetId="11">たかの!$B$27</definedName>
    <definedName name="平均アガリ点" localSheetId="13">ただ!$B$27</definedName>
    <definedName name="平均アガリ点" localSheetId="15">てんちゃん!$B$27</definedName>
    <definedName name="平均アガリ点" localSheetId="7">ともき!$B$27</definedName>
    <definedName name="平均アガリ点" localSheetId="12">のり!$B$27</definedName>
    <definedName name="平均アガリ点" localSheetId="14">ぱぱ!$B$27</definedName>
    <definedName name="平均アガリ点" localSheetId="10">まっつん!$B$27</definedName>
    <definedName name="平均アガリ点" localSheetId="9">りくと!$B$27</definedName>
    <definedName name="平均アガリ点" localSheetId="6">れんたろう!$B$27</definedName>
    <definedName name="平均アガリ点" localSheetId="5">全体!$B$27</definedName>
    <definedName name="平均アガリ点">#REF!</definedName>
    <definedName name="平均スコア" localSheetId="3">Template1!$B$5</definedName>
    <definedName name="平均スコア" localSheetId="16">いちかわ!$B$5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15">てんちゃん!$B$5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Template1!$B$7</definedName>
    <definedName name="平均順位" localSheetId="16">いちかわ!$B$7</definedName>
    <definedName name="平均順位" localSheetId="8">だいち!$B$7</definedName>
    <definedName name="平均順位" localSheetId="11">たかの!$B$7</definedName>
    <definedName name="平均順位" localSheetId="13">ただ!$B$7</definedName>
    <definedName name="平均順位" localSheetId="15">てんちゃん!$B$7</definedName>
    <definedName name="平均順位" localSheetId="7">ともき!$B$7</definedName>
    <definedName name="平均順位" localSheetId="12">のり!$B$7</definedName>
    <definedName name="平均順位" localSheetId="14">ぱぱ!$B$7</definedName>
    <definedName name="平均順位" localSheetId="10">まっつん!$B$7</definedName>
    <definedName name="平均順位" localSheetId="9">りくと!$B$7</definedName>
    <definedName name="平均順位" localSheetId="6">れんたろう!$B$7</definedName>
    <definedName name="平均順位" localSheetId="5">全体!$B$7</definedName>
    <definedName name="平均順位">#REF!</definedName>
    <definedName name="平均放銃点" localSheetId="3">Template1!$B$30</definedName>
    <definedName name="平均放銃点" localSheetId="16">いちかわ!$B$30</definedName>
    <definedName name="平均放銃点" localSheetId="8">だいち!$B$30</definedName>
    <definedName name="平均放銃点" localSheetId="11">たかの!$B$30</definedName>
    <definedName name="平均放銃点" localSheetId="13">ただ!$B$30</definedName>
    <definedName name="平均放銃点" localSheetId="15">てんちゃん!$B$30</definedName>
    <definedName name="平均放銃点" localSheetId="7">ともき!$B$30</definedName>
    <definedName name="平均放銃点" localSheetId="12">のり!$B$30</definedName>
    <definedName name="平均放銃点" localSheetId="14">ぱぱ!$B$30</definedName>
    <definedName name="平均放銃点" localSheetId="10">まっつん!$B$30</definedName>
    <definedName name="平均放銃点" localSheetId="9">りくと!$B$30</definedName>
    <definedName name="平均放銃点" localSheetId="6">れんたろう!$B$30</definedName>
    <definedName name="平均放銃点" localSheetId="5">全体!$B$30</definedName>
    <definedName name="平均放銃点">#REF!</definedName>
    <definedName name="放銃数" localSheetId="3">Template1!$B$21</definedName>
    <definedName name="放銃数" localSheetId="16">いちかわ!$B$21</definedName>
    <definedName name="放銃数" localSheetId="8">だいち!$B$21</definedName>
    <definedName name="放銃数" localSheetId="11">たかの!$B$21</definedName>
    <definedName name="放銃数" localSheetId="13">ただ!$B$21</definedName>
    <definedName name="放銃数" localSheetId="15">てんちゃん!$B$21</definedName>
    <definedName name="放銃数" localSheetId="7">ともき!$B$21</definedName>
    <definedName name="放銃数" localSheetId="12">のり!$B$21</definedName>
    <definedName name="放銃数" localSheetId="14">ぱぱ!$B$21</definedName>
    <definedName name="放銃数" localSheetId="10">まっつん!$B$21</definedName>
    <definedName name="放銃数" localSheetId="9">りくと!$B$21</definedName>
    <definedName name="放銃数" localSheetId="6">れんたろう!$B$21</definedName>
    <definedName name="放銃数" localSheetId="5">全体!$B$21</definedName>
    <definedName name="放銃数">#REF!</definedName>
    <definedName name="放銃率" localSheetId="3">Template1!$C$21</definedName>
    <definedName name="放銃率" localSheetId="16">いちかわ!$C$21</definedName>
    <definedName name="放銃率" localSheetId="8">だいち!$C$21</definedName>
    <definedName name="放銃率" localSheetId="11">たかの!$C$21</definedName>
    <definedName name="放銃率" localSheetId="13">ただ!$C$21</definedName>
    <definedName name="放銃率" localSheetId="15">てんちゃん!$C$21</definedName>
    <definedName name="放銃率" localSheetId="7">ともき!$C$21</definedName>
    <definedName name="放銃率" localSheetId="12">のり!$C$21</definedName>
    <definedName name="放銃率" localSheetId="14">ぱぱ!$C$21</definedName>
    <definedName name="放銃率" localSheetId="10">まっつん!$C$21</definedName>
    <definedName name="放銃率" localSheetId="9">りくと!$C$21</definedName>
    <definedName name="放銃率" localSheetId="6">れんたろう!$C$21</definedName>
    <definedName name="放銃率" localSheetId="5">全体!$C$21</definedName>
    <definedName name="放銃率">#REF!</definedName>
    <definedName name="名前" localSheetId="3">Template1!$B$1</definedName>
    <definedName name="名前" localSheetId="16">いちかわ!$B$1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15">てんちゃん!$B$1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Template1!$B$28</definedName>
    <definedName name="門前アガリ点" localSheetId="16">いちかわ!$B$28</definedName>
    <definedName name="門前アガリ点" localSheetId="8">だいち!$B$28</definedName>
    <definedName name="門前アガリ点" localSheetId="11">たかの!$B$28</definedName>
    <definedName name="門前アガリ点" localSheetId="13">ただ!$B$28</definedName>
    <definedName name="門前アガリ点" localSheetId="15">てんちゃん!$B$28</definedName>
    <definedName name="門前アガリ点" localSheetId="7">ともき!$B$28</definedName>
    <definedName name="門前アガリ点" localSheetId="12">のり!$B$28</definedName>
    <definedName name="門前アガリ点" localSheetId="14">ぱぱ!$B$28</definedName>
    <definedName name="門前アガリ点" localSheetId="10">まっつん!$B$28</definedName>
    <definedName name="門前アガリ点" localSheetId="9">りくと!$B$28</definedName>
    <definedName name="門前アガリ点" localSheetId="6">れんたろう!$B$28</definedName>
    <definedName name="門前アガリ点" localSheetId="5">全体!$B$28</definedName>
    <definedName name="門前アガリ点">#REF!</definedName>
    <definedName name="連続アガリ" localSheetId="3">Template1!$B$31</definedName>
    <definedName name="連続アガリ" localSheetId="16">いちかわ!$B$31</definedName>
    <definedName name="連続アガリ" localSheetId="8">だいち!$B$31</definedName>
    <definedName name="連続アガリ" localSheetId="11">たかの!$B$31</definedName>
    <definedName name="連続アガリ" localSheetId="13">ただ!$B$31</definedName>
    <definedName name="連続アガリ" localSheetId="15">てんちゃん!$B$31</definedName>
    <definedName name="連続アガリ" localSheetId="7">ともき!$B$31</definedName>
    <definedName name="連続アガリ" localSheetId="12">のり!$B$31</definedName>
    <definedName name="連続アガリ" localSheetId="14">ぱぱ!$B$31</definedName>
    <definedName name="連続アガリ" localSheetId="10">まっつん!$B$31</definedName>
    <definedName name="連続アガリ" localSheetId="9">りくと!$B$31</definedName>
    <definedName name="連続アガリ" localSheetId="6">れんたろう!$B$31</definedName>
    <definedName name="連続アガリ" localSheetId="5">全体!$B$31</definedName>
    <definedName name="連続アガリ">#REF!</definedName>
    <definedName name="連続無放銃" localSheetId="3">Template1!$B$32</definedName>
    <definedName name="連続無放銃" localSheetId="16">いちかわ!$B$32</definedName>
    <definedName name="連続無放銃" localSheetId="8">だいち!$B$32</definedName>
    <definedName name="連続無放銃" localSheetId="11">たかの!$B$32</definedName>
    <definedName name="連続無放銃" localSheetId="13">ただ!$B$32</definedName>
    <definedName name="連続無放銃" localSheetId="15">てんちゃん!$B$32</definedName>
    <definedName name="連続無放銃" localSheetId="7">ともき!$B$32</definedName>
    <definedName name="連続無放銃" localSheetId="12">のり!$B$32</definedName>
    <definedName name="連続無放銃" localSheetId="14">ぱぱ!$B$32</definedName>
    <definedName name="連続無放銃" localSheetId="10">まっつん!$B$32</definedName>
    <definedName name="連続無放銃" localSheetId="9">りくと!$B$32</definedName>
    <definedName name="連続無放銃" localSheetId="6">れんたろう!$B$32</definedName>
    <definedName name="連続無放銃" localSheetId="5">全体!$B$32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6628" l="1"/>
  <c r="P18" i="6612"/>
  <c r="P16" i="6616"/>
  <c r="P18" i="6628"/>
  <c r="P16" i="6628" l="1"/>
  <c r="P15" i="6628"/>
  <c r="C35" i="6628"/>
  <c r="B30" i="6628"/>
  <c r="C21" i="6628"/>
  <c r="B20" i="6628"/>
  <c r="H50" i="6628" s="1"/>
  <c r="B19" i="6628"/>
  <c r="B29" i="6628" s="1"/>
  <c r="B18" i="6628"/>
  <c r="C18" i="6628" s="1"/>
  <c r="C17" i="6628"/>
  <c r="C16" i="6628"/>
  <c r="C15" i="6628"/>
  <c r="B13" i="6628"/>
  <c r="P12" i="6628"/>
  <c r="B12" i="6628"/>
  <c r="P11" i="6628"/>
  <c r="B11" i="6628"/>
  <c r="B14" i="6628" s="1"/>
  <c r="P10" i="6628"/>
  <c r="H5" i="6628"/>
  <c r="C10" i="6628"/>
  <c r="C9" i="6628"/>
  <c r="C8" i="6628"/>
  <c r="P7" i="6628"/>
  <c r="B7" i="6628"/>
  <c r="P6" i="6628"/>
  <c r="P5" i="6628"/>
  <c r="B5" i="6628"/>
  <c r="P4" i="6628"/>
  <c r="P3" i="6628"/>
  <c r="P2" i="6628"/>
  <c r="P18" i="6618"/>
  <c r="P16" i="6608"/>
  <c r="P16" i="6606"/>
  <c r="H10" i="6628" l="1"/>
  <c r="C19" i="6628"/>
  <c r="H4" i="6628"/>
  <c r="H21" i="6628"/>
  <c r="C20" i="6628"/>
  <c r="H24" i="6628"/>
  <c r="H26" i="6628"/>
  <c r="H27" i="6628"/>
  <c r="H13" i="6628"/>
  <c r="H30" i="6628"/>
  <c r="H33" i="6628"/>
  <c r="H36" i="6628"/>
  <c r="C38" i="6628"/>
  <c r="C40" i="6628"/>
  <c r="C42" i="6628"/>
  <c r="C44" i="6628"/>
  <c r="C46" i="6628"/>
  <c r="C48" i="6628"/>
  <c r="H51" i="6628"/>
  <c r="H2" i="6628"/>
  <c r="H9" i="6628"/>
  <c r="H7" i="6628"/>
  <c r="H16" i="6628"/>
  <c r="H18" i="6628"/>
  <c r="H20" i="6628"/>
  <c r="C22" i="6628"/>
  <c r="C24" i="6628"/>
  <c r="C26" i="6628"/>
  <c r="B28" i="6628"/>
  <c r="H34" i="6628"/>
  <c r="H37" i="6628"/>
  <c r="H39" i="6628"/>
  <c r="H41" i="6628"/>
  <c r="H43" i="6628"/>
  <c r="H45" i="6628"/>
  <c r="H47" i="6628"/>
  <c r="H49" i="6628"/>
  <c r="H6" i="6628"/>
  <c r="H3" i="6628"/>
  <c r="H11" i="6628"/>
  <c r="H15" i="6628"/>
  <c r="H23" i="6628"/>
  <c r="H25" i="6628"/>
  <c r="H12" i="6628"/>
  <c r="H28" i="6628"/>
  <c r="H29" i="6628"/>
  <c r="H31" i="6628"/>
  <c r="H35" i="6628"/>
  <c r="C37" i="6628"/>
  <c r="C39" i="6628"/>
  <c r="C41" i="6628"/>
  <c r="C43" i="6628"/>
  <c r="C45" i="6628"/>
  <c r="C47" i="6628"/>
  <c r="C49" i="6628"/>
  <c r="H52" i="6628"/>
  <c r="H8" i="6628"/>
  <c r="H14" i="6628"/>
  <c r="H17" i="6628"/>
  <c r="H19" i="6628"/>
  <c r="H22" i="6628"/>
  <c r="C23" i="6628"/>
  <c r="C25" i="6628"/>
  <c r="B27" i="6628"/>
  <c r="H32" i="6628"/>
  <c r="H38" i="6628"/>
  <c r="H40" i="6628"/>
  <c r="H42" i="6628"/>
  <c r="H44" i="6628"/>
  <c r="H46" i="6628"/>
  <c r="H48" i="6628"/>
  <c r="P18" i="6626" l="1"/>
  <c r="P15" i="6616"/>
  <c r="P16" i="6626"/>
  <c r="P16" i="6614"/>
  <c r="P15" i="6626"/>
  <c r="P17" i="6626"/>
  <c r="C35" i="6626"/>
  <c r="B30" i="6626"/>
  <c r="C21" i="6626"/>
  <c r="B20" i="6626"/>
  <c r="H50" i="6626" s="1"/>
  <c r="B19" i="6626"/>
  <c r="B29" i="6626" s="1"/>
  <c r="B18" i="6626"/>
  <c r="C18" i="6626" s="1"/>
  <c r="C17" i="6626"/>
  <c r="C16" i="6626"/>
  <c r="C15" i="6626"/>
  <c r="B13" i="6626"/>
  <c r="P12" i="6626"/>
  <c r="B12" i="6626"/>
  <c r="P11" i="6626"/>
  <c r="B11" i="6626"/>
  <c r="P10" i="6626"/>
  <c r="C10" i="6626"/>
  <c r="C9" i="6626"/>
  <c r="C8" i="6626"/>
  <c r="P7" i="6626"/>
  <c r="B7" i="6626"/>
  <c r="P6" i="6626"/>
  <c r="P5" i="6626"/>
  <c r="B5" i="6626"/>
  <c r="P4" i="6626"/>
  <c r="P3" i="6626"/>
  <c r="P2" i="6626"/>
  <c r="P17" i="6622"/>
  <c r="P15" i="6612"/>
  <c r="P15" i="6606"/>
  <c r="B14" i="6626" l="1"/>
  <c r="H10" i="6626"/>
  <c r="H8" i="6626"/>
  <c r="C20" i="6626"/>
  <c r="H4" i="6626"/>
  <c r="H19" i="6626"/>
  <c r="C19" i="6626"/>
  <c r="H22" i="6626"/>
  <c r="H24" i="6626"/>
  <c r="H26" i="6626"/>
  <c r="H28" i="6626"/>
  <c r="H30" i="6626"/>
  <c r="H33" i="6626"/>
  <c r="H36" i="6626"/>
  <c r="C38" i="6626"/>
  <c r="C40" i="6626"/>
  <c r="C42" i="6626"/>
  <c r="C44" i="6626"/>
  <c r="C46" i="6626"/>
  <c r="C48" i="6626"/>
  <c r="H51" i="6626"/>
  <c r="H2" i="6626"/>
  <c r="H7" i="6626"/>
  <c r="H9" i="6626"/>
  <c r="H15" i="6626"/>
  <c r="H17" i="6626"/>
  <c r="H11" i="6626"/>
  <c r="C22" i="6626"/>
  <c r="C24" i="6626"/>
  <c r="C26" i="6626"/>
  <c r="B28" i="6626"/>
  <c r="H34" i="6626"/>
  <c r="H37" i="6626"/>
  <c r="H39" i="6626"/>
  <c r="H41" i="6626"/>
  <c r="H43" i="6626"/>
  <c r="H45" i="6626"/>
  <c r="H47" i="6626"/>
  <c r="H49" i="6626"/>
  <c r="H5" i="6626"/>
  <c r="H3" i="6626"/>
  <c r="H12" i="6626"/>
  <c r="H14" i="6626"/>
  <c r="H21" i="6626"/>
  <c r="H23" i="6626"/>
  <c r="H25" i="6626"/>
  <c r="H27" i="6626"/>
  <c r="H29" i="6626"/>
  <c r="H31" i="6626"/>
  <c r="H35" i="6626"/>
  <c r="C37" i="6626"/>
  <c r="C39" i="6626"/>
  <c r="C41" i="6626"/>
  <c r="C43" i="6626"/>
  <c r="C45" i="6626"/>
  <c r="C47" i="6626"/>
  <c r="C49" i="6626"/>
  <c r="H52" i="6626"/>
  <c r="H6" i="6626"/>
  <c r="H13" i="6626"/>
  <c r="H16" i="6626"/>
  <c r="H18" i="6626"/>
  <c r="H20" i="6626"/>
  <c r="C23" i="6626"/>
  <c r="C25" i="6626"/>
  <c r="B27" i="6626"/>
  <c r="H32" i="6626"/>
  <c r="H38" i="6626"/>
  <c r="H40" i="6626"/>
  <c r="H42" i="6626"/>
  <c r="H44" i="6626"/>
  <c r="H46" i="6626"/>
  <c r="H48" i="6626"/>
  <c r="P15" i="6618" l="1"/>
  <c r="P20" i="6622"/>
  <c r="P21" i="6608" l="1"/>
  <c r="P17" i="6620"/>
  <c r="P15" i="6624" l="1"/>
  <c r="P16" i="6624"/>
  <c r="C35" i="6624"/>
  <c r="B30" i="6624"/>
  <c r="C21" i="6624"/>
  <c r="B20" i="6624"/>
  <c r="H50" i="6624" s="1"/>
  <c r="B19" i="6624"/>
  <c r="B29" i="6624" s="1"/>
  <c r="B18" i="6624"/>
  <c r="C18" i="6624" s="1"/>
  <c r="C17" i="6624"/>
  <c r="C16" i="6624"/>
  <c r="C15" i="6624"/>
  <c r="B13" i="6624"/>
  <c r="P12" i="6624"/>
  <c r="B12" i="6624"/>
  <c r="P11" i="6624"/>
  <c r="B11" i="6624"/>
  <c r="P10" i="6624"/>
  <c r="C10" i="6624"/>
  <c r="C9" i="6624"/>
  <c r="C8" i="6624"/>
  <c r="P7" i="6624"/>
  <c r="B7" i="6624"/>
  <c r="P6" i="6624"/>
  <c r="P5" i="6624"/>
  <c r="B5" i="6624"/>
  <c r="P4" i="6624"/>
  <c r="P3" i="6624"/>
  <c r="P2" i="6624"/>
  <c r="P23" i="6612"/>
  <c r="P17" i="6608"/>
  <c r="P19" i="6606"/>
  <c r="C19" i="6624" l="1"/>
  <c r="H3" i="6624"/>
  <c r="B14" i="6624"/>
  <c r="H21" i="6624"/>
  <c r="C20" i="6624"/>
  <c r="H5" i="6624"/>
  <c r="H10" i="6624"/>
  <c r="H24" i="6624"/>
  <c r="H26" i="6624"/>
  <c r="H27" i="6624"/>
  <c r="H14" i="6624"/>
  <c r="H30" i="6624"/>
  <c r="H33" i="6624"/>
  <c r="H36" i="6624"/>
  <c r="C38" i="6624"/>
  <c r="C40" i="6624"/>
  <c r="C42" i="6624"/>
  <c r="C44" i="6624"/>
  <c r="C46" i="6624"/>
  <c r="C48" i="6624"/>
  <c r="H51" i="6624"/>
  <c r="H2" i="6624"/>
  <c r="H6" i="6624"/>
  <c r="H9" i="6624"/>
  <c r="H18" i="6624"/>
  <c r="H20" i="6624"/>
  <c r="H11" i="6624"/>
  <c r="C22" i="6624"/>
  <c r="C24" i="6624"/>
  <c r="C26" i="6624"/>
  <c r="B28" i="6624"/>
  <c r="H34" i="6624"/>
  <c r="H37" i="6624"/>
  <c r="H39" i="6624"/>
  <c r="H41" i="6624"/>
  <c r="H43" i="6624"/>
  <c r="H45" i="6624"/>
  <c r="H47" i="6624"/>
  <c r="H49" i="6624"/>
  <c r="H7" i="6624"/>
  <c r="H4" i="6624"/>
  <c r="H15" i="6624"/>
  <c r="H17" i="6624"/>
  <c r="H23" i="6624"/>
  <c r="H25" i="6624"/>
  <c r="H13" i="6624"/>
  <c r="H28" i="6624"/>
  <c r="H29" i="6624"/>
  <c r="H31" i="6624"/>
  <c r="H35" i="6624"/>
  <c r="C37" i="6624"/>
  <c r="C39" i="6624"/>
  <c r="C41" i="6624"/>
  <c r="C43" i="6624"/>
  <c r="C45" i="6624"/>
  <c r="C47" i="6624"/>
  <c r="C49" i="6624"/>
  <c r="H52" i="6624"/>
  <c r="H8" i="6624"/>
  <c r="H16" i="6624"/>
  <c r="H19" i="6624"/>
  <c r="H12" i="6624"/>
  <c r="H22" i="6624"/>
  <c r="C23" i="6624"/>
  <c r="C25" i="6624"/>
  <c r="B27" i="6624"/>
  <c r="H32" i="6624"/>
  <c r="H38" i="6624"/>
  <c r="H40" i="6624"/>
  <c r="H42" i="6624"/>
  <c r="H44" i="6624"/>
  <c r="H46" i="6624"/>
  <c r="H48" i="6624"/>
  <c r="P17" i="6614" l="1"/>
  <c r="P16" i="6622"/>
  <c r="P16" i="6610"/>
  <c r="P20" i="6618"/>
  <c r="P21" i="6622" l="1"/>
  <c r="P15" i="6610"/>
  <c r="P18" i="6622"/>
  <c r="P18" i="6608"/>
  <c r="P17" i="6616" l="1"/>
  <c r="P17" i="6610"/>
  <c r="P22" i="6612"/>
  <c r="P20" i="6616"/>
  <c r="P20" i="6606"/>
  <c r="P19" i="6622"/>
  <c r="P15" i="6622"/>
  <c r="C35" i="6622"/>
  <c r="B30" i="6622"/>
  <c r="C21" i="6622"/>
  <c r="B20" i="6622"/>
  <c r="H52" i="6622" s="1"/>
  <c r="B19" i="6622"/>
  <c r="B29" i="6622" s="1"/>
  <c r="B18" i="6622"/>
  <c r="C18" i="6622" s="1"/>
  <c r="C17" i="6622"/>
  <c r="C16" i="6622"/>
  <c r="C15" i="6622"/>
  <c r="B13" i="6622"/>
  <c r="P12" i="6622"/>
  <c r="B12" i="6622"/>
  <c r="P11" i="6622"/>
  <c r="B11" i="6622"/>
  <c r="P10" i="6622"/>
  <c r="C10" i="6622"/>
  <c r="C9" i="6622"/>
  <c r="C8" i="6622"/>
  <c r="P7" i="6622"/>
  <c r="B7" i="6622"/>
  <c r="P6" i="6622"/>
  <c r="P5" i="6622"/>
  <c r="B5" i="6622"/>
  <c r="P4" i="6622"/>
  <c r="P3" i="6622"/>
  <c r="P2" i="6622"/>
  <c r="B14" i="6622" l="1"/>
  <c r="H7" i="6622"/>
  <c r="C19" i="6622"/>
  <c r="H17" i="6622"/>
  <c r="H14" i="6622"/>
  <c r="H3" i="6622"/>
  <c r="H2" i="6622"/>
  <c r="H21" i="6622"/>
  <c r="H5" i="6622"/>
  <c r="H6" i="6622"/>
  <c r="H12" i="6622"/>
  <c r="H10" i="6622"/>
  <c r="H9" i="6622"/>
  <c r="H20" i="6622"/>
  <c r="H22" i="6622"/>
  <c r="H23" i="6622"/>
  <c r="H16" i="6622"/>
  <c r="H24" i="6622"/>
  <c r="H11" i="6622"/>
  <c r="H19" i="6622"/>
  <c r="C20" i="6622"/>
  <c r="C23" i="6622"/>
  <c r="C25" i="6622"/>
  <c r="B27" i="6622"/>
  <c r="H32" i="6622"/>
  <c r="H38" i="6622"/>
  <c r="H40" i="6622"/>
  <c r="H42" i="6622"/>
  <c r="H44" i="6622"/>
  <c r="H46" i="6622"/>
  <c r="H48" i="6622"/>
  <c r="H50" i="6622"/>
  <c r="H15" i="6622"/>
  <c r="H27" i="6622"/>
  <c r="H28" i="6622"/>
  <c r="H8" i="6622"/>
  <c r="H31" i="6622"/>
  <c r="H33" i="6622"/>
  <c r="H36" i="6622"/>
  <c r="C38" i="6622"/>
  <c r="C40" i="6622"/>
  <c r="C42" i="6622"/>
  <c r="C44" i="6622"/>
  <c r="C46" i="6622"/>
  <c r="C48" i="6622"/>
  <c r="H51" i="6622"/>
  <c r="C22" i="6622"/>
  <c r="C24" i="6622"/>
  <c r="C26" i="6622"/>
  <c r="B28" i="6622"/>
  <c r="H34" i="6622"/>
  <c r="H37" i="6622"/>
  <c r="H39" i="6622"/>
  <c r="H41" i="6622"/>
  <c r="H43" i="6622"/>
  <c r="H45" i="6622"/>
  <c r="H47" i="6622"/>
  <c r="H49" i="6622"/>
  <c r="H4" i="6622"/>
  <c r="H25" i="6622"/>
  <c r="H26" i="6622"/>
  <c r="H13" i="6622"/>
  <c r="H29" i="6622"/>
  <c r="H30" i="6622"/>
  <c r="H18" i="6622"/>
  <c r="H35" i="6622"/>
  <c r="C37" i="6622"/>
  <c r="C39" i="6622"/>
  <c r="C41" i="6622"/>
  <c r="C43" i="6622"/>
  <c r="C45" i="6622"/>
  <c r="C47" i="6622"/>
  <c r="C49" i="6622"/>
  <c r="P21" i="6612" l="1"/>
  <c r="P22" i="6618"/>
  <c r="P22" i="6608"/>
  <c r="P19" i="6618"/>
  <c r="P20" i="6612" l="1"/>
  <c r="P19" i="6614"/>
  <c r="P23" i="6608"/>
  <c r="P19" i="6608"/>
  <c r="P15" i="6614"/>
  <c r="P21" i="6616"/>
  <c r="P16" i="6620" l="1"/>
  <c r="P19" i="6620"/>
  <c r="P23" i="6616"/>
  <c r="P22" i="6616"/>
  <c r="P16" i="6612"/>
  <c r="P19" i="6612"/>
  <c r="P17" i="6618"/>
  <c r="P15" i="6620"/>
  <c r="P18" i="6620"/>
  <c r="C35" i="6620"/>
  <c r="B30" i="6620"/>
  <c r="C21" i="6620"/>
  <c r="B20" i="6620"/>
  <c r="H4" i="6620" s="1"/>
  <c r="B19" i="6620"/>
  <c r="B29" i="6620" s="1"/>
  <c r="B18" i="6620"/>
  <c r="C18" i="6620" s="1"/>
  <c r="C17" i="6620"/>
  <c r="C16" i="6620"/>
  <c r="C15" i="6620"/>
  <c r="B13" i="6620"/>
  <c r="P12" i="6620"/>
  <c r="B12" i="6620"/>
  <c r="P11" i="6620"/>
  <c r="B11" i="6620"/>
  <c r="P10" i="6620"/>
  <c r="C10" i="6620"/>
  <c r="C9" i="6620"/>
  <c r="C8" i="6620"/>
  <c r="P7" i="6620"/>
  <c r="B7" i="6620"/>
  <c r="P6" i="6620"/>
  <c r="P5" i="6620"/>
  <c r="B5" i="6620"/>
  <c r="P4" i="6620"/>
  <c r="P3" i="6620"/>
  <c r="P2" i="6620"/>
  <c r="P20" i="6614"/>
  <c r="P22" i="6606"/>
  <c r="P21" i="6618"/>
  <c r="P16" i="6618"/>
  <c r="C35" i="6618"/>
  <c r="B30" i="6618"/>
  <c r="C21" i="6618"/>
  <c r="B20" i="6618"/>
  <c r="H51" i="6618" s="1"/>
  <c r="B19" i="6618"/>
  <c r="C19" i="6618" s="1"/>
  <c r="B18" i="6618"/>
  <c r="C18" i="6618" s="1"/>
  <c r="C17" i="6618"/>
  <c r="C16" i="6618"/>
  <c r="C15" i="6618"/>
  <c r="B13" i="6618"/>
  <c r="P12" i="6618"/>
  <c r="B12" i="6618"/>
  <c r="P11" i="6618"/>
  <c r="B11" i="6618"/>
  <c r="P10" i="6618"/>
  <c r="C10" i="6618"/>
  <c r="C9" i="6618"/>
  <c r="C8" i="6618"/>
  <c r="P7" i="6618"/>
  <c r="B7" i="6618"/>
  <c r="P6" i="6618"/>
  <c r="P5" i="6618"/>
  <c r="B5" i="6618"/>
  <c r="P4" i="6618"/>
  <c r="P3" i="6618"/>
  <c r="P2" i="6618"/>
  <c r="P19" i="6616"/>
  <c r="P18" i="6616"/>
  <c r="C35" i="6616"/>
  <c r="B30" i="6616"/>
  <c r="C21" i="6616"/>
  <c r="B20" i="6616"/>
  <c r="H52" i="6616" s="1"/>
  <c r="B19" i="6616"/>
  <c r="B29" i="6616" s="1"/>
  <c r="B18" i="6616"/>
  <c r="C18" i="6616" s="1"/>
  <c r="C17" i="6616"/>
  <c r="C16" i="6616"/>
  <c r="C15" i="6616"/>
  <c r="B13" i="6616"/>
  <c r="P12" i="6616"/>
  <c r="B12" i="6616"/>
  <c r="P11" i="6616"/>
  <c r="B11" i="6616"/>
  <c r="P10" i="6616"/>
  <c r="C10" i="6616"/>
  <c r="C9" i="6616"/>
  <c r="C8" i="6616"/>
  <c r="P7" i="6616"/>
  <c r="B7" i="6616"/>
  <c r="P6" i="6616"/>
  <c r="P5" i="6616"/>
  <c r="B5" i="6616"/>
  <c r="P4" i="6616"/>
  <c r="P3" i="6616"/>
  <c r="P2" i="6616"/>
  <c r="P18" i="6606"/>
  <c r="P21" i="6614"/>
  <c r="P18" i="6614"/>
  <c r="C35" i="6614"/>
  <c r="B30" i="6614"/>
  <c r="C21" i="6614"/>
  <c r="B20" i="6614"/>
  <c r="H5" i="6614" s="1"/>
  <c r="B19" i="6614"/>
  <c r="B29" i="6614" s="1"/>
  <c r="B18" i="6614"/>
  <c r="C18" i="6614" s="1"/>
  <c r="C17" i="6614"/>
  <c r="C16" i="6614"/>
  <c r="C15" i="6614"/>
  <c r="B13" i="6614"/>
  <c r="P12" i="6614"/>
  <c r="B12" i="6614"/>
  <c r="P11" i="6614"/>
  <c r="B11" i="6614"/>
  <c r="P10" i="6614"/>
  <c r="C10" i="6614"/>
  <c r="C9" i="6614"/>
  <c r="C8" i="6614"/>
  <c r="P7" i="6614"/>
  <c r="B7" i="6614"/>
  <c r="P6" i="6614"/>
  <c r="P5" i="6614"/>
  <c r="B5" i="6614"/>
  <c r="P4" i="6614"/>
  <c r="P3" i="6614"/>
  <c r="P2" i="6614"/>
  <c r="P24" i="6606"/>
  <c r="P21" i="6606"/>
  <c r="P17" i="6612"/>
  <c r="P24" i="6612"/>
  <c r="C35" i="6612"/>
  <c r="B30" i="6612"/>
  <c r="C21" i="6612"/>
  <c r="B20" i="6612"/>
  <c r="H16" i="6612" s="1"/>
  <c r="B19" i="6612"/>
  <c r="B29" i="6612" s="1"/>
  <c r="B18" i="6612"/>
  <c r="C18" i="6612" s="1"/>
  <c r="C17" i="6612"/>
  <c r="C16" i="6612"/>
  <c r="C15" i="6612"/>
  <c r="B13" i="6612"/>
  <c r="P12" i="6612"/>
  <c r="B12" i="6612"/>
  <c r="P11" i="6612"/>
  <c r="B11" i="6612"/>
  <c r="P10" i="6612"/>
  <c r="C10" i="6612"/>
  <c r="C9" i="6612"/>
  <c r="C8" i="6612"/>
  <c r="P7" i="6612"/>
  <c r="B7" i="6612"/>
  <c r="P6" i="6612"/>
  <c r="P5" i="6612"/>
  <c r="B5" i="6612"/>
  <c r="P4" i="6612"/>
  <c r="P3" i="6612"/>
  <c r="P2" i="6612"/>
  <c r="P18" i="6610"/>
  <c r="P19" i="6610"/>
  <c r="C35" i="6610"/>
  <c r="B30" i="6610"/>
  <c r="C21" i="6610"/>
  <c r="B20" i="6610"/>
  <c r="H5" i="6610" s="1"/>
  <c r="B19" i="6610"/>
  <c r="B29" i="6610" s="1"/>
  <c r="B18" i="6610"/>
  <c r="C18" i="6610" s="1"/>
  <c r="C17" i="6610"/>
  <c r="C16" i="6610"/>
  <c r="C15" i="6610"/>
  <c r="B13" i="6610"/>
  <c r="P12" i="6610"/>
  <c r="B12" i="6610"/>
  <c r="P11" i="6610"/>
  <c r="B11" i="6610"/>
  <c r="P10" i="6610"/>
  <c r="C10" i="6610"/>
  <c r="C9" i="6610"/>
  <c r="C8" i="6610"/>
  <c r="P7" i="6610"/>
  <c r="B7" i="6610"/>
  <c r="P6" i="6610"/>
  <c r="P5" i="6610"/>
  <c r="B5" i="6610"/>
  <c r="P4" i="6610"/>
  <c r="P3" i="6610"/>
  <c r="P2" i="6610"/>
  <c r="P23" i="6606"/>
  <c r="P20" i="6608"/>
  <c r="P15" i="6608"/>
  <c r="C35" i="6608"/>
  <c r="B30" i="6608"/>
  <c r="C21" i="6608"/>
  <c r="B20" i="6608"/>
  <c r="H51" i="6608" s="1"/>
  <c r="B19" i="6608"/>
  <c r="B29" i="6608" s="1"/>
  <c r="B18" i="6608"/>
  <c r="C18" i="6608" s="1"/>
  <c r="C17" i="6608"/>
  <c r="C16" i="6608"/>
  <c r="C15" i="6608"/>
  <c r="B13" i="6608"/>
  <c r="P12" i="6608"/>
  <c r="B12" i="6608"/>
  <c r="P11" i="6608"/>
  <c r="B11" i="6608"/>
  <c r="P10" i="6608"/>
  <c r="C10" i="6608"/>
  <c r="C9" i="6608"/>
  <c r="C8" i="6608"/>
  <c r="P7" i="6608"/>
  <c r="B7" i="6608"/>
  <c r="P6" i="6608"/>
  <c r="P5" i="6608"/>
  <c r="B5" i="6608"/>
  <c r="P4" i="6608"/>
  <c r="P3" i="6608"/>
  <c r="P2" i="6608"/>
  <c r="P25" i="6606"/>
  <c r="P17" i="6606"/>
  <c r="C35" i="6606"/>
  <c r="B30" i="6606"/>
  <c r="C21" i="6606"/>
  <c r="B20" i="6606"/>
  <c r="H19" i="6606" s="1"/>
  <c r="B19" i="6606"/>
  <c r="B29" i="6606" s="1"/>
  <c r="B18" i="6606"/>
  <c r="C18" i="6606" s="1"/>
  <c r="C17" i="6606"/>
  <c r="C16" i="6606"/>
  <c r="C15" i="6606"/>
  <c r="B13" i="6606"/>
  <c r="P12" i="6606"/>
  <c r="B12" i="6606"/>
  <c r="P11" i="6606"/>
  <c r="B11" i="6606"/>
  <c r="P10" i="6606"/>
  <c r="C10" i="6606"/>
  <c r="C9" i="6606"/>
  <c r="C8" i="6606"/>
  <c r="P7" i="6606"/>
  <c r="B7" i="6606"/>
  <c r="P6" i="6606"/>
  <c r="P5" i="6606"/>
  <c r="B5" i="6606"/>
  <c r="P4" i="6606"/>
  <c r="P3" i="6606"/>
  <c r="P2" i="6606"/>
  <c r="H15" i="6614" l="1"/>
  <c r="C19" i="6614"/>
  <c r="B14" i="6618"/>
  <c r="C19" i="6620"/>
  <c r="C19" i="6610"/>
  <c r="B14" i="6610"/>
  <c r="H14" i="6610"/>
  <c r="H4" i="6610"/>
  <c r="H11" i="6610"/>
  <c r="H6" i="6610"/>
  <c r="B14" i="6614"/>
  <c r="H23" i="6614"/>
  <c r="H21" i="6614"/>
  <c r="H6" i="6616"/>
  <c r="C19" i="6616"/>
  <c r="H13" i="6616"/>
  <c r="H27" i="6616"/>
  <c r="H7" i="6616"/>
  <c r="H16" i="6616"/>
  <c r="C19" i="6608"/>
  <c r="C20" i="6608"/>
  <c r="H27" i="6608"/>
  <c r="H7" i="6608"/>
  <c r="H4" i="6608"/>
  <c r="H26" i="6614"/>
  <c r="H30" i="6614"/>
  <c r="H4" i="6616"/>
  <c r="H12" i="6616"/>
  <c r="H3" i="6616"/>
  <c r="H12" i="6614"/>
  <c r="H6" i="6614"/>
  <c r="H13" i="6614"/>
  <c r="C24" i="6614"/>
  <c r="H2" i="6616"/>
  <c r="H9" i="6616"/>
  <c r="H26" i="6616"/>
  <c r="H16" i="6614"/>
  <c r="H14" i="6614"/>
  <c r="C43" i="6614"/>
  <c r="H52" i="6614"/>
  <c r="C22" i="6614"/>
  <c r="H11" i="6614"/>
  <c r="B27" i="6614"/>
  <c r="H20" i="6614"/>
  <c r="C37" i="6614"/>
  <c r="C45" i="6614"/>
  <c r="H7" i="6614"/>
  <c r="H3" i="6614"/>
  <c r="H24" i="6614"/>
  <c r="B28" i="6614"/>
  <c r="C20" i="6614"/>
  <c r="H28" i="6614"/>
  <c r="C25" i="6614"/>
  <c r="H31" i="6614"/>
  <c r="H32" i="6614"/>
  <c r="C39" i="6614"/>
  <c r="C47" i="6614"/>
  <c r="H9" i="6614"/>
  <c r="H25" i="6614"/>
  <c r="H4" i="6614"/>
  <c r="H2" i="6614"/>
  <c r="H10" i="6614"/>
  <c r="H22" i="6614"/>
  <c r="H27" i="6614"/>
  <c r="C23" i="6614"/>
  <c r="C26" i="6614"/>
  <c r="H35" i="6614"/>
  <c r="C41" i="6614"/>
  <c r="C49" i="6614"/>
  <c r="H10" i="6616"/>
  <c r="H25" i="6616"/>
  <c r="H28" i="6616"/>
  <c r="H11" i="6608"/>
  <c r="C19" i="6606"/>
  <c r="C20" i="6616"/>
  <c r="H9" i="6620"/>
  <c r="H13" i="6620"/>
  <c r="H21" i="6620"/>
  <c r="C26" i="6620"/>
  <c r="H7" i="6620"/>
  <c r="H15" i="6620"/>
  <c r="H6" i="6620"/>
  <c r="H14" i="6620"/>
  <c r="H20" i="6620"/>
  <c r="C20" i="6620"/>
  <c r="C23" i="6620"/>
  <c r="H28" i="6620"/>
  <c r="C37" i="6620"/>
  <c r="H25" i="6620"/>
  <c r="H52" i="6620"/>
  <c r="H2" i="6620"/>
  <c r="H3" i="6620"/>
  <c r="H12" i="6620"/>
  <c r="H17" i="6620"/>
  <c r="H23" i="6620"/>
  <c r="C24" i="6620"/>
  <c r="H29" i="6620"/>
  <c r="C43" i="6620"/>
  <c r="H5" i="6620"/>
  <c r="H8" i="6620"/>
  <c r="H16" i="6620"/>
  <c r="H18" i="6620"/>
  <c r="H19" i="6620"/>
  <c r="H22" i="6620"/>
  <c r="C25" i="6620"/>
  <c r="C45" i="6620"/>
  <c r="H31" i="6620"/>
  <c r="C39" i="6620"/>
  <c r="C47" i="6620"/>
  <c r="C22" i="6620"/>
  <c r="H10" i="6620"/>
  <c r="B27" i="6620"/>
  <c r="H35" i="6620"/>
  <c r="C41" i="6620"/>
  <c r="C49" i="6620"/>
  <c r="H12" i="6618"/>
  <c r="H26" i="6618"/>
  <c r="H13" i="6618"/>
  <c r="H20" i="6618"/>
  <c r="B14" i="6620"/>
  <c r="H32" i="6620"/>
  <c r="H38" i="6620"/>
  <c r="H40" i="6620"/>
  <c r="H42" i="6620"/>
  <c r="H44" i="6620"/>
  <c r="H46" i="6620"/>
  <c r="H48" i="6620"/>
  <c r="H50" i="6620"/>
  <c r="H24" i="6620"/>
  <c r="H26" i="6620"/>
  <c r="H27" i="6620"/>
  <c r="H11" i="6620"/>
  <c r="H30" i="6620"/>
  <c r="H33" i="6620"/>
  <c r="H36" i="6620"/>
  <c r="C38" i="6620"/>
  <c r="C40" i="6620"/>
  <c r="C42" i="6620"/>
  <c r="C44" i="6620"/>
  <c r="C46" i="6620"/>
  <c r="C48" i="6620"/>
  <c r="H51" i="6620"/>
  <c r="B28" i="6620"/>
  <c r="H34" i="6620"/>
  <c r="H37" i="6620"/>
  <c r="H39" i="6620"/>
  <c r="H41" i="6620"/>
  <c r="H43" i="6620"/>
  <c r="H45" i="6620"/>
  <c r="H47" i="6620"/>
  <c r="H49" i="6620"/>
  <c r="H38" i="6618"/>
  <c r="H24" i="6618"/>
  <c r="H11" i="6618"/>
  <c r="H7" i="6618"/>
  <c r="H25" i="6618"/>
  <c r="H32" i="6618"/>
  <c r="H45" i="6618"/>
  <c r="H3" i="6618"/>
  <c r="H15" i="6618"/>
  <c r="C24" i="6618"/>
  <c r="H49" i="6618"/>
  <c r="H27" i="6618"/>
  <c r="C22" i="6618"/>
  <c r="B27" i="6618"/>
  <c r="C45" i="6618"/>
  <c r="H22" i="6618"/>
  <c r="C20" i="6618"/>
  <c r="C25" i="6618"/>
  <c r="H36" i="6618"/>
  <c r="H43" i="6618"/>
  <c r="H4" i="6618"/>
  <c r="H16" i="6618"/>
  <c r="H35" i="6618"/>
  <c r="C37" i="6618"/>
  <c r="C41" i="6618"/>
  <c r="C49" i="6618"/>
  <c r="H5" i="6618"/>
  <c r="H2" i="6618"/>
  <c r="H8" i="6618"/>
  <c r="H17" i="6618"/>
  <c r="H18" i="6618"/>
  <c r="B28" i="6618"/>
  <c r="H29" i="6618"/>
  <c r="H31" i="6618"/>
  <c r="H40" i="6618"/>
  <c r="H47" i="6618"/>
  <c r="H6" i="6618"/>
  <c r="H14" i="6618"/>
  <c r="H21" i="6618"/>
  <c r="H28" i="6618"/>
  <c r="C23" i="6618"/>
  <c r="C26" i="6618"/>
  <c r="C39" i="6618"/>
  <c r="C43" i="6618"/>
  <c r="C47" i="6618"/>
  <c r="H52" i="6618"/>
  <c r="B29" i="6618"/>
  <c r="H33" i="6618"/>
  <c r="H39" i="6618"/>
  <c r="H41" i="6618"/>
  <c r="H42" i="6618"/>
  <c r="H44" i="6618"/>
  <c r="H46" i="6618"/>
  <c r="H48" i="6618"/>
  <c r="H50" i="6618"/>
  <c r="H10" i="6618"/>
  <c r="H19" i="6618"/>
  <c r="H30" i="6618"/>
  <c r="H9" i="6618"/>
  <c r="H23" i="6618"/>
  <c r="H34" i="6618"/>
  <c r="H37" i="6618"/>
  <c r="C38" i="6618"/>
  <c r="C40" i="6618"/>
  <c r="C42" i="6618"/>
  <c r="C44" i="6618"/>
  <c r="C46" i="6618"/>
  <c r="C48" i="6618"/>
  <c r="B14" i="6616"/>
  <c r="H17" i="6616"/>
  <c r="C23" i="6616"/>
  <c r="C25" i="6616"/>
  <c r="B27" i="6616"/>
  <c r="H34" i="6616"/>
  <c r="H39" i="6616"/>
  <c r="H41" i="6616"/>
  <c r="H43" i="6616"/>
  <c r="H45" i="6616"/>
  <c r="H47" i="6616"/>
  <c r="H49" i="6616"/>
  <c r="H51" i="6616"/>
  <c r="H11" i="6616"/>
  <c r="H22" i="6616"/>
  <c r="H31" i="6616"/>
  <c r="H8" i="6616"/>
  <c r="H15" i="6616"/>
  <c r="H35" i="6616"/>
  <c r="H37" i="6616"/>
  <c r="C38" i="6616"/>
  <c r="C40" i="6616"/>
  <c r="C42" i="6616"/>
  <c r="C44" i="6616"/>
  <c r="C46" i="6616"/>
  <c r="C48" i="6616"/>
  <c r="H24" i="6616"/>
  <c r="H20" i="6616"/>
  <c r="H21" i="6616"/>
  <c r="H14" i="6616"/>
  <c r="C22" i="6616"/>
  <c r="C24" i="6616"/>
  <c r="C26" i="6616"/>
  <c r="B28" i="6616"/>
  <c r="H23" i="6616"/>
  <c r="H38" i="6616"/>
  <c r="H40" i="6616"/>
  <c r="H42" i="6616"/>
  <c r="H44" i="6616"/>
  <c r="H46" i="6616"/>
  <c r="H48" i="6616"/>
  <c r="H50" i="6616"/>
  <c r="H5" i="6616"/>
  <c r="H29" i="6616"/>
  <c r="H30" i="6616"/>
  <c r="H18" i="6616"/>
  <c r="H32" i="6616"/>
  <c r="H33" i="6616"/>
  <c r="H19" i="6616"/>
  <c r="H36" i="6616"/>
  <c r="C37" i="6616"/>
  <c r="C39" i="6616"/>
  <c r="C41" i="6616"/>
  <c r="C43" i="6616"/>
  <c r="C45" i="6616"/>
  <c r="C47" i="6616"/>
  <c r="C49" i="6616"/>
  <c r="H38" i="6614"/>
  <c r="H40" i="6614"/>
  <c r="H42" i="6614"/>
  <c r="H44" i="6614"/>
  <c r="H46" i="6614"/>
  <c r="H48" i="6614"/>
  <c r="H50" i="6614"/>
  <c r="H17" i="6614"/>
  <c r="H29" i="6614"/>
  <c r="H18" i="6614"/>
  <c r="H8" i="6614"/>
  <c r="H19" i="6614"/>
  <c r="H33" i="6614"/>
  <c r="H36" i="6614"/>
  <c r="C38" i="6614"/>
  <c r="C40" i="6614"/>
  <c r="C42" i="6614"/>
  <c r="C44" i="6614"/>
  <c r="C46" i="6614"/>
  <c r="C48" i="6614"/>
  <c r="H51" i="6614"/>
  <c r="H34" i="6614"/>
  <c r="H37" i="6614"/>
  <c r="H39" i="6614"/>
  <c r="H41" i="6614"/>
  <c r="H43" i="6614"/>
  <c r="H45" i="6614"/>
  <c r="H47" i="6614"/>
  <c r="H49" i="6614"/>
  <c r="B14" i="6612"/>
  <c r="C19" i="6612"/>
  <c r="H10" i="6612"/>
  <c r="H12" i="6612"/>
  <c r="H6" i="6612"/>
  <c r="H13" i="6612"/>
  <c r="H29" i="6612"/>
  <c r="H30" i="6612"/>
  <c r="H14" i="6612"/>
  <c r="H18" i="6612"/>
  <c r="C24" i="6612"/>
  <c r="H34" i="6612"/>
  <c r="H20" i="6612"/>
  <c r="H41" i="6612"/>
  <c r="C41" i="6612"/>
  <c r="H46" i="6612"/>
  <c r="H48" i="6612"/>
  <c r="C49" i="6612"/>
  <c r="B27" i="6612"/>
  <c r="H39" i="6612"/>
  <c r="C39" i="6612"/>
  <c r="H28" i="6612"/>
  <c r="C47" i="6612"/>
  <c r="H11" i="6612"/>
  <c r="H24" i="6612"/>
  <c r="C20" i="6612"/>
  <c r="C25" i="6612"/>
  <c r="H35" i="6612"/>
  <c r="H27" i="6612"/>
  <c r="C37" i="6612"/>
  <c r="H42" i="6612"/>
  <c r="H45" i="6612"/>
  <c r="C45" i="6612"/>
  <c r="H49" i="6612"/>
  <c r="H5" i="6612"/>
  <c r="H22" i="6612"/>
  <c r="H31" i="6612"/>
  <c r="C22" i="6612"/>
  <c r="H21" i="6612"/>
  <c r="H44" i="6612"/>
  <c r="H51" i="6612"/>
  <c r="H7" i="6612"/>
  <c r="H3" i="6612"/>
  <c r="H17" i="6612"/>
  <c r="H25" i="6612"/>
  <c r="H4" i="6612"/>
  <c r="H2" i="6612"/>
  <c r="H8" i="6612"/>
  <c r="H23" i="6612"/>
  <c r="H32" i="6612"/>
  <c r="C23" i="6612"/>
  <c r="C26" i="6612"/>
  <c r="H37" i="6612"/>
  <c r="H40" i="6612"/>
  <c r="H43" i="6612"/>
  <c r="C43" i="6612"/>
  <c r="H47" i="6612"/>
  <c r="H50" i="6612"/>
  <c r="H52" i="6612"/>
  <c r="B28" i="6612"/>
  <c r="H15" i="6612"/>
  <c r="H33" i="6612"/>
  <c r="H26" i="6612"/>
  <c r="H9" i="6612"/>
  <c r="H19" i="6612"/>
  <c r="H36" i="6612"/>
  <c r="H38" i="6612"/>
  <c r="C38" i="6612"/>
  <c r="C40" i="6612"/>
  <c r="C42" i="6612"/>
  <c r="C44" i="6612"/>
  <c r="C46" i="6612"/>
  <c r="C48" i="6612"/>
  <c r="H7" i="6610"/>
  <c r="H16" i="6610"/>
  <c r="H21" i="6610"/>
  <c r="C20" i="6610"/>
  <c r="H23" i="6610"/>
  <c r="H24" i="6610"/>
  <c r="H26" i="6610"/>
  <c r="H28" i="6610"/>
  <c r="H29" i="6610"/>
  <c r="H31" i="6610"/>
  <c r="H35" i="6610"/>
  <c r="C37" i="6610"/>
  <c r="C39" i="6610"/>
  <c r="C41" i="6610"/>
  <c r="C43" i="6610"/>
  <c r="C45" i="6610"/>
  <c r="C47" i="6610"/>
  <c r="C49" i="6610"/>
  <c r="H52" i="6610"/>
  <c r="H9" i="6610"/>
  <c r="H15" i="6610"/>
  <c r="H18" i="6610"/>
  <c r="H19" i="6610"/>
  <c r="H22" i="6610"/>
  <c r="C23" i="6610"/>
  <c r="C25" i="6610"/>
  <c r="B27" i="6610"/>
  <c r="H32" i="6610"/>
  <c r="H38" i="6610"/>
  <c r="H40" i="6610"/>
  <c r="H42" i="6610"/>
  <c r="H44" i="6610"/>
  <c r="H46" i="6610"/>
  <c r="H48" i="6610"/>
  <c r="H50" i="6610"/>
  <c r="H13" i="6610"/>
  <c r="H25" i="6610"/>
  <c r="H27" i="6610"/>
  <c r="H8" i="6610"/>
  <c r="H30" i="6610"/>
  <c r="H33" i="6610"/>
  <c r="H36" i="6610"/>
  <c r="C38" i="6610"/>
  <c r="C40" i="6610"/>
  <c r="C42" i="6610"/>
  <c r="C44" i="6610"/>
  <c r="C46" i="6610"/>
  <c r="C48" i="6610"/>
  <c r="H51" i="6610"/>
  <c r="H3" i="6610"/>
  <c r="H2" i="6610"/>
  <c r="H10" i="6610"/>
  <c r="H17" i="6610"/>
  <c r="H12" i="6610"/>
  <c r="H20" i="6610"/>
  <c r="C22" i="6610"/>
  <c r="C24" i="6610"/>
  <c r="C26" i="6610"/>
  <c r="B28" i="6610"/>
  <c r="H34" i="6610"/>
  <c r="H37" i="6610"/>
  <c r="H39" i="6610"/>
  <c r="H41" i="6610"/>
  <c r="H43" i="6610"/>
  <c r="H45" i="6610"/>
  <c r="H47" i="6610"/>
  <c r="H49" i="6610"/>
  <c r="H3" i="6606"/>
  <c r="H10" i="6606"/>
  <c r="H25" i="6606"/>
  <c r="H11" i="6606"/>
  <c r="H35" i="6606"/>
  <c r="H7" i="6606"/>
  <c r="H34" i="6606"/>
  <c r="H15" i="6606"/>
  <c r="H12" i="6606"/>
  <c r="H6" i="6606"/>
  <c r="H23" i="6606"/>
  <c r="H22" i="6606"/>
  <c r="H16" i="6606"/>
  <c r="B14" i="6608"/>
  <c r="H17" i="6608"/>
  <c r="H30" i="6608"/>
  <c r="H31" i="6608"/>
  <c r="H9" i="6608"/>
  <c r="H14" i="6608"/>
  <c r="H35" i="6608"/>
  <c r="H23" i="6608"/>
  <c r="C38" i="6608"/>
  <c r="C40" i="6608"/>
  <c r="C42" i="6608"/>
  <c r="C44" i="6608"/>
  <c r="C46" i="6608"/>
  <c r="C48" i="6608"/>
  <c r="H19" i="6608"/>
  <c r="H3" i="6608"/>
  <c r="H2" i="6608"/>
  <c r="H8" i="6608"/>
  <c r="H20" i="6608"/>
  <c r="H26" i="6608"/>
  <c r="H18" i="6608"/>
  <c r="C22" i="6608"/>
  <c r="C24" i="6608"/>
  <c r="C26" i="6608"/>
  <c r="B28" i="6608"/>
  <c r="H36" i="6608"/>
  <c r="H38" i="6608"/>
  <c r="H40" i="6608"/>
  <c r="H42" i="6608"/>
  <c r="H44" i="6608"/>
  <c r="H46" i="6608"/>
  <c r="H48" i="6608"/>
  <c r="H50" i="6608"/>
  <c r="H5" i="6608"/>
  <c r="H6" i="6608"/>
  <c r="H13" i="6608"/>
  <c r="H22" i="6608"/>
  <c r="H28" i="6608"/>
  <c r="H29" i="6608"/>
  <c r="H12" i="6608"/>
  <c r="H32" i="6608"/>
  <c r="H33" i="6608"/>
  <c r="H21" i="6608"/>
  <c r="H37" i="6608"/>
  <c r="C37" i="6608"/>
  <c r="C39" i="6608"/>
  <c r="C41" i="6608"/>
  <c r="C43" i="6608"/>
  <c r="C45" i="6608"/>
  <c r="C47" i="6608"/>
  <c r="C49" i="6608"/>
  <c r="H52" i="6608"/>
  <c r="H10" i="6608"/>
  <c r="H24" i="6608"/>
  <c r="H25" i="6608"/>
  <c r="H16" i="6608"/>
  <c r="H15" i="6608"/>
  <c r="C23" i="6608"/>
  <c r="C25" i="6608"/>
  <c r="B27" i="6608"/>
  <c r="H34" i="6608"/>
  <c r="H39" i="6608"/>
  <c r="H41" i="6608"/>
  <c r="H43" i="6608"/>
  <c r="H45" i="6608"/>
  <c r="H47" i="6608"/>
  <c r="H49" i="6608"/>
  <c r="B14" i="6606"/>
  <c r="C24" i="6606"/>
  <c r="H27" i="6606"/>
  <c r="H20" i="6606"/>
  <c r="H42" i="6606"/>
  <c r="C41" i="6606"/>
  <c r="H46" i="6606"/>
  <c r="H48" i="6606"/>
  <c r="C49" i="6606"/>
  <c r="C22" i="6606"/>
  <c r="H13" i="6606"/>
  <c r="B27" i="6606"/>
  <c r="H28" i="6606"/>
  <c r="H40" i="6606"/>
  <c r="C39" i="6606"/>
  <c r="H44" i="6606"/>
  <c r="H33" i="6606"/>
  <c r="C47" i="6606"/>
  <c r="H51" i="6606"/>
  <c r="H17" i="6606"/>
  <c r="C20" i="6606"/>
  <c r="H30" i="6606"/>
  <c r="C25" i="6606"/>
  <c r="H37" i="6606"/>
  <c r="H29" i="6606"/>
  <c r="C37" i="6606"/>
  <c r="H43" i="6606"/>
  <c r="H45" i="6606"/>
  <c r="C45" i="6606"/>
  <c r="H49" i="6606"/>
  <c r="H5" i="6606"/>
  <c r="H4" i="6606"/>
  <c r="H2" i="6606"/>
  <c r="H8" i="6606"/>
  <c r="H21" i="6606"/>
  <c r="H36" i="6606"/>
  <c r="C23" i="6606"/>
  <c r="C26" i="6606"/>
  <c r="H39" i="6606"/>
  <c r="H41" i="6606"/>
  <c r="H32" i="6606"/>
  <c r="C43" i="6606"/>
  <c r="H47" i="6606"/>
  <c r="H50" i="6606"/>
  <c r="H52" i="6606"/>
  <c r="B28" i="6606"/>
  <c r="H14" i="6606"/>
  <c r="H24" i="6606"/>
  <c r="H26" i="6606"/>
  <c r="H9" i="6606"/>
  <c r="H18" i="6606"/>
  <c r="H38" i="6606"/>
  <c r="H31" i="6606"/>
  <c r="C38" i="6606"/>
  <c r="C40" i="6606"/>
  <c r="C42" i="6606"/>
  <c r="C44" i="6606"/>
  <c r="C46" i="6606"/>
  <c r="C48" i="6606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<sst xmlns="http://schemas.openxmlformats.org/spreadsheetml/2006/main" count="3266" uniqueCount="259">
  <si>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</si>
  <si>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</si>
  <si>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</si>
  <si>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</si>
  <si>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</si>
  <si>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</si>
  <si>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</si>
  <si>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</si>
  <si>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</si>
  <si>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</si>
  <si>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</si>
  <si>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</si>
  <si>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</si>
  <si>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</si>
  <si>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</si>
  <si>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</si>
  <si>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</si>
  <si>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</si>
  <si>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</si>
  <si>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</si>
  <si>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</si>
  <si>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</si>
  <si>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</si>
  <si>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</si>
  <si>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</si>
  <si>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</si>
  <si>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</si>
  <si>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</si>
  <si>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</si>
  <si>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</si>
  <si>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</si>
  <si>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</si>
  <si>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</si>
  <si>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</si>
  <si>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</si>
  <si>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</si>
  <si>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</si>
  <si>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</si>
  <si>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</si>
  <si>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</si>
  <si>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</si>
  <si>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</si>
  <si>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</si>
  <si>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</si>
  <si>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</si>
  <si>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</si>
  <si>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</si>
  <si>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</si>
  <si>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</si>
  <si>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</si>
  <si>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</si>
  <si>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</si>
  <si>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</si>
  <si>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</si>
  <si>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</si>
  <si>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</si>
  <si>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</si>
  <si>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</si>
  <si>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</si>
  <si>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</si>
  <si>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</si>
  <si>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</si>
  <si>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</si>
  <si>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</si>
  <si>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</si>
  <si>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</si>
  <si>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</si>
  <si>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</si>
  <si>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</si>
  <si>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</si>
  <si>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</si>
  <si>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</si>
  <si>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</si>
  <si>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</si>
  <si>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</si>
  <si>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</si>
  <si>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</si>
  <si>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</si>
  <si>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</si>
  <si>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</si>
  <si>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</si>
  <si>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</si>
  <si>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</si>
  <si>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</si>
  <si>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</si>
  <si>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</si>
  <si>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</si>
  <si>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</si>
  <si>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</si>
  <si>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</si>
  <si>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</si>
  <si>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</si>
  <si>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</si>
  <si>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</si>
  <si>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</si>
  <si>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</si>
  <si>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</si>
  <si>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</si>
  <si>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</si>
  <si>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</si>
  <si>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</si>
  <si>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</si>
  <si>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</si>
  <si>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</si>
  <si>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</si>
  <si>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</si>
  <si>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</si>
  <si>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</si>
  <si>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</si>
  <si>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</si>
  <si>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</si>
  <si>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</si>
  <si>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</si>
  <si>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</si>
  <si>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</si>
  <si>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</si>
  <si>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</si>
  <si>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</si>
  <si>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</si>
  <si>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</si>
  <si>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</si>
  <si>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</si>
  <si>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</si>
  <si>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</si>
  <si>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</si>
  <si>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</si>
  <si>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</si>
  <si>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</si>
  <si>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</si>
  <si>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</si>
  <si>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</si>
  <si>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</si>
  <si>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</si>
  <si>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</si>
  <si>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</si>
  <si>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</si>
  <si>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</si>
  <si>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</si>
  <si>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</si>
  <si>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</si>
  <si>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</si>
  <si>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</si>
  <si>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</si>
  <si>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</si>
  <si>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</si>
  <si>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</si>
  <si>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</si>
  <si>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</si>
  <si>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</si>
  <si>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</si>
  <si>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</si>
  <si>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</si>
  <si>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</si>
  <si>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</si>
  <si>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</si>
  <si>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</si>
  <si>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</si>
  <si>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</si>
  <si>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</si>
  <si>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</si>
  <si>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</si>
  <si>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</si>
  <si>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</si>
  <si>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</si>
  <si>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</si>
  <si>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</si>
  <si>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</si>
  <si>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</si>
  <si>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</si>
  <si>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</si>
  <si>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</si>
  <si>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</si>
  <si>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</si>
  <si>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</si>
  <si>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</si>
  <si>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</si>
  <si>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</si>
  <si>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</si>
  <si>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</si>
  <si>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</si>
  <si>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</si>
  <si>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</si>
  <si>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</si>
  <si>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</si>
  <si>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</si>
  <si>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</si>
  <si>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</si>
  <si>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</si>
  <si>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</si>
  <si>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</si>
  <si>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</si>
  <si>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</si>
  <si>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</si>
  <si>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</si>
  <si>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</si>
  <si>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</si>
  <si>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</si>
  <si>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</si>
  <si>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</si>
  <si>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Sheet5</t>
  </si>
  <si>
    <t>Sheet6</t>
  </si>
  <si>
    <t>Sheet7</t>
  </si>
  <si>
    <t>Sheet8</t>
  </si>
  <si>
    <t>Sheet9</t>
  </si>
  <si>
    <t>Sheet10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</si>
  <si>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</si>
  <si>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</si>
  <si>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</si>
  <si>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</si>
  <si>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</si>
  <si>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</si>
  <si>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</si>
  <si>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</si>
  <si>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</si>
  <si>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</si>
  <si>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</si>
  <si>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2020-04-04@1.xlsm</t>
  </si>
  <si>
    <t>2020-04-05@0.xlsm</t>
  </si>
  <si>
    <t>2020-04-06@0.xlsm</t>
  </si>
  <si>
    <t>2020-04-07@0.xlsm</t>
  </si>
  <si>
    <t>2020-04-08@0.xlsm</t>
  </si>
  <si>
    <t>2020-04-09@0.xlsm</t>
  </si>
  <si>
    <t>2020-04-10@0.xlsm</t>
  </si>
  <si>
    <t>2020-05-31@Ina.xlsm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</si>
  <si>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</si>
  <si>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</si>
  <si>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</si>
  <si>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</si>
  <si>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</si>
  <si>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</si>
  <si>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</si>
  <si>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</si>
  <si>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</si>
  <si>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</si>
  <si>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</si>
  <si>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</si>
  <si>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</si>
  <si>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</si>
  <si>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</si>
  <si>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</si>
  <si>
    <t>2020-06-27@0.xlsm</t>
  </si>
  <si>
    <t>2020-06-29@0.xlsm</t>
  </si>
  <si>
    <t>2020-06-30@0.xlsm</t>
  </si>
  <si>
    <t>2020-07-05@0.xlsm</t>
  </si>
  <si>
    <t>2020-07-06@0.xlsm</t>
  </si>
  <si>
    <t>2020-07-10@0.xlsm</t>
  </si>
  <si>
    <t>2020-07-12@0.xlsm</t>
  </si>
  <si>
    <t>2020-07-14@0.xlsm</t>
  </si>
  <si>
    <t>2020-07-17@0.xlsm</t>
  </si>
  <si>
    <t>2020-07-18@0.xlsm</t>
  </si>
  <si>
    <t>てんちゃん</t>
  </si>
  <si>
    <t>2020-07-21@0.xlsm</t>
  </si>
  <si>
    <t>2020-07-23@0.xlsm</t>
  </si>
  <si>
    <t>いちかわ</t>
  </si>
  <si>
    <t>2020-07-27@0.xlsm</t>
  </si>
  <si>
    <t>2020-07-28@0.xlsm</t>
  </si>
  <si>
    <t>2020-07-30@0.xlsm</t>
  </si>
  <si>
    <t>2020-07-31@0.xlsm</t>
  </si>
  <si>
    <t>いちかわ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</si>
</sst>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5.xml"/><Relationship Id="rId42" Type="http://schemas.openxmlformats.org/officeDocument/2006/relationships/chartsheet" Target="chartsheets/sheet13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4.xml"/><Relationship Id="rId38" Type="http://schemas.openxmlformats.org/officeDocument/2006/relationships/chartsheet" Target="chartsheets/sheet9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3.xml"/><Relationship Id="rId37" Type="http://schemas.openxmlformats.org/officeDocument/2006/relationships/chartsheet" Target="chartsheets/sheet8.xml"/><Relationship Id="rId40" Type="http://schemas.openxmlformats.org/officeDocument/2006/relationships/chartsheet" Target="chartsheets/sheet11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2.xml"/><Relationship Id="rId44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chartsheet" Target="chartsheets/sheet6.xml"/><Relationship Id="rId43" Type="http://schemas.openxmlformats.org/officeDocument/2006/relationships/chartsheet" Target="chartsheets/sheet1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全体!$K$2:$K$413</c:f>
              <c:numCache>
                <c:formatCode>General</c:formatCode>
                <c:ptCount val="4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</c:numCache>
            </c:numRef>
          </c:xVal>
          <c:yVal>
            <c:numRef>
              <c:f>全体!$L$2:$L$413</c:f>
              <c:numCache>
                <c:formatCode>\+0.0;\-0.0;\±0</c:formatCode>
                <c:ptCount val="412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  <c:pt idx="265">
                  <c:v>-8.9000000000000323</c:v>
                </c:pt>
                <c:pt idx="266">
                  <c:v>27.099999999999966</c:v>
                </c:pt>
                <c:pt idx="267">
                  <c:v>-3.5527136788005009E-14</c:v>
                </c:pt>
                <c:pt idx="268">
                  <c:v>-15.700000000000035</c:v>
                </c:pt>
                <c:pt idx="269">
                  <c:v>4.6999999999999638</c:v>
                </c:pt>
                <c:pt idx="270">
                  <c:v>-3.6415315207705135E-14</c:v>
                </c:pt>
                <c:pt idx="271">
                  <c:v>-16.000000000000036</c:v>
                </c:pt>
                <c:pt idx="272">
                  <c:v>1.4999999999999645</c:v>
                </c:pt>
                <c:pt idx="273">
                  <c:v>-3.5527136788005009E-14</c:v>
                </c:pt>
                <c:pt idx="274">
                  <c:v>-34.800000000000033</c:v>
                </c:pt>
                <c:pt idx="275">
                  <c:v>-50.800000000000033</c:v>
                </c:pt>
                <c:pt idx="276">
                  <c:v>-3.5527136788005009E-14</c:v>
                </c:pt>
                <c:pt idx="277">
                  <c:v>33.199999999999967</c:v>
                </c:pt>
                <c:pt idx="278">
                  <c:v>41.599999999999966</c:v>
                </c:pt>
                <c:pt idx="279">
                  <c:v>-3.5527136788005009E-14</c:v>
                </c:pt>
                <c:pt idx="280">
                  <c:v>11.899999999999965</c:v>
                </c:pt>
                <c:pt idx="281">
                  <c:v>36.199999999999967</c:v>
                </c:pt>
                <c:pt idx="282">
                  <c:v>-3.5527136788005009E-14</c:v>
                </c:pt>
                <c:pt idx="283">
                  <c:v>6.1999999999999647</c:v>
                </c:pt>
                <c:pt idx="284">
                  <c:v>-28.100000000000033</c:v>
                </c:pt>
                <c:pt idx="285">
                  <c:v>-3.1974423109204508E-14</c:v>
                </c:pt>
                <c:pt idx="286">
                  <c:v>-40.800000000000026</c:v>
                </c:pt>
                <c:pt idx="287">
                  <c:v>-33.700000000000024</c:v>
                </c:pt>
                <c:pt idx="288">
                  <c:v>-2.1316282072803006E-14</c:v>
                </c:pt>
                <c:pt idx="289">
                  <c:v>0.99999999999997868</c:v>
                </c:pt>
                <c:pt idx="290">
                  <c:v>-24.40000000000002</c:v>
                </c:pt>
                <c:pt idx="291">
                  <c:v>-2.1316282072803006E-14</c:v>
                </c:pt>
                <c:pt idx="292">
                  <c:v>-0.10000000000002132</c:v>
                </c:pt>
                <c:pt idx="293">
                  <c:v>-19.400000000000023</c:v>
                </c:pt>
                <c:pt idx="294">
                  <c:v>-2.4868995751603507E-14</c:v>
                </c:pt>
                <c:pt idx="295">
                  <c:v>60.499999999999972</c:v>
                </c:pt>
                <c:pt idx="296">
                  <c:v>54.699999999999974</c:v>
                </c:pt>
                <c:pt idx="297">
                  <c:v>-2.8421709430404007E-14</c:v>
                </c:pt>
                <c:pt idx="298">
                  <c:v>20.199999999999971</c:v>
                </c:pt>
                <c:pt idx="299">
                  <c:v>18.199999999999971</c:v>
                </c:pt>
                <c:pt idx="300">
                  <c:v>-2.8421709430404007E-14</c:v>
                </c:pt>
                <c:pt idx="301">
                  <c:v>-27.500000000000028</c:v>
                </c:pt>
                <c:pt idx="302">
                  <c:v>-19.10000000000003</c:v>
                </c:pt>
                <c:pt idx="303">
                  <c:v>-2.8421709430404007E-14</c:v>
                </c:pt>
                <c:pt idx="304">
                  <c:v>29.499999999999972</c:v>
                </c:pt>
                <c:pt idx="305">
                  <c:v>30.799999999999972</c:v>
                </c:pt>
                <c:pt idx="306">
                  <c:v>-2.8421709430404007E-14</c:v>
                </c:pt>
                <c:pt idx="307">
                  <c:v>14.099999999999971</c:v>
                </c:pt>
                <c:pt idx="308">
                  <c:v>50.299999999999976</c:v>
                </c:pt>
                <c:pt idx="309">
                  <c:v>-2.1316282072803006E-14</c:v>
                </c:pt>
                <c:pt idx="310">
                  <c:v>8.399999999999979</c:v>
                </c:pt>
                <c:pt idx="311">
                  <c:v>42.499999999999979</c:v>
                </c:pt>
                <c:pt idx="312">
                  <c:v>-2.1316282072803006E-14</c:v>
                </c:pt>
                <c:pt idx="313">
                  <c:v>-19.200000000000021</c:v>
                </c:pt>
                <c:pt idx="314">
                  <c:v>-15.80000000000002</c:v>
                </c:pt>
                <c:pt idx="315">
                  <c:v>-1.9539925233402755E-14</c:v>
                </c:pt>
                <c:pt idx="316">
                  <c:v>7.0999999999999801</c:v>
                </c:pt>
                <c:pt idx="317">
                  <c:v>28.199999999999982</c:v>
                </c:pt>
                <c:pt idx="318">
                  <c:v>-1.7763568394002505E-14</c:v>
                </c:pt>
                <c:pt idx="319">
                  <c:v>-20.400000000000016</c:v>
                </c:pt>
                <c:pt idx="320">
                  <c:v>-16.300000000000018</c:v>
                </c:pt>
                <c:pt idx="321">
                  <c:v>-1.7763568394002505E-14</c:v>
                </c:pt>
                <c:pt idx="322">
                  <c:v>4.7999999999999821</c:v>
                </c:pt>
                <c:pt idx="323">
                  <c:v>-28.500000000000014</c:v>
                </c:pt>
                <c:pt idx="324">
                  <c:v>-1.4210854715202004E-14</c:v>
                </c:pt>
                <c:pt idx="325">
                  <c:v>29.499999999999986</c:v>
                </c:pt>
                <c:pt idx="326">
                  <c:v>23.099999999999987</c:v>
                </c:pt>
                <c:pt idx="327">
                  <c:v>-1.4210854715202004E-14</c:v>
                </c:pt>
                <c:pt idx="328">
                  <c:v>-6.7000000000000144</c:v>
                </c:pt>
                <c:pt idx="329">
                  <c:v>23.899999999999988</c:v>
                </c:pt>
                <c:pt idx="330">
                  <c:v>-1.0658141036401503E-14</c:v>
                </c:pt>
                <c:pt idx="331">
                  <c:v>-20.900000000000009</c:v>
                </c:pt>
                <c:pt idx="332">
                  <c:v>3.4999999999999893</c:v>
                </c:pt>
                <c:pt idx="333">
                  <c:v>-1.0658141036401503E-14</c:v>
                </c:pt>
                <c:pt idx="334">
                  <c:v>-46.800000000000011</c:v>
                </c:pt>
                <c:pt idx="335">
                  <c:v>-44.900000000000013</c:v>
                </c:pt>
                <c:pt idx="336">
                  <c:v>-1.4210854715202004E-14</c:v>
                </c:pt>
                <c:pt idx="337">
                  <c:v>32.399999999999984</c:v>
                </c:pt>
                <c:pt idx="338">
                  <c:v>32.199999999999982</c:v>
                </c:pt>
                <c:pt idx="339">
                  <c:v>-2.1316282072803006E-14</c:v>
                </c:pt>
                <c:pt idx="340">
                  <c:v>36.59999999999998</c:v>
                </c:pt>
                <c:pt idx="341">
                  <c:v>-10.200000000000017</c:v>
                </c:pt>
                <c:pt idx="342">
                  <c:v>-1.7763568394002505E-14</c:v>
                </c:pt>
                <c:pt idx="343">
                  <c:v>-40.100000000000023</c:v>
                </c:pt>
                <c:pt idx="344">
                  <c:v>-33.000000000000021</c:v>
                </c:pt>
                <c:pt idx="345">
                  <c:v>-2.1316282072803006E-14</c:v>
                </c:pt>
                <c:pt idx="346">
                  <c:v>-28.500000000000021</c:v>
                </c:pt>
                <c:pt idx="347">
                  <c:v>-35.700000000000024</c:v>
                </c:pt>
                <c:pt idx="348">
                  <c:v>-2.1316282072803006E-14</c:v>
                </c:pt>
                <c:pt idx="349">
                  <c:v>51.09999999999998</c:v>
                </c:pt>
                <c:pt idx="350">
                  <c:v>48.699999999999982</c:v>
                </c:pt>
                <c:pt idx="351">
                  <c:v>-2.1316282072803006E-14</c:v>
                </c:pt>
                <c:pt idx="352">
                  <c:v>-54.500000000000021</c:v>
                </c:pt>
                <c:pt idx="353">
                  <c:v>27.899999999999984</c:v>
                </c:pt>
                <c:pt idx="354">
                  <c:v>-1.4210854715202004E-14</c:v>
                </c:pt>
                <c:pt idx="355">
                  <c:v>26.599999999999987</c:v>
                </c:pt>
                <c:pt idx="356">
                  <c:v>5.8999999999999879</c:v>
                </c:pt>
                <c:pt idx="357">
                  <c:v>-1.2434497875801753E-14</c:v>
                </c:pt>
                <c:pt idx="358">
                  <c:v>-38.900000000000013</c:v>
                </c:pt>
                <c:pt idx="359">
                  <c:v>-30.600000000000012</c:v>
                </c:pt>
                <c:pt idx="360">
                  <c:v>-1.0658141036401503E-14</c:v>
                </c:pt>
                <c:pt idx="361">
                  <c:v>-25.70000000000001</c:v>
                </c:pt>
                <c:pt idx="362">
                  <c:v>-18.70000000000001</c:v>
                </c:pt>
                <c:pt idx="363">
                  <c:v>-1.0658141036401503E-14</c:v>
                </c:pt>
                <c:pt idx="364">
                  <c:v>-42.400000000000006</c:v>
                </c:pt>
                <c:pt idx="365">
                  <c:v>5.2999999999999972</c:v>
                </c:pt>
                <c:pt idx="366">
                  <c:v>-2.6645352591003757E-15</c:v>
                </c:pt>
                <c:pt idx="367">
                  <c:v>1.1999999999999973</c:v>
                </c:pt>
                <c:pt idx="368">
                  <c:v>18.399999999999995</c:v>
                </c:pt>
                <c:pt idx="369">
                  <c:v>-3.5527136788005009E-15</c:v>
                </c:pt>
                <c:pt idx="370">
                  <c:v>14.599999999999996</c:v>
                </c:pt>
                <c:pt idx="371">
                  <c:v>15.199999999999996</c:v>
                </c:pt>
                <c:pt idx="372">
                  <c:v>-3.5527136788005009E-15</c:v>
                </c:pt>
                <c:pt idx="373">
                  <c:v>-35</c:v>
                </c:pt>
                <c:pt idx="374">
                  <c:v>-8.3999999999999986</c:v>
                </c:pt>
                <c:pt idx="375">
                  <c:v>1.7763568394002505E-15</c:v>
                </c:pt>
                <c:pt idx="376">
                  <c:v>23.200000000000003</c:v>
                </c:pt>
                <c:pt idx="377">
                  <c:v>16.900000000000002</c:v>
                </c:pt>
                <c:pt idx="378">
                  <c:v>3.5527136788005009E-15</c:v>
                </c:pt>
                <c:pt idx="379">
                  <c:v>-4.9999999999999964</c:v>
                </c:pt>
                <c:pt idx="380">
                  <c:v>-51</c:v>
                </c:pt>
                <c:pt idx="381">
                  <c:v>0</c:v>
                </c:pt>
                <c:pt idx="382">
                  <c:v>56.6</c:v>
                </c:pt>
                <c:pt idx="383">
                  <c:v>20.800000000000004</c:v>
                </c:pt>
                <c:pt idx="384">
                  <c:v>3.5527136788005009E-15</c:v>
                </c:pt>
                <c:pt idx="385">
                  <c:v>-21.199999999999996</c:v>
                </c:pt>
                <c:pt idx="386">
                  <c:v>7.2000000000000028</c:v>
                </c:pt>
                <c:pt idx="387">
                  <c:v>2.6645352591003757E-15</c:v>
                </c:pt>
                <c:pt idx="388">
                  <c:v>7.5000000000000027</c:v>
                </c:pt>
                <c:pt idx="389">
                  <c:v>28.500000000000004</c:v>
                </c:pt>
                <c:pt idx="390">
                  <c:v>3.5527136788005009E-15</c:v>
                </c:pt>
                <c:pt idx="391">
                  <c:v>15.500000000000004</c:v>
                </c:pt>
                <c:pt idx="392">
                  <c:v>-3.5999999999999979</c:v>
                </c:pt>
                <c:pt idx="393">
                  <c:v>2.2204460492503131E-15</c:v>
                </c:pt>
                <c:pt idx="394">
                  <c:v>-2.5999999999999979</c:v>
                </c:pt>
                <c:pt idx="395">
                  <c:v>27.700000000000003</c:v>
                </c:pt>
                <c:pt idx="396">
                  <c:v>3.5527136788005009E-15</c:v>
                </c:pt>
                <c:pt idx="397">
                  <c:v>27.900000000000002</c:v>
                </c:pt>
                <c:pt idx="398">
                  <c:v>27.6</c:v>
                </c:pt>
                <c:pt idx="399">
                  <c:v>0</c:v>
                </c:pt>
                <c:pt idx="400">
                  <c:v>-41.3</c:v>
                </c:pt>
                <c:pt idx="401">
                  <c:v>-39.599999999999994</c:v>
                </c:pt>
                <c:pt idx="402">
                  <c:v>7.1054273576010019E-15</c:v>
                </c:pt>
                <c:pt idx="403">
                  <c:v>20.700000000000006</c:v>
                </c:pt>
                <c:pt idx="404">
                  <c:v>19.000000000000007</c:v>
                </c:pt>
                <c:pt idx="405">
                  <c:v>7.1054273576010019E-15</c:v>
                </c:pt>
                <c:pt idx="406">
                  <c:v>-48.29999999999999</c:v>
                </c:pt>
                <c:pt idx="407">
                  <c:v>3.0000000000000071</c:v>
                </c:pt>
                <c:pt idx="408">
                  <c:v>7.1054273576010019E-15</c:v>
                </c:pt>
                <c:pt idx="409">
                  <c:v>-39.999999999999993</c:v>
                </c:pt>
                <c:pt idx="410">
                  <c:v>-39.899999999999991</c:v>
                </c:pt>
                <c:pt idx="411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C7-4777-8638-D17D35427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-12.437810945273633</c:v>
                </c:pt>
                <c:pt idx="1">
                  <c:v>-4.9382716049382713</c:v>
                </c:pt>
                <c:pt idx="2">
                  <c:v>-7.8125</c:v>
                </c:pt>
                <c:pt idx="3">
                  <c:v>17.094017094017094</c:v>
                </c:pt>
                <c:pt idx="4">
                  <c:v>-51.98776758409786</c:v>
                </c:pt>
                <c:pt idx="5">
                  <c:v>63.670411985018724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16-4DD9-BE28-B8EA36172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68</c:v>
                </c:pt>
                <c:pt idx="1">
                  <c:v>166</c:v>
                </c:pt>
                <c:pt idx="2">
                  <c:v>172</c:v>
                </c:pt>
                <c:pt idx="3">
                  <c:v>168</c:v>
                </c:pt>
                <c:pt idx="4">
                  <c:v>138</c:v>
                </c:pt>
                <c:pt idx="5">
                  <c:v>101</c:v>
                </c:pt>
                <c:pt idx="6">
                  <c:v>56</c:v>
                </c:pt>
                <c:pt idx="7">
                  <c:v>25</c:v>
                </c:pt>
                <c:pt idx="8">
                  <c:v>17</c:v>
                </c:pt>
                <c:pt idx="9">
                  <c:v>10</c:v>
                </c:pt>
                <c:pt idx="10">
                  <c:v>4</c:v>
                </c:pt>
                <c:pt idx="11">
                  <c:v>5</c:v>
                </c:pt>
                <c:pt idx="1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B7-48CD-AC73-A9930229C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全体!$K$2:$K$413</c:f>
              <c:numCache>
                <c:formatCode>General</c:formatCode>
                <c:ptCount val="4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</c:numCache>
            </c:numRef>
          </c:xVal>
          <c:yVal>
            <c:numRef>
              <c:f>全体!$M$2:$M$413</c:f>
              <c:numCache>
                <c:formatCode>0</c:formatCode>
                <c:ptCount val="412"/>
                <c:pt idx="0">
                  <c:v>1570.3759670467048</c:v>
                </c:pt>
                <c:pt idx="1">
                  <c:v>1569.4317112444246</c:v>
                </c:pt>
                <c:pt idx="2">
                  <c:v>1562.481120976958</c:v>
                </c:pt>
                <c:pt idx="3">
                  <c:v>1569.1622342510962</c:v>
                </c:pt>
                <c:pt idx="4">
                  <c:v>1558.7572608455896</c:v>
                </c:pt>
                <c:pt idx="5">
                  <c:v>1558.3147172805161</c:v>
                </c:pt>
                <c:pt idx="6">
                  <c:v>1568.0448289768331</c:v>
                </c:pt>
                <c:pt idx="7">
                  <c:v>1557.9645600029721</c:v>
                </c:pt>
                <c:pt idx="8">
                  <c:v>1551.6347726429542</c:v>
                </c:pt>
                <c:pt idx="9">
                  <c:v>1565.5029640070966</c:v>
                </c:pt>
                <c:pt idx="10">
                  <c:v>1576.4559462230541</c:v>
                </c:pt>
                <c:pt idx="11">
                  <c:v>1565.2572105457157</c:v>
                </c:pt>
                <c:pt idx="12">
                  <c:v>1565.6816672824414</c:v>
                </c:pt>
                <c:pt idx="13">
                  <c:v>1568.3355772787468</c:v>
                </c:pt>
                <c:pt idx="14">
                  <c:v>1568.1295638150743</c:v>
                </c:pt>
                <c:pt idx="15">
                  <c:v>1565.8907864321839</c:v>
                </c:pt>
                <c:pt idx="16">
                  <c:v>1567.1514417135907</c:v>
                </c:pt>
                <c:pt idx="17">
                  <c:v>1560.736533063309</c:v>
                </c:pt>
                <c:pt idx="18">
                  <c:v>1567.8601138649292</c:v>
                </c:pt>
                <c:pt idx="19">
                  <c:v>1562.6709531817396</c:v>
                </c:pt>
                <c:pt idx="20">
                  <c:v>1562.1209274626492</c:v>
                </c:pt>
                <c:pt idx="21">
                  <c:v>1566.9922018978732</c:v>
                </c:pt>
                <c:pt idx="22">
                  <c:v>1566.104248686486</c:v>
                </c:pt>
                <c:pt idx="23">
                  <c:v>1560.4336231943671</c:v>
                </c:pt>
                <c:pt idx="24">
                  <c:v>1568.4230214552008</c:v>
                </c:pt>
                <c:pt idx="25">
                  <c:v>1564.7964833264696</c:v>
                </c:pt>
                <c:pt idx="26">
                  <c:v>1564.8637044265108</c:v>
                </c:pt>
                <c:pt idx="27">
                  <c:v>1568.8725221999518</c:v>
                </c:pt>
                <c:pt idx="28">
                  <c:v>1569.7252870667521</c:v>
                </c:pt>
                <c:pt idx="29">
                  <c:v>1574.5329353443517</c:v>
                </c:pt>
                <c:pt idx="30">
                  <c:v>1569.2317377322856</c:v>
                </c:pt>
                <c:pt idx="31">
                  <c:v>1564.850347305892</c:v>
                </c:pt>
                <c:pt idx="32">
                  <c:v>1562.8532452220566</c:v>
                </c:pt>
                <c:pt idx="33">
                  <c:v>1568.3021257507241</c:v>
                </c:pt>
                <c:pt idx="34">
                  <c:v>1562.5703129962199</c:v>
                </c:pt>
                <c:pt idx="35">
                  <c:v>1565.1888911182425</c:v>
                </c:pt>
                <c:pt idx="36">
                  <c:v>1570.5457577715331</c:v>
                </c:pt>
                <c:pt idx="37">
                  <c:v>1566.4564832249039</c:v>
                </c:pt>
                <c:pt idx="38">
                  <c:v>1568.6377443255544</c:v>
                </c:pt>
                <c:pt idx="39">
                  <c:v>1572.731917859601</c:v>
                </c:pt>
                <c:pt idx="40">
                  <c:v>1576.3035263524434</c:v>
                </c:pt>
                <c:pt idx="41">
                  <c:v>1571.1417051943288</c:v>
                </c:pt>
                <c:pt idx="42">
                  <c:v>1571.8248549631628</c:v>
                </c:pt>
                <c:pt idx="43">
                  <c:v>1563.6119058333838</c:v>
                </c:pt>
                <c:pt idx="44">
                  <c:v>1577.8222343983834</c:v>
                </c:pt>
                <c:pt idx="45">
                  <c:v>1572.3633009919931</c:v>
                </c:pt>
                <c:pt idx="46">
                  <c:v>1565.0471211860411</c:v>
                </c:pt>
                <c:pt idx="47">
                  <c:v>1567.7288384589249</c:v>
                </c:pt>
                <c:pt idx="48">
                  <c:v>1572.9504654281714</c:v>
                </c:pt>
                <c:pt idx="49">
                  <c:v>1565.1507626356024</c:v>
                </c:pt>
                <c:pt idx="50">
                  <c:v>1566.3258580597887</c:v>
                </c:pt>
                <c:pt idx="51">
                  <c:v>1570.3199029114301</c:v>
                </c:pt>
                <c:pt idx="52">
                  <c:v>1582.9779834939616</c:v>
                </c:pt>
                <c:pt idx="53">
                  <c:v>1579.0541155929977</c:v>
                </c:pt>
                <c:pt idx="54">
                  <c:v>1571.3377908994398</c:v>
                </c:pt>
                <c:pt idx="55">
                  <c:v>1571.5877641540433</c:v>
                </c:pt>
                <c:pt idx="56">
                  <c:v>1577.056237569119</c:v>
                </c:pt>
                <c:pt idx="57">
                  <c:v>1572.5919001437044</c:v>
                </c:pt>
                <c:pt idx="58">
                  <c:v>1567.2003487428422</c:v>
                </c:pt>
                <c:pt idx="59">
                  <c:v>1564.0731466503851</c:v>
                </c:pt>
                <c:pt idx="60">
                  <c:v>1573.9427077704827</c:v>
                </c:pt>
                <c:pt idx="61">
                  <c:v>1582.4390515238597</c:v>
                </c:pt>
                <c:pt idx="62">
                  <c:v>1576.6284172147166</c:v>
                </c:pt>
                <c:pt idx="63">
                  <c:v>1575.8746467114283</c:v>
                </c:pt>
                <c:pt idx="64">
                  <c:v>1567.0253988311597</c:v>
                </c:pt>
                <c:pt idx="65">
                  <c:v>1578.5872464381728</c:v>
                </c:pt>
                <c:pt idx="66">
                  <c:v>1577.8757229595437</c:v>
                </c:pt>
                <c:pt idx="67">
                  <c:v>1574.9784686217865</c:v>
                </c:pt>
                <c:pt idx="68">
                  <c:v>1568.5165978100558</c:v>
                </c:pt>
                <c:pt idx="69">
                  <c:v>1577.2494982231956</c:v>
                </c:pt>
                <c:pt idx="70">
                  <c:v>1578.9820012338564</c:v>
                </c:pt>
                <c:pt idx="71">
                  <c:v>1573.9721092264533</c:v>
                </c:pt>
                <c:pt idx="72">
                  <c:v>1579.0002765710947</c:v>
                </c:pt>
                <c:pt idx="73">
                  <c:v>1570.7442749116681</c:v>
                </c:pt>
                <c:pt idx="74">
                  <c:v>1573.6258092621981</c:v>
                </c:pt>
                <c:pt idx="75">
                  <c:v>1580.9900544066249</c:v>
                </c:pt>
                <c:pt idx="76">
                  <c:v>1577.3481140801853</c:v>
                </c:pt>
                <c:pt idx="77">
                  <c:v>1567.5540253957042</c:v>
                </c:pt>
                <c:pt idx="78">
                  <c:v>1578.05070124333</c:v>
                </c:pt>
                <c:pt idx="79">
                  <c:v>1582.45439703587</c:v>
                </c:pt>
                <c:pt idx="80">
                  <c:v>1579.9196706536547</c:v>
                </c:pt>
                <c:pt idx="81">
                  <c:v>1575.0241526297327</c:v>
                </c:pt>
                <c:pt idx="82">
                  <c:v>1576.0080077139544</c:v>
                </c:pt>
                <c:pt idx="83">
                  <c:v>1585.4639596676707</c:v>
                </c:pt>
                <c:pt idx="84">
                  <c:v>1577.0971759096647</c:v>
                </c:pt>
                <c:pt idx="85">
                  <c:v>1582.0885928542066</c:v>
                </c:pt>
                <c:pt idx="86">
                  <c:v>1576.6640612970814</c:v>
                </c:pt>
                <c:pt idx="87">
                  <c:v>1578.0040769292989</c:v>
                </c:pt>
                <c:pt idx="88">
                  <c:v>1569.1480524677231</c:v>
                </c:pt>
                <c:pt idx="89">
                  <c:v>1575.9871641529169</c:v>
                </c:pt>
                <c:pt idx="90">
                  <c:v>1575.9092411679994</c:v>
                </c:pt>
                <c:pt idx="91">
                  <c:v>1573.2757857209915</c:v>
                </c:pt>
                <c:pt idx="92">
                  <c:v>1568.3901310066656</c:v>
                </c:pt>
                <c:pt idx="93">
                  <c:v>1573.8477902206255</c:v>
                </c:pt>
                <c:pt idx="94">
                  <c:v>1573.5247034793017</c:v>
                </c:pt>
                <c:pt idx="95">
                  <c:v>1576.2635552584259</c:v>
                </c:pt>
                <c:pt idx="96">
                  <c:v>1573.3519739268754</c:v>
                </c:pt>
                <c:pt idx="97">
                  <c:v>1570.9258620833141</c:v>
                </c:pt>
                <c:pt idx="98">
                  <c:v>1562.6463069108142</c:v>
                </c:pt>
                <c:pt idx="99">
                  <c:v>1572.9564290693493</c:v>
                </c:pt>
                <c:pt idx="100">
                  <c:v>1571.3186904949332</c:v>
                </c:pt>
                <c:pt idx="101">
                  <c:v>1579.6447783519636</c:v>
                </c:pt>
                <c:pt idx="102">
                  <c:v>1570.1729096818519</c:v>
                </c:pt>
                <c:pt idx="103">
                  <c:v>1560.0258722237609</c:v>
                </c:pt>
                <c:pt idx="104">
                  <c:v>1560.9917169904184</c:v>
                </c:pt>
                <c:pt idx="105">
                  <c:v>1570.6817666884758</c:v>
                </c:pt>
                <c:pt idx="106">
                  <c:v>1567.2096760883451</c:v>
                </c:pt>
                <c:pt idx="107">
                  <c:v>1580.4984180318149</c:v>
                </c:pt>
                <c:pt idx="108">
                  <c:v>1571.0274275236241</c:v>
                </c:pt>
                <c:pt idx="109">
                  <c:v>1580.9452629584823</c:v>
                </c:pt>
                <c:pt idx="110">
                  <c:v>1571.9935913807315</c:v>
                </c:pt>
                <c:pt idx="111">
                  <c:v>1571.3396298324471</c:v>
                </c:pt>
                <c:pt idx="112">
                  <c:v>1563.4475920534524</c:v>
                </c:pt>
                <c:pt idx="113">
                  <c:v>1575.0249065011317</c:v>
                </c:pt>
                <c:pt idx="114">
                  <c:v>1573.716757062125</c:v>
                </c:pt>
                <c:pt idx="115">
                  <c:v>1578.4524565197523</c:v>
                </c:pt>
                <c:pt idx="116">
                  <c:v>1580.0457417806338</c:v>
                </c:pt>
                <c:pt idx="117">
                  <c:v>1575.81546732995</c:v>
                </c:pt>
                <c:pt idx="118">
                  <c:v>1574.5685745259702</c:v>
                </c:pt>
                <c:pt idx="119">
                  <c:v>1580.7271630788143</c:v>
                </c:pt>
                <c:pt idx="120">
                  <c:v>1577.1828001003414</c:v>
                </c:pt>
                <c:pt idx="121">
                  <c:v>1571.0857032997394</c:v>
                </c:pt>
                <c:pt idx="122">
                  <c:v>1567.041189079941</c:v>
                </c:pt>
                <c:pt idx="123">
                  <c:v>1578.6449419454614</c:v>
                </c:pt>
                <c:pt idx="124">
                  <c:v>1578.6770722937886</c:v>
                </c:pt>
                <c:pt idx="125">
                  <c:v>1575.0730098600259</c:v>
                </c:pt>
                <c:pt idx="126">
                  <c:v>1580.0045718008657</c:v>
                </c:pt>
                <c:pt idx="127">
                  <c:v>1575.4925443700606</c:v>
                </c:pt>
                <c:pt idx="128">
                  <c:v>1576.9475891038403</c:v>
                </c:pt>
                <c:pt idx="129">
                  <c:v>1581.3639035692172</c:v>
                </c:pt>
                <c:pt idx="130">
                  <c:v>1594.3937201478018</c:v>
                </c:pt>
                <c:pt idx="131">
                  <c:v>1590.5153578269151</c:v>
                </c:pt>
                <c:pt idx="132">
                  <c:v>1582.5202656799536</c:v>
                </c:pt>
                <c:pt idx="133">
                  <c:v>1581.9711440858739</c:v>
                </c:pt>
                <c:pt idx="134">
                  <c:v>1589.1113172213586</c:v>
                </c:pt>
                <c:pt idx="135">
                  <c:v>1583.7526493180305</c:v>
                </c:pt>
                <c:pt idx="136">
                  <c:v>1584.4021334221225</c:v>
                </c:pt>
                <c:pt idx="137">
                  <c:v>1582.0957206215896</c:v>
                </c:pt>
                <c:pt idx="138">
                  <c:v>1585.0051462978602</c:v>
                </c:pt>
                <c:pt idx="139">
                  <c:v>1601.1271154200731</c:v>
                </c:pt>
                <c:pt idx="140">
                  <c:v>1597.4243527275526</c:v>
                </c:pt>
                <c:pt idx="141">
                  <c:v>1586.0578066111873</c:v>
                </c:pt>
                <c:pt idx="142">
                  <c:v>1586.4534597715201</c:v>
                </c:pt>
                <c:pt idx="143">
                  <c:v>1594.1007390128909</c:v>
                </c:pt>
                <c:pt idx="144">
                  <c:v>1583.7921345788136</c:v>
                </c:pt>
                <c:pt idx="145">
                  <c:v>1569.9873817713408</c:v>
                </c:pt>
                <c:pt idx="146">
                  <c:v>1573.5274574807127</c:v>
                </c:pt>
                <c:pt idx="147">
                  <c:v>1581.7802927358284</c:v>
                </c:pt>
                <c:pt idx="148">
                  <c:v>1583.9536109794135</c:v>
                </c:pt>
                <c:pt idx="149">
                  <c:v>1591.405889313537</c:v>
                </c:pt>
                <c:pt idx="150">
                  <c:v>1583.5854539776558</c:v>
                </c:pt>
                <c:pt idx="151">
                  <c:v>1576.8559412537898</c:v>
                </c:pt>
                <c:pt idx="152">
                  <c:v>1578.8068056062671</c:v>
                </c:pt>
                <c:pt idx="153">
                  <c:v>1585.4979647726295</c:v>
                </c:pt>
                <c:pt idx="154">
                  <c:v>1579.3089769839937</c:v>
                </c:pt>
                <c:pt idx="155">
                  <c:v>1577.6931231220897</c:v>
                </c:pt>
                <c:pt idx="156">
                  <c:v>1585.050964383357</c:v>
                </c:pt>
                <c:pt idx="157">
                  <c:v>1578.5106585970568</c:v>
                </c:pt>
                <c:pt idx="158">
                  <c:v>1594.4015946454745</c:v>
                </c:pt>
                <c:pt idx="159">
                  <c:v>1583.4491850776017</c:v>
                </c:pt>
                <c:pt idx="160">
                  <c:v>1584.154489967136</c:v>
                </c:pt>
                <c:pt idx="161">
                  <c:v>1591.0655630273332</c:v>
                </c:pt>
                <c:pt idx="162">
                  <c:v>1581.8431696491691</c:v>
                </c:pt>
                <c:pt idx="163">
                  <c:v>1592.8541106312741</c:v>
                </c:pt>
                <c:pt idx="164">
                  <c:v>1585.5829859674866</c:v>
                </c:pt>
                <c:pt idx="165">
                  <c:v>1580.2274880516816</c:v>
                </c:pt>
                <c:pt idx="166">
                  <c:v>1575.6901231233714</c:v>
                </c:pt>
                <c:pt idx="167">
                  <c:v>1577.0299823846312</c:v>
                </c:pt>
                <c:pt idx="168">
                  <c:v>1580.5938024903235</c:v>
                </c:pt>
                <c:pt idx="169">
                  <c:v>1581.2742396753815</c:v>
                </c:pt>
                <c:pt idx="170">
                  <c:v>1572.8065942373291</c:v>
                </c:pt>
                <c:pt idx="171">
                  <c:v>1580.9497546719051</c:v>
                </c:pt>
                <c:pt idx="172">
                  <c:v>1576.6180561438737</c:v>
                </c:pt>
                <c:pt idx="173">
                  <c:v>1577.1903478070105</c:v>
                </c:pt>
                <c:pt idx="174">
                  <c:v>1582.2052057201686</c:v>
                </c:pt>
                <c:pt idx="175">
                  <c:v>1592.4399744858476</c:v>
                </c:pt>
                <c:pt idx="176">
                  <c:v>1591.9753346389325</c:v>
                </c:pt>
                <c:pt idx="177">
                  <c:v>1583.251482631099</c:v>
                </c:pt>
                <c:pt idx="178">
                  <c:v>1585.1879737353124</c:v>
                </c:pt>
                <c:pt idx="179">
                  <c:v>1592.5308458929005</c:v>
                </c:pt>
                <c:pt idx="180">
                  <c:v>1584.3496608175431</c:v>
                </c:pt>
                <c:pt idx="181">
                  <c:v>1582.2595628526378</c:v>
                </c:pt>
                <c:pt idx="182">
                  <c:v>1576.3660054755219</c:v>
                </c:pt>
                <c:pt idx="183">
                  <c:v>1584.5118094426687</c:v>
                </c:pt>
                <c:pt idx="184">
                  <c:v>1576.3367385860126</c:v>
                </c:pt>
                <c:pt idx="185">
                  <c:v>1585.3287181544965</c:v>
                </c:pt>
                <c:pt idx="186">
                  <c:v>1584.6547458455696</c:v>
                </c:pt>
                <c:pt idx="187">
                  <c:v>1593.4228173704962</c:v>
                </c:pt>
                <c:pt idx="188">
                  <c:v>1593.1382804662733</c:v>
                </c:pt>
                <c:pt idx="189">
                  <c:v>1586.3934507834756</c:v>
                </c:pt>
                <c:pt idx="190">
                  <c:v>1577.2050900787747</c:v>
                </c:pt>
                <c:pt idx="191">
                  <c:v>1590.643859538302</c:v>
                </c:pt>
                <c:pt idx="192">
                  <c:v>1588.2339963810721</c:v>
                </c:pt>
                <c:pt idx="193">
                  <c:v>1584.0205924027857</c:v>
                </c:pt>
                <c:pt idx="194">
                  <c:v>1584.350468848369</c:v>
                </c:pt>
                <c:pt idx="195">
                  <c:v>1588.4403660352789</c:v>
                </c:pt>
                <c:pt idx="196">
                  <c:v>1579.4257238390671</c:v>
                </c:pt>
                <c:pt idx="197">
                  <c:v>1574.3711694960327</c:v>
                </c:pt>
                <c:pt idx="198">
                  <c:v>1588.7509424790564</c:v>
                </c:pt>
                <c:pt idx="199">
                  <c:v>1594.4044368241821</c:v>
                </c:pt>
                <c:pt idx="200">
                  <c:v>1588.270010203237</c:v>
                </c:pt>
                <c:pt idx="201">
                  <c:v>1589.8043901420176</c:v>
                </c:pt>
                <c:pt idx="202">
                  <c:v>1592.1455638011655</c:v>
                </c:pt>
                <c:pt idx="203">
                  <c:v>1592.3486904183585</c:v>
                </c:pt>
                <c:pt idx="204">
                  <c:v>1590.0485982758485</c:v>
                </c:pt>
                <c:pt idx="205">
                  <c:v>1596.2703066861934</c:v>
                </c:pt>
                <c:pt idx="206">
                  <c:v>1588.8826848460762</c:v>
                </c:pt>
                <c:pt idx="207">
                  <c:v>1587.0293887369999</c:v>
                </c:pt>
                <c:pt idx="208">
                  <c:v>1588.6192124045779</c:v>
                </c:pt>
                <c:pt idx="209">
                  <c:v>1580.1014971301504</c:v>
                </c:pt>
                <c:pt idx="210">
                  <c:v>1588.8608881473695</c:v>
                </c:pt>
                <c:pt idx="211">
                  <c:v>1584.7877228184852</c:v>
                </c:pt>
                <c:pt idx="212">
                  <c:v>1586.2829964815744</c:v>
                </c:pt>
                <c:pt idx="213">
                  <c:v>1590.6672985026848</c:v>
                </c:pt>
                <c:pt idx="214">
                  <c:v>1602.9332947116686</c:v>
                </c:pt>
                <c:pt idx="215">
                  <c:v>1597.8096949433987</c:v>
                </c:pt>
                <c:pt idx="216">
                  <c:v>1587.5508367737382</c:v>
                </c:pt>
                <c:pt idx="217">
                  <c:v>1574.8335317530957</c:v>
                </c:pt>
                <c:pt idx="218">
                  <c:v>1577.4205305625771</c:v>
                </c:pt>
                <c:pt idx="219">
                  <c:v>1584.7440073792018</c:v>
                </c:pt>
                <c:pt idx="220">
                  <c:v>1586.5035433349265</c:v>
                </c:pt>
                <c:pt idx="221">
                  <c:v>1580.0625220749168</c:v>
                </c:pt>
                <c:pt idx="222">
                  <c:v>1586.5301469424674</c:v>
                </c:pt>
                <c:pt idx="223">
                  <c:v>1581.6309660608126</c:v>
                </c:pt>
                <c:pt idx="224">
                  <c:v>1574.7271802644477</c:v>
                </c:pt>
                <c:pt idx="225">
                  <c:v>1584.514817182861</c:v>
                </c:pt>
                <c:pt idx="226">
                  <c:v>1576.7777282797638</c:v>
                </c:pt>
                <c:pt idx="227">
                  <c:v>1578.6090619100853</c:v>
                </c:pt>
                <c:pt idx="228">
                  <c:v>1582.4994075386248</c:v>
                </c:pt>
                <c:pt idx="229">
                  <c:v>1581.962411093393</c:v>
                </c:pt>
                <c:pt idx="230">
                  <c:v>1591.9046366268326</c:v>
                </c:pt>
                <c:pt idx="231">
                  <c:v>1584.2372088070715</c:v>
                </c:pt>
                <c:pt idx="232">
                  <c:v>1589.6477855542291</c:v>
                </c:pt>
                <c:pt idx="233">
                  <c:v>1586.2598988409038</c:v>
                </c:pt>
                <c:pt idx="234">
                  <c:v>1585.0343394478584</c:v>
                </c:pt>
                <c:pt idx="235">
                  <c:v>1580.7861334111712</c:v>
                </c:pt>
                <c:pt idx="236">
                  <c:v>1582.4674166107043</c:v>
                </c:pt>
                <c:pt idx="237">
                  <c:v>1586.2086121110401</c:v>
                </c:pt>
                <c:pt idx="238">
                  <c:v>1586.3273604383739</c:v>
                </c:pt>
                <c:pt idx="239">
                  <c:v>1590.8733962757437</c:v>
                </c:pt>
                <c:pt idx="240">
                  <c:v>1587.2921558980893</c:v>
                </c:pt>
                <c:pt idx="241">
                  <c:v>1581.4284029627008</c:v>
                </c:pt>
                <c:pt idx="242">
                  <c:v>1580.1178325449246</c:v>
                </c:pt>
                <c:pt idx="243">
                  <c:v>1587.5991255496551</c:v>
                </c:pt>
                <c:pt idx="244">
                  <c:v>1587.5655307963573</c:v>
                </c:pt>
                <c:pt idx="245">
                  <c:v>1591.3661376115792</c:v>
                </c:pt>
                <c:pt idx="246">
                  <c:v>1589.3119407859097</c:v>
                </c:pt>
                <c:pt idx="247">
                  <c:v>1584.4800691411942</c:v>
                </c:pt>
                <c:pt idx="248">
                  <c:v>1591.143188726347</c:v>
                </c:pt>
                <c:pt idx="249">
                  <c:v>1590.9263295939888</c:v>
                </c:pt>
                <c:pt idx="250">
                  <c:v>1593.5727716164249</c:v>
                </c:pt>
                <c:pt idx="251">
                  <c:v>1585.1333349867264</c:v>
                </c:pt>
                <c:pt idx="252">
                  <c:v>1591.594534976806</c:v>
                </c:pt>
                <c:pt idx="253">
                  <c:v>1583.7849677669451</c:v>
                </c:pt>
                <c:pt idx="254">
                  <c:v>1584.8602579603435</c:v>
                </c:pt>
                <c:pt idx="255">
                  <c:v>1593.2550964125815</c:v>
                </c:pt>
                <c:pt idx="256">
                  <c:v>1589.521565834106</c:v>
                </c:pt>
                <c:pt idx="257">
                  <c:v>1602.4964364391014</c:v>
                </c:pt>
                <c:pt idx="258">
                  <c:v>1594.7654578204667</c:v>
                </c:pt>
                <c:pt idx="259">
                  <c:v>1594.8988650735439</c:v>
                </c:pt>
                <c:pt idx="260">
                  <c:v>1591.0534718831027</c:v>
                </c:pt>
                <c:pt idx="261">
                  <c:v>1593.351151051804</c:v>
                </c:pt>
                <c:pt idx="262">
                  <c:v>1589.6170441454931</c:v>
                </c:pt>
                <c:pt idx="263">
                  <c:v>1589.8473418806202</c:v>
                </c:pt>
                <c:pt idx="264">
                  <c:v>1593.3702578293364</c:v>
                </c:pt>
                <c:pt idx="265">
                  <c:v>1591.7600362823605</c:v>
                </c:pt>
                <c:pt idx="266">
                  <c:v>1598.2414760646664</c:v>
                </c:pt>
                <c:pt idx="267">
                  <c:v>1593.3260272082784</c:v>
                </c:pt>
                <c:pt idx="268">
                  <c:v>1590.4920710450288</c:v>
                </c:pt>
                <c:pt idx="269">
                  <c:v>1594.1731186187585</c:v>
                </c:pt>
                <c:pt idx="270">
                  <c:v>1593.3140799070459</c:v>
                </c:pt>
                <c:pt idx="271">
                  <c:v>1590.4621954276035</c:v>
                </c:pt>
                <c:pt idx="272">
                  <c:v>1593.657422255038</c:v>
                </c:pt>
                <c:pt idx="273">
                  <c:v>1593.4134777215077</c:v>
                </c:pt>
                <c:pt idx="274">
                  <c:v>1586.7029968551785</c:v>
                </c:pt>
                <c:pt idx="275">
                  <c:v>1583.4167788740474</c:v>
                </c:pt>
                <c:pt idx="276">
                  <c:v>1592.1742782008032</c:v>
                </c:pt>
                <c:pt idx="277">
                  <c:v>1598.6772325315983</c:v>
                </c:pt>
                <c:pt idx="278">
                  <c:v>1600.6771691364088</c:v>
                </c:pt>
                <c:pt idx="279">
                  <c:v>1593.6651061215903</c:v>
                </c:pt>
                <c:pt idx="280">
                  <c:v>1596.3251154848608</c:v>
                </c:pt>
                <c:pt idx="281">
                  <c:v>1601.2011647919517</c:v>
                </c:pt>
                <c:pt idx="282">
                  <c:v>1595.1579578031999</c:v>
                </c:pt>
                <c:pt idx="283">
                  <c:v>1596.8070100563807</c:v>
                </c:pt>
                <c:pt idx="284">
                  <c:v>1591.1561679960423</c:v>
                </c:pt>
                <c:pt idx="285">
                  <c:v>1596.771230988066</c:v>
                </c:pt>
                <c:pt idx="286">
                  <c:v>1588.7326036021377</c:v>
                </c:pt>
                <c:pt idx="287">
                  <c:v>1589.364207980525</c:v>
                </c:pt>
                <c:pt idx="288">
                  <c:v>1594.7800227326418</c:v>
                </c:pt>
                <c:pt idx="289">
                  <c:v>1594.2773425962459</c:v>
                </c:pt>
                <c:pt idx="290">
                  <c:v>1589.0256785406684</c:v>
                </c:pt>
                <c:pt idx="291">
                  <c:v>1592.7695244694244</c:v>
                </c:pt>
                <c:pt idx="292">
                  <c:v>1592.7709073226079</c:v>
                </c:pt>
                <c:pt idx="293">
                  <c:v>1589.3162818786723</c:v>
                </c:pt>
                <c:pt idx="294">
                  <c:v>1592.8483841874001</c:v>
                </c:pt>
                <c:pt idx="295">
                  <c:v>1603.7992938822758</c:v>
                </c:pt>
                <c:pt idx="296">
                  <c:v>1602.7504981189823</c:v>
                </c:pt>
                <c:pt idx="297">
                  <c:v>1592.9059951302684</c:v>
                </c:pt>
                <c:pt idx="298">
                  <c:v>1597.0945591594868</c:v>
                </c:pt>
                <c:pt idx="299">
                  <c:v>1597.26199180453</c:v>
                </c:pt>
                <c:pt idx="300">
                  <c:v>1594.5124198537028</c:v>
                </c:pt>
                <c:pt idx="301">
                  <c:v>1589.5533453345806</c:v>
                </c:pt>
                <c:pt idx="302">
                  <c:v>1591.0860252625732</c:v>
                </c:pt>
                <c:pt idx="303">
                  <c:v>1594.5355091109977</c:v>
                </c:pt>
                <c:pt idx="304">
                  <c:v>1599.8362960563318</c:v>
                </c:pt>
                <c:pt idx="305">
                  <c:v>1600.0292782799938</c:v>
                </c:pt>
                <c:pt idx="306">
                  <c:v>1594.4431026103139</c:v>
                </c:pt>
                <c:pt idx="307">
                  <c:v>1596.4384439946521</c:v>
                </c:pt>
                <c:pt idx="308">
                  <c:v>1602.3998133306841</c:v>
                </c:pt>
                <c:pt idx="309">
                  <c:v>1592.7554144507001</c:v>
                </c:pt>
                <c:pt idx="310">
                  <c:v>1594.304881963996</c:v>
                </c:pt>
                <c:pt idx="311">
                  <c:v>1600.471052672212</c:v>
                </c:pt>
                <c:pt idx="312">
                  <c:v>1592.8122263561786</c:v>
                </c:pt>
                <c:pt idx="313">
                  <c:v>1589.6033529980416</c:v>
                </c:pt>
                <c:pt idx="314">
                  <c:v>1590.4817328800534</c:v>
                </c:pt>
                <c:pt idx="315">
                  <c:v>1593.5868424827731</c:v>
                </c:pt>
                <c:pt idx="316">
                  <c:v>1595.1073214278765</c:v>
                </c:pt>
                <c:pt idx="317">
                  <c:v>1599.1386774993093</c:v>
                </c:pt>
                <c:pt idx="318">
                  <c:v>1594.2718454343135</c:v>
                </c:pt>
                <c:pt idx="319">
                  <c:v>1591.0902143617077</c:v>
                </c:pt>
                <c:pt idx="320">
                  <c:v>1592.3376730755374</c:v>
                </c:pt>
                <c:pt idx="321">
                  <c:v>1595.7736470370842</c:v>
                </c:pt>
                <c:pt idx="322">
                  <c:v>1597.1190051548617</c:v>
                </c:pt>
                <c:pt idx="323">
                  <c:v>1591.5982911239325</c:v>
                </c:pt>
                <c:pt idx="324">
                  <c:v>1597.2347013771889</c:v>
                </c:pt>
                <c:pt idx="325">
                  <c:v>1602.4892931689258</c:v>
                </c:pt>
                <c:pt idx="326">
                  <c:v>1601.2503574099121</c:v>
                </c:pt>
                <c:pt idx="327">
                  <c:v>1597.0128552654526</c:v>
                </c:pt>
                <c:pt idx="328">
                  <c:v>1596.0347781338598</c:v>
                </c:pt>
                <c:pt idx="329">
                  <c:v>1601.7765694650566</c:v>
                </c:pt>
                <c:pt idx="330">
                  <c:v>1597.6739100482662</c:v>
                </c:pt>
                <c:pt idx="331">
                  <c:v>1594.1358665879766</c:v>
                </c:pt>
                <c:pt idx="332">
                  <c:v>1598.7730513884487</c:v>
                </c:pt>
                <c:pt idx="333">
                  <c:v>1598.360413080118</c:v>
                </c:pt>
                <c:pt idx="334">
                  <c:v>1590.4022506016372</c:v>
                </c:pt>
                <c:pt idx="335">
                  <c:v>1591.2578370980275</c:v>
                </c:pt>
                <c:pt idx="336">
                  <c:v>1599.8482900754393</c:v>
                </c:pt>
                <c:pt idx="337">
                  <c:v>1606.1372003349866</c:v>
                </c:pt>
                <c:pt idx="338">
                  <c:v>1606.5203771329766</c:v>
                </c:pt>
                <c:pt idx="339">
                  <c:v>1601.1412548701787</c:v>
                </c:pt>
                <c:pt idx="340">
                  <c:v>1607.9024073409576</c:v>
                </c:pt>
                <c:pt idx="341">
                  <c:v>1599.6109928969117</c:v>
                </c:pt>
                <c:pt idx="342">
                  <c:v>1601.6293269395303</c:v>
                </c:pt>
                <c:pt idx="343">
                  <c:v>1594.5815509778931</c:v>
                </c:pt>
                <c:pt idx="344">
                  <c:v>1596.0720616720257</c:v>
                </c:pt>
                <c:pt idx="345">
                  <c:v>1602.2156293019937</c:v>
                </c:pt>
                <c:pt idx="346">
                  <c:v>1596.9823355261817</c:v>
                </c:pt>
                <c:pt idx="347">
                  <c:v>1595.6144415130245</c:v>
                </c:pt>
                <c:pt idx="348">
                  <c:v>1601.9767548639463</c:v>
                </c:pt>
                <c:pt idx="349">
                  <c:v>1611.0728943347626</c:v>
                </c:pt>
                <c:pt idx="350">
                  <c:v>1610.4844569687541</c:v>
                </c:pt>
                <c:pt idx="351">
                  <c:v>1601.5655502269415</c:v>
                </c:pt>
                <c:pt idx="352">
                  <c:v>1591.9321569255799</c:v>
                </c:pt>
                <c:pt idx="353">
                  <c:v>1606.9985639840263</c:v>
                </c:pt>
                <c:pt idx="354">
                  <c:v>1602.1205726001222</c:v>
                </c:pt>
                <c:pt idx="355">
                  <c:v>1606.6198491645214</c:v>
                </c:pt>
                <c:pt idx="356">
                  <c:v>1602.5781300695342</c:v>
                </c:pt>
                <c:pt idx="357">
                  <c:v>1601.224661289117</c:v>
                </c:pt>
                <c:pt idx="358">
                  <c:v>1593.9393133213823</c:v>
                </c:pt>
                <c:pt idx="359">
                  <c:v>1595.1936774414539</c:v>
                </c:pt>
                <c:pt idx="360">
                  <c:v>1600.4545153768051</c:v>
                </c:pt>
                <c:pt idx="361">
                  <c:v>1596.2937882845442</c:v>
                </c:pt>
                <c:pt idx="362">
                  <c:v>1598.0440255548369</c:v>
                </c:pt>
                <c:pt idx="363">
                  <c:v>1601.8897614015079</c:v>
                </c:pt>
                <c:pt idx="364">
                  <c:v>1593.7964228330989</c:v>
                </c:pt>
                <c:pt idx="365">
                  <c:v>1601.9696442961003</c:v>
                </c:pt>
                <c:pt idx="366">
                  <c:v>1600.5538264303239</c:v>
                </c:pt>
                <c:pt idx="367">
                  <c:v>1600.2745034717418</c:v>
                </c:pt>
                <c:pt idx="368">
                  <c:v>1602.8768564509114</c:v>
                </c:pt>
                <c:pt idx="369">
                  <c:v>1599.0555953122059</c:v>
                </c:pt>
                <c:pt idx="370">
                  <c:v>1601.1972617403326</c:v>
                </c:pt>
                <c:pt idx="371">
                  <c:v>1600.8060781698905</c:v>
                </c:pt>
                <c:pt idx="372">
                  <c:v>1597.5732417008712</c:v>
                </c:pt>
                <c:pt idx="373">
                  <c:v>1591.4138022506661</c:v>
                </c:pt>
                <c:pt idx="374">
                  <c:v>1596.3793194371622</c:v>
                </c:pt>
                <c:pt idx="375">
                  <c:v>1598.0390435205393</c:v>
                </c:pt>
                <c:pt idx="376">
                  <c:v>1601.740809259416</c:v>
                </c:pt>
                <c:pt idx="377">
                  <c:v>1600.1103644038594</c:v>
                </c:pt>
                <c:pt idx="378">
                  <c:v>1596.5817022174363</c:v>
                </c:pt>
                <c:pt idx="379">
                  <c:v>1595.2642120041317</c:v>
                </c:pt>
                <c:pt idx="380">
                  <c:v>1586.5746267321069</c:v>
                </c:pt>
                <c:pt idx="381">
                  <c:v>1595.3971789717143</c:v>
                </c:pt>
                <c:pt idx="382">
                  <c:v>1605.174795897884</c:v>
                </c:pt>
                <c:pt idx="383">
                  <c:v>1598.2617471224967</c:v>
                </c:pt>
                <c:pt idx="384">
                  <c:v>1594.0901766397617</c:v>
                </c:pt>
                <c:pt idx="385">
                  <c:v>1590.519635579923</c:v>
                </c:pt>
                <c:pt idx="386">
                  <c:v>1595.8985177664435</c:v>
                </c:pt>
                <c:pt idx="387">
                  <c:v>1594.8371266598449</c:v>
                </c:pt>
                <c:pt idx="388">
                  <c:v>1596.4341038998859</c:v>
                </c:pt>
                <c:pt idx="389">
                  <c:v>1600.4514992764866</c:v>
                </c:pt>
                <c:pt idx="390">
                  <c:v>1595.5347902808278</c:v>
                </c:pt>
                <c:pt idx="391">
                  <c:v>1598.3275815391428</c:v>
                </c:pt>
                <c:pt idx="392">
                  <c:v>1594.8756160499079</c:v>
                </c:pt>
                <c:pt idx="393">
                  <c:v>1595.5303623536083</c:v>
                </c:pt>
                <c:pt idx="394">
                  <c:v>1595.0651801794868</c:v>
                </c:pt>
                <c:pt idx="395">
                  <c:v>1600.5247890984099</c:v>
                </c:pt>
                <c:pt idx="396">
                  <c:v>1595.5116403638194</c:v>
                </c:pt>
                <c:pt idx="397">
                  <c:v>1600.5365705216366</c:v>
                </c:pt>
                <c:pt idx="398">
                  <c:v>1600.4553510985068</c:v>
                </c:pt>
                <c:pt idx="399">
                  <c:v>1595.4606189919157</c:v>
                </c:pt>
                <c:pt idx="400">
                  <c:v>1587.8198552779643</c:v>
                </c:pt>
                <c:pt idx="401">
                  <c:v>1587.9649361462964</c:v>
                </c:pt>
                <c:pt idx="402">
                  <c:v>1594.9311465294186</c:v>
                </c:pt>
                <c:pt idx="403">
                  <c:v>1598.813559650242</c:v>
                </c:pt>
                <c:pt idx="404">
                  <c:v>1598.6406782923407</c:v>
                </c:pt>
                <c:pt idx="405">
                  <c:v>1595.3548342225865</c:v>
                </c:pt>
                <c:pt idx="406">
                  <c:v>1586.3107052172511</c:v>
                </c:pt>
                <c:pt idx="407">
                  <c:v>1595.2488409859475</c:v>
                </c:pt>
                <c:pt idx="408">
                  <c:v>1594.3593479400317</c:v>
                </c:pt>
                <c:pt idx="409">
                  <c:v>1587.1931918523915</c:v>
                </c:pt>
                <c:pt idx="410">
                  <c:v>1587.2880327012772</c:v>
                </c:pt>
                <c:pt idx="411">
                  <c:v>1594.5463045050694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58-49B4-B66C-A384F33A1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  <c:pt idx="50">
                  <c:v>-122.60000000000007</c:v>
                </c:pt>
                <c:pt idx="51">
                  <c:v>-114.20000000000006</c:v>
                </c:pt>
                <c:pt idx="52">
                  <c:v>-89.900000000000063</c:v>
                </c:pt>
                <c:pt idx="53">
                  <c:v>-61.800000000000061</c:v>
                </c:pt>
                <c:pt idx="54">
                  <c:v>-63.800000000000061</c:v>
                </c:pt>
                <c:pt idx="55">
                  <c:v>-114.10000000000005</c:v>
                </c:pt>
                <c:pt idx="56">
                  <c:v>-110.70000000000005</c:v>
                </c:pt>
                <c:pt idx="57">
                  <c:v>-89.600000000000051</c:v>
                </c:pt>
                <c:pt idx="58">
                  <c:v>-110.00000000000006</c:v>
                </c:pt>
                <c:pt idx="59">
                  <c:v>-105.20000000000006</c:v>
                </c:pt>
                <c:pt idx="60">
                  <c:v>-152.00000000000006</c:v>
                </c:pt>
                <c:pt idx="61">
                  <c:v>-119.60000000000005</c:v>
                </c:pt>
                <c:pt idx="62">
                  <c:v>-112.60000000000005</c:v>
                </c:pt>
                <c:pt idx="63">
                  <c:v>-64.900000000000048</c:v>
                </c:pt>
                <c:pt idx="64">
                  <c:v>-63.700000000000045</c:v>
                </c:pt>
                <c:pt idx="65">
                  <c:v>-78.900000000000048</c:v>
                </c:pt>
                <c:pt idx="66">
                  <c:v>-52.300000000000047</c:v>
                </c:pt>
                <c:pt idx="67">
                  <c:v>-69.200000000000045</c:v>
                </c:pt>
                <c:pt idx="68">
                  <c:v>-74.200000000000045</c:v>
                </c:pt>
                <c:pt idx="69">
                  <c:v>-17.600000000000044</c:v>
                </c:pt>
                <c:pt idx="70">
                  <c:v>10.799999999999955</c:v>
                </c:pt>
                <c:pt idx="71">
                  <c:v>18.299999999999955</c:v>
                </c:pt>
                <c:pt idx="72">
                  <c:v>57.899999999999956</c:v>
                </c:pt>
                <c:pt idx="73">
                  <c:v>9.5999999999999588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2A-4B73-981C-7807FE1E4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-637.14285714285711</c:v>
                </c:pt>
                <c:pt idx="1">
                  <c:v>-1511.1111111111111</c:v>
                </c:pt>
                <c:pt idx="2">
                  <c:v>147.76119402985074</c:v>
                </c:pt>
                <c:pt idx="3">
                  <c:v>-622.58064516129036</c:v>
                </c:pt>
                <c:pt idx="4">
                  <c:v>777.04918032786884</c:v>
                </c:pt>
                <c:pt idx="5">
                  <c:v>2678.7234042553191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06-4069-8F28-70801A559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</c:v>
                </c:pt>
                <c:pt idx="1">
                  <c:v>16</c:v>
                </c:pt>
                <c:pt idx="2">
                  <c:v>19</c:v>
                </c:pt>
                <c:pt idx="3">
                  <c:v>39</c:v>
                </c:pt>
                <c:pt idx="4">
                  <c:v>30</c:v>
                </c:pt>
                <c:pt idx="5">
                  <c:v>22</c:v>
                </c:pt>
                <c:pt idx="6">
                  <c:v>14</c:v>
                </c:pt>
                <c:pt idx="7">
                  <c:v>6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0-4D2F-81C4-C98511EA7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れんたろう!$M$2:$M$75</c:f>
              <c:numCache>
                <c:formatCode>0</c:formatCode>
                <c:ptCount val="74"/>
                <c:pt idx="0">
                  <c:v>1661.4405403070657</c:v>
                </c:pt>
                <c:pt idx="1">
                  <c:v>1659.9498970652232</c:v>
                </c:pt>
                <c:pt idx="2">
                  <c:v>1666.4781976828319</c:v>
                </c:pt>
                <c:pt idx="3">
                  <c:v>1670.7233284967349</c:v>
                </c:pt>
                <c:pt idx="4">
                  <c:v>1664.4249885257545</c:v>
                </c:pt>
                <c:pt idx="5">
                  <c:v>1661.8304385946001</c:v>
                </c:pt>
                <c:pt idx="6">
                  <c:v>1666.6074559630324</c:v>
                </c:pt>
                <c:pt idx="7">
                  <c:v>1661.9418112272542</c:v>
                </c:pt>
                <c:pt idx="8">
                  <c:v>1656.2661603598906</c:v>
                </c:pt>
                <c:pt idx="9">
                  <c:v>1664.2685633977312</c:v>
                </c:pt>
                <c:pt idx="10">
                  <c:v>1663.0429520173448</c:v>
                </c:pt>
                <c:pt idx="11">
                  <c:v>1656.0526943052407</c:v>
                </c:pt>
                <c:pt idx="12">
                  <c:v>1660.5883781394093</c:v>
                </c:pt>
                <c:pt idx="13">
                  <c:v>1651.8428478705728</c:v>
                </c:pt>
                <c:pt idx="14">
                  <c:v>1660.8437907833493</c:v>
                </c:pt>
                <c:pt idx="15">
                  <c:v>1652.4147280386492</c:v>
                </c:pt>
                <c:pt idx="16">
                  <c:v>1656.6782396704173</c:v>
                </c:pt>
                <c:pt idx="17">
                  <c:v>1652.6781702323947</c:v>
                </c:pt>
                <c:pt idx="18">
                  <c:v>1646.1281012110003</c:v>
                </c:pt>
                <c:pt idx="19">
                  <c:v>1650.6333326037343</c:v>
                </c:pt>
                <c:pt idx="20">
                  <c:v>1645.6975326081119</c:v>
                </c:pt>
                <c:pt idx="21">
                  <c:v>1637.3713474124634</c:v>
                </c:pt>
                <c:pt idx="22">
                  <c:v>1644.1791193279885</c:v>
                </c:pt>
                <c:pt idx="23">
                  <c:v>1644.4660446120206</c:v>
                </c:pt>
                <c:pt idx="24">
                  <c:v>1660.2312483443484</c:v>
                </c:pt>
                <c:pt idx="25">
                  <c:v>1649.5258608542822</c:v>
                </c:pt>
                <c:pt idx="26">
                  <c:v>1635.3267056891566</c:v>
                </c:pt>
                <c:pt idx="27">
                  <c:v>1627.2427454550216</c:v>
                </c:pt>
                <c:pt idx="28">
                  <c:v>1633.6432889822916</c:v>
                </c:pt>
                <c:pt idx="29">
                  <c:v>1640.6654292483979</c:v>
                </c:pt>
                <c:pt idx="30">
                  <c:v>1656.1834366729074</c:v>
                </c:pt>
                <c:pt idx="31">
                  <c:v>1656.4523360528699</c:v>
                </c:pt>
                <c:pt idx="32">
                  <c:v>1650.6716220365527</c:v>
                </c:pt>
                <c:pt idx="33">
                  <c:v>1650.7995923043334</c:v>
                </c:pt>
                <c:pt idx="34">
                  <c:v>1641.7227947505073</c:v>
                </c:pt>
                <c:pt idx="35">
                  <c:v>1648.7264579820044</c:v>
                </c:pt>
                <c:pt idx="36">
                  <c:v>1641.6480992341124</c:v>
                </c:pt>
                <c:pt idx="37">
                  <c:v>1632.1282106387077</c:v>
                </c:pt>
                <c:pt idx="38">
                  <c:v>1625.7674413748755</c:v>
                </c:pt>
                <c:pt idx="39">
                  <c:v>1627.1248367266262</c:v>
                </c:pt>
                <c:pt idx="40">
                  <c:v>1622.8220877062665</c:v>
                </c:pt>
                <c:pt idx="41">
                  <c:v>1629.0331551800289</c:v>
                </c:pt>
                <c:pt idx="42">
                  <c:v>1621.1429562489486</c:v>
                </c:pt>
                <c:pt idx="43">
                  <c:v>1619.7080985114549</c:v>
                </c:pt>
                <c:pt idx="44">
                  <c:v>1623.3158499203862</c:v>
                </c:pt>
                <c:pt idx="45">
                  <c:v>1618.2799548208638</c:v>
                </c:pt>
                <c:pt idx="46">
                  <c:v>1620.7622750919386</c:v>
                </c:pt>
                <c:pt idx="47">
                  <c:v>1628.9417014413871</c:v>
                </c:pt>
                <c:pt idx="48">
                  <c:v>1641.6800512327388</c:v>
                </c:pt>
                <c:pt idx="49">
                  <c:v>1637.5539709253424</c:v>
                </c:pt>
                <c:pt idx="50">
                  <c:v>1633.9626470997903</c:v>
                </c:pt>
                <c:pt idx="51">
                  <c:v>1635.7508712171916</c:v>
                </c:pt>
                <c:pt idx="52">
                  <c:v>1640.3903659898886</c:v>
                </c:pt>
                <c:pt idx="53">
                  <c:v>1645.7100237939492</c:v>
                </c:pt>
                <c:pt idx="54">
                  <c:v>1645.5857636511855</c:v>
                </c:pt>
                <c:pt idx="55">
                  <c:v>1635.6822490692784</c:v>
                </c:pt>
                <c:pt idx="56">
                  <c:v>1636.2841555748628</c:v>
                </c:pt>
                <c:pt idx="57">
                  <c:v>1640.0684506414136</c:v>
                </c:pt>
                <c:pt idx="58">
                  <c:v>1636.6120399375652</c:v>
                </c:pt>
                <c:pt idx="59">
                  <c:v>1637.7123676979397</c:v>
                </c:pt>
                <c:pt idx="60">
                  <c:v>1629.5180934917521</c:v>
                </c:pt>
                <c:pt idx="61">
                  <c:v>1635.6289849308016</c:v>
                </c:pt>
                <c:pt idx="62">
                  <c:v>1637.1432110212168</c:v>
                </c:pt>
                <c:pt idx="63">
                  <c:v>1645.0563517550895</c:v>
                </c:pt>
                <c:pt idx="64">
                  <c:v>1644.510013644559</c:v>
                </c:pt>
                <c:pt idx="65">
                  <c:v>1641.0149535626915</c:v>
                </c:pt>
                <c:pt idx="66">
                  <c:v>1645.6828638413153</c:v>
                </c:pt>
                <c:pt idx="67">
                  <c:v>1641.8807666582675</c:v>
                </c:pt>
                <c:pt idx="68">
                  <c:v>1640.2914820583178</c:v>
                </c:pt>
                <c:pt idx="69">
                  <c:v>1649.7997331659678</c:v>
                </c:pt>
                <c:pt idx="70">
                  <c:v>1654.8229347669721</c:v>
                </c:pt>
                <c:pt idx="71">
                  <c:v>1656.0599971583704</c:v>
                </c:pt>
                <c:pt idx="72">
                  <c:v>1662.6176371754202</c:v>
                </c:pt>
                <c:pt idx="73">
                  <c:v>1653.1699313523677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AD-4354-B072-1C96AF401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2-4FF8-89A1-6A9EB82A5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C-4F62-99D5-17049440D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01-4F9D-AEAE-107999886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ともき!$M$2:$M$11</c:f>
              <c:numCache>
                <c:formatCode>0</c:formatCode>
                <c:ptCount val="10"/>
                <c:pt idx="0">
                  <c:v>1477.1627652918316</c:v>
                </c:pt>
                <c:pt idx="1">
                  <c:v>1470.7657887000807</c:v>
                </c:pt>
                <c:pt idx="2">
                  <c:v>1464.9291939678803</c:v>
                </c:pt>
                <c:pt idx="3">
                  <c:v>1462.709618804073</c:v>
                </c:pt>
                <c:pt idx="4">
                  <c:v>1465.1293610912485</c:v>
                </c:pt>
                <c:pt idx="5">
                  <c:v>1470.792584924701</c:v>
                </c:pt>
                <c:pt idx="6">
                  <c:v>1478.2218294151528</c:v>
                </c:pt>
                <c:pt idx="7">
                  <c:v>1476.1744984386619</c:v>
                </c:pt>
                <c:pt idx="8">
                  <c:v>1470.9174514480299</c:v>
                </c:pt>
                <c:pt idx="9">
                  <c:v>1463.4239467393418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E-42CD-A140-5F0DE3F12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だいち!$K$2:$K$103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</c:numCache>
            </c:numRef>
          </c:xVal>
          <c:yVal>
            <c:numRef>
              <c:f>だいち!$L$2:$L$103</c:f>
              <c:numCache>
                <c:formatCode>\+0.0;\-0.0;\±0</c:formatCode>
                <c:ptCount val="102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  <c:pt idx="65">
                  <c:v>548.50000000000023</c:v>
                </c:pt>
                <c:pt idx="66">
                  <c:v>568.9000000000002</c:v>
                </c:pt>
                <c:pt idx="67">
                  <c:v>586.4000000000002</c:v>
                </c:pt>
                <c:pt idx="68">
                  <c:v>619.60000000000025</c:v>
                </c:pt>
                <c:pt idx="69">
                  <c:v>631.50000000000023</c:v>
                </c:pt>
                <c:pt idx="70">
                  <c:v>597.20000000000027</c:v>
                </c:pt>
                <c:pt idx="71">
                  <c:v>616.60000000000025</c:v>
                </c:pt>
                <c:pt idx="72">
                  <c:v>677.10000000000025</c:v>
                </c:pt>
                <c:pt idx="73">
                  <c:v>658.9000000000002</c:v>
                </c:pt>
                <c:pt idx="74">
                  <c:v>678.00000000000023</c:v>
                </c:pt>
                <c:pt idx="75">
                  <c:v>707.50000000000023</c:v>
                </c:pt>
                <c:pt idx="76">
                  <c:v>741.60000000000025</c:v>
                </c:pt>
                <c:pt idx="77">
                  <c:v>757.4000000000002</c:v>
                </c:pt>
                <c:pt idx="78">
                  <c:v>729.20000000000016</c:v>
                </c:pt>
                <c:pt idx="79">
                  <c:v>745.50000000000011</c:v>
                </c:pt>
                <c:pt idx="80">
                  <c:v>712.20000000000016</c:v>
                </c:pt>
                <c:pt idx="81">
                  <c:v>689.10000000000014</c:v>
                </c:pt>
                <c:pt idx="82">
                  <c:v>719.70000000000016</c:v>
                </c:pt>
                <c:pt idx="83">
                  <c:v>716.20000000000016</c:v>
                </c:pt>
                <c:pt idx="84">
                  <c:v>718.10000000000014</c:v>
                </c:pt>
                <c:pt idx="85">
                  <c:v>685.90000000000009</c:v>
                </c:pt>
                <c:pt idx="86">
                  <c:v>722.50000000000011</c:v>
                </c:pt>
                <c:pt idx="87">
                  <c:v>755.50000000000011</c:v>
                </c:pt>
                <c:pt idx="88">
                  <c:v>791.20000000000016</c:v>
                </c:pt>
                <c:pt idx="89">
                  <c:v>842.30000000000018</c:v>
                </c:pt>
                <c:pt idx="90">
                  <c:v>787.80000000000018</c:v>
                </c:pt>
                <c:pt idx="91">
                  <c:v>781.9000000000002</c:v>
                </c:pt>
                <c:pt idx="92">
                  <c:v>743.00000000000023</c:v>
                </c:pt>
                <c:pt idx="93">
                  <c:v>761.70000000000027</c:v>
                </c:pt>
                <c:pt idx="94">
                  <c:v>770.10000000000025</c:v>
                </c:pt>
                <c:pt idx="95">
                  <c:v>748.9000000000002</c:v>
                </c:pt>
                <c:pt idx="96">
                  <c:v>720.4000000000002</c:v>
                </c:pt>
                <c:pt idx="97">
                  <c:v>735.9000000000002</c:v>
                </c:pt>
                <c:pt idx="98">
                  <c:v>708.20000000000016</c:v>
                </c:pt>
                <c:pt idx="99">
                  <c:v>680.60000000000014</c:v>
                </c:pt>
                <c:pt idx="100">
                  <c:v>678.90000000000009</c:v>
                </c:pt>
                <c:pt idx="101">
                  <c:v>679.00000000000011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0-45E5-8593-9C17C0087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1312</c:v>
                </c:pt>
                <c:pt idx="1">
                  <c:v>2306</c:v>
                </c:pt>
                <c:pt idx="2">
                  <c:v>1477.8947368421052</c:v>
                </c:pt>
                <c:pt idx="3">
                  <c:v>1040.6976744186047</c:v>
                </c:pt>
                <c:pt idx="4">
                  <c:v>-1056.0975609756097</c:v>
                </c:pt>
                <c:pt idx="5">
                  <c:v>1827.2727272727273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F2-42C3-B484-5490C5DC5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13</c:v>
                </c:pt>
                <c:pt idx="1">
                  <c:v>36</c:v>
                </c:pt>
                <c:pt idx="2">
                  <c:v>44</c:v>
                </c:pt>
                <c:pt idx="3">
                  <c:v>41</c:v>
                </c:pt>
                <c:pt idx="4">
                  <c:v>40</c:v>
                </c:pt>
                <c:pt idx="5">
                  <c:v>23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160-85DF-4C8B8E8A4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だいち!$K$2:$K$103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</c:numCache>
            </c:numRef>
          </c:xVal>
          <c:yVal>
            <c:numRef>
              <c:f>だいち!$M$2:$M$103</c:f>
              <c:numCache>
                <c:formatCode>0</c:formatCode>
                <c:ptCount val="102"/>
                <c:pt idx="0">
                  <c:v>1878.435448536804</c:v>
                </c:pt>
                <c:pt idx="1">
                  <c:v>1883.2208358455832</c:v>
                </c:pt>
                <c:pt idx="2">
                  <c:v>1892.2675108305098</c:v>
                </c:pt>
                <c:pt idx="3">
                  <c:v>1890.1179057655268</c:v>
                </c:pt>
                <c:pt idx="4">
                  <c:v>1889.4331983309337</c:v>
                </c:pt>
                <c:pt idx="5">
                  <c:v>1895.4485991409481</c:v>
                </c:pt>
                <c:pt idx="6">
                  <c:v>1897.4739075461025</c:v>
                </c:pt>
                <c:pt idx="7">
                  <c:v>1896.355064100826</c:v>
                </c:pt>
                <c:pt idx="8">
                  <c:v>1888.654933716221</c:v>
                </c:pt>
                <c:pt idx="9">
                  <c:v>1890.8290041139237</c:v>
                </c:pt>
                <c:pt idx="10">
                  <c:v>1903.0760300892402</c:v>
                </c:pt>
                <c:pt idx="11">
                  <c:v>1903.7295739087049</c:v>
                </c:pt>
                <c:pt idx="12">
                  <c:v>1894.0651964652527</c:v>
                </c:pt>
                <c:pt idx="13">
                  <c:v>1892.3788052864611</c:v>
                </c:pt>
                <c:pt idx="14">
                  <c:v>1900.2785324547424</c:v>
                </c:pt>
                <c:pt idx="15">
                  <c:v>1892.560861260014</c:v>
                </c:pt>
                <c:pt idx="16">
                  <c:v>1902.169496092454</c:v>
                </c:pt>
                <c:pt idx="17">
                  <c:v>1895.2204791158993</c:v>
                </c:pt>
                <c:pt idx="18">
                  <c:v>1900.6551562412039</c:v>
                </c:pt>
                <c:pt idx="19">
                  <c:v>1899.6852253037566</c:v>
                </c:pt>
                <c:pt idx="20">
                  <c:v>1899.087113951934</c:v>
                </c:pt>
                <c:pt idx="21">
                  <c:v>1896.8125912682224</c:v>
                </c:pt>
                <c:pt idx="22">
                  <c:v>1905.117715720613</c:v>
                </c:pt>
                <c:pt idx="23">
                  <c:v>1912.7430094262893</c:v>
                </c:pt>
                <c:pt idx="24">
                  <c:v>1923.9585513697316</c:v>
                </c:pt>
                <c:pt idx="25">
                  <c:v>1921.1928000615133</c:v>
                </c:pt>
                <c:pt idx="26">
                  <c:v>1930.6236432611443</c:v>
                </c:pt>
                <c:pt idx="27">
                  <c:v>1930.1039014015773</c:v>
                </c:pt>
                <c:pt idx="28">
                  <c:v>1934.1292779931678</c:v>
                </c:pt>
                <c:pt idx="29">
                  <c:v>1943.5305023252088</c:v>
                </c:pt>
                <c:pt idx="30">
                  <c:v>1937.7373193112576</c:v>
                </c:pt>
                <c:pt idx="31">
                  <c:v>1937.01889539539</c:v>
                </c:pt>
                <c:pt idx="32">
                  <c:v>1931.0847820230176</c:v>
                </c:pt>
                <c:pt idx="33">
                  <c:v>1928.4442733308795</c:v>
                </c:pt>
                <c:pt idx="34">
                  <c:v>1929.2756076908943</c:v>
                </c:pt>
                <c:pt idx="35">
                  <c:v>1915.917954044749</c:v>
                </c:pt>
                <c:pt idx="36">
                  <c:v>1921.3784463204804</c:v>
                </c:pt>
                <c:pt idx="37">
                  <c:v>1912.6221756425575</c:v>
                </c:pt>
                <c:pt idx="38">
                  <c:v>1906.0904425887022</c:v>
                </c:pt>
                <c:pt idx="39">
                  <c:v>1904.8178999331701</c:v>
                </c:pt>
                <c:pt idx="40">
                  <c:v>1907.8669925335712</c:v>
                </c:pt>
                <c:pt idx="41">
                  <c:v>1905.5097905783698</c:v>
                </c:pt>
                <c:pt idx="42">
                  <c:v>1905.5127318348996</c:v>
                </c:pt>
                <c:pt idx="43">
                  <c:v>1911.6836554438901</c:v>
                </c:pt>
                <c:pt idx="44">
                  <c:v>1909.0515535112268</c:v>
                </c:pt>
                <c:pt idx="45">
                  <c:v>1915.8732441901593</c:v>
                </c:pt>
                <c:pt idx="46">
                  <c:v>1927.2800047250184</c:v>
                </c:pt>
                <c:pt idx="47">
                  <c:v>1929.3123246966684</c:v>
                </c:pt>
                <c:pt idx="48">
                  <c:v>1918.2524507484884</c:v>
                </c:pt>
                <c:pt idx="49">
                  <c:v>1921.9289360439975</c:v>
                </c:pt>
                <c:pt idx="50">
                  <c:v>1920.1533624277336</c:v>
                </c:pt>
                <c:pt idx="51">
                  <c:v>1909.6464422531672</c:v>
                </c:pt>
                <c:pt idx="52">
                  <c:v>1909.1925635996481</c:v>
                </c:pt>
                <c:pt idx="53">
                  <c:v>1900.8154082180502</c:v>
                </c:pt>
                <c:pt idx="54">
                  <c:v>1898.3685157687419</c:v>
                </c:pt>
                <c:pt idx="55">
                  <c:v>1901.8943046741294</c:v>
                </c:pt>
                <c:pt idx="56">
                  <c:v>1903.7189388460847</c:v>
                </c:pt>
                <c:pt idx="57">
                  <c:v>1901.9326252130081</c:v>
                </c:pt>
                <c:pt idx="58">
                  <c:v>1898.6990294617301</c:v>
                </c:pt>
                <c:pt idx="59">
                  <c:v>1896.7988352849598</c:v>
                </c:pt>
                <c:pt idx="60">
                  <c:v>1894.7480422732499</c:v>
                </c:pt>
                <c:pt idx="61">
                  <c:v>1884.5015540196105</c:v>
                </c:pt>
                <c:pt idx="62">
                  <c:v>1874.9345446954928</c:v>
                </c:pt>
                <c:pt idx="63">
                  <c:v>1869.51093742732</c:v>
                </c:pt>
                <c:pt idx="64">
                  <c:v>1868.0618718027561</c:v>
                </c:pt>
                <c:pt idx="65">
                  <c:v>1872.8855005719395</c:v>
                </c:pt>
                <c:pt idx="66">
                  <c:v>1874.8721875685078</c:v>
                </c:pt>
                <c:pt idx="67">
                  <c:v>1876.3609544430967</c:v>
                </c:pt>
                <c:pt idx="68">
                  <c:v>1881.158788716438</c:v>
                </c:pt>
                <c:pt idx="69">
                  <c:v>1882.0938359841393</c:v>
                </c:pt>
                <c:pt idx="70">
                  <c:v>1874.7312729682344</c:v>
                </c:pt>
                <c:pt idx="71">
                  <c:v>1876.550885330425</c:v>
                </c:pt>
                <c:pt idx="72">
                  <c:v>1885.7995800184424</c:v>
                </c:pt>
                <c:pt idx="73">
                  <c:v>1881.3187825383318</c:v>
                </c:pt>
                <c:pt idx="74">
                  <c:v>1883.0268698431018</c:v>
                </c:pt>
                <c:pt idx="75">
                  <c:v>1886.5967086240432</c:v>
                </c:pt>
                <c:pt idx="76">
                  <c:v>1891.0091283722991</c:v>
                </c:pt>
                <c:pt idx="77">
                  <c:v>1892.3110736020653</c:v>
                </c:pt>
                <c:pt idx="78">
                  <c:v>1885.685207160453</c:v>
                </c:pt>
                <c:pt idx="79">
                  <c:v>1887.3610959174903</c:v>
                </c:pt>
                <c:pt idx="80">
                  <c:v>1880.0989293419852</c:v>
                </c:pt>
                <c:pt idx="81">
                  <c:v>1874.1883357659333</c:v>
                </c:pt>
                <c:pt idx="82">
                  <c:v>1878.2612057513377</c:v>
                </c:pt>
                <c:pt idx="83">
                  <c:v>1876.1716385168297</c:v>
                </c:pt>
                <c:pt idx="84">
                  <c:v>1875.3126086857287</c:v>
                </c:pt>
                <c:pt idx="85">
                  <c:v>1868.3207330336143</c:v>
                </c:pt>
                <c:pt idx="86">
                  <c:v>1873.4788086354126</c:v>
                </c:pt>
                <c:pt idx="87">
                  <c:v>1877.9579357836001</c:v>
                </c:pt>
                <c:pt idx="88">
                  <c:v>1882.6261881688986</c:v>
                </c:pt>
                <c:pt idx="89">
                  <c:v>1890.0384310398852</c:v>
                </c:pt>
                <c:pt idx="90">
                  <c:v>1878.6742004536459</c:v>
                </c:pt>
                <c:pt idx="91">
                  <c:v>1875.6641552509241</c:v>
                </c:pt>
                <c:pt idx="92">
                  <c:v>1866.7321703194186</c:v>
                </c:pt>
                <c:pt idx="93">
                  <c:v>1868.9657772975022</c:v>
                </c:pt>
                <c:pt idx="94">
                  <c:v>1868.9899826337171</c:v>
                </c:pt>
                <c:pt idx="95">
                  <c:v>1863.7700427379148</c:v>
                </c:pt>
                <c:pt idx="96">
                  <c:v>1857.2734224814874</c:v>
                </c:pt>
                <c:pt idx="97">
                  <c:v>1858.4957819465985</c:v>
                </c:pt>
                <c:pt idx="98">
                  <c:v>1851.934807254919</c:v>
                </c:pt>
                <c:pt idx="99">
                  <c:v>1845.4311984113895</c:v>
                </c:pt>
                <c:pt idx="100">
                  <c:v>1843.7786112209212</c:v>
                </c:pt>
                <c:pt idx="101">
                  <c:v>1842.3339395535957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75-444B-B095-C774BDB77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りくと!$L$2:$L$44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  <c:pt idx="32">
                  <c:v>-277.49999999999994</c:v>
                </c:pt>
                <c:pt idx="33">
                  <c:v>-276.19999999999993</c:v>
                </c:pt>
                <c:pt idx="34">
                  <c:v>-295.39999999999992</c:v>
                </c:pt>
                <c:pt idx="35">
                  <c:v>-288.2999999999999</c:v>
                </c:pt>
                <c:pt idx="36">
                  <c:v>-258.7999999999999</c:v>
                </c:pt>
                <c:pt idx="37">
                  <c:v>-287.2999999999999</c:v>
                </c:pt>
                <c:pt idx="38">
                  <c:v>-289.69999999999987</c:v>
                </c:pt>
                <c:pt idx="39">
                  <c:v>-263.09999999999985</c:v>
                </c:pt>
                <c:pt idx="40">
                  <c:v>-254.79999999999984</c:v>
                </c:pt>
                <c:pt idx="41">
                  <c:v>-261.99999999999983</c:v>
                </c:pt>
                <c:pt idx="42">
                  <c:v>-240.99999999999983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E-4A71-AC24-4EFDD0618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-3502.439024390244</c:v>
                </c:pt>
                <c:pt idx="1">
                  <c:v>2107.3170731707319</c:v>
                </c:pt>
                <c:pt idx="2">
                  <c:v>-1289.4736842105262</c:v>
                </c:pt>
                <c:pt idx="3">
                  <c:v>-1578.7878787878788</c:v>
                </c:pt>
                <c:pt idx="4">
                  <c:v>3472.4137931034484</c:v>
                </c:pt>
                <c:pt idx="5">
                  <c:v>-3864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8D-486E-B9B1-4281751A2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17</c:v>
                </c:pt>
                <c:pt idx="2">
                  <c:v>19</c:v>
                </c:pt>
                <c:pt idx="3">
                  <c:v>14</c:v>
                </c:pt>
                <c:pt idx="4">
                  <c:v>10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CA-461C-92C6-2E7D78E5D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りくと!$M$2:$M$44</c:f>
              <c:numCache>
                <c:formatCode>0</c:formatCode>
                <c:ptCount val="43"/>
                <c:pt idx="0">
                  <c:v>1390.8734583000644</c:v>
                </c:pt>
                <c:pt idx="1">
                  <c:v>1381.5382175502641</c:v>
                </c:pt>
                <c:pt idx="2">
                  <c:v>1372.5769882449624</c:v>
                </c:pt>
                <c:pt idx="3">
                  <c:v>1373.1675263154928</c:v>
                </c:pt>
                <c:pt idx="4">
                  <c:v>1373.4425211575997</c:v>
                </c:pt>
                <c:pt idx="5">
                  <c:v>1374.6578660306541</c:v>
                </c:pt>
                <c:pt idx="6">
                  <c:v>1370.55591883447</c:v>
                </c:pt>
                <c:pt idx="7">
                  <c:v>1367.3665833214632</c:v>
                </c:pt>
                <c:pt idx="8">
                  <c:v>1369.7283838215344</c:v>
                </c:pt>
                <c:pt idx="9">
                  <c:v>1368.0560135186051</c:v>
                </c:pt>
                <c:pt idx="10">
                  <c:v>1360.9936774374935</c:v>
                </c:pt>
                <c:pt idx="11">
                  <c:v>1352.8337153728685</c:v>
                </c:pt>
                <c:pt idx="12">
                  <c:v>1355.0427130806313</c:v>
                </c:pt>
                <c:pt idx="13">
                  <c:v>1352.8644568021475</c:v>
                </c:pt>
                <c:pt idx="14">
                  <c:v>1345.2812700613347</c:v>
                </c:pt>
                <c:pt idx="15">
                  <c:v>1354.3755824409666</c:v>
                </c:pt>
                <c:pt idx="16">
                  <c:v>1363.9433289463209</c:v>
                </c:pt>
                <c:pt idx="17">
                  <c:v>1365.5936689726429</c:v>
                </c:pt>
                <c:pt idx="18">
                  <c:v>1381.2261069588071</c:v>
                </c:pt>
                <c:pt idx="19">
                  <c:v>1380.1927503170543</c:v>
                </c:pt>
                <c:pt idx="20">
                  <c:v>1374.101593815152</c:v>
                </c:pt>
                <c:pt idx="21">
                  <c:v>1370.350984252261</c:v>
                </c:pt>
                <c:pt idx="22">
                  <c:v>1358.9368783467473</c:v>
                </c:pt>
                <c:pt idx="23">
                  <c:v>1370.0192570766669</c:v>
                </c:pt>
                <c:pt idx="24">
                  <c:v>1375.161141534207</c:v>
                </c:pt>
                <c:pt idx="25">
                  <c:v>1373.0601746850018</c:v>
                </c:pt>
                <c:pt idx="26">
                  <c:v>1368.4818136368917</c:v>
                </c:pt>
                <c:pt idx="27">
                  <c:v>1376.2429227550704</c:v>
                </c:pt>
                <c:pt idx="28">
                  <c:v>1377.68746521854</c:v>
                </c:pt>
                <c:pt idx="29">
                  <c:v>1375.2473404272287</c:v>
                </c:pt>
                <c:pt idx="30">
                  <c:v>1371.6698563846653</c:v>
                </c:pt>
                <c:pt idx="31">
                  <c:v>1370.1658372463573</c:v>
                </c:pt>
                <c:pt idx="32">
                  <c:v>1373.0148422228792</c:v>
                </c:pt>
                <c:pt idx="33">
                  <c:v>1374.5687531695419</c:v>
                </c:pt>
                <c:pt idx="34">
                  <c:v>1372.6693406505246</c:v>
                </c:pt>
                <c:pt idx="35">
                  <c:v>1375.5153246066216</c:v>
                </c:pt>
                <c:pt idx="36">
                  <c:v>1382.1002326589819</c:v>
                </c:pt>
                <c:pt idx="37">
                  <c:v>1378.1876312630279</c:v>
                </c:pt>
                <c:pt idx="38">
                  <c:v>1378.9965054754498</c:v>
                </c:pt>
                <c:pt idx="39">
                  <c:v>1384.8345264425971</c:v>
                </c:pt>
                <c:pt idx="40">
                  <c:v>1387.3435192839415</c:v>
                </c:pt>
                <c:pt idx="41">
                  <c:v>1387.533458168238</c:v>
                </c:pt>
                <c:pt idx="42">
                  <c:v>1392.8042574192286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FE-4BA8-90F8-F0A6E0F75F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まっつん!$L$2:$L$71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  <c:pt idx="46">
                  <c:v>-76.899999999999977</c:v>
                </c:pt>
                <c:pt idx="47">
                  <c:v>-26.09999999999998</c:v>
                </c:pt>
                <c:pt idx="48">
                  <c:v>-19.899999999999981</c:v>
                </c:pt>
                <c:pt idx="49">
                  <c:v>13.800000000000022</c:v>
                </c:pt>
                <c:pt idx="50">
                  <c:v>-11.599999999999977</c:v>
                </c:pt>
                <c:pt idx="51">
                  <c:v>-66.299999999999983</c:v>
                </c:pt>
                <c:pt idx="52">
                  <c:v>-46.09999999999998</c:v>
                </c:pt>
                <c:pt idx="53">
                  <c:v>-73.59999999999998</c:v>
                </c:pt>
                <c:pt idx="54">
                  <c:v>-104.39999999999998</c:v>
                </c:pt>
                <c:pt idx="55">
                  <c:v>-68.199999999999974</c:v>
                </c:pt>
                <c:pt idx="56">
                  <c:v>-92.099999999999966</c:v>
                </c:pt>
                <c:pt idx="57">
                  <c:v>-112.99999999999997</c:v>
                </c:pt>
                <c:pt idx="58">
                  <c:v>-30.599999999999966</c:v>
                </c:pt>
                <c:pt idx="59">
                  <c:v>-56.299999999999969</c:v>
                </c:pt>
                <c:pt idx="60">
                  <c:v>-98.69999999999996</c:v>
                </c:pt>
                <c:pt idx="61">
                  <c:v>-47.69999999999996</c:v>
                </c:pt>
                <c:pt idx="62">
                  <c:v>-83.499999999999957</c:v>
                </c:pt>
                <c:pt idx="63">
                  <c:v>-102.59999999999997</c:v>
                </c:pt>
                <c:pt idx="64">
                  <c:v>-72.299999999999969</c:v>
                </c:pt>
                <c:pt idx="65">
                  <c:v>-72.599999999999966</c:v>
                </c:pt>
                <c:pt idx="66">
                  <c:v>-70.899999999999963</c:v>
                </c:pt>
                <c:pt idx="67">
                  <c:v>-50.19999999999996</c:v>
                </c:pt>
                <c:pt idx="68">
                  <c:v>-53.19999999999996</c:v>
                </c:pt>
                <c:pt idx="69">
                  <c:v>-93.19999999999996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C0-4666-BAA8-85911E00C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-305.88235294117646</c:v>
                </c:pt>
                <c:pt idx="1">
                  <c:v>79.411764705882348</c:v>
                </c:pt>
                <c:pt idx="2">
                  <c:v>-923.88059701492534</c:v>
                </c:pt>
                <c:pt idx="3">
                  <c:v>882.8125</c:v>
                </c:pt>
                <c:pt idx="4">
                  <c:v>-829.31034482758616</c:v>
                </c:pt>
                <c:pt idx="5">
                  <c:v>-1253.1914893617022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B8-4ADE-A91D-FCC14D071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13</c:v>
                </c:pt>
                <c:pt idx="1">
                  <c:v>29</c:v>
                </c:pt>
                <c:pt idx="2">
                  <c:v>37</c:v>
                </c:pt>
                <c:pt idx="3">
                  <c:v>23</c:v>
                </c:pt>
                <c:pt idx="4">
                  <c:v>17</c:v>
                </c:pt>
                <c:pt idx="5">
                  <c:v>10</c:v>
                </c:pt>
                <c:pt idx="6">
                  <c:v>10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E-4A11-869C-A2AD47915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まっつん!$M$2:$M$71</c:f>
              <c:numCache>
                <c:formatCode>0</c:formatCode>
                <c:ptCount val="70"/>
                <c:pt idx="0">
                  <c:v>1517.192907423339</c:v>
                </c:pt>
                <c:pt idx="1">
                  <c:v>1516.9997499787989</c:v>
                </c:pt>
                <c:pt idx="2">
                  <c:v>1506.1577514789262</c:v>
                </c:pt>
                <c:pt idx="3">
                  <c:v>1509.1688049700526</c:v>
                </c:pt>
                <c:pt idx="4">
                  <c:v>1504.3317921402322</c:v>
                </c:pt>
                <c:pt idx="5">
                  <c:v>1501.0898013873907</c:v>
                </c:pt>
                <c:pt idx="6">
                  <c:v>1506.3092625790664</c:v>
                </c:pt>
                <c:pt idx="7">
                  <c:v>1512.097407003592</c:v>
                </c:pt>
                <c:pt idx="8">
                  <c:v>1515.0188225615705</c:v>
                </c:pt>
                <c:pt idx="9">
                  <c:v>1517.5087096262009</c:v>
                </c:pt>
                <c:pt idx="10">
                  <c:v>1518.5136573684438</c:v>
                </c:pt>
                <c:pt idx="11">
                  <c:v>1513.410575424233</c:v>
                </c:pt>
                <c:pt idx="12">
                  <c:v>1506.4481119716877</c:v>
                </c:pt>
                <c:pt idx="13">
                  <c:v>1499.0474232998577</c:v>
                </c:pt>
                <c:pt idx="14">
                  <c:v>1495.6271387600584</c:v>
                </c:pt>
                <c:pt idx="15">
                  <c:v>1501.5513759274982</c:v>
                </c:pt>
                <c:pt idx="16">
                  <c:v>1498.8180676719332</c:v>
                </c:pt>
                <c:pt idx="17">
                  <c:v>1498.5311592659016</c:v>
                </c:pt>
                <c:pt idx="18">
                  <c:v>1490.1459723103062</c:v>
                </c:pt>
                <c:pt idx="19">
                  <c:v>1499.3490964764444</c:v>
                </c:pt>
                <c:pt idx="20">
                  <c:v>1502.6590018975858</c:v>
                </c:pt>
                <c:pt idx="21">
                  <c:v>1513.5450478862003</c:v>
                </c:pt>
                <c:pt idx="22">
                  <c:v>1518.3357775988832</c:v>
                </c:pt>
                <c:pt idx="23">
                  <c:v>1518.6037629332898</c:v>
                </c:pt>
                <c:pt idx="24">
                  <c:v>1524.36014035569</c:v>
                </c:pt>
                <c:pt idx="25">
                  <c:v>1523.0139795135558</c:v>
                </c:pt>
                <c:pt idx="26">
                  <c:v>1522.0178956364743</c:v>
                </c:pt>
                <c:pt idx="27">
                  <c:v>1516.2097882626556</c:v>
                </c:pt>
                <c:pt idx="28">
                  <c:v>1505.7265295330797</c:v>
                </c:pt>
                <c:pt idx="29">
                  <c:v>1497.0161703558813</c:v>
                </c:pt>
                <c:pt idx="30">
                  <c:v>1490.320073333746</c:v>
                </c:pt>
                <c:pt idx="31">
                  <c:v>1494.4041528937435</c:v>
                </c:pt>
                <c:pt idx="32">
                  <c:v>1503.0177279763809</c:v>
                </c:pt>
                <c:pt idx="33">
                  <c:v>1503.2756216085227</c:v>
                </c:pt>
                <c:pt idx="34">
                  <c:v>1501.3899678788716</c:v>
                </c:pt>
                <c:pt idx="35">
                  <c:v>1497.6976280715985</c:v>
                </c:pt>
                <c:pt idx="36">
                  <c:v>1493.133442303169</c:v>
                </c:pt>
                <c:pt idx="37">
                  <c:v>1499.9366416493499</c:v>
                </c:pt>
                <c:pt idx="38">
                  <c:v>1512.7470217994537</c:v>
                </c:pt>
                <c:pt idx="39">
                  <c:v>1515.7065396686569</c:v>
                </c:pt>
                <c:pt idx="40">
                  <c:v>1517.8803004306449</c:v>
                </c:pt>
                <c:pt idx="41">
                  <c:v>1511.359018628061</c:v>
                </c:pt>
                <c:pt idx="42">
                  <c:v>1513.5828645162926</c:v>
                </c:pt>
                <c:pt idx="43">
                  <c:v>1509.7633673291948</c:v>
                </c:pt>
                <c:pt idx="44">
                  <c:v>1514.7687871252197</c:v>
                </c:pt>
                <c:pt idx="45">
                  <c:v>1521.8501744024684</c:v>
                </c:pt>
                <c:pt idx="46">
                  <c:v>1519.4270733560536</c:v>
                </c:pt>
                <c:pt idx="47">
                  <c:v>1528.5685109159174</c:v>
                </c:pt>
                <c:pt idx="48">
                  <c:v>1530.6170998504219</c:v>
                </c:pt>
                <c:pt idx="49">
                  <c:v>1536.3853972513193</c:v>
                </c:pt>
                <c:pt idx="50">
                  <c:v>1531.4810848678114</c:v>
                </c:pt>
                <c:pt idx="51">
                  <c:v>1522.0641983586045</c:v>
                </c:pt>
                <c:pt idx="52">
                  <c:v>1526.6778131684528</c:v>
                </c:pt>
                <c:pt idx="53">
                  <c:v>1522.1257462894421</c:v>
                </c:pt>
                <c:pt idx="54">
                  <c:v>1517.0069918117053</c:v>
                </c:pt>
                <c:pt idx="55">
                  <c:v>1523.4449498608351</c:v>
                </c:pt>
                <c:pt idx="56">
                  <c:v>1519.8122801616701</c:v>
                </c:pt>
                <c:pt idx="57">
                  <c:v>1516.7414064807001</c:v>
                </c:pt>
                <c:pt idx="58">
                  <c:v>1532.258958041816</c:v>
                </c:pt>
                <c:pt idx="59">
                  <c:v>1528.5074042935651</c:v>
                </c:pt>
                <c:pt idx="60">
                  <c:v>1520.8543598678036</c:v>
                </c:pt>
                <c:pt idx="61">
                  <c:v>1530.0712337085968</c:v>
                </c:pt>
                <c:pt idx="62">
                  <c:v>1523.6088063063453</c:v>
                </c:pt>
                <c:pt idx="63">
                  <c:v>1520.6051534685073</c:v>
                </c:pt>
                <c:pt idx="64">
                  <c:v>1526.5115225476964</c:v>
                </c:pt>
                <c:pt idx="65">
                  <c:v>1526.8744534124103</c:v>
                </c:pt>
                <c:pt idx="66">
                  <c:v>1527.3852066919358</c:v>
                </c:pt>
                <c:pt idx="67">
                  <c:v>1531.6728954517841</c:v>
                </c:pt>
                <c:pt idx="68">
                  <c:v>1531.1648580790734</c:v>
                </c:pt>
                <c:pt idx="69">
                  <c:v>1524.3778689305989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B1B-9086-6357752C2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  <c:pt idx="34">
                  <c:v>63.800000000000011</c:v>
                </c:pt>
                <c:pt idx="35">
                  <c:v>94.4</c:v>
                </c:pt>
                <c:pt idx="36">
                  <c:v>89.100000000000009</c:v>
                </c:pt>
                <c:pt idx="37">
                  <c:v>106.30000000000001</c:v>
                </c:pt>
                <c:pt idx="38">
                  <c:v>106.9</c:v>
                </c:pt>
                <c:pt idx="39">
                  <c:v>130.1</c:v>
                </c:pt>
                <c:pt idx="40">
                  <c:v>84.1</c:v>
                </c:pt>
                <c:pt idx="41">
                  <c:v>63.3</c:v>
                </c:pt>
                <c:pt idx="42">
                  <c:v>66.899999999999991</c:v>
                </c:pt>
                <c:pt idx="43">
                  <c:v>64.3</c:v>
                </c:pt>
                <c:pt idx="44">
                  <c:v>92.199999999999989</c:v>
                </c:pt>
                <c:pt idx="45">
                  <c:v>143.5</c:v>
                </c:pt>
                <c:pt idx="46">
                  <c:v>183.4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49-45F7-B1AD-EC908CD9B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-352.17391304347825</c:v>
                </c:pt>
                <c:pt idx="1">
                  <c:v>-1613.3333333333333</c:v>
                </c:pt>
                <c:pt idx="2">
                  <c:v>2336.5853658536585</c:v>
                </c:pt>
                <c:pt idx="3">
                  <c:v>-410.5263157894737</c:v>
                </c:pt>
                <c:pt idx="4">
                  <c:v>2200</c:v>
                </c:pt>
                <c:pt idx="5">
                  <c:v>1010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AE-4915-9CEC-9FBACF21E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13</c:v>
                </c:pt>
                <c:pt idx="1">
                  <c:v>29</c:v>
                </c:pt>
                <c:pt idx="2">
                  <c:v>26</c:v>
                </c:pt>
                <c:pt idx="3">
                  <c:v>17</c:v>
                </c:pt>
                <c:pt idx="4">
                  <c:v>21</c:v>
                </c:pt>
                <c:pt idx="5">
                  <c:v>9</c:v>
                </c:pt>
                <c:pt idx="6">
                  <c:v>6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4-4602-B2CE-A6AB689DA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たかの!$M$2:$M$48</c:f>
              <c:numCache>
                <c:formatCode>0</c:formatCode>
                <c:ptCount val="47"/>
                <c:pt idx="0">
                  <c:v>1362.1724492033045</c:v>
                </c:pt>
                <c:pt idx="1">
                  <c:v>1373.0794145080847</c:v>
                </c:pt>
                <c:pt idx="2">
                  <c:v>1388.0189380210361</c:v>
                </c:pt>
                <c:pt idx="3">
                  <c:v>1392.69882439291</c:v>
                </c:pt>
                <c:pt idx="4">
                  <c:v>1385.5606314465524</c:v>
                </c:pt>
                <c:pt idx="5">
                  <c:v>1391.8752676578731</c:v>
                </c:pt>
                <c:pt idx="6">
                  <c:v>1396.9160160519259</c:v>
                </c:pt>
                <c:pt idx="7">
                  <c:v>1388.2045199556144</c:v>
                </c:pt>
                <c:pt idx="8">
                  <c:v>1384.4592928358807</c:v>
                </c:pt>
                <c:pt idx="9">
                  <c:v>1376.7645370788655</c:v>
                </c:pt>
                <c:pt idx="10">
                  <c:v>1373.0579498563923</c:v>
                </c:pt>
                <c:pt idx="11">
                  <c:v>1376.999602157254</c:v>
                </c:pt>
                <c:pt idx="12">
                  <c:v>1375.7516045443106</c:v>
                </c:pt>
                <c:pt idx="13">
                  <c:v>1385.2510949170446</c:v>
                </c:pt>
                <c:pt idx="14">
                  <c:v>1386.8515883475422</c:v>
                </c:pt>
                <c:pt idx="15">
                  <c:v>1391.490478817457</c:v>
                </c:pt>
                <c:pt idx="16">
                  <c:v>1393.9355359445522</c:v>
                </c:pt>
                <c:pt idx="17">
                  <c:v>1386.5919227288848</c:v>
                </c:pt>
                <c:pt idx="18">
                  <c:v>1383.4263711925114</c:v>
                </c:pt>
                <c:pt idx="19">
                  <c:v>1394.8538129653564</c:v>
                </c:pt>
                <c:pt idx="20">
                  <c:v>1387.8586900875644</c:v>
                </c:pt>
                <c:pt idx="21">
                  <c:v>1386.9475379470389</c:v>
                </c:pt>
                <c:pt idx="22">
                  <c:v>1397.0758527193566</c:v>
                </c:pt>
                <c:pt idx="23">
                  <c:v>1399.7573976030405</c:v>
                </c:pt>
                <c:pt idx="24">
                  <c:v>1399.0388532174222</c:v>
                </c:pt>
                <c:pt idx="25">
                  <c:v>1389.9726200981177</c:v>
                </c:pt>
                <c:pt idx="26">
                  <c:v>1398.4207843775289</c:v>
                </c:pt>
                <c:pt idx="27">
                  <c:v>1399.3482596712638</c:v>
                </c:pt>
                <c:pt idx="28">
                  <c:v>1393.8021701132361</c:v>
                </c:pt>
                <c:pt idx="29">
                  <c:v>1395.6033570925567</c:v>
                </c:pt>
                <c:pt idx="30">
                  <c:v>1400.5077369500013</c:v>
                </c:pt>
                <c:pt idx="31">
                  <c:v>1401.6626905283013</c:v>
                </c:pt>
                <c:pt idx="32">
                  <c:v>1401.8267143851315</c:v>
                </c:pt>
                <c:pt idx="33">
                  <c:v>1404.5217540988208</c:v>
                </c:pt>
                <c:pt idx="34">
                  <c:v>1401.6926235742278</c:v>
                </c:pt>
                <c:pt idx="35">
                  <c:v>1408.1144678327823</c:v>
                </c:pt>
                <c:pt idx="36">
                  <c:v>1407.8617810257856</c:v>
                </c:pt>
                <c:pt idx="37">
                  <c:v>1411.6186103396308</c:v>
                </c:pt>
                <c:pt idx="38">
                  <c:v>1412.3648986775929</c:v>
                </c:pt>
                <c:pt idx="39">
                  <c:v>1417.1807092855274</c:v>
                </c:pt>
                <c:pt idx="40">
                  <c:v>1409.5596250298142</c:v>
                </c:pt>
                <c:pt idx="41">
                  <c:v>1406.5202672796354</c:v>
                </c:pt>
                <c:pt idx="42">
                  <c:v>1408.3051456759576</c:v>
                </c:pt>
                <c:pt idx="43">
                  <c:v>1408.9633148019018</c:v>
                </c:pt>
                <c:pt idx="44">
                  <c:v>1415.1075349130904</c:v>
                </c:pt>
                <c:pt idx="45">
                  <c:v>1425.0728897036117</c:v>
                </c:pt>
                <c:pt idx="46">
                  <c:v>1433.30445236539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A6-4906-BDFC-1679FBF55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のり!$L$2:$L$12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  <c:pt idx="9">
                  <c:v>21.599999999999987</c:v>
                </c:pt>
                <c:pt idx="10">
                  <c:v>-13.400000000000013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5-45B0-8EAA-DF6A27D9B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3370</c:v>
                </c:pt>
                <c:pt idx="1">
                  <c:v>-740</c:v>
                </c:pt>
                <c:pt idx="2">
                  <c:v>-3850</c:v>
                </c:pt>
                <c:pt idx="3">
                  <c:v>-5450</c:v>
                </c:pt>
                <c:pt idx="4">
                  <c:v>5142.8571428571431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F-47B0-B817-7FB25CB0C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E-40CD-B8BB-A68B25834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のり!$M$2:$M$12</c:f>
              <c:numCache>
                <c:formatCode>0</c:formatCode>
                <c:ptCount val="11"/>
                <c:pt idx="0">
                  <c:v>1340.889100821483</c:v>
                </c:pt>
                <c:pt idx="1">
                  <c:v>1335.8617662165541</c:v>
                </c:pt>
                <c:pt idx="2">
                  <c:v>1337.6625956192547</c:v>
                </c:pt>
                <c:pt idx="3">
                  <c:v>1336.8066200455391</c:v>
                </c:pt>
                <c:pt idx="4">
                  <c:v>1334.629780325266</c:v>
                </c:pt>
                <c:pt idx="5">
                  <c:v>1333.5820016433145</c:v>
                </c:pt>
                <c:pt idx="6">
                  <c:v>1328.5505096334546</c:v>
                </c:pt>
                <c:pt idx="7">
                  <c:v>1336.9952065756538</c:v>
                </c:pt>
                <c:pt idx="8">
                  <c:v>1349.4752353361998</c:v>
                </c:pt>
                <c:pt idx="9">
                  <c:v>1352.9403839241827</c:v>
                </c:pt>
                <c:pt idx="10">
                  <c:v>1348.2487416206377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7B-47AE-81A9-16E1F7DD3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ただ!$L$2:$L$44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  <c:pt idx="33">
                  <c:v>-242.10000000000002</c:v>
                </c:pt>
                <c:pt idx="34">
                  <c:v>-238.00000000000003</c:v>
                </c:pt>
                <c:pt idx="35">
                  <c:v>-209.50000000000003</c:v>
                </c:pt>
                <c:pt idx="36">
                  <c:v>-215.90000000000003</c:v>
                </c:pt>
                <c:pt idx="37">
                  <c:v>-222.60000000000002</c:v>
                </c:pt>
                <c:pt idx="38">
                  <c:v>-198.20000000000002</c:v>
                </c:pt>
                <c:pt idx="39">
                  <c:v>-153.30000000000001</c:v>
                </c:pt>
                <c:pt idx="40">
                  <c:v>-153.5</c:v>
                </c:pt>
                <c:pt idx="41">
                  <c:v>-200.3</c:v>
                </c:pt>
                <c:pt idx="42">
                  <c:v>-193.20000000000002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9B-43BA-90A3-D2D48A3C0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680</c:v>
                </c:pt>
                <c:pt idx="1">
                  <c:v>-2204.7619047619046</c:v>
                </c:pt>
                <c:pt idx="2">
                  <c:v>-1525</c:v>
                </c:pt>
                <c:pt idx="3">
                  <c:v>1436.1111111111111</c:v>
                </c:pt>
                <c:pt idx="4">
                  <c:v>-1740</c:v>
                </c:pt>
                <c:pt idx="5">
                  <c:v>-1759.2592592592594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A2-4E79-A9CF-DC6FFF573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15</c:v>
                </c:pt>
                <c:pt idx="3">
                  <c:v>19</c:v>
                </c:pt>
                <c:pt idx="4">
                  <c:v>13</c:v>
                </c:pt>
                <c:pt idx="5">
                  <c:v>9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9E-40D7-8BC9-34A99CF73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ただ!$M$2:$M$44</c:f>
              <c:numCache>
                <c:formatCode>0</c:formatCode>
                <c:ptCount val="43"/>
                <c:pt idx="0">
                  <c:v>1526.204694156469</c:v>
                </c:pt>
                <c:pt idx="1">
                  <c:v>1539.1274659915302</c:v>
                </c:pt>
                <c:pt idx="2">
                  <c:v>1534.890701195581</c:v>
                </c:pt>
                <c:pt idx="3">
                  <c:v>1529.7253569884074</c:v>
                </c:pt>
                <c:pt idx="4">
                  <c:v>1521.6930048464769</c:v>
                </c:pt>
                <c:pt idx="5">
                  <c:v>1516.6308468173982</c:v>
                </c:pt>
                <c:pt idx="6">
                  <c:v>1506.8050617364938</c:v>
                </c:pt>
                <c:pt idx="7">
                  <c:v>1497.7762313660749</c:v>
                </c:pt>
                <c:pt idx="8">
                  <c:v>1508.1335739778783</c:v>
                </c:pt>
                <c:pt idx="9">
                  <c:v>1510.7487725340111</c:v>
                </c:pt>
                <c:pt idx="10">
                  <c:v>1513.0962798988071</c:v>
                </c:pt>
                <c:pt idx="11">
                  <c:v>1511.8777022194142</c:v>
                </c:pt>
                <c:pt idx="12">
                  <c:v>1514.6864360060977</c:v>
                </c:pt>
                <c:pt idx="13">
                  <c:v>1523.8383173900611</c:v>
                </c:pt>
                <c:pt idx="14">
                  <c:v>1528.5972874857207</c:v>
                </c:pt>
                <c:pt idx="15">
                  <c:v>1524.0457037608064</c:v>
                </c:pt>
                <c:pt idx="16">
                  <c:v>1516.6714295382417</c:v>
                </c:pt>
                <c:pt idx="17">
                  <c:v>1527.0054009610121</c:v>
                </c:pt>
                <c:pt idx="18">
                  <c:v>1529.0093685552461</c:v>
                </c:pt>
                <c:pt idx="19">
                  <c:v>1525.7993123439146</c:v>
                </c:pt>
                <c:pt idx="20">
                  <c:v>1533.6065164698512</c:v>
                </c:pt>
                <c:pt idx="21">
                  <c:v>1531.8988773710321</c:v>
                </c:pt>
                <c:pt idx="22">
                  <c:v>1533.2854841068058</c:v>
                </c:pt>
                <c:pt idx="23">
                  <c:v>1525.969771202165</c:v>
                </c:pt>
                <c:pt idx="24">
                  <c:v>1528.6579525749521</c:v>
                </c:pt>
                <c:pt idx="25">
                  <c:v>1532.5480048595025</c:v>
                </c:pt>
                <c:pt idx="26">
                  <c:v>1531.3027168303454</c:v>
                </c:pt>
                <c:pt idx="27">
                  <c:v>1530.8209005293634</c:v>
                </c:pt>
                <c:pt idx="28">
                  <c:v>1524.2279751261872</c:v>
                </c:pt>
                <c:pt idx="29">
                  <c:v>1518.6466072754301</c:v>
                </c:pt>
                <c:pt idx="30">
                  <c:v>1511.0767276317777</c:v>
                </c:pt>
                <c:pt idx="31">
                  <c:v>1511.0762672659871</c:v>
                </c:pt>
                <c:pt idx="32">
                  <c:v>1508.1118096623911</c:v>
                </c:pt>
                <c:pt idx="33">
                  <c:v>1501.0071388044169</c:v>
                </c:pt>
                <c:pt idx="34">
                  <c:v>1502.7950959715904</c:v>
                </c:pt>
                <c:pt idx="35">
                  <c:v>1508.9643253957609</c:v>
                </c:pt>
                <c:pt idx="36">
                  <c:v>1508.2865394433863</c:v>
                </c:pt>
                <c:pt idx="37">
                  <c:v>1507.840820206726</c:v>
                </c:pt>
                <c:pt idx="38">
                  <c:v>1512.9957752854857</c:v>
                </c:pt>
                <c:pt idx="39">
                  <c:v>1522.0558006337728</c:v>
                </c:pt>
                <c:pt idx="40">
                  <c:v>1522.9434658299701</c:v>
                </c:pt>
                <c:pt idx="41">
                  <c:v>1515.1618050349903</c:v>
                </c:pt>
                <c:pt idx="42">
                  <c:v>1517.1288342047803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BA-4B20-90C5-4E2942C6B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7D-45F3-B65D-2AA3F8FDC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1-4840-9CF2-172F993EC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AA-4809-820E-B1E01240F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ぱぱ!$M$2:$M$11</c:f>
              <c:numCache>
                <c:formatCode>0</c:formatCode>
                <c:ptCount val="10"/>
                <c:pt idx="0">
                  <c:v>1374.5098815116364</c:v>
                </c:pt>
                <c:pt idx="1">
                  <c:v>1371.5128222225667</c:v>
                </c:pt>
                <c:pt idx="2">
                  <c:v>1371.4917452892312</c:v>
                </c:pt>
                <c:pt idx="3">
                  <c:v>1368.6447948174957</c:v>
                </c:pt>
                <c:pt idx="4">
                  <c:v>1369.9369260485907</c:v>
                </c:pt>
                <c:pt idx="5">
                  <c:v>1375.5953044922992</c:v>
                </c:pt>
                <c:pt idx="6">
                  <c:v>1389.8597326653453</c:v>
                </c:pt>
                <c:pt idx="7">
                  <c:v>1385.6965742693533</c:v>
                </c:pt>
                <c:pt idx="8">
                  <c:v>1384.5823948237371</c:v>
                </c:pt>
                <c:pt idx="9">
                  <c:v>1382.1789004547948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C7-4946-9B1E-0DDFEB10C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03-4ACA-B357-B164443A4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2F-4582-8382-3ED0A5B8D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4C-4A91-A202-F982737AC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1-42B3-80D0-520649406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B2-4733-99E1-14A056021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-4460</c:v>
                </c:pt>
                <c:pt idx="1">
                  <c:v>-1620</c:v>
                </c:pt>
                <c:pt idx="2">
                  <c:v>2620</c:v>
                </c:pt>
                <c:pt idx="3">
                  <c:v>-3880</c:v>
                </c:pt>
                <c:pt idx="4">
                  <c:v>-7200</c:v>
                </c:pt>
                <c:pt idx="5">
                  <c:v>4460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56-4B71-A750-B5A4134A4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F5-47DF-9562-671C2EBA7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いちかわ!$M$2:$M$7</c:f>
              <c:numCache>
                <c:formatCode>0</c:formatCode>
                <c:ptCount val="6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2E-4494-A032-3F6BDD843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いちかわ2!$B$1:$B$2</c:f>
              <c:strCache>
                <c:ptCount val="2"/>
                <c:pt idx="0">
                  <c:v>いちかわ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いちかわ2!$C$1:$C$2</c:f>
              <c:strCache>
                <c:ptCount val="2"/>
                <c:pt idx="0">
                  <c:v>いちかわ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いちかわ2!$C$3:$C$8</c:f>
              <c:numCache>
                <c:formatCode>\+0.0;\-0.0;\±0</c:formatCode>
                <c:ptCount val="6"/>
                <c:pt idx="1">
                  <c:v>-18.399999999999999</c:v>
                </c:pt>
                <c:pt idx="2">
                  <c:v>-1.8999999999999995</c:v>
                </c:pt>
                <c:pt idx="3">
                  <c:v>-3.3666666666666658</c:v>
                </c:pt>
                <c:pt idx="4">
                  <c:v>-12.849999999999998</c:v>
                </c:pt>
                <c:pt idx="5">
                  <c:v>-14.079999999999998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728814442238686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いちかわ2!$D$1:$D$2</c:f>
              <c:strCache>
                <c:ptCount val="2"/>
                <c:pt idx="0">
                  <c:v>いちかわ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いちかわ2!$D$3:$D$8</c:f>
              <c:numCache>
                <c:formatCode>0.00\ "位"</c:formatCode>
                <c:ptCount val="6"/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いちかわ2!$E$1:$E$2</c:f>
              <c:strCache>
                <c:ptCount val="2"/>
                <c:pt idx="0">
                  <c:v>いちかわ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いちかわ2!$E$3:$E$8</c:f>
              <c:numCache>
                <c:formatCode>0.0%</c:formatCode>
                <c:ptCount val="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いちかわ2!$F$1:$F$2</c:f>
              <c:strCache>
                <c:ptCount val="2"/>
                <c:pt idx="0">
                  <c:v>いちかわ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いちかわ2!$F$3:$F$8</c:f>
              <c:numCache>
                <c:formatCode>0.0%</c:formatCode>
                <c:ptCount val="6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いちかわ2!$G$1:$G$2</c:f>
              <c:strCache>
                <c:ptCount val="2"/>
                <c:pt idx="0">
                  <c:v>いちかわ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いちかわ2!$G$3:$G$8</c:f>
              <c:numCache>
                <c:formatCode>0.0%</c:formatCode>
                <c:ptCount val="6"/>
                <c:pt idx="1">
                  <c:v>0.125</c:v>
                </c:pt>
                <c:pt idx="2">
                  <c:v>0.22222222222222221</c:v>
                </c:pt>
                <c:pt idx="3">
                  <c:v>0.20689655172413793</c:v>
                </c:pt>
                <c:pt idx="4">
                  <c:v>0.15384615384615385</c:v>
                </c:pt>
                <c:pt idx="5">
                  <c:v>0.15217391304347827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8543570993296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いちかわ2!$H$1:$H$2</c:f>
              <c:strCache>
                <c:ptCount val="2"/>
                <c:pt idx="0">
                  <c:v>いちかわ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いちかわ2!$H$3:$H$8</c:f>
              <c:numCache>
                <c:formatCode>0.0%</c:formatCode>
                <c:ptCount val="6"/>
                <c:pt idx="1">
                  <c:v>0.25</c:v>
                </c:pt>
                <c:pt idx="2">
                  <c:v>0.16666666666666666</c:v>
                </c:pt>
                <c:pt idx="3">
                  <c:v>0.2413793103448276</c:v>
                </c:pt>
                <c:pt idx="4">
                  <c:v>0.25641025641025639</c:v>
                </c:pt>
                <c:pt idx="5">
                  <c:v>0.2391304347826087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0822669104204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いちかわ2!$I$1:$I$2</c:f>
              <c:strCache>
                <c:ptCount val="2"/>
                <c:pt idx="0">
                  <c:v>いちかわ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いちかわ2!$I$3:$I$8</c:f>
              <c:numCache>
                <c:formatCode>0</c:formatCode>
                <c:ptCount val="6"/>
                <c:pt idx="1">
                  <c:v>18000</c:v>
                </c:pt>
                <c:pt idx="2">
                  <c:v>10150</c:v>
                </c:pt>
                <c:pt idx="3">
                  <c:v>9433.3333333333339</c:v>
                </c:pt>
                <c:pt idx="4">
                  <c:v>9433.3333333333339</c:v>
                </c:pt>
                <c:pt idx="5">
                  <c:v>9742.8571428571431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40.23231256599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いちかわ2!$J$1:$J$2</c:f>
              <c:strCache>
                <c:ptCount val="2"/>
                <c:pt idx="0">
                  <c:v>いちかわ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いちかわ2!$J$3:$J$8</c:f>
              <c:numCache>
                <c:formatCode>0</c:formatCode>
                <c:ptCount val="6"/>
                <c:pt idx="1">
                  <c:v>-5950</c:v>
                </c:pt>
                <c:pt idx="2">
                  <c:v>-6633.333333333333</c:v>
                </c:pt>
                <c:pt idx="3">
                  <c:v>-4914.2857142857147</c:v>
                </c:pt>
                <c:pt idx="4">
                  <c:v>-5170</c:v>
                </c:pt>
                <c:pt idx="5">
                  <c:v>-4936.363636363636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07.8787878787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いちかわ2!$K$1:$K$2</c:f>
              <c:strCache>
                <c:ptCount val="2"/>
                <c:pt idx="0">
                  <c:v>いちかわ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4622871046228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いちかわ2!$L$1:$L$2</c:f>
              <c:strCache>
                <c:ptCount val="2"/>
                <c:pt idx="0">
                  <c:v>いちかわ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いちかわ2!$L$3:$L$8</c:f>
              <c:numCache>
                <c:formatCode>0.0%</c:formatCode>
                <c:ptCount val="6"/>
                <c:pt idx="1">
                  <c:v>0.25</c:v>
                </c:pt>
                <c:pt idx="2">
                  <c:v>0.22222222222222221</c:v>
                </c:pt>
                <c:pt idx="3">
                  <c:v>0.17241379310344829</c:v>
                </c:pt>
                <c:pt idx="4">
                  <c:v>0.20512820512820512</c:v>
                </c:pt>
                <c:pt idx="5">
                  <c:v>0.21739130434782608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0402193784277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いちかわ2!$M$1:$M$2</c:f>
              <c:strCache>
                <c:ptCount val="2"/>
                <c:pt idx="0">
                  <c:v>いちかわ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いちかわ2!$M$3:$M$8</c:f>
              <c:numCache>
                <c:formatCode>0.0%</c:formatCode>
                <c:ptCount val="6"/>
                <c:pt idx="1">
                  <c:v>0</c:v>
                </c:pt>
                <c:pt idx="2">
                  <c:v>0.1111111111111111</c:v>
                </c:pt>
                <c:pt idx="3">
                  <c:v>0.10344827586206896</c:v>
                </c:pt>
                <c:pt idx="4">
                  <c:v>7.6923076923076927E-2</c:v>
                </c:pt>
                <c:pt idx="5">
                  <c:v>0.10869565217391304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688604509445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いちかわ2!$N$1:$N$2</c:f>
              <c:strCache>
                <c:ptCount val="2"/>
                <c:pt idx="0">
                  <c:v>いちかわ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いちかわ2!$N$3:$N$8</c:f>
              <c:numCache>
                <c:formatCode>0.0%</c:formatCode>
                <c:ptCount val="6"/>
                <c:pt idx="1">
                  <c:v>0.5</c:v>
                </c:pt>
                <c:pt idx="2">
                  <c:v>0.75</c:v>
                </c:pt>
                <c:pt idx="3">
                  <c:v>0.8</c:v>
                </c:pt>
                <c:pt idx="4">
                  <c:v>0.5</c:v>
                </c:pt>
                <c:pt idx="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64005069708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いちかわ2!$O$1:$O$2</c:f>
              <c:strCache>
                <c:ptCount val="2"/>
                <c:pt idx="0">
                  <c:v>いちかわ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いちかわ2!$O$3:$O$8</c:f>
              <c:numCache>
                <c:formatCode>0.0%</c:formatCode>
                <c:ptCount val="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3843888070692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いちかわ2!$P$1:$P$2</c:f>
              <c:strCache>
                <c:ptCount val="2"/>
                <c:pt idx="0">
                  <c:v>いちかわ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いちかわ2!$P$3:$P$8</c:f>
              <c:numCache>
                <c:formatCode>0.0%</c:formatCode>
                <c:ptCount val="6"/>
                <c:pt idx="1">
                  <c:v>1</c:v>
                </c:pt>
                <c:pt idx="2">
                  <c:v>0.75</c:v>
                </c:pt>
                <c:pt idx="3">
                  <c:v>0.66666666666666663</c:v>
                </c:pt>
                <c:pt idx="4">
                  <c:v>0.66666666666666663</c:v>
                </c:pt>
                <c:pt idx="5">
                  <c:v>0.7142857142857143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518479408658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41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2" x14ac:dyDescent="0.4">
      <c r="A1" s="1">
        <v>32874</v>
      </c>
      <c r="B1" s="1">
        <v>2958465</v>
      </c>
    </row>
    <row r="2" spans="1:12" x14ac:dyDescent="0.4">
      <c r="A2" s="2" t="s">
        <v>216</v>
      </c>
      <c r="B2" s="3">
        <v>43927.609282407408</v>
      </c>
      <c r="C2" s="2" t="s">
        <v>127</v>
      </c>
      <c r="D2" s="2" t="s">
        <v>188</v>
      </c>
      <c r="E2" s="2" t="s">
        <v>191</v>
      </c>
      <c r="F2" s="2" t="s">
        <v>194</v>
      </c>
      <c r="G2" s="2" t="s">
        <v>199</v>
      </c>
    </row>
    <row r="3" spans="1:12" x14ac:dyDescent="0.4">
      <c r="A3" s="2" t="s">
        <v>217</v>
      </c>
      <c r="B3" s="3">
        <v>43927.609282407408</v>
      </c>
      <c r="C3" s="2" t="s">
        <v>127</v>
      </c>
      <c r="D3" s="2" t="s">
        <v>188</v>
      </c>
      <c r="E3" s="2" t="s">
        <v>191</v>
      </c>
      <c r="F3" s="2" t="s">
        <v>194</v>
      </c>
      <c r="G3" s="2" t="s">
        <v>199</v>
      </c>
      <c r="H3" s="2" t="s">
        <v>200</v>
      </c>
      <c r="I3" s="2" t="s">
        <v>201</v>
      </c>
      <c r="J3" s="2" t="s">
        <v>202</v>
      </c>
    </row>
    <row r="4" spans="1:12" x14ac:dyDescent="0.4">
      <c r="A4" s="2" t="s">
        <v>218</v>
      </c>
      <c r="B4" s="3">
        <v>43930.800243055557</v>
      </c>
      <c r="C4" s="2" t="s">
        <v>127</v>
      </c>
      <c r="D4" s="2" t="s">
        <v>188</v>
      </c>
      <c r="E4" s="2" t="s">
        <v>191</v>
      </c>
      <c r="F4" s="2" t="s">
        <v>194</v>
      </c>
    </row>
    <row r="5" spans="1:12" x14ac:dyDescent="0.4">
      <c r="A5" s="2" t="s">
        <v>219</v>
      </c>
      <c r="B5" s="3">
        <v>43930.800243055557</v>
      </c>
      <c r="C5" s="2" t="s">
        <v>127</v>
      </c>
      <c r="D5" s="2" t="s">
        <v>188</v>
      </c>
      <c r="E5" s="2" t="s">
        <v>191</v>
      </c>
      <c r="F5" s="2" t="s">
        <v>194</v>
      </c>
      <c r="G5" s="2" t="s">
        <v>199</v>
      </c>
      <c r="H5" s="2" t="s">
        <v>200</v>
      </c>
      <c r="I5" s="2" t="s">
        <v>201</v>
      </c>
      <c r="J5" s="2" t="s">
        <v>202</v>
      </c>
      <c r="K5" s="2" t="s">
        <v>203</v>
      </c>
      <c r="L5" s="2" t="s">
        <v>204</v>
      </c>
    </row>
    <row r="6" spans="1:12" x14ac:dyDescent="0.4">
      <c r="A6" s="2" t="s">
        <v>220</v>
      </c>
      <c r="B6" s="3">
        <v>43930.800243055557</v>
      </c>
      <c r="C6" s="2" t="s">
        <v>127</v>
      </c>
      <c r="D6" s="2" t="s">
        <v>188</v>
      </c>
    </row>
    <row r="7" spans="1:12" x14ac:dyDescent="0.4">
      <c r="A7" s="2" t="s">
        <v>221</v>
      </c>
      <c r="B7" s="3">
        <v>43931.056145833332</v>
      </c>
      <c r="C7" s="2" t="s">
        <v>127</v>
      </c>
      <c r="D7" s="2" t="s">
        <v>188</v>
      </c>
      <c r="E7" s="2" t="s">
        <v>191</v>
      </c>
      <c r="F7" s="2" t="s">
        <v>194</v>
      </c>
      <c r="G7" s="2" t="s">
        <v>199</v>
      </c>
      <c r="H7" s="2" t="s">
        <v>200</v>
      </c>
      <c r="I7" s="2" t="s">
        <v>201</v>
      </c>
      <c r="J7" s="2" t="s">
        <v>202</v>
      </c>
    </row>
    <row r="8" spans="1:12" x14ac:dyDescent="0.4">
      <c r="A8" s="2" t="s">
        <v>222</v>
      </c>
      <c r="B8" s="3">
        <v>44017.977951388886</v>
      </c>
      <c r="C8" s="2" t="s">
        <v>127</v>
      </c>
    </row>
    <row r="9" spans="1:12" x14ac:dyDescent="0.4">
      <c r="A9" s="2" t="s">
        <v>223</v>
      </c>
      <c r="B9" s="3">
        <v>44017.977951388886</v>
      </c>
      <c r="C9" s="2" t="s">
        <v>127</v>
      </c>
      <c r="D9" s="2" t="s">
        <v>188</v>
      </c>
      <c r="E9" s="2" t="s">
        <v>191</v>
      </c>
      <c r="F9" s="2" t="s">
        <v>194</v>
      </c>
      <c r="G9" s="2" t="s">
        <v>199</v>
      </c>
      <c r="H9" s="2" t="s">
        <v>200</v>
      </c>
      <c r="I9" s="2" t="s">
        <v>201</v>
      </c>
      <c r="J9" s="2" t="s">
        <v>202</v>
      </c>
      <c r="K9" s="2" t="s">
        <v>203</v>
      </c>
    </row>
    <row r="10" spans="1:12" x14ac:dyDescent="0.4">
      <c r="A10" s="2" t="s">
        <v>224</v>
      </c>
      <c r="B10" s="3">
        <v>44017.977951388886</v>
      </c>
      <c r="C10" s="2" t="s">
        <v>127</v>
      </c>
      <c r="D10" s="2" t="s">
        <v>188</v>
      </c>
    </row>
    <row r="11" spans="1:12" x14ac:dyDescent="0.4">
      <c r="A11" s="2" t="s">
        <v>225</v>
      </c>
      <c r="B11" s="3">
        <v>44017.977951388886</v>
      </c>
      <c r="C11" s="2" t="s">
        <v>127</v>
      </c>
      <c r="D11" s="2" t="s">
        <v>188</v>
      </c>
      <c r="E11" s="2" t="s">
        <v>191</v>
      </c>
      <c r="F11" s="2" t="s">
        <v>194</v>
      </c>
      <c r="G11" s="2" t="s">
        <v>199</v>
      </c>
      <c r="H11" s="2" t="s">
        <v>200</v>
      </c>
      <c r="I11" s="2" t="s">
        <v>201</v>
      </c>
      <c r="J11" s="2" t="s">
        <v>202</v>
      </c>
    </row>
    <row r="12" spans="1:12" x14ac:dyDescent="0.4">
      <c r="A12" s="2" t="s">
        <v>226</v>
      </c>
      <c r="B12" s="3">
        <v>44017.977951388886</v>
      </c>
      <c r="C12" s="2" t="s">
        <v>127</v>
      </c>
      <c r="D12" s="2" t="s">
        <v>188</v>
      </c>
      <c r="E12" s="2" t="s">
        <v>191</v>
      </c>
    </row>
    <row r="13" spans="1:12" x14ac:dyDescent="0.4">
      <c r="A13" s="2" t="s">
        <v>227</v>
      </c>
      <c r="B13" s="3">
        <v>44017.977951388886</v>
      </c>
      <c r="C13" s="2" t="s">
        <v>127</v>
      </c>
      <c r="D13" s="2" t="s">
        <v>188</v>
      </c>
    </row>
    <row r="14" spans="1:12" x14ac:dyDescent="0.4">
      <c r="A14" s="2" t="s">
        <v>228</v>
      </c>
      <c r="B14" s="3">
        <v>44017.977951388886</v>
      </c>
      <c r="C14" s="2" t="s">
        <v>127</v>
      </c>
      <c r="D14" s="2" t="s">
        <v>188</v>
      </c>
      <c r="E14" s="2" t="s">
        <v>191</v>
      </c>
      <c r="F14" s="2" t="s">
        <v>194</v>
      </c>
    </row>
    <row r="15" spans="1:12" x14ac:dyDescent="0.4">
      <c r="A15" s="2" t="s">
        <v>229</v>
      </c>
      <c r="B15" s="3">
        <v>44017.977951388886</v>
      </c>
      <c r="C15" s="2" t="s">
        <v>127</v>
      </c>
      <c r="D15" s="2" t="s">
        <v>188</v>
      </c>
    </row>
    <row r="16" spans="1:12" x14ac:dyDescent="0.4">
      <c r="A16" s="2" t="s">
        <v>230</v>
      </c>
      <c r="B16" s="3">
        <v>44017.977951388886</v>
      </c>
      <c r="C16" s="2" t="s">
        <v>127</v>
      </c>
    </row>
    <row r="17" spans="1:8" x14ac:dyDescent="0.4">
      <c r="A17" s="2" t="s">
        <v>231</v>
      </c>
      <c r="B17" s="3">
        <v>44017.977951388886</v>
      </c>
      <c r="C17" s="2" t="s">
        <v>127</v>
      </c>
      <c r="D17" s="2" t="s">
        <v>188</v>
      </c>
    </row>
    <row r="18" spans="1:8" x14ac:dyDescent="0.4">
      <c r="A18" s="2" t="s">
        <v>232</v>
      </c>
      <c r="B18" s="3">
        <v>44017.977951388886</v>
      </c>
      <c r="C18" s="2" t="s">
        <v>127</v>
      </c>
      <c r="D18" s="2" t="s">
        <v>188</v>
      </c>
      <c r="E18" s="2" t="s">
        <v>191</v>
      </c>
    </row>
    <row r="19" spans="1:8" x14ac:dyDescent="0.4">
      <c r="A19" s="2" t="s">
        <v>233</v>
      </c>
      <c r="B19" s="3">
        <v>44017.977951388886</v>
      </c>
      <c r="C19" s="2" t="s">
        <v>127</v>
      </c>
      <c r="D19" s="2" t="s">
        <v>188</v>
      </c>
    </row>
    <row r="20" spans="1:8" x14ac:dyDescent="0.4">
      <c r="A20" s="2" t="s">
        <v>234</v>
      </c>
      <c r="B20" s="3">
        <v>44017.977951388886</v>
      </c>
      <c r="C20" s="2" t="s">
        <v>127</v>
      </c>
      <c r="D20" s="2" t="s">
        <v>188</v>
      </c>
    </row>
    <row r="21" spans="1:8" x14ac:dyDescent="0.4">
      <c r="A21" s="2" t="s">
        <v>235</v>
      </c>
      <c r="B21" s="3">
        <v>44017.977951388886</v>
      </c>
      <c r="C21" s="2" t="s">
        <v>127</v>
      </c>
      <c r="D21" s="2" t="s">
        <v>188</v>
      </c>
    </row>
    <row r="22" spans="1:8" x14ac:dyDescent="0.4">
      <c r="A22" s="2" t="s">
        <v>236</v>
      </c>
      <c r="B22" s="3">
        <v>44017.977951388886</v>
      </c>
      <c r="C22" s="2" t="s">
        <v>127</v>
      </c>
    </row>
    <row r="23" spans="1:8" x14ac:dyDescent="0.4">
      <c r="A23" s="2" t="s">
        <v>237</v>
      </c>
      <c r="B23" s="3">
        <v>44017.977951388886</v>
      </c>
      <c r="C23" s="2" t="s">
        <v>127</v>
      </c>
    </row>
    <row r="24" spans="1:8" x14ac:dyDescent="0.4">
      <c r="A24" s="2" t="s">
        <v>238</v>
      </c>
      <c r="B24" s="3">
        <v>44017.977951388886</v>
      </c>
      <c r="C24" s="2" t="s">
        <v>127</v>
      </c>
      <c r="D24" s="2" t="s">
        <v>188</v>
      </c>
      <c r="E24" s="2" t="s">
        <v>191</v>
      </c>
    </row>
    <row r="25" spans="1:8" x14ac:dyDescent="0.4">
      <c r="A25" s="2" t="s">
        <v>239</v>
      </c>
      <c r="B25" s="3">
        <v>44017.977951388886</v>
      </c>
      <c r="C25" s="2" t="s">
        <v>127</v>
      </c>
      <c r="D25" s="2" t="s">
        <v>188</v>
      </c>
      <c r="E25" s="2" t="s">
        <v>191</v>
      </c>
    </row>
    <row r="26" spans="1:8" x14ac:dyDescent="0.4">
      <c r="A26" s="2" t="s">
        <v>240</v>
      </c>
      <c r="B26" s="3">
        <v>44017.977951388886</v>
      </c>
      <c r="C26" s="2" t="s">
        <v>127</v>
      </c>
      <c r="D26" s="2" t="s">
        <v>188</v>
      </c>
      <c r="E26" s="2" t="s">
        <v>191</v>
      </c>
      <c r="F26" s="2" t="s">
        <v>194</v>
      </c>
    </row>
    <row r="27" spans="1:8" x14ac:dyDescent="0.4">
      <c r="A27" s="2" t="s">
        <v>241</v>
      </c>
      <c r="B27" s="3">
        <v>44017.977951388886</v>
      </c>
      <c r="C27" s="2" t="s">
        <v>127</v>
      </c>
      <c r="D27" s="2" t="s">
        <v>188</v>
      </c>
    </row>
    <row r="28" spans="1:8" x14ac:dyDescent="0.4">
      <c r="A28" s="2" t="s">
        <v>242</v>
      </c>
      <c r="B28" s="3">
        <v>44017.977951388886</v>
      </c>
      <c r="C28" s="2" t="s">
        <v>127</v>
      </c>
      <c r="D28" s="2" t="s">
        <v>188</v>
      </c>
      <c r="E28" s="2" t="s">
        <v>191</v>
      </c>
      <c r="F28" s="2" t="s">
        <v>194</v>
      </c>
      <c r="G28" s="2" t="s">
        <v>199</v>
      </c>
      <c r="H28" s="2" t="s">
        <v>200</v>
      </c>
    </row>
    <row r="29" spans="1:8" x14ac:dyDescent="0.4">
      <c r="A29" s="2" t="s">
        <v>243</v>
      </c>
      <c r="B29" s="3">
        <v>44018.77548611111</v>
      </c>
      <c r="C29" s="2" t="s">
        <v>127</v>
      </c>
      <c r="D29" s="2" t="s">
        <v>188</v>
      </c>
      <c r="E29" s="2" t="s">
        <v>191</v>
      </c>
    </row>
    <row r="30" spans="1:8" x14ac:dyDescent="0.4">
      <c r="A30" s="2" t="s">
        <v>244</v>
      </c>
      <c r="B30" s="3">
        <v>44018.651041666664</v>
      </c>
      <c r="C30" s="2" t="s">
        <v>127</v>
      </c>
    </row>
    <row r="31" spans="1:8" x14ac:dyDescent="0.4">
      <c r="A31" s="2" t="s">
        <v>245</v>
      </c>
      <c r="B31" s="3">
        <v>44022.791030092594</v>
      </c>
      <c r="C31" s="2" t="s">
        <v>127</v>
      </c>
      <c r="D31" s="2" t="s">
        <v>188</v>
      </c>
    </row>
    <row r="32" spans="1:8" x14ac:dyDescent="0.4">
      <c r="A32" s="2" t="s">
        <v>246</v>
      </c>
      <c r="B32" s="3">
        <v>44035.941701388889</v>
      </c>
      <c r="C32" s="2" t="s">
        <v>127</v>
      </c>
      <c r="D32" s="2" t="s">
        <v>188</v>
      </c>
    </row>
    <row r="33" spans="1:7" x14ac:dyDescent="0.4">
      <c r="A33" s="2" t="s">
        <v>247</v>
      </c>
      <c r="B33" s="3">
        <v>44035.941701388889</v>
      </c>
      <c r="C33" s="2" t="s">
        <v>127</v>
      </c>
    </row>
    <row r="34" spans="1:7" x14ac:dyDescent="0.4">
      <c r="A34" s="2" t="s">
        <v>248</v>
      </c>
      <c r="B34" s="3">
        <v>44035.941701388889</v>
      </c>
      <c r="C34" s="2" t="s">
        <v>127</v>
      </c>
      <c r="D34" s="2" t="s">
        <v>188</v>
      </c>
      <c r="E34" s="2" t="s">
        <v>191</v>
      </c>
      <c r="F34" s="2" t="s">
        <v>194</v>
      </c>
    </row>
    <row r="35" spans="1:7" x14ac:dyDescent="0.4">
      <c r="A35" s="2" t="s">
        <v>249</v>
      </c>
      <c r="B35" s="3">
        <v>44035.941701388889</v>
      </c>
      <c r="C35" s="2" t="s">
        <v>127</v>
      </c>
      <c r="D35" s="2" t="s">
        <v>188</v>
      </c>
      <c r="E35" s="2" t="s">
        <v>191</v>
      </c>
      <c r="F35" s="2" t="s">
        <v>194</v>
      </c>
      <c r="G35" s="2" t="s">
        <v>199</v>
      </c>
    </row>
    <row r="36" spans="1:7" x14ac:dyDescent="0.4">
      <c r="A36" s="2" t="s">
        <v>251</v>
      </c>
      <c r="B36" s="3">
        <v>44035.941701388889</v>
      </c>
      <c r="C36" s="2" t="s">
        <v>127</v>
      </c>
      <c r="D36" s="2" t="s">
        <v>188</v>
      </c>
      <c r="E36" s="2" t="s">
        <v>191</v>
      </c>
      <c r="F36" s="2" t="s">
        <v>194</v>
      </c>
    </row>
    <row r="37" spans="1:7" x14ac:dyDescent="0.4">
      <c r="A37" s="2" t="s">
        <v>252</v>
      </c>
      <c r="B37" s="3">
        <v>44036.072974537034</v>
      </c>
      <c r="C37" s="2" t="s">
        <v>127</v>
      </c>
      <c r="D37" s="2" t="s">
        <v>188</v>
      </c>
      <c r="E37" s="2" t="s">
        <v>191</v>
      </c>
      <c r="F37" s="2" t="s">
        <v>194</v>
      </c>
    </row>
    <row r="38" spans="1:7" x14ac:dyDescent="0.4">
      <c r="A38" s="2" t="s">
        <v>254</v>
      </c>
      <c r="B38" s="3">
        <v>44039.99627314815</v>
      </c>
      <c r="C38" s="2" t="s">
        <v>127</v>
      </c>
      <c r="D38" s="2" t="s">
        <v>188</v>
      </c>
    </row>
    <row r="39" spans="1:7" x14ac:dyDescent="0.4">
      <c r="A39" s="2" t="s">
        <v>255</v>
      </c>
      <c r="B39" s="3">
        <v>44044.473749999997</v>
      </c>
      <c r="C39" s="2" t="s">
        <v>127</v>
      </c>
      <c r="D39" s="2" t="s">
        <v>188</v>
      </c>
      <c r="E39" s="2" t="s">
        <v>191</v>
      </c>
      <c r="F39" s="2" t="s">
        <v>194</v>
      </c>
    </row>
    <row r="40" spans="1:7" x14ac:dyDescent="0.4">
      <c r="A40" s="2" t="s">
        <v>256</v>
      </c>
      <c r="B40" s="3">
        <v>44044.473749999997</v>
      </c>
      <c r="C40" s="2" t="s">
        <v>127</v>
      </c>
    </row>
    <row r="41" spans="1:7" x14ac:dyDescent="0.4">
      <c r="A41" s="2" t="s">
        <v>257</v>
      </c>
      <c r="B41" s="3">
        <v>44044.473749999997</v>
      </c>
      <c r="C41" s="2" t="s">
        <v>127</v>
      </c>
      <c r="D41" s="2" t="s">
        <v>188</v>
      </c>
      <c r="E41" s="2" t="s">
        <v>191</v>
      </c>
      <c r="F41" s="2" t="s">
        <v>194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2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258</v>
      </c>
    </row>
    <row r="2" spans="1:3" x14ac:dyDescent="0.4">
      <c r="A2" t="s">
        <v>126</v>
      </c>
      <c r="B2" s="120">
        <v>101</v>
      </c>
      <c r="C2" s="120">
        <v>1878.435448536804</v>
      </c>
    </row>
    <row r="3" spans="1:3" x14ac:dyDescent="0.4">
      <c r="A3" t="s">
        <v>163</v>
      </c>
      <c r="B3" s="120">
        <v>73</v>
      </c>
      <c r="C3" s="120">
        <v>1661.4405403070657</v>
      </c>
    </row>
    <row r="4" spans="1:3" x14ac:dyDescent="0.4">
      <c r="A4" t="s">
        <v>139</v>
      </c>
      <c r="B4" s="120">
        <v>411</v>
      </c>
      <c r="C4" s="120">
        <v>1570.3759670467048</v>
      </c>
    </row>
    <row r="5" spans="1:3" x14ac:dyDescent="0.4">
      <c r="A5" t="s">
        <v>192</v>
      </c>
      <c r="B5" s="120">
        <v>42</v>
      </c>
      <c r="C5" s="120">
        <v>1526.204694156469</v>
      </c>
    </row>
    <row r="6" spans="1:3" x14ac:dyDescent="0.4">
      <c r="A6" t="s">
        <v>190</v>
      </c>
      <c r="B6" s="120">
        <v>69</v>
      </c>
      <c r="C6" s="120">
        <v>1517.192907423339</v>
      </c>
    </row>
    <row r="7" spans="1:3" x14ac:dyDescent="0.4">
      <c r="A7" t="s">
        <v>207</v>
      </c>
      <c r="C7" s="120">
        <v>1500.437982464869</v>
      </c>
    </row>
    <row r="8" spans="1:3" x14ac:dyDescent="0.4">
      <c r="A8" t="s">
        <v>208</v>
      </c>
      <c r="C8" s="120">
        <v>1491.5152195648213</v>
      </c>
    </row>
    <row r="9" spans="1:3" x14ac:dyDescent="0.4">
      <c r="A9" t="s">
        <v>215</v>
      </c>
      <c r="C9" s="120">
        <v>1484.4200922656562</v>
      </c>
    </row>
    <row r="10" spans="1:3" x14ac:dyDescent="0.4">
      <c r="A10" t="s">
        <v>198</v>
      </c>
      <c r="B10" s="120">
        <v>9</v>
      </c>
      <c r="C10" s="120">
        <v>1477.1627652918316</v>
      </c>
    </row>
    <row r="11" spans="1:3" x14ac:dyDescent="0.4">
      <c r="A11" t="s">
        <v>195</v>
      </c>
      <c r="B11" s="120">
        <v>42</v>
      </c>
      <c r="C11" s="120">
        <v>1390.8734583000644</v>
      </c>
    </row>
    <row r="12" spans="1:3" x14ac:dyDescent="0.4">
      <c r="A12" t="s">
        <v>205</v>
      </c>
      <c r="B12" s="120">
        <v>9</v>
      </c>
      <c r="C12" s="120">
        <v>1374.5098815116364</v>
      </c>
    </row>
    <row r="13" spans="1:3" x14ac:dyDescent="0.4">
      <c r="A13" t="s">
        <v>189</v>
      </c>
      <c r="B13" s="120">
        <v>46</v>
      </c>
      <c r="C13" s="120">
        <v>1362.1724492033045</v>
      </c>
    </row>
    <row r="14" spans="1:3" x14ac:dyDescent="0.4">
      <c r="A14" t="s">
        <v>193</v>
      </c>
      <c r="B14" s="120">
        <v>10</v>
      </c>
      <c r="C14" s="120">
        <v>1340.889100821483</v>
      </c>
    </row>
    <row r="15" spans="1:3" x14ac:dyDescent="0.4">
      <c r="A15" t="s">
        <v>210</v>
      </c>
      <c r="C15" s="120">
        <v>1519.3079580555725</v>
      </c>
    </row>
    <row r="16" spans="1:3" x14ac:dyDescent="0.4">
      <c r="A16" t="s">
        <v>206</v>
      </c>
      <c r="C16" s="120">
        <v>1519.2052586122145</v>
      </c>
    </row>
    <row r="17" spans="1:8" x14ac:dyDescent="0.4">
      <c r="A17" t="s">
        <v>209</v>
      </c>
      <c r="C17" s="120">
        <v>1503.1020000000001</v>
      </c>
      <c r="G17" s="120"/>
      <c r="H17" s="120"/>
    </row>
    <row r="18" spans="1:8" x14ac:dyDescent="0.4">
      <c r="A18" t="s">
        <v>211</v>
      </c>
      <c r="C18" s="120">
        <v>1489.2889468180317</v>
      </c>
      <c r="G18" s="120"/>
      <c r="H18" s="120"/>
    </row>
    <row r="19" spans="1:8" x14ac:dyDescent="0.4">
      <c r="A19" t="s">
        <v>213</v>
      </c>
      <c r="C19" s="120">
        <v>1484.6521503082251</v>
      </c>
      <c r="G19" s="120"/>
      <c r="H19" s="120"/>
    </row>
    <row r="20" spans="1:8" x14ac:dyDescent="0.4">
      <c r="A20" t="s">
        <v>212</v>
      </c>
      <c r="C20" s="120">
        <v>1476.2954110473599</v>
      </c>
      <c r="G20" s="120"/>
      <c r="H20" s="120"/>
    </row>
    <row r="21" spans="1:8" x14ac:dyDescent="0.4">
      <c r="A21" t="s">
        <v>250</v>
      </c>
      <c r="B21" s="120">
        <v>5</v>
      </c>
      <c r="C21" s="120">
        <v>1500</v>
      </c>
      <c r="G21" s="120"/>
      <c r="H21" s="120"/>
    </row>
    <row r="22" spans="1:8" x14ac:dyDescent="0.4">
      <c r="A22" t="s">
        <v>253</v>
      </c>
      <c r="B22" s="120">
        <v>5</v>
      </c>
      <c r="C22" s="120">
        <v>1500</v>
      </c>
      <c r="G22" s="120"/>
      <c r="H22" s="120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4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">
      <c r="A2" s="36" t="s">
        <v>214</v>
      </c>
      <c r="B2" s="143">
        <v>0.92488577934384197</v>
      </c>
      <c r="C2" s="144"/>
      <c r="D2" s="143">
        <v>0.73409618253153919</v>
      </c>
      <c r="E2" s="144"/>
      <c r="F2" s="143">
        <v>0.62363911018083296</v>
      </c>
      <c r="G2" s="144"/>
      <c r="H2" s="145"/>
      <c r="I2" s="146"/>
      <c r="J2" s="143">
        <v>0.57669942112388439</v>
      </c>
      <c r="K2" s="144"/>
      <c r="L2" s="143">
        <v>0.82775254967759571</v>
      </c>
      <c r="M2" s="144"/>
      <c r="N2" s="143">
        <v>5.6533847539560887E-2</v>
      </c>
      <c r="O2" s="144"/>
      <c r="P2" s="143">
        <v>0.1707100777911226</v>
      </c>
      <c r="Q2" s="144"/>
      <c r="R2" s="143">
        <v>-0.36145937561644537</v>
      </c>
      <c r="S2" s="144"/>
      <c r="T2" s="143">
        <v>0.84320164242440276</v>
      </c>
      <c r="U2" s="144"/>
      <c r="V2" s="143">
        <v>-0.47236575739304321</v>
      </c>
      <c r="W2" s="144"/>
      <c r="X2" s="143">
        <v>-3.9413240232236198E-2</v>
      </c>
      <c r="Y2" s="144"/>
      <c r="Z2" s="143">
        <v>0.30795690536608439</v>
      </c>
      <c r="AA2" s="144"/>
      <c r="AB2" s="143">
        <v>-0.15817017489735186</v>
      </c>
      <c r="AC2" s="144"/>
      <c r="AD2" s="143">
        <v>-0.19354935343583921</v>
      </c>
      <c r="AE2" s="144"/>
      <c r="AF2" s="143">
        <v>-3.9805363367649019E-2</v>
      </c>
      <c r="AG2" s="144"/>
      <c r="AH2" s="143">
        <v>0.14356513639987903</v>
      </c>
      <c r="AI2" s="144"/>
      <c r="AJ2" s="143">
        <v>0.39538151143595451</v>
      </c>
      <c r="AK2" s="144"/>
    </row>
    <row r="3" spans="1:37" x14ac:dyDescent="0.4">
      <c r="A3" s="38">
        <v>1</v>
      </c>
      <c r="B3" s="41" t="s">
        <v>139</v>
      </c>
      <c r="C3" s="113">
        <v>137</v>
      </c>
      <c r="D3" s="39" t="s">
        <v>126</v>
      </c>
      <c r="E3" s="40">
        <v>679.00000000000011</v>
      </c>
      <c r="F3" s="41" t="s">
        <v>126</v>
      </c>
      <c r="G3" s="60">
        <v>6.7227722772277243</v>
      </c>
      <c r="H3" s="41" t="s">
        <v>126</v>
      </c>
      <c r="I3" s="45">
        <v>1842.3339395535957</v>
      </c>
      <c r="J3" s="41" t="s">
        <v>126</v>
      </c>
      <c r="K3" s="42">
        <v>1.8217821782178218</v>
      </c>
      <c r="L3" s="41" t="s">
        <v>126</v>
      </c>
      <c r="M3" s="43">
        <v>0.42574257425742573</v>
      </c>
      <c r="N3" s="41" t="s">
        <v>193</v>
      </c>
      <c r="O3" s="43">
        <v>0.2</v>
      </c>
      <c r="P3" s="41" t="s">
        <v>189</v>
      </c>
      <c r="Q3" s="44">
        <v>0.34340659340659341</v>
      </c>
      <c r="R3" s="41" t="s">
        <v>193</v>
      </c>
      <c r="S3" s="44">
        <v>7.407407407407407E-2</v>
      </c>
      <c r="T3" s="41" t="s">
        <v>163</v>
      </c>
      <c r="U3" s="45">
        <v>10189.440993788819</v>
      </c>
      <c r="V3" s="41" t="s">
        <v>193</v>
      </c>
      <c r="W3" s="45">
        <v>-3916.6666666666665</v>
      </c>
      <c r="X3" s="41" t="s">
        <v>193</v>
      </c>
      <c r="Y3" s="43">
        <v>0</v>
      </c>
      <c r="Z3" s="41" t="s">
        <v>205</v>
      </c>
      <c r="AA3" s="44">
        <v>0.32432432432432434</v>
      </c>
      <c r="AB3" s="41" t="s">
        <v>189</v>
      </c>
      <c r="AC3" s="44">
        <v>0.35989010989010989</v>
      </c>
      <c r="AD3" s="41" t="s">
        <v>205</v>
      </c>
      <c r="AE3" s="44">
        <v>0.70833333333333337</v>
      </c>
      <c r="AF3" s="41" t="s">
        <v>205</v>
      </c>
      <c r="AG3" s="44">
        <v>0.5714285714285714</v>
      </c>
      <c r="AH3" s="41" t="s">
        <v>253</v>
      </c>
      <c r="AI3" s="44">
        <v>0.7142857142857143</v>
      </c>
      <c r="AJ3" s="41" t="s">
        <v>163</v>
      </c>
      <c r="AK3" s="55">
        <v>116000</v>
      </c>
    </row>
    <row r="4" spans="1:37" x14ac:dyDescent="0.4">
      <c r="A4" s="46">
        <v>2</v>
      </c>
      <c r="B4" s="49" t="s">
        <v>126</v>
      </c>
      <c r="C4" s="114">
        <v>101</v>
      </c>
      <c r="D4" s="47" t="s">
        <v>189</v>
      </c>
      <c r="E4" s="48">
        <v>183.4</v>
      </c>
      <c r="F4" s="49" t="s">
        <v>189</v>
      </c>
      <c r="G4" s="61">
        <v>3.9869565217391307</v>
      </c>
      <c r="H4" s="49" t="s">
        <v>163</v>
      </c>
      <c r="I4" s="53">
        <v>1653.1699313523677</v>
      </c>
      <c r="J4" s="49" t="s">
        <v>189</v>
      </c>
      <c r="K4" s="50">
        <v>1.8913043478260869</v>
      </c>
      <c r="L4" s="49" t="s">
        <v>163</v>
      </c>
      <c r="M4" s="51">
        <v>0.36986301369863012</v>
      </c>
      <c r="N4" s="49" t="s">
        <v>126</v>
      </c>
      <c r="O4" s="51">
        <v>0.24752475247524752</v>
      </c>
      <c r="P4" s="49" t="s">
        <v>192</v>
      </c>
      <c r="Q4" s="52">
        <v>0.31578947368421051</v>
      </c>
      <c r="R4" s="49" t="s">
        <v>190</v>
      </c>
      <c r="S4" s="52">
        <v>0.12169312169312169</v>
      </c>
      <c r="T4" s="49" t="s">
        <v>253</v>
      </c>
      <c r="U4" s="53">
        <v>9742.8571428571431</v>
      </c>
      <c r="V4" s="49" t="s">
        <v>253</v>
      </c>
      <c r="W4" s="53">
        <v>-4936.363636363636</v>
      </c>
      <c r="X4" s="49" t="s">
        <v>205</v>
      </c>
      <c r="Y4" s="51">
        <v>0</v>
      </c>
      <c r="Z4" s="49" t="s">
        <v>163</v>
      </c>
      <c r="AA4" s="52">
        <v>0.30338983050847457</v>
      </c>
      <c r="AB4" s="49" t="s">
        <v>192</v>
      </c>
      <c r="AC4" s="52">
        <v>0.26934984520123839</v>
      </c>
      <c r="AD4" s="49" t="s">
        <v>192</v>
      </c>
      <c r="AE4" s="52">
        <v>0.64912280701754388</v>
      </c>
      <c r="AF4" s="49" t="s">
        <v>195</v>
      </c>
      <c r="AG4" s="52">
        <v>0.56862745098039214</v>
      </c>
      <c r="AH4" s="49" t="s">
        <v>198</v>
      </c>
      <c r="AI4" s="52">
        <v>0.5625</v>
      </c>
      <c r="AJ4" s="49" t="s">
        <v>139</v>
      </c>
      <c r="AK4" s="56">
        <v>116000</v>
      </c>
    </row>
    <row r="5" spans="1:37" x14ac:dyDescent="0.4">
      <c r="A5" s="46">
        <v>3</v>
      </c>
      <c r="B5" s="49" t="s">
        <v>163</v>
      </c>
      <c r="C5" s="114">
        <v>73</v>
      </c>
      <c r="D5" s="47" t="s">
        <v>163</v>
      </c>
      <c r="E5" s="48">
        <v>9.5999999999999588</v>
      </c>
      <c r="F5" s="49" t="s">
        <v>163</v>
      </c>
      <c r="G5" s="61">
        <v>0.13150684931506793</v>
      </c>
      <c r="H5" s="49" t="s">
        <v>139</v>
      </c>
      <c r="I5" s="53">
        <v>1594.5463045050694</v>
      </c>
      <c r="J5" s="49" t="s">
        <v>163</v>
      </c>
      <c r="K5" s="50">
        <v>2</v>
      </c>
      <c r="L5" s="49" t="s">
        <v>189</v>
      </c>
      <c r="M5" s="51">
        <v>0.36956521739130432</v>
      </c>
      <c r="N5" s="49" t="s">
        <v>189</v>
      </c>
      <c r="O5" s="51">
        <v>0.2608695652173913</v>
      </c>
      <c r="P5" s="49" t="s">
        <v>205</v>
      </c>
      <c r="Q5" s="52">
        <v>0.3108108108108108</v>
      </c>
      <c r="R5" s="49" t="s">
        <v>189</v>
      </c>
      <c r="S5" s="52">
        <v>0.13461538461538461</v>
      </c>
      <c r="T5" s="49" t="s">
        <v>126</v>
      </c>
      <c r="U5" s="53">
        <v>9682.9166666666661</v>
      </c>
      <c r="V5" s="49" t="s">
        <v>195</v>
      </c>
      <c r="W5" s="53">
        <v>-7148.0769230769229</v>
      </c>
      <c r="X5" s="49" t="s">
        <v>253</v>
      </c>
      <c r="Y5" s="51">
        <v>0</v>
      </c>
      <c r="Z5" s="49" t="s">
        <v>198</v>
      </c>
      <c r="AA5" s="52">
        <v>0.28378378378378377</v>
      </c>
      <c r="AB5" s="49" t="s">
        <v>190</v>
      </c>
      <c r="AC5" s="52">
        <v>0.23809523809523808</v>
      </c>
      <c r="AD5" s="49" t="s">
        <v>193</v>
      </c>
      <c r="AE5" s="52">
        <v>0.61904761904761907</v>
      </c>
      <c r="AF5" s="49" t="s">
        <v>198</v>
      </c>
      <c r="AG5" s="52">
        <v>0.5</v>
      </c>
      <c r="AH5" s="49" t="s">
        <v>205</v>
      </c>
      <c r="AI5" s="52">
        <v>0.52173913043478259</v>
      </c>
      <c r="AJ5" s="49" t="s">
        <v>190</v>
      </c>
      <c r="AK5" s="56">
        <v>107400</v>
      </c>
    </row>
    <row r="6" spans="1:37" x14ac:dyDescent="0.4">
      <c r="A6" s="46">
        <v>4</v>
      </c>
      <c r="B6" s="49" t="s">
        <v>190</v>
      </c>
      <c r="C6" s="114">
        <v>69</v>
      </c>
      <c r="D6" s="47" t="s">
        <v>139</v>
      </c>
      <c r="E6" s="48">
        <v>7.1054273576010019E-15</v>
      </c>
      <c r="F6" s="49" t="s">
        <v>139</v>
      </c>
      <c r="G6" s="61">
        <v>1.7288144422386866E-17</v>
      </c>
      <c r="H6" s="49" t="s">
        <v>190</v>
      </c>
      <c r="I6" s="53">
        <v>1524.3778689305989</v>
      </c>
      <c r="J6" s="49" t="s">
        <v>193</v>
      </c>
      <c r="K6" s="50">
        <v>2</v>
      </c>
      <c r="L6" s="49" t="s">
        <v>139</v>
      </c>
      <c r="M6" s="51">
        <v>0.33333333333333331</v>
      </c>
      <c r="N6" s="49" t="s">
        <v>139</v>
      </c>
      <c r="O6" s="51">
        <v>0.33333333333333331</v>
      </c>
      <c r="P6" s="49" t="s">
        <v>126</v>
      </c>
      <c r="Q6" s="52">
        <v>0.30037546933667086</v>
      </c>
      <c r="R6" s="49" t="s">
        <v>126</v>
      </c>
      <c r="S6" s="52">
        <v>0.13767209011264081</v>
      </c>
      <c r="T6" s="49" t="s">
        <v>198</v>
      </c>
      <c r="U6" s="53">
        <v>9062.5</v>
      </c>
      <c r="V6" s="49" t="s">
        <v>198</v>
      </c>
      <c r="W6" s="53">
        <v>-7317.6470588235297</v>
      </c>
      <c r="X6" s="49" t="s">
        <v>126</v>
      </c>
      <c r="Y6" s="51">
        <v>5.9405940594059403E-2</v>
      </c>
      <c r="Z6" s="49" t="s">
        <v>250</v>
      </c>
      <c r="AA6" s="52">
        <v>0.26829268292682928</v>
      </c>
      <c r="AB6" s="49" t="s">
        <v>139</v>
      </c>
      <c r="AC6" s="52">
        <v>0.2068860450944546</v>
      </c>
      <c r="AD6" s="49" t="s">
        <v>126</v>
      </c>
      <c r="AE6" s="52">
        <v>0.59090909090909094</v>
      </c>
      <c r="AF6" s="49" t="s">
        <v>126</v>
      </c>
      <c r="AG6" s="52">
        <v>0.47244094488188976</v>
      </c>
      <c r="AH6" s="49" t="s">
        <v>195</v>
      </c>
      <c r="AI6" s="52">
        <v>0.5161290322580645</v>
      </c>
      <c r="AJ6" s="49" t="s">
        <v>189</v>
      </c>
      <c r="AK6" s="56">
        <v>106500</v>
      </c>
    </row>
    <row r="7" spans="1:37" x14ac:dyDescent="0.4">
      <c r="A7" s="46">
        <v>5</v>
      </c>
      <c r="B7" s="49" t="s">
        <v>189</v>
      </c>
      <c r="C7" s="114">
        <v>46</v>
      </c>
      <c r="D7" s="47" t="s">
        <v>193</v>
      </c>
      <c r="E7" s="48">
        <v>-13.400000000000013</v>
      </c>
      <c r="F7" s="49" t="s">
        <v>193</v>
      </c>
      <c r="G7" s="61">
        <v>-1.3400000000000012</v>
      </c>
      <c r="H7" s="49" t="s">
        <v>192</v>
      </c>
      <c r="I7" s="53">
        <v>1517.1288342047803</v>
      </c>
      <c r="J7" s="49" t="s">
        <v>139</v>
      </c>
      <c r="K7" s="50">
        <v>2</v>
      </c>
      <c r="L7" s="49" t="s">
        <v>190</v>
      </c>
      <c r="M7" s="51">
        <v>0.3188405797101449</v>
      </c>
      <c r="N7" s="49" t="s">
        <v>205</v>
      </c>
      <c r="O7" s="51">
        <v>0.33333333333333331</v>
      </c>
      <c r="P7" s="49" t="s">
        <v>139</v>
      </c>
      <c r="Q7" s="52">
        <v>0.28854357099329675</v>
      </c>
      <c r="R7" s="49" t="s">
        <v>250</v>
      </c>
      <c r="S7" s="52">
        <v>0.14634146341463414</v>
      </c>
      <c r="T7" s="49" t="s">
        <v>139</v>
      </c>
      <c r="U7" s="53">
        <v>8740.2323125659987</v>
      </c>
      <c r="V7" s="49" t="s">
        <v>163</v>
      </c>
      <c r="W7" s="53">
        <v>-7580</v>
      </c>
      <c r="X7" s="49" t="s">
        <v>190</v>
      </c>
      <c r="Y7" s="51">
        <v>7.2463768115942032E-2</v>
      </c>
      <c r="Z7" s="49" t="s">
        <v>193</v>
      </c>
      <c r="AA7" s="52">
        <v>0.25925925925925924</v>
      </c>
      <c r="AB7" s="49" t="s">
        <v>163</v>
      </c>
      <c r="AC7" s="52">
        <v>0.19322033898305085</v>
      </c>
      <c r="AD7" s="49" t="s">
        <v>189</v>
      </c>
      <c r="AE7" s="52">
        <v>0.5901639344262295</v>
      </c>
      <c r="AF7" s="49" t="s">
        <v>189</v>
      </c>
      <c r="AG7" s="52">
        <v>0.4351145038167939</v>
      </c>
      <c r="AH7" s="49" t="s">
        <v>126</v>
      </c>
      <c r="AI7" s="52">
        <v>0.5083333333333333</v>
      </c>
      <c r="AJ7" s="49" t="s">
        <v>195</v>
      </c>
      <c r="AK7" s="56">
        <v>104100</v>
      </c>
    </row>
    <row r="8" spans="1:37" x14ac:dyDescent="0.4">
      <c r="A8" s="46">
        <v>6</v>
      </c>
      <c r="B8" s="49" t="s">
        <v>192</v>
      </c>
      <c r="C8" s="114">
        <v>42</v>
      </c>
      <c r="D8" s="47" t="s">
        <v>205</v>
      </c>
      <c r="E8" s="48">
        <v>-41.599999999999994</v>
      </c>
      <c r="F8" s="49" t="s">
        <v>190</v>
      </c>
      <c r="G8" s="61">
        <v>-1.3507246376811588</v>
      </c>
      <c r="H8" s="49" t="s">
        <v>253</v>
      </c>
      <c r="I8" s="53">
        <v>1488.8318648771276</v>
      </c>
      <c r="J8" s="49" t="s">
        <v>190</v>
      </c>
      <c r="K8" s="50">
        <v>2.0434782608695654</v>
      </c>
      <c r="L8" s="49" t="s">
        <v>192</v>
      </c>
      <c r="M8" s="51">
        <v>0.2857142857142857</v>
      </c>
      <c r="N8" s="49" t="s">
        <v>190</v>
      </c>
      <c r="O8" s="51">
        <v>0.36231884057971014</v>
      </c>
      <c r="P8" s="49" t="s">
        <v>195</v>
      </c>
      <c r="Q8" s="52">
        <v>0.28792569659442724</v>
      </c>
      <c r="R8" s="49" t="s">
        <v>139</v>
      </c>
      <c r="S8" s="52">
        <v>0.15082266910420475</v>
      </c>
      <c r="T8" s="49" t="s">
        <v>190</v>
      </c>
      <c r="U8" s="53">
        <v>8177.272727272727</v>
      </c>
      <c r="V8" s="49" t="s">
        <v>139</v>
      </c>
      <c r="W8" s="53">
        <v>-7907.878787878788</v>
      </c>
      <c r="X8" s="49" t="s">
        <v>139</v>
      </c>
      <c r="Y8" s="51">
        <v>0.10462287104622871</v>
      </c>
      <c r="Z8" s="49" t="s">
        <v>126</v>
      </c>
      <c r="AA8" s="52">
        <v>0.24780976220275344</v>
      </c>
      <c r="AB8" s="49" t="s">
        <v>126</v>
      </c>
      <c r="AC8" s="52">
        <v>0.15894868585732166</v>
      </c>
      <c r="AD8" s="49" t="s">
        <v>139</v>
      </c>
      <c r="AE8" s="52">
        <v>0.5564005069708492</v>
      </c>
      <c r="AF8" s="49" t="s">
        <v>139</v>
      </c>
      <c r="AG8" s="52">
        <v>0.41384388807069217</v>
      </c>
      <c r="AH8" s="49" t="s">
        <v>139</v>
      </c>
      <c r="AI8" s="52">
        <v>0.4751847940865892</v>
      </c>
      <c r="AJ8" s="49" t="s">
        <v>126</v>
      </c>
      <c r="AK8" s="56">
        <v>102700</v>
      </c>
    </row>
    <row r="9" spans="1:37" x14ac:dyDescent="0.4">
      <c r="A9" s="46">
        <v>7</v>
      </c>
      <c r="B9" s="49" t="s">
        <v>195</v>
      </c>
      <c r="C9" s="114">
        <v>42</v>
      </c>
      <c r="D9" s="47" t="s">
        <v>253</v>
      </c>
      <c r="E9" s="48">
        <v>-70.399999999999991</v>
      </c>
      <c r="F9" s="49" t="s">
        <v>192</v>
      </c>
      <c r="G9" s="61">
        <v>-4.6000000000000005</v>
      </c>
      <c r="H9" s="49" t="s">
        <v>250</v>
      </c>
      <c r="I9" s="53">
        <v>1483.0119085897741</v>
      </c>
      <c r="J9" s="49" t="s">
        <v>192</v>
      </c>
      <c r="K9" s="50">
        <v>2.0952380952380953</v>
      </c>
      <c r="L9" s="49" t="s">
        <v>198</v>
      </c>
      <c r="M9" s="51">
        <v>0.22222222222222221</v>
      </c>
      <c r="N9" s="49" t="s">
        <v>163</v>
      </c>
      <c r="O9" s="51">
        <v>0.36986301369863012</v>
      </c>
      <c r="P9" s="49" t="s">
        <v>163</v>
      </c>
      <c r="Q9" s="52">
        <v>0.27288135593220336</v>
      </c>
      <c r="R9" s="49" t="s">
        <v>195</v>
      </c>
      <c r="S9" s="52">
        <v>0.1609907120743034</v>
      </c>
      <c r="T9" s="49" t="s">
        <v>192</v>
      </c>
      <c r="U9" s="53">
        <v>8118.6274509803925</v>
      </c>
      <c r="V9" s="49" t="s">
        <v>190</v>
      </c>
      <c r="W9" s="53">
        <v>-8091.304347826087</v>
      </c>
      <c r="X9" s="49" t="s">
        <v>198</v>
      </c>
      <c r="Y9" s="51">
        <v>0.1111111111111111</v>
      </c>
      <c r="Z9" s="49" t="s">
        <v>139</v>
      </c>
      <c r="AA9" s="52">
        <v>0.24040219378427788</v>
      </c>
      <c r="AB9" s="49" t="s">
        <v>195</v>
      </c>
      <c r="AC9" s="52">
        <v>0.15789473684210525</v>
      </c>
      <c r="AD9" s="49" t="s">
        <v>195</v>
      </c>
      <c r="AE9" s="52">
        <v>0.54545454545454541</v>
      </c>
      <c r="AF9" s="49" t="s">
        <v>190</v>
      </c>
      <c r="AG9" s="52">
        <v>0.40740740740740738</v>
      </c>
      <c r="AH9" s="49" t="s">
        <v>193</v>
      </c>
      <c r="AI9" s="52">
        <v>0.47368421052631576</v>
      </c>
      <c r="AJ9" s="49" t="s">
        <v>205</v>
      </c>
      <c r="AK9" s="56">
        <v>95000</v>
      </c>
    </row>
    <row r="10" spans="1:37" x14ac:dyDescent="0.4">
      <c r="A10" s="46">
        <v>8</v>
      </c>
      <c r="B10" s="49" t="s">
        <v>193</v>
      </c>
      <c r="C10" s="114">
        <v>10</v>
      </c>
      <c r="D10" s="47" t="s">
        <v>190</v>
      </c>
      <c r="E10" s="48">
        <v>-93.19999999999996</v>
      </c>
      <c r="F10" s="49" t="s">
        <v>205</v>
      </c>
      <c r="G10" s="61">
        <v>-4.6222222222222218</v>
      </c>
      <c r="H10" s="49" t="s">
        <v>198</v>
      </c>
      <c r="I10" s="53">
        <v>1463.4239467393418</v>
      </c>
      <c r="J10" s="49" t="s">
        <v>205</v>
      </c>
      <c r="K10" s="50">
        <v>2.1111111111111112</v>
      </c>
      <c r="L10" s="49" t="s">
        <v>205</v>
      </c>
      <c r="M10" s="51">
        <v>0.22222222222222221</v>
      </c>
      <c r="N10" s="49" t="s">
        <v>192</v>
      </c>
      <c r="O10" s="51">
        <v>0.38095238095238093</v>
      </c>
      <c r="P10" s="49" t="s">
        <v>190</v>
      </c>
      <c r="Q10" s="52">
        <v>0.27160493827160492</v>
      </c>
      <c r="R10" s="49" t="s">
        <v>192</v>
      </c>
      <c r="S10" s="52">
        <v>0.17337461300309598</v>
      </c>
      <c r="T10" s="49" t="s">
        <v>195</v>
      </c>
      <c r="U10" s="53">
        <v>7873.1182795698924</v>
      </c>
      <c r="V10" s="49" t="s">
        <v>126</v>
      </c>
      <c r="W10" s="53">
        <v>-8131.818181818182</v>
      </c>
      <c r="X10" s="49" t="s">
        <v>192</v>
      </c>
      <c r="Y10" s="51">
        <v>0.11904761904761904</v>
      </c>
      <c r="Z10" s="49" t="s">
        <v>195</v>
      </c>
      <c r="AA10" s="52">
        <v>0.23839009287925697</v>
      </c>
      <c r="AB10" s="49" t="s">
        <v>193</v>
      </c>
      <c r="AC10" s="52">
        <v>0.13580246913580246</v>
      </c>
      <c r="AD10" s="49" t="s">
        <v>190</v>
      </c>
      <c r="AE10" s="52">
        <v>0.52307692307692311</v>
      </c>
      <c r="AF10" s="49" t="s">
        <v>193</v>
      </c>
      <c r="AG10" s="52">
        <v>0.36363636363636365</v>
      </c>
      <c r="AH10" s="49" t="s">
        <v>192</v>
      </c>
      <c r="AI10" s="52">
        <v>0.46078431372549017</v>
      </c>
      <c r="AJ10" s="49" t="s">
        <v>192</v>
      </c>
      <c r="AK10" s="56">
        <v>93200</v>
      </c>
    </row>
    <row r="11" spans="1:37" x14ac:dyDescent="0.4">
      <c r="A11" s="46">
        <v>9</v>
      </c>
      <c r="B11" s="49" t="s">
        <v>198</v>
      </c>
      <c r="C11" s="114">
        <v>9</v>
      </c>
      <c r="D11" s="47" t="s">
        <v>198</v>
      </c>
      <c r="E11" s="48">
        <v>-105.5</v>
      </c>
      <c r="F11" s="49" t="s">
        <v>195</v>
      </c>
      <c r="G11" s="61">
        <v>-5.7380952380952337</v>
      </c>
      <c r="H11" s="49" t="s">
        <v>189</v>
      </c>
      <c r="I11" s="53">
        <v>1433.30445236539</v>
      </c>
      <c r="J11" s="49" t="s">
        <v>195</v>
      </c>
      <c r="K11" s="50">
        <v>2.2142857142857144</v>
      </c>
      <c r="L11" s="49" t="s">
        <v>195</v>
      </c>
      <c r="M11" s="51">
        <v>0.21428571428571427</v>
      </c>
      <c r="N11" s="49" t="s">
        <v>250</v>
      </c>
      <c r="O11" s="51">
        <v>0.4</v>
      </c>
      <c r="P11" s="49" t="s">
        <v>193</v>
      </c>
      <c r="Q11" s="52">
        <v>0.23456790123456789</v>
      </c>
      <c r="R11" s="49" t="s">
        <v>163</v>
      </c>
      <c r="S11" s="52">
        <v>0.17796610169491525</v>
      </c>
      <c r="T11" s="49" t="s">
        <v>193</v>
      </c>
      <c r="U11" s="53">
        <v>7736.8421052631575</v>
      </c>
      <c r="V11" s="49" t="s">
        <v>189</v>
      </c>
      <c r="W11" s="53">
        <v>-8171.4285714285716</v>
      </c>
      <c r="X11" s="49" t="s">
        <v>195</v>
      </c>
      <c r="Y11" s="51">
        <v>0.14285714285714285</v>
      </c>
      <c r="Z11" s="49" t="s">
        <v>190</v>
      </c>
      <c r="AA11" s="52">
        <v>0.2292768959435626</v>
      </c>
      <c r="AB11" s="49" t="s">
        <v>250</v>
      </c>
      <c r="AC11" s="52">
        <v>0.12195121951219512</v>
      </c>
      <c r="AD11" s="49" t="s">
        <v>253</v>
      </c>
      <c r="AE11" s="52">
        <v>0.5</v>
      </c>
      <c r="AF11" s="49" t="s">
        <v>163</v>
      </c>
      <c r="AG11" s="52">
        <v>0.34210526315789475</v>
      </c>
      <c r="AH11" s="49" t="s">
        <v>189</v>
      </c>
      <c r="AI11" s="52">
        <v>0.44800000000000001</v>
      </c>
      <c r="AJ11" s="49" t="s">
        <v>193</v>
      </c>
      <c r="AK11" s="56">
        <v>89000</v>
      </c>
    </row>
    <row r="12" spans="1:37" x14ac:dyDescent="0.4">
      <c r="A12" s="46">
        <v>10</v>
      </c>
      <c r="B12" s="49" t="s">
        <v>205</v>
      </c>
      <c r="C12" s="114">
        <v>9</v>
      </c>
      <c r="D12" s="47" t="s">
        <v>250</v>
      </c>
      <c r="E12" s="48">
        <v>-113.70000000000002</v>
      </c>
      <c r="F12" s="49" t="s">
        <v>198</v>
      </c>
      <c r="G12" s="61">
        <v>-11.722222222222221</v>
      </c>
      <c r="H12" s="49" t="s">
        <v>195</v>
      </c>
      <c r="I12" s="53">
        <v>1392.8042574192286</v>
      </c>
      <c r="J12" s="49" t="s">
        <v>198</v>
      </c>
      <c r="K12" s="50">
        <v>2.2222222222222223</v>
      </c>
      <c r="L12" s="49" t="s">
        <v>193</v>
      </c>
      <c r="M12" s="51">
        <v>0.2</v>
      </c>
      <c r="N12" s="49" t="s">
        <v>195</v>
      </c>
      <c r="O12" s="51">
        <v>0.42857142857142855</v>
      </c>
      <c r="P12" s="49" t="s">
        <v>198</v>
      </c>
      <c r="Q12" s="52">
        <v>0.21621621621621623</v>
      </c>
      <c r="R12" s="49" t="s">
        <v>205</v>
      </c>
      <c r="S12" s="52">
        <v>0.1891891891891892</v>
      </c>
      <c r="T12" s="49" t="s">
        <v>205</v>
      </c>
      <c r="U12" s="53">
        <v>7530.434782608696</v>
      </c>
      <c r="V12" s="49" t="s">
        <v>205</v>
      </c>
      <c r="W12" s="53">
        <v>-8671.4285714285706</v>
      </c>
      <c r="X12" s="49" t="s">
        <v>189</v>
      </c>
      <c r="Y12" s="51">
        <v>0.15217391304347827</v>
      </c>
      <c r="Z12" s="49" t="s">
        <v>253</v>
      </c>
      <c r="AA12" s="52">
        <v>0.21739130434782608</v>
      </c>
      <c r="AB12" s="49" t="s">
        <v>253</v>
      </c>
      <c r="AC12" s="52">
        <v>0.10869565217391304</v>
      </c>
      <c r="AD12" s="49" t="s">
        <v>163</v>
      </c>
      <c r="AE12" s="52">
        <v>0.4972067039106145</v>
      </c>
      <c r="AF12" s="49" t="s">
        <v>192</v>
      </c>
      <c r="AG12" s="52">
        <v>0.32183908045977011</v>
      </c>
      <c r="AH12" s="49" t="s">
        <v>163</v>
      </c>
      <c r="AI12" s="52">
        <v>0.44720496894409939</v>
      </c>
      <c r="AJ12" s="49" t="s">
        <v>198</v>
      </c>
      <c r="AK12" s="56">
        <v>66700</v>
      </c>
    </row>
    <row r="13" spans="1:37" x14ac:dyDescent="0.4">
      <c r="A13" s="46">
        <v>11</v>
      </c>
      <c r="B13" s="49" t="s">
        <v>250</v>
      </c>
      <c r="C13" s="114">
        <v>5</v>
      </c>
      <c r="D13" s="47" t="s">
        <v>192</v>
      </c>
      <c r="E13" s="48">
        <v>-193.20000000000002</v>
      </c>
      <c r="F13" s="49" t="s">
        <v>253</v>
      </c>
      <c r="G13" s="61">
        <v>-14.079999999999998</v>
      </c>
      <c r="H13" s="49" t="s">
        <v>205</v>
      </c>
      <c r="I13" s="53">
        <v>1382.1789004547948</v>
      </c>
      <c r="J13" s="49" t="s">
        <v>250</v>
      </c>
      <c r="K13" s="50">
        <v>2.4</v>
      </c>
      <c r="L13" s="49" t="s">
        <v>253</v>
      </c>
      <c r="M13" s="51">
        <v>0.2</v>
      </c>
      <c r="N13" s="49" t="s">
        <v>198</v>
      </c>
      <c r="O13" s="51">
        <v>0.44444444444444442</v>
      </c>
      <c r="P13" s="49" t="s">
        <v>250</v>
      </c>
      <c r="Q13" s="52">
        <v>0.17073170731707318</v>
      </c>
      <c r="R13" s="49" t="s">
        <v>198</v>
      </c>
      <c r="S13" s="52">
        <v>0.22972972972972974</v>
      </c>
      <c r="T13" s="49" t="s">
        <v>189</v>
      </c>
      <c r="U13" s="53">
        <v>7276.8</v>
      </c>
      <c r="V13" s="49" t="s">
        <v>250</v>
      </c>
      <c r="W13" s="53">
        <v>-8866.6666666666661</v>
      </c>
      <c r="X13" s="49" t="s">
        <v>163</v>
      </c>
      <c r="Y13" s="51">
        <v>0.16438356164383561</v>
      </c>
      <c r="Z13" s="49" t="s">
        <v>192</v>
      </c>
      <c r="AA13" s="52">
        <v>0.17647058823529413</v>
      </c>
      <c r="AB13" s="49" t="s">
        <v>205</v>
      </c>
      <c r="AC13" s="52">
        <v>9.45945945945946E-2</v>
      </c>
      <c r="AD13" s="49" t="s">
        <v>198</v>
      </c>
      <c r="AE13" s="52">
        <v>0.47619047619047616</v>
      </c>
      <c r="AF13" s="49" t="s">
        <v>250</v>
      </c>
      <c r="AG13" s="52">
        <v>0.2</v>
      </c>
      <c r="AH13" s="49" t="s">
        <v>190</v>
      </c>
      <c r="AI13" s="52">
        <v>0.43506493506493504</v>
      </c>
      <c r="AJ13" s="49" t="s">
        <v>250</v>
      </c>
      <c r="AK13" s="56">
        <v>45200</v>
      </c>
    </row>
    <row r="14" spans="1:37" x14ac:dyDescent="0.4">
      <c r="A14" s="46">
        <v>12</v>
      </c>
      <c r="B14" s="49" t="s">
        <v>253</v>
      </c>
      <c r="C14" s="114">
        <v>5</v>
      </c>
      <c r="D14" s="47" t="s">
        <v>195</v>
      </c>
      <c r="E14" s="48">
        <v>-240.99999999999983</v>
      </c>
      <c r="F14" s="49" t="s">
        <v>250</v>
      </c>
      <c r="G14" s="61">
        <v>-22.740000000000002</v>
      </c>
      <c r="H14" s="49" t="s">
        <v>193</v>
      </c>
      <c r="I14" s="53">
        <v>1348.2487416206377</v>
      </c>
      <c r="J14" s="49" t="s">
        <v>253</v>
      </c>
      <c r="K14" s="50">
        <v>2.4</v>
      </c>
      <c r="L14" s="49" t="s">
        <v>250</v>
      </c>
      <c r="M14" s="51">
        <v>0</v>
      </c>
      <c r="N14" s="49" t="s">
        <v>253</v>
      </c>
      <c r="O14" s="51">
        <v>0.6</v>
      </c>
      <c r="P14" s="49" t="s">
        <v>253</v>
      </c>
      <c r="Q14" s="52">
        <v>0.15217391304347827</v>
      </c>
      <c r="R14" s="49" t="s">
        <v>253</v>
      </c>
      <c r="S14" s="52">
        <v>0.2391304347826087</v>
      </c>
      <c r="T14" s="49" t="s">
        <v>250</v>
      </c>
      <c r="U14" s="53">
        <v>7142.8571428571431</v>
      </c>
      <c r="V14" s="49" t="s">
        <v>192</v>
      </c>
      <c r="W14" s="53">
        <v>-9228.5714285714294</v>
      </c>
      <c r="X14" s="49" t="s">
        <v>250</v>
      </c>
      <c r="Y14" s="51">
        <v>0.2</v>
      </c>
      <c r="Z14" s="49" t="s">
        <v>189</v>
      </c>
      <c r="AA14" s="52">
        <v>0.16758241758241757</v>
      </c>
      <c r="AB14" s="49" t="s">
        <v>198</v>
      </c>
      <c r="AC14" s="52">
        <v>8.1081081081081086E-2</v>
      </c>
      <c r="AD14" s="49" t="s">
        <v>250</v>
      </c>
      <c r="AE14" s="52">
        <v>0.45454545454545453</v>
      </c>
      <c r="AF14" s="49" t="s">
        <v>253</v>
      </c>
      <c r="AG14" s="52">
        <v>0.2</v>
      </c>
      <c r="AH14" s="49" t="s">
        <v>250</v>
      </c>
      <c r="AI14" s="52">
        <v>0.42857142857142855</v>
      </c>
      <c r="AJ14" s="49" t="s">
        <v>253</v>
      </c>
      <c r="AK14" s="56">
        <v>39600</v>
      </c>
    </row>
  </sheetData>
  <sortState xmlns:xlrd2="http://schemas.microsoft.com/office/spreadsheetml/2017/richdata2" ref="AJ3:AK63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F79EA-EA41-4FA3-AC9E-C718A717D870}">
  <sheetPr codeName="Sheet4"/>
  <dimension ref="A1:R41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411</v>
      </c>
      <c r="C2" s="134"/>
      <c r="E2" s="26" t="s">
        <v>66</v>
      </c>
      <c r="F2" s="23" t="s">
        <v>22</v>
      </c>
      <c r="G2" s="11">
        <v>687</v>
      </c>
      <c r="H2" s="87">
        <f>IF(B$20=0,0,G2/B$20)</f>
        <v>0.72544878563885951</v>
      </c>
      <c r="I2" s="57">
        <v>4</v>
      </c>
      <c r="K2" s="73">
        <v>0</v>
      </c>
      <c r="L2" s="118">
        <v>0</v>
      </c>
      <c r="M2" s="116">
        <v>1570.3759670467048</v>
      </c>
      <c r="O2" s="73" t="s">
        <v>128</v>
      </c>
      <c r="P2" s="79">
        <f t="shared" ref="P2:P7" si="0">IF(Q2=0,0,R2/Q2)</f>
        <v>-12.437810945273633</v>
      </c>
      <c r="Q2" s="76">
        <v>402</v>
      </c>
      <c r="R2" s="63">
        <v>-5000</v>
      </c>
    </row>
    <row r="3" spans="1:18" x14ac:dyDescent="0.4">
      <c r="A3" s="19" t="s">
        <v>8</v>
      </c>
      <c r="B3" s="135">
        <v>3282</v>
      </c>
      <c r="C3" s="136"/>
      <c r="E3" s="27" t="s">
        <v>72</v>
      </c>
      <c r="F3" s="24" t="s">
        <v>27</v>
      </c>
      <c r="G3" s="12">
        <v>534</v>
      </c>
      <c r="H3" s="88">
        <f>IF(B$20=0,0,G3/B$20)</f>
        <v>0.56388595564941923</v>
      </c>
      <c r="I3" s="58">
        <v>4</v>
      </c>
      <c r="K3" s="74">
        <v>1</v>
      </c>
      <c r="L3" s="119">
        <v>-2.9</v>
      </c>
      <c r="M3" s="117">
        <v>1569.4317112444246</v>
      </c>
      <c r="O3" s="74" t="s">
        <v>129</v>
      </c>
      <c r="P3" s="80">
        <f t="shared" si="0"/>
        <v>-4.9382716049382713</v>
      </c>
      <c r="Q3" s="77">
        <v>405</v>
      </c>
      <c r="R3" s="64">
        <v>-2000</v>
      </c>
    </row>
    <row r="4" spans="1:18" x14ac:dyDescent="0.4">
      <c r="A4" s="19" t="s">
        <v>6</v>
      </c>
      <c r="B4" s="137">
        <v>7.1054273576010019E-15</v>
      </c>
      <c r="C4" s="138"/>
      <c r="E4" s="27" t="s">
        <v>64</v>
      </c>
      <c r="F4" s="24" t="s">
        <v>20</v>
      </c>
      <c r="G4" s="12">
        <v>425</v>
      </c>
      <c r="H4" s="88">
        <f>IF(B$20=0,0,G4/B$20)</f>
        <v>0.44878563885955647</v>
      </c>
      <c r="I4" s="58">
        <v>8</v>
      </c>
      <c r="K4" s="74">
        <v>2</v>
      </c>
      <c r="L4" s="119">
        <v>-39.199999999999996</v>
      </c>
      <c r="M4" s="117">
        <v>1562.481120976958</v>
      </c>
      <c r="O4" s="74" t="s">
        <v>130</v>
      </c>
      <c r="P4" s="80">
        <f t="shared" si="0"/>
        <v>-7.8125</v>
      </c>
      <c r="Q4" s="77">
        <v>384</v>
      </c>
      <c r="R4" s="64">
        <v>-3000</v>
      </c>
    </row>
    <row r="5" spans="1:18" x14ac:dyDescent="0.4">
      <c r="A5" s="19" t="s">
        <v>7</v>
      </c>
      <c r="B5" s="125">
        <f>IF(B$2=0,0,B$4/B$2)</f>
        <v>1.7288144422386866E-17</v>
      </c>
      <c r="C5" s="126"/>
      <c r="E5" s="27" t="s">
        <v>159</v>
      </c>
      <c r="F5" s="24" t="s">
        <v>160</v>
      </c>
      <c r="G5" s="12">
        <v>401</v>
      </c>
      <c r="H5" s="88">
        <f>IF(B$20=0,0,G5/B$20)</f>
        <v>0.42344244984160506</v>
      </c>
      <c r="I5" s="58">
        <v>10</v>
      </c>
      <c r="K5" s="74">
        <v>3</v>
      </c>
      <c r="L5" s="119">
        <v>7.1054273576010019E-15</v>
      </c>
      <c r="M5" s="117">
        <v>1569.1622342510962</v>
      </c>
      <c r="O5" s="74" t="s">
        <v>131</v>
      </c>
      <c r="P5" s="80">
        <f t="shared" si="0"/>
        <v>17.094017094017094</v>
      </c>
      <c r="Q5" s="77">
        <v>351</v>
      </c>
      <c r="R5" s="64">
        <v>6000</v>
      </c>
    </row>
    <row r="6" spans="1:18" x14ac:dyDescent="0.4">
      <c r="A6" s="19" t="s">
        <v>196</v>
      </c>
      <c r="B6" s="129">
        <v>1594.5463045050694</v>
      </c>
      <c r="C6" s="130"/>
      <c r="E6" s="27" t="s">
        <v>68</v>
      </c>
      <c r="F6" s="24" t="s">
        <v>12</v>
      </c>
      <c r="G6" s="12">
        <v>308</v>
      </c>
      <c r="H6" s="88">
        <f>IF(B$20=0,0,G6/B$20)</f>
        <v>0.32523759239704331</v>
      </c>
      <c r="I6" s="58">
        <v>7</v>
      </c>
      <c r="K6" s="74">
        <v>4</v>
      </c>
      <c r="L6" s="119">
        <v>-55.499999999999993</v>
      </c>
      <c r="M6" s="117">
        <v>1558.7572608455896</v>
      </c>
      <c r="O6" s="74" t="s">
        <v>132</v>
      </c>
      <c r="P6" s="80">
        <f t="shared" si="0"/>
        <v>-51.98776758409786</v>
      </c>
      <c r="Q6" s="77">
        <v>327</v>
      </c>
      <c r="R6" s="64">
        <v>-17000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240</v>
      </c>
      <c r="H7" s="88">
        <f>IF(B$20=0,0,G7/B$20)</f>
        <v>0.25343189017951423</v>
      </c>
      <c r="I7" s="58">
        <v>8</v>
      </c>
      <c r="K7" s="74">
        <v>5</v>
      </c>
      <c r="L7" s="119">
        <v>-55.999999999999993</v>
      </c>
      <c r="M7" s="117">
        <v>1558.3147172805161</v>
      </c>
      <c r="O7" s="75" t="s">
        <v>133</v>
      </c>
      <c r="P7" s="81">
        <f t="shared" si="0"/>
        <v>63.670411985018724</v>
      </c>
      <c r="Q7" s="78">
        <v>267</v>
      </c>
      <c r="R7" s="65">
        <v>17000</v>
      </c>
    </row>
    <row r="8" spans="1:18" x14ac:dyDescent="0.4">
      <c r="A8" s="19" t="s">
        <v>2</v>
      </c>
      <c r="B8" s="12">
        <v>137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139</v>
      </c>
      <c r="H8" s="88">
        <f>IF(B$20=0,0,G8/B$20)</f>
        <v>0.146779303062302</v>
      </c>
      <c r="I8" s="58">
        <v>6</v>
      </c>
      <c r="K8" s="74">
        <v>6</v>
      </c>
      <c r="L8" s="119">
        <v>7.1054273576010019E-15</v>
      </c>
      <c r="M8" s="117">
        <v>1568.0448289768331</v>
      </c>
      <c r="O8" s="107"/>
      <c r="P8" s="85"/>
      <c r="Q8" s="108"/>
      <c r="R8" s="70"/>
    </row>
    <row r="9" spans="1:18" x14ac:dyDescent="0.4">
      <c r="A9" s="19" t="s">
        <v>3</v>
      </c>
      <c r="B9" s="12">
        <v>137</v>
      </c>
      <c r="C9" s="6">
        <f t="shared" si="1"/>
        <v>0.33333333333333331</v>
      </c>
      <c r="E9" s="27" t="s">
        <v>89</v>
      </c>
      <c r="F9" s="24" t="s">
        <v>44</v>
      </c>
      <c r="G9" s="12">
        <v>136</v>
      </c>
      <c r="H9" s="88">
        <f>IF(B$20=0,0,G9/B$20)</f>
        <v>0.14361140443505807</v>
      </c>
      <c r="I9" s="58">
        <v>4</v>
      </c>
      <c r="K9" s="74">
        <v>7</v>
      </c>
      <c r="L9" s="119">
        <v>-50.999999999999993</v>
      </c>
      <c r="M9" s="117">
        <v>1557.9645600029721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137</v>
      </c>
      <c r="C10" s="7">
        <f t="shared" si="1"/>
        <v>0.33333333333333331</v>
      </c>
      <c r="E10" s="27" t="s">
        <v>65</v>
      </c>
      <c r="F10" s="24" t="s">
        <v>21</v>
      </c>
      <c r="G10" s="12">
        <v>90</v>
      </c>
      <c r="H10" s="88">
        <f>IF(B$20=0,0,G10/B$20)</f>
        <v>9.5036958817317843E-2</v>
      </c>
      <c r="I10" s="58">
        <v>8</v>
      </c>
      <c r="K10" s="74">
        <v>8</v>
      </c>
      <c r="L10" s="119">
        <v>-81.5</v>
      </c>
      <c r="M10" s="117">
        <v>1551.6347726429542</v>
      </c>
      <c r="O10" s="73" t="s">
        <v>151</v>
      </c>
      <c r="P10" s="82">
        <f>IF(Q10=0,0,R10/Q10)</f>
        <v>-5.8328467153284631</v>
      </c>
      <c r="Q10" s="76">
        <v>137</v>
      </c>
      <c r="R10" s="67">
        <v>-799.09999999999945</v>
      </c>
    </row>
    <row r="11" spans="1:18" x14ac:dyDescent="0.4">
      <c r="A11" s="20" t="s">
        <v>184</v>
      </c>
      <c r="B11" s="109">
        <f>IF(B8=0,0,C11/B8)</f>
        <v>38.068613138686132</v>
      </c>
      <c r="C11" s="110">
        <v>5215.4000000000005</v>
      </c>
      <c r="E11" s="27" t="s">
        <v>70</v>
      </c>
      <c r="F11" s="24" t="s">
        <v>25</v>
      </c>
      <c r="G11" s="12">
        <v>81</v>
      </c>
      <c r="H11" s="88">
        <f>IF(B$20=0,0,G11/B$20)</f>
        <v>8.5533262935586066E-2</v>
      </c>
      <c r="I11" s="58">
        <v>7</v>
      </c>
      <c r="K11" s="74">
        <v>9</v>
      </c>
      <c r="L11" s="119">
        <v>0</v>
      </c>
      <c r="M11" s="117">
        <v>1565.5029640070966</v>
      </c>
      <c r="O11" s="74" t="s">
        <v>152</v>
      </c>
      <c r="P11" s="83">
        <f>IF(Q11=0,0,R11/Q11)</f>
        <v>2.7927007299270072</v>
      </c>
      <c r="Q11" s="77">
        <v>137</v>
      </c>
      <c r="R11" s="68">
        <v>382.59999999999997</v>
      </c>
    </row>
    <row r="12" spans="1:18" x14ac:dyDescent="0.4">
      <c r="A12" s="20" t="s">
        <v>185</v>
      </c>
      <c r="B12" s="109">
        <f>IF(B9=0,0,C12/B9)</f>
        <v>-2.3744525547445261</v>
      </c>
      <c r="C12" s="110">
        <v>-325.30000000000007</v>
      </c>
      <c r="E12" s="27" t="s">
        <v>71</v>
      </c>
      <c r="F12" s="24" t="s">
        <v>26</v>
      </c>
      <c r="G12" s="12">
        <v>55</v>
      </c>
      <c r="H12" s="88">
        <f>IF(B$20=0,0,G12/B$20)</f>
        <v>5.8078141499472019E-2</v>
      </c>
      <c r="I12" s="58">
        <v>7</v>
      </c>
      <c r="K12" s="74">
        <v>10</v>
      </c>
      <c r="L12" s="119">
        <v>60.4</v>
      </c>
      <c r="M12" s="117">
        <v>1576.4559462230541</v>
      </c>
      <c r="O12" s="75" t="s">
        <v>153</v>
      </c>
      <c r="P12" s="84">
        <f>IF(Q12=0,0,R12/Q12)</f>
        <v>3.0401459854014572</v>
      </c>
      <c r="Q12" s="78">
        <v>137</v>
      </c>
      <c r="R12" s="69">
        <v>416.49999999999966</v>
      </c>
    </row>
    <row r="13" spans="1:18" x14ac:dyDescent="0.4">
      <c r="A13" s="20" t="s">
        <v>186</v>
      </c>
      <c r="B13" s="109">
        <f>IF(B10=0,0,C13/B10)</f>
        <v>-35.694160583941603</v>
      </c>
      <c r="C13" s="110">
        <v>-4890.0999999999995</v>
      </c>
      <c r="E13" s="27" t="s">
        <v>86</v>
      </c>
      <c r="F13" s="24" t="s">
        <v>41</v>
      </c>
      <c r="G13" s="12">
        <v>55</v>
      </c>
      <c r="H13" s="88">
        <f>IF(B$20=0,0,G13/B$20)</f>
        <v>5.8078141499472019E-2</v>
      </c>
      <c r="I13" s="58">
        <v>7</v>
      </c>
      <c r="K13" s="74">
        <v>11</v>
      </c>
      <c r="L13" s="119">
        <v>-1.8999999999999986</v>
      </c>
      <c r="M13" s="117">
        <v>1565.2572105457157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83</v>
      </c>
      <c r="F14" s="24" t="s">
        <v>38</v>
      </c>
      <c r="G14" s="12">
        <v>44</v>
      </c>
      <c r="H14" s="88">
        <f>IF(B$20=0,0,G14/B$20)</f>
        <v>4.6462513199577615E-2</v>
      </c>
      <c r="I14" s="58">
        <v>5</v>
      </c>
      <c r="K14" s="74">
        <v>12</v>
      </c>
      <c r="L14" s="119">
        <v>1.3322676295501878E-15</v>
      </c>
      <c r="M14" s="117">
        <v>1565.6816672824414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43</v>
      </c>
      <c r="C15" s="9">
        <f t="shared" si="1"/>
        <v>0.10462287104622871</v>
      </c>
      <c r="E15" s="27" t="s">
        <v>78</v>
      </c>
      <c r="F15" s="24" t="s">
        <v>33</v>
      </c>
      <c r="G15" s="12">
        <v>37</v>
      </c>
      <c r="H15" s="88">
        <f>IF(B$20=0,0,G15/B$20)</f>
        <v>3.907074973600845E-2</v>
      </c>
      <c r="I15" s="58">
        <v>5</v>
      </c>
      <c r="K15" s="74">
        <v>13</v>
      </c>
      <c r="L15" s="119">
        <v>14.300000000000002</v>
      </c>
      <c r="M15" s="117">
        <v>1568.3355772787468</v>
      </c>
      <c r="O15" s="73" t="s">
        <v>250</v>
      </c>
      <c r="P15" s="82">
        <f t="shared" ref="P15:P25" si="2">IF(Q15=0,0,R15/Q15)</f>
        <v>34.11</v>
      </c>
      <c r="Q15" s="76">
        <v>10</v>
      </c>
      <c r="R15" s="67">
        <v>341.1</v>
      </c>
    </row>
    <row r="16" spans="1:18" x14ac:dyDescent="0.4">
      <c r="A16" s="22" t="s">
        <v>121</v>
      </c>
      <c r="B16" s="15">
        <v>789</v>
      </c>
      <c r="C16" s="10">
        <f>IF(B$3=0,0,B16/B$3)</f>
        <v>0.24040219378427788</v>
      </c>
      <c r="E16" s="27" t="s">
        <v>81</v>
      </c>
      <c r="F16" s="24" t="s">
        <v>36</v>
      </c>
      <c r="G16" s="12">
        <v>28</v>
      </c>
      <c r="H16" s="88">
        <f>IF(B$20=0,0,G16/B$20)</f>
        <v>2.9567053854276663E-2</v>
      </c>
      <c r="I16" s="58">
        <v>4</v>
      </c>
      <c r="K16" s="74">
        <v>14</v>
      </c>
      <c r="L16" s="119">
        <v>12.800000000000002</v>
      </c>
      <c r="M16" s="117">
        <v>1568.1295638150743</v>
      </c>
      <c r="O16" s="74" t="s">
        <v>253</v>
      </c>
      <c r="P16" s="83">
        <f t="shared" si="2"/>
        <v>21.119999999999997</v>
      </c>
      <c r="Q16" s="77">
        <v>10</v>
      </c>
      <c r="R16" s="68">
        <v>211.2</v>
      </c>
    </row>
    <row r="17" spans="1:18" x14ac:dyDescent="0.4">
      <c r="A17" s="19" t="s">
        <v>118</v>
      </c>
      <c r="B17" s="12">
        <v>679</v>
      </c>
      <c r="C17" s="6">
        <f>IF(B$3=0,0,B17/B$3)</f>
        <v>0.2068860450944546</v>
      </c>
      <c r="E17" s="27" t="s">
        <v>79</v>
      </c>
      <c r="F17" s="24" t="s">
        <v>34</v>
      </c>
      <c r="G17" s="12">
        <v>21</v>
      </c>
      <c r="H17" s="88">
        <f>IF(B$20=0,0,G17/B$20)</f>
        <v>2.2175290390707498E-2</v>
      </c>
      <c r="I17" s="58">
        <v>6</v>
      </c>
      <c r="K17" s="74">
        <v>15</v>
      </c>
      <c r="L17" s="119">
        <v>1.7763568394002505E-15</v>
      </c>
      <c r="M17" s="117">
        <v>1565.8907864321839</v>
      </c>
      <c r="O17" s="74" t="s">
        <v>198</v>
      </c>
      <c r="P17" s="83">
        <f t="shared" si="2"/>
        <v>17.583333333333336</v>
      </c>
      <c r="Q17" s="77">
        <v>18</v>
      </c>
      <c r="R17" s="68">
        <v>316.50000000000006</v>
      </c>
    </row>
    <row r="18" spans="1:18" x14ac:dyDescent="0.4">
      <c r="A18" s="18" t="s">
        <v>123</v>
      </c>
      <c r="B18" s="11">
        <f>B24</f>
        <v>439</v>
      </c>
      <c r="C18" s="5">
        <f>IF(B$16=0,0,B18/B$16)</f>
        <v>0.5564005069708492</v>
      </c>
      <c r="E18" s="27" t="s">
        <v>91</v>
      </c>
      <c r="F18" s="24" t="s">
        <v>46</v>
      </c>
      <c r="G18" s="12">
        <v>21</v>
      </c>
      <c r="H18" s="88">
        <f>IF(B$20=0,0,G18/B$20)</f>
        <v>2.2175290390707498E-2</v>
      </c>
      <c r="I18" s="58">
        <v>3</v>
      </c>
      <c r="K18" s="74">
        <v>16</v>
      </c>
      <c r="L18" s="119">
        <v>3.4000000000000017</v>
      </c>
      <c r="M18" s="117">
        <v>1567.1514417135907</v>
      </c>
      <c r="O18" s="74" t="s">
        <v>195</v>
      </c>
      <c r="P18" s="83">
        <f t="shared" si="2"/>
        <v>8.6071428571428612</v>
      </c>
      <c r="Q18" s="77">
        <v>84</v>
      </c>
      <c r="R18" s="68">
        <v>723.00000000000034</v>
      </c>
    </row>
    <row r="19" spans="1:18" x14ac:dyDescent="0.4">
      <c r="A19" s="18" t="s">
        <v>124</v>
      </c>
      <c r="B19" s="11">
        <f>B25</f>
        <v>281</v>
      </c>
      <c r="C19" s="5">
        <f>IF(B$17=0,0,B19/B$17)</f>
        <v>0.41384388807069217</v>
      </c>
      <c r="E19" s="27" t="s">
        <v>155</v>
      </c>
      <c r="F19" s="24" t="s">
        <v>156</v>
      </c>
      <c r="G19" s="12">
        <v>15</v>
      </c>
      <c r="H19" s="88">
        <f>IF(B$20=0,0,G19/B$20)</f>
        <v>1.5839493136219639E-2</v>
      </c>
      <c r="I19" s="58">
        <v>3</v>
      </c>
      <c r="K19" s="74">
        <v>17</v>
      </c>
      <c r="L19" s="119">
        <v>-35.800000000000004</v>
      </c>
      <c r="M19" s="117">
        <v>1560.736533063309</v>
      </c>
      <c r="O19" s="74" t="s">
        <v>205</v>
      </c>
      <c r="P19" s="83">
        <f t="shared" si="2"/>
        <v>6.9333333333333345</v>
      </c>
      <c r="Q19" s="77">
        <v>18</v>
      </c>
      <c r="R19" s="68">
        <v>124.80000000000003</v>
      </c>
    </row>
    <row r="20" spans="1:18" x14ac:dyDescent="0.4">
      <c r="A20" s="18" t="s">
        <v>10</v>
      </c>
      <c r="B20" s="11">
        <f>B23+B22</f>
        <v>947</v>
      </c>
      <c r="C20" s="5">
        <f>IF(B$3=0,0,B20/B$3)</f>
        <v>0.28854357099329675</v>
      </c>
      <c r="E20" s="27" t="s">
        <v>92</v>
      </c>
      <c r="F20" s="24" t="s">
        <v>47</v>
      </c>
      <c r="G20" s="12">
        <v>10</v>
      </c>
      <c r="H20" s="88">
        <f>IF(B$20=0,0,G20/B$20)</f>
        <v>1.0559662090813094E-2</v>
      </c>
      <c r="I20" s="58">
        <v>5</v>
      </c>
      <c r="K20" s="74">
        <v>18</v>
      </c>
      <c r="L20" s="119">
        <v>-7.1054273576010019E-15</v>
      </c>
      <c r="M20" s="117">
        <v>1567.8601138649292</v>
      </c>
      <c r="O20" s="74" t="s">
        <v>192</v>
      </c>
      <c r="P20" s="83">
        <f t="shared" si="2"/>
        <v>6.9</v>
      </c>
      <c r="Q20" s="77">
        <v>84</v>
      </c>
      <c r="R20" s="68">
        <v>579.6</v>
      </c>
    </row>
    <row r="21" spans="1:18" x14ac:dyDescent="0.4">
      <c r="A21" s="19" t="s">
        <v>13</v>
      </c>
      <c r="B21" s="12">
        <v>495</v>
      </c>
      <c r="C21" s="6">
        <f>IF(B$3=0,0,B21/B$3)</f>
        <v>0.15082266910420475</v>
      </c>
      <c r="E21" s="27" t="s">
        <v>75</v>
      </c>
      <c r="F21" s="24" t="s">
        <v>30</v>
      </c>
      <c r="G21" s="12">
        <v>7</v>
      </c>
      <c r="H21" s="88">
        <f>IF(B$20=0,0,G21/B$20)</f>
        <v>7.3917634635691657E-3</v>
      </c>
      <c r="I21" s="58">
        <v>5</v>
      </c>
      <c r="K21" s="74">
        <v>19</v>
      </c>
      <c r="L21" s="119">
        <v>-27.100000000000009</v>
      </c>
      <c r="M21" s="117">
        <v>1562.6709531817396</v>
      </c>
      <c r="O21" s="74" t="s">
        <v>190</v>
      </c>
      <c r="P21" s="83">
        <f t="shared" si="2"/>
        <v>2.0260869565217425</v>
      </c>
      <c r="Q21" s="77">
        <v>138</v>
      </c>
      <c r="R21" s="68">
        <v>279.60000000000048</v>
      </c>
    </row>
    <row r="22" spans="1:18" x14ac:dyDescent="0.4">
      <c r="A22" s="19" t="s">
        <v>12</v>
      </c>
      <c r="B22" s="12">
        <v>450</v>
      </c>
      <c r="C22" s="6">
        <f>IF(B$20=0,0,B22/B$20)</f>
        <v>0.4751847940865892</v>
      </c>
      <c r="E22" s="27" t="s">
        <v>77</v>
      </c>
      <c r="F22" s="24" t="s">
        <v>32</v>
      </c>
      <c r="G22" s="12">
        <v>6</v>
      </c>
      <c r="H22" s="88">
        <f>IF(B$20=0,0,G22/B$20)</f>
        <v>6.3357972544878568E-3</v>
      </c>
      <c r="I22" s="58">
        <v>5</v>
      </c>
      <c r="K22" s="74">
        <v>20</v>
      </c>
      <c r="L22" s="119">
        <v>-28.600000000000009</v>
      </c>
      <c r="M22" s="117">
        <v>1562.1209274626492</v>
      </c>
      <c r="O22" s="74" t="s">
        <v>193</v>
      </c>
      <c r="P22" s="83">
        <f t="shared" si="2"/>
        <v>2.009999999999998</v>
      </c>
      <c r="Q22" s="77">
        <v>20</v>
      </c>
      <c r="R22" s="68">
        <v>40.19999999999996</v>
      </c>
    </row>
    <row r="23" spans="1:18" x14ac:dyDescent="0.4">
      <c r="A23" s="19" t="s">
        <v>11</v>
      </c>
      <c r="B23" s="12">
        <v>497</v>
      </c>
      <c r="C23" s="6">
        <f>IF(B$20=0,0,B23/B$20)</f>
        <v>0.5248152059134108</v>
      </c>
      <c r="E23" s="27" t="s">
        <v>73</v>
      </c>
      <c r="F23" s="24" t="s">
        <v>28</v>
      </c>
      <c r="G23" s="12">
        <v>3</v>
      </c>
      <c r="H23" s="88">
        <f>IF(B$20=0,0,G23/B$20)</f>
        <v>3.1678986272439284E-3</v>
      </c>
      <c r="I23" s="58">
        <v>4</v>
      </c>
      <c r="K23" s="74">
        <v>21</v>
      </c>
      <c r="L23" s="119">
        <v>-7.1054273576010019E-15</v>
      </c>
      <c r="M23" s="117">
        <v>1566.9922018978732</v>
      </c>
      <c r="O23" s="74" t="s">
        <v>163</v>
      </c>
      <c r="P23" s="83">
        <f t="shared" si="2"/>
        <v>-0.19726027397260545</v>
      </c>
      <c r="Q23" s="77">
        <v>146</v>
      </c>
      <c r="R23" s="68">
        <v>-28.800000000000395</v>
      </c>
    </row>
    <row r="24" spans="1:18" x14ac:dyDescent="0.4">
      <c r="A24" s="19" t="s">
        <v>183</v>
      </c>
      <c r="B24" s="12">
        <v>439</v>
      </c>
      <c r="C24" s="6">
        <f>IF(B$20=0,0,B24/B$20)</f>
        <v>0.46356916578669483</v>
      </c>
      <c r="E24" s="27" t="s">
        <v>85</v>
      </c>
      <c r="F24" s="24" t="s">
        <v>40</v>
      </c>
      <c r="G24" s="12">
        <v>3</v>
      </c>
      <c r="H24" s="88">
        <f>IF(B$20=0,0,G24/B$20)</f>
        <v>3.1678986272439284E-3</v>
      </c>
      <c r="I24" s="58">
        <v>3</v>
      </c>
      <c r="K24" s="74">
        <v>22</v>
      </c>
      <c r="L24" s="119">
        <v>-7.5000000000000071</v>
      </c>
      <c r="M24" s="117">
        <v>1566.104248686486</v>
      </c>
      <c r="O24" s="74" t="s">
        <v>189</v>
      </c>
      <c r="P24" s="83">
        <f t="shared" si="2"/>
        <v>-5.9804347826086941</v>
      </c>
      <c r="Q24" s="77">
        <v>92</v>
      </c>
      <c r="R24" s="68">
        <v>-550.19999999999982</v>
      </c>
    </row>
    <row r="25" spans="1:18" x14ac:dyDescent="0.4">
      <c r="A25" s="19" t="s">
        <v>181</v>
      </c>
      <c r="B25" s="12">
        <v>281</v>
      </c>
      <c r="C25" s="6">
        <f>IF(B$20=0,0,B25/B$20)</f>
        <v>0.29672650475184792</v>
      </c>
      <c r="E25" s="27" t="s">
        <v>74</v>
      </c>
      <c r="F25" s="24" t="s">
        <v>29</v>
      </c>
      <c r="G25" s="12">
        <v>2</v>
      </c>
      <c r="H25" s="88">
        <f>IF(B$20=0,0,G25/B$20)</f>
        <v>2.1119324181626186E-3</v>
      </c>
      <c r="I25" s="58">
        <v>3</v>
      </c>
      <c r="K25" s="74">
        <v>23</v>
      </c>
      <c r="L25" s="119">
        <v>-41.600000000000009</v>
      </c>
      <c r="M25" s="117">
        <v>1560.4336231943671</v>
      </c>
      <c r="O25" s="74" t="s">
        <v>126</v>
      </c>
      <c r="P25" s="83">
        <f t="shared" si="2"/>
        <v>-10.084158415841573</v>
      </c>
      <c r="Q25" s="77">
        <v>202</v>
      </c>
      <c r="R25" s="68">
        <v>-2036.9999999999977</v>
      </c>
    </row>
    <row r="26" spans="1:18" x14ac:dyDescent="0.4">
      <c r="A26" s="19" t="s">
        <v>182</v>
      </c>
      <c r="B26" s="12">
        <v>227</v>
      </c>
      <c r="C26" s="6">
        <f>IF(B$20=0,0,B26/B$20)</f>
        <v>0.23970432946145723</v>
      </c>
      <c r="E26" s="27" t="s">
        <v>87</v>
      </c>
      <c r="F26" s="24" t="s">
        <v>42</v>
      </c>
      <c r="G26" s="12">
        <v>2</v>
      </c>
      <c r="H26" s="88">
        <f>IF(B$20=0,0,G26/B$20)</f>
        <v>2.1119324181626186E-3</v>
      </c>
      <c r="I26" s="58">
        <v>3</v>
      </c>
      <c r="K26" s="74">
        <v>24</v>
      </c>
      <c r="L26" s="119">
        <v>-7.1054273576010019E-15</v>
      </c>
      <c r="M26" s="117">
        <v>1568.4230214552008</v>
      </c>
    </row>
    <row r="27" spans="1:18" x14ac:dyDescent="0.4">
      <c r="A27" s="19" t="s">
        <v>5</v>
      </c>
      <c r="B27" s="16">
        <f>IF(B$20=0,0,C27/B$20)</f>
        <v>8740.2323125659987</v>
      </c>
      <c r="C27" s="8">
        <v>8277000</v>
      </c>
      <c r="E27" s="27" t="s">
        <v>88</v>
      </c>
      <c r="F27" s="24" t="s">
        <v>43</v>
      </c>
      <c r="G27" s="12">
        <v>2</v>
      </c>
      <c r="H27" s="88">
        <f>IF(B$20=0,0,G27/B$20)</f>
        <v>2.1119324181626186E-3</v>
      </c>
      <c r="I27" s="58">
        <v>2</v>
      </c>
      <c r="K27" s="74">
        <v>25</v>
      </c>
      <c r="L27" s="119">
        <v>-20.900000000000006</v>
      </c>
      <c r="M27" s="117">
        <v>1564.7964833264696</v>
      </c>
    </row>
    <row r="28" spans="1:18" x14ac:dyDescent="0.4">
      <c r="A28" s="20" t="s">
        <v>165</v>
      </c>
      <c r="B28" s="95">
        <f>IF($B$20-B$19=0,0,C28/($B$20-B$19))</f>
        <v>9295.7957957957951</v>
      </c>
      <c r="C28" s="96">
        <v>6191000</v>
      </c>
      <c r="E28" s="27" t="s">
        <v>93</v>
      </c>
      <c r="F28" s="24" t="s">
        <v>48</v>
      </c>
      <c r="G28" s="12">
        <v>2</v>
      </c>
      <c r="H28" s="88">
        <f>IF(B$20=0,0,G28/B$20)</f>
        <v>2.1119324181626186E-3</v>
      </c>
      <c r="I28" s="58">
        <v>2</v>
      </c>
      <c r="K28" s="74">
        <v>26</v>
      </c>
      <c r="L28" s="119">
        <v>-21.400000000000006</v>
      </c>
      <c r="M28" s="117">
        <v>1564.8637044265108</v>
      </c>
    </row>
    <row r="29" spans="1:18" x14ac:dyDescent="0.4">
      <c r="A29" s="20" t="s">
        <v>166</v>
      </c>
      <c r="B29" s="95">
        <f>IF(B$19=0,0,C29/B$19)</f>
        <v>7423.4875444839854</v>
      </c>
      <c r="C29" s="96">
        <v>2086000</v>
      </c>
      <c r="E29" s="27" t="s">
        <v>95</v>
      </c>
      <c r="F29" s="24" t="s">
        <v>50</v>
      </c>
      <c r="G29" s="12">
        <v>2</v>
      </c>
      <c r="H29" s="88">
        <f>IF(B$20=0,0,G29/B$20)</f>
        <v>2.1119324181626186E-3</v>
      </c>
      <c r="I29" s="58">
        <v>3</v>
      </c>
      <c r="K29" s="74">
        <v>27</v>
      </c>
      <c r="L29" s="119">
        <v>-7.1054273576010019E-15</v>
      </c>
      <c r="M29" s="117">
        <v>1568.8725221999518</v>
      </c>
    </row>
    <row r="30" spans="1:18" x14ac:dyDescent="0.4">
      <c r="A30" s="20" t="s">
        <v>164</v>
      </c>
      <c r="B30" s="95">
        <f>IF(B$21=0,0,C30/B$21)</f>
        <v>-7907.878787878788</v>
      </c>
      <c r="C30" s="96">
        <v>-3914400</v>
      </c>
      <c r="E30" s="27" t="s">
        <v>84</v>
      </c>
      <c r="F30" s="24" t="s">
        <v>39</v>
      </c>
      <c r="G30" s="12">
        <v>1</v>
      </c>
      <c r="H30" s="88">
        <f>IF(B$20=0,0,G30/B$20)</f>
        <v>1.0559662090813093E-3</v>
      </c>
      <c r="I30" s="58">
        <v>2</v>
      </c>
      <c r="K30" s="74">
        <v>28</v>
      </c>
      <c r="L30" s="119">
        <v>3.9999999999999929</v>
      </c>
      <c r="M30" s="117">
        <v>1569.7252870667521</v>
      </c>
    </row>
    <row r="31" spans="1:18" x14ac:dyDescent="0.4">
      <c r="A31" s="19" t="s">
        <v>157</v>
      </c>
      <c r="B31" s="12">
        <v>9</v>
      </c>
      <c r="C31" s="90">
        <v>1</v>
      </c>
      <c r="E31" s="27" t="s">
        <v>97</v>
      </c>
      <c r="F31" s="24" t="s">
        <v>52</v>
      </c>
      <c r="G31" s="12">
        <v>1</v>
      </c>
      <c r="H31" s="88">
        <f>IF(B$20=0,0,G31/B$20)</f>
        <v>1.0559662090813093E-3</v>
      </c>
      <c r="I31" s="58">
        <v>2</v>
      </c>
      <c r="K31" s="74">
        <v>29</v>
      </c>
      <c r="L31" s="119">
        <v>29.999999999999993</v>
      </c>
      <c r="M31" s="117">
        <v>1574.5329353443517</v>
      </c>
    </row>
    <row r="32" spans="1:18" x14ac:dyDescent="0.4">
      <c r="A32" s="19" t="s">
        <v>158</v>
      </c>
      <c r="B32" s="12">
        <v>38</v>
      </c>
      <c r="C32" s="90">
        <v>11</v>
      </c>
      <c r="E32" s="27" t="s">
        <v>102</v>
      </c>
      <c r="F32" s="24" t="s">
        <v>57</v>
      </c>
      <c r="G32" s="12">
        <v>1</v>
      </c>
      <c r="H32" s="88">
        <f>IF(B$20=0,0,G32/B$20)</f>
        <v>1.0559662090813093E-3</v>
      </c>
      <c r="I32" s="58">
        <v>2</v>
      </c>
      <c r="K32" s="74">
        <v>30</v>
      </c>
      <c r="L32" s="119">
        <v>-7.1054273576010019E-15</v>
      </c>
      <c r="M32" s="117">
        <v>1569.2317377322856</v>
      </c>
    </row>
    <row r="33" spans="1:13" x14ac:dyDescent="0.4">
      <c r="A33" s="54" t="s">
        <v>136</v>
      </c>
      <c r="B33" s="127">
        <v>10</v>
      </c>
      <c r="C33" s="128"/>
      <c r="E33" s="27" t="s">
        <v>106</v>
      </c>
      <c r="F33" s="24" t="s">
        <v>113</v>
      </c>
      <c r="G33" s="12">
        <v>1</v>
      </c>
      <c r="H33" s="88">
        <f>IF(B$20=0,0,G33/B$20)</f>
        <v>1.0559662090813093E-3</v>
      </c>
      <c r="I33" s="58">
        <v>2</v>
      </c>
      <c r="K33" s="74">
        <v>31</v>
      </c>
      <c r="L33" s="119">
        <v>-22.500000000000007</v>
      </c>
      <c r="M33" s="117">
        <v>1564.850347305892</v>
      </c>
    </row>
    <row r="34" spans="1:13" x14ac:dyDescent="0.4">
      <c r="A34" s="22" t="s">
        <v>180</v>
      </c>
      <c r="B34" s="129">
        <v>116000</v>
      </c>
      <c r="C34" s="130"/>
      <c r="E34" s="27" t="s">
        <v>76</v>
      </c>
      <c r="F34" s="24" t="s">
        <v>31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-31.900000000000006</v>
      </c>
      <c r="M34" s="117">
        <v>1562.8532452220566</v>
      </c>
    </row>
    <row r="35" spans="1:13" x14ac:dyDescent="0.4">
      <c r="A35" s="21" t="s">
        <v>137</v>
      </c>
      <c r="B35" s="29">
        <v>8</v>
      </c>
      <c r="C35" s="9">
        <f>IF(B$3=0,0,B35/B$3)</f>
        <v>2.4375380865326022E-3</v>
      </c>
      <c r="E35" s="27" t="s">
        <v>80</v>
      </c>
      <c r="F35" s="24" t="s">
        <v>35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-7.1054273576010019E-15</v>
      </c>
      <c r="M35" s="117">
        <v>1568.3021257507241</v>
      </c>
    </row>
    <row r="36" spans="1:13" x14ac:dyDescent="0.4">
      <c r="E36" s="27" t="s">
        <v>82</v>
      </c>
      <c r="F36" s="24" t="s">
        <v>37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-35.900000000000006</v>
      </c>
      <c r="M36" s="117">
        <v>1562.5703129962199</v>
      </c>
    </row>
    <row r="37" spans="1:13" x14ac:dyDescent="0.4">
      <c r="A37" s="54" t="s">
        <v>171</v>
      </c>
      <c r="B37" s="123">
        <v>68</v>
      </c>
      <c r="C37" s="98">
        <f t="shared" ref="C37:C49" si="3">IF(B$20=0,0,B37/B$20)</f>
        <v>7.1805702217529035E-2</v>
      </c>
      <c r="E37" s="27" t="s">
        <v>90</v>
      </c>
      <c r="F37" s="24" t="s">
        <v>45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-25.600000000000005</v>
      </c>
      <c r="M37" s="117">
        <v>1565.1888911182425</v>
      </c>
    </row>
    <row r="38" spans="1:13" x14ac:dyDescent="0.4">
      <c r="A38" s="19" t="s">
        <v>167</v>
      </c>
      <c r="B38" s="12">
        <v>166</v>
      </c>
      <c r="C38" s="6">
        <f t="shared" si="3"/>
        <v>0.17529039070749736</v>
      </c>
      <c r="E38" s="27" t="s">
        <v>94</v>
      </c>
      <c r="F38" s="24" t="s">
        <v>49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-3.5527136788005009E-15</v>
      </c>
      <c r="M38" s="117">
        <v>1570.5457577715331</v>
      </c>
    </row>
    <row r="39" spans="1:13" x14ac:dyDescent="0.4">
      <c r="A39" s="19" t="s">
        <v>168</v>
      </c>
      <c r="B39" s="124">
        <v>172</v>
      </c>
      <c r="C39" s="6">
        <f t="shared" si="3"/>
        <v>0.18162618796198521</v>
      </c>
      <c r="E39" s="27" t="s">
        <v>96</v>
      </c>
      <c r="F39" s="24" t="s">
        <v>51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-26.700000000000003</v>
      </c>
      <c r="M39" s="117">
        <v>1566.4564832249039</v>
      </c>
    </row>
    <row r="40" spans="1:13" x14ac:dyDescent="0.4">
      <c r="A40" s="19" t="s">
        <v>169</v>
      </c>
      <c r="B40" s="124">
        <v>168</v>
      </c>
      <c r="C40" s="6">
        <f t="shared" si="3"/>
        <v>0.17740232312565998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-18.700000000000003</v>
      </c>
      <c r="M40" s="117">
        <v>1568.6377443255544</v>
      </c>
    </row>
    <row r="41" spans="1:13" x14ac:dyDescent="0.4">
      <c r="A41" s="19" t="s">
        <v>170</v>
      </c>
      <c r="B41" s="124">
        <v>138</v>
      </c>
      <c r="C41" s="6">
        <f t="shared" si="3"/>
        <v>0.1457233368532207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-3.5527136788005009E-15</v>
      </c>
      <c r="M41" s="117">
        <v>1572.731917859601</v>
      </c>
    </row>
    <row r="42" spans="1:13" x14ac:dyDescent="0.4">
      <c r="A42" s="19" t="s">
        <v>172</v>
      </c>
      <c r="B42" s="124">
        <v>101</v>
      </c>
      <c r="C42" s="6">
        <f t="shared" si="3"/>
        <v>0.10665258711721225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21.499999999999996</v>
      </c>
      <c r="M42" s="117">
        <v>1576.3035263524434</v>
      </c>
    </row>
    <row r="43" spans="1:13" x14ac:dyDescent="0.4">
      <c r="A43" s="19" t="s">
        <v>173</v>
      </c>
      <c r="B43" s="124">
        <v>56</v>
      </c>
      <c r="C43" s="6">
        <f t="shared" si="3"/>
        <v>5.9134107708553325E-2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-5.4000000000000021</v>
      </c>
      <c r="M43" s="117">
        <v>1571.1417051943288</v>
      </c>
    </row>
    <row r="44" spans="1:13" x14ac:dyDescent="0.4">
      <c r="A44" s="19" t="s">
        <v>174</v>
      </c>
      <c r="B44" s="124">
        <v>25</v>
      </c>
      <c r="C44" s="6">
        <f t="shared" si="3"/>
        <v>2.6399155227032733E-2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-1.7763568394002505E-15</v>
      </c>
      <c r="M44" s="117">
        <v>1571.8248549631628</v>
      </c>
    </row>
    <row r="45" spans="1:13" x14ac:dyDescent="0.4">
      <c r="A45" s="19" t="s">
        <v>175</v>
      </c>
      <c r="B45" s="124">
        <v>17</v>
      </c>
      <c r="C45" s="6">
        <f t="shared" si="3"/>
        <v>1.7951425554382259E-2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-46.6</v>
      </c>
      <c r="M45" s="117">
        <v>1563.6119058333838</v>
      </c>
    </row>
    <row r="46" spans="1:13" x14ac:dyDescent="0.4">
      <c r="A46" s="19" t="s">
        <v>176</v>
      </c>
      <c r="B46" s="124">
        <v>10</v>
      </c>
      <c r="C46" s="6">
        <f t="shared" si="3"/>
        <v>1.0559662090813094E-2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31.1</v>
      </c>
      <c r="M46" s="117">
        <v>1577.8222343983834</v>
      </c>
    </row>
    <row r="47" spans="1:13" x14ac:dyDescent="0.4">
      <c r="A47" s="19" t="s">
        <v>177</v>
      </c>
      <c r="B47" s="124">
        <v>4</v>
      </c>
      <c r="C47" s="6">
        <f t="shared" si="3"/>
        <v>4.2238648363252373E-3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0</v>
      </c>
      <c r="M47" s="117">
        <v>1572.3633009919931</v>
      </c>
    </row>
    <row r="48" spans="1:13" x14ac:dyDescent="0.4">
      <c r="A48" s="19" t="s">
        <v>178</v>
      </c>
      <c r="B48" s="124">
        <v>5</v>
      </c>
      <c r="C48" s="6">
        <f t="shared" si="3"/>
        <v>5.279831045406547E-3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-41.6</v>
      </c>
      <c r="M48" s="117">
        <v>1565.0471211860411</v>
      </c>
    </row>
    <row r="49" spans="1:13" x14ac:dyDescent="0.4">
      <c r="A49" s="21" t="s">
        <v>179</v>
      </c>
      <c r="B49" s="97">
        <v>17</v>
      </c>
      <c r="C49" s="9">
        <f t="shared" si="3"/>
        <v>1.7951425554382259E-2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-27.900000000000002</v>
      </c>
      <c r="M49" s="117">
        <v>1567.7288384589249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-3.5527136788005009E-15</v>
      </c>
      <c r="M50" s="117">
        <v>1572.9504654281714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-38.299999999999997</v>
      </c>
      <c r="M51" s="117">
        <v>1565.1507626356024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-26.999999999999996</v>
      </c>
      <c r="M52" s="117">
        <v>1566.3258580597887</v>
      </c>
    </row>
    <row r="53" spans="1:13" x14ac:dyDescent="0.4">
      <c r="K53" s="74">
        <v>51</v>
      </c>
      <c r="L53" s="119">
        <v>3.5527136788005009E-15</v>
      </c>
      <c r="M53" s="117">
        <v>1570.3199029114301</v>
      </c>
    </row>
    <row r="54" spans="1:13" x14ac:dyDescent="0.4">
      <c r="K54" s="74">
        <v>52</v>
      </c>
      <c r="L54" s="119">
        <v>68.2</v>
      </c>
      <c r="M54" s="117">
        <v>1582.9779834939616</v>
      </c>
    </row>
    <row r="55" spans="1:13" x14ac:dyDescent="0.4">
      <c r="K55" s="74">
        <v>53</v>
      </c>
      <c r="L55" s="119">
        <v>44.7</v>
      </c>
      <c r="M55" s="117">
        <v>1579.0541155929977</v>
      </c>
    </row>
    <row r="56" spans="1:13" x14ac:dyDescent="0.4">
      <c r="K56" s="74">
        <v>54</v>
      </c>
      <c r="L56" s="119">
        <v>0</v>
      </c>
      <c r="M56" s="117">
        <v>1571.3377908994398</v>
      </c>
    </row>
    <row r="57" spans="1:13" x14ac:dyDescent="0.4">
      <c r="K57" s="74">
        <v>55</v>
      </c>
      <c r="L57" s="119">
        <v>-1</v>
      </c>
      <c r="M57" s="117">
        <v>1571.5877641540433</v>
      </c>
    </row>
    <row r="58" spans="1:13" x14ac:dyDescent="0.4">
      <c r="K58" s="74">
        <v>56</v>
      </c>
      <c r="L58" s="119">
        <v>27</v>
      </c>
      <c r="M58" s="117">
        <v>1577.056237569119</v>
      </c>
    </row>
    <row r="59" spans="1:13" x14ac:dyDescent="0.4">
      <c r="K59" s="74">
        <v>57</v>
      </c>
      <c r="L59" s="119">
        <v>0</v>
      </c>
      <c r="M59" s="117">
        <v>1572.5919001437044</v>
      </c>
    </row>
    <row r="60" spans="1:13" x14ac:dyDescent="0.4">
      <c r="K60" s="74">
        <v>58</v>
      </c>
      <c r="L60" s="119">
        <v>-32.299999999999997</v>
      </c>
      <c r="M60" s="117">
        <v>1567.2003487428422</v>
      </c>
    </row>
    <row r="61" spans="1:13" x14ac:dyDescent="0.4">
      <c r="K61" s="74">
        <v>59</v>
      </c>
      <c r="L61" s="119">
        <v>-52.199999999999996</v>
      </c>
      <c r="M61" s="117">
        <v>1564.0731466503851</v>
      </c>
    </row>
    <row r="62" spans="1:13" x14ac:dyDescent="0.4">
      <c r="K62" s="74">
        <v>60</v>
      </c>
      <c r="L62" s="119">
        <v>7.1054273576010019E-15</v>
      </c>
      <c r="M62" s="117">
        <v>1573.9427077704827</v>
      </c>
    </row>
    <row r="63" spans="1:13" x14ac:dyDescent="0.4">
      <c r="K63" s="74">
        <v>61</v>
      </c>
      <c r="L63" s="119">
        <v>43.500000000000007</v>
      </c>
      <c r="M63" s="117">
        <v>1582.4390515238597</v>
      </c>
    </row>
    <row r="64" spans="1:13" x14ac:dyDescent="0.4">
      <c r="K64" s="74">
        <v>62</v>
      </c>
      <c r="L64" s="119">
        <v>7.8000000000000043</v>
      </c>
      <c r="M64" s="117">
        <v>1576.6284172147166</v>
      </c>
    </row>
    <row r="65" spans="11:13" x14ac:dyDescent="0.4">
      <c r="K65" s="74">
        <v>63</v>
      </c>
      <c r="L65" s="119">
        <v>4.4408920985006262E-15</v>
      </c>
      <c r="M65" s="117">
        <v>1575.8746467114283</v>
      </c>
    </row>
    <row r="66" spans="11:13" x14ac:dyDescent="0.4">
      <c r="K66" s="74">
        <v>64</v>
      </c>
      <c r="L66" s="119">
        <v>-52.79999999999999</v>
      </c>
      <c r="M66" s="117">
        <v>1567.0253988311597</v>
      </c>
    </row>
    <row r="67" spans="11:13" x14ac:dyDescent="0.4">
      <c r="K67" s="74">
        <v>65</v>
      </c>
      <c r="L67" s="119">
        <v>7.5000000000000071</v>
      </c>
      <c r="M67" s="117">
        <v>1578.5872464381728</v>
      </c>
    </row>
    <row r="68" spans="11:13" x14ac:dyDescent="0.4">
      <c r="K68" s="74">
        <v>66</v>
      </c>
      <c r="L68" s="119">
        <v>7.1054273576010019E-15</v>
      </c>
      <c r="M68" s="117">
        <v>1577.8757229595437</v>
      </c>
    </row>
    <row r="69" spans="11:13" x14ac:dyDescent="0.4">
      <c r="K69" s="74">
        <v>67</v>
      </c>
      <c r="L69" s="119">
        <v>-14.799999999999994</v>
      </c>
      <c r="M69" s="117">
        <v>1574.9784686217865</v>
      </c>
    </row>
    <row r="70" spans="11:13" x14ac:dyDescent="0.4">
      <c r="K70" s="74">
        <v>68</v>
      </c>
      <c r="L70" s="119">
        <v>-49.5</v>
      </c>
      <c r="M70" s="117">
        <v>1568.5165978100558</v>
      </c>
    </row>
    <row r="71" spans="11:13" x14ac:dyDescent="0.4">
      <c r="K71" s="74">
        <v>69</v>
      </c>
      <c r="L71" s="119">
        <v>0</v>
      </c>
      <c r="M71" s="117">
        <v>1577.2494982231956</v>
      </c>
    </row>
    <row r="72" spans="11:13" x14ac:dyDescent="0.4">
      <c r="K72" s="74">
        <v>70</v>
      </c>
      <c r="L72" s="119">
        <v>6.4</v>
      </c>
      <c r="M72" s="117">
        <v>1578.9820012338564</v>
      </c>
    </row>
    <row r="73" spans="11:13" x14ac:dyDescent="0.4">
      <c r="K73" s="74">
        <v>71</v>
      </c>
      <c r="L73" s="119">
        <v>-24.6</v>
      </c>
      <c r="M73" s="117">
        <v>1573.9721092264533</v>
      </c>
    </row>
    <row r="74" spans="11:13" x14ac:dyDescent="0.4">
      <c r="K74" s="74">
        <v>72</v>
      </c>
      <c r="L74" s="119">
        <v>0</v>
      </c>
      <c r="M74" s="117">
        <v>1579.0002765710947</v>
      </c>
    </row>
    <row r="75" spans="11:13" x14ac:dyDescent="0.4">
      <c r="K75" s="74">
        <v>73</v>
      </c>
      <c r="L75" s="119">
        <v>-49.4</v>
      </c>
      <c r="M75" s="117">
        <v>1570.7442749116681</v>
      </c>
    </row>
    <row r="76" spans="11:13" x14ac:dyDescent="0.4">
      <c r="K76" s="74">
        <v>74</v>
      </c>
      <c r="L76" s="119">
        <v>-37.200000000000003</v>
      </c>
      <c r="M76" s="117">
        <v>1573.6258092621981</v>
      </c>
    </row>
    <row r="77" spans="11:13" x14ac:dyDescent="0.4">
      <c r="K77" s="74">
        <v>75</v>
      </c>
      <c r="L77" s="119">
        <v>0</v>
      </c>
      <c r="M77" s="117">
        <v>1580.9900544066249</v>
      </c>
    </row>
    <row r="78" spans="11:13" x14ac:dyDescent="0.4">
      <c r="K78" s="74">
        <v>76</v>
      </c>
      <c r="L78" s="119">
        <v>-14.6</v>
      </c>
      <c r="M78" s="117">
        <v>1577.3481140801853</v>
      </c>
    </row>
    <row r="79" spans="11:13" x14ac:dyDescent="0.4">
      <c r="K79" s="74">
        <v>77</v>
      </c>
      <c r="L79" s="119">
        <v>-63.5</v>
      </c>
      <c r="M79" s="117">
        <v>1567.5540253957042</v>
      </c>
    </row>
    <row r="80" spans="11:13" x14ac:dyDescent="0.4">
      <c r="K80" s="74">
        <v>78</v>
      </c>
      <c r="L80" s="119">
        <v>0</v>
      </c>
      <c r="M80" s="117">
        <v>1578.05070124333</v>
      </c>
    </row>
    <row r="81" spans="11:13" x14ac:dyDescent="0.4">
      <c r="K81" s="74">
        <v>79</v>
      </c>
      <c r="L81" s="119">
        <v>30</v>
      </c>
      <c r="M81" s="117">
        <v>1582.45439703587</v>
      </c>
    </row>
    <row r="82" spans="11:13" x14ac:dyDescent="0.4">
      <c r="K82" s="74">
        <v>80</v>
      </c>
      <c r="L82" s="119">
        <v>21.6</v>
      </c>
      <c r="M82" s="117">
        <v>1579.9196706536547</v>
      </c>
    </row>
    <row r="83" spans="11:13" x14ac:dyDescent="0.4">
      <c r="K83" s="74">
        <v>81</v>
      </c>
      <c r="L83" s="119">
        <v>0</v>
      </c>
      <c r="M83" s="117">
        <v>1575.0241526297327</v>
      </c>
    </row>
    <row r="84" spans="11:13" x14ac:dyDescent="0.4">
      <c r="K84" s="74">
        <v>82</v>
      </c>
      <c r="L84" s="119">
        <v>1.5</v>
      </c>
      <c r="M84" s="117">
        <v>1576.0080077139544</v>
      </c>
    </row>
    <row r="85" spans="11:13" x14ac:dyDescent="0.4">
      <c r="K85" s="74">
        <v>83</v>
      </c>
      <c r="L85" s="119">
        <v>50.1</v>
      </c>
      <c r="M85" s="117">
        <v>1585.4639596676707</v>
      </c>
    </row>
    <row r="86" spans="11:13" x14ac:dyDescent="0.4">
      <c r="K86" s="74">
        <v>84</v>
      </c>
      <c r="L86" s="119">
        <v>0</v>
      </c>
      <c r="M86" s="117">
        <v>1577.0971759096647</v>
      </c>
    </row>
    <row r="87" spans="11:13" x14ac:dyDescent="0.4">
      <c r="K87" s="74">
        <v>85</v>
      </c>
      <c r="L87" s="119">
        <v>26</v>
      </c>
      <c r="M87" s="117">
        <v>1582.0885928542066</v>
      </c>
    </row>
    <row r="88" spans="11:13" x14ac:dyDescent="0.4">
      <c r="K88" s="74">
        <v>86</v>
      </c>
      <c r="L88" s="119">
        <v>-5.6999999999999993</v>
      </c>
      <c r="M88" s="117">
        <v>1576.6640612970814</v>
      </c>
    </row>
    <row r="89" spans="11:13" x14ac:dyDescent="0.4">
      <c r="K89" s="74">
        <v>87</v>
      </c>
      <c r="L89" s="119">
        <v>8.8817841970012523E-16</v>
      </c>
      <c r="M89" s="117">
        <v>1578.0040769292989</v>
      </c>
    </row>
    <row r="90" spans="11:13" x14ac:dyDescent="0.4">
      <c r="K90" s="74">
        <v>88</v>
      </c>
      <c r="L90" s="119">
        <v>-45.2</v>
      </c>
      <c r="M90" s="117">
        <v>1569.1480524677231</v>
      </c>
    </row>
    <row r="91" spans="11:13" x14ac:dyDescent="0.4">
      <c r="K91" s="74">
        <v>89</v>
      </c>
      <c r="L91" s="119">
        <v>-3.5</v>
      </c>
      <c r="M91" s="117">
        <v>1575.9871641529169</v>
      </c>
    </row>
    <row r="92" spans="11:13" x14ac:dyDescent="0.4">
      <c r="K92" s="74">
        <v>90</v>
      </c>
      <c r="L92" s="119">
        <v>0</v>
      </c>
      <c r="M92" s="117">
        <v>1575.9092411679994</v>
      </c>
    </row>
    <row r="93" spans="11:13" x14ac:dyDescent="0.4">
      <c r="K93" s="74">
        <v>91</v>
      </c>
      <c r="L93" s="119">
        <v>-10.7</v>
      </c>
      <c r="M93" s="117">
        <v>1573.2757857209915</v>
      </c>
    </row>
    <row r="94" spans="11:13" x14ac:dyDescent="0.4">
      <c r="K94" s="74">
        <v>92</v>
      </c>
      <c r="L94" s="119">
        <v>-34</v>
      </c>
      <c r="M94" s="117">
        <v>1568.3901310066656</v>
      </c>
    </row>
    <row r="95" spans="11:13" x14ac:dyDescent="0.4">
      <c r="K95" s="74">
        <v>93</v>
      </c>
      <c r="L95" s="119">
        <v>0</v>
      </c>
      <c r="M95" s="117">
        <v>1573.8477902206255</v>
      </c>
    </row>
    <row r="96" spans="11:13" x14ac:dyDescent="0.4">
      <c r="K96" s="74">
        <v>94</v>
      </c>
      <c r="L96" s="119">
        <v>-0.9</v>
      </c>
      <c r="M96" s="117">
        <v>1573.5247034793017</v>
      </c>
    </row>
    <row r="97" spans="11:13" x14ac:dyDescent="0.4">
      <c r="K97" s="74">
        <v>95</v>
      </c>
      <c r="L97" s="119">
        <v>15.200000000000001</v>
      </c>
      <c r="M97" s="117">
        <v>1576.2635552584259</v>
      </c>
    </row>
    <row r="98" spans="11:13" x14ac:dyDescent="0.4">
      <c r="K98" s="74">
        <v>96</v>
      </c>
      <c r="L98" s="119">
        <v>1.7763568394002505E-15</v>
      </c>
      <c r="M98" s="117">
        <v>1573.3519739268754</v>
      </c>
    </row>
    <row r="99" spans="11:13" x14ac:dyDescent="0.4">
      <c r="K99" s="74">
        <v>97</v>
      </c>
      <c r="L99" s="119">
        <v>-12.599999999999998</v>
      </c>
      <c r="M99" s="117">
        <v>1570.9258620833141</v>
      </c>
    </row>
    <row r="100" spans="11:13" x14ac:dyDescent="0.4">
      <c r="K100" s="74">
        <v>98</v>
      </c>
      <c r="L100" s="119">
        <v>-57.8</v>
      </c>
      <c r="M100" s="117">
        <v>1562.6463069108142</v>
      </c>
    </row>
    <row r="101" spans="11:13" x14ac:dyDescent="0.4">
      <c r="K101" s="74">
        <v>99</v>
      </c>
      <c r="L101" s="119">
        <v>0</v>
      </c>
      <c r="M101" s="117">
        <v>1572.9564290693493</v>
      </c>
    </row>
    <row r="102" spans="11:13" x14ac:dyDescent="0.4">
      <c r="K102" s="74">
        <v>100</v>
      </c>
      <c r="L102" s="119">
        <v>-4</v>
      </c>
      <c r="M102" s="117">
        <v>1571.3186904949332</v>
      </c>
    </row>
    <row r="103" spans="11:13" x14ac:dyDescent="0.4">
      <c r="K103" s="74">
        <v>101</v>
      </c>
      <c r="L103" s="119">
        <v>47.3</v>
      </c>
      <c r="M103" s="117">
        <v>1579.6447783519636</v>
      </c>
    </row>
    <row r="104" spans="11:13" x14ac:dyDescent="0.4">
      <c r="K104" s="74">
        <v>102</v>
      </c>
      <c r="L104" s="119">
        <v>0</v>
      </c>
      <c r="M104" s="117">
        <v>1570.1729096818519</v>
      </c>
    </row>
    <row r="105" spans="11:13" x14ac:dyDescent="0.4">
      <c r="K105" s="74">
        <v>103</v>
      </c>
      <c r="L105" s="119">
        <v>-57.1</v>
      </c>
      <c r="M105" s="117">
        <v>1560.0258722237609</v>
      </c>
    </row>
    <row r="106" spans="11:13" x14ac:dyDescent="0.4">
      <c r="K106" s="74">
        <v>104</v>
      </c>
      <c r="L106" s="119">
        <v>-52.800000000000004</v>
      </c>
      <c r="M106" s="117">
        <v>1560.9917169904184</v>
      </c>
    </row>
    <row r="107" spans="11:13" x14ac:dyDescent="0.4">
      <c r="K107" s="74">
        <v>105</v>
      </c>
      <c r="L107" s="119">
        <v>-7.1054273576010019E-15</v>
      </c>
      <c r="M107" s="117">
        <v>1570.6817666884758</v>
      </c>
    </row>
    <row r="108" spans="11:13" x14ac:dyDescent="0.4">
      <c r="K108" s="74">
        <v>106</v>
      </c>
      <c r="L108" s="119">
        <v>-20.000000000000007</v>
      </c>
      <c r="M108" s="117">
        <v>1567.2096760883451</v>
      </c>
    </row>
    <row r="109" spans="11:13" x14ac:dyDescent="0.4">
      <c r="K109" s="74">
        <v>107</v>
      </c>
      <c r="L109" s="119">
        <v>52.999999999999993</v>
      </c>
      <c r="M109" s="117">
        <v>1580.4984180318149</v>
      </c>
    </row>
    <row r="110" spans="11:13" x14ac:dyDescent="0.4">
      <c r="K110" s="74">
        <v>108</v>
      </c>
      <c r="L110" s="119">
        <v>-7.1054273576010019E-15</v>
      </c>
      <c r="M110" s="117">
        <v>1571.0274275236241</v>
      </c>
    </row>
    <row r="111" spans="11:13" x14ac:dyDescent="0.4">
      <c r="K111" s="74">
        <v>109</v>
      </c>
      <c r="L111" s="119">
        <v>54.399999999999991</v>
      </c>
      <c r="M111" s="117">
        <v>1580.9452629584823</v>
      </c>
    </row>
    <row r="112" spans="11:13" x14ac:dyDescent="0.4">
      <c r="K112" s="74">
        <v>110</v>
      </c>
      <c r="L112" s="119">
        <v>4.2999999999999901</v>
      </c>
      <c r="M112" s="117">
        <v>1571.9935913807315</v>
      </c>
    </row>
    <row r="113" spans="11:13" x14ac:dyDescent="0.4">
      <c r="K113" s="74">
        <v>111</v>
      </c>
      <c r="L113" s="119">
        <v>-9.7699626167013776E-15</v>
      </c>
      <c r="M113" s="117">
        <v>1571.3396298324471</v>
      </c>
    </row>
    <row r="114" spans="11:13" x14ac:dyDescent="0.4">
      <c r="K114" s="74">
        <v>112</v>
      </c>
      <c r="L114" s="119">
        <v>-48.20000000000001</v>
      </c>
      <c r="M114" s="117">
        <v>1563.4475920534524</v>
      </c>
    </row>
    <row r="115" spans="11:13" x14ac:dyDescent="0.4">
      <c r="K115" s="74">
        <v>113</v>
      </c>
      <c r="L115" s="119">
        <v>11.499999999999993</v>
      </c>
      <c r="M115" s="117">
        <v>1575.0249065011317</v>
      </c>
    </row>
    <row r="116" spans="11:13" x14ac:dyDescent="0.4">
      <c r="K116" s="74">
        <v>114</v>
      </c>
      <c r="L116" s="119">
        <v>-7.1054273576010019E-15</v>
      </c>
      <c r="M116" s="117">
        <v>1573.716757062125</v>
      </c>
    </row>
    <row r="117" spans="11:13" x14ac:dyDescent="0.4">
      <c r="K117" s="74">
        <v>115</v>
      </c>
      <c r="L117" s="119">
        <v>22.299999999999994</v>
      </c>
      <c r="M117" s="117">
        <v>1578.4524565197523</v>
      </c>
    </row>
    <row r="118" spans="11:13" x14ac:dyDescent="0.4">
      <c r="K118" s="74">
        <v>116</v>
      </c>
      <c r="L118" s="119">
        <v>27.299999999999994</v>
      </c>
      <c r="M118" s="117">
        <v>1580.0457417806338</v>
      </c>
    </row>
    <row r="119" spans="11:13" x14ac:dyDescent="0.4">
      <c r="K119" s="74">
        <v>117</v>
      </c>
      <c r="L119" s="119">
        <v>-7.1054273576010019E-15</v>
      </c>
      <c r="M119" s="117">
        <v>1575.81546732995</v>
      </c>
    </row>
    <row r="120" spans="11:13" x14ac:dyDescent="0.4">
      <c r="K120" s="74">
        <v>118</v>
      </c>
      <c r="L120" s="119">
        <v>-9.5000000000000071</v>
      </c>
      <c r="M120" s="117">
        <v>1574.5685745259702</v>
      </c>
    </row>
    <row r="121" spans="11:13" x14ac:dyDescent="0.4">
      <c r="K121" s="74">
        <v>119</v>
      </c>
      <c r="L121" s="119">
        <v>22.099999999999994</v>
      </c>
      <c r="M121" s="117">
        <v>1580.7271630788143</v>
      </c>
    </row>
    <row r="122" spans="11:13" x14ac:dyDescent="0.4">
      <c r="K122" s="74">
        <v>120</v>
      </c>
      <c r="L122" s="119">
        <v>-7.1054273576010019E-15</v>
      </c>
      <c r="M122" s="117">
        <v>1577.1828001003414</v>
      </c>
    </row>
    <row r="123" spans="11:13" x14ac:dyDescent="0.4">
      <c r="K123" s="74">
        <v>121</v>
      </c>
      <c r="L123" s="119">
        <v>-36.400000000000006</v>
      </c>
      <c r="M123" s="117">
        <v>1571.0857032997394</v>
      </c>
    </row>
    <row r="124" spans="11:13" x14ac:dyDescent="0.4">
      <c r="K124" s="74">
        <v>122</v>
      </c>
      <c r="L124" s="119">
        <v>-61.600000000000009</v>
      </c>
      <c r="M124" s="117">
        <v>1567.041189079941</v>
      </c>
    </row>
    <row r="125" spans="11:13" x14ac:dyDescent="0.4">
      <c r="K125" s="74">
        <v>123</v>
      </c>
      <c r="L125" s="119">
        <v>-7.1054273576010019E-15</v>
      </c>
      <c r="M125" s="117">
        <v>1578.6449419454614</v>
      </c>
    </row>
    <row r="126" spans="11:13" x14ac:dyDescent="0.4">
      <c r="K126" s="74">
        <v>124</v>
      </c>
      <c r="L126" s="119">
        <v>-2.3000000000000069</v>
      </c>
      <c r="M126" s="117">
        <v>1578.6770722937886</v>
      </c>
    </row>
    <row r="127" spans="11:13" x14ac:dyDescent="0.4">
      <c r="K127" s="74">
        <v>125</v>
      </c>
      <c r="L127" s="119">
        <v>-24.800000000000008</v>
      </c>
      <c r="M127" s="117">
        <v>1575.0730098600259</v>
      </c>
    </row>
    <row r="128" spans="11:13" x14ac:dyDescent="0.4">
      <c r="K128" s="74">
        <v>126</v>
      </c>
      <c r="L128" s="119">
        <v>-7.1054273576010019E-15</v>
      </c>
      <c r="M128" s="117">
        <v>1580.0045718008657</v>
      </c>
    </row>
    <row r="129" spans="11:13" x14ac:dyDescent="0.4">
      <c r="K129" s="74">
        <v>127</v>
      </c>
      <c r="L129" s="119">
        <v>-27.500000000000007</v>
      </c>
      <c r="M129" s="117">
        <v>1575.4925443700606</v>
      </c>
    </row>
    <row r="130" spans="11:13" x14ac:dyDescent="0.4">
      <c r="K130" s="74">
        <v>128</v>
      </c>
      <c r="L130" s="119">
        <v>-22.000000000000007</v>
      </c>
      <c r="M130" s="117">
        <v>1576.9475891038403</v>
      </c>
    </row>
    <row r="131" spans="11:13" x14ac:dyDescent="0.4">
      <c r="K131" s="74">
        <v>129</v>
      </c>
      <c r="L131" s="119">
        <v>-7.1054273576010019E-15</v>
      </c>
      <c r="M131" s="117">
        <v>1581.3639035692172</v>
      </c>
    </row>
    <row r="132" spans="11:13" x14ac:dyDescent="0.4">
      <c r="K132" s="74">
        <v>130</v>
      </c>
      <c r="L132" s="119">
        <v>70</v>
      </c>
      <c r="M132" s="117">
        <v>1594.3937201478018</v>
      </c>
    </row>
    <row r="133" spans="11:13" x14ac:dyDescent="0.4">
      <c r="K133" s="74">
        <v>131</v>
      </c>
      <c r="L133" s="119">
        <v>46.5</v>
      </c>
      <c r="M133" s="117">
        <v>1590.5153578269151</v>
      </c>
    </row>
    <row r="134" spans="11:13" x14ac:dyDescent="0.4">
      <c r="K134" s="74">
        <v>132</v>
      </c>
      <c r="L134" s="119">
        <v>0</v>
      </c>
      <c r="M134" s="117">
        <v>1582.5202656799536</v>
      </c>
    </row>
    <row r="135" spans="11:13" x14ac:dyDescent="0.4">
      <c r="K135" s="74">
        <v>133</v>
      </c>
      <c r="L135" s="119">
        <v>-5.4</v>
      </c>
      <c r="M135" s="117">
        <v>1581.9711440858739</v>
      </c>
    </row>
    <row r="136" spans="11:13" x14ac:dyDescent="0.4">
      <c r="K136" s="74">
        <v>134</v>
      </c>
      <c r="L136" s="119">
        <v>31.9</v>
      </c>
      <c r="M136" s="117">
        <v>1589.1113172213586</v>
      </c>
    </row>
    <row r="137" spans="11:13" x14ac:dyDescent="0.4">
      <c r="K137" s="74">
        <v>135</v>
      </c>
      <c r="L137" s="119">
        <v>0</v>
      </c>
      <c r="M137" s="117">
        <v>1583.7526493180305</v>
      </c>
    </row>
    <row r="138" spans="11:13" x14ac:dyDescent="0.4">
      <c r="K138" s="74">
        <v>136</v>
      </c>
      <c r="L138" s="119">
        <v>1.3</v>
      </c>
      <c r="M138" s="117">
        <v>1584.4021334221225</v>
      </c>
    </row>
    <row r="139" spans="11:13" x14ac:dyDescent="0.4">
      <c r="K139" s="74">
        <v>137</v>
      </c>
      <c r="L139" s="119">
        <v>-13.799999999999999</v>
      </c>
      <c r="M139" s="117">
        <v>1582.0957206215896</v>
      </c>
    </row>
    <row r="140" spans="11:13" x14ac:dyDescent="0.4">
      <c r="K140" s="74">
        <v>138</v>
      </c>
      <c r="L140" s="119">
        <v>1.7763568394002505E-15</v>
      </c>
      <c r="M140" s="117">
        <v>1585.0051462978602</v>
      </c>
    </row>
    <row r="141" spans="11:13" x14ac:dyDescent="0.4">
      <c r="K141" s="74">
        <v>139</v>
      </c>
      <c r="L141" s="119">
        <v>87.3</v>
      </c>
      <c r="M141" s="117">
        <v>1601.1271154200731</v>
      </c>
    </row>
    <row r="142" spans="11:13" x14ac:dyDescent="0.4">
      <c r="K142" s="74">
        <v>140</v>
      </c>
      <c r="L142" s="119">
        <v>65</v>
      </c>
      <c r="M142" s="117">
        <v>1597.4243527275526</v>
      </c>
    </row>
    <row r="143" spans="11:13" x14ac:dyDescent="0.4">
      <c r="K143" s="74">
        <v>141</v>
      </c>
      <c r="L143" s="119">
        <v>0</v>
      </c>
      <c r="M143" s="117">
        <v>1586.0578066111873</v>
      </c>
    </row>
    <row r="144" spans="11:13" x14ac:dyDescent="0.4">
      <c r="K144" s="74">
        <v>142</v>
      </c>
      <c r="L144" s="119">
        <v>6.3</v>
      </c>
      <c r="M144" s="117">
        <v>1586.4534597715201</v>
      </c>
    </row>
    <row r="145" spans="11:13" x14ac:dyDescent="0.4">
      <c r="K145" s="74">
        <v>143</v>
      </c>
      <c r="L145" s="119">
        <v>52.9</v>
      </c>
      <c r="M145" s="117">
        <v>1594.1007390128909</v>
      </c>
    </row>
    <row r="146" spans="11:13" x14ac:dyDescent="0.4">
      <c r="K146" s="74">
        <v>144</v>
      </c>
      <c r="L146" s="119">
        <v>0</v>
      </c>
      <c r="M146" s="117">
        <v>1583.7921345788136</v>
      </c>
    </row>
    <row r="147" spans="11:13" x14ac:dyDescent="0.4">
      <c r="K147" s="74">
        <v>145</v>
      </c>
      <c r="L147" s="119">
        <v>-72.7</v>
      </c>
      <c r="M147" s="117">
        <v>1569.9873817713408</v>
      </c>
    </row>
    <row r="148" spans="11:13" x14ac:dyDescent="0.4">
      <c r="K148" s="74">
        <v>146</v>
      </c>
      <c r="L148" s="119">
        <v>-49.5</v>
      </c>
      <c r="M148" s="117">
        <v>1573.5274574807127</v>
      </c>
    </row>
    <row r="149" spans="11:13" x14ac:dyDescent="0.4">
      <c r="K149" s="74">
        <v>147</v>
      </c>
      <c r="L149" s="119">
        <v>0</v>
      </c>
      <c r="M149" s="117">
        <v>1581.7802927358284</v>
      </c>
    </row>
    <row r="150" spans="11:13" x14ac:dyDescent="0.4">
      <c r="K150" s="74">
        <v>148</v>
      </c>
      <c r="L150" s="119">
        <v>8.6</v>
      </c>
      <c r="M150" s="117">
        <v>1583.9536109794135</v>
      </c>
    </row>
    <row r="151" spans="11:13" x14ac:dyDescent="0.4">
      <c r="K151" s="74">
        <v>149</v>
      </c>
      <c r="L151" s="119">
        <v>46.6</v>
      </c>
      <c r="M151" s="117">
        <v>1591.405889313537</v>
      </c>
    </row>
    <row r="152" spans="11:13" x14ac:dyDescent="0.4">
      <c r="K152" s="74">
        <v>150</v>
      </c>
      <c r="L152" s="119">
        <v>0</v>
      </c>
      <c r="M152" s="117">
        <v>1583.5854539776558</v>
      </c>
    </row>
    <row r="153" spans="11:13" x14ac:dyDescent="0.4">
      <c r="K153" s="74">
        <v>151</v>
      </c>
      <c r="L153" s="119">
        <v>-40.799999999999997</v>
      </c>
      <c r="M153" s="117">
        <v>1576.8559412537898</v>
      </c>
    </row>
    <row r="154" spans="11:13" x14ac:dyDescent="0.4">
      <c r="K154" s="74">
        <v>152</v>
      </c>
      <c r="L154" s="119">
        <v>-33.599999999999994</v>
      </c>
      <c r="M154" s="117">
        <v>1578.8068056062671</v>
      </c>
    </row>
    <row r="155" spans="11:13" x14ac:dyDescent="0.4">
      <c r="K155" s="74">
        <v>153</v>
      </c>
      <c r="L155" s="119">
        <v>7.1054273576010019E-15</v>
      </c>
      <c r="M155" s="117">
        <v>1585.4979647726295</v>
      </c>
    </row>
    <row r="156" spans="11:13" x14ac:dyDescent="0.4">
      <c r="K156" s="74">
        <v>154</v>
      </c>
      <c r="L156" s="119">
        <v>-33.399999999999991</v>
      </c>
      <c r="M156" s="117">
        <v>1579.3089769839937</v>
      </c>
    </row>
    <row r="157" spans="11:13" x14ac:dyDescent="0.4">
      <c r="K157" s="74">
        <v>155</v>
      </c>
      <c r="L157" s="119">
        <v>-41.599999999999994</v>
      </c>
      <c r="M157" s="117">
        <v>1577.6931231220897</v>
      </c>
    </row>
    <row r="158" spans="11:13" x14ac:dyDescent="0.4">
      <c r="K158" s="74">
        <v>156</v>
      </c>
      <c r="L158" s="119">
        <v>7.1054273576010019E-15</v>
      </c>
      <c r="M158" s="117">
        <v>1585.050964383357</v>
      </c>
    </row>
    <row r="159" spans="11:13" x14ac:dyDescent="0.4">
      <c r="K159" s="74">
        <v>157</v>
      </c>
      <c r="L159" s="119">
        <v>-33.399999999999991</v>
      </c>
      <c r="M159" s="117">
        <v>1578.5106585970568</v>
      </c>
    </row>
    <row r="160" spans="11:13" x14ac:dyDescent="0.4">
      <c r="K160" s="74">
        <v>158</v>
      </c>
      <c r="L160" s="119">
        <v>57.600000000000009</v>
      </c>
      <c r="M160" s="117">
        <v>1594.4015946454745</v>
      </c>
    </row>
    <row r="161" spans="11:13" x14ac:dyDescent="0.4">
      <c r="K161" s="74">
        <v>159</v>
      </c>
      <c r="L161" s="119">
        <v>7.1054273576010019E-15</v>
      </c>
      <c r="M161" s="117">
        <v>1583.4491850776017</v>
      </c>
    </row>
    <row r="162" spans="11:13" x14ac:dyDescent="0.4">
      <c r="K162" s="74">
        <v>160</v>
      </c>
      <c r="L162" s="119">
        <v>6.8000000000000069</v>
      </c>
      <c r="M162" s="117">
        <v>1584.154489967136</v>
      </c>
    </row>
    <row r="163" spans="11:13" x14ac:dyDescent="0.4">
      <c r="K163" s="74">
        <v>161</v>
      </c>
      <c r="L163" s="119">
        <v>48.1</v>
      </c>
      <c r="M163" s="117">
        <v>1591.0655630273332</v>
      </c>
    </row>
    <row r="164" spans="11:13" x14ac:dyDescent="0.4">
      <c r="K164" s="74">
        <v>162</v>
      </c>
      <c r="L164" s="119">
        <v>0</v>
      </c>
      <c r="M164" s="117">
        <v>1581.8431696491691</v>
      </c>
    </row>
    <row r="165" spans="11:13" x14ac:dyDescent="0.4">
      <c r="K165" s="74">
        <v>163</v>
      </c>
      <c r="L165" s="119">
        <v>64</v>
      </c>
      <c r="M165" s="117">
        <v>1592.8541106312741</v>
      </c>
    </row>
    <row r="166" spans="11:13" x14ac:dyDescent="0.4">
      <c r="K166" s="74">
        <v>164</v>
      </c>
      <c r="L166" s="119">
        <v>26.799999999999997</v>
      </c>
      <c r="M166" s="117">
        <v>1585.5829859674866</v>
      </c>
    </row>
    <row r="167" spans="11:13" x14ac:dyDescent="0.4">
      <c r="K167" s="74">
        <v>165</v>
      </c>
      <c r="L167" s="119">
        <v>-3.5527136788005009E-15</v>
      </c>
      <c r="M167" s="117">
        <v>1580.2274880516816</v>
      </c>
    </row>
    <row r="168" spans="11:13" x14ac:dyDescent="0.4">
      <c r="K168" s="74">
        <v>166</v>
      </c>
      <c r="L168" s="119">
        <v>-25.800000000000004</v>
      </c>
      <c r="M168" s="117">
        <v>1575.6901231233714</v>
      </c>
    </row>
    <row r="169" spans="11:13" x14ac:dyDescent="0.4">
      <c r="K169" s="74">
        <v>167</v>
      </c>
      <c r="L169" s="119">
        <v>-19.100000000000005</v>
      </c>
      <c r="M169" s="117">
        <v>1577.0299823846312</v>
      </c>
    </row>
    <row r="170" spans="11:13" x14ac:dyDescent="0.4">
      <c r="K170" s="74">
        <v>168</v>
      </c>
      <c r="L170" s="119">
        <v>-3.5527136788005009E-15</v>
      </c>
      <c r="M170" s="117">
        <v>1580.5938024903235</v>
      </c>
    </row>
    <row r="171" spans="11:13" x14ac:dyDescent="0.4">
      <c r="K171" s="74">
        <v>169</v>
      </c>
      <c r="L171" s="119">
        <v>3.1999999999999966</v>
      </c>
      <c r="M171" s="117">
        <v>1581.2742396753815</v>
      </c>
    </row>
    <row r="172" spans="11:13" x14ac:dyDescent="0.4">
      <c r="K172" s="74">
        <v>170</v>
      </c>
      <c r="L172" s="119">
        <v>-44.400000000000006</v>
      </c>
      <c r="M172" s="117">
        <v>1572.8065942373291</v>
      </c>
    </row>
    <row r="173" spans="11:13" x14ac:dyDescent="0.4">
      <c r="K173" s="74">
        <v>171</v>
      </c>
      <c r="L173" s="119">
        <v>-7.1054273576010019E-15</v>
      </c>
      <c r="M173" s="117">
        <v>1580.9497546719051</v>
      </c>
    </row>
    <row r="174" spans="11:13" x14ac:dyDescent="0.4">
      <c r="K174" s="74">
        <v>172</v>
      </c>
      <c r="L174" s="119">
        <v>-26.300000000000008</v>
      </c>
      <c r="M174" s="117">
        <v>1576.6180561438737</v>
      </c>
    </row>
    <row r="175" spans="11:13" x14ac:dyDescent="0.4">
      <c r="K175" s="74">
        <v>173</v>
      </c>
      <c r="L175" s="119">
        <v>-25.500000000000007</v>
      </c>
      <c r="M175" s="117">
        <v>1577.1903478070105</v>
      </c>
    </row>
    <row r="176" spans="11:13" x14ac:dyDescent="0.4">
      <c r="K176" s="74">
        <v>174</v>
      </c>
      <c r="L176" s="119">
        <v>-7.1054273576010019E-15</v>
      </c>
      <c r="M176" s="117">
        <v>1582.2052057201686</v>
      </c>
    </row>
    <row r="177" spans="11:13" x14ac:dyDescent="0.4">
      <c r="K177" s="74">
        <v>175</v>
      </c>
      <c r="L177" s="119">
        <v>54.699999999999996</v>
      </c>
      <c r="M177" s="117">
        <v>1592.4399744858476</v>
      </c>
    </row>
    <row r="178" spans="11:13" x14ac:dyDescent="0.4">
      <c r="K178" s="74">
        <v>176</v>
      </c>
      <c r="L178" s="119">
        <v>50.3</v>
      </c>
      <c r="M178" s="117">
        <v>1591.9753346389325</v>
      </c>
    </row>
    <row r="179" spans="11:13" x14ac:dyDescent="0.4">
      <c r="K179" s="74">
        <v>177</v>
      </c>
      <c r="L179" s="119">
        <v>0</v>
      </c>
      <c r="M179" s="117">
        <v>1583.251482631099</v>
      </c>
    </row>
    <row r="180" spans="11:13" x14ac:dyDescent="0.4">
      <c r="K180" s="74">
        <v>178</v>
      </c>
      <c r="L180" s="119">
        <v>8.6</v>
      </c>
      <c r="M180" s="117">
        <v>1585.1879737353124</v>
      </c>
    </row>
    <row r="181" spans="11:13" x14ac:dyDescent="0.4">
      <c r="K181" s="74">
        <v>179</v>
      </c>
      <c r="L181" s="119">
        <v>47.300000000000004</v>
      </c>
      <c r="M181" s="117">
        <v>1592.5308458929005</v>
      </c>
    </row>
    <row r="182" spans="11:13" x14ac:dyDescent="0.4">
      <c r="K182" s="74">
        <v>180</v>
      </c>
      <c r="L182" s="119">
        <v>7.1054273576010019E-15</v>
      </c>
      <c r="M182" s="117">
        <v>1584.3496608175431</v>
      </c>
    </row>
    <row r="183" spans="11:13" x14ac:dyDescent="0.4">
      <c r="K183" s="74">
        <v>181</v>
      </c>
      <c r="L183" s="119">
        <v>-11.799999999999994</v>
      </c>
      <c r="M183" s="117">
        <v>1582.2595628526378</v>
      </c>
    </row>
    <row r="184" spans="11:13" x14ac:dyDescent="0.4">
      <c r="K184" s="74">
        <v>182</v>
      </c>
      <c r="L184" s="119">
        <v>-44.8</v>
      </c>
      <c r="M184" s="117">
        <v>1576.3660054755219</v>
      </c>
    </row>
    <row r="185" spans="11:13" x14ac:dyDescent="0.4">
      <c r="K185" s="74">
        <v>183</v>
      </c>
      <c r="L185" s="119">
        <v>0</v>
      </c>
      <c r="M185" s="117">
        <v>1584.5118094426687</v>
      </c>
    </row>
    <row r="186" spans="11:13" x14ac:dyDescent="0.4">
      <c r="K186" s="74">
        <v>184</v>
      </c>
      <c r="L186" s="119">
        <v>-45.6</v>
      </c>
      <c r="M186" s="117">
        <v>1576.3367385860126</v>
      </c>
    </row>
    <row r="187" spans="11:13" x14ac:dyDescent="0.4">
      <c r="K187" s="74">
        <v>185</v>
      </c>
      <c r="L187" s="119">
        <v>3.8999999999999986</v>
      </c>
      <c r="M187" s="117">
        <v>1585.3287181544965</v>
      </c>
    </row>
    <row r="188" spans="11:13" x14ac:dyDescent="0.4">
      <c r="K188" s="74">
        <v>186</v>
      </c>
      <c r="L188" s="119">
        <v>-1.3322676295501878E-15</v>
      </c>
      <c r="M188" s="117">
        <v>1584.6547458455696</v>
      </c>
    </row>
    <row r="189" spans="11:13" x14ac:dyDescent="0.4">
      <c r="K189" s="74">
        <v>187</v>
      </c>
      <c r="L189" s="119">
        <v>45.3</v>
      </c>
      <c r="M189" s="117">
        <v>1593.4228173704962</v>
      </c>
    </row>
    <row r="190" spans="11:13" x14ac:dyDescent="0.4">
      <c r="K190" s="74">
        <v>188</v>
      </c>
      <c r="L190" s="119">
        <v>40.599999999999994</v>
      </c>
      <c r="M190" s="117">
        <v>1593.1382804662733</v>
      </c>
    </row>
    <row r="191" spans="11:13" x14ac:dyDescent="0.4">
      <c r="K191" s="74">
        <v>189</v>
      </c>
      <c r="L191" s="119">
        <v>-7.1054273576010019E-15</v>
      </c>
      <c r="M191" s="117">
        <v>1586.3934507834756</v>
      </c>
    </row>
    <row r="192" spans="11:13" x14ac:dyDescent="0.4">
      <c r="K192" s="74">
        <v>190</v>
      </c>
      <c r="L192" s="119">
        <v>-54.400000000000006</v>
      </c>
      <c r="M192" s="117">
        <v>1577.2050900787747</v>
      </c>
    </row>
    <row r="193" spans="11:13" x14ac:dyDescent="0.4">
      <c r="K193" s="74">
        <v>191</v>
      </c>
      <c r="L193" s="119">
        <v>16.599999999999994</v>
      </c>
      <c r="M193" s="117">
        <v>1590.643859538302</v>
      </c>
    </row>
    <row r="194" spans="11:13" x14ac:dyDescent="0.4">
      <c r="K194" s="74">
        <v>192</v>
      </c>
      <c r="L194" s="119">
        <v>-7.1054273576010019E-15</v>
      </c>
      <c r="M194" s="117">
        <v>1588.2339963810721</v>
      </c>
    </row>
    <row r="195" spans="11:13" x14ac:dyDescent="0.4">
      <c r="K195" s="74">
        <v>193</v>
      </c>
      <c r="L195" s="119">
        <v>-23.700000000000006</v>
      </c>
      <c r="M195" s="117">
        <v>1584.0205924027857</v>
      </c>
    </row>
    <row r="196" spans="11:13" x14ac:dyDescent="0.4">
      <c r="K196" s="74">
        <v>194</v>
      </c>
      <c r="L196" s="119">
        <v>-22.300000000000008</v>
      </c>
      <c r="M196" s="117">
        <v>1584.350468848369</v>
      </c>
    </row>
    <row r="197" spans="11:13" x14ac:dyDescent="0.4">
      <c r="K197" s="74">
        <v>195</v>
      </c>
      <c r="L197" s="119">
        <v>-7.1054273576010019E-15</v>
      </c>
      <c r="M197" s="117">
        <v>1588.4403660352789</v>
      </c>
    </row>
    <row r="198" spans="11:13" x14ac:dyDescent="0.4">
      <c r="K198" s="74">
        <v>196</v>
      </c>
      <c r="L198" s="119">
        <v>-50.400000000000006</v>
      </c>
      <c r="M198" s="117">
        <v>1579.4257238390671</v>
      </c>
    </row>
    <row r="199" spans="11:13" x14ac:dyDescent="0.4">
      <c r="K199" s="74">
        <v>197</v>
      </c>
      <c r="L199" s="119">
        <v>-79.100000000000009</v>
      </c>
      <c r="M199" s="117">
        <v>1574.3711694960327</v>
      </c>
    </row>
    <row r="200" spans="11:13" x14ac:dyDescent="0.4">
      <c r="K200" s="74">
        <v>198</v>
      </c>
      <c r="L200" s="119">
        <v>-1.4210854715202004E-14</v>
      </c>
      <c r="M200" s="117">
        <v>1588.7509424790564</v>
      </c>
    </row>
    <row r="201" spans="11:13" x14ac:dyDescent="0.4">
      <c r="K201" s="74">
        <v>199</v>
      </c>
      <c r="L201" s="119">
        <v>29.399999999999984</v>
      </c>
      <c r="M201" s="117">
        <v>1594.4044368241821</v>
      </c>
    </row>
    <row r="202" spans="11:13" x14ac:dyDescent="0.4">
      <c r="K202" s="74">
        <v>200</v>
      </c>
      <c r="L202" s="119">
        <v>-6.5000000000000142</v>
      </c>
      <c r="M202" s="117">
        <v>1588.270010203237</v>
      </c>
    </row>
    <row r="203" spans="11:13" x14ac:dyDescent="0.4">
      <c r="K203" s="74">
        <v>201</v>
      </c>
      <c r="L203" s="119">
        <v>-1.4210854715202004E-14</v>
      </c>
      <c r="M203" s="117">
        <v>1589.8043901420176</v>
      </c>
    </row>
    <row r="204" spans="11:13" x14ac:dyDescent="0.4">
      <c r="K204" s="74">
        <v>202</v>
      </c>
      <c r="L204" s="119">
        <v>12.499999999999986</v>
      </c>
      <c r="M204" s="117">
        <v>1592.1455638011655</v>
      </c>
    </row>
    <row r="205" spans="11:13" x14ac:dyDescent="0.4">
      <c r="K205" s="74">
        <v>203</v>
      </c>
      <c r="L205" s="119">
        <v>13.199999999999985</v>
      </c>
      <c r="M205" s="117">
        <v>1592.3486904183585</v>
      </c>
    </row>
    <row r="206" spans="11:13" x14ac:dyDescent="0.4">
      <c r="K206" s="74">
        <v>204</v>
      </c>
      <c r="L206" s="119">
        <v>-1.4210854715202004E-14</v>
      </c>
      <c r="M206" s="117">
        <v>1590.0485982758485</v>
      </c>
    </row>
    <row r="207" spans="11:13" x14ac:dyDescent="0.4">
      <c r="K207" s="74">
        <v>205</v>
      </c>
      <c r="L207" s="119">
        <v>40.099999999999987</v>
      </c>
      <c r="M207" s="117">
        <v>1596.2703066861934</v>
      </c>
    </row>
    <row r="208" spans="11:13" x14ac:dyDescent="0.4">
      <c r="K208" s="74">
        <v>206</v>
      </c>
      <c r="L208" s="119">
        <v>4.7999999999999901</v>
      </c>
      <c r="M208" s="117">
        <v>1588.8826848460762</v>
      </c>
    </row>
    <row r="209" spans="11:13" x14ac:dyDescent="0.4">
      <c r="K209" s="74">
        <v>207</v>
      </c>
      <c r="L209" s="119">
        <v>-9.7699626167013776E-15</v>
      </c>
      <c r="M209" s="117">
        <v>1587.0293887369999</v>
      </c>
    </row>
    <row r="210" spans="11:13" x14ac:dyDescent="0.4">
      <c r="K210" s="74">
        <v>208</v>
      </c>
      <c r="L210" s="119">
        <v>5.4999999999999902</v>
      </c>
      <c r="M210" s="117">
        <v>1588.6192124045779</v>
      </c>
    </row>
    <row r="211" spans="11:13" x14ac:dyDescent="0.4">
      <c r="K211" s="74">
        <v>209</v>
      </c>
      <c r="L211" s="119">
        <v>-45.100000000000009</v>
      </c>
      <c r="M211" s="117">
        <v>1580.1014971301504</v>
      </c>
    </row>
    <row r="212" spans="11:13" x14ac:dyDescent="0.4">
      <c r="K212" s="74">
        <v>210</v>
      </c>
      <c r="L212" s="119">
        <v>-7.1054273576010019E-15</v>
      </c>
      <c r="M212" s="117">
        <v>1588.8608881473695</v>
      </c>
    </row>
    <row r="213" spans="11:13" x14ac:dyDescent="0.4">
      <c r="K213" s="74">
        <v>211</v>
      </c>
      <c r="L213" s="119">
        <v>-25.900000000000006</v>
      </c>
      <c r="M213" s="117">
        <v>1584.7877228184852</v>
      </c>
    </row>
    <row r="214" spans="11:13" x14ac:dyDescent="0.4">
      <c r="K214" s="74">
        <v>212</v>
      </c>
      <c r="L214" s="119">
        <v>-21.000000000000007</v>
      </c>
      <c r="M214" s="117">
        <v>1586.2829964815744</v>
      </c>
    </row>
    <row r="215" spans="11:13" x14ac:dyDescent="0.4">
      <c r="K215" s="74">
        <v>213</v>
      </c>
      <c r="L215" s="119">
        <v>-7.1054273576010019E-15</v>
      </c>
      <c r="M215" s="117">
        <v>1590.6672985026848</v>
      </c>
    </row>
    <row r="216" spans="11:13" x14ac:dyDescent="0.4">
      <c r="K216" s="74">
        <v>214</v>
      </c>
      <c r="L216" s="119">
        <v>73.699999999999989</v>
      </c>
      <c r="M216" s="117">
        <v>1602.9332947116686</v>
      </c>
    </row>
    <row r="217" spans="11:13" x14ac:dyDescent="0.4">
      <c r="K217" s="74">
        <v>215</v>
      </c>
      <c r="L217" s="119">
        <v>51.199999999999989</v>
      </c>
      <c r="M217" s="117">
        <v>1597.8096949433987</v>
      </c>
    </row>
    <row r="218" spans="11:13" x14ac:dyDescent="0.4">
      <c r="K218" s="74">
        <v>216</v>
      </c>
      <c r="L218" s="119">
        <v>-1.4210854715202004E-14</v>
      </c>
      <c r="M218" s="117">
        <v>1587.5508367737382</v>
      </c>
    </row>
    <row r="219" spans="11:13" x14ac:dyDescent="0.4">
      <c r="K219" s="74">
        <v>217</v>
      </c>
      <c r="L219" s="119">
        <v>-65.200000000000017</v>
      </c>
      <c r="M219" s="117">
        <v>1574.8335317530957</v>
      </c>
    </row>
    <row r="220" spans="11:13" x14ac:dyDescent="0.4">
      <c r="K220" s="74">
        <v>218</v>
      </c>
      <c r="L220" s="119">
        <v>-45.800000000000018</v>
      </c>
      <c r="M220" s="117">
        <v>1577.4205305625771</v>
      </c>
    </row>
    <row r="221" spans="11:13" x14ac:dyDescent="0.4">
      <c r="K221" s="74">
        <v>219</v>
      </c>
      <c r="L221" s="119">
        <v>-2.1316282072803006E-14</v>
      </c>
      <c r="M221" s="117">
        <v>1584.7440073792018</v>
      </c>
    </row>
    <row r="222" spans="11:13" x14ac:dyDescent="0.4">
      <c r="K222" s="74">
        <v>220</v>
      </c>
      <c r="L222" s="119">
        <v>6.4999999999999787</v>
      </c>
      <c r="M222" s="117">
        <v>1586.5035433349265</v>
      </c>
    </row>
    <row r="223" spans="11:13" x14ac:dyDescent="0.4">
      <c r="K223" s="74">
        <v>221</v>
      </c>
      <c r="L223" s="119">
        <v>-32.500000000000021</v>
      </c>
      <c r="M223" s="117">
        <v>1580.0625220749168</v>
      </c>
    </row>
    <row r="224" spans="11:13" x14ac:dyDescent="0.4">
      <c r="K224" s="74">
        <v>222</v>
      </c>
      <c r="L224" s="119">
        <v>-2.1316282072803006E-14</v>
      </c>
      <c r="M224" s="117">
        <v>1586.5301469424674</v>
      </c>
    </row>
    <row r="225" spans="11:13" x14ac:dyDescent="0.4">
      <c r="K225" s="74">
        <v>223</v>
      </c>
      <c r="L225" s="119">
        <v>-23.300000000000022</v>
      </c>
      <c r="M225" s="117">
        <v>1581.6309660608126</v>
      </c>
    </row>
    <row r="226" spans="11:13" x14ac:dyDescent="0.4">
      <c r="K226" s="74">
        <v>224</v>
      </c>
      <c r="L226" s="119">
        <v>-57.90000000000002</v>
      </c>
      <c r="M226" s="117">
        <v>1574.7271802644477</v>
      </c>
    </row>
    <row r="227" spans="11:13" x14ac:dyDescent="0.4">
      <c r="K227" s="74">
        <v>225</v>
      </c>
      <c r="L227" s="119">
        <v>-2.1316282072803006E-14</v>
      </c>
      <c r="M227" s="117">
        <v>1584.514817182861</v>
      </c>
    </row>
    <row r="228" spans="11:13" x14ac:dyDescent="0.4">
      <c r="K228" s="74">
        <v>226</v>
      </c>
      <c r="L228" s="119">
        <v>-39.100000000000023</v>
      </c>
      <c r="M228" s="117">
        <v>1576.7777282797638</v>
      </c>
    </row>
    <row r="229" spans="11:13" x14ac:dyDescent="0.4">
      <c r="K229" s="74">
        <v>227</v>
      </c>
      <c r="L229" s="119">
        <v>-25.300000000000022</v>
      </c>
      <c r="M229" s="117">
        <v>1578.6090619100853</v>
      </c>
    </row>
    <row r="230" spans="11:13" x14ac:dyDescent="0.4">
      <c r="K230" s="74">
        <v>228</v>
      </c>
      <c r="L230" s="119">
        <v>-2.1316282072803006E-14</v>
      </c>
      <c r="M230" s="117">
        <v>1582.4994075386248</v>
      </c>
    </row>
    <row r="231" spans="11:13" x14ac:dyDescent="0.4">
      <c r="K231" s="74">
        <v>229</v>
      </c>
      <c r="L231" s="119">
        <v>-6.3000000000000211</v>
      </c>
      <c r="M231" s="117">
        <v>1581.962411093393</v>
      </c>
    </row>
    <row r="232" spans="11:13" x14ac:dyDescent="0.4">
      <c r="K232" s="74">
        <v>230</v>
      </c>
      <c r="L232" s="119">
        <v>45.59999999999998</v>
      </c>
      <c r="M232" s="117">
        <v>1591.9046366268326</v>
      </c>
    </row>
    <row r="233" spans="11:13" x14ac:dyDescent="0.4">
      <c r="K233" s="74">
        <v>231</v>
      </c>
      <c r="L233" s="119">
        <v>-2.1316282072803006E-14</v>
      </c>
      <c r="M233" s="117">
        <v>1584.2372088070715</v>
      </c>
    </row>
    <row r="234" spans="11:13" x14ac:dyDescent="0.4">
      <c r="K234" s="74">
        <v>232</v>
      </c>
      <c r="L234" s="119">
        <v>28.499999999999979</v>
      </c>
      <c r="M234" s="117">
        <v>1589.6477855542291</v>
      </c>
    </row>
    <row r="235" spans="11:13" x14ac:dyDescent="0.4">
      <c r="K235" s="74">
        <v>233</v>
      </c>
      <c r="L235" s="119">
        <v>8.2999999999999794</v>
      </c>
      <c r="M235" s="117">
        <v>1586.2598988409038</v>
      </c>
    </row>
    <row r="236" spans="11:13" x14ac:dyDescent="0.4">
      <c r="K236" s="74">
        <v>234</v>
      </c>
      <c r="L236" s="119">
        <v>-2.1316282072803006E-14</v>
      </c>
      <c r="M236" s="117">
        <v>1585.0343394478584</v>
      </c>
    </row>
    <row r="237" spans="11:13" x14ac:dyDescent="0.4">
      <c r="K237" s="74">
        <v>235</v>
      </c>
      <c r="L237" s="119">
        <v>-25.700000000000021</v>
      </c>
      <c r="M237" s="117">
        <v>1580.7861334111712</v>
      </c>
    </row>
    <row r="238" spans="11:13" x14ac:dyDescent="0.4">
      <c r="K238" s="74">
        <v>236</v>
      </c>
      <c r="L238" s="119">
        <v>-18.600000000000023</v>
      </c>
      <c r="M238" s="117">
        <v>1582.4674166107043</v>
      </c>
    </row>
    <row r="239" spans="11:13" x14ac:dyDescent="0.4">
      <c r="K239" s="74">
        <v>237</v>
      </c>
      <c r="L239" s="119">
        <v>-2.1316282072803006E-14</v>
      </c>
      <c r="M239" s="117">
        <v>1586.2086121110401</v>
      </c>
    </row>
    <row r="240" spans="11:13" x14ac:dyDescent="0.4">
      <c r="K240" s="74">
        <v>238</v>
      </c>
      <c r="L240" s="119">
        <v>-1.4000000000000212</v>
      </c>
      <c r="M240" s="117">
        <v>1586.3273604383739</v>
      </c>
    </row>
    <row r="241" spans="11:13" x14ac:dyDescent="0.4">
      <c r="K241" s="74">
        <v>239</v>
      </c>
      <c r="L241" s="119">
        <v>21.799999999999979</v>
      </c>
      <c r="M241" s="117">
        <v>1590.8733962757437</v>
      </c>
    </row>
    <row r="242" spans="11:13" x14ac:dyDescent="0.4">
      <c r="K242" s="74">
        <v>240</v>
      </c>
      <c r="L242" s="119">
        <v>-2.1316282072803006E-14</v>
      </c>
      <c r="M242" s="117">
        <v>1587.2921558980893</v>
      </c>
    </row>
    <row r="243" spans="11:13" x14ac:dyDescent="0.4">
      <c r="K243" s="74">
        <v>241</v>
      </c>
      <c r="L243" s="119">
        <v>-33.000000000000021</v>
      </c>
      <c r="M243" s="117">
        <v>1581.4284029627008</v>
      </c>
    </row>
    <row r="244" spans="11:13" x14ac:dyDescent="0.4">
      <c r="K244" s="74">
        <v>242</v>
      </c>
      <c r="L244" s="119">
        <v>-40.90000000000002</v>
      </c>
      <c r="M244" s="117">
        <v>1580.1178325449246</v>
      </c>
    </row>
    <row r="245" spans="11:13" x14ac:dyDescent="0.4">
      <c r="K245" s="74">
        <v>243</v>
      </c>
      <c r="L245" s="119">
        <v>-2.1316282072803006E-14</v>
      </c>
      <c r="M245" s="117">
        <v>1587.5991255496551</v>
      </c>
    </row>
    <row r="246" spans="11:13" x14ac:dyDescent="0.4">
      <c r="K246" s="74">
        <v>244</v>
      </c>
      <c r="L246" s="119">
        <v>-3.4000000000000212</v>
      </c>
      <c r="M246" s="117">
        <v>1587.5655307963573</v>
      </c>
    </row>
    <row r="247" spans="11:13" x14ac:dyDescent="0.4">
      <c r="K247" s="74">
        <v>245</v>
      </c>
      <c r="L247" s="119">
        <v>14.499999999999977</v>
      </c>
      <c r="M247" s="117">
        <v>1591.3661376115792</v>
      </c>
    </row>
    <row r="248" spans="11:13" x14ac:dyDescent="0.4">
      <c r="K248" s="74">
        <v>246</v>
      </c>
      <c r="L248" s="119">
        <v>-2.3092638912203256E-14</v>
      </c>
      <c r="M248" s="117">
        <v>1589.3119407859097</v>
      </c>
    </row>
    <row r="249" spans="11:13" x14ac:dyDescent="0.4">
      <c r="K249" s="74">
        <v>247</v>
      </c>
      <c r="L249" s="119">
        <v>-29.800000000000026</v>
      </c>
      <c r="M249" s="117">
        <v>1584.4800691411942</v>
      </c>
    </row>
    <row r="250" spans="11:13" x14ac:dyDescent="0.4">
      <c r="K250" s="74">
        <v>248</v>
      </c>
      <c r="L250" s="119">
        <v>4.099999999999973</v>
      </c>
      <c r="M250" s="117">
        <v>1591.143188726347</v>
      </c>
    </row>
    <row r="251" spans="11:13" x14ac:dyDescent="0.4">
      <c r="K251" s="74">
        <v>249</v>
      </c>
      <c r="L251" s="119">
        <v>-2.6645352591003757E-14</v>
      </c>
      <c r="M251" s="117">
        <v>1590.9263295939888</v>
      </c>
    </row>
    <row r="252" spans="11:13" x14ac:dyDescent="0.4">
      <c r="K252" s="74">
        <v>250</v>
      </c>
      <c r="L252" s="119">
        <v>13.499999999999973</v>
      </c>
      <c r="M252" s="117">
        <v>1593.5727716164249</v>
      </c>
    </row>
    <row r="253" spans="11:13" x14ac:dyDescent="0.4">
      <c r="K253" s="74">
        <v>251</v>
      </c>
      <c r="L253" s="119">
        <v>-34.500000000000028</v>
      </c>
      <c r="M253" s="117">
        <v>1585.1333349867264</v>
      </c>
    </row>
    <row r="254" spans="11:13" x14ac:dyDescent="0.4">
      <c r="K254" s="74">
        <v>252</v>
      </c>
      <c r="L254" s="119">
        <v>-2.8421709430404007E-14</v>
      </c>
      <c r="M254" s="117">
        <v>1591.594534976806</v>
      </c>
    </row>
    <row r="255" spans="11:13" x14ac:dyDescent="0.4">
      <c r="K255" s="74">
        <v>253</v>
      </c>
      <c r="L255" s="119">
        <v>-46.300000000000026</v>
      </c>
      <c r="M255" s="117">
        <v>1583.7849677669451</v>
      </c>
    </row>
    <row r="256" spans="11:13" x14ac:dyDescent="0.4">
      <c r="K256" s="74">
        <v>254</v>
      </c>
      <c r="L256" s="119">
        <v>-43.500000000000028</v>
      </c>
      <c r="M256" s="117">
        <v>1584.8602579603435</v>
      </c>
    </row>
    <row r="257" spans="11:13" x14ac:dyDescent="0.4">
      <c r="K257" s="74">
        <v>255</v>
      </c>
      <c r="L257" s="119">
        <v>-2.8421709430404007E-14</v>
      </c>
      <c r="M257" s="117">
        <v>1593.2550964125815</v>
      </c>
    </row>
    <row r="258" spans="11:13" x14ac:dyDescent="0.4">
      <c r="K258" s="74">
        <v>256</v>
      </c>
      <c r="L258" s="119">
        <v>-23.60000000000003</v>
      </c>
      <c r="M258" s="117">
        <v>1589.521565834106</v>
      </c>
    </row>
    <row r="259" spans="11:13" x14ac:dyDescent="0.4">
      <c r="K259" s="74">
        <v>257</v>
      </c>
      <c r="L259" s="119">
        <v>45.499999999999964</v>
      </c>
      <c r="M259" s="117">
        <v>1602.4964364391014</v>
      </c>
    </row>
    <row r="260" spans="11:13" x14ac:dyDescent="0.4">
      <c r="K260" s="74">
        <v>258</v>
      </c>
      <c r="L260" s="119">
        <v>-3.5527136788005009E-14</v>
      </c>
      <c r="M260" s="117">
        <v>1594.7654578204667</v>
      </c>
    </row>
    <row r="261" spans="11:13" x14ac:dyDescent="0.4">
      <c r="K261" s="74">
        <v>259</v>
      </c>
      <c r="L261" s="119">
        <v>3.3999999999999644</v>
      </c>
      <c r="M261" s="117">
        <v>1594.8988650735439</v>
      </c>
    </row>
    <row r="262" spans="11:13" x14ac:dyDescent="0.4">
      <c r="K262" s="74">
        <v>260</v>
      </c>
      <c r="L262" s="119">
        <v>-15.300000000000034</v>
      </c>
      <c r="M262" s="117">
        <v>1591.0534718831027</v>
      </c>
    </row>
    <row r="263" spans="11:13" x14ac:dyDescent="0.4">
      <c r="K263" s="74">
        <v>261</v>
      </c>
      <c r="L263" s="119">
        <v>-3.3750779948604759E-14</v>
      </c>
      <c r="M263" s="117">
        <v>1593.351151051804</v>
      </c>
    </row>
    <row r="264" spans="11:13" x14ac:dyDescent="0.4">
      <c r="K264" s="74">
        <v>262</v>
      </c>
      <c r="L264" s="119">
        <v>-20.700000000000031</v>
      </c>
      <c r="M264" s="117">
        <v>1589.6170441454931</v>
      </c>
    </row>
    <row r="265" spans="11:13" x14ac:dyDescent="0.4">
      <c r="K265" s="74">
        <v>263</v>
      </c>
      <c r="L265" s="119">
        <v>-19.500000000000032</v>
      </c>
      <c r="M265" s="117">
        <v>1589.8473418806202</v>
      </c>
    </row>
    <row r="266" spans="11:13" x14ac:dyDescent="0.4">
      <c r="K266" s="74">
        <v>264</v>
      </c>
      <c r="L266" s="119">
        <v>-3.1974423109204508E-14</v>
      </c>
      <c r="M266" s="117">
        <v>1593.3702578293364</v>
      </c>
    </row>
    <row r="267" spans="11:13" x14ac:dyDescent="0.4">
      <c r="K267" s="74">
        <v>265</v>
      </c>
      <c r="L267" s="119">
        <v>-8.9000000000000323</v>
      </c>
      <c r="M267" s="117">
        <v>1591.7600362823605</v>
      </c>
    </row>
    <row r="268" spans="11:13" x14ac:dyDescent="0.4">
      <c r="K268" s="74">
        <v>266</v>
      </c>
      <c r="L268" s="119">
        <v>27.099999999999966</v>
      </c>
      <c r="M268" s="117">
        <v>1598.2414760646664</v>
      </c>
    </row>
    <row r="269" spans="11:13" x14ac:dyDescent="0.4">
      <c r="K269" s="74">
        <v>267</v>
      </c>
      <c r="L269" s="119">
        <v>-3.5527136788005009E-14</v>
      </c>
      <c r="M269" s="117">
        <v>1593.3260272082784</v>
      </c>
    </row>
    <row r="270" spans="11:13" x14ac:dyDescent="0.4">
      <c r="K270" s="74">
        <v>268</v>
      </c>
      <c r="L270" s="119">
        <v>-15.700000000000035</v>
      </c>
      <c r="M270" s="117">
        <v>1590.4920710450288</v>
      </c>
    </row>
    <row r="271" spans="11:13" x14ac:dyDescent="0.4">
      <c r="K271" s="74">
        <v>269</v>
      </c>
      <c r="L271" s="119">
        <v>4.6999999999999638</v>
      </c>
      <c r="M271" s="117">
        <v>1594.1731186187585</v>
      </c>
    </row>
    <row r="272" spans="11:13" x14ac:dyDescent="0.4">
      <c r="K272" s="74">
        <v>270</v>
      </c>
      <c r="L272" s="119">
        <v>-3.6415315207705135E-14</v>
      </c>
      <c r="M272" s="117">
        <v>1593.3140799070459</v>
      </c>
    </row>
    <row r="273" spans="11:13" x14ac:dyDescent="0.4">
      <c r="K273" s="74">
        <v>271</v>
      </c>
      <c r="L273" s="119">
        <v>-16.000000000000036</v>
      </c>
      <c r="M273" s="117">
        <v>1590.4621954276035</v>
      </c>
    </row>
    <row r="274" spans="11:13" x14ac:dyDescent="0.4">
      <c r="K274" s="74">
        <v>272</v>
      </c>
      <c r="L274" s="119">
        <v>1.4999999999999645</v>
      </c>
      <c r="M274" s="117">
        <v>1593.657422255038</v>
      </c>
    </row>
    <row r="275" spans="11:13" x14ac:dyDescent="0.4">
      <c r="K275" s="74">
        <v>273</v>
      </c>
      <c r="L275" s="119">
        <v>-3.5527136788005009E-14</v>
      </c>
      <c r="M275" s="117">
        <v>1593.4134777215077</v>
      </c>
    </row>
    <row r="276" spans="11:13" x14ac:dyDescent="0.4">
      <c r="K276" s="74">
        <v>274</v>
      </c>
      <c r="L276" s="119">
        <v>-34.800000000000033</v>
      </c>
      <c r="M276" s="117">
        <v>1586.7029968551785</v>
      </c>
    </row>
    <row r="277" spans="11:13" x14ac:dyDescent="0.4">
      <c r="K277" s="74">
        <v>275</v>
      </c>
      <c r="L277" s="119">
        <v>-50.800000000000033</v>
      </c>
      <c r="M277" s="117">
        <v>1583.4167788740474</v>
      </c>
    </row>
    <row r="278" spans="11:13" x14ac:dyDescent="0.4">
      <c r="K278" s="74">
        <v>276</v>
      </c>
      <c r="L278" s="119">
        <v>-3.5527136788005009E-14</v>
      </c>
      <c r="M278" s="117">
        <v>1592.1742782008032</v>
      </c>
    </row>
    <row r="279" spans="11:13" x14ac:dyDescent="0.4">
      <c r="K279" s="74">
        <v>277</v>
      </c>
      <c r="L279" s="119">
        <v>33.199999999999967</v>
      </c>
      <c r="M279" s="117">
        <v>1598.6772325315983</v>
      </c>
    </row>
    <row r="280" spans="11:13" x14ac:dyDescent="0.4">
      <c r="K280" s="74">
        <v>278</v>
      </c>
      <c r="L280" s="119">
        <v>41.599999999999966</v>
      </c>
      <c r="M280" s="117">
        <v>1600.6771691364088</v>
      </c>
    </row>
    <row r="281" spans="11:13" x14ac:dyDescent="0.4">
      <c r="K281" s="74">
        <v>279</v>
      </c>
      <c r="L281" s="119">
        <v>-3.5527136788005009E-14</v>
      </c>
      <c r="M281" s="117">
        <v>1593.6651061215903</v>
      </c>
    </row>
    <row r="282" spans="11:13" x14ac:dyDescent="0.4">
      <c r="K282" s="74">
        <v>280</v>
      </c>
      <c r="L282" s="119">
        <v>11.899999999999965</v>
      </c>
      <c r="M282" s="117">
        <v>1596.3251154848608</v>
      </c>
    </row>
    <row r="283" spans="11:13" x14ac:dyDescent="0.4">
      <c r="K283" s="74">
        <v>281</v>
      </c>
      <c r="L283" s="119">
        <v>36.199999999999967</v>
      </c>
      <c r="M283" s="117">
        <v>1601.2011647919517</v>
      </c>
    </row>
    <row r="284" spans="11:13" x14ac:dyDescent="0.4">
      <c r="K284" s="74">
        <v>282</v>
      </c>
      <c r="L284" s="119">
        <v>-3.5527136788005009E-14</v>
      </c>
      <c r="M284" s="117">
        <v>1595.1579578031999</v>
      </c>
    </row>
    <row r="285" spans="11:13" x14ac:dyDescent="0.4">
      <c r="K285" s="74">
        <v>283</v>
      </c>
      <c r="L285" s="119">
        <v>6.1999999999999647</v>
      </c>
      <c r="M285" s="117">
        <v>1596.8070100563807</v>
      </c>
    </row>
    <row r="286" spans="11:13" x14ac:dyDescent="0.4">
      <c r="K286" s="74">
        <v>284</v>
      </c>
      <c r="L286" s="119">
        <v>-28.100000000000033</v>
      </c>
      <c r="M286" s="117">
        <v>1591.1561679960423</v>
      </c>
    </row>
    <row r="287" spans="11:13" x14ac:dyDescent="0.4">
      <c r="K287" s="74">
        <v>285</v>
      </c>
      <c r="L287" s="119">
        <v>-3.1974423109204508E-14</v>
      </c>
      <c r="M287" s="117">
        <v>1596.771230988066</v>
      </c>
    </row>
    <row r="288" spans="11:13" x14ac:dyDescent="0.4">
      <c r="K288" s="74">
        <v>286</v>
      </c>
      <c r="L288" s="119">
        <v>-40.800000000000026</v>
      </c>
      <c r="M288" s="117">
        <v>1588.7326036021377</v>
      </c>
    </row>
    <row r="289" spans="11:13" x14ac:dyDescent="0.4">
      <c r="K289" s="74">
        <v>287</v>
      </c>
      <c r="L289" s="119">
        <v>-33.700000000000024</v>
      </c>
      <c r="M289" s="117">
        <v>1589.364207980525</v>
      </c>
    </row>
    <row r="290" spans="11:13" x14ac:dyDescent="0.4">
      <c r="K290" s="74">
        <v>288</v>
      </c>
      <c r="L290" s="119">
        <v>-2.1316282072803006E-14</v>
      </c>
      <c r="M290" s="117">
        <v>1594.7800227326418</v>
      </c>
    </row>
    <row r="291" spans="11:13" x14ac:dyDescent="0.4">
      <c r="K291" s="74">
        <v>289</v>
      </c>
      <c r="L291" s="119">
        <v>0.99999999999997868</v>
      </c>
      <c r="M291" s="117">
        <v>1594.2773425962459</v>
      </c>
    </row>
    <row r="292" spans="11:13" x14ac:dyDescent="0.4">
      <c r="K292" s="74">
        <v>290</v>
      </c>
      <c r="L292" s="119">
        <v>-24.40000000000002</v>
      </c>
      <c r="M292" s="117">
        <v>1589.0256785406684</v>
      </c>
    </row>
    <row r="293" spans="11:13" x14ac:dyDescent="0.4">
      <c r="K293" s="74">
        <v>291</v>
      </c>
      <c r="L293" s="119">
        <v>-2.1316282072803006E-14</v>
      </c>
      <c r="M293" s="117">
        <v>1592.7695244694244</v>
      </c>
    </row>
    <row r="294" spans="11:13" x14ac:dyDescent="0.4">
      <c r="K294" s="74">
        <v>292</v>
      </c>
      <c r="L294" s="119">
        <v>-0.10000000000002132</v>
      </c>
      <c r="M294" s="117">
        <v>1592.7709073226079</v>
      </c>
    </row>
    <row r="295" spans="11:13" x14ac:dyDescent="0.4">
      <c r="K295" s="74">
        <v>293</v>
      </c>
      <c r="L295" s="119">
        <v>-19.400000000000023</v>
      </c>
      <c r="M295" s="117">
        <v>1589.3162818786723</v>
      </c>
    </row>
    <row r="296" spans="11:13" x14ac:dyDescent="0.4">
      <c r="K296" s="74">
        <v>294</v>
      </c>
      <c r="L296" s="119">
        <v>-2.4868995751603507E-14</v>
      </c>
      <c r="M296" s="117">
        <v>1592.8483841874001</v>
      </c>
    </row>
    <row r="297" spans="11:13" x14ac:dyDescent="0.4">
      <c r="K297" s="74">
        <v>295</v>
      </c>
      <c r="L297" s="119">
        <v>60.499999999999972</v>
      </c>
      <c r="M297" s="117">
        <v>1603.7992938822758</v>
      </c>
    </row>
    <row r="298" spans="11:13" x14ac:dyDescent="0.4">
      <c r="K298" s="74">
        <v>296</v>
      </c>
      <c r="L298" s="119">
        <v>54.699999999999974</v>
      </c>
      <c r="M298" s="117">
        <v>1602.7504981189823</v>
      </c>
    </row>
    <row r="299" spans="11:13" x14ac:dyDescent="0.4">
      <c r="K299" s="74">
        <v>297</v>
      </c>
      <c r="L299" s="119">
        <v>-2.8421709430404007E-14</v>
      </c>
      <c r="M299" s="117">
        <v>1592.9059951302684</v>
      </c>
    </row>
    <row r="300" spans="11:13" x14ac:dyDescent="0.4">
      <c r="K300" s="74">
        <v>298</v>
      </c>
      <c r="L300" s="119">
        <v>20.199999999999971</v>
      </c>
      <c r="M300" s="117">
        <v>1597.0945591594868</v>
      </c>
    </row>
    <row r="301" spans="11:13" x14ac:dyDescent="0.4">
      <c r="K301" s="74">
        <v>299</v>
      </c>
      <c r="L301" s="119">
        <v>18.199999999999971</v>
      </c>
      <c r="M301" s="117">
        <v>1597.26199180453</v>
      </c>
    </row>
    <row r="302" spans="11:13" x14ac:dyDescent="0.4">
      <c r="K302" s="74">
        <v>300</v>
      </c>
      <c r="L302" s="119">
        <v>-2.8421709430404007E-14</v>
      </c>
      <c r="M302" s="117">
        <v>1594.5124198537028</v>
      </c>
    </row>
    <row r="303" spans="11:13" x14ac:dyDescent="0.4">
      <c r="K303" s="74">
        <v>301</v>
      </c>
      <c r="L303" s="119">
        <v>-27.500000000000028</v>
      </c>
      <c r="M303" s="117">
        <v>1589.5533453345806</v>
      </c>
    </row>
    <row r="304" spans="11:13" x14ac:dyDescent="0.4">
      <c r="K304" s="74">
        <v>302</v>
      </c>
      <c r="L304" s="119">
        <v>-19.10000000000003</v>
      </c>
      <c r="M304" s="117">
        <v>1591.0860252625732</v>
      </c>
    </row>
    <row r="305" spans="11:13" x14ac:dyDescent="0.4">
      <c r="K305" s="74">
        <v>303</v>
      </c>
      <c r="L305" s="119">
        <v>-2.8421709430404007E-14</v>
      </c>
      <c r="M305" s="117">
        <v>1594.5355091109977</v>
      </c>
    </row>
    <row r="306" spans="11:13" x14ac:dyDescent="0.4">
      <c r="K306" s="74">
        <v>304</v>
      </c>
      <c r="L306" s="119">
        <v>29.499999999999972</v>
      </c>
      <c r="M306" s="117">
        <v>1599.8362960563318</v>
      </c>
    </row>
    <row r="307" spans="11:13" x14ac:dyDescent="0.4">
      <c r="K307" s="74">
        <v>305</v>
      </c>
      <c r="L307" s="119">
        <v>30.799999999999972</v>
      </c>
      <c r="M307" s="117">
        <v>1600.0292782799938</v>
      </c>
    </row>
    <row r="308" spans="11:13" x14ac:dyDescent="0.4">
      <c r="K308" s="74">
        <v>306</v>
      </c>
      <c r="L308" s="119">
        <v>-2.8421709430404007E-14</v>
      </c>
      <c r="M308" s="117">
        <v>1594.4431026103139</v>
      </c>
    </row>
    <row r="309" spans="11:13" x14ac:dyDescent="0.4">
      <c r="K309" s="74">
        <v>307</v>
      </c>
      <c r="L309" s="119">
        <v>14.099999999999971</v>
      </c>
      <c r="M309" s="117">
        <v>1596.4384439946521</v>
      </c>
    </row>
    <row r="310" spans="11:13" x14ac:dyDescent="0.4">
      <c r="K310" s="74">
        <v>308</v>
      </c>
      <c r="L310" s="119">
        <v>50.299999999999976</v>
      </c>
      <c r="M310" s="117">
        <v>1602.3998133306841</v>
      </c>
    </row>
    <row r="311" spans="11:13" x14ac:dyDescent="0.4">
      <c r="K311" s="74">
        <v>309</v>
      </c>
      <c r="L311" s="119">
        <v>-2.1316282072803006E-14</v>
      </c>
      <c r="M311" s="117">
        <v>1592.7554144507001</v>
      </c>
    </row>
    <row r="312" spans="11:13" x14ac:dyDescent="0.4">
      <c r="K312" s="74">
        <v>310</v>
      </c>
      <c r="L312" s="119">
        <v>8.399999999999979</v>
      </c>
      <c r="M312" s="117">
        <v>1594.304881963996</v>
      </c>
    </row>
    <row r="313" spans="11:13" x14ac:dyDescent="0.4">
      <c r="K313" s="74">
        <v>311</v>
      </c>
      <c r="L313" s="119">
        <v>42.499999999999979</v>
      </c>
      <c r="M313" s="117">
        <v>1600.471052672212</v>
      </c>
    </row>
    <row r="314" spans="11:13" x14ac:dyDescent="0.4">
      <c r="K314" s="74">
        <v>312</v>
      </c>
      <c r="L314" s="119">
        <v>-2.1316282072803006E-14</v>
      </c>
      <c r="M314" s="117">
        <v>1592.8122263561786</v>
      </c>
    </row>
    <row r="315" spans="11:13" x14ac:dyDescent="0.4">
      <c r="K315" s="74">
        <v>313</v>
      </c>
      <c r="L315" s="119">
        <v>-19.200000000000021</v>
      </c>
      <c r="M315" s="117">
        <v>1589.6033529980416</v>
      </c>
    </row>
    <row r="316" spans="11:13" x14ac:dyDescent="0.4">
      <c r="K316" s="74">
        <v>314</v>
      </c>
      <c r="L316" s="119">
        <v>-15.80000000000002</v>
      </c>
      <c r="M316" s="117">
        <v>1590.4817328800534</v>
      </c>
    </row>
    <row r="317" spans="11:13" x14ac:dyDescent="0.4">
      <c r="K317" s="74">
        <v>315</v>
      </c>
      <c r="L317" s="119">
        <v>-1.9539925233402755E-14</v>
      </c>
      <c r="M317" s="117">
        <v>1593.5868424827731</v>
      </c>
    </row>
    <row r="318" spans="11:13" x14ac:dyDescent="0.4">
      <c r="K318" s="74">
        <v>316</v>
      </c>
      <c r="L318" s="119">
        <v>7.0999999999999801</v>
      </c>
      <c r="M318" s="117">
        <v>1595.1073214278765</v>
      </c>
    </row>
    <row r="319" spans="11:13" x14ac:dyDescent="0.4">
      <c r="K319" s="74">
        <v>317</v>
      </c>
      <c r="L319" s="119">
        <v>28.199999999999982</v>
      </c>
      <c r="M319" s="117">
        <v>1599.1386774993093</v>
      </c>
    </row>
    <row r="320" spans="11:13" x14ac:dyDescent="0.4">
      <c r="K320" s="74">
        <v>318</v>
      </c>
      <c r="L320" s="119">
        <v>-1.7763568394002505E-14</v>
      </c>
      <c r="M320" s="117">
        <v>1594.2718454343135</v>
      </c>
    </row>
    <row r="321" spans="11:13" x14ac:dyDescent="0.4">
      <c r="K321" s="74">
        <v>319</v>
      </c>
      <c r="L321" s="119">
        <v>-20.400000000000016</v>
      </c>
      <c r="M321" s="117">
        <v>1591.0902143617077</v>
      </c>
    </row>
    <row r="322" spans="11:13" x14ac:dyDescent="0.4">
      <c r="K322" s="74">
        <v>320</v>
      </c>
      <c r="L322" s="119">
        <v>-16.300000000000018</v>
      </c>
      <c r="M322" s="117">
        <v>1592.3376730755374</v>
      </c>
    </row>
    <row r="323" spans="11:13" x14ac:dyDescent="0.4">
      <c r="K323" s="74">
        <v>321</v>
      </c>
      <c r="L323" s="119">
        <v>-1.7763568394002505E-14</v>
      </c>
      <c r="M323" s="117">
        <v>1595.7736470370842</v>
      </c>
    </row>
    <row r="324" spans="11:13" x14ac:dyDescent="0.4">
      <c r="K324" s="74">
        <v>322</v>
      </c>
      <c r="L324" s="119">
        <v>4.7999999999999821</v>
      </c>
      <c r="M324" s="117">
        <v>1597.1190051548617</v>
      </c>
    </row>
    <row r="325" spans="11:13" x14ac:dyDescent="0.4">
      <c r="K325" s="74">
        <v>323</v>
      </c>
      <c r="L325" s="119">
        <v>-28.500000000000014</v>
      </c>
      <c r="M325" s="117">
        <v>1591.5982911239325</v>
      </c>
    </row>
    <row r="326" spans="11:13" x14ac:dyDescent="0.4">
      <c r="K326" s="74">
        <v>324</v>
      </c>
      <c r="L326" s="119">
        <v>-1.4210854715202004E-14</v>
      </c>
      <c r="M326" s="117">
        <v>1597.2347013771889</v>
      </c>
    </row>
    <row r="327" spans="11:13" x14ac:dyDescent="0.4">
      <c r="K327" s="74">
        <v>325</v>
      </c>
      <c r="L327" s="119">
        <v>29.499999999999986</v>
      </c>
      <c r="M327" s="117">
        <v>1602.4892931689258</v>
      </c>
    </row>
    <row r="328" spans="11:13" x14ac:dyDescent="0.4">
      <c r="K328" s="74">
        <v>326</v>
      </c>
      <c r="L328" s="119">
        <v>23.099999999999987</v>
      </c>
      <c r="M328" s="117">
        <v>1601.2503574099121</v>
      </c>
    </row>
    <row r="329" spans="11:13" x14ac:dyDescent="0.4">
      <c r="K329" s="74">
        <v>327</v>
      </c>
      <c r="L329" s="119">
        <v>-1.4210854715202004E-14</v>
      </c>
      <c r="M329" s="117">
        <v>1597.0128552654526</v>
      </c>
    </row>
    <row r="330" spans="11:13" x14ac:dyDescent="0.4">
      <c r="K330" s="74">
        <v>328</v>
      </c>
      <c r="L330" s="119">
        <v>-6.7000000000000144</v>
      </c>
      <c r="M330" s="117">
        <v>1596.0347781338598</v>
      </c>
    </row>
    <row r="331" spans="11:13" x14ac:dyDescent="0.4">
      <c r="K331" s="74">
        <v>329</v>
      </c>
      <c r="L331" s="119">
        <v>23.899999999999988</v>
      </c>
      <c r="M331" s="117">
        <v>1601.7765694650566</v>
      </c>
    </row>
    <row r="332" spans="11:13" x14ac:dyDescent="0.4">
      <c r="K332" s="74">
        <v>330</v>
      </c>
      <c r="L332" s="119">
        <v>-1.0658141036401503E-14</v>
      </c>
      <c r="M332" s="117">
        <v>1597.6739100482662</v>
      </c>
    </row>
    <row r="333" spans="11:13" x14ac:dyDescent="0.4">
      <c r="K333" s="74">
        <v>331</v>
      </c>
      <c r="L333" s="119">
        <v>-20.900000000000009</v>
      </c>
      <c r="M333" s="117">
        <v>1594.1358665879766</v>
      </c>
    </row>
    <row r="334" spans="11:13" x14ac:dyDescent="0.4">
      <c r="K334" s="74">
        <v>332</v>
      </c>
      <c r="L334" s="119">
        <v>3.4999999999999893</v>
      </c>
      <c r="M334" s="117">
        <v>1598.7730513884487</v>
      </c>
    </row>
    <row r="335" spans="11:13" x14ac:dyDescent="0.4">
      <c r="K335" s="74">
        <v>333</v>
      </c>
      <c r="L335" s="119">
        <v>-1.0658141036401503E-14</v>
      </c>
      <c r="M335" s="117">
        <v>1598.360413080118</v>
      </c>
    </row>
    <row r="336" spans="11:13" x14ac:dyDescent="0.4">
      <c r="K336" s="74">
        <v>334</v>
      </c>
      <c r="L336" s="119">
        <v>-46.800000000000011</v>
      </c>
      <c r="M336" s="117">
        <v>1590.4022506016372</v>
      </c>
    </row>
    <row r="337" spans="11:13" x14ac:dyDescent="0.4">
      <c r="K337" s="74">
        <v>335</v>
      </c>
      <c r="L337" s="119">
        <v>-44.900000000000013</v>
      </c>
      <c r="M337" s="117">
        <v>1591.2578370980275</v>
      </c>
    </row>
    <row r="338" spans="11:13" x14ac:dyDescent="0.4">
      <c r="K338" s="74">
        <v>336</v>
      </c>
      <c r="L338" s="119">
        <v>-1.4210854715202004E-14</v>
      </c>
      <c r="M338" s="117">
        <v>1599.8482900754393</v>
      </c>
    </row>
    <row r="339" spans="11:13" x14ac:dyDescent="0.4">
      <c r="K339" s="74">
        <v>337</v>
      </c>
      <c r="L339" s="119">
        <v>32.399999999999984</v>
      </c>
      <c r="M339" s="117">
        <v>1606.1372003349866</v>
      </c>
    </row>
    <row r="340" spans="11:13" x14ac:dyDescent="0.4">
      <c r="K340" s="74">
        <v>338</v>
      </c>
      <c r="L340" s="119">
        <v>32.199999999999982</v>
      </c>
      <c r="M340" s="117">
        <v>1606.5203771329766</v>
      </c>
    </row>
    <row r="341" spans="11:13" x14ac:dyDescent="0.4">
      <c r="K341" s="74">
        <v>339</v>
      </c>
      <c r="L341" s="119">
        <v>-2.1316282072803006E-14</v>
      </c>
      <c r="M341" s="117">
        <v>1601.1412548701787</v>
      </c>
    </row>
    <row r="342" spans="11:13" x14ac:dyDescent="0.4">
      <c r="K342" s="74">
        <v>340</v>
      </c>
      <c r="L342" s="119">
        <v>36.59999999999998</v>
      </c>
      <c r="M342" s="117">
        <v>1607.9024073409576</v>
      </c>
    </row>
    <row r="343" spans="11:13" x14ac:dyDescent="0.4">
      <c r="K343" s="74">
        <v>341</v>
      </c>
      <c r="L343" s="119">
        <v>-10.200000000000017</v>
      </c>
      <c r="M343" s="117">
        <v>1599.6109928969117</v>
      </c>
    </row>
    <row r="344" spans="11:13" x14ac:dyDescent="0.4">
      <c r="K344" s="74">
        <v>342</v>
      </c>
      <c r="L344" s="119">
        <v>-1.7763568394002505E-14</v>
      </c>
      <c r="M344" s="117">
        <v>1601.6293269395303</v>
      </c>
    </row>
    <row r="345" spans="11:13" x14ac:dyDescent="0.4">
      <c r="K345" s="74">
        <v>343</v>
      </c>
      <c r="L345" s="119">
        <v>-40.100000000000023</v>
      </c>
      <c r="M345" s="117">
        <v>1594.5815509778931</v>
      </c>
    </row>
    <row r="346" spans="11:13" x14ac:dyDescent="0.4">
      <c r="K346" s="74">
        <v>344</v>
      </c>
      <c r="L346" s="119">
        <v>-33.000000000000021</v>
      </c>
      <c r="M346" s="117">
        <v>1596.0720616720257</v>
      </c>
    </row>
    <row r="347" spans="11:13" x14ac:dyDescent="0.4">
      <c r="K347" s="74">
        <v>345</v>
      </c>
      <c r="L347" s="119">
        <v>-2.1316282072803006E-14</v>
      </c>
      <c r="M347" s="117">
        <v>1602.2156293019937</v>
      </c>
    </row>
    <row r="348" spans="11:13" x14ac:dyDescent="0.4">
      <c r="K348" s="74">
        <v>346</v>
      </c>
      <c r="L348" s="119">
        <v>-28.500000000000021</v>
      </c>
      <c r="M348" s="117">
        <v>1596.9823355261817</v>
      </c>
    </row>
    <row r="349" spans="11:13" x14ac:dyDescent="0.4">
      <c r="K349" s="74">
        <v>347</v>
      </c>
      <c r="L349" s="119">
        <v>-35.700000000000024</v>
      </c>
      <c r="M349" s="117">
        <v>1595.6144415130245</v>
      </c>
    </row>
    <row r="350" spans="11:13" x14ac:dyDescent="0.4">
      <c r="K350" s="74">
        <v>348</v>
      </c>
      <c r="L350" s="119">
        <v>-2.1316282072803006E-14</v>
      </c>
      <c r="M350" s="117">
        <v>1601.9767548639463</v>
      </c>
    </row>
    <row r="351" spans="11:13" x14ac:dyDescent="0.4">
      <c r="K351" s="74">
        <v>349</v>
      </c>
      <c r="L351" s="119">
        <v>51.09999999999998</v>
      </c>
      <c r="M351" s="117">
        <v>1611.0728943347626</v>
      </c>
    </row>
    <row r="352" spans="11:13" x14ac:dyDescent="0.4">
      <c r="K352" s="74">
        <v>350</v>
      </c>
      <c r="L352" s="119">
        <v>48.699999999999982</v>
      </c>
      <c r="M352" s="117">
        <v>1610.4844569687541</v>
      </c>
    </row>
    <row r="353" spans="11:13" x14ac:dyDescent="0.4">
      <c r="K353" s="74">
        <v>351</v>
      </c>
      <c r="L353" s="119">
        <v>-2.1316282072803006E-14</v>
      </c>
      <c r="M353" s="117">
        <v>1601.5655502269415</v>
      </c>
    </row>
    <row r="354" spans="11:13" x14ac:dyDescent="0.4">
      <c r="K354" s="74">
        <v>352</v>
      </c>
      <c r="L354" s="119">
        <v>-54.500000000000021</v>
      </c>
      <c r="M354" s="117">
        <v>1591.9321569255799</v>
      </c>
    </row>
    <row r="355" spans="11:13" x14ac:dyDescent="0.4">
      <c r="K355" s="74">
        <v>353</v>
      </c>
      <c r="L355" s="119">
        <v>27.899999999999984</v>
      </c>
      <c r="M355" s="117">
        <v>1606.9985639840263</v>
      </c>
    </row>
    <row r="356" spans="11:13" x14ac:dyDescent="0.4">
      <c r="K356" s="74">
        <v>354</v>
      </c>
      <c r="L356" s="119">
        <v>-1.4210854715202004E-14</v>
      </c>
      <c r="M356" s="117">
        <v>1602.1205726001222</v>
      </c>
    </row>
    <row r="357" spans="11:13" x14ac:dyDescent="0.4">
      <c r="K357" s="74">
        <v>355</v>
      </c>
      <c r="L357" s="119">
        <v>26.599999999999987</v>
      </c>
      <c r="M357" s="117">
        <v>1606.6198491645214</v>
      </c>
    </row>
    <row r="358" spans="11:13" x14ac:dyDescent="0.4">
      <c r="K358" s="74">
        <v>356</v>
      </c>
      <c r="L358" s="119">
        <v>5.8999999999999879</v>
      </c>
      <c r="M358" s="117">
        <v>1602.5781300695342</v>
      </c>
    </row>
    <row r="359" spans="11:13" x14ac:dyDescent="0.4">
      <c r="K359" s="74">
        <v>357</v>
      </c>
      <c r="L359" s="119">
        <v>-1.2434497875801753E-14</v>
      </c>
      <c r="M359" s="117">
        <v>1601.224661289117</v>
      </c>
    </row>
    <row r="360" spans="11:13" x14ac:dyDescent="0.4">
      <c r="K360" s="74">
        <v>358</v>
      </c>
      <c r="L360" s="119">
        <v>-38.900000000000013</v>
      </c>
      <c r="M360" s="117">
        <v>1593.9393133213823</v>
      </c>
    </row>
    <row r="361" spans="11:13" x14ac:dyDescent="0.4">
      <c r="K361" s="74">
        <v>359</v>
      </c>
      <c r="L361" s="119">
        <v>-30.600000000000012</v>
      </c>
      <c r="M361" s="117">
        <v>1595.1936774414539</v>
      </c>
    </row>
    <row r="362" spans="11:13" x14ac:dyDescent="0.4">
      <c r="K362" s="74">
        <v>360</v>
      </c>
      <c r="L362" s="119">
        <v>-1.0658141036401503E-14</v>
      </c>
      <c r="M362" s="117">
        <v>1600.4545153768051</v>
      </c>
    </row>
    <row r="363" spans="11:13" x14ac:dyDescent="0.4">
      <c r="K363" s="74">
        <v>361</v>
      </c>
      <c r="L363" s="119">
        <v>-25.70000000000001</v>
      </c>
      <c r="M363" s="117">
        <v>1596.2937882845442</v>
      </c>
    </row>
    <row r="364" spans="11:13" x14ac:dyDescent="0.4">
      <c r="K364" s="74">
        <v>362</v>
      </c>
      <c r="L364" s="119">
        <v>-18.70000000000001</v>
      </c>
      <c r="M364" s="117">
        <v>1598.0440255548369</v>
      </c>
    </row>
    <row r="365" spans="11:13" x14ac:dyDescent="0.4">
      <c r="K365" s="74">
        <v>363</v>
      </c>
      <c r="L365" s="119">
        <v>-1.0658141036401503E-14</v>
      </c>
      <c r="M365" s="117">
        <v>1601.8897614015079</v>
      </c>
    </row>
    <row r="366" spans="11:13" x14ac:dyDescent="0.4">
      <c r="K366" s="74">
        <v>364</v>
      </c>
      <c r="L366" s="119">
        <v>-42.400000000000006</v>
      </c>
      <c r="M366" s="117">
        <v>1593.7964228330989</v>
      </c>
    </row>
    <row r="367" spans="11:13" x14ac:dyDescent="0.4">
      <c r="K367" s="74">
        <v>365</v>
      </c>
      <c r="L367" s="119">
        <v>5.2999999999999972</v>
      </c>
      <c r="M367" s="117">
        <v>1601.9696442961003</v>
      </c>
    </row>
    <row r="368" spans="11:13" x14ac:dyDescent="0.4">
      <c r="K368" s="74">
        <v>366</v>
      </c>
      <c r="L368" s="119">
        <v>-2.6645352591003757E-15</v>
      </c>
      <c r="M368" s="117">
        <v>1600.5538264303239</v>
      </c>
    </row>
    <row r="369" spans="11:13" x14ac:dyDescent="0.4">
      <c r="K369" s="74">
        <v>367</v>
      </c>
      <c r="L369" s="119">
        <v>1.1999999999999973</v>
      </c>
      <c r="M369" s="117">
        <v>1600.2745034717418</v>
      </c>
    </row>
    <row r="370" spans="11:13" x14ac:dyDescent="0.4">
      <c r="K370" s="74">
        <v>368</v>
      </c>
      <c r="L370" s="119">
        <v>18.399999999999995</v>
      </c>
      <c r="M370" s="117">
        <v>1602.8768564509114</v>
      </c>
    </row>
    <row r="371" spans="11:13" x14ac:dyDescent="0.4">
      <c r="K371" s="74">
        <v>369</v>
      </c>
      <c r="L371" s="119">
        <v>-3.5527136788005009E-15</v>
      </c>
      <c r="M371" s="117">
        <v>1599.0555953122059</v>
      </c>
    </row>
    <row r="372" spans="11:13" x14ac:dyDescent="0.4">
      <c r="K372" s="74">
        <v>370</v>
      </c>
      <c r="L372" s="119">
        <v>14.599999999999996</v>
      </c>
      <c r="M372" s="117">
        <v>1601.1972617403326</v>
      </c>
    </row>
    <row r="373" spans="11:13" x14ac:dyDescent="0.4">
      <c r="K373" s="74">
        <v>371</v>
      </c>
      <c r="L373" s="119">
        <v>15.199999999999996</v>
      </c>
      <c r="M373" s="117">
        <v>1600.8060781698905</v>
      </c>
    </row>
    <row r="374" spans="11:13" x14ac:dyDescent="0.4">
      <c r="K374" s="74">
        <v>372</v>
      </c>
      <c r="L374" s="119">
        <v>-3.5527136788005009E-15</v>
      </c>
      <c r="M374" s="117">
        <v>1597.5732417008712</v>
      </c>
    </row>
    <row r="375" spans="11:13" x14ac:dyDescent="0.4">
      <c r="K375" s="74">
        <v>373</v>
      </c>
      <c r="L375" s="119">
        <v>-35</v>
      </c>
      <c r="M375" s="117">
        <v>1591.4138022506661</v>
      </c>
    </row>
    <row r="376" spans="11:13" x14ac:dyDescent="0.4">
      <c r="K376" s="74">
        <v>374</v>
      </c>
      <c r="L376" s="119">
        <v>-8.3999999999999986</v>
      </c>
      <c r="M376" s="117">
        <v>1596.3793194371622</v>
      </c>
    </row>
    <row r="377" spans="11:13" x14ac:dyDescent="0.4">
      <c r="K377" s="74">
        <v>375</v>
      </c>
      <c r="L377" s="119">
        <v>1.7763568394002505E-15</v>
      </c>
      <c r="M377" s="117">
        <v>1598.0390435205393</v>
      </c>
    </row>
    <row r="378" spans="11:13" x14ac:dyDescent="0.4">
      <c r="K378" s="74">
        <v>376</v>
      </c>
      <c r="L378" s="119">
        <v>23.200000000000003</v>
      </c>
      <c r="M378" s="117">
        <v>1601.740809259416</v>
      </c>
    </row>
    <row r="379" spans="11:13" x14ac:dyDescent="0.4">
      <c r="K379" s="74">
        <v>377</v>
      </c>
      <c r="L379" s="119">
        <v>16.900000000000002</v>
      </c>
      <c r="M379" s="117">
        <v>1600.1103644038594</v>
      </c>
    </row>
    <row r="380" spans="11:13" x14ac:dyDescent="0.4">
      <c r="K380" s="74">
        <v>378</v>
      </c>
      <c r="L380" s="119">
        <v>3.5527136788005009E-15</v>
      </c>
      <c r="M380" s="117">
        <v>1596.5817022174363</v>
      </c>
    </row>
    <row r="381" spans="11:13" x14ac:dyDescent="0.4">
      <c r="K381" s="74">
        <v>379</v>
      </c>
      <c r="L381" s="119">
        <v>-4.9999999999999964</v>
      </c>
      <c r="M381" s="117">
        <v>1595.2642120041317</v>
      </c>
    </row>
    <row r="382" spans="11:13" x14ac:dyDescent="0.4">
      <c r="K382" s="74">
        <v>380</v>
      </c>
      <c r="L382" s="119">
        <v>-51</v>
      </c>
      <c r="M382" s="117">
        <v>1586.5746267321069</v>
      </c>
    </row>
    <row r="383" spans="11:13" x14ac:dyDescent="0.4">
      <c r="K383" s="74">
        <v>381</v>
      </c>
      <c r="L383" s="119">
        <v>0</v>
      </c>
      <c r="M383" s="117">
        <v>1595.3971789717143</v>
      </c>
    </row>
    <row r="384" spans="11:13" x14ac:dyDescent="0.4">
      <c r="K384" s="74">
        <v>382</v>
      </c>
      <c r="L384" s="119">
        <v>56.6</v>
      </c>
      <c r="M384" s="117">
        <v>1605.174795897884</v>
      </c>
    </row>
    <row r="385" spans="11:13" x14ac:dyDescent="0.4">
      <c r="K385" s="74">
        <v>383</v>
      </c>
      <c r="L385" s="119">
        <v>20.800000000000004</v>
      </c>
      <c r="M385" s="117">
        <v>1598.2617471224967</v>
      </c>
    </row>
    <row r="386" spans="11:13" x14ac:dyDescent="0.4">
      <c r="K386" s="74">
        <v>384</v>
      </c>
      <c r="L386" s="119">
        <v>3.5527136788005009E-15</v>
      </c>
      <c r="M386" s="117">
        <v>1594.0901766397617</v>
      </c>
    </row>
    <row r="387" spans="11:13" x14ac:dyDescent="0.4">
      <c r="K387" s="74">
        <v>385</v>
      </c>
      <c r="L387" s="119">
        <v>-21.199999999999996</v>
      </c>
      <c r="M387" s="117">
        <v>1590.519635579923</v>
      </c>
    </row>
    <row r="388" spans="11:13" x14ac:dyDescent="0.4">
      <c r="K388" s="74">
        <v>386</v>
      </c>
      <c r="L388" s="119">
        <v>7.2000000000000028</v>
      </c>
      <c r="M388" s="117">
        <v>1595.8985177664435</v>
      </c>
    </row>
    <row r="389" spans="11:13" x14ac:dyDescent="0.4">
      <c r="K389" s="74">
        <v>387</v>
      </c>
      <c r="L389" s="119">
        <v>2.6645352591003757E-15</v>
      </c>
      <c r="M389" s="117">
        <v>1594.8371266598449</v>
      </c>
    </row>
    <row r="390" spans="11:13" x14ac:dyDescent="0.4">
      <c r="K390" s="74">
        <v>388</v>
      </c>
      <c r="L390" s="119">
        <v>7.5000000000000027</v>
      </c>
      <c r="M390" s="117">
        <v>1596.4341038998859</v>
      </c>
    </row>
    <row r="391" spans="11:13" x14ac:dyDescent="0.4">
      <c r="K391" s="74">
        <v>389</v>
      </c>
      <c r="L391" s="119">
        <v>28.500000000000004</v>
      </c>
      <c r="M391" s="117">
        <v>1600.4514992764866</v>
      </c>
    </row>
    <row r="392" spans="11:13" x14ac:dyDescent="0.4">
      <c r="K392" s="74">
        <v>390</v>
      </c>
      <c r="L392" s="119">
        <v>3.5527136788005009E-15</v>
      </c>
      <c r="M392" s="117">
        <v>1595.5347902808278</v>
      </c>
    </row>
    <row r="393" spans="11:13" x14ac:dyDescent="0.4">
      <c r="K393" s="74">
        <v>391</v>
      </c>
      <c r="L393" s="119">
        <v>15.500000000000004</v>
      </c>
      <c r="M393" s="117">
        <v>1598.3275815391428</v>
      </c>
    </row>
    <row r="394" spans="11:13" x14ac:dyDescent="0.4">
      <c r="K394" s="74">
        <v>392</v>
      </c>
      <c r="L394" s="119">
        <v>-3.5999999999999979</v>
      </c>
      <c r="M394" s="117">
        <v>1594.8756160499079</v>
      </c>
    </row>
    <row r="395" spans="11:13" x14ac:dyDescent="0.4">
      <c r="K395" s="74">
        <v>393</v>
      </c>
      <c r="L395" s="119">
        <v>2.2204460492503131E-15</v>
      </c>
      <c r="M395" s="117">
        <v>1595.5303623536083</v>
      </c>
    </row>
    <row r="396" spans="11:13" x14ac:dyDescent="0.4">
      <c r="K396" s="74">
        <v>394</v>
      </c>
      <c r="L396" s="119">
        <v>-2.5999999999999979</v>
      </c>
      <c r="M396" s="117">
        <v>1595.0651801794868</v>
      </c>
    </row>
    <row r="397" spans="11:13" x14ac:dyDescent="0.4">
      <c r="K397" s="74">
        <v>395</v>
      </c>
      <c r="L397" s="119">
        <v>27.700000000000003</v>
      </c>
      <c r="M397" s="117">
        <v>1600.5247890984099</v>
      </c>
    </row>
    <row r="398" spans="11:13" x14ac:dyDescent="0.4">
      <c r="K398" s="74">
        <v>396</v>
      </c>
      <c r="L398" s="119">
        <v>3.5527136788005009E-15</v>
      </c>
      <c r="M398" s="117">
        <v>1595.5116403638194</v>
      </c>
    </row>
    <row r="399" spans="11:13" x14ac:dyDescent="0.4">
      <c r="K399" s="74">
        <v>397</v>
      </c>
      <c r="L399" s="119">
        <v>27.900000000000002</v>
      </c>
      <c r="M399" s="117">
        <v>1600.5365705216366</v>
      </c>
    </row>
    <row r="400" spans="11:13" x14ac:dyDescent="0.4">
      <c r="K400" s="74">
        <v>398</v>
      </c>
      <c r="L400" s="119">
        <v>27.6</v>
      </c>
      <c r="M400" s="117">
        <v>1600.4553510985068</v>
      </c>
    </row>
    <row r="401" spans="11:13" x14ac:dyDescent="0.4">
      <c r="K401" s="74">
        <v>399</v>
      </c>
      <c r="L401" s="119">
        <v>0</v>
      </c>
      <c r="M401" s="117">
        <v>1595.4606189919157</v>
      </c>
    </row>
    <row r="402" spans="11:13" x14ac:dyDescent="0.4">
      <c r="K402" s="74">
        <v>400</v>
      </c>
      <c r="L402" s="119">
        <v>-41.3</v>
      </c>
      <c r="M402" s="117">
        <v>1587.8198552779643</v>
      </c>
    </row>
    <row r="403" spans="11:13" x14ac:dyDescent="0.4">
      <c r="K403" s="74">
        <v>401</v>
      </c>
      <c r="L403" s="119">
        <v>-39.599999999999994</v>
      </c>
      <c r="M403" s="117">
        <v>1587.9649361462964</v>
      </c>
    </row>
    <row r="404" spans="11:13" x14ac:dyDescent="0.4">
      <c r="K404" s="74">
        <v>402</v>
      </c>
      <c r="L404" s="119">
        <v>7.1054273576010019E-15</v>
      </c>
      <c r="M404" s="117">
        <v>1594.9311465294186</v>
      </c>
    </row>
    <row r="405" spans="11:13" x14ac:dyDescent="0.4">
      <c r="K405" s="74">
        <v>403</v>
      </c>
      <c r="L405" s="119">
        <v>20.700000000000006</v>
      </c>
      <c r="M405" s="117">
        <v>1598.813559650242</v>
      </c>
    </row>
    <row r="406" spans="11:13" x14ac:dyDescent="0.4">
      <c r="K406" s="74">
        <v>404</v>
      </c>
      <c r="L406" s="119">
        <v>19.000000000000007</v>
      </c>
      <c r="M406" s="117">
        <v>1598.6406782923407</v>
      </c>
    </row>
    <row r="407" spans="11:13" x14ac:dyDescent="0.4">
      <c r="K407" s="74">
        <v>405</v>
      </c>
      <c r="L407" s="119">
        <v>7.1054273576010019E-15</v>
      </c>
      <c r="M407" s="117">
        <v>1595.3548342225865</v>
      </c>
    </row>
    <row r="408" spans="11:13" x14ac:dyDescent="0.4">
      <c r="K408" s="74">
        <v>406</v>
      </c>
      <c r="L408" s="119">
        <v>-48.29999999999999</v>
      </c>
      <c r="M408" s="117">
        <v>1586.3107052172511</v>
      </c>
    </row>
    <row r="409" spans="11:13" x14ac:dyDescent="0.4">
      <c r="K409" s="74">
        <v>407</v>
      </c>
      <c r="L409" s="119">
        <v>3.0000000000000071</v>
      </c>
      <c r="M409" s="117">
        <v>1595.2488409859475</v>
      </c>
    </row>
    <row r="410" spans="11:13" x14ac:dyDescent="0.4">
      <c r="K410" s="74">
        <v>408</v>
      </c>
      <c r="L410" s="119">
        <v>7.1054273576010019E-15</v>
      </c>
      <c r="M410" s="117">
        <v>1594.3593479400317</v>
      </c>
    </row>
    <row r="411" spans="11:13" x14ac:dyDescent="0.4">
      <c r="K411" s="74">
        <v>409</v>
      </c>
      <c r="L411" s="119">
        <v>-39.999999999999993</v>
      </c>
      <c r="M411" s="117">
        <v>1587.1931918523915</v>
      </c>
    </row>
    <row r="412" spans="11:13" x14ac:dyDescent="0.4">
      <c r="K412" s="74">
        <v>410</v>
      </c>
      <c r="L412" s="119">
        <v>-39.899999999999991</v>
      </c>
      <c r="M412" s="117">
        <v>1587.2880327012772</v>
      </c>
    </row>
    <row r="413" spans="11:13" x14ac:dyDescent="0.4">
      <c r="K413" s="74">
        <v>411</v>
      </c>
      <c r="L413" s="119">
        <v>7.1054273576010019E-15</v>
      </c>
      <c r="M413" s="117">
        <v>1594.5463045050694</v>
      </c>
    </row>
  </sheetData>
  <sortState xmlns:xlrd2="http://schemas.microsoft.com/office/spreadsheetml/2017/richdata2" ref="E2:I414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23D87-DC75-44EF-BDDC-F1E6C9112CDA}">
  <sheetPr codeName="Sheet7"/>
  <dimension ref="A1:R7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73</v>
      </c>
      <c r="C2" s="134"/>
      <c r="E2" s="26" t="s">
        <v>66</v>
      </c>
      <c r="F2" s="23" t="s">
        <v>22</v>
      </c>
      <c r="G2" s="11">
        <v>146</v>
      </c>
      <c r="H2" s="87">
        <f>IF(B$20=0,0,G2/B$20)</f>
        <v>0.90683229813664601</v>
      </c>
      <c r="I2" s="57">
        <v>2</v>
      </c>
      <c r="K2" s="73">
        <v>0</v>
      </c>
      <c r="L2" s="118">
        <v>0</v>
      </c>
      <c r="M2" s="116">
        <v>1661.4405403070657</v>
      </c>
      <c r="O2" s="73" t="s">
        <v>128</v>
      </c>
      <c r="P2" s="79">
        <f t="shared" ref="P2:P7" si="0">IF(Q2=0,0,R2/Q2)</f>
        <v>-637.14285714285711</v>
      </c>
      <c r="Q2" s="76">
        <v>70</v>
      </c>
      <c r="R2" s="63">
        <v>-44600</v>
      </c>
    </row>
    <row r="3" spans="1:18" x14ac:dyDescent="0.4">
      <c r="A3" s="19" t="s">
        <v>8</v>
      </c>
      <c r="B3" s="135">
        <v>590</v>
      </c>
      <c r="C3" s="136"/>
      <c r="E3" s="27" t="s">
        <v>64</v>
      </c>
      <c r="F3" s="24" t="s">
        <v>20</v>
      </c>
      <c r="G3" s="12">
        <v>88</v>
      </c>
      <c r="H3" s="88">
        <f>IF(B$20=0,0,G3/B$20)</f>
        <v>0.54658385093167705</v>
      </c>
      <c r="I3" s="58">
        <v>6</v>
      </c>
      <c r="K3" s="74">
        <v>1</v>
      </c>
      <c r="L3" s="119">
        <v>-2.9</v>
      </c>
      <c r="M3" s="117">
        <v>1659.9498970652232</v>
      </c>
      <c r="O3" s="74" t="s">
        <v>129</v>
      </c>
      <c r="P3" s="80">
        <f t="shared" si="0"/>
        <v>-1511.1111111111111</v>
      </c>
      <c r="Q3" s="77">
        <v>72</v>
      </c>
      <c r="R3" s="64">
        <v>-108800</v>
      </c>
    </row>
    <row r="4" spans="1:18" x14ac:dyDescent="0.4">
      <c r="A4" s="19" t="s">
        <v>6</v>
      </c>
      <c r="B4" s="137">
        <v>9.5999999999999588</v>
      </c>
      <c r="C4" s="138"/>
      <c r="E4" s="27" t="s">
        <v>72</v>
      </c>
      <c r="F4" s="24" t="s">
        <v>27</v>
      </c>
      <c r="G4" s="12">
        <v>88</v>
      </c>
      <c r="H4" s="88">
        <f>IF(B$20=0,0,G4/B$20)</f>
        <v>0.54658385093167705</v>
      </c>
      <c r="I4" s="58">
        <v>6</v>
      </c>
      <c r="K4" s="74">
        <v>2</v>
      </c>
      <c r="L4" s="119">
        <v>32.9</v>
      </c>
      <c r="M4" s="117">
        <v>1666.4781976828319</v>
      </c>
      <c r="O4" s="74" t="s">
        <v>130</v>
      </c>
      <c r="P4" s="80">
        <f t="shared" si="0"/>
        <v>147.76119402985074</v>
      </c>
      <c r="Q4" s="77">
        <v>67</v>
      </c>
      <c r="R4" s="64">
        <v>9900</v>
      </c>
    </row>
    <row r="5" spans="1:18" x14ac:dyDescent="0.4">
      <c r="A5" s="19" t="s">
        <v>7</v>
      </c>
      <c r="B5" s="125">
        <f>IF(B$2=0,0,B$4/B$2)</f>
        <v>0.13150684931506793</v>
      </c>
      <c r="C5" s="126"/>
      <c r="E5" s="27" t="s">
        <v>159</v>
      </c>
      <c r="F5" s="24" t="s">
        <v>160</v>
      </c>
      <c r="G5" s="12">
        <v>71</v>
      </c>
      <c r="H5" s="88">
        <f>IF(B$20=0,0,G5/B$20)</f>
        <v>0.44099378881987578</v>
      </c>
      <c r="I5" s="58">
        <v>5</v>
      </c>
      <c r="K5" s="74">
        <v>3</v>
      </c>
      <c r="L5" s="119">
        <v>61.5</v>
      </c>
      <c r="M5" s="117">
        <v>1670.7233284967349</v>
      </c>
      <c r="O5" s="74" t="s">
        <v>131</v>
      </c>
      <c r="P5" s="80">
        <f t="shared" si="0"/>
        <v>-622.58064516129036</v>
      </c>
      <c r="Q5" s="77">
        <v>62</v>
      </c>
      <c r="R5" s="64">
        <v>-38600</v>
      </c>
    </row>
    <row r="6" spans="1:18" x14ac:dyDescent="0.4">
      <c r="A6" s="19" t="s">
        <v>196</v>
      </c>
      <c r="B6" s="129">
        <v>1653.1699313523677</v>
      </c>
      <c r="C6" s="130"/>
      <c r="E6" s="27" t="s">
        <v>68</v>
      </c>
      <c r="F6" s="24" t="s">
        <v>12</v>
      </c>
      <c r="G6" s="12">
        <v>52</v>
      </c>
      <c r="H6" s="88">
        <f>IF(B$20=0,0,G6/B$20)</f>
        <v>0.32298136645962733</v>
      </c>
      <c r="I6" s="58">
        <v>8</v>
      </c>
      <c r="K6" s="74">
        <v>4</v>
      </c>
      <c r="L6" s="119">
        <v>27.4</v>
      </c>
      <c r="M6" s="117">
        <v>1664.4249885257545</v>
      </c>
      <c r="O6" s="74" t="s">
        <v>132</v>
      </c>
      <c r="P6" s="80">
        <f t="shared" si="0"/>
        <v>777.04918032786884</v>
      </c>
      <c r="Q6" s="77">
        <v>61</v>
      </c>
      <c r="R6" s="64">
        <v>47400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43</v>
      </c>
      <c r="H7" s="88">
        <f>IF(B$20=0,0,G7/B$20)</f>
        <v>0.26708074534161491</v>
      </c>
      <c r="I7" s="58">
        <v>3</v>
      </c>
      <c r="K7" s="74">
        <v>5</v>
      </c>
      <c r="L7" s="119">
        <v>18</v>
      </c>
      <c r="M7" s="117">
        <v>1661.8304385946001</v>
      </c>
      <c r="O7" s="75" t="s">
        <v>133</v>
      </c>
      <c r="P7" s="81">
        <f t="shared" si="0"/>
        <v>2678.7234042553191</v>
      </c>
      <c r="Q7" s="78">
        <v>47</v>
      </c>
      <c r="R7" s="65">
        <v>125900</v>
      </c>
    </row>
    <row r="8" spans="1:18" x14ac:dyDescent="0.4">
      <c r="A8" s="19" t="s">
        <v>2</v>
      </c>
      <c r="B8" s="12">
        <v>27</v>
      </c>
      <c r="C8" s="6">
        <f t="shared" ref="C8:C15" si="1">IF(B$2=0,0,B8/B$2)</f>
        <v>0.36986301369863012</v>
      </c>
      <c r="E8" s="27" t="s">
        <v>69</v>
      </c>
      <c r="F8" s="24" t="s">
        <v>24</v>
      </c>
      <c r="G8" s="12">
        <v>25</v>
      </c>
      <c r="H8" s="88">
        <f>IF(B$20=0,0,G8/B$20)</f>
        <v>0.15527950310559005</v>
      </c>
      <c r="I8" s="58">
        <v>4</v>
      </c>
      <c r="K8" s="74">
        <v>6</v>
      </c>
      <c r="L8" s="119">
        <v>43.6</v>
      </c>
      <c r="M8" s="117">
        <v>1666.6074559630324</v>
      </c>
      <c r="O8" s="107"/>
      <c r="P8" s="85"/>
      <c r="Q8" s="108"/>
      <c r="R8" s="70"/>
    </row>
    <row r="9" spans="1:18" x14ac:dyDescent="0.4">
      <c r="A9" s="19" t="s">
        <v>3</v>
      </c>
      <c r="B9" s="12">
        <v>19</v>
      </c>
      <c r="C9" s="6">
        <f t="shared" si="1"/>
        <v>0.26027397260273971</v>
      </c>
      <c r="E9" s="27" t="s">
        <v>89</v>
      </c>
      <c r="F9" s="24" t="s">
        <v>44</v>
      </c>
      <c r="G9" s="12">
        <v>23</v>
      </c>
      <c r="H9" s="88">
        <f>IF(B$20=0,0,G9/B$20)</f>
        <v>0.14285714285714285</v>
      </c>
      <c r="I9" s="58">
        <v>5</v>
      </c>
      <c r="K9" s="74">
        <v>7</v>
      </c>
      <c r="L9" s="119">
        <v>16.900000000000002</v>
      </c>
      <c r="M9" s="117">
        <v>1661.9418112272542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27</v>
      </c>
      <c r="C10" s="7">
        <f t="shared" si="1"/>
        <v>0.36986301369863012</v>
      </c>
      <c r="E10" s="27" t="s">
        <v>65</v>
      </c>
      <c r="F10" s="24" t="s">
        <v>21</v>
      </c>
      <c r="G10" s="12">
        <v>20</v>
      </c>
      <c r="H10" s="88">
        <f>IF(B$20=0,0,G10/B$20)</f>
        <v>0.12422360248447205</v>
      </c>
      <c r="I10" s="58">
        <v>5</v>
      </c>
      <c r="K10" s="74">
        <v>8</v>
      </c>
      <c r="L10" s="119">
        <v>-9.9999999999999964</v>
      </c>
      <c r="M10" s="117">
        <v>1656.2661603598906</v>
      </c>
      <c r="O10" s="73" t="s">
        <v>151</v>
      </c>
      <c r="P10" s="82">
        <f>IF(Q10=0,0,R10/Q10)</f>
        <v>-8.1423076923076945</v>
      </c>
      <c r="Q10" s="76">
        <v>26</v>
      </c>
      <c r="R10" s="67">
        <v>-211.70000000000005</v>
      </c>
    </row>
    <row r="11" spans="1:18" x14ac:dyDescent="0.4">
      <c r="A11" s="20" t="s">
        <v>184</v>
      </c>
      <c r="B11" s="109">
        <f>IF(B8=0,0,C11/B8)</f>
        <v>38.929629629629638</v>
      </c>
      <c r="C11" s="110">
        <v>1051.1000000000001</v>
      </c>
      <c r="E11" s="27" t="s">
        <v>70</v>
      </c>
      <c r="F11" s="24" t="s">
        <v>25</v>
      </c>
      <c r="G11" s="12">
        <v>19</v>
      </c>
      <c r="H11" s="88">
        <f>IF(B$20=0,0,G11/B$20)</f>
        <v>0.11801242236024845</v>
      </c>
      <c r="I11" s="58">
        <v>4</v>
      </c>
      <c r="K11" s="74">
        <v>9</v>
      </c>
      <c r="L11" s="119">
        <v>33.5</v>
      </c>
      <c r="M11" s="117">
        <v>1664.2685633977312</v>
      </c>
      <c r="O11" s="74" t="s">
        <v>152</v>
      </c>
      <c r="P11" s="83">
        <f>IF(Q11=0,0,R11/Q11)</f>
        <v>12.721739130434784</v>
      </c>
      <c r="Q11" s="77">
        <v>23</v>
      </c>
      <c r="R11" s="68">
        <v>292.60000000000002</v>
      </c>
    </row>
    <row r="12" spans="1:18" x14ac:dyDescent="0.4">
      <c r="A12" s="20" t="s">
        <v>185</v>
      </c>
      <c r="B12" s="109">
        <f>IF(B9=0,0,C12/B9)</f>
        <v>-0.93157894736842117</v>
      </c>
      <c r="C12" s="110">
        <v>-17.700000000000003</v>
      </c>
      <c r="E12" s="27" t="s">
        <v>86</v>
      </c>
      <c r="F12" s="24" t="s">
        <v>41</v>
      </c>
      <c r="G12" s="12">
        <v>13</v>
      </c>
      <c r="H12" s="88">
        <f>IF(B$20=0,0,G12/B$20)</f>
        <v>8.0745341614906832E-2</v>
      </c>
      <c r="I12" s="58">
        <v>3</v>
      </c>
      <c r="K12" s="74">
        <v>10</v>
      </c>
      <c r="L12" s="119">
        <v>26</v>
      </c>
      <c r="M12" s="117">
        <v>1663.0429520173448</v>
      </c>
      <c r="O12" s="75" t="s">
        <v>153</v>
      </c>
      <c r="P12" s="84">
        <f>IF(Q12=0,0,R12/Q12)</f>
        <v>-2.9708333333333328</v>
      </c>
      <c r="Q12" s="78">
        <v>24</v>
      </c>
      <c r="R12" s="69">
        <v>-71.299999999999983</v>
      </c>
    </row>
    <row r="13" spans="1:18" x14ac:dyDescent="0.4">
      <c r="A13" s="20" t="s">
        <v>186</v>
      </c>
      <c r="B13" s="109">
        <f>IF(B10=0,0,C13/B10)</f>
        <v>-37.918518518518511</v>
      </c>
      <c r="C13" s="110">
        <v>-1023.7999999999997</v>
      </c>
      <c r="E13" s="27" t="s">
        <v>71</v>
      </c>
      <c r="F13" s="24" t="s">
        <v>26</v>
      </c>
      <c r="G13" s="12">
        <v>11</v>
      </c>
      <c r="H13" s="88">
        <f>IF(B$20=0,0,G13/B$20)</f>
        <v>6.8322981366459631E-2</v>
      </c>
      <c r="I13" s="58">
        <v>4</v>
      </c>
      <c r="K13" s="74">
        <v>11</v>
      </c>
      <c r="L13" s="119">
        <v>-8.7000000000000028</v>
      </c>
      <c r="M13" s="117">
        <v>1656.0526943052407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2.651072124756837E-2</v>
      </c>
      <c r="C14" s="126"/>
      <c r="E14" s="27" t="s">
        <v>91</v>
      </c>
      <c r="F14" s="24" t="s">
        <v>46</v>
      </c>
      <c r="G14" s="12">
        <v>10</v>
      </c>
      <c r="H14" s="88">
        <f>IF(B$20=0,0,G14/B$20)</f>
        <v>6.2111801242236024E-2</v>
      </c>
      <c r="I14" s="58">
        <v>1</v>
      </c>
      <c r="K14" s="74">
        <v>12</v>
      </c>
      <c r="L14" s="119">
        <v>15.899999999999999</v>
      </c>
      <c r="M14" s="117">
        <v>1660.5883781394093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12</v>
      </c>
      <c r="C15" s="9">
        <f t="shared" si="1"/>
        <v>0.16438356164383561</v>
      </c>
      <c r="E15" s="27" t="s">
        <v>81</v>
      </c>
      <c r="F15" s="24" t="s">
        <v>36</v>
      </c>
      <c r="G15" s="12">
        <v>7</v>
      </c>
      <c r="H15" s="88">
        <f>IF(B$20=0,0,G15/B$20)</f>
        <v>4.3478260869565216E-2</v>
      </c>
      <c r="I15" s="58">
        <v>2</v>
      </c>
      <c r="K15" s="74">
        <v>13</v>
      </c>
      <c r="L15" s="119">
        <v>-33.5</v>
      </c>
      <c r="M15" s="117">
        <v>1651.8428478705728</v>
      </c>
      <c r="O15" s="73" t="s">
        <v>198</v>
      </c>
      <c r="P15" s="82">
        <f t="shared" ref="P15:P23" si="2">IF(Q15=0,0,R15/Q15)</f>
        <v>26.674999999999997</v>
      </c>
      <c r="Q15" s="76">
        <v>4</v>
      </c>
      <c r="R15" s="67">
        <v>106.69999999999999</v>
      </c>
    </row>
    <row r="16" spans="1:18" x14ac:dyDescent="0.4">
      <c r="A16" s="22" t="s">
        <v>121</v>
      </c>
      <c r="B16" s="15">
        <v>179</v>
      </c>
      <c r="C16" s="10">
        <f>IF(B$3=0,0,B16/B$3)</f>
        <v>0.30338983050847457</v>
      </c>
      <c r="E16" s="27" t="s">
        <v>78</v>
      </c>
      <c r="F16" s="24" t="s">
        <v>33</v>
      </c>
      <c r="G16" s="12">
        <v>5</v>
      </c>
      <c r="H16" s="88">
        <f>IF(B$20=0,0,G16/B$20)</f>
        <v>3.1055900621118012E-2</v>
      </c>
      <c r="I16" s="58">
        <v>8</v>
      </c>
      <c r="K16" s="74">
        <v>14</v>
      </c>
      <c r="L16" s="119">
        <v>15.100000000000001</v>
      </c>
      <c r="M16" s="117">
        <v>1660.8437907833493</v>
      </c>
      <c r="O16" s="74" t="s">
        <v>253</v>
      </c>
      <c r="P16" s="83">
        <f t="shared" si="2"/>
        <v>15.024999999999999</v>
      </c>
      <c r="Q16" s="77">
        <v>4</v>
      </c>
      <c r="R16" s="68">
        <v>60.099999999999994</v>
      </c>
    </row>
    <row r="17" spans="1:18" x14ac:dyDescent="0.4">
      <c r="A17" s="19" t="s">
        <v>118</v>
      </c>
      <c r="B17" s="12">
        <v>114</v>
      </c>
      <c r="C17" s="6">
        <f>IF(B$3=0,0,B17/B$3)</f>
        <v>0.19322033898305085</v>
      </c>
      <c r="E17" s="27" t="s">
        <v>83</v>
      </c>
      <c r="F17" s="24" t="s">
        <v>38</v>
      </c>
      <c r="G17" s="12">
        <v>5</v>
      </c>
      <c r="H17" s="88">
        <f>IF(B$20=0,0,G17/B$20)</f>
        <v>3.1055900621118012E-2</v>
      </c>
      <c r="I17" s="58">
        <v>7</v>
      </c>
      <c r="K17" s="74">
        <v>15</v>
      </c>
      <c r="L17" s="119">
        <v>-33.1</v>
      </c>
      <c r="M17" s="117">
        <v>1652.4147280386492</v>
      </c>
      <c r="O17" s="74" t="s">
        <v>205</v>
      </c>
      <c r="P17" s="83">
        <f t="shared" si="2"/>
        <v>9.1222222222222218</v>
      </c>
      <c r="Q17" s="77">
        <v>9</v>
      </c>
      <c r="R17" s="68">
        <v>82.1</v>
      </c>
    </row>
    <row r="18" spans="1:18" x14ac:dyDescent="0.4">
      <c r="A18" s="18" t="s">
        <v>123</v>
      </c>
      <c r="B18" s="11">
        <f>B24</f>
        <v>89</v>
      </c>
      <c r="C18" s="5">
        <f>IF(B$16=0,0,B18/B$16)</f>
        <v>0.4972067039106145</v>
      </c>
      <c r="E18" s="27" t="s">
        <v>79</v>
      </c>
      <c r="F18" s="24" t="s">
        <v>34</v>
      </c>
      <c r="G18" s="12">
        <v>4</v>
      </c>
      <c r="H18" s="88">
        <f>IF(B$20=0,0,G18/B$20)</f>
        <v>2.4844720496894408E-2</v>
      </c>
      <c r="I18" s="58">
        <v>5</v>
      </c>
      <c r="K18" s="74">
        <v>16</v>
      </c>
      <c r="L18" s="119">
        <v>-10.8</v>
      </c>
      <c r="M18" s="117">
        <v>1656.6782396704173</v>
      </c>
      <c r="O18" s="74" t="s">
        <v>192</v>
      </c>
      <c r="P18" s="83">
        <f t="shared" si="2"/>
        <v>5.4470588235294111</v>
      </c>
      <c r="Q18" s="77">
        <v>17</v>
      </c>
      <c r="R18" s="68">
        <v>92.6</v>
      </c>
    </row>
    <row r="19" spans="1:18" x14ac:dyDescent="0.4">
      <c r="A19" s="18" t="s">
        <v>124</v>
      </c>
      <c r="B19" s="11">
        <f>B25</f>
        <v>39</v>
      </c>
      <c r="C19" s="5">
        <f>IF(B$17=0,0,B19/B$17)</f>
        <v>0.34210526315789475</v>
      </c>
      <c r="E19" s="27" t="s">
        <v>155</v>
      </c>
      <c r="F19" s="24" t="s">
        <v>156</v>
      </c>
      <c r="G19" s="12">
        <v>3</v>
      </c>
      <c r="H19" s="88">
        <f>IF(B$20=0,0,G19/B$20)</f>
        <v>1.8633540372670808E-2</v>
      </c>
      <c r="I19" s="58">
        <v>2</v>
      </c>
      <c r="K19" s="74">
        <v>17</v>
      </c>
      <c r="L19" s="119">
        <v>-32.900000000000006</v>
      </c>
      <c r="M19" s="117">
        <v>1652.6781702323947</v>
      </c>
      <c r="O19" s="74" t="s">
        <v>190</v>
      </c>
      <c r="P19" s="83">
        <f t="shared" si="2"/>
        <v>1.875</v>
      </c>
      <c r="Q19" s="77">
        <v>28</v>
      </c>
      <c r="R19" s="68">
        <v>52.5</v>
      </c>
    </row>
    <row r="20" spans="1:18" x14ac:dyDescent="0.4">
      <c r="A20" s="18" t="s">
        <v>10</v>
      </c>
      <c r="B20" s="11">
        <f>B23+B22</f>
        <v>161</v>
      </c>
      <c r="C20" s="5">
        <f>IF(B$3=0,0,B20/B$3)</f>
        <v>0.27288135593220336</v>
      </c>
      <c r="E20" s="27" t="s">
        <v>75</v>
      </c>
      <c r="F20" s="24" t="s">
        <v>30</v>
      </c>
      <c r="G20" s="12">
        <v>2</v>
      </c>
      <c r="H20" s="88">
        <f>IF(B$20=0,0,G20/B$20)</f>
        <v>1.2422360248447204E-2</v>
      </c>
      <c r="I20" s="58">
        <v>2</v>
      </c>
      <c r="K20" s="74">
        <v>18</v>
      </c>
      <c r="L20" s="119">
        <v>-69.300000000000011</v>
      </c>
      <c r="M20" s="117">
        <v>1646.1281012110003</v>
      </c>
      <c r="O20" s="74" t="s">
        <v>126</v>
      </c>
      <c r="P20" s="83">
        <f t="shared" si="2"/>
        <v>0.6769230769230814</v>
      </c>
      <c r="Q20" s="77">
        <v>52</v>
      </c>
      <c r="R20" s="68">
        <v>35.20000000000023</v>
      </c>
    </row>
    <row r="21" spans="1:18" x14ac:dyDescent="0.4">
      <c r="A21" s="19" t="s">
        <v>13</v>
      </c>
      <c r="B21" s="12">
        <v>105</v>
      </c>
      <c r="C21" s="6">
        <f>IF(B$3=0,0,B21/B$3)</f>
        <v>0.17796610169491525</v>
      </c>
      <c r="E21" s="27" t="s">
        <v>92</v>
      </c>
      <c r="F21" s="24" t="s">
        <v>47</v>
      </c>
      <c r="G21" s="12">
        <v>2</v>
      </c>
      <c r="H21" s="88">
        <f>IF(B$20=0,0,G21/B$20)</f>
        <v>1.2422360248447204E-2</v>
      </c>
      <c r="I21" s="58">
        <v>3</v>
      </c>
      <c r="K21" s="74">
        <v>19</v>
      </c>
      <c r="L21" s="119">
        <v>-44.500000000000014</v>
      </c>
      <c r="M21" s="117">
        <v>1650.6333326037343</v>
      </c>
      <c r="O21" s="74" t="s">
        <v>193</v>
      </c>
      <c r="P21" s="83">
        <f t="shared" si="2"/>
        <v>-0.73999999999999344</v>
      </c>
      <c r="Q21" s="77">
        <v>5</v>
      </c>
      <c r="R21" s="68">
        <v>-3.6999999999999673</v>
      </c>
    </row>
    <row r="22" spans="1:18" x14ac:dyDescent="0.4">
      <c r="A22" s="19" t="s">
        <v>12</v>
      </c>
      <c r="B22" s="12">
        <v>72</v>
      </c>
      <c r="C22" s="6">
        <f>IF(B$20=0,0,B22/B$20)</f>
        <v>0.44720496894409939</v>
      </c>
      <c r="E22" s="27" t="s">
        <v>74</v>
      </c>
      <c r="F22" s="24" t="s">
        <v>29</v>
      </c>
      <c r="G22" s="12">
        <v>1</v>
      </c>
      <c r="H22" s="88">
        <f>IF(B$20=0,0,G22/B$20)</f>
        <v>6.2111801242236021E-3</v>
      </c>
      <c r="I22" s="58">
        <v>2</v>
      </c>
      <c r="K22" s="74">
        <v>20</v>
      </c>
      <c r="L22" s="119">
        <v>-72.000000000000014</v>
      </c>
      <c r="M22" s="117">
        <v>1645.6975326081119</v>
      </c>
      <c r="O22" s="74" t="s">
        <v>189</v>
      </c>
      <c r="P22" s="83">
        <f t="shared" si="2"/>
        <v>-14.606666666666664</v>
      </c>
      <c r="Q22" s="77">
        <v>15</v>
      </c>
      <c r="R22" s="68">
        <v>-219.09999999999997</v>
      </c>
    </row>
    <row r="23" spans="1:18" x14ac:dyDescent="0.4">
      <c r="A23" s="19" t="s">
        <v>11</v>
      </c>
      <c r="B23" s="12">
        <v>89</v>
      </c>
      <c r="C23" s="6">
        <f>IF(B$20=0,0,B23/B$20)</f>
        <v>0.55279503105590067</v>
      </c>
      <c r="E23" s="27" t="s">
        <v>97</v>
      </c>
      <c r="F23" s="24" t="s">
        <v>52</v>
      </c>
      <c r="G23" s="12">
        <v>1</v>
      </c>
      <c r="H23" s="88">
        <f>IF(B$20=0,0,G23/B$20)</f>
        <v>6.2111801242236021E-3</v>
      </c>
      <c r="I23" s="58">
        <v>1</v>
      </c>
      <c r="K23" s="74">
        <v>21</v>
      </c>
      <c r="L23" s="119">
        <v>-118.50000000000001</v>
      </c>
      <c r="M23" s="117">
        <v>1637.3713474124634</v>
      </c>
      <c r="O23" s="74" t="s">
        <v>195</v>
      </c>
      <c r="P23" s="83">
        <f t="shared" si="2"/>
        <v>-14.800000000000004</v>
      </c>
      <c r="Q23" s="77">
        <v>12</v>
      </c>
      <c r="R23" s="68">
        <v>-177.60000000000005</v>
      </c>
    </row>
    <row r="24" spans="1:18" x14ac:dyDescent="0.4">
      <c r="A24" s="19" t="s">
        <v>183</v>
      </c>
      <c r="B24" s="12">
        <v>89</v>
      </c>
      <c r="C24" s="6">
        <f>IF(B$20=0,0,B24/B$20)</f>
        <v>0.55279503105590067</v>
      </c>
      <c r="E24" s="27" t="s">
        <v>73</v>
      </c>
      <c r="F24" s="24" t="s">
        <v>28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-81.200000000000017</v>
      </c>
      <c r="M24" s="117">
        <v>1644.1791193279885</v>
      </c>
    </row>
    <row r="25" spans="1:18" x14ac:dyDescent="0.4">
      <c r="A25" s="19" t="s">
        <v>181</v>
      </c>
      <c r="B25" s="12">
        <v>39</v>
      </c>
      <c r="C25" s="6">
        <f>IF(B$20=0,0,B25/B$20)</f>
        <v>0.24223602484472051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-79.90000000000002</v>
      </c>
      <c r="M25" s="117">
        <v>1644.4660446120206</v>
      </c>
    </row>
    <row r="26" spans="1:18" x14ac:dyDescent="0.4">
      <c r="A26" s="19" t="s">
        <v>182</v>
      </c>
      <c r="B26" s="12">
        <v>33</v>
      </c>
      <c r="C26" s="6">
        <f>IF(B$20=0,0,B26/B$20)</f>
        <v>0.20496894409937888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7</v>
      </c>
      <c r="K26" s="74">
        <v>24</v>
      </c>
      <c r="L26" s="119">
        <v>7.3999999999999773</v>
      </c>
      <c r="M26" s="117">
        <v>1660.2312483443484</v>
      </c>
    </row>
    <row r="27" spans="1:18" x14ac:dyDescent="0.4">
      <c r="A27" s="19" t="s">
        <v>5</v>
      </c>
      <c r="B27" s="16">
        <f>IF(B$20=0,0,C27/B$20)</f>
        <v>10189.440993788819</v>
      </c>
      <c r="C27" s="8">
        <v>1640500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-45.500000000000021</v>
      </c>
      <c r="M27" s="117">
        <v>1649.5258608542822</v>
      </c>
    </row>
    <row r="28" spans="1:18" x14ac:dyDescent="0.4">
      <c r="A28" s="20" t="s">
        <v>165</v>
      </c>
      <c r="B28" s="95">
        <f>IF($B$20-B$19=0,0,C28/($B$20-B$19))</f>
        <v>10645.901639344262</v>
      </c>
      <c r="C28" s="96">
        <v>1298800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-118.20000000000002</v>
      </c>
      <c r="M28" s="117">
        <v>1635.3267056891566</v>
      </c>
    </row>
    <row r="29" spans="1:18" x14ac:dyDescent="0.4">
      <c r="A29" s="20" t="s">
        <v>166</v>
      </c>
      <c r="B29" s="95">
        <f>IF(B$19=0,0,C29/B$19)</f>
        <v>8761.538461538461</v>
      </c>
      <c r="C29" s="96">
        <v>341700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-164.8</v>
      </c>
      <c r="M29" s="117">
        <v>1627.2427454550216</v>
      </c>
    </row>
    <row r="30" spans="1:18" x14ac:dyDescent="0.4">
      <c r="A30" s="20" t="s">
        <v>164</v>
      </c>
      <c r="B30" s="95">
        <f>IF(B$21=0,0,C30/B$21)</f>
        <v>-7580</v>
      </c>
      <c r="C30" s="96">
        <v>-795900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4</v>
      </c>
      <c r="K30" s="74">
        <v>28</v>
      </c>
      <c r="L30" s="119">
        <v>-131.20000000000002</v>
      </c>
      <c r="M30" s="117">
        <v>1633.6432889822916</v>
      </c>
    </row>
    <row r="31" spans="1:18" x14ac:dyDescent="0.4">
      <c r="A31" s="19" t="s">
        <v>157</v>
      </c>
      <c r="B31" s="12">
        <v>7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-89.600000000000023</v>
      </c>
      <c r="M31" s="117">
        <v>1640.6654292483979</v>
      </c>
    </row>
    <row r="32" spans="1:18" x14ac:dyDescent="0.4">
      <c r="A32" s="19" t="s">
        <v>158</v>
      </c>
      <c r="B32" s="12">
        <v>25</v>
      </c>
      <c r="C32" s="90">
        <v>3</v>
      </c>
      <c r="E32" s="27" t="s">
        <v>88</v>
      </c>
      <c r="F32" s="24" t="s">
        <v>43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1.3999999999999773</v>
      </c>
      <c r="M32" s="117">
        <v>1656.1834366729074</v>
      </c>
    </row>
    <row r="33" spans="1:13" x14ac:dyDescent="0.4">
      <c r="A33" s="54" t="s">
        <v>136</v>
      </c>
      <c r="B33" s="127">
        <v>7</v>
      </c>
      <c r="C33" s="128"/>
      <c r="E33" s="27" t="s">
        <v>90</v>
      </c>
      <c r="F33" s="24" t="s">
        <v>45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8.199999999999978</v>
      </c>
      <c r="M33" s="117">
        <v>1656.4523360528699</v>
      </c>
    </row>
    <row r="34" spans="1:13" x14ac:dyDescent="0.4">
      <c r="A34" s="22" t="s">
        <v>180</v>
      </c>
      <c r="B34" s="129">
        <v>116000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-18.600000000000023</v>
      </c>
      <c r="M34" s="117">
        <v>1650.6716220365527</v>
      </c>
    </row>
    <row r="35" spans="1:13" x14ac:dyDescent="0.4">
      <c r="A35" s="21" t="s">
        <v>137</v>
      </c>
      <c r="B35" s="29">
        <v>5</v>
      </c>
      <c r="C35" s="9">
        <f>IF(B$3=0,0,B35/B$3)</f>
        <v>8.4745762711864406E-3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-17.800000000000022</v>
      </c>
      <c r="M35" s="117">
        <v>1650.7995923043334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4</v>
      </c>
      <c r="K36" s="74">
        <v>34</v>
      </c>
      <c r="L36" s="119">
        <v>-68.100000000000023</v>
      </c>
      <c r="M36" s="117">
        <v>1641.7227947505073</v>
      </c>
    </row>
    <row r="37" spans="1:13" x14ac:dyDescent="0.4">
      <c r="A37" s="54" t="s">
        <v>171</v>
      </c>
      <c r="B37" s="123">
        <v>5</v>
      </c>
      <c r="C37" s="98">
        <f t="shared" ref="C37:C49" si="3">IF(B$20=0,0,B37/B$20)</f>
        <v>3.1055900621118012E-2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-29.40000000000002</v>
      </c>
      <c r="M37" s="117">
        <v>1648.7264579820044</v>
      </c>
    </row>
    <row r="38" spans="1:13" x14ac:dyDescent="0.4">
      <c r="A38" s="19" t="s">
        <v>167</v>
      </c>
      <c r="B38" s="12">
        <v>16</v>
      </c>
      <c r="C38" s="6">
        <f t="shared" si="3"/>
        <v>9.9378881987577633E-2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-70.000000000000028</v>
      </c>
      <c r="M38" s="117">
        <v>1641.6480992341124</v>
      </c>
    </row>
    <row r="39" spans="1:13" x14ac:dyDescent="0.4">
      <c r="A39" s="19" t="s">
        <v>168</v>
      </c>
      <c r="B39" s="124">
        <v>19</v>
      </c>
      <c r="C39" s="6">
        <f t="shared" si="3"/>
        <v>0.11801242236024845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-124.40000000000003</v>
      </c>
      <c r="M39" s="117">
        <v>1632.1282106387077</v>
      </c>
    </row>
    <row r="40" spans="1:13" x14ac:dyDescent="0.4">
      <c r="A40" s="19" t="s">
        <v>169</v>
      </c>
      <c r="B40" s="124">
        <v>39</v>
      </c>
      <c r="C40" s="6">
        <f t="shared" si="3"/>
        <v>0.24223602484472051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-160.30000000000004</v>
      </c>
      <c r="M40" s="117">
        <v>1625.7674413748755</v>
      </c>
    </row>
    <row r="41" spans="1:13" x14ac:dyDescent="0.4">
      <c r="A41" s="19" t="s">
        <v>170</v>
      </c>
      <c r="B41" s="124">
        <v>30</v>
      </c>
      <c r="C41" s="6">
        <f t="shared" si="3"/>
        <v>0.18633540372670807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-154.80000000000004</v>
      </c>
      <c r="M41" s="117">
        <v>1627.1248367266262</v>
      </c>
    </row>
    <row r="42" spans="1:13" x14ac:dyDescent="0.4">
      <c r="A42" s="19" t="s">
        <v>172</v>
      </c>
      <c r="B42" s="124">
        <v>22</v>
      </c>
      <c r="C42" s="6">
        <f t="shared" si="3"/>
        <v>0.13664596273291926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-180.70000000000005</v>
      </c>
      <c r="M42" s="117">
        <v>1622.8220877062665</v>
      </c>
    </row>
    <row r="43" spans="1:13" x14ac:dyDescent="0.4">
      <c r="A43" s="19" t="s">
        <v>173</v>
      </c>
      <c r="B43" s="124">
        <v>14</v>
      </c>
      <c r="C43" s="6">
        <f t="shared" si="3"/>
        <v>8.6956521739130432E-2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-148.20000000000005</v>
      </c>
      <c r="M43" s="117">
        <v>1629.0331551800289</v>
      </c>
    </row>
    <row r="44" spans="1:13" x14ac:dyDescent="0.4">
      <c r="A44" s="19" t="s">
        <v>174</v>
      </c>
      <c r="B44" s="124">
        <v>6</v>
      </c>
      <c r="C44" s="6">
        <f t="shared" si="3"/>
        <v>3.7267080745341616E-2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-193.80000000000004</v>
      </c>
      <c r="M44" s="117">
        <v>1621.1429562489486</v>
      </c>
    </row>
    <row r="45" spans="1:13" x14ac:dyDescent="0.4">
      <c r="A45" s="19" t="s">
        <v>175</v>
      </c>
      <c r="B45" s="124">
        <v>4</v>
      </c>
      <c r="C45" s="6">
        <f t="shared" si="3"/>
        <v>2.4844720496894408E-2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-202.10000000000005</v>
      </c>
      <c r="M45" s="117">
        <v>1619.7080985114549</v>
      </c>
    </row>
    <row r="46" spans="1:13" x14ac:dyDescent="0.4">
      <c r="A46" s="19" t="s">
        <v>176</v>
      </c>
      <c r="B46" s="124">
        <v>0</v>
      </c>
      <c r="C46" s="6">
        <f t="shared" si="3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-184.20000000000005</v>
      </c>
      <c r="M46" s="117">
        <v>1623.3158499203862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-214.00000000000006</v>
      </c>
      <c r="M47" s="117">
        <v>1618.2799548208638</v>
      </c>
    </row>
    <row r="48" spans="1:13" x14ac:dyDescent="0.4">
      <c r="A48" s="19" t="s">
        <v>178</v>
      </c>
      <c r="B48" s="124">
        <v>3</v>
      </c>
      <c r="C48" s="6">
        <f t="shared" si="3"/>
        <v>1.8633540372670808E-2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-200.50000000000006</v>
      </c>
      <c r="M48" s="117">
        <v>1620.7622750919386</v>
      </c>
    </row>
    <row r="49" spans="1:13" x14ac:dyDescent="0.4">
      <c r="A49" s="21" t="s">
        <v>179</v>
      </c>
      <c r="B49" s="97">
        <v>3</v>
      </c>
      <c r="C49" s="9">
        <f t="shared" si="3"/>
        <v>1.8633540372670808E-2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-157.00000000000006</v>
      </c>
      <c r="M49" s="117">
        <v>1628.9417014413871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-87.900000000000063</v>
      </c>
      <c r="M50" s="117">
        <v>1641.6800512327388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-106.60000000000007</v>
      </c>
      <c r="M51" s="117">
        <v>1637.5539709253424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-122.60000000000007</v>
      </c>
      <c r="M52" s="117">
        <v>1633.9626470997903</v>
      </c>
    </row>
    <row r="53" spans="1:13" x14ac:dyDescent="0.4">
      <c r="K53" s="74">
        <v>51</v>
      </c>
      <c r="L53" s="119">
        <v>-114.20000000000006</v>
      </c>
      <c r="M53" s="117">
        <v>1635.7508712171916</v>
      </c>
    </row>
    <row r="54" spans="1:13" x14ac:dyDescent="0.4">
      <c r="K54" s="74">
        <v>52</v>
      </c>
      <c r="L54" s="119">
        <v>-89.900000000000063</v>
      </c>
      <c r="M54" s="117">
        <v>1640.3903659898886</v>
      </c>
    </row>
    <row r="55" spans="1:13" x14ac:dyDescent="0.4">
      <c r="K55" s="74">
        <v>53</v>
      </c>
      <c r="L55" s="119">
        <v>-61.800000000000061</v>
      </c>
      <c r="M55" s="117">
        <v>1645.7100237939492</v>
      </c>
    </row>
    <row r="56" spans="1:13" x14ac:dyDescent="0.4">
      <c r="K56" s="74">
        <v>54</v>
      </c>
      <c r="L56" s="119">
        <v>-63.800000000000061</v>
      </c>
      <c r="M56" s="117">
        <v>1645.5857636511855</v>
      </c>
    </row>
    <row r="57" spans="1:13" x14ac:dyDescent="0.4">
      <c r="K57" s="74">
        <v>55</v>
      </c>
      <c r="L57" s="119">
        <v>-114.10000000000005</v>
      </c>
      <c r="M57" s="117">
        <v>1635.6822490692784</v>
      </c>
    </row>
    <row r="58" spans="1:13" x14ac:dyDescent="0.4">
      <c r="K58" s="74">
        <v>56</v>
      </c>
      <c r="L58" s="119">
        <v>-110.70000000000005</v>
      </c>
      <c r="M58" s="117">
        <v>1636.2841555748628</v>
      </c>
    </row>
    <row r="59" spans="1:13" x14ac:dyDescent="0.4">
      <c r="K59" s="74">
        <v>57</v>
      </c>
      <c r="L59" s="119">
        <v>-89.600000000000051</v>
      </c>
      <c r="M59" s="117">
        <v>1640.0684506414136</v>
      </c>
    </row>
    <row r="60" spans="1:13" x14ac:dyDescent="0.4">
      <c r="K60" s="74">
        <v>58</v>
      </c>
      <c r="L60" s="119">
        <v>-110.00000000000006</v>
      </c>
      <c r="M60" s="117">
        <v>1636.6120399375652</v>
      </c>
    </row>
    <row r="61" spans="1:13" x14ac:dyDescent="0.4">
      <c r="K61" s="74">
        <v>59</v>
      </c>
      <c r="L61" s="119">
        <v>-105.20000000000006</v>
      </c>
      <c r="M61" s="117">
        <v>1637.7123676979397</v>
      </c>
    </row>
    <row r="62" spans="1:13" x14ac:dyDescent="0.4">
      <c r="K62" s="74">
        <v>60</v>
      </c>
      <c r="L62" s="119">
        <v>-152.00000000000006</v>
      </c>
      <c r="M62" s="117">
        <v>1629.5180934917521</v>
      </c>
    </row>
    <row r="63" spans="1:13" x14ac:dyDescent="0.4">
      <c r="K63" s="74">
        <v>61</v>
      </c>
      <c r="L63" s="119">
        <v>-119.60000000000005</v>
      </c>
      <c r="M63" s="117">
        <v>1635.6289849308016</v>
      </c>
    </row>
    <row r="64" spans="1:13" x14ac:dyDescent="0.4">
      <c r="K64" s="74">
        <v>62</v>
      </c>
      <c r="L64" s="119">
        <v>-112.60000000000005</v>
      </c>
      <c r="M64" s="117">
        <v>1637.1432110212168</v>
      </c>
    </row>
    <row r="65" spans="11:13" x14ac:dyDescent="0.4">
      <c r="K65" s="74">
        <v>63</v>
      </c>
      <c r="L65" s="119">
        <v>-64.900000000000048</v>
      </c>
      <c r="M65" s="117">
        <v>1645.0563517550895</v>
      </c>
    </row>
    <row r="66" spans="11:13" x14ac:dyDescent="0.4">
      <c r="K66" s="74">
        <v>64</v>
      </c>
      <c r="L66" s="119">
        <v>-63.700000000000045</v>
      </c>
      <c r="M66" s="117">
        <v>1644.510013644559</v>
      </c>
    </row>
    <row r="67" spans="11:13" x14ac:dyDescent="0.4">
      <c r="K67" s="74">
        <v>65</v>
      </c>
      <c r="L67" s="119">
        <v>-78.900000000000048</v>
      </c>
      <c r="M67" s="117">
        <v>1641.0149535626915</v>
      </c>
    </row>
    <row r="68" spans="11:13" x14ac:dyDescent="0.4">
      <c r="K68" s="74">
        <v>66</v>
      </c>
      <c r="L68" s="119">
        <v>-52.300000000000047</v>
      </c>
      <c r="M68" s="117">
        <v>1645.6828638413153</v>
      </c>
    </row>
    <row r="69" spans="11:13" x14ac:dyDescent="0.4">
      <c r="K69" s="74">
        <v>67</v>
      </c>
      <c r="L69" s="119">
        <v>-69.200000000000045</v>
      </c>
      <c r="M69" s="117">
        <v>1641.8807666582675</v>
      </c>
    </row>
    <row r="70" spans="11:13" x14ac:dyDescent="0.4">
      <c r="K70" s="74">
        <v>68</v>
      </c>
      <c r="L70" s="119">
        <v>-74.200000000000045</v>
      </c>
      <c r="M70" s="117">
        <v>1640.2914820583178</v>
      </c>
    </row>
    <row r="71" spans="11:13" x14ac:dyDescent="0.4">
      <c r="K71" s="74">
        <v>69</v>
      </c>
      <c r="L71" s="119">
        <v>-17.600000000000044</v>
      </c>
      <c r="M71" s="117">
        <v>1649.7997331659678</v>
      </c>
    </row>
    <row r="72" spans="11:13" x14ac:dyDescent="0.4">
      <c r="K72" s="74">
        <v>70</v>
      </c>
      <c r="L72" s="119">
        <v>10.799999999999955</v>
      </c>
      <c r="M72" s="117">
        <v>1654.8229347669721</v>
      </c>
    </row>
    <row r="73" spans="11:13" x14ac:dyDescent="0.4">
      <c r="K73" s="74">
        <v>71</v>
      </c>
      <c r="L73" s="119">
        <v>18.299999999999955</v>
      </c>
      <c r="M73" s="117">
        <v>1656.0599971583704</v>
      </c>
    </row>
    <row r="74" spans="11:13" x14ac:dyDescent="0.4">
      <c r="K74" s="74">
        <v>72</v>
      </c>
      <c r="L74" s="119">
        <v>57.899999999999956</v>
      </c>
      <c r="M74" s="117">
        <v>1662.6176371754202</v>
      </c>
    </row>
    <row r="75" spans="11:13" x14ac:dyDescent="0.4">
      <c r="K75" s="74">
        <v>73</v>
      </c>
      <c r="L75" s="119">
        <v>9.5999999999999588</v>
      </c>
      <c r="M75" s="117">
        <v>1653.1699313523677</v>
      </c>
    </row>
  </sheetData>
  <sortState xmlns:xlrd2="http://schemas.microsoft.com/office/spreadsheetml/2017/richdata2" ref="E2:I76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10F4E-0148-43B2-8A6C-9146881D6156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198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9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0.9375</v>
      </c>
      <c r="I2" s="57">
        <v>1</v>
      </c>
      <c r="K2" s="73">
        <v>0</v>
      </c>
      <c r="L2" s="118">
        <v>0</v>
      </c>
      <c r="M2" s="116">
        <v>1477.1627652918316</v>
      </c>
      <c r="O2" s="73" t="s">
        <v>128</v>
      </c>
      <c r="P2" s="79">
        <f t="shared" ref="P2:P7" si="0">IF(Q2=0,0,R2/Q2)</f>
        <v>850</v>
      </c>
      <c r="Q2" s="76">
        <v>8</v>
      </c>
      <c r="R2" s="63">
        <v>6800</v>
      </c>
    </row>
    <row r="3" spans="1:18" x14ac:dyDescent="0.4">
      <c r="A3" s="19" t="s">
        <v>8</v>
      </c>
      <c r="B3" s="135">
        <v>74</v>
      </c>
      <c r="C3" s="136"/>
      <c r="E3" s="27" t="s">
        <v>64</v>
      </c>
      <c r="F3" s="24" t="s">
        <v>20</v>
      </c>
      <c r="G3" s="12">
        <v>11</v>
      </c>
      <c r="H3" s="88">
        <f>IF(B$20=0,0,G3/B$20)</f>
        <v>0.6875</v>
      </c>
      <c r="I3" s="58">
        <v>4</v>
      </c>
      <c r="K3" s="74">
        <v>1</v>
      </c>
      <c r="L3" s="119">
        <v>-36.299999999999997</v>
      </c>
      <c r="M3" s="117">
        <v>1470.7657887000807</v>
      </c>
      <c r="O3" s="74" t="s">
        <v>129</v>
      </c>
      <c r="P3" s="80">
        <f t="shared" si="0"/>
        <v>-1444.4444444444443</v>
      </c>
      <c r="Q3" s="77">
        <v>9</v>
      </c>
      <c r="R3" s="64">
        <v>-13000</v>
      </c>
    </row>
    <row r="4" spans="1:18" x14ac:dyDescent="0.4">
      <c r="A4" s="19" t="s">
        <v>6</v>
      </c>
      <c r="B4" s="137">
        <v>-105.5</v>
      </c>
      <c r="C4" s="138"/>
      <c r="E4" s="27" t="s">
        <v>72</v>
      </c>
      <c r="F4" s="24" t="s">
        <v>27</v>
      </c>
      <c r="G4" s="12">
        <v>11</v>
      </c>
      <c r="H4" s="88">
        <f>IF(B$20=0,0,G4/B$20)</f>
        <v>0.6875</v>
      </c>
      <c r="I4" s="58">
        <v>1</v>
      </c>
      <c r="K4" s="74">
        <v>2</v>
      </c>
      <c r="L4" s="119">
        <v>-75.5</v>
      </c>
      <c r="M4" s="117">
        <v>1464.9291939678803</v>
      </c>
      <c r="O4" s="74" t="s">
        <v>130</v>
      </c>
      <c r="P4" s="80">
        <f t="shared" si="0"/>
        <v>-3011.1111111111113</v>
      </c>
      <c r="Q4" s="77">
        <v>9</v>
      </c>
      <c r="R4" s="64">
        <v>-27100</v>
      </c>
    </row>
    <row r="5" spans="1:18" x14ac:dyDescent="0.4">
      <c r="A5" s="19" t="s">
        <v>7</v>
      </c>
      <c r="B5" s="125">
        <f>IF(B$2=0,0,B$4/B$2)</f>
        <v>-11.722222222222221</v>
      </c>
      <c r="C5" s="126"/>
      <c r="E5" s="27" t="s">
        <v>159</v>
      </c>
      <c r="F5" s="24" t="s">
        <v>160</v>
      </c>
      <c r="G5" s="12">
        <v>9</v>
      </c>
      <c r="H5" s="88">
        <f>IF(B$20=0,0,G5/B$20)</f>
        <v>0.5625</v>
      </c>
      <c r="I5" s="58">
        <v>1</v>
      </c>
      <c r="K5" s="74">
        <v>3</v>
      </c>
      <c r="L5" s="119">
        <v>-90.3</v>
      </c>
      <c r="M5" s="117">
        <v>1462.709618804073</v>
      </c>
      <c r="O5" s="74" t="s">
        <v>131</v>
      </c>
      <c r="P5" s="80">
        <f t="shared" si="0"/>
        <v>2188.8888888888887</v>
      </c>
      <c r="Q5" s="77">
        <v>9</v>
      </c>
      <c r="R5" s="64">
        <v>19700</v>
      </c>
    </row>
    <row r="6" spans="1:18" x14ac:dyDescent="0.4">
      <c r="A6" s="19" t="s">
        <v>196</v>
      </c>
      <c r="B6" s="129">
        <v>1463.4239467393418</v>
      </c>
      <c r="C6" s="130"/>
      <c r="E6" s="27" t="s">
        <v>68</v>
      </c>
      <c r="F6" s="24" t="s">
        <v>12</v>
      </c>
      <c r="G6" s="12">
        <v>4</v>
      </c>
      <c r="H6" s="88">
        <f>IF(B$20=0,0,G6/B$20)</f>
        <v>0.25</v>
      </c>
      <c r="I6" s="58">
        <v>11</v>
      </c>
      <c r="K6" s="74">
        <v>4</v>
      </c>
      <c r="L6" s="119">
        <v>-83.899999999999991</v>
      </c>
      <c r="M6" s="117">
        <v>1465.1293610912485</v>
      </c>
      <c r="O6" s="74" t="s">
        <v>132</v>
      </c>
      <c r="P6" s="80">
        <f t="shared" si="0"/>
        <v>-1237.5</v>
      </c>
      <c r="Q6" s="77">
        <v>8</v>
      </c>
      <c r="R6" s="64">
        <v>-9900</v>
      </c>
    </row>
    <row r="7" spans="1:18" x14ac:dyDescent="0.4">
      <c r="A7" s="19" t="s">
        <v>1</v>
      </c>
      <c r="B7" s="139">
        <f>IF(B$2=0,0,(B$8*1+B$9*2+B$10*3)/B$2)</f>
        <v>2.2222222222222223</v>
      </c>
      <c r="C7" s="140"/>
      <c r="E7" s="27" t="s">
        <v>67</v>
      </c>
      <c r="F7" s="24" t="s">
        <v>23</v>
      </c>
      <c r="G7" s="12">
        <v>3</v>
      </c>
      <c r="H7" s="88">
        <f>IF(B$20=0,0,G7/B$20)</f>
        <v>0.1875</v>
      </c>
      <c r="I7" s="58">
        <v>11</v>
      </c>
      <c r="K7" s="74">
        <v>5</v>
      </c>
      <c r="L7" s="119">
        <v>-57.899999999999991</v>
      </c>
      <c r="M7" s="117">
        <v>1470.792584924701</v>
      </c>
      <c r="O7" s="75" t="s">
        <v>133</v>
      </c>
      <c r="P7" s="81">
        <f t="shared" si="0"/>
        <v>-7642.8571428571431</v>
      </c>
      <c r="Q7" s="78">
        <v>7</v>
      </c>
      <c r="R7" s="65">
        <v>-53500</v>
      </c>
    </row>
    <row r="8" spans="1:18" x14ac:dyDescent="0.4">
      <c r="A8" s="19" t="s">
        <v>2</v>
      </c>
      <c r="B8" s="12">
        <v>2</v>
      </c>
      <c r="C8" s="6">
        <f t="shared" ref="C8:C15" si="1">IF(B$2=0,0,B8/B$2)</f>
        <v>0.22222222222222221</v>
      </c>
      <c r="E8" s="27" t="s">
        <v>89</v>
      </c>
      <c r="F8" s="24" t="s">
        <v>44</v>
      </c>
      <c r="G8" s="12">
        <v>3</v>
      </c>
      <c r="H8" s="88">
        <f>IF(B$20=0,0,G8/B$20)</f>
        <v>0.1875</v>
      </c>
      <c r="I8" s="58">
        <v>1</v>
      </c>
      <c r="K8" s="74">
        <v>6</v>
      </c>
      <c r="L8" s="119">
        <v>-16.199999999999989</v>
      </c>
      <c r="M8" s="117">
        <v>1478.2218294151528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1"/>
        <v>0.33333333333333331</v>
      </c>
      <c r="E9" s="27" t="s">
        <v>65</v>
      </c>
      <c r="F9" s="24" t="s">
        <v>21</v>
      </c>
      <c r="G9" s="12">
        <v>2</v>
      </c>
      <c r="H9" s="88">
        <f>IF(B$20=0,0,G9/B$20)</f>
        <v>0.125</v>
      </c>
      <c r="I9" s="58">
        <v>4</v>
      </c>
      <c r="K9" s="74">
        <v>7</v>
      </c>
      <c r="L9" s="119">
        <v>-26.899999999999988</v>
      </c>
      <c r="M9" s="117">
        <v>1476.1744984386619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</v>
      </c>
      <c r="C10" s="7">
        <f t="shared" si="1"/>
        <v>0.44444444444444442</v>
      </c>
      <c r="E10" s="27" t="s">
        <v>69</v>
      </c>
      <c r="F10" s="24" t="s">
        <v>24</v>
      </c>
      <c r="G10" s="12">
        <v>2</v>
      </c>
      <c r="H10" s="88">
        <f>IF(B$20=0,0,G10/B$20)</f>
        <v>0.125</v>
      </c>
      <c r="I10" s="58">
        <v>9</v>
      </c>
      <c r="K10" s="74">
        <v>8</v>
      </c>
      <c r="L10" s="119">
        <v>-59.899999999999991</v>
      </c>
      <c r="M10" s="117">
        <v>1470.9174514480299</v>
      </c>
      <c r="O10" s="73" t="s">
        <v>151</v>
      </c>
      <c r="P10" s="82">
        <f>IF(Q10=0,0,R10/Q10)</f>
        <v>-7.74</v>
      </c>
      <c r="Q10" s="76">
        <v>5</v>
      </c>
      <c r="R10" s="67">
        <v>-38.700000000000003</v>
      </c>
    </row>
    <row r="11" spans="1:18" x14ac:dyDescent="0.4">
      <c r="A11" s="20" t="s">
        <v>184</v>
      </c>
      <c r="B11" s="109">
        <f>IF(B8=0,0,C11/B8)</f>
        <v>33.85</v>
      </c>
      <c r="C11" s="110">
        <v>67.7</v>
      </c>
      <c r="E11" s="27" t="s">
        <v>71</v>
      </c>
      <c r="F11" s="24" t="s">
        <v>26</v>
      </c>
      <c r="G11" s="12">
        <v>2</v>
      </c>
      <c r="H11" s="88">
        <f>IF(B$20=0,0,G11/B$20)</f>
        <v>0.125</v>
      </c>
      <c r="I11" s="58">
        <v>3</v>
      </c>
      <c r="K11" s="74">
        <v>9</v>
      </c>
      <c r="L11" s="119">
        <v>-105.5</v>
      </c>
      <c r="M11" s="117">
        <v>1463.4239467393418</v>
      </c>
      <c r="O11" s="74" t="s">
        <v>152</v>
      </c>
      <c r="P11" s="83">
        <f>IF(Q11=0,0,R11/Q11)</f>
        <v>-16.7</v>
      </c>
      <c r="Q11" s="77">
        <v>4</v>
      </c>
      <c r="R11" s="68">
        <v>-66.8</v>
      </c>
    </row>
    <row r="12" spans="1:18" x14ac:dyDescent="0.4">
      <c r="A12" s="20" t="s">
        <v>185</v>
      </c>
      <c r="B12" s="109">
        <f>IF(B9=0,0,C12/B9)</f>
        <v>-6.3666666666666671</v>
      </c>
      <c r="C12" s="110">
        <v>-19.100000000000001</v>
      </c>
      <c r="E12" s="27" t="s">
        <v>77</v>
      </c>
      <c r="F12" s="24" t="s">
        <v>32</v>
      </c>
      <c r="G12" s="12">
        <v>1</v>
      </c>
      <c r="H12" s="88">
        <f>IF(B$20=0,0,G12/B$20)</f>
        <v>6.25E-2</v>
      </c>
      <c r="I12" s="58">
        <v>1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-38.524999999999999</v>
      </c>
      <c r="C13" s="110">
        <v>-154.1</v>
      </c>
      <c r="E13" s="27" t="s">
        <v>83</v>
      </c>
      <c r="F13" s="24" t="s">
        <v>38</v>
      </c>
      <c r="G13" s="12">
        <v>1</v>
      </c>
      <c r="H13" s="88">
        <f>IF(B$20=0,0,G13/B$20)</f>
        <v>6.25E-2</v>
      </c>
      <c r="I13" s="58">
        <v>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-3.6805555555555549</v>
      </c>
      <c r="C14" s="126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0.1111111111111111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5</v>
      </c>
      <c r="O15" s="73" t="s">
        <v>192</v>
      </c>
      <c r="P15" s="82">
        <f>IF(Q15=0,0,R15/Q15)</f>
        <v>57.7</v>
      </c>
      <c r="Q15" s="76">
        <v>1</v>
      </c>
      <c r="R15" s="67">
        <v>57.7</v>
      </c>
    </row>
    <row r="16" spans="1:18" x14ac:dyDescent="0.4">
      <c r="A16" s="22" t="s">
        <v>121</v>
      </c>
      <c r="B16" s="15">
        <v>21</v>
      </c>
      <c r="C16" s="10">
        <f>IF(B$3=0,0,B16/B$3)</f>
        <v>0.28378378378378377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4</v>
      </c>
      <c r="O16" s="74" t="s">
        <v>189</v>
      </c>
      <c r="P16" s="83">
        <f>IF(Q16=0,0,R16/Q16)</f>
        <v>-4.2000000000000011</v>
      </c>
      <c r="Q16" s="77">
        <v>4</v>
      </c>
      <c r="R16" s="68">
        <v>-16.800000000000004</v>
      </c>
    </row>
    <row r="17" spans="1:18" x14ac:dyDescent="0.4">
      <c r="A17" s="19" t="s">
        <v>118</v>
      </c>
      <c r="B17" s="12">
        <v>6</v>
      </c>
      <c r="C17" s="6">
        <f>IF(B$3=0,0,B17/B$3)</f>
        <v>8.1081081081081086E-2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7</v>
      </c>
      <c r="O17" s="74" t="s">
        <v>190</v>
      </c>
      <c r="P17" s="83">
        <f>IF(Q17=0,0,R17/Q17)</f>
        <v>-23.599999999999998</v>
      </c>
      <c r="Q17" s="77">
        <v>3</v>
      </c>
      <c r="R17" s="68">
        <v>-70.8</v>
      </c>
    </row>
    <row r="18" spans="1:18" x14ac:dyDescent="0.4">
      <c r="A18" s="18" t="s">
        <v>123</v>
      </c>
      <c r="B18" s="11">
        <f>B24</f>
        <v>10</v>
      </c>
      <c r="C18" s="5">
        <f>IF(B$16=0,0,B18/B$16)</f>
        <v>0.47619047619047616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163</v>
      </c>
      <c r="P18" s="83">
        <f>IF(Q18=0,0,R18/Q18)</f>
        <v>-26.674999999999997</v>
      </c>
      <c r="Q18" s="77">
        <v>4</v>
      </c>
      <c r="R18" s="68">
        <v>-106.69999999999999</v>
      </c>
    </row>
    <row r="19" spans="1:18" x14ac:dyDescent="0.4">
      <c r="A19" s="18" t="s">
        <v>124</v>
      </c>
      <c r="B19" s="11">
        <f>B25</f>
        <v>3</v>
      </c>
      <c r="C19" s="5">
        <f>IF(B$17=0,0,B19/B$17)</f>
        <v>0.5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9</v>
      </c>
      <c r="O19" s="74" t="s">
        <v>126</v>
      </c>
      <c r="P19" s="83">
        <f>IF(Q19=0,0,R19/Q19)</f>
        <v>-29.983333333333331</v>
      </c>
      <c r="Q19" s="77">
        <v>6</v>
      </c>
      <c r="R19" s="68">
        <v>-179.89999999999998</v>
      </c>
    </row>
    <row r="20" spans="1:18" x14ac:dyDescent="0.4">
      <c r="A20" s="18" t="s">
        <v>10</v>
      </c>
      <c r="B20" s="11">
        <f>B23+B22</f>
        <v>16</v>
      </c>
      <c r="C20" s="5">
        <f>IF(B$3=0,0,B20/B$3)</f>
        <v>0.21621621621621623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18" x14ac:dyDescent="0.4">
      <c r="A21" s="19" t="s">
        <v>13</v>
      </c>
      <c r="B21" s="12">
        <v>17</v>
      </c>
      <c r="C21" s="6">
        <f>IF(B$3=0,0,B21/B$3)</f>
        <v>0.22972972972972974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9</v>
      </c>
      <c r="C22" s="6">
        <f>IF(B$20=0,0,B22/B$20)</f>
        <v>0.5625</v>
      </c>
      <c r="E22" s="27" t="s">
        <v>81</v>
      </c>
      <c r="F22" s="24" t="s">
        <v>36</v>
      </c>
      <c r="G22" s="12">
        <v>0</v>
      </c>
      <c r="H22" s="88">
        <f>IF(B$20=0,0,G22/B$20)</f>
        <v>0</v>
      </c>
      <c r="I22" s="58">
        <v>8</v>
      </c>
    </row>
    <row r="23" spans="1:18" x14ac:dyDescent="0.4">
      <c r="A23" s="19" t="s">
        <v>11</v>
      </c>
      <c r="B23" s="12">
        <v>7</v>
      </c>
      <c r="C23" s="6">
        <f>IF(B$20=0,0,B23/B$20)</f>
        <v>0.4375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10</v>
      </c>
      <c r="C24" s="6">
        <f>IF(B$20=0,0,B24/B$20)</f>
        <v>0.625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3</v>
      </c>
      <c r="C25" s="6">
        <f>IF(B$20=0,0,B25/B$20)</f>
        <v>0.1875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4</v>
      </c>
    </row>
    <row r="26" spans="1:18" x14ac:dyDescent="0.4">
      <c r="A26" s="19" t="s">
        <v>182</v>
      </c>
      <c r="B26" s="12">
        <v>3</v>
      </c>
      <c r="C26" s="6">
        <f>IF(B$20=0,0,B26/B$20)</f>
        <v>0.1875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11</v>
      </c>
    </row>
    <row r="27" spans="1:18" x14ac:dyDescent="0.4">
      <c r="A27" s="19" t="s">
        <v>5</v>
      </c>
      <c r="B27" s="16">
        <f>IF(B$20=0,0,C27/B$20)</f>
        <v>9062.5</v>
      </c>
      <c r="C27" s="8">
        <v>145000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4</v>
      </c>
    </row>
    <row r="28" spans="1:18" x14ac:dyDescent="0.4">
      <c r="A28" s="20" t="s">
        <v>165</v>
      </c>
      <c r="B28" s="95">
        <f>IF($B$20-B$19=0,0,C28/($B$20-B$19))</f>
        <v>8253.8461538461543</v>
      </c>
      <c r="C28" s="96">
        <v>107300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">
      <c r="A29" s="20" t="s">
        <v>166</v>
      </c>
      <c r="B29" s="95">
        <f>IF(B$19=0,0,C29/B$19)</f>
        <v>12566.666666666666</v>
      </c>
      <c r="C29" s="96">
        <v>37700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-7317.6470588235297</v>
      </c>
      <c r="C30" s="96">
        <v>-124400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7</v>
      </c>
    </row>
    <row r="32" spans="1:18" x14ac:dyDescent="0.4">
      <c r="A32" s="19" t="s">
        <v>158</v>
      </c>
      <c r="B32" s="12">
        <v>15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66700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4</v>
      </c>
    </row>
    <row r="35" spans="1:9" x14ac:dyDescent="0.4">
      <c r="A35" s="21" t="s">
        <v>137</v>
      </c>
      <c r="B35" s="29">
        <v>1</v>
      </c>
      <c r="C35" s="9">
        <f>IF(B$3=0,0,B35/B$3)</f>
        <v>1.3513513513513514E-2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5</v>
      </c>
      <c r="C38" s="6">
        <f t="shared" si="2"/>
        <v>0.3125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3</v>
      </c>
      <c r="C41" s="6">
        <f t="shared" si="2"/>
        <v>0.1875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5</v>
      </c>
      <c r="C42" s="6">
        <f t="shared" si="2"/>
        <v>0.3125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2"/>
        <v>6.25E-2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73247-FE56-479F-8603-AB60FD640044}">
  <sheetPr codeName="Sheet11"/>
  <dimension ref="A1:R10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101</v>
      </c>
      <c r="C2" s="134"/>
      <c r="E2" s="26" t="s">
        <v>66</v>
      </c>
      <c r="F2" s="23" t="s">
        <v>22</v>
      </c>
      <c r="G2" s="11">
        <v>163</v>
      </c>
      <c r="H2" s="87">
        <f>IF(B$20=0,0,G2/B$20)</f>
        <v>0.6791666666666667</v>
      </c>
      <c r="I2" s="57">
        <v>6</v>
      </c>
      <c r="K2" s="73">
        <v>0</v>
      </c>
      <c r="L2" s="118">
        <v>0</v>
      </c>
      <c r="M2" s="116">
        <v>1878.435448536804</v>
      </c>
      <c r="O2" s="73" t="s">
        <v>128</v>
      </c>
      <c r="P2" s="79">
        <f t="shared" ref="P2:P7" si="0">IF(Q2=0,0,R2/Q2)</f>
        <v>1312</v>
      </c>
      <c r="Q2" s="76">
        <v>100</v>
      </c>
      <c r="R2" s="63">
        <v>131200</v>
      </c>
    </row>
    <row r="3" spans="1:18" x14ac:dyDescent="0.4">
      <c r="A3" s="19" t="s">
        <v>8</v>
      </c>
      <c r="B3" s="135">
        <v>799</v>
      </c>
      <c r="C3" s="136"/>
      <c r="E3" s="27" t="s">
        <v>72</v>
      </c>
      <c r="F3" s="24" t="s">
        <v>27</v>
      </c>
      <c r="G3" s="12">
        <v>123</v>
      </c>
      <c r="H3" s="88">
        <f>IF(B$20=0,0,G3/B$20)</f>
        <v>0.51249999999999996</v>
      </c>
      <c r="I3" s="58">
        <v>8</v>
      </c>
      <c r="K3" s="74">
        <v>1</v>
      </c>
      <c r="L3" s="119">
        <v>39.200000000000003</v>
      </c>
      <c r="M3" s="117">
        <v>1883.2208358455832</v>
      </c>
      <c r="O3" s="74" t="s">
        <v>129</v>
      </c>
      <c r="P3" s="80">
        <f t="shared" si="0"/>
        <v>2306</v>
      </c>
      <c r="Q3" s="77">
        <v>100</v>
      </c>
      <c r="R3" s="64">
        <v>230600</v>
      </c>
    </row>
    <row r="4" spans="1:18" x14ac:dyDescent="0.4">
      <c r="A4" s="19" t="s">
        <v>6</v>
      </c>
      <c r="B4" s="137">
        <v>679.00000000000011</v>
      </c>
      <c r="C4" s="138"/>
      <c r="E4" s="27" t="s">
        <v>64</v>
      </c>
      <c r="F4" s="24" t="s">
        <v>20</v>
      </c>
      <c r="G4" s="12">
        <v>105</v>
      </c>
      <c r="H4" s="88">
        <f>IF(B$20=0,0,G4/B$20)</f>
        <v>0.4375</v>
      </c>
      <c r="I4" s="58">
        <v>9</v>
      </c>
      <c r="K4" s="74">
        <v>2</v>
      </c>
      <c r="L4" s="119">
        <v>99.6</v>
      </c>
      <c r="M4" s="117">
        <v>1892.2675108305098</v>
      </c>
      <c r="O4" s="74" t="s">
        <v>130</v>
      </c>
      <c r="P4" s="80">
        <f t="shared" si="0"/>
        <v>1477.8947368421052</v>
      </c>
      <c r="Q4" s="77">
        <v>95</v>
      </c>
      <c r="R4" s="64">
        <v>140400</v>
      </c>
    </row>
    <row r="5" spans="1:18" x14ac:dyDescent="0.4">
      <c r="A5" s="19" t="s">
        <v>7</v>
      </c>
      <c r="B5" s="125">
        <f>IF(B$2=0,0,B$4/B$2)</f>
        <v>6.7227722772277243</v>
      </c>
      <c r="C5" s="126"/>
      <c r="E5" s="27" t="s">
        <v>159</v>
      </c>
      <c r="F5" s="24" t="s">
        <v>160</v>
      </c>
      <c r="G5" s="12">
        <v>104</v>
      </c>
      <c r="H5" s="88">
        <f>IF(B$20=0,0,G5/B$20)</f>
        <v>0.43333333333333335</v>
      </c>
      <c r="I5" s="58">
        <v>7</v>
      </c>
      <c r="K5" s="74">
        <v>3</v>
      </c>
      <c r="L5" s="119">
        <v>98.1</v>
      </c>
      <c r="M5" s="117">
        <v>1890.1179057655268</v>
      </c>
      <c r="O5" s="74" t="s">
        <v>131</v>
      </c>
      <c r="P5" s="80">
        <f t="shared" si="0"/>
        <v>1040.6976744186047</v>
      </c>
      <c r="Q5" s="77">
        <v>86</v>
      </c>
      <c r="R5" s="64">
        <v>89500</v>
      </c>
    </row>
    <row r="6" spans="1:18" x14ac:dyDescent="0.4">
      <c r="A6" s="19" t="s">
        <v>196</v>
      </c>
      <c r="B6" s="129">
        <v>1842.3339395535957</v>
      </c>
      <c r="C6" s="130"/>
      <c r="E6" s="27" t="s">
        <v>68</v>
      </c>
      <c r="F6" s="24" t="s">
        <v>12</v>
      </c>
      <c r="G6" s="12">
        <v>94</v>
      </c>
      <c r="H6" s="88">
        <f>IF(B$20=0,0,G6/B$20)</f>
        <v>0.39166666666666666</v>
      </c>
      <c r="I6" s="58">
        <v>5</v>
      </c>
      <c r="K6" s="74">
        <v>4</v>
      </c>
      <c r="L6" s="119">
        <v>101.5</v>
      </c>
      <c r="M6" s="117">
        <v>1889.4331983309337</v>
      </c>
      <c r="O6" s="74" t="s">
        <v>132</v>
      </c>
      <c r="P6" s="80">
        <f t="shared" si="0"/>
        <v>-1056.0975609756097</v>
      </c>
      <c r="Q6" s="77">
        <v>82</v>
      </c>
      <c r="R6" s="64">
        <v>-86600</v>
      </c>
    </row>
    <row r="7" spans="1:18" x14ac:dyDescent="0.4">
      <c r="A7" s="19" t="s">
        <v>1</v>
      </c>
      <c r="B7" s="139">
        <f>IF(B$2=0,0,(B$8*1+B$9*2+B$10*3)/B$2)</f>
        <v>1.8217821782178218</v>
      </c>
      <c r="C7" s="140"/>
      <c r="E7" s="27" t="s">
        <v>67</v>
      </c>
      <c r="F7" s="24" t="s">
        <v>23</v>
      </c>
      <c r="G7" s="12">
        <v>64</v>
      </c>
      <c r="H7" s="88">
        <f>IF(B$20=0,0,G7/B$20)</f>
        <v>0.26666666666666666</v>
      </c>
      <c r="I7" s="58">
        <v>4</v>
      </c>
      <c r="K7" s="74">
        <v>5</v>
      </c>
      <c r="L7" s="119">
        <v>143.1</v>
      </c>
      <c r="M7" s="117">
        <v>1895.4485991409481</v>
      </c>
      <c r="O7" s="75" t="s">
        <v>133</v>
      </c>
      <c r="P7" s="81">
        <f t="shared" si="0"/>
        <v>1827.2727272727273</v>
      </c>
      <c r="Q7" s="78">
        <v>66</v>
      </c>
      <c r="R7" s="65">
        <v>120600</v>
      </c>
    </row>
    <row r="8" spans="1:18" x14ac:dyDescent="0.4">
      <c r="A8" s="19" t="s">
        <v>2</v>
      </c>
      <c r="B8" s="12">
        <v>43</v>
      </c>
      <c r="C8" s="6">
        <f t="shared" ref="C8:C15" si="1">IF(B$2=0,0,B8/B$2)</f>
        <v>0.42574257425742573</v>
      </c>
      <c r="E8" s="27" t="s">
        <v>69</v>
      </c>
      <c r="F8" s="24" t="s">
        <v>24</v>
      </c>
      <c r="G8" s="12">
        <v>46</v>
      </c>
      <c r="H8" s="88">
        <f>IF(B$20=0,0,G8/B$20)</f>
        <v>0.19166666666666668</v>
      </c>
      <c r="I8" s="58">
        <v>2</v>
      </c>
      <c r="K8" s="74">
        <v>6</v>
      </c>
      <c r="L8" s="119">
        <v>164.5</v>
      </c>
      <c r="M8" s="117">
        <v>1897.4739075461025</v>
      </c>
      <c r="O8" s="107"/>
      <c r="P8" s="85"/>
      <c r="Q8" s="108"/>
      <c r="R8" s="70"/>
    </row>
    <row r="9" spans="1:18" x14ac:dyDescent="0.4">
      <c r="A9" s="19" t="s">
        <v>3</v>
      </c>
      <c r="B9" s="12">
        <v>33</v>
      </c>
      <c r="C9" s="6">
        <f t="shared" si="1"/>
        <v>0.32673267326732675</v>
      </c>
      <c r="E9" s="27" t="s">
        <v>89</v>
      </c>
      <c r="F9" s="24" t="s">
        <v>44</v>
      </c>
      <c r="G9" s="12">
        <v>41</v>
      </c>
      <c r="H9" s="88">
        <f>IF(B$20=0,0,G9/B$20)</f>
        <v>0.17083333333333334</v>
      </c>
      <c r="I9" s="58">
        <v>2</v>
      </c>
      <c r="K9" s="74">
        <v>7</v>
      </c>
      <c r="L9" s="119">
        <v>168.5</v>
      </c>
      <c r="M9" s="117">
        <v>1896.355064100826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25</v>
      </c>
      <c r="C10" s="7">
        <f t="shared" si="1"/>
        <v>0.24752475247524752</v>
      </c>
      <c r="E10" s="27" t="s">
        <v>65</v>
      </c>
      <c r="F10" s="24" t="s">
        <v>21</v>
      </c>
      <c r="G10" s="12">
        <v>26</v>
      </c>
      <c r="H10" s="88">
        <f>IF(B$20=0,0,G10/B$20)</f>
        <v>0.10833333333333334</v>
      </c>
      <c r="I10" s="58">
        <v>6</v>
      </c>
      <c r="K10" s="74">
        <v>8</v>
      </c>
      <c r="L10" s="119">
        <v>132.6</v>
      </c>
      <c r="M10" s="117">
        <v>1888.654933716221</v>
      </c>
      <c r="O10" s="73" t="s">
        <v>151</v>
      </c>
      <c r="P10" s="82">
        <f>IF(Q10=0,0,R10/Q10)</f>
        <v>2.1548387096774193</v>
      </c>
      <c r="Q10" s="76">
        <v>31</v>
      </c>
      <c r="R10" s="67">
        <v>66.8</v>
      </c>
    </row>
    <row r="11" spans="1:18" x14ac:dyDescent="0.4">
      <c r="A11" s="20" t="s">
        <v>184</v>
      </c>
      <c r="B11" s="109">
        <f>IF(B8=0,0,C11/B8)</f>
        <v>37.334883720930222</v>
      </c>
      <c r="C11" s="110">
        <v>1605.3999999999996</v>
      </c>
      <c r="E11" s="27" t="s">
        <v>70</v>
      </c>
      <c r="F11" s="24" t="s">
        <v>25</v>
      </c>
      <c r="G11" s="12">
        <v>20</v>
      </c>
      <c r="H11" s="88">
        <f>IF(B$20=0,0,G11/B$20)</f>
        <v>8.3333333333333329E-2</v>
      </c>
      <c r="I11" s="58">
        <v>8</v>
      </c>
      <c r="K11" s="74">
        <v>9</v>
      </c>
      <c r="L11" s="119">
        <v>151.29999999999998</v>
      </c>
      <c r="M11" s="117">
        <v>1890.8290041139237</v>
      </c>
      <c r="O11" s="74" t="s">
        <v>152</v>
      </c>
      <c r="P11" s="83">
        <f>IF(Q11=0,0,R11/Q11)</f>
        <v>7.5606060606060579</v>
      </c>
      <c r="Q11" s="77">
        <v>33</v>
      </c>
      <c r="R11" s="68">
        <v>249.49999999999991</v>
      </c>
    </row>
    <row r="12" spans="1:18" x14ac:dyDescent="0.4">
      <c r="A12" s="20" t="s">
        <v>185</v>
      </c>
      <c r="B12" s="109">
        <f>IF(B9=0,0,C12/B9)</f>
        <v>-0.69696969696969691</v>
      </c>
      <c r="C12" s="110">
        <v>-22.999999999999996</v>
      </c>
      <c r="E12" s="27" t="s">
        <v>86</v>
      </c>
      <c r="F12" s="24" t="s">
        <v>41</v>
      </c>
      <c r="G12" s="12">
        <v>18</v>
      </c>
      <c r="H12" s="88">
        <f>IF(B$20=0,0,G12/B$20)</f>
        <v>7.4999999999999997E-2</v>
      </c>
      <c r="I12" s="58">
        <v>5</v>
      </c>
      <c r="K12" s="74">
        <v>10</v>
      </c>
      <c r="L12" s="119">
        <v>229</v>
      </c>
      <c r="M12" s="117">
        <v>1903.0760300892402</v>
      </c>
      <c r="O12" s="75" t="s">
        <v>153</v>
      </c>
      <c r="P12" s="84">
        <f>IF(Q12=0,0,R12/Q12)</f>
        <v>9.8027027027027049</v>
      </c>
      <c r="Q12" s="78">
        <v>37</v>
      </c>
      <c r="R12" s="69">
        <v>362.7000000000001</v>
      </c>
    </row>
    <row r="13" spans="1:18" x14ac:dyDescent="0.4">
      <c r="A13" s="20" t="s">
        <v>186</v>
      </c>
      <c r="B13" s="109">
        <f>IF(B10=0,0,C13/B10)</f>
        <v>-36.13600000000001</v>
      </c>
      <c r="C13" s="110">
        <v>-903.4000000000002</v>
      </c>
      <c r="E13" s="27" t="s">
        <v>71</v>
      </c>
      <c r="F13" s="24" t="s">
        <v>26</v>
      </c>
      <c r="G13" s="12">
        <v>15</v>
      </c>
      <c r="H13" s="88">
        <f>IF(B$20=0,0,G13/B$20)</f>
        <v>6.25E-2</v>
      </c>
      <c r="I13" s="58">
        <v>5</v>
      </c>
      <c r="K13" s="74">
        <v>11</v>
      </c>
      <c r="L13" s="119">
        <v>242.7</v>
      </c>
      <c r="M13" s="117">
        <v>1903.7295739087049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0.16730467465350549</v>
      </c>
      <c r="C14" s="126"/>
      <c r="E14" s="27" t="s">
        <v>78</v>
      </c>
      <c r="F14" s="24" t="s">
        <v>33</v>
      </c>
      <c r="G14" s="12">
        <v>13</v>
      </c>
      <c r="H14" s="88">
        <f>IF(B$20=0,0,G14/B$20)</f>
        <v>5.4166666666666669E-2</v>
      </c>
      <c r="I14" s="58">
        <v>1</v>
      </c>
      <c r="K14" s="74">
        <v>12</v>
      </c>
      <c r="L14" s="119">
        <v>198</v>
      </c>
      <c r="M14" s="117">
        <v>1894.0651964652527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6</v>
      </c>
      <c r="C15" s="9">
        <f t="shared" si="1"/>
        <v>5.9405940594059403E-2</v>
      </c>
      <c r="E15" s="27" t="s">
        <v>83</v>
      </c>
      <c r="F15" s="24" t="s">
        <v>38</v>
      </c>
      <c r="G15" s="12">
        <v>11</v>
      </c>
      <c r="H15" s="88">
        <f>IF(B$20=0,0,G15/B$20)</f>
        <v>4.583333333333333E-2</v>
      </c>
      <c r="I15" s="58">
        <v>6</v>
      </c>
      <c r="K15" s="74">
        <v>13</v>
      </c>
      <c r="L15" s="119">
        <v>197</v>
      </c>
      <c r="M15" s="117">
        <v>1892.3788052864611</v>
      </c>
      <c r="O15" s="73" t="s">
        <v>250</v>
      </c>
      <c r="P15" s="82">
        <f t="shared" ref="P15:P24" si="2">IF(Q15=0,0,R15/Q15)</f>
        <v>43.12</v>
      </c>
      <c r="Q15" s="76">
        <v>5</v>
      </c>
      <c r="R15" s="67">
        <v>215.6</v>
      </c>
    </row>
    <row r="16" spans="1:18" x14ac:dyDescent="0.4">
      <c r="A16" s="22" t="s">
        <v>121</v>
      </c>
      <c r="B16" s="15">
        <v>198</v>
      </c>
      <c r="C16" s="10">
        <f>IF(B$3=0,0,B16/B$3)</f>
        <v>0.24780976220275344</v>
      </c>
      <c r="E16" s="27" t="s">
        <v>155</v>
      </c>
      <c r="F16" s="24" t="s">
        <v>156</v>
      </c>
      <c r="G16" s="12">
        <v>11</v>
      </c>
      <c r="H16" s="88">
        <f>IF(B$20=0,0,G16/B$20)</f>
        <v>4.583333333333333E-2</v>
      </c>
      <c r="I16" s="58">
        <v>1</v>
      </c>
      <c r="K16" s="74">
        <v>14</v>
      </c>
      <c r="L16" s="119">
        <v>249.2</v>
      </c>
      <c r="M16" s="117">
        <v>1900.2785324547424</v>
      </c>
      <c r="O16" s="74" t="s">
        <v>193</v>
      </c>
      <c r="P16" s="83">
        <f t="shared" si="2"/>
        <v>37.733333333333334</v>
      </c>
      <c r="Q16" s="77">
        <v>3</v>
      </c>
      <c r="R16" s="68">
        <v>113.2</v>
      </c>
    </row>
    <row r="17" spans="1:18" x14ac:dyDescent="0.4">
      <c r="A17" s="19" t="s">
        <v>118</v>
      </c>
      <c r="B17" s="12">
        <v>127</v>
      </c>
      <c r="C17" s="6">
        <f>IF(B$3=0,0,B17/B$3)</f>
        <v>0.15894868585732166</v>
      </c>
      <c r="E17" s="27" t="s">
        <v>79</v>
      </c>
      <c r="F17" s="24" t="s">
        <v>34</v>
      </c>
      <c r="G17" s="12">
        <v>6</v>
      </c>
      <c r="H17" s="88">
        <f>IF(B$20=0,0,G17/B$20)</f>
        <v>2.5000000000000001E-2</v>
      </c>
      <c r="I17" s="58">
        <v>4</v>
      </c>
      <c r="K17" s="74">
        <v>15</v>
      </c>
      <c r="L17" s="119">
        <v>213.5</v>
      </c>
      <c r="M17" s="117">
        <v>1892.560861260014</v>
      </c>
      <c r="O17" s="74" t="s">
        <v>198</v>
      </c>
      <c r="P17" s="83">
        <f t="shared" si="2"/>
        <v>29.983333333333331</v>
      </c>
      <c r="Q17" s="77">
        <v>6</v>
      </c>
      <c r="R17" s="68">
        <v>179.89999999999998</v>
      </c>
    </row>
    <row r="18" spans="1:18" x14ac:dyDescent="0.4">
      <c r="A18" s="18" t="s">
        <v>123</v>
      </c>
      <c r="B18" s="11">
        <f>B24</f>
        <v>117</v>
      </c>
      <c r="C18" s="5">
        <f>IF(B$16=0,0,B18/B$16)</f>
        <v>0.59090909090909094</v>
      </c>
      <c r="E18" s="27" t="s">
        <v>81</v>
      </c>
      <c r="F18" s="24" t="s">
        <v>36</v>
      </c>
      <c r="G18" s="12">
        <v>6</v>
      </c>
      <c r="H18" s="88">
        <f>IF(B$20=0,0,G18/B$20)</f>
        <v>2.5000000000000001E-2</v>
      </c>
      <c r="I18" s="58">
        <v>6</v>
      </c>
      <c r="K18" s="74">
        <v>16</v>
      </c>
      <c r="L18" s="119">
        <v>273.8</v>
      </c>
      <c r="M18" s="117">
        <v>1902.169496092454</v>
      </c>
      <c r="O18" s="74" t="s">
        <v>253</v>
      </c>
      <c r="P18" s="83">
        <f t="shared" si="2"/>
        <v>17.3</v>
      </c>
      <c r="Q18" s="77">
        <v>1</v>
      </c>
      <c r="R18" s="68">
        <v>17.3</v>
      </c>
    </row>
    <row r="19" spans="1:18" x14ac:dyDescent="0.4">
      <c r="A19" s="18" t="s">
        <v>124</v>
      </c>
      <c r="B19" s="11">
        <f>B25</f>
        <v>60</v>
      </c>
      <c r="C19" s="5">
        <f>IF(B$17=0,0,B19/B$17)</f>
        <v>0.47244094488188976</v>
      </c>
      <c r="E19" s="27" t="s">
        <v>91</v>
      </c>
      <c r="F19" s="24" t="s">
        <v>46</v>
      </c>
      <c r="G19" s="12">
        <v>3</v>
      </c>
      <c r="H19" s="88">
        <f>IF(B$20=0,0,G19/B$20)</f>
        <v>1.2500000000000001E-2</v>
      </c>
      <c r="I19" s="58">
        <v>4</v>
      </c>
      <c r="K19" s="74">
        <v>17</v>
      </c>
      <c r="L19" s="119">
        <v>242.8</v>
      </c>
      <c r="M19" s="117">
        <v>1895.2204791158993</v>
      </c>
      <c r="O19" s="74" t="s">
        <v>190</v>
      </c>
      <c r="P19" s="83">
        <f t="shared" si="2"/>
        <v>14.855</v>
      </c>
      <c r="Q19" s="77">
        <v>40</v>
      </c>
      <c r="R19" s="68">
        <v>594.20000000000005</v>
      </c>
    </row>
    <row r="20" spans="1:18" x14ac:dyDescent="0.4">
      <c r="A20" s="18" t="s">
        <v>10</v>
      </c>
      <c r="B20" s="11">
        <f>B23+B22</f>
        <v>240</v>
      </c>
      <c r="C20" s="5">
        <f>IF(B$3=0,0,B20/B$3)</f>
        <v>0.30037546933667086</v>
      </c>
      <c r="E20" s="27" t="s">
        <v>92</v>
      </c>
      <c r="F20" s="24" t="s">
        <v>47</v>
      </c>
      <c r="G20" s="12">
        <v>3</v>
      </c>
      <c r="H20" s="88">
        <f>IF(B$20=0,0,G20/B$20)</f>
        <v>1.2500000000000001E-2</v>
      </c>
      <c r="I20" s="58">
        <v>2</v>
      </c>
      <c r="K20" s="74">
        <v>18</v>
      </c>
      <c r="L20" s="119">
        <v>280</v>
      </c>
      <c r="M20" s="117">
        <v>1900.6551562412039</v>
      </c>
      <c r="O20" s="74" t="s">
        <v>195</v>
      </c>
      <c r="P20" s="83">
        <f t="shared" si="2"/>
        <v>13.85</v>
      </c>
      <c r="Q20" s="77">
        <v>28</v>
      </c>
      <c r="R20" s="68">
        <v>387.8</v>
      </c>
    </row>
    <row r="21" spans="1:18" x14ac:dyDescent="0.4">
      <c r="A21" s="19" t="s">
        <v>13</v>
      </c>
      <c r="B21" s="12">
        <v>110</v>
      </c>
      <c r="C21" s="6">
        <f>IF(B$3=0,0,B21/B$3)</f>
        <v>0.13767209011264081</v>
      </c>
      <c r="E21" s="27" t="s">
        <v>93</v>
      </c>
      <c r="F21" s="24" t="s">
        <v>48</v>
      </c>
      <c r="G21" s="12">
        <v>2</v>
      </c>
      <c r="H21" s="88">
        <f>IF(B$20=0,0,G21/B$20)</f>
        <v>8.3333333333333332E-3</v>
      </c>
      <c r="I21" s="58">
        <v>1</v>
      </c>
      <c r="K21" s="74">
        <v>19</v>
      </c>
      <c r="L21" s="119">
        <v>281.5</v>
      </c>
      <c r="M21" s="117">
        <v>1899.6852253037566</v>
      </c>
      <c r="O21" s="74" t="s">
        <v>189</v>
      </c>
      <c r="P21" s="83">
        <f t="shared" si="2"/>
        <v>10.172727272727274</v>
      </c>
      <c r="Q21" s="77">
        <v>22</v>
      </c>
      <c r="R21" s="68">
        <v>223.80000000000004</v>
      </c>
    </row>
    <row r="22" spans="1:18" x14ac:dyDescent="0.4">
      <c r="A22" s="19" t="s">
        <v>12</v>
      </c>
      <c r="B22" s="12">
        <v>122</v>
      </c>
      <c r="C22" s="6">
        <f>IF(B$20=0,0,B22/B$20)</f>
        <v>0.5083333333333333</v>
      </c>
      <c r="E22" s="27" t="s">
        <v>73</v>
      </c>
      <c r="F22" s="24" t="s">
        <v>28</v>
      </c>
      <c r="G22" s="12">
        <v>1</v>
      </c>
      <c r="H22" s="88">
        <f>IF(B$20=0,0,G22/B$20)</f>
        <v>4.1666666666666666E-3</v>
      </c>
      <c r="I22" s="58">
        <v>3</v>
      </c>
      <c r="K22" s="74">
        <v>20</v>
      </c>
      <c r="L22" s="119">
        <v>287.2</v>
      </c>
      <c r="M22" s="117">
        <v>1899.087113951934</v>
      </c>
      <c r="O22" s="74" t="s">
        <v>192</v>
      </c>
      <c r="P22" s="83">
        <f t="shared" si="2"/>
        <v>8.2694444444444422</v>
      </c>
      <c r="Q22" s="77">
        <v>36</v>
      </c>
      <c r="R22" s="68">
        <v>297.69999999999993</v>
      </c>
    </row>
    <row r="23" spans="1:18" x14ac:dyDescent="0.4">
      <c r="A23" s="19" t="s">
        <v>11</v>
      </c>
      <c r="B23" s="12">
        <v>118</v>
      </c>
      <c r="C23" s="6">
        <f>IF(B$20=0,0,B23/B$20)</f>
        <v>0.49166666666666664</v>
      </c>
      <c r="E23" s="27" t="s">
        <v>75</v>
      </c>
      <c r="F23" s="24" t="s">
        <v>30</v>
      </c>
      <c r="G23" s="12">
        <v>1</v>
      </c>
      <c r="H23" s="88">
        <f>IF(B$20=0,0,G23/B$20)</f>
        <v>4.1666666666666666E-3</v>
      </c>
      <c r="I23" s="58">
        <v>6</v>
      </c>
      <c r="K23" s="74">
        <v>21</v>
      </c>
      <c r="L23" s="119">
        <v>286.3</v>
      </c>
      <c r="M23" s="117">
        <v>1896.8125912682224</v>
      </c>
      <c r="O23" s="74" t="s">
        <v>205</v>
      </c>
      <c r="P23" s="83">
        <f t="shared" si="2"/>
        <v>4.7444444444444436</v>
      </c>
      <c r="Q23" s="77">
        <v>9</v>
      </c>
      <c r="R23" s="68">
        <v>42.699999999999989</v>
      </c>
    </row>
    <row r="24" spans="1:18" x14ac:dyDescent="0.4">
      <c r="A24" s="19" t="s">
        <v>183</v>
      </c>
      <c r="B24" s="12">
        <v>117</v>
      </c>
      <c r="C24" s="6">
        <f>IF(B$20=0,0,B24/B$20)</f>
        <v>0.48749999999999999</v>
      </c>
      <c r="E24" s="27" t="s">
        <v>77</v>
      </c>
      <c r="F24" s="24" t="s">
        <v>32</v>
      </c>
      <c r="G24" s="12">
        <v>1</v>
      </c>
      <c r="H24" s="88">
        <f>IF(B$20=0,0,G24/B$20)</f>
        <v>4.1666666666666666E-3</v>
      </c>
      <c r="I24" s="58">
        <v>6</v>
      </c>
      <c r="K24" s="74">
        <v>22</v>
      </c>
      <c r="L24" s="119">
        <v>344.1</v>
      </c>
      <c r="M24" s="117">
        <v>1905.117715720613</v>
      </c>
      <c r="O24" s="74" t="s">
        <v>163</v>
      </c>
      <c r="P24" s="83">
        <f t="shared" si="2"/>
        <v>-0.67692307692307996</v>
      </c>
      <c r="Q24" s="77">
        <v>52</v>
      </c>
      <c r="R24" s="68">
        <v>-35.200000000000159</v>
      </c>
    </row>
    <row r="25" spans="1:18" x14ac:dyDescent="0.4">
      <c r="A25" s="19" t="s">
        <v>181</v>
      </c>
      <c r="B25" s="12">
        <v>60</v>
      </c>
      <c r="C25" s="6">
        <f>IF(B$20=0,0,B25/B$20)</f>
        <v>0.25</v>
      </c>
      <c r="E25" s="27" t="s">
        <v>84</v>
      </c>
      <c r="F25" s="24" t="s">
        <v>39</v>
      </c>
      <c r="G25" s="12">
        <v>1</v>
      </c>
      <c r="H25" s="88">
        <f>IF(B$20=0,0,G25/B$20)</f>
        <v>4.1666666666666666E-3</v>
      </c>
      <c r="I25" s="58">
        <v>1</v>
      </c>
      <c r="K25" s="74">
        <v>23</v>
      </c>
      <c r="L25" s="119">
        <v>396.90000000000003</v>
      </c>
      <c r="M25" s="117">
        <v>1912.7430094262893</v>
      </c>
    </row>
    <row r="26" spans="1:18" x14ac:dyDescent="0.4">
      <c r="A26" s="19" t="s">
        <v>182</v>
      </c>
      <c r="B26" s="12">
        <v>63</v>
      </c>
      <c r="C26" s="6">
        <f>IF(B$20=0,0,B26/B$20)</f>
        <v>0.26250000000000001</v>
      </c>
      <c r="E26" s="27" t="s">
        <v>87</v>
      </c>
      <c r="F26" s="24" t="s">
        <v>42</v>
      </c>
      <c r="G26" s="12">
        <v>1</v>
      </c>
      <c r="H26" s="88">
        <f>IF(B$20=0,0,G26/B$20)</f>
        <v>4.1666666666666666E-3</v>
      </c>
      <c r="I26" s="58">
        <v>2</v>
      </c>
      <c r="K26" s="74">
        <v>24</v>
      </c>
      <c r="L26" s="119">
        <v>469.90000000000003</v>
      </c>
      <c r="M26" s="117">
        <v>1923.9585513697316</v>
      </c>
    </row>
    <row r="27" spans="1:18" x14ac:dyDescent="0.4">
      <c r="A27" s="19" t="s">
        <v>5</v>
      </c>
      <c r="B27" s="16">
        <f>IF(B$20=0,0,C27/B$20)</f>
        <v>9682.9166666666661</v>
      </c>
      <c r="C27" s="8">
        <v>2323900</v>
      </c>
      <c r="E27" s="27" t="s">
        <v>95</v>
      </c>
      <c r="F27" s="24" t="s">
        <v>50</v>
      </c>
      <c r="G27" s="12">
        <v>1</v>
      </c>
      <c r="H27" s="88">
        <f>IF(B$20=0,0,G27/B$20)</f>
        <v>4.1666666666666666E-3</v>
      </c>
      <c r="I27" s="58">
        <v>2</v>
      </c>
      <c r="K27" s="74">
        <v>25</v>
      </c>
      <c r="L27" s="119">
        <v>465.6</v>
      </c>
      <c r="M27" s="117">
        <v>1921.1928000615133</v>
      </c>
    </row>
    <row r="28" spans="1:18" x14ac:dyDescent="0.4">
      <c r="A28" s="20" t="s">
        <v>165</v>
      </c>
      <c r="B28" s="95">
        <f>IF($B$20-B$19=0,0,C28/($B$20-B$19))</f>
        <v>10036.666666666666</v>
      </c>
      <c r="C28" s="96">
        <v>1806600</v>
      </c>
      <c r="E28" s="27" t="s">
        <v>106</v>
      </c>
      <c r="F28" s="24" t="s">
        <v>113</v>
      </c>
      <c r="G28" s="12">
        <v>1</v>
      </c>
      <c r="H28" s="88">
        <f>IF(B$20=0,0,G28/B$20)</f>
        <v>4.1666666666666666E-3</v>
      </c>
      <c r="I28" s="58">
        <v>1</v>
      </c>
      <c r="K28" s="74">
        <v>26</v>
      </c>
      <c r="L28" s="119">
        <v>525.30000000000007</v>
      </c>
      <c r="M28" s="117">
        <v>1930.6236432611443</v>
      </c>
    </row>
    <row r="29" spans="1:18" x14ac:dyDescent="0.4">
      <c r="A29" s="20" t="s">
        <v>166</v>
      </c>
      <c r="B29" s="95">
        <f>IF(B$19=0,0,C29/B$19)</f>
        <v>8621.6666666666661</v>
      </c>
      <c r="C29" s="96">
        <v>517300</v>
      </c>
      <c r="E29" s="27" t="s">
        <v>74</v>
      </c>
      <c r="F29" s="24" t="s">
        <v>29</v>
      </c>
      <c r="G29" s="12">
        <v>0</v>
      </c>
      <c r="H29" s="88">
        <f>IF(B$20=0,0,G29/B$20)</f>
        <v>0</v>
      </c>
      <c r="I29" s="58">
        <v>4</v>
      </c>
      <c r="K29" s="74">
        <v>27</v>
      </c>
      <c r="L29" s="119">
        <v>530.30000000000007</v>
      </c>
      <c r="M29" s="117">
        <v>1930.1039014015773</v>
      </c>
    </row>
    <row r="30" spans="1:18" x14ac:dyDescent="0.4">
      <c r="A30" s="20" t="s">
        <v>164</v>
      </c>
      <c r="B30" s="95">
        <f>IF(B$21=0,0,C30/B$21)</f>
        <v>-8131.818181818182</v>
      </c>
      <c r="C30" s="96">
        <v>-894500</v>
      </c>
      <c r="E30" s="27" t="s">
        <v>76</v>
      </c>
      <c r="F30" s="24" t="s">
        <v>31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561.90000000000009</v>
      </c>
      <c r="M30" s="117">
        <v>1934.1292779931678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80</v>
      </c>
      <c r="F31" s="24" t="s">
        <v>35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623.50000000000011</v>
      </c>
      <c r="M31" s="117">
        <v>1943.5305023252088</v>
      </c>
    </row>
    <row r="32" spans="1:18" x14ac:dyDescent="0.4">
      <c r="A32" s="19" t="s">
        <v>158</v>
      </c>
      <c r="B32" s="12">
        <v>45</v>
      </c>
      <c r="C32" s="90">
        <v>4</v>
      </c>
      <c r="E32" s="27" t="s">
        <v>82</v>
      </c>
      <c r="F32" s="24" t="s">
        <v>37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601.00000000000011</v>
      </c>
      <c r="M32" s="117">
        <v>1937.7373193112576</v>
      </c>
    </row>
    <row r="33" spans="1:13" x14ac:dyDescent="0.4">
      <c r="A33" s="54" t="s">
        <v>136</v>
      </c>
      <c r="B33" s="127">
        <v>6</v>
      </c>
      <c r="C33" s="128"/>
      <c r="E33" s="27" t="s">
        <v>85</v>
      </c>
      <c r="F33" s="24" t="s">
        <v>40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606.50000000000011</v>
      </c>
      <c r="M33" s="117">
        <v>1937.01889539539</v>
      </c>
    </row>
    <row r="34" spans="1:13" x14ac:dyDescent="0.4">
      <c r="A34" s="22" t="s">
        <v>180</v>
      </c>
      <c r="B34" s="129">
        <v>102700</v>
      </c>
      <c r="C34" s="130"/>
      <c r="E34" s="27" t="s">
        <v>88</v>
      </c>
      <c r="F34" s="24" t="s">
        <v>43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583.00000000000011</v>
      </c>
      <c r="M34" s="117">
        <v>1931.0847820230176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90</v>
      </c>
      <c r="F35" s="24" t="s">
        <v>45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577.60000000000014</v>
      </c>
      <c r="M35" s="117">
        <v>1928.4442733308795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591.40000000000009</v>
      </c>
      <c r="M36" s="117">
        <v>1929.2756076908943</v>
      </c>
    </row>
    <row r="37" spans="1:13" x14ac:dyDescent="0.4">
      <c r="A37" s="54" t="s">
        <v>171</v>
      </c>
      <c r="B37" s="123">
        <v>13</v>
      </c>
      <c r="C37" s="98">
        <f t="shared" ref="C37:C49" si="3">IF(B$20=0,0,B37/B$20)</f>
        <v>5.4166666666666669E-2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526.40000000000009</v>
      </c>
      <c r="M37" s="117">
        <v>1915.917954044749</v>
      </c>
    </row>
    <row r="38" spans="1:13" x14ac:dyDescent="0.4">
      <c r="A38" s="19" t="s">
        <v>167</v>
      </c>
      <c r="B38" s="12">
        <v>36</v>
      </c>
      <c r="C38" s="6">
        <f t="shared" si="3"/>
        <v>0.15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564.40000000000009</v>
      </c>
      <c r="M38" s="117">
        <v>1921.3784463204804</v>
      </c>
    </row>
    <row r="39" spans="1:13" x14ac:dyDescent="0.4">
      <c r="A39" s="19" t="s">
        <v>168</v>
      </c>
      <c r="B39" s="124">
        <v>44</v>
      </c>
      <c r="C39" s="6">
        <f t="shared" si="3"/>
        <v>0.18333333333333332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523.60000000000014</v>
      </c>
      <c r="M39" s="117">
        <v>1912.6221756425575</v>
      </c>
    </row>
    <row r="40" spans="1:13" x14ac:dyDescent="0.4">
      <c r="A40" s="19" t="s">
        <v>169</v>
      </c>
      <c r="B40" s="124">
        <v>41</v>
      </c>
      <c r="C40" s="6">
        <f t="shared" si="3"/>
        <v>0.17083333333333334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497.80000000000013</v>
      </c>
      <c r="M40" s="117">
        <v>1906.0904425887022</v>
      </c>
    </row>
    <row r="41" spans="1:13" x14ac:dyDescent="0.4">
      <c r="A41" s="19" t="s">
        <v>170</v>
      </c>
      <c r="B41" s="124">
        <v>40</v>
      </c>
      <c r="C41" s="6">
        <f t="shared" si="3"/>
        <v>0.16666666666666666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501.00000000000011</v>
      </c>
      <c r="M41" s="117">
        <v>1904.8178999331701</v>
      </c>
    </row>
    <row r="42" spans="1:13" x14ac:dyDescent="0.4">
      <c r="A42" s="19" t="s">
        <v>172</v>
      </c>
      <c r="B42" s="124">
        <v>23</v>
      </c>
      <c r="C42" s="6">
        <f t="shared" si="3"/>
        <v>9.583333333333334E-2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526.50000000000011</v>
      </c>
      <c r="M42" s="117">
        <v>1907.8669925335712</v>
      </c>
    </row>
    <row r="43" spans="1:13" x14ac:dyDescent="0.4">
      <c r="A43" s="19" t="s">
        <v>173</v>
      </c>
      <c r="B43" s="124">
        <v>15</v>
      </c>
      <c r="C43" s="6">
        <f t="shared" si="3"/>
        <v>6.25E-2</v>
      </c>
      <c r="E43" s="27" t="s">
        <v>102</v>
      </c>
      <c r="F43" s="24" t="s">
        <v>57</v>
      </c>
      <c r="G43" s="12">
        <v>0</v>
      </c>
      <c r="H43" s="88">
        <f>IF(B$20=0,0,G43/B$20)</f>
        <v>0</v>
      </c>
      <c r="I43" s="58">
        <v>3</v>
      </c>
      <c r="K43" s="74">
        <v>41</v>
      </c>
      <c r="L43" s="119">
        <v>522.10000000000014</v>
      </c>
      <c r="M43" s="117">
        <v>1905.5097905783698</v>
      </c>
    </row>
    <row r="44" spans="1:13" x14ac:dyDescent="0.4">
      <c r="A44" s="19" t="s">
        <v>174</v>
      </c>
      <c r="B44" s="124">
        <v>9</v>
      </c>
      <c r="C44" s="6">
        <f t="shared" si="3"/>
        <v>3.7499999999999999E-2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530.70000000000016</v>
      </c>
      <c r="M44" s="117">
        <v>1905.5127318348996</v>
      </c>
    </row>
    <row r="45" spans="1:13" x14ac:dyDescent="0.4">
      <c r="A45" s="19" t="s">
        <v>175</v>
      </c>
      <c r="B45" s="124">
        <v>6</v>
      </c>
      <c r="C45" s="6">
        <f t="shared" si="3"/>
        <v>2.5000000000000001E-2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575.50000000000011</v>
      </c>
      <c r="M45" s="117">
        <v>1911.6836554438901</v>
      </c>
    </row>
    <row r="46" spans="1:13" x14ac:dyDescent="0.4">
      <c r="A46" s="19" t="s">
        <v>176</v>
      </c>
      <c r="B46" s="124">
        <v>4</v>
      </c>
      <c r="C46" s="6">
        <f t="shared" si="3"/>
        <v>1.6666666666666666E-2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571.60000000000014</v>
      </c>
      <c r="M46" s="117">
        <v>1909.0515535112268</v>
      </c>
    </row>
    <row r="47" spans="1:13" x14ac:dyDescent="0.4">
      <c r="A47" s="19" t="s">
        <v>177</v>
      </c>
      <c r="B47" s="124">
        <v>1</v>
      </c>
      <c r="C47" s="6">
        <f t="shared" si="3"/>
        <v>4.1666666666666666E-3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616.90000000000009</v>
      </c>
      <c r="M47" s="117">
        <v>1915.8732441901593</v>
      </c>
    </row>
    <row r="48" spans="1:13" x14ac:dyDescent="0.4">
      <c r="A48" s="19" t="s">
        <v>178</v>
      </c>
      <c r="B48" s="124">
        <v>1</v>
      </c>
      <c r="C48" s="6">
        <f t="shared" si="3"/>
        <v>4.1666666666666666E-3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687.90000000000009</v>
      </c>
      <c r="M48" s="117">
        <v>1927.2800047250184</v>
      </c>
    </row>
    <row r="49" spans="1:13" x14ac:dyDescent="0.4">
      <c r="A49" s="21" t="s">
        <v>179</v>
      </c>
      <c r="B49" s="97">
        <v>7</v>
      </c>
      <c r="C49" s="9">
        <f t="shared" si="3"/>
        <v>2.9166666666666667E-2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710.2</v>
      </c>
      <c r="M49" s="117">
        <v>1929.3123246966684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659.80000000000007</v>
      </c>
      <c r="M50" s="117">
        <v>1918.2524507484884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689.2</v>
      </c>
      <c r="M51" s="117">
        <v>1921.9289360439975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689.90000000000009</v>
      </c>
      <c r="M52" s="117">
        <v>1920.1533624277336</v>
      </c>
    </row>
    <row r="53" spans="1:13" x14ac:dyDescent="0.4">
      <c r="K53" s="74">
        <v>51</v>
      </c>
      <c r="L53" s="119">
        <v>639.30000000000007</v>
      </c>
      <c r="M53" s="117">
        <v>1909.6464422531672</v>
      </c>
    </row>
    <row r="54" spans="1:13" x14ac:dyDescent="0.4">
      <c r="K54" s="74">
        <v>52</v>
      </c>
      <c r="L54" s="119">
        <v>644.20000000000005</v>
      </c>
      <c r="M54" s="117">
        <v>1909.1925635996481</v>
      </c>
    </row>
    <row r="55" spans="1:13" x14ac:dyDescent="0.4">
      <c r="K55" s="74">
        <v>53</v>
      </c>
      <c r="L55" s="119">
        <v>605.20000000000005</v>
      </c>
      <c r="M55" s="117">
        <v>1900.8154082180502</v>
      </c>
    </row>
    <row r="56" spans="1:13" x14ac:dyDescent="0.4">
      <c r="K56" s="74">
        <v>54</v>
      </c>
      <c r="L56" s="119">
        <v>598.90000000000009</v>
      </c>
      <c r="M56" s="117">
        <v>1898.3685157687419</v>
      </c>
    </row>
    <row r="57" spans="1:13" x14ac:dyDescent="0.4">
      <c r="K57" s="74">
        <v>55</v>
      </c>
      <c r="L57" s="119">
        <v>627.40000000000009</v>
      </c>
      <c r="M57" s="117">
        <v>1901.8943046741294</v>
      </c>
    </row>
    <row r="58" spans="1:13" x14ac:dyDescent="0.4">
      <c r="K58" s="74">
        <v>56</v>
      </c>
      <c r="L58" s="119">
        <v>646.00000000000011</v>
      </c>
      <c r="M58" s="117">
        <v>1903.7189388460847</v>
      </c>
    </row>
    <row r="59" spans="1:13" x14ac:dyDescent="0.4">
      <c r="K59" s="74">
        <v>57</v>
      </c>
      <c r="L59" s="119">
        <v>644.60000000000014</v>
      </c>
      <c r="M59" s="117">
        <v>1901.9326252130081</v>
      </c>
    </row>
    <row r="60" spans="1:13" x14ac:dyDescent="0.4">
      <c r="K60" s="74">
        <v>58</v>
      </c>
      <c r="L60" s="119">
        <v>636.70000000000016</v>
      </c>
      <c r="M60" s="117">
        <v>1898.6990294617301</v>
      </c>
    </row>
    <row r="61" spans="1:13" x14ac:dyDescent="0.4">
      <c r="K61" s="74">
        <v>59</v>
      </c>
      <c r="L61" s="119">
        <v>633.30000000000018</v>
      </c>
      <c r="M61" s="117">
        <v>1896.7988352849598</v>
      </c>
    </row>
    <row r="62" spans="1:13" x14ac:dyDescent="0.4">
      <c r="K62" s="74">
        <v>60</v>
      </c>
      <c r="L62" s="119">
        <v>629.20000000000016</v>
      </c>
      <c r="M62" s="117">
        <v>1894.7480422732499</v>
      </c>
    </row>
    <row r="63" spans="1:13" x14ac:dyDescent="0.4">
      <c r="K63" s="74">
        <v>61</v>
      </c>
      <c r="L63" s="119">
        <v>581.20000000000016</v>
      </c>
      <c r="M63" s="117">
        <v>1884.5015540196105</v>
      </c>
    </row>
    <row r="64" spans="1:13" x14ac:dyDescent="0.4">
      <c r="K64" s="74">
        <v>62</v>
      </c>
      <c r="L64" s="119">
        <v>534.9000000000002</v>
      </c>
      <c r="M64" s="117">
        <v>1874.9345446954928</v>
      </c>
    </row>
    <row r="65" spans="11:13" x14ac:dyDescent="0.4">
      <c r="K65" s="74">
        <v>63</v>
      </c>
      <c r="L65" s="119">
        <v>511.30000000000018</v>
      </c>
      <c r="M65" s="117">
        <v>1869.51093742732</v>
      </c>
    </row>
    <row r="66" spans="11:13" x14ac:dyDescent="0.4">
      <c r="K66" s="74">
        <v>64</v>
      </c>
      <c r="L66" s="119">
        <v>512.50000000000023</v>
      </c>
      <c r="M66" s="117">
        <v>1868.0618718027561</v>
      </c>
    </row>
    <row r="67" spans="11:13" x14ac:dyDescent="0.4">
      <c r="K67" s="74">
        <v>65</v>
      </c>
      <c r="L67" s="119">
        <v>548.50000000000023</v>
      </c>
      <c r="M67" s="117">
        <v>1872.8855005719395</v>
      </c>
    </row>
    <row r="68" spans="11:13" x14ac:dyDescent="0.4">
      <c r="K68" s="74">
        <v>66</v>
      </c>
      <c r="L68" s="119">
        <v>568.9000000000002</v>
      </c>
      <c r="M68" s="117">
        <v>1874.8721875685078</v>
      </c>
    </row>
    <row r="69" spans="11:13" x14ac:dyDescent="0.4">
      <c r="K69" s="74">
        <v>67</v>
      </c>
      <c r="L69" s="119">
        <v>586.4000000000002</v>
      </c>
      <c r="M69" s="117">
        <v>1876.3609544430967</v>
      </c>
    </row>
    <row r="70" spans="11:13" x14ac:dyDescent="0.4">
      <c r="K70" s="74">
        <v>68</v>
      </c>
      <c r="L70" s="119">
        <v>619.60000000000025</v>
      </c>
      <c r="M70" s="117">
        <v>1881.158788716438</v>
      </c>
    </row>
    <row r="71" spans="11:13" x14ac:dyDescent="0.4">
      <c r="K71" s="74">
        <v>69</v>
      </c>
      <c r="L71" s="119">
        <v>631.50000000000023</v>
      </c>
      <c r="M71" s="117">
        <v>1882.0938359841393</v>
      </c>
    </row>
    <row r="72" spans="11:13" x14ac:dyDescent="0.4">
      <c r="K72" s="74">
        <v>70</v>
      </c>
      <c r="L72" s="119">
        <v>597.20000000000027</v>
      </c>
      <c r="M72" s="117">
        <v>1874.7312729682344</v>
      </c>
    </row>
    <row r="73" spans="11:13" x14ac:dyDescent="0.4">
      <c r="K73" s="74">
        <v>71</v>
      </c>
      <c r="L73" s="119">
        <v>616.60000000000025</v>
      </c>
      <c r="M73" s="117">
        <v>1876.550885330425</v>
      </c>
    </row>
    <row r="74" spans="11:13" x14ac:dyDescent="0.4">
      <c r="K74" s="74">
        <v>72</v>
      </c>
      <c r="L74" s="119">
        <v>677.10000000000025</v>
      </c>
      <c r="M74" s="117">
        <v>1885.7995800184424</v>
      </c>
    </row>
    <row r="75" spans="11:13" x14ac:dyDescent="0.4">
      <c r="K75" s="74">
        <v>73</v>
      </c>
      <c r="L75" s="119">
        <v>658.9000000000002</v>
      </c>
      <c r="M75" s="117">
        <v>1881.3187825383318</v>
      </c>
    </row>
    <row r="76" spans="11:13" x14ac:dyDescent="0.4">
      <c r="K76" s="74">
        <v>74</v>
      </c>
      <c r="L76" s="119">
        <v>678.00000000000023</v>
      </c>
      <c r="M76" s="117">
        <v>1883.0268698431018</v>
      </c>
    </row>
    <row r="77" spans="11:13" x14ac:dyDescent="0.4">
      <c r="K77" s="74">
        <v>75</v>
      </c>
      <c r="L77" s="119">
        <v>707.50000000000023</v>
      </c>
      <c r="M77" s="117">
        <v>1886.5967086240432</v>
      </c>
    </row>
    <row r="78" spans="11:13" x14ac:dyDescent="0.4">
      <c r="K78" s="74">
        <v>76</v>
      </c>
      <c r="L78" s="119">
        <v>741.60000000000025</v>
      </c>
      <c r="M78" s="117">
        <v>1891.0091283722991</v>
      </c>
    </row>
    <row r="79" spans="11:13" x14ac:dyDescent="0.4">
      <c r="K79" s="74">
        <v>77</v>
      </c>
      <c r="L79" s="119">
        <v>757.4000000000002</v>
      </c>
      <c r="M79" s="117">
        <v>1892.3110736020653</v>
      </c>
    </row>
    <row r="80" spans="11:13" x14ac:dyDescent="0.4">
      <c r="K80" s="74">
        <v>78</v>
      </c>
      <c r="L80" s="119">
        <v>729.20000000000016</v>
      </c>
      <c r="M80" s="117">
        <v>1885.685207160453</v>
      </c>
    </row>
    <row r="81" spans="11:13" x14ac:dyDescent="0.4">
      <c r="K81" s="74">
        <v>79</v>
      </c>
      <c r="L81" s="119">
        <v>745.50000000000011</v>
      </c>
      <c r="M81" s="117">
        <v>1887.3610959174903</v>
      </c>
    </row>
    <row r="82" spans="11:13" x14ac:dyDescent="0.4">
      <c r="K82" s="74">
        <v>80</v>
      </c>
      <c r="L82" s="119">
        <v>712.20000000000016</v>
      </c>
      <c r="M82" s="117">
        <v>1880.0989293419852</v>
      </c>
    </row>
    <row r="83" spans="11:13" x14ac:dyDescent="0.4">
      <c r="K83" s="74">
        <v>81</v>
      </c>
      <c r="L83" s="119">
        <v>689.10000000000014</v>
      </c>
      <c r="M83" s="117">
        <v>1874.1883357659333</v>
      </c>
    </row>
    <row r="84" spans="11:13" x14ac:dyDescent="0.4">
      <c r="K84" s="74">
        <v>82</v>
      </c>
      <c r="L84" s="119">
        <v>719.70000000000016</v>
      </c>
      <c r="M84" s="117">
        <v>1878.2612057513377</v>
      </c>
    </row>
    <row r="85" spans="11:13" x14ac:dyDescent="0.4">
      <c r="K85" s="74">
        <v>83</v>
      </c>
      <c r="L85" s="119">
        <v>716.20000000000016</v>
      </c>
      <c r="M85" s="117">
        <v>1876.1716385168297</v>
      </c>
    </row>
    <row r="86" spans="11:13" x14ac:dyDescent="0.4">
      <c r="K86" s="74">
        <v>84</v>
      </c>
      <c r="L86" s="119">
        <v>718.10000000000014</v>
      </c>
      <c r="M86" s="117">
        <v>1875.3126086857287</v>
      </c>
    </row>
    <row r="87" spans="11:13" x14ac:dyDescent="0.4">
      <c r="K87" s="74">
        <v>85</v>
      </c>
      <c r="L87" s="119">
        <v>685.90000000000009</v>
      </c>
      <c r="M87" s="117">
        <v>1868.3207330336143</v>
      </c>
    </row>
    <row r="88" spans="11:13" x14ac:dyDescent="0.4">
      <c r="K88" s="74">
        <v>86</v>
      </c>
      <c r="L88" s="119">
        <v>722.50000000000011</v>
      </c>
      <c r="M88" s="117">
        <v>1873.4788086354126</v>
      </c>
    </row>
    <row r="89" spans="11:13" x14ac:dyDescent="0.4">
      <c r="K89" s="74">
        <v>87</v>
      </c>
      <c r="L89" s="119">
        <v>755.50000000000011</v>
      </c>
      <c r="M89" s="117">
        <v>1877.9579357836001</v>
      </c>
    </row>
    <row r="90" spans="11:13" x14ac:dyDescent="0.4">
      <c r="K90" s="74">
        <v>88</v>
      </c>
      <c r="L90" s="119">
        <v>791.20000000000016</v>
      </c>
      <c r="M90" s="117">
        <v>1882.6261881688986</v>
      </c>
    </row>
    <row r="91" spans="11:13" x14ac:dyDescent="0.4">
      <c r="K91" s="74">
        <v>89</v>
      </c>
      <c r="L91" s="119">
        <v>842.30000000000018</v>
      </c>
      <c r="M91" s="117">
        <v>1890.0384310398852</v>
      </c>
    </row>
    <row r="92" spans="11:13" x14ac:dyDescent="0.4">
      <c r="K92" s="74">
        <v>90</v>
      </c>
      <c r="L92" s="119">
        <v>787.80000000000018</v>
      </c>
      <c r="M92" s="117">
        <v>1878.6742004536459</v>
      </c>
    </row>
    <row r="93" spans="11:13" x14ac:dyDescent="0.4">
      <c r="K93" s="74">
        <v>91</v>
      </c>
      <c r="L93" s="119">
        <v>781.9000000000002</v>
      </c>
      <c r="M93" s="117">
        <v>1875.6641552509241</v>
      </c>
    </row>
    <row r="94" spans="11:13" x14ac:dyDescent="0.4">
      <c r="K94" s="74">
        <v>92</v>
      </c>
      <c r="L94" s="119">
        <v>743.00000000000023</v>
      </c>
      <c r="M94" s="117">
        <v>1866.7321703194186</v>
      </c>
    </row>
    <row r="95" spans="11:13" x14ac:dyDescent="0.4">
      <c r="K95" s="74">
        <v>93</v>
      </c>
      <c r="L95" s="119">
        <v>761.70000000000027</v>
      </c>
      <c r="M95" s="117">
        <v>1868.9657772975022</v>
      </c>
    </row>
    <row r="96" spans="11:13" x14ac:dyDescent="0.4">
      <c r="K96" s="74">
        <v>94</v>
      </c>
      <c r="L96" s="119">
        <v>770.10000000000025</v>
      </c>
      <c r="M96" s="117">
        <v>1868.9899826337171</v>
      </c>
    </row>
    <row r="97" spans="11:13" x14ac:dyDescent="0.4">
      <c r="K97" s="74">
        <v>95</v>
      </c>
      <c r="L97" s="119">
        <v>748.9000000000002</v>
      </c>
      <c r="M97" s="117">
        <v>1863.7700427379148</v>
      </c>
    </row>
    <row r="98" spans="11:13" x14ac:dyDescent="0.4">
      <c r="K98" s="74">
        <v>96</v>
      </c>
      <c r="L98" s="119">
        <v>720.4000000000002</v>
      </c>
      <c r="M98" s="117">
        <v>1857.2734224814874</v>
      </c>
    </row>
    <row r="99" spans="11:13" x14ac:dyDescent="0.4">
      <c r="K99" s="74">
        <v>97</v>
      </c>
      <c r="L99" s="119">
        <v>735.9000000000002</v>
      </c>
      <c r="M99" s="117">
        <v>1858.4957819465985</v>
      </c>
    </row>
    <row r="100" spans="11:13" x14ac:dyDescent="0.4">
      <c r="K100" s="74">
        <v>98</v>
      </c>
      <c r="L100" s="119">
        <v>708.20000000000016</v>
      </c>
      <c r="M100" s="117">
        <v>1851.934807254919</v>
      </c>
    </row>
    <row r="101" spans="11:13" x14ac:dyDescent="0.4">
      <c r="K101" s="74">
        <v>99</v>
      </c>
      <c r="L101" s="119">
        <v>680.60000000000014</v>
      </c>
      <c r="M101" s="117">
        <v>1845.4311984113895</v>
      </c>
    </row>
    <row r="102" spans="11:13" x14ac:dyDescent="0.4">
      <c r="K102" s="74">
        <v>100</v>
      </c>
      <c r="L102" s="119">
        <v>678.90000000000009</v>
      </c>
      <c r="M102" s="117">
        <v>1843.7786112209212</v>
      </c>
    </row>
    <row r="103" spans="11:13" x14ac:dyDescent="0.4">
      <c r="K103" s="74">
        <v>101</v>
      </c>
      <c r="L103" s="119">
        <v>679.00000000000011</v>
      </c>
      <c r="M103" s="117">
        <v>1842.3339395535957</v>
      </c>
    </row>
  </sheetData>
  <sortState xmlns:xlrd2="http://schemas.microsoft.com/office/spreadsheetml/2017/richdata2" ref="E2:I104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6C93E-FA83-44B4-9134-C33DD1E94F4F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42</v>
      </c>
      <c r="C2" s="134"/>
      <c r="E2" s="26" t="s">
        <v>66</v>
      </c>
      <c r="F2" s="23" t="s">
        <v>22</v>
      </c>
      <c r="G2" s="11">
        <v>67</v>
      </c>
      <c r="H2" s="87">
        <f>IF(B$20=0,0,G2/B$20)</f>
        <v>0.72043010752688175</v>
      </c>
      <c r="I2" s="57">
        <v>5</v>
      </c>
      <c r="K2" s="73">
        <v>0</v>
      </c>
      <c r="L2" s="118">
        <v>0</v>
      </c>
      <c r="M2" s="116">
        <v>1390.8734583000644</v>
      </c>
      <c r="O2" s="73" t="s">
        <v>128</v>
      </c>
      <c r="P2" s="79">
        <f t="shared" ref="P2:P7" si="0">IF(Q2=0,0,R2/Q2)</f>
        <v>-3502.439024390244</v>
      </c>
      <c r="Q2" s="76">
        <v>41</v>
      </c>
      <c r="R2" s="63">
        <v>-143600</v>
      </c>
    </row>
    <row r="3" spans="1:18" x14ac:dyDescent="0.4">
      <c r="A3" s="19" t="s">
        <v>8</v>
      </c>
      <c r="B3" s="135">
        <v>323</v>
      </c>
      <c r="C3" s="136"/>
      <c r="E3" s="27" t="s">
        <v>72</v>
      </c>
      <c r="F3" s="24" t="s">
        <v>27</v>
      </c>
      <c r="G3" s="12">
        <v>48</v>
      </c>
      <c r="H3" s="88">
        <f>IF(B$20=0,0,G3/B$20)</f>
        <v>0.5161290322580645</v>
      </c>
      <c r="I3" s="58">
        <v>7</v>
      </c>
      <c r="K3" s="74">
        <v>1</v>
      </c>
      <c r="L3" s="119">
        <v>-55.5</v>
      </c>
      <c r="M3" s="117">
        <v>1381.5382175502641</v>
      </c>
      <c r="O3" s="74" t="s">
        <v>129</v>
      </c>
      <c r="P3" s="80">
        <f t="shared" si="0"/>
        <v>2107.3170731707319</v>
      </c>
      <c r="Q3" s="77">
        <v>41</v>
      </c>
      <c r="R3" s="64">
        <v>86400</v>
      </c>
    </row>
    <row r="4" spans="1:18" x14ac:dyDescent="0.4">
      <c r="A4" s="19" t="s">
        <v>6</v>
      </c>
      <c r="B4" s="137">
        <v>-240.99999999999983</v>
      </c>
      <c r="C4" s="138"/>
      <c r="E4" s="27" t="s">
        <v>64</v>
      </c>
      <c r="F4" s="24" t="s">
        <v>20</v>
      </c>
      <c r="G4" s="12">
        <v>44</v>
      </c>
      <c r="H4" s="88">
        <f>IF(B$20=0,0,G4/B$20)</f>
        <v>0.4731182795698925</v>
      </c>
      <c r="I4" s="58">
        <v>7</v>
      </c>
      <c r="K4" s="74">
        <v>2</v>
      </c>
      <c r="L4" s="119">
        <v>-106.5</v>
      </c>
      <c r="M4" s="117">
        <v>1372.5769882449624</v>
      </c>
      <c r="O4" s="74" t="s">
        <v>130</v>
      </c>
      <c r="P4" s="80">
        <f t="shared" si="0"/>
        <v>-1289.4736842105262</v>
      </c>
      <c r="Q4" s="77">
        <v>38</v>
      </c>
      <c r="R4" s="64">
        <v>-49000</v>
      </c>
    </row>
    <row r="5" spans="1:18" x14ac:dyDescent="0.4">
      <c r="A5" s="19" t="s">
        <v>7</v>
      </c>
      <c r="B5" s="125">
        <f>IF(B$2=0,0,B$4/B$2)</f>
        <v>-5.7380952380952337</v>
      </c>
      <c r="C5" s="126"/>
      <c r="E5" s="27" t="s">
        <v>159</v>
      </c>
      <c r="F5" s="24" t="s">
        <v>160</v>
      </c>
      <c r="G5" s="12">
        <v>44</v>
      </c>
      <c r="H5" s="88">
        <f>IF(B$20=0,0,G5/B$20)</f>
        <v>0.4731182795698925</v>
      </c>
      <c r="I5" s="58">
        <v>3</v>
      </c>
      <c r="K5" s="74">
        <v>3</v>
      </c>
      <c r="L5" s="119">
        <v>-108</v>
      </c>
      <c r="M5" s="117">
        <v>1373.1675263154928</v>
      </c>
      <c r="O5" s="74" t="s">
        <v>131</v>
      </c>
      <c r="P5" s="80">
        <f t="shared" si="0"/>
        <v>-1578.7878787878788</v>
      </c>
      <c r="Q5" s="77">
        <v>33</v>
      </c>
      <c r="R5" s="64">
        <v>-52100</v>
      </c>
    </row>
    <row r="6" spans="1:18" x14ac:dyDescent="0.4">
      <c r="A6" s="19" t="s">
        <v>196</v>
      </c>
      <c r="B6" s="129">
        <v>1392.8042574192286</v>
      </c>
      <c r="C6" s="130"/>
      <c r="E6" s="27" t="s">
        <v>68</v>
      </c>
      <c r="F6" s="24" t="s">
        <v>12</v>
      </c>
      <c r="G6" s="12">
        <v>32</v>
      </c>
      <c r="H6" s="88">
        <f>IF(B$20=0,0,G6/B$20)</f>
        <v>0.34408602150537637</v>
      </c>
      <c r="I6" s="58">
        <v>6</v>
      </c>
      <c r="K6" s="74">
        <v>4</v>
      </c>
      <c r="L6" s="119">
        <v>-115.5</v>
      </c>
      <c r="M6" s="117">
        <v>1373.4425211575997</v>
      </c>
      <c r="O6" s="74" t="s">
        <v>132</v>
      </c>
      <c r="P6" s="80">
        <f t="shared" si="0"/>
        <v>3472.4137931034484</v>
      </c>
      <c r="Q6" s="77">
        <v>29</v>
      </c>
      <c r="R6" s="64">
        <v>100700</v>
      </c>
    </row>
    <row r="7" spans="1:18" x14ac:dyDescent="0.4">
      <c r="A7" s="19" t="s">
        <v>1</v>
      </c>
      <c r="B7" s="139">
        <f>IF(B$2=0,0,(B$8*1+B$9*2+B$10*3)/B$2)</f>
        <v>2.2142857142857144</v>
      </c>
      <c r="C7" s="140"/>
      <c r="E7" s="27" t="s">
        <v>67</v>
      </c>
      <c r="F7" s="24" t="s">
        <v>23</v>
      </c>
      <c r="G7" s="12">
        <v>20</v>
      </c>
      <c r="H7" s="88">
        <f>IF(B$20=0,0,G7/B$20)</f>
        <v>0.21505376344086022</v>
      </c>
      <c r="I7" s="58">
        <v>9</v>
      </c>
      <c r="K7" s="74">
        <v>5</v>
      </c>
      <c r="L7" s="119">
        <v>-116</v>
      </c>
      <c r="M7" s="117">
        <v>1374.6578660306541</v>
      </c>
      <c r="O7" s="75" t="s">
        <v>133</v>
      </c>
      <c r="P7" s="81">
        <f t="shared" si="0"/>
        <v>-3864</v>
      </c>
      <c r="Q7" s="78">
        <v>25</v>
      </c>
      <c r="R7" s="65">
        <v>-96600</v>
      </c>
    </row>
    <row r="8" spans="1:18" x14ac:dyDescent="0.4">
      <c r="A8" s="19" t="s">
        <v>2</v>
      </c>
      <c r="B8" s="12">
        <v>9</v>
      </c>
      <c r="C8" s="6">
        <f t="shared" ref="C8:C15" si="1">IF(B$2=0,0,B8/B$2)</f>
        <v>0.21428571428571427</v>
      </c>
      <c r="E8" s="27" t="s">
        <v>89</v>
      </c>
      <c r="F8" s="24" t="s">
        <v>44</v>
      </c>
      <c r="G8" s="12">
        <v>13</v>
      </c>
      <c r="H8" s="88">
        <f>IF(B$20=0,0,G8/B$20)</f>
        <v>0.13978494623655913</v>
      </c>
      <c r="I8" s="58">
        <v>7</v>
      </c>
      <c r="K8" s="74">
        <v>6</v>
      </c>
      <c r="L8" s="119">
        <v>-146</v>
      </c>
      <c r="M8" s="117">
        <v>1370.55591883447</v>
      </c>
      <c r="O8" s="107"/>
      <c r="P8" s="85"/>
      <c r="Q8" s="108"/>
      <c r="R8" s="70"/>
    </row>
    <row r="9" spans="1:18" x14ac:dyDescent="0.4">
      <c r="A9" s="19" t="s">
        <v>3</v>
      </c>
      <c r="B9" s="12">
        <v>15</v>
      </c>
      <c r="C9" s="6">
        <f t="shared" si="1"/>
        <v>0.35714285714285715</v>
      </c>
      <c r="E9" s="27" t="s">
        <v>70</v>
      </c>
      <c r="F9" s="24" t="s">
        <v>25</v>
      </c>
      <c r="G9" s="12">
        <v>10</v>
      </c>
      <c r="H9" s="88">
        <f>IF(B$20=0,0,G9/B$20)</f>
        <v>0.10752688172043011</v>
      </c>
      <c r="I9" s="58">
        <v>6</v>
      </c>
      <c r="K9" s="74">
        <v>7</v>
      </c>
      <c r="L9" s="119">
        <v>-168.5</v>
      </c>
      <c r="M9" s="117">
        <v>1367.3665833214632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18</v>
      </c>
      <c r="C10" s="7">
        <f t="shared" si="1"/>
        <v>0.42857142857142855</v>
      </c>
      <c r="E10" s="27" t="s">
        <v>69</v>
      </c>
      <c r="F10" s="24" t="s">
        <v>24</v>
      </c>
      <c r="G10" s="12">
        <v>9</v>
      </c>
      <c r="H10" s="88">
        <f>IF(B$20=0,0,G10/B$20)</f>
        <v>9.6774193548387094E-2</v>
      </c>
      <c r="I10" s="58">
        <v>11</v>
      </c>
      <c r="K10" s="74">
        <v>8</v>
      </c>
      <c r="L10" s="119">
        <v>-157.19999999999999</v>
      </c>
      <c r="M10" s="117">
        <v>1369.7283838215344</v>
      </c>
      <c r="O10" s="73" t="s">
        <v>151</v>
      </c>
      <c r="P10" s="82">
        <f>IF(Q10=0,0,R10/Q10)</f>
        <v>-18.146666666666661</v>
      </c>
      <c r="Q10" s="76">
        <v>15</v>
      </c>
      <c r="R10" s="67">
        <v>-272.19999999999993</v>
      </c>
    </row>
    <row r="11" spans="1:18" x14ac:dyDescent="0.4">
      <c r="A11" s="20" t="s">
        <v>184</v>
      </c>
      <c r="B11" s="109">
        <f>IF(B8=0,0,C11/B8)</f>
        <v>41.111111111111114</v>
      </c>
      <c r="C11" s="110">
        <v>370</v>
      </c>
      <c r="E11" s="27" t="s">
        <v>86</v>
      </c>
      <c r="F11" s="24" t="s">
        <v>41</v>
      </c>
      <c r="G11" s="12">
        <v>7</v>
      </c>
      <c r="H11" s="88">
        <f>IF(B$20=0,0,G11/B$20)</f>
        <v>7.5268817204301078E-2</v>
      </c>
      <c r="I11" s="58">
        <v>4</v>
      </c>
      <c r="K11" s="74">
        <v>9</v>
      </c>
      <c r="L11" s="119">
        <v>-172.39999999999998</v>
      </c>
      <c r="M11" s="117">
        <v>1368.0560135186051</v>
      </c>
      <c r="O11" s="74" t="s">
        <v>152</v>
      </c>
      <c r="P11" s="83">
        <f>IF(Q11=0,0,R11/Q11)</f>
        <v>-4.6937500000000005</v>
      </c>
      <c r="Q11" s="77">
        <v>16</v>
      </c>
      <c r="R11" s="68">
        <v>-75.100000000000009</v>
      </c>
    </row>
    <row r="12" spans="1:18" x14ac:dyDescent="0.4">
      <c r="A12" s="20" t="s">
        <v>185</v>
      </c>
      <c r="B12" s="109">
        <f>IF(B9=0,0,C12/B9)</f>
        <v>-1.0733333333333335</v>
      </c>
      <c r="C12" s="110">
        <v>-16.100000000000001</v>
      </c>
      <c r="E12" s="27" t="s">
        <v>65</v>
      </c>
      <c r="F12" s="24" t="s">
        <v>21</v>
      </c>
      <c r="G12" s="12">
        <v>6</v>
      </c>
      <c r="H12" s="88">
        <f>IF(B$20=0,0,G12/B$20)</f>
        <v>6.4516129032258063E-2</v>
      </c>
      <c r="I12" s="58">
        <v>12</v>
      </c>
      <c r="K12" s="74">
        <v>10</v>
      </c>
      <c r="L12" s="119">
        <v>-217.59999999999997</v>
      </c>
      <c r="M12" s="117">
        <v>1360.9936774374935</v>
      </c>
      <c r="O12" s="75" t="s">
        <v>153</v>
      </c>
      <c r="P12" s="84">
        <f>IF(Q12=0,0,R12/Q12)</f>
        <v>9.663636363636364</v>
      </c>
      <c r="Q12" s="78">
        <v>11</v>
      </c>
      <c r="R12" s="69">
        <v>106.3</v>
      </c>
    </row>
    <row r="13" spans="1:18" x14ac:dyDescent="0.4">
      <c r="A13" s="20" t="s">
        <v>186</v>
      </c>
      <c r="B13" s="109">
        <f>IF(B10=0,0,C13/B10)</f>
        <v>-33.050000000000004</v>
      </c>
      <c r="C13" s="110">
        <v>-594.90000000000009</v>
      </c>
      <c r="E13" s="27" t="s">
        <v>71</v>
      </c>
      <c r="F13" s="24" t="s">
        <v>26</v>
      </c>
      <c r="G13" s="12">
        <v>4</v>
      </c>
      <c r="H13" s="88">
        <f>IF(B$20=0,0,G13/B$20)</f>
        <v>4.3010752688172046E-2</v>
      </c>
      <c r="I13" s="58">
        <v>9</v>
      </c>
      <c r="K13" s="74">
        <v>11</v>
      </c>
      <c r="L13" s="119">
        <v>-264.89999999999998</v>
      </c>
      <c r="M13" s="117">
        <v>1352.8337153728685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2.3292592592592598</v>
      </c>
      <c r="C14" s="126"/>
      <c r="E14" s="27" t="s">
        <v>78</v>
      </c>
      <c r="F14" s="24" t="s">
        <v>33</v>
      </c>
      <c r="G14" s="12">
        <v>4</v>
      </c>
      <c r="H14" s="88">
        <f>IF(B$20=0,0,G14/B$20)</f>
        <v>4.3010752688172046E-2</v>
      </c>
      <c r="I14" s="58">
        <v>4</v>
      </c>
      <c r="K14" s="74">
        <v>12</v>
      </c>
      <c r="L14" s="119">
        <v>-260.59999999999997</v>
      </c>
      <c r="M14" s="117">
        <v>1355.0427130806313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6</v>
      </c>
      <c r="C15" s="9">
        <f t="shared" si="1"/>
        <v>0.14285714285714285</v>
      </c>
      <c r="E15" s="27" t="s">
        <v>81</v>
      </c>
      <c r="F15" s="24" t="s">
        <v>36</v>
      </c>
      <c r="G15" s="12">
        <v>3</v>
      </c>
      <c r="H15" s="88">
        <f>IF(B$20=0,0,G15/B$20)</f>
        <v>3.2258064516129031E-2</v>
      </c>
      <c r="I15" s="58">
        <v>3</v>
      </c>
      <c r="K15" s="74">
        <v>13</v>
      </c>
      <c r="L15" s="119">
        <v>-280.59999999999997</v>
      </c>
      <c r="M15" s="117">
        <v>1352.8644568021475</v>
      </c>
      <c r="O15" s="73" t="s">
        <v>163</v>
      </c>
      <c r="P15" s="82">
        <f t="shared" ref="P15:P21" si="2">IF(Q15=0,0,R15/Q15)</f>
        <v>14.800000000000004</v>
      </c>
      <c r="Q15" s="76">
        <v>12</v>
      </c>
      <c r="R15" s="67">
        <v>177.60000000000005</v>
      </c>
    </row>
    <row r="16" spans="1:18" x14ac:dyDescent="0.4">
      <c r="A16" s="22" t="s">
        <v>121</v>
      </c>
      <c r="B16" s="15">
        <v>77</v>
      </c>
      <c r="C16" s="10">
        <f>IF(B$3=0,0,B16/B$3)</f>
        <v>0.23839009287925697</v>
      </c>
      <c r="E16" s="27" t="s">
        <v>73</v>
      </c>
      <c r="F16" s="24" t="s">
        <v>28</v>
      </c>
      <c r="G16" s="12">
        <v>1</v>
      </c>
      <c r="H16" s="88">
        <f>IF(B$20=0,0,G16/B$20)</f>
        <v>1.0752688172043012E-2</v>
      </c>
      <c r="I16" s="58">
        <v>2</v>
      </c>
      <c r="K16" s="74">
        <v>14</v>
      </c>
      <c r="L16" s="119">
        <v>-330.7</v>
      </c>
      <c r="M16" s="117">
        <v>1345.2812700613347</v>
      </c>
      <c r="O16" s="74" t="s">
        <v>250</v>
      </c>
      <c r="P16" s="83">
        <f t="shared" si="2"/>
        <v>12.500000000000002</v>
      </c>
      <c r="Q16" s="77">
        <v>2</v>
      </c>
      <c r="R16" s="68">
        <v>25.000000000000004</v>
      </c>
    </row>
    <row r="17" spans="1:18" x14ac:dyDescent="0.4">
      <c r="A17" s="19" t="s">
        <v>118</v>
      </c>
      <c r="B17" s="12">
        <v>51</v>
      </c>
      <c r="C17" s="6">
        <f>IF(B$3=0,0,B17/B$3)</f>
        <v>0.15789473684210525</v>
      </c>
      <c r="E17" s="27" t="s">
        <v>83</v>
      </c>
      <c r="F17" s="24" t="s">
        <v>38</v>
      </c>
      <c r="G17" s="12">
        <v>1</v>
      </c>
      <c r="H17" s="88">
        <f>IF(B$20=0,0,G17/B$20)</f>
        <v>1.0752688172043012E-2</v>
      </c>
      <c r="I17" s="58">
        <v>8</v>
      </c>
      <c r="K17" s="74">
        <v>15</v>
      </c>
      <c r="L17" s="119">
        <v>-284.09999999999997</v>
      </c>
      <c r="M17" s="117">
        <v>1354.3755824409666</v>
      </c>
      <c r="O17" s="74" t="s">
        <v>192</v>
      </c>
      <c r="P17" s="83">
        <f t="shared" si="2"/>
        <v>-0.79166666666666596</v>
      </c>
      <c r="Q17" s="77">
        <v>12</v>
      </c>
      <c r="R17" s="68">
        <v>-9.4999999999999911</v>
      </c>
    </row>
    <row r="18" spans="1:18" x14ac:dyDescent="0.4">
      <c r="A18" s="18" t="s">
        <v>123</v>
      </c>
      <c r="B18" s="11">
        <f>B24</f>
        <v>42</v>
      </c>
      <c r="C18" s="5">
        <f>IF(B$16=0,0,B18/B$16)</f>
        <v>0.54545454545454541</v>
      </c>
      <c r="E18" s="27" t="s">
        <v>87</v>
      </c>
      <c r="F18" s="24" t="s">
        <v>42</v>
      </c>
      <c r="G18" s="12">
        <v>1</v>
      </c>
      <c r="H18" s="88">
        <f>IF(B$20=0,0,G18/B$20)</f>
        <v>1.0752688172043012E-2</v>
      </c>
      <c r="I18" s="58">
        <v>1</v>
      </c>
      <c r="K18" s="74">
        <v>16</v>
      </c>
      <c r="L18" s="119">
        <v>-234.59999999999997</v>
      </c>
      <c r="M18" s="117">
        <v>1363.9433289463209</v>
      </c>
      <c r="O18" s="74" t="s">
        <v>190</v>
      </c>
      <c r="P18" s="83">
        <f t="shared" si="2"/>
        <v>-4.0250000000000004</v>
      </c>
      <c r="Q18" s="77">
        <v>16</v>
      </c>
      <c r="R18" s="68">
        <v>-64.400000000000006</v>
      </c>
    </row>
    <row r="19" spans="1:18" x14ac:dyDescent="0.4">
      <c r="A19" s="18" t="s">
        <v>124</v>
      </c>
      <c r="B19" s="11">
        <f>B25</f>
        <v>29</v>
      </c>
      <c r="C19" s="5">
        <f>IF(B$17=0,0,B19/B$17)</f>
        <v>0.56862745098039214</v>
      </c>
      <c r="E19" s="27" t="s">
        <v>91</v>
      </c>
      <c r="F19" s="24" t="s">
        <v>46</v>
      </c>
      <c r="G19" s="12">
        <v>1</v>
      </c>
      <c r="H19" s="88">
        <f>IF(B$20=0,0,G19/B$20)</f>
        <v>1.0752688172043012E-2</v>
      </c>
      <c r="I19" s="58">
        <v>5</v>
      </c>
      <c r="K19" s="74">
        <v>17</v>
      </c>
      <c r="L19" s="119">
        <v>-233.19999999999996</v>
      </c>
      <c r="M19" s="117">
        <v>1365.5936689726429</v>
      </c>
      <c r="O19" s="74" t="s">
        <v>126</v>
      </c>
      <c r="P19" s="83">
        <f t="shared" si="2"/>
        <v>-13.85</v>
      </c>
      <c r="Q19" s="77">
        <v>28</v>
      </c>
      <c r="R19" s="68">
        <v>-387.8</v>
      </c>
    </row>
    <row r="20" spans="1:18" x14ac:dyDescent="0.4">
      <c r="A20" s="18" t="s">
        <v>10</v>
      </c>
      <c r="B20" s="11">
        <f>B23+B22</f>
        <v>93</v>
      </c>
      <c r="C20" s="5">
        <f>IF(B$3=0,0,B20/B$3)</f>
        <v>0.28792569659442724</v>
      </c>
      <c r="E20" s="27" t="s">
        <v>92</v>
      </c>
      <c r="F20" s="24" t="s">
        <v>47</v>
      </c>
      <c r="G20" s="12">
        <v>1</v>
      </c>
      <c r="H20" s="88">
        <f>IF(B$20=0,0,G20/B$20)</f>
        <v>1.0752688172043012E-2</v>
      </c>
      <c r="I20" s="58">
        <v>4</v>
      </c>
      <c r="K20" s="74">
        <v>18</v>
      </c>
      <c r="L20" s="119">
        <v>-154.09999999999997</v>
      </c>
      <c r="M20" s="117">
        <v>1381.2261069588071</v>
      </c>
      <c r="O20" s="74" t="s">
        <v>193</v>
      </c>
      <c r="P20" s="83">
        <f t="shared" si="2"/>
        <v>-20.5</v>
      </c>
      <c r="Q20" s="77">
        <v>1</v>
      </c>
      <c r="R20" s="68">
        <v>-20.5</v>
      </c>
    </row>
    <row r="21" spans="1:18" x14ac:dyDescent="0.4">
      <c r="A21" s="19" t="s">
        <v>13</v>
      </c>
      <c r="B21" s="12">
        <v>52</v>
      </c>
      <c r="C21" s="6">
        <f>IF(B$3=0,0,B21/B$3)</f>
        <v>0.1609907120743034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4</v>
      </c>
      <c r="K21" s="74">
        <v>19</v>
      </c>
      <c r="L21" s="119">
        <v>-167.29999999999995</v>
      </c>
      <c r="M21" s="117">
        <v>1380.1927503170543</v>
      </c>
      <c r="O21" s="74" t="s">
        <v>189</v>
      </c>
      <c r="P21" s="83">
        <f t="shared" si="2"/>
        <v>-34.107692307692304</v>
      </c>
      <c r="Q21" s="77">
        <v>13</v>
      </c>
      <c r="R21" s="68">
        <v>-443.4</v>
      </c>
    </row>
    <row r="22" spans="1:18" x14ac:dyDescent="0.4">
      <c r="A22" s="19" t="s">
        <v>12</v>
      </c>
      <c r="B22" s="12">
        <v>48</v>
      </c>
      <c r="C22" s="6">
        <f>IF(B$20=0,0,B22/B$20)</f>
        <v>0.5161290322580645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7</v>
      </c>
      <c r="K22" s="74">
        <v>20</v>
      </c>
      <c r="L22" s="119">
        <v>-202.59999999999997</v>
      </c>
      <c r="M22" s="117">
        <v>1374.101593815152</v>
      </c>
    </row>
    <row r="23" spans="1:18" x14ac:dyDescent="0.4">
      <c r="A23" s="19" t="s">
        <v>11</v>
      </c>
      <c r="B23" s="12">
        <v>45</v>
      </c>
      <c r="C23" s="6">
        <f>IF(B$20=0,0,B23/B$20)</f>
        <v>0.4838709677419355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-225.09999999999997</v>
      </c>
      <c r="M23" s="117">
        <v>1370.350984252261</v>
      </c>
    </row>
    <row r="24" spans="1:18" x14ac:dyDescent="0.4">
      <c r="A24" s="19" t="s">
        <v>183</v>
      </c>
      <c r="B24" s="12">
        <v>42</v>
      </c>
      <c r="C24" s="6">
        <f>IF(B$20=0,0,B24/B$20)</f>
        <v>0.45161290322580644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7</v>
      </c>
      <c r="K24" s="74">
        <v>22</v>
      </c>
      <c r="L24" s="119">
        <v>-290.29999999999995</v>
      </c>
      <c r="M24" s="117">
        <v>1358.9368783467473</v>
      </c>
    </row>
    <row r="25" spans="1:18" x14ac:dyDescent="0.4">
      <c r="A25" s="19" t="s">
        <v>181</v>
      </c>
      <c r="B25" s="12">
        <v>29</v>
      </c>
      <c r="C25" s="6">
        <f>IF(B$20=0,0,B25/B$20)</f>
        <v>0.31182795698924731</v>
      </c>
      <c r="E25" s="27" t="s">
        <v>79</v>
      </c>
      <c r="F25" s="24" t="s">
        <v>34</v>
      </c>
      <c r="G25" s="12">
        <v>0</v>
      </c>
      <c r="H25" s="88">
        <f>IF(B$20=0,0,G25/B$20)</f>
        <v>0</v>
      </c>
      <c r="I25" s="58">
        <v>8</v>
      </c>
      <c r="K25" s="74">
        <v>23</v>
      </c>
      <c r="L25" s="119">
        <v>-232.39999999999995</v>
      </c>
      <c r="M25" s="117">
        <v>1370.0192570766669</v>
      </c>
    </row>
    <row r="26" spans="1:18" x14ac:dyDescent="0.4">
      <c r="A26" s="19" t="s">
        <v>182</v>
      </c>
      <c r="B26" s="12">
        <v>22</v>
      </c>
      <c r="C26" s="6">
        <f>IF(B$20=0,0,B26/B$20)</f>
        <v>0.23655913978494625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-207.09999999999994</v>
      </c>
      <c r="M26" s="117">
        <v>1375.161141534207</v>
      </c>
    </row>
    <row r="27" spans="1:18" x14ac:dyDescent="0.4">
      <c r="A27" s="19" t="s">
        <v>5</v>
      </c>
      <c r="B27" s="16">
        <f>IF(B$20=0,0,C27/B$20)</f>
        <v>7873.1182795698924</v>
      </c>
      <c r="C27" s="8">
        <v>732200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-227.29999999999993</v>
      </c>
      <c r="M27" s="117">
        <v>1373.0601746850018</v>
      </c>
    </row>
    <row r="28" spans="1:18" x14ac:dyDescent="0.4">
      <c r="A28" s="20" t="s">
        <v>165</v>
      </c>
      <c r="B28" s="95">
        <f>IF($B$20-B$19=0,0,C28/($B$20-B$19))</f>
        <v>9082.8125</v>
      </c>
      <c r="C28" s="96">
        <v>581300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-260.29999999999995</v>
      </c>
      <c r="M28" s="117">
        <v>1368.4818136368917</v>
      </c>
    </row>
    <row r="29" spans="1:18" x14ac:dyDescent="0.4">
      <c r="A29" s="20" t="s">
        <v>166</v>
      </c>
      <c r="B29" s="95">
        <f>IF(B$19=0,0,C29/B$19)</f>
        <v>5203.4482758620688</v>
      </c>
      <c r="C29" s="96">
        <v>150900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4</v>
      </c>
      <c r="K29" s="74">
        <v>27</v>
      </c>
      <c r="L29" s="119">
        <v>-225.79999999999995</v>
      </c>
      <c r="M29" s="117">
        <v>1376.2429227550704</v>
      </c>
    </row>
    <row r="30" spans="1:18" x14ac:dyDescent="0.4">
      <c r="A30" s="20" t="s">
        <v>164</v>
      </c>
      <c r="B30" s="95">
        <f>IF(B$21=0,0,C30/B$21)</f>
        <v>-7148.0769230769229</v>
      </c>
      <c r="C30" s="96">
        <v>-371700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-222.39999999999995</v>
      </c>
      <c r="M30" s="117">
        <v>1377.68746521854</v>
      </c>
    </row>
    <row r="31" spans="1:18" x14ac:dyDescent="0.4">
      <c r="A31" s="19" t="s">
        <v>157</v>
      </c>
      <c r="B31" s="12">
        <v>7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-243.09999999999994</v>
      </c>
      <c r="M31" s="117">
        <v>1375.2473404272287</v>
      </c>
    </row>
    <row r="32" spans="1:18" x14ac:dyDescent="0.4">
      <c r="A32" s="19" t="s">
        <v>158</v>
      </c>
      <c r="B32" s="12">
        <v>26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-270.19999999999993</v>
      </c>
      <c r="M32" s="117">
        <v>1371.6698563846653</v>
      </c>
    </row>
    <row r="33" spans="1:13" x14ac:dyDescent="0.4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-285.89999999999992</v>
      </c>
      <c r="M33" s="117">
        <v>1370.1658372463573</v>
      </c>
    </row>
    <row r="34" spans="1:13" x14ac:dyDescent="0.4">
      <c r="A34" s="22" t="s">
        <v>180</v>
      </c>
      <c r="B34" s="129">
        <v>104100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-277.49999999999994</v>
      </c>
      <c r="M34" s="117">
        <v>1373.0148422228792</v>
      </c>
    </row>
    <row r="35" spans="1:13" x14ac:dyDescent="0.4">
      <c r="A35" s="21" t="s">
        <v>137</v>
      </c>
      <c r="B35" s="29">
        <v>1</v>
      </c>
      <c r="C35" s="9">
        <f>IF(B$3=0,0,B35/B$3)</f>
        <v>3.0959752321981426E-3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-276.19999999999993</v>
      </c>
      <c r="M35" s="117">
        <v>1374.5687531695419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-295.39999999999992</v>
      </c>
      <c r="M36" s="117">
        <v>1372.6693406505246</v>
      </c>
    </row>
    <row r="37" spans="1:13" x14ac:dyDescent="0.4">
      <c r="A37" s="54" t="s">
        <v>171</v>
      </c>
      <c r="B37" s="123">
        <v>10</v>
      </c>
      <c r="C37" s="98">
        <f t="shared" ref="C37:C49" si="3">IF(B$20=0,0,B37/B$20)</f>
        <v>0.10752688172043011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-288.2999999999999</v>
      </c>
      <c r="M37" s="117">
        <v>1375.5153246066216</v>
      </c>
    </row>
    <row r="38" spans="1:13" x14ac:dyDescent="0.4">
      <c r="A38" s="19" t="s">
        <v>167</v>
      </c>
      <c r="B38" s="12">
        <v>17</v>
      </c>
      <c r="C38" s="6">
        <f t="shared" si="3"/>
        <v>0.18279569892473119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-258.7999999999999</v>
      </c>
      <c r="M38" s="117">
        <v>1382.1002326589819</v>
      </c>
    </row>
    <row r="39" spans="1:13" x14ac:dyDescent="0.4">
      <c r="A39" s="19" t="s">
        <v>168</v>
      </c>
      <c r="B39" s="124">
        <v>19</v>
      </c>
      <c r="C39" s="6">
        <f t="shared" si="3"/>
        <v>0.20430107526881722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-287.2999999999999</v>
      </c>
      <c r="M39" s="117">
        <v>1378.1876312630279</v>
      </c>
    </row>
    <row r="40" spans="1:13" x14ac:dyDescent="0.4">
      <c r="A40" s="19" t="s">
        <v>169</v>
      </c>
      <c r="B40" s="124">
        <v>14</v>
      </c>
      <c r="C40" s="6">
        <f t="shared" si="3"/>
        <v>0.15053763440860216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-289.69999999999987</v>
      </c>
      <c r="M40" s="117">
        <v>1378.9965054754498</v>
      </c>
    </row>
    <row r="41" spans="1:13" x14ac:dyDescent="0.4">
      <c r="A41" s="19" t="s">
        <v>170</v>
      </c>
      <c r="B41" s="124">
        <v>10</v>
      </c>
      <c r="C41" s="6">
        <f t="shared" si="3"/>
        <v>0.10752688172043011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-263.09999999999985</v>
      </c>
      <c r="M41" s="117">
        <v>1384.8345264425971</v>
      </c>
    </row>
    <row r="42" spans="1:13" x14ac:dyDescent="0.4">
      <c r="A42" s="19" t="s">
        <v>172</v>
      </c>
      <c r="B42" s="124">
        <v>14</v>
      </c>
      <c r="C42" s="6">
        <f t="shared" si="3"/>
        <v>0.15053763440860216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-254.79999999999984</v>
      </c>
      <c r="M42" s="117">
        <v>1387.3435192839415</v>
      </c>
    </row>
    <row r="43" spans="1:13" x14ac:dyDescent="0.4">
      <c r="A43" s="19" t="s">
        <v>173</v>
      </c>
      <c r="B43" s="124">
        <v>4</v>
      </c>
      <c r="C43" s="6">
        <f t="shared" si="3"/>
        <v>4.3010752688172046E-2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-261.99999999999983</v>
      </c>
      <c r="M43" s="117">
        <v>1387.533458168238</v>
      </c>
    </row>
    <row r="44" spans="1:13" x14ac:dyDescent="0.4">
      <c r="A44" s="19" t="s">
        <v>174</v>
      </c>
      <c r="B44" s="124">
        <v>2</v>
      </c>
      <c r="C44" s="6">
        <f t="shared" si="3"/>
        <v>2.1505376344086023E-2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-240.99999999999983</v>
      </c>
      <c r="M44" s="117">
        <v>1392.8042574192286</v>
      </c>
    </row>
    <row r="45" spans="1:13" x14ac:dyDescent="0.4">
      <c r="A45" s="19" t="s">
        <v>175</v>
      </c>
      <c r="B45" s="124">
        <v>1</v>
      </c>
      <c r="C45" s="6">
        <f t="shared" si="3"/>
        <v>1.0752688172043012E-2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1</v>
      </c>
      <c r="C46" s="6">
        <f t="shared" si="3"/>
        <v>1.0752688172043012E-2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3"/>
        <v>1.0752688172043012E-2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16794-46BD-4067-85DB-15B223106D39}">
  <sheetPr codeName="Sheet15"/>
  <dimension ref="A1:R7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69</v>
      </c>
      <c r="C2" s="134"/>
      <c r="E2" s="26" t="s">
        <v>66</v>
      </c>
      <c r="F2" s="23" t="s">
        <v>22</v>
      </c>
      <c r="G2" s="11">
        <v>101</v>
      </c>
      <c r="H2" s="87">
        <f>IF(B$20=0,0,G2/B$20)</f>
        <v>0.6558441558441559</v>
      </c>
      <c r="I2" s="57">
        <v>8</v>
      </c>
      <c r="K2" s="73">
        <v>0</v>
      </c>
      <c r="L2" s="118">
        <v>0</v>
      </c>
      <c r="M2" s="116">
        <v>1517.192907423339</v>
      </c>
      <c r="O2" s="73" t="s">
        <v>128</v>
      </c>
      <c r="P2" s="79">
        <f t="shared" ref="P2:P7" si="0">IF(Q2=0,0,R2/Q2)</f>
        <v>-305.88235294117646</v>
      </c>
      <c r="Q2" s="76">
        <v>68</v>
      </c>
      <c r="R2" s="63">
        <v>-20800</v>
      </c>
    </row>
    <row r="3" spans="1:18" x14ac:dyDescent="0.4">
      <c r="A3" s="19" t="s">
        <v>8</v>
      </c>
      <c r="B3" s="135">
        <v>567</v>
      </c>
      <c r="C3" s="136"/>
      <c r="E3" s="27" t="s">
        <v>72</v>
      </c>
      <c r="F3" s="24" t="s">
        <v>27</v>
      </c>
      <c r="G3" s="12">
        <v>101</v>
      </c>
      <c r="H3" s="88">
        <f>IF(B$20=0,0,G3/B$20)</f>
        <v>0.6558441558441559</v>
      </c>
      <c r="I3" s="58">
        <v>3</v>
      </c>
      <c r="K3" s="74">
        <v>1</v>
      </c>
      <c r="L3" s="119">
        <v>-0.5</v>
      </c>
      <c r="M3" s="117">
        <v>1516.9997499787989</v>
      </c>
      <c r="O3" s="74" t="s">
        <v>129</v>
      </c>
      <c r="P3" s="80">
        <f t="shared" si="0"/>
        <v>79.411764705882348</v>
      </c>
      <c r="Q3" s="77">
        <v>68</v>
      </c>
      <c r="R3" s="64">
        <v>5400</v>
      </c>
    </row>
    <row r="4" spans="1:18" x14ac:dyDescent="0.4">
      <c r="A4" s="19" t="s">
        <v>6</v>
      </c>
      <c r="B4" s="137">
        <v>-93.19999999999996</v>
      </c>
      <c r="C4" s="138"/>
      <c r="E4" s="27" t="s">
        <v>64</v>
      </c>
      <c r="F4" s="24" t="s">
        <v>20</v>
      </c>
      <c r="G4" s="12">
        <v>65</v>
      </c>
      <c r="H4" s="88">
        <f>IF(B$20=0,0,G4/B$20)</f>
        <v>0.42207792207792205</v>
      </c>
      <c r="I4" s="58">
        <v>10</v>
      </c>
      <c r="K4" s="74">
        <v>2</v>
      </c>
      <c r="L4" s="119">
        <v>-62.8</v>
      </c>
      <c r="M4" s="117">
        <v>1506.1577514789262</v>
      </c>
      <c r="O4" s="74" t="s">
        <v>130</v>
      </c>
      <c r="P4" s="80">
        <f t="shared" si="0"/>
        <v>-923.88059701492534</v>
      </c>
      <c r="Q4" s="77">
        <v>67</v>
      </c>
      <c r="R4" s="64">
        <v>-61900</v>
      </c>
    </row>
    <row r="5" spans="1:18" x14ac:dyDescent="0.4">
      <c r="A5" s="19" t="s">
        <v>7</v>
      </c>
      <c r="B5" s="125">
        <f>IF(B$2=0,0,B$4/B$2)</f>
        <v>-1.3507246376811588</v>
      </c>
      <c r="C5" s="126"/>
      <c r="E5" s="27" t="s">
        <v>159</v>
      </c>
      <c r="F5" s="24" t="s">
        <v>160</v>
      </c>
      <c r="G5" s="12">
        <v>61</v>
      </c>
      <c r="H5" s="88">
        <f>IF(B$20=0,0,G5/B$20)</f>
        <v>0.39610389610389612</v>
      </c>
      <c r="I5" s="58">
        <v>11</v>
      </c>
      <c r="K5" s="74">
        <v>3</v>
      </c>
      <c r="L5" s="119">
        <v>-48.5</v>
      </c>
      <c r="M5" s="117">
        <v>1509.1688049700526</v>
      </c>
      <c r="O5" s="74" t="s">
        <v>131</v>
      </c>
      <c r="P5" s="80">
        <f t="shared" si="0"/>
        <v>882.8125</v>
      </c>
      <c r="Q5" s="77">
        <v>64</v>
      </c>
      <c r="R5" s="64">
        <v>56500</v>
      </c>
    </row>
    <row r="6" spans="1:18" x14ac:dyDescent="0.4">
      <c r="A6" s="19" t="s">
        <v>196</v>
      </c>
      <c r="B6" s="129">
        <v>1524.3778689305989</v>
      </c>
      <c r="C6" s="130"/>
      <c r="E6" s="27" t="s">
        <v>67</v>
      </c>
      <c r="F6" s="24" t="s">
        <v>23</v>
      </c>
      <c r="G6" s="12">
        <v>40</v>
      </c>
      <c r="H6" s="88">
        <f>IF(B$20=0,0,G6/B$20)</f>
        <v>0.25974025974025972</v>
      </c>
      <c r="I6" s="58">
        <v>6</v>
      </c>
      <c r="K6" s="74">
        <v>4</v>
      </c>
      <c r="L6" s="119">
        <v>-75.599999999999994</v>
      </c>
      <c r="M6" s="117">
        <v>1504.3317921402322</v>
      </c>
      <c r="O6" s="74" t="s">
        <v>132</v>
      </c>
      <c r="P6" s="80">
        <f t="shared" si="0"/>
        <v>-829.31034482758616</v>
      </c>
      <c r="Q6" s="77">
        <v>58</v>
      </c>
      <c r="R6" s="64">
        <v>-48100</v>
      </c>
    </row>
    <row r="7" spans="1:18" x14ac:dyDescent="0.4">
      <c r="A7" s="19" t="s">
        <v>1</v>
      </c>
      <c r="B7" s="139">
        <f>IF(B$2=0,0,(B$8*1+B$9*2+B$10*3)/B$2)</f>
        <v>2.0434782608695654</v>
      </c>
      <c r="C7" s="140"/>
      <c r="E7" s="27" t="s">
        <v>68</v>
      </c>
      <c r="F7" s="24" t="s">
        <v>12</v>
      </c>
      <c r="G7" s="12">
        <v>40</v>
      </c>
      <c r="H7" s="88">
        <f>IF(B$20=0,0,G7/B$20)</f>
        <v>0.25974025974025972</v>
      </c>
      <c r="I7" s="58">
        <v>10</v>
      </c>
      <c r="K7" s="74">
        <v>5</v>
      </c>
      <c r="L7" s="119">
        <v>-96.5</v>
      </c>
      <c r="M7" s="117">
        <v>1501.0898013873907</v>
      </c>
      <c r="O7" s="75" t="s">
        <v>133</v>
      </c>
      <c r="P7" s="81">
        <f t="shared" si="0"/>
        <v>-1253.1914893617022</v>
      </c>
      <c r="Q7" s="78">
        <v>47</v>
      </c>
      <c r="R7" s="65">
        <v>-58900</v>
      </c>
    </row>
    <row r="8" spans="1:18" x14ac:dyDescent="0.4">
      <c r="A8" s="19" t="s">
        <v>2</v>
      </c>
      <c r="B8" s="12">
        <v>22</v>
      </c>
      <c r="C8" s="6">
        <f t="shared" ref="C8:C15" si="1">IF(B$2=0,0,B8/B$2)</f>
        <v>0.3188405797101449</v>
      </c>
      <c r="E8" s="27" t="s">
        <v>89</v>
      </c>
      <c r="F8" s="24" t="s">
        <v>44</v>
      </c>
      <c r="G8" s="12">
        <v>19</v>
      </c>
      <c r="H8" s="88">
        <f>IF(B$20=0,0,G8/B$20)</f>
        <v>0.12337662337662338</v>
      </c>
      <c r="I8" s="58">
        <v>9</v>
      </c>
      <c r="K8" s="74">
        <v>6</v>
      </c>
      <c r="L8" s="119">
        <v>-70.5</v>
      </c>
      <c r="M8" s="117">
        <v>1506.3092625790664</v>
      </c>
      <c r="O8" s="107"/>
      <c r="P8" s="85"/>
      <c r="Q8" s="108"/>
      <c r="R8" s="70"/>
    </row>
    <row r="9" spans="1:18" x14ac:dyDescent="0.4">
      <c r="A9" s="19" t="s">
        <v>3</v>
      </c>
      <c r="B9" s="12">
        <v>22</v>
      </c>
      <c r="C9" s="6">
        <f t="shared" si="1"/>
        <v>0.3188405797101449</v>
      </c>
      <c r="E9" s="27" t="s">
        <v>69</v>
      </c>
      <c r="F9" s="24" t="s">
        <v>24</v>
      </c>
      <c r="G9" s="12">
        <v>15</v>
      </c>
      <c r="H9" s="88">
        <f>IF(B$20=0,0,G9/B$20)</f>
        <v>9.7402597402597407E-2</v>
      </c>
      <c r="I9" s="58">
        <v>10</v>
      </c>
      <c r="K9" s="74">
        <v>7</v>
      </c>
      <c r="L9" s="119">
        <v>-38.6</v>
      </c>
      <c r="M9" s="117">
        <v>1512.097407003592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25</v>
      </c>
      <c r="C10" s="7">
        <f t="shared" si="1"/>
        <v>0.36231884057971014</v>
      </c>
      <c r="E10" s="27" t="s">
        <v>65</v>
      </c>
      <c r="F10" s="24" t="s">
        <v>21</v>
      </c>
      <c r="G10" s="12">
        <v>10</v>
      </c>
      <c r="H10" s="88">
        <f>IF(B$20=0,0,G10/B$20)</f>
        <v>6.4935064935064929E-2</v>
      </c>
      <c r="I10" s="58">
        <v>11</v>
      </c>
      <c r="K10" s="74">
        <v>8</v>
      </c>
      <c r="L10" s="119">
        <v>-28.3</v>
      </c>
      <c r="M10" s="117">
        <v>1515.0188225615705</v>
      </c>
      <c r="O10" s="73" t="s">
        <v>151</v>
      </c>
      <c r="P10" s="82">
        <f>IF(Q10=0,0,R10/Q10)</f>
        <v>-9.9260869565217398</v>
      </c>
      <c r="Q10" s="76">
        <v>23</v>
      </c>
      <c r="R10" s="67">
        <v>-228.3</v>
      </c>
    </row>
    <row r="11" spans="1:18" x14ac:dyDescent="0.4">
      <c r="A11" s="20" t="s">
        <v>184</v>
      </c>
      <c r="B11" s="109">
        <f>IF(B8=0,0,C11/B8)</f>
        <v>38.040909090909096</v>
      </c>
      <c r="C11" s="110">
        <v>836.90000000000009</v>
      </c>
      <c r="E11" s="27" t="s">
        <v>83</v>
      </c>
      <c r="F11" s="24" t="s">
        <v>38</v>
      </c>
      <c r="G11" s="12">
        <v>9</v>
      </c>
      <c r="H11" s="88">
        <f>IF(B$20=0,0,G11/B$20)</f>
        <v>5.844155844155844E-2</v>
      </c>
      <c r="I11" s="58">
        <v>3</v>
      </c>
      <c r="K11" s="74">
        <v>9</v>
      </c>
      <c r="L11" s="119">
        <v>-20.3</v>
      </c>
      <c r="M11" s="117">
        <v>1517.5087096262009</v>
      </c>
      <c r="O11" s="74" t="s">
        <v>152</v>
      </c>
      <c r="P11" s="83">
        <f>IF(Q11=0,0,R11/Q11)</f>
        <v>1.3360000000000005</v>
      </c>
      <c r="Q11" s="77">
        <v>25</v>
      </c>
      <c r="R11" s="68">
        <v>33.400000000000013</v>
      </c>
    </row>
    <row r="12" spans="1:18" x14ac:dyDescent="0.4">
      <c r="A12" s="20" t="s">
        <v>185</v>
      </c>
      <c r="B12" s="109">
        <f>IF(B9=0,0,C12/B9)</f>
        <v>-2.9363636363636361</v>
      </c>
      <c r="C12" s="110">
        <v>-64.599999999999994</v>
      </c>
      <c r="E12" s="27" t="s">
        <v>70</v>
      </c>
      <c r="F12" s="24" t="s">
        <v>25</v>
      </c>
      <c r="G12" s="12">
        <v>8</v>
      </c>
      <c r="H12" s="88">
        <f>IF(B$20=0,0,G12/B$20)</f>
        <v>5.1948051948051951E-2</v>
      </c>
      <c r="I12" s="58">
        <v>10</v>
      </c>
      <c r="K12" s="74">
        <v>10</v>
      </c>
      <c r="L12" s="119">
        <v>-14.9</v>
      </c>
      <c r="M12" s="117">
        <v>1518.5136573684438</v>
      </c>
      <c r="O12" s="75" t="s">
        <v>153</v>
      </c>
      <c r="P12" s="84">
        <f>IF(Q12=0,0,R12/Q12)</f>
        <v>4.8428571428571434</v>
      </c>
      <c r="Q12" s="78">
        <v>21</v>
      </c>
      <c r="R12" s="69">
        <v>101.70000000000002</v>
      </c>
    </row>
    <row r="13" spans="1:18" x14ac:dyDescent="0.4">
      <c r="A13" s="20" t="s">
        <v>186</v>
      </c>
      <c r="B13" s="109">
        <f>IF(B10=0,0,C13/B10)</f>
        <v>-34.619999999999997</v>
      </c>
      <c r="C13" s="110">
        <v>-865.49999999999989</v>
      </c>
      <c r="E13" s="27" t="s">
        <v>71</v>
      </c>
      <c r="F13" s="24" t="s">
        <v>26</v>
      </c>
      <c r="G13" s="12">
        <v>8</v>
      </c>
      <c r="H13" s="88">
        <f>IF(B$20=0,0,G13/B$20)</f>
        <v>5.1948051948051951E-2</v>
      </c>
      <c r="I13" s="58">
        <v>8</v>
      </c>
      <c r="K13" s="74">
        <v>11</v>
      </c>
      <c r="L13" s="119">
        <v>-46</v>
      </c>
      <c r="M13" s="117">
        <v>1513.410575424233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0.16151515151515383</v>
      </c>
      <c r="C14" s="126"/>
      <c r="E14" s="27" t="s">
        <v>79</v>
      </c>
      <c r="F14" s="24" t="s">
        <v>34</v>
      </c>
      <c r="G14" s="12">
        <v>6</v>
      </c>
      <c r="H14" s="88">
        <f>IF(B$20=0,0,G14/B$20)</f>
        <v>3.896103896103896E-2</v>
      </c>
      <c r="I14" s="58">
        <v>3</v>
      </c>
      <c r="K14" s="74">
        <v>12</v>
      </c>
      <c r="L14" s="119">
        <v>-87.6</v>
      </c>
      <c r="M14" s="117">
        <v>1506.4481119716877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5</v>
      </c>
      <c r="C15" s="9">
        <f t="shared" si="1"/>
        <v>7.2463768115942032E-2</v>
      </c>
      <c r="E15" s="27" t="s">
        <v>91</v>
      </c>
      <c r="F15" s="24" t="s">
        <v>46</v>
      </c>
      <c r="G15" s="12">
        <v>6</v>
      </c>
      <c r="H15" s="88">
        <f>IF(B$20=0,0,G15/B$20)</f>
        <v>3.896103896103896E-2</v>
      </c>
      <c r="I15" s="58">
        <v>2</v>
      </c>
      <c r="K15" s="74">
        <v>13</v>
      </c>
      <c r="L15" s="119">
        <v>-125.89999999999999</v>
      </c>
      <c r="M15" s="117">
        <v>1499.0474232998577</v>
      </c>
      <c r="O15" s="73" t="s">
        <v>250</v>
      </c>
      <c r="P15" s="82">
        <f t="shared" ref="P15:P23" si="2">IF(Q15=0,0,R15/Q15)</f>
        <v>110.30000000000001</v>
      </c>
      <c r="Q15" s="76">
        <v>1</v>
      </c>
      <c r="R15" s="67">
        <v>110.30000000000001</v>
      </c>
    </row>
    <row r="16" spans="1:18" x14ac:dyDescent="0.4">
      <c r="A16" s="22" t="s">
        <v>121</v>
      </c>
      <c r="B16" s="15">
        <v>130</v>
      </c>
      <c r="C16" s="10">
        <f>IF(B$3=0,0,B16/B$3)</f>
        <v>0.2292768959435626</v>
      </c>
      <c r="E16" s="27" t="s">
        <v>78</v>
      </c>
      <c r="F16" s="24" t="s">
        <v>33</v>
      </c>
      <c r="G16" s="12">
        <v>5</v>
      </c>
      <c r="H16" s="88">
        <f>IF(B$20=0,0,G16/B$20)</f>
        <v>3.2467532467532464E-2</v>
      </c>
      <c r="I16" s="58">
        <v>6</v>
      </c>
      <c r="K16" s="74">
        <v>14</v>
      </c>
      <c r="L16" s="119">
        <v>-149.39999999999998</v>
      </c>
      <c r="M16" s="117">
        <v>1495.6271387600584</v>
      </c>
      <c r="O16" s="74" t="s">
        <v>253</v>
      </c>
      <c r="P16" s="83">
        <f t="shared" si="2"/>
        <v>41.35</v>
      </c>
      <c r="Q16" s="77">
        <v>2</v>
      </c>
      <c r="R16" s="68">
        <v>82.7</v>
      </c>
    </row>
    <row r="17" spans="1:18" x14ac:dyDescent="0.4">
      <c r="A17" s="19" t="s">
        <v>118</v>
      </c>
      <c r="B17" s="12">
        <v>135</v>
      </c>
      <c r="C17" s="6">
        <f>IF(B$3=0,0,B17/B$3)</f>
        <v>0.23809523809523808</v>
      </c>
      <c r="E17" s="27" t="s">
        <v>81</v>
      </c>
      <c r="F17" s="24" t="s">
        <v>36</v>
      </c>
      <c r="G17" s="12">
        <v>4</v>
      </c>
      <c r="H17" s="88">
        <f>IF(B$20=0,0,G17/B$20)</f>
        <v>2.5974025974025976E-2</v>
      </c>
      <c r="I17" s="58">
        <v>5</v>
      </c>
      <c r="K17" s="74">
        <v>15</v>
      </c>
      <c r="L17" s="119">
        <v>-121.39999999999998</v>
      </c>
      <c r="M17" s="117">
        <v>1501.5513759274982</v>
      </c>
      <c r="O17" s="74" t="s">
        <v>198</v>
      </c>
      <c r="P17" s="83">
        <f t="shared" si="2"/>
        <v>23.599999999999998</v>
      </c>
      <c r="Q17" s="77">
        <v>3</v>
      </c>
      <c r="R17" s="68">
        <v>70.8</v>
      </c>
    </row>
    <row r="18" spans="1:18" x14ac:dyDescent="0.4">
      <c r="A18" s="18" t="s">
        <v>123</v>
      </c>
      <c r="B18" s="11">
        <f>B24</f>
        <v>68</v>
      </c>
      <c r="C18" s="5">
        <f>IF(B$16=0,0,B18/B$16)</f>
        <v>0.52307692307692311</v>
      </c>
      <c r="E18" s="27" t="s">
        <v>86</v>
      </c>
      <c r="F18" s="24" t="s">
        <v>41</v>
      </c>
      <c r="G18" s="12">
        <v>4</v>
      </c>
      <c r="H18" s="88">
        <f>IF(B$20=0,0,G18/B$20)</f>
        <v>2.5974025974025976E-2</v>
      </c>
      <c r="I18" s="58">
        <v>9</v>
      </c>
      <c r="K18" s="74">
        <v>16</v>
      </c>
      <c r="L18" s="119">
        <v>-141.29999999999998</v>
      </c>
      <c r="M18" s="117">
        <v>1498.8180676719332</v>
      </c>
      <c r="O18" s="74" t="s">
        <v>189</v>
      </c>
      <c r="P18" s="83">
        <f t="shared" si="2"/>
        <v>5.7964285714285753</v>
      </c>
      <c r="Q18" s="77">
        <v>28</v>
      </c>
      <c r="R18" s="68">
        <v>162.3000000000001</v>
      </c>
    </row>
    <row r="19" spans="1:18" x14ac:dyDescent="0.4">
      <c r="A19" s="18" t="s">
        <v>124</v>
      </c>
      <c r="B19" s="11">
        <f>B25</f>
        <v>55</v>
      </c>
      <c r="C19" s="5">
        <f>IF(B$17=0,0,B19/B$17)</f>
        <v>0.40740740740740738</v>
      </c>
      <c r="E19" s="27" t="s">
        <v>92</v>
      </c>
      <c r="F19" s="24" t="s">
        <v>47</v>
      </c>
      <c r="G19" s="12">
        <v>3</v>
      </c>
      <c r="H19" s="88">
        <f>IF(B$20=0,0,G19/B$20)</f>
        <v>1.948051948051948E-2</v>
      </c>
      <c r="I19" s="58">
        <v>1</v>
      </c>
      <c r="K19" s="74">
        <v>17</v>
      </c>
      <c r="L19" s="119">
        <v>-149.1</v>
      </c>
      <c r="M19" s="117">
        <v>1498.5311592659016</v>
      </c>
      <c r="O19" s="74" t="s">
        <v>195</v>
      </c>
      <c r="P19" s="83">
        <f t="shared" si="2"/>
        <v>4.0250000000000021</v>
      </c>
      <c r="Q19" s="77">
        <v>16</v>
      </c>
      <c r="R19" s="68">
        <v>64.400000000000034</v>
      </c>
    </row>
    <row r="20" spans="1:18" x14ac:dyDescent="0.4">
      <c r="A20" s="18" t="s">
        <v>10</v>
      </c>
      <c r="B20" s="11">
        <f>B23+B22</f>
        <v>154</v>
      </c>
      <c r="C20" s="5">
        <f>IF(B$3=0,0,B20/B$3)</f>
        <v>0.27160493827160492</v>
      </c>
      <c r="E20" s="27" t="s">
        <v>75</v>
      </c>
      <c r="F20" s="24" t="s">
        <v>30</v>
      </c>
      <c r="G20" s="12">
        <v>2</v>
      </c>
      <c r="H20" s="88">
        <f>IF(B$20=0,0,G20/B$20)</f>
        <v>1.2987012987012988E-2</v>
      </c>
      <c r="I20" s="58">
        <v>1</v>
      </c>
      <c r="K20" s="74">
        <v>18</v>
      </c>
      <c r="L20" s="119">
        <v>-201.89999999999998</v>
      </c>
      <c r="M20" s="117">
        <v>1490.1459723103062</v>
      </c>
      <c r="O20" s="74" t="s">
        <v>192</v>
      </c>
      <c r="P20" s="83">
        <f t="shared" si="2"/>
        <v>-0.84166666666666501</v>
      </c>
      <c r="Q20" s="77">
        <v>12</v>
      </c>
      <c r="R20" s="68">
        <v>-10.09999999999998</v>
      </c>
    </row>
    <row r="21" spans="1:18" x14ac:dyDescent="0.4">
      <c r="A21" s="19" t="s">
        <v>13</v>
      </c>
      <c r="B21" s="12">
        <v>69</v>
      </c>
      <c r="C21" s="6">
        <f>IF(B$3=0,0,B21/B$3)</f>
        <v>0.12169312169312169</v>
      </c>
      <c r="E21" s="27" t="s">
        <v>77</v>
      </c>
      <c r="F21" s="24" t="s">
        <v>32</v>
      </c>
      <c r="G21" s="12">
        <v>1</v>
      </c>
      <c r="H21" s="88">
        <f>IF(B$20=0,0,G21/B$20)</f>
        <v>6.4935064935064939E-3</v>
      </c>
      <c r="I21" s="58">
        <v>4</v>
      </c>
      <c r="K21" s="74">
        <v>19</v>
      </c>
      <c r="L21" s="119">
        <v>-152.39999999999998</v>
      </c>
      <c r="M21" s="117">
        <v>1499.3490964764444</v>
      </c>
      <c r="O21" s="74" t="s">
        <v>163</v>
      </c>
      <c r="P21" s="83">
        <f t="shared" si="2"/>
        <v>-1.8749999999999996</v>
      </c>
      <c r="Q21" s="77">
        <v>28</v>
      </c>
      <c r="R21" s="68">
        <v>-52.499999999999986</v>
      </c>
    </row>
    <row r="22" spans="1:18" x14ac:dyDescent="0.4">
      <c r="A22" s="19" t="s">
        <v>12</v>
      </c>
      <c r="B22" s="12">
        <v>67</v>
      </c>
      <c r="C22" s="6">
        <f>IF(B$20=0,0,B22/B$20)</f>
        <v>0.43506493506493504</v>
      </c>
      <c r="E22" s="27" t="s">
        <v>85</v>
      </c>
      <c r="F22" s="24" t="s">
        <v>40</v>
      </c>
      <c r="G22" s="12">
        <v>1</v>
      </c>
      <c r="H22" s="88">
        <f>IF(B$20=0,0,G22/B$20)</f>
        <v>6.4935064935064939E-3</v>
      </c>
      <c r="I22" s="58">
        <v>2</v>
      </c>
      <c r="K22" s="74">
        <v>20</v>
      </c>
      <c r="L22" s="119">
        <v>-140.19999999999999</v>
      </c>
      <c r="M22" s="117">
        <v>1502.6590018975858</v>
      </c>
      <c r="O22" s="74" t="s">
        <v>193</v>
      </c>
      <c r="P22" s="83">
        <f t="shared" si="2"/>
        <v>-14.1625</v>
      </c>
      <c r="Q22" s="77">
        <v>8</v>
      </c>
      <c r="R22" s="68">
        <v>-113.3</v>
      </c>
    </row>
    <row r="23" spans="1:18" x14ac:dyDescent="0.4">
      <c r="A23" s="19" t="s">
        <v>11</v>
      </c>
      <c r="B23" s="12">
        <v>87</v>
      </c>
      <c r="C23" s="6">
        <f>IF(B$20=0,0,B23/B$20)</f>
        <v>0.56493506493506496</v>
      </c>
      <c r="E23" s="27" t="s">
        <v>95</v>
      </c>
      <c r="F23" s="24" t="s">
        <v>50</v>
      </c>
      <c r="G23" s="12">
        <v>1</v>
      </c>
      <c r="H23" s="88">
        <f>IF(B$20=0,0,G23/B$20)</f>
        <v>6.4935064935064939E-3</v>
      </c>
      <c r="I23" s="58">
        <v>1</v>
      </c>
      <c r="K23" s="74">
        <v>21</v>
      </c>
      <c r="L23" s="119">
        <v>-76.699999999999989</v>
      </c>
      <c r="M23" s="117">
        <v>1513.5450478862003</v>
      </c>
      <c r="O23" s="74" t="s">
        <v>126</v>
      </c>
      <c r="P23" s="83">
        <f t="shared" si="2"/>
        <v>-14.855</v>
      </c>
      <c r="Q23" s="77">
        <v>40</v>
      </c>
      <c r="R23" s="68">
        <v>-594.20000000000005</v>
      </c>
    </row>
    <row r="24" spans="1:18" x14ac:dyDescent="0.4">
      <c r="A24" s="19" t="s">
        <v>183</v>
      </c>
      <c r="B24" s="12">
        <v>68</v>
      </c>
      <c r="C24" s="6">
        <f>IF(B$20=0,0,B24/B$20)</f>
        <v>0.44155844155844154</v>
      </c>
      <c r="E24" s="27" t="s">
        <v>155</v>
      </c>
      <c r="F24" s="24" t="s">
        <v>156</v>
      </c>
      <c r="G24" s="12">
        <v>1</v>
      </c>
      <c r="H24" s="88">
        <f>IF(B$20=0,0,G24/B$20)</f>
        <v>6.4935064935064939E-3</v>
      </c>
      <c r="I24" s="58">
        <v>4</v>
      </c>
      <c r="K24" s="74">
        <v>22</v>
      </c>
      <c r="L24" s="119">
        <v>-46.699999999999989</v>
      </c>
      <c r="M24" s="117">
        <v>1518.3357775988832</v>
      </c>
    </row>
    <row r="25" spans="1:18" x14ac:dyDescent="0.4">
      <c r="A25" s="19" t="s">
        <v>181</v>
      </c>
      <c r="B25" s="12">
        <v>55</v>
      </c>
      <c r="C25" s="6">
        <f>IF(B$20=0,0,B25/B$20)</f>
        <v>0.35714285714285715</v>
      </c>
      <c r="E25" s="27" t="s">
        <v>73</v>
      </c>
      <c r="F25" s="24" t="s">
        <v>28</v>
      </c>
      <c r="G25" s="12">
        <v>0</v>
      </c>
      <c r="H25" s="88">
        <f>IF(B$20=0,0,G25/B$20)</f>
        <v>0</v>
      </c>
      <c r="I25" s="58">
        <v>5</v>
      </c>
      <c r="K25" s="74">
        <v>23</v>
      </c>
      <c r="L25" s="119">
        <v>-43.199999999999989</v>
      </c>
      <c r="M25" s="117">
        <v>1518.6037629332898</v>
      </c>
    </row>
    <row r="26" spans="1:18" x14ac:dyDescent="0.4">
      <c r="A26" s="19" t="s">
        <v>182</v>
      </c>
      <c r="B26" s="12">
        <v>31</v>
      </c>
      <c r="C26" s="6">
        <f>IF(B$20=0,0,B26/B$20)</f>
        <v>0.20129870129870131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4</v>
      </c>
      <c r="K26" s="74">
        <v>24</v>
      </c>
      <c r="L26" s="119">
        <v>-9.1999999999999886</v>
      </c>
      <c r="M26" s="117">
        <v>1524.36014035569</v>
      </c>
    </row>
    <row r="27" spans="1:18" x14ac:dyDescent="0.4">
      <c r="A27" s="19" t="s">
        <v>5</v>
      </c>
      <c r="B27" s="16">
        <f>IF(B$20=0,0,C27/B$20)</f>
        <v>8177.272727272727</v>
      </c>
      <c r="C27" s="8">
        <v>1259300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-13.199999999999989</v>
      </c>
      <c r="M27" s="117">
        <v>1523.0139795135558</v>
      </c>
    </row>
    <row r="28" spans="1:18" x14ac:dyDescent="0.4">
      <c r="A28" s="20" t="s">
        <v>165</v>
      </c>
      <c r="B28" s="95">
        <f>IF($B$20-B$19=0,0,C28/($B$20-B$19))</f>
        <v>8611.1111111111113</v>
      </c>
      <c r="C28" s="96">
        <v>852500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-24.699999999999989</v>
      </c>
      <c r="M28" s="117">
        <v>1522.0178956364743</v>
      </c>
    </row>
    <row r="29" spans="1:18" x14ac:dyDescent="0.4">
      <c r="A29" s="20" t="s">
        <v>166</v>
      </c>
      <c r="B29" s="95">
        <f>IF(B$19=0,0,C29/B$19)</f>
        <v>7396.363636363636</v>
      </c>
      <c r="C29" s="96">
        <v>406800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-58.099999999999987</v>
      </c>
      <c r="M29" s="117">
        <v>1516.2097882626556</v>
      </c>
    </row>
    <row r="30" spans="1:18" x14ac:dyDescent="0.4">
      <c r="A30" s="20" t="s">
        <v>164</v>
      </c>
      <c r="B30" s="95">
        <f>IF(B$21=0,0,C30/B$21)</f>
        <v>-8091.304347826087</v>
      </c>
      <c r="C30" s="96">
        <v>-558300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-115.69999999999999</v>
      </c>
      <c r="M30" s="117">
        <v>1505.7265295330797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-163.79999999999998</v>
      </c>
      <c r="M31" s="117">
        <v>1497.0161703558813</v>
      </c>
    </row>
    <row r="32" spans="1:18" x14ac:dyDescent="0.4">
      <c r="A32" s="19" t="s">
        <v>158</v>
      </c>
      <c r="B32" s="12">
        <v>39</v>
      </c>
      <c r="C32" s="90">
        <v>3</v>
      </c>
      <c r="E32" s="27" t="s">
        <v>88</v>
      </c>
      <c r="F32" s="24" t="s">
        <v>43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-201</v>
      </c>
      <c r="M32" s="117">
        <v>1490.320073333746</v>
      </c>
    </row>
    <row r="33" spans="1:13" x14ac:dyDescent="0.4">
      <c r="A33" s="54" t="s">
        <v>136</v>
      </c>
      <c r="B33" s="127">
        <v>5</v>
      </c>
      <c r="C33" s="128"/>
      <c r="E33" s="27" t="s">
        <v>90</v>
      </c>
      <c r="F33" s="24" t="s">
        <v>45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-181.9</v>
      </c>
      <c r="M33" s="117">
        <v>1494.4041528937435</v>
      </c>
    </row>
    <row r="34" spans="1:13" x14ac:dyDescent="0.4">
      <c r="A34" s="22" t="s">
        <v>180</v>
      </c>
      <c r="B34" s="129">
        <v>107400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-137.5</v>
      </c>
      <c r="M34" s="117">
        <v>1503.0177279763809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-142.19999999999999</v>
      </c>
      <c r="M35" s="117">
        <v>1503.2756216085227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-158.79999999999998</v>
      </c>
      <c r="M36" s="117">
        <v>1501.3899678788716</v>
      </c>
    </row>
    <row r="37" spans="1:13" x14ac:dyDescent="0.4">
      <c r="A37" s="54" t="s">
        <v>171</v>
      </c>
      <c r="B37" s="123">
        <v>13</v>
      </c>
      <c r="C37" s="98">
        <f t="shared" ref="C37:C49" si="3">IF(B$20=0,0,B37/B$20)</f>
        <v>8.4415584415584416E-2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  <c r="K37" s="74">
        <v>35</v>
      </c>
      <c r="L37" s="119">
        <v>-182.49999999999997</v>
      </c>
      <c r="M37" s="117">
        <v>1497.6976280715985</v>
      </c>
    </row>
    <row r="38" spans="1:13" x14ac:dyDescent="0.4">
      <c r="A38" s="19" t="s">
        <v>167</v>
      </c>
      <c r="B38" s="12">
        <v>29</v>
      </c>
      <c r="C38" s="6">
        <f t="shared" si="3"/>
        <v>0.18831168831168832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-211.19999999999996</v>
      </c>
      <c r="M38" s="117">
        <v>1493.133442303169</v>
      </c>
    </row>
    <row r="39" spans="1:13" x14ac:dyDescent="0.4">
      <c r="A39" s="19" t="s">
        <v>168</v>
      </c>
      <c r="B39" s="124">
        <v>37</v>
      </c>
      <c r="C39" s="6">
        <f t="shared" si="3"/>
        <v>0.24025974025974026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-171.09999999999997</v>
      </c>
      <c r="M39" s="117">
        <v>1499.9366416493499</v>
      </c>
    </row>
    <row r="40" spans="1:13" x14ac:dyDescent="0.4">
      <c r="A40" s="19" t="s">
        <v>169</v>
      </c>
      <c r="B40" s="124">
        <v>23</v>
      </c>
      <c r="C40" s="6">
        <f t="shared" si="3"/>
        <v>0.14935064935064934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-97.399999999999963</v>
      </c>
      <c r="M40" s="117">
        <v>1512.7470217994537</v>
      </c>
    </row>
    <row r="41" spans="1:13" x14ac:dyDescent="0.4">
      <c r="A41" s="19" t="s">
        <v>170</v>
      </c>
      <c r="B41" s="124">
        <v>17</v>
      </c>
      <c r="C41" s="6">
        <f t="shared" si="3"/>
        <v>0.11038961038961038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-77.999999999999972</v>
      </c>
      <c r="M41" s="117">
        <v>1515.7065396686569</v>
      </c>
    </row>
    <row r="42" spans="1:13" x14ac:dyDescent="0.4">
      <c r="A42" s="19" t="s">
        <v>172</v>
      </c>
      <c r="B42" s="124">
        <v>10</v>
      </c>
      <c r="C42" s="6">
        <f t="shared" si="3"/>
        <v>6.4935064935064929E-2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-71.499999999999972</v>
      </c>
      <c r="M42" s="117">
        <v>1517.8803004306449</v>
      </c>
    </row>
    <row r="43" spans="1:13" x14ac:dyDescent="0.4">
      <c r="A43" s="19" t="s">
        <v>173</v>
      </c>
      <c r="B43" s="124">
        <v>10</v>
      </c>
      <c r="C43" s="6">
        <f t="shared" si="3"/>
        <v>6.4935064935064929E-2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-106.09999999999997</v>
      </c>
      <c r="M43" s="117">
        <v>1511.359018628061</v>
      </c>
    </row>
    <row r="44" spans="1:13" x14ac:dyDescent="0.4">
      <c r="A44" s="19" t="s">
        <v>174</v>
      </c>
      <c r="B44" s="124">
        <v>4</v>
      </c>
      <c r="C44" s="6">
        <f t="shared" si="3"/>
        <v>2.5974025974025976E-2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-92.299999999999969</v>
      </c>
      <c r="M44" s="117">
        <v>1513.5828645162926</v>
      </c>
    </row>
    <row r="45" spans="1:13" x14ac:dyDescent="0.4">
      <c r="A45" s="19" t="s">
        <v>175</v>
      </c>
      <c r="B45" s="124">
        <v>3</v>
      </c>
      <c r="C45" s="6">
        <f t="shared" si="3"/>
        <v>1.948051948051948E-2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-117.99999999999997</v>
      </c>
      <c r="M45" s="117">
        <v>1509.7633673291948</v>
      </c>
    </row>
    <row r="46" spans="1:13" x14ac:dyDescent="0.4">
      <c r="A46" s="19" t="s">
        <v>176</v>
      </c>
      <c r="B46" s="124">
        <v>3</v>
      </c>
      <c r="C46" s="6">
        <f t="shared" si="3"/>
        <v>1.948051948051948E-2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-94.799999999999969</v>
      </c>
      <c r="M46" s="117">
        <v>1514.7687871252197</v>
      </c>
    </row>
    <row r="47" spans="1:13" x14ac:dyDescent="0.4">
      <c r="A47" s="19" t="s">
        <v>177</v>
      </c>
      <c r="B47" s="124">
        <v>1</v>
      </c>
      <c r="C47" s="6">
        <f t="shared" si="3"/>
        <v>6.4935064935064939E-3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-60.89999999999997</v>
      </c>
      <c r="M47" s="117">
        <v>1521.8501744024684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-76.899999999999977</v>
      </c>
      <c r="M48" s="117">
        <v>1519.4270733560536</v>
      </c>
    </row>
    <row r="49" spans="1:13" x14ac:dyDescent="0.4">
      <c r="A49" s="21" t="s">
        <v>179</v>
      </c>
      <c r="B49" s="97">
        <v>4</v>
      </c>
      <c r="C49" s="9">
        <f t="shared" si="3"/>
        <v>2.5974025974025976E-2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-26.09999999999998</v>
      </c>
      <c r="M49" s="117">
        <v>1528.5685109159174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-19.899999999999981</v>
      </c>
      <c r="M50" s="117">
        <v>1530.6170998504219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13.800000000000022</v>
      </c>
      <c r="M51" s="117">
        <v>1536.3853972513193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-11.599999999999977</v>
      </c>
      <c r="M52" s="117">
        <v>1531.4810848678114</v>
      </c>
    </row>
    <row r="53" spans="1:13" x14ac:dyDescent="0.4">
      <c r="K53" s="74">
        <v>51</v>
      </c>
      <c r="L53" s="119">
        <v>-66.299999999999983</v>
      </c>
      <c r="M53" s="117">
        <v>1522.0641983586045</v>
      </c>
    </row>
    <row r="54" spans="1:13" x14ac:dyDescent="0.4">
      <c r="K54" s="74">
        <v>52</v>
      </c>
      <c r="L54" s="119">
        <v>-46.09999999999998</v>
      </c>
      <c r="M54" s="117">
        <v>1526.6778131684528</v>
      </c>
    </row>
    <row r="55" spans="1:13" x14ac:dyDescent="0.4">
      <c r="K55" s="74">
        <v>53</v>
      </c>
      <c r="L55" s="119">
        <v>-73.59999999999998</v>
      </c>
      <c r="M55" s="117">
        <v>1522.1257462894421</v>
      </c>
    </row>
    <row r="56" spans="1:13" x14ac:dyDescent="0.4">
      <c r="K56" s="74">
        <v>54</v>
      </c>
      <c r="L56" s="119">
        <v>-104.39999999999998</v>
      </c>
      <c r="M56" s="117">
        <v>1517.0069918117053</v>
      </c>
    </row>
    <row r="57" spans="1:13" x14ac:dyDescent="0.4">
      <c r="K57" s="74">
        <v>55</v>
      </c>
      <c r="L57" s="119">
        <v>-68.199999999999974</v>
      </c>
      <c r="M57" s="117">
        <v>1523.4449498608351</v>
      </c>
    </row>
    <row r="58" spans="1:13" x14ac:dyDescent="0.4">
      <c r="K58" s="74">
        <v>56</v>
      </c>
      <c r="L58" s="119">
        <v>-92.099999999999966</v>
      </c>
      <c r="M58" s="117">
        <v>1519.8122801616701</v>
      </c>
    </row>
    <row r="59" spans="1:13" x14ac:dyDescent="0.4">
      <c r="K59" s="74">
        <v>57</v>
      </c>
      <c r="L59" s="119">
        <v>-112.99999999999997</v>
      </c>
      <c r="M59" s="117">
        <v>1516.7414064807001</v>
      </c>
    </row>
    <row r="60" spans="1:13" x14ac:dyDescent="0.4">
      <c r="K60" s="74">
        <v>58</v>
      </c>
      <c r="L60" s="119">
        <v>-30.599999999999966</v>
      </c>
      <c r="M60" s="117">
        <v>1532.258958041816</v>
      </c>
    </row>
    <row r="61" spans="1:13" x14ac:dyDescent="0.4">
      <c r="K61" s="74">
        <v>59</v>
      </c>
      <c r="L61" s="119">
        <v>-56.299999999999969</v>
      </c>
      <c r="M61" s="117">
        <v>1528.5074042935651</v>
      </c>
    </row>
    <row r="62" spans="1:13" x14ac:dyDescent="0.4">
      <c r="K62" s="74">
        <v>60</v>
      </c>
      <c r="L62" s="119">
        <v>-98.69999999999996</v>
      </c>
      <c r="M62" s="117">
        <v>1520.8543598678036</v>
      </c>
    </row>
    <row r="63" spans="1:13" x14ac:dyDescent="0.4">
      <c r="K63" s="74">
        <v>61</v>
      </c>
      <c r="L63" s="119">
        <v>-47.69999999999996</v>
      </c>
      <c r="M63" s="117">
        <v>1530.0712337085968</v>
      </c>
    </row>
    <row r="64" spans="1:13" x14ac:dyDescent="0.4">
      <c r="K64" s="74">
        <v>62</v>
      </c>
      <c r="L64" s="119">
        <v>-83.499999999999957</v>
      </c>
      <c r="M64" s="117">
        <v>1523.6088063063453</v>
      </c>
    </row>
    <row r="65" spans="11:13" x14ac:dyDescent="0.4">
      <c r="K65" s="74">
        <v>63</v>
      </c>
      <c r="L65" s="119">
        <v>-102.59999999999997</v>
      </c>
      <c r="M65" s="117">
        <v>1520.6051534685073</v>
      </c>
    </row>
    <row r="66" spans="11:13" x14ac:dyDescent="0.4">
      <c r="K66" s="74">
        <v>64</v>
      </c>
      <c r="L66" s="119">
        <v>-72.299999999999969</v>
      </c>
      <c r="M66" s="117">
        <v>1526.5115225476964</v>
      </c>
    </row>
    <row r="67" spans="11:13" x14ac:dyDescent="0.4">
      <c r="K67" s="74">
        <v>65</v>
      </c>
      <c r="L67" s="119">
        <v>-72.599999999999966</v>
      </c>
      <c r="M67" s="117">
        <v>1526.8744534124103</v>
      </c>
    </row>
    <row r="68" spans="11:13" x14ac:dyDescent="0.4">
      <c r="K68" s="74">
        <v>66</v>
      </c>
      <c r="L68" s="119">
        <v>-70.899999999999963</v>
      </c>
      <c r="M68" s="117">
        <v>1527.3852066919358</v>
      </c>
    </row>
    <row r="69" spans="11:13" x14ac:dyDescent="0.4">
      <c r="K69" s="74">
        <v>67</v>
      </c>
      <c r="L69" s="119">
        <v>-50.19999999999996</v>
      </c>
      <c r="M69" s="117">
        <v>1531.6728954517841</v>
      </c>
    </row>
    <row r="70" spans="11:13" x14ac:dyDescent="0.4">
      <c r="K70" s="74">
        <v>68</v>
      </c>
      <c r="L70" s="119">
        <v>-53.19999999999996</v>
      </c>
      <c r="M70" s="117">
        <v>1531.1648580790734</v>
      </c>
    </row>
    <row r="71" spans="11:13" x14ac:dyDescent="0.4">
      <c r="K71" s="74">
        <v>69</v>
      </c>
      <c r="L71" s="119">
        <v>-93.19999999999996</v>
      </c>
      <c r="M71" s="117">
        <v>1524.3778689305989</v>
      </c>
    </row>
  </sheetData>
  <sortState xmlns:xlrd2="http://schemas.microsoft.com/office/spreadsheetml/2017/richdata2" ref="E2:I72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8625-6E5E-4F3F-B9E7-CFEDD7E6B81C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46</v>
      </c>
      <c r="C2" s="134"/>
      <c r="E2" s="26" t="s">
        <v>66</v>
      </c>
      <c r="F2" s="23" t="s">
        <v>22</v>
      </c>
      <c r="G2" s="11">
        <v>83</v>
      </c>
      <c r="H2" s="87">
        <f>IF(B$20=0,0,G2/B$20)</f>
        <v>0.66400000000000003</v>
      </c>
      <c r="I2" s="57">
        <v>7</v>
      </c>
      <c r="K2" s="73">
        <v>0</v>
      </c>
      <c r="L2" s="118">
        <v>0</v>
      </c>
      <c r="M2" s="116">
        <v>1362.1724492033045</v>
      </c>
      <c r="O2" s="73" t="s">
        <v>128</v>
      </c>
      <c r="P2" s="79">
        <f t="shared" ref="P2:P7" si="0">IF(Q2=0,0,R2/Q2)</f>
        <v>-352.17391304347825</v>
      </c>
      <c r="Q2" s="76">
        <v>46</v>
      </c>
      <c r="R2" s="63">
        <v>-16200</v>
      </c>
    </row>
    <row r="3" spans="1:18" x14ac:dyDescent="0.4">
      <c r="A3" s="19" t="s">
        <v>8</v>
      </c>
      <c r="B3" s="135">
        <v>364</v>
      </c>
      <c r="C3" s="136"/>
      <c r="E3" s="27" t="s">
        <v>72</v>
      </c>
      <c r="F3" s="24" t="s">
        <v>27</v>
      </c>
      <c r="G3" s="12">
        <v>83</v>
      </c>
      <c r="H3" s="88">
        <f>IF(B$20=0,0,G3/B$20)</f>
        <v>0.66400000000000003</v>
      </c>
      <c r="I3" s="58">
        <v>2</v>
      </c>
      <c r="K3" s="74">
        <v>1</v>
      </c>
      <c r="L3" s="119">
        <v>56</v>
      </c>
      <c r="M3" s="117">
        <v>1373.0794145080847</v>
      </c>
      <c r="O3" s="74" t="s">
        <v>129</v>
      </c>
      <c r="P3" s="80">
        <f t="shared" si="0"/>
        <v>-1613.3333333333333</v>
      </c>
      <c r="Q3" s="77">
        <v>45</v>
      </c>
      <c r="R3" s="64">
        <v>-72600</v>
      </c>
    </row>
    <row r="4" spans="1:18" x14ac:dyDescent="0.4">
      <c r="A4" s="19" t="s">
        <v>6</v>
      </c>
      <c r="B4" s="137">
        <v>183.4</v>
      </c>
      <c r="C4" s="138"/>
      <c r="E4" s="27" t="s">
        <v>159</v>
      </c>
      <c r="F4" s="24" t="s">
        <v>160</v>
      </c>
      <c r="G4" s="12">
        <v>39</v>
      </c>
      <c r="H4" s="88">
        <f>IF(B$20=0,0,G4/B$20)</f>
        <v>0.312</v>
      </c>
      <c r="I4" s="58">
        <v>12</v>
      </c>
      <c r="K4" s="74">
        <v>2</v>
      </c>
      <c r="L4" s="119">
        <v>137.5</v>
      </c>
      <c r="M4" s="117">
        <v>1388.0189380210361</v>
      </c>
      <c r="O4" s="74" t="s">
        <v>130</v>
      </c>
      <c r="P4" s="80">
        <f t="shared" si="0"/>
        <v>2336.5853658536585</v>
      </c>
      <c r="Q4" s="77">
        <v>41</v>
      </c>
      <c r="R4" s="64">
        <v>95800</v>
      </c>
    </row>
    <row r="5" spans="1:18" x14ac:dyDescent="0.4">
      <c r="A5" s="19" t="s">
        <v>7</v>
      </c>
      <c r="B5" s="125">
        <f>IF(B$2=0,0,B$4/B$2)</f>
        <v>3.9869565217391307</v>
      </c>
      <c r="C5" s="126"/>
      <c r="E5" s="27" t="s">
        <v>64</v>
      </c>
      <c r="F5" s="24" t="s">
        <v>20</v>
      </c>
      <c r="G5" s="12">
        <v>35</v>
      </c>
      <c r="H5" s="88">
        <f>IF(B$20=0,0,G5/B$20)</f>
        <v>0.28000000000000003</v>
      </c>
      <c r="I5" s="58">
        <v>12</v>
      </c>
      <c r="K5" s="74">
        <v>3</v>
      </c>
      <c r="L5" s="119">
        <v>159</v>
      </c>
      <c r="M5" s="117">
        <v>1392.69882439291</v>
      </c>
      <c r="O5" s="74" t="s">
        <v>131</v>
      </c>
      <c r="P5" s="80">
        <f t="shared" si="0"/>
        <v>-410.5263157894737</v>
      </c>
      <c r="Q5" s="77">
        <v>38</v>
      </c>
      <c r="R5" s="64">
        <v>-15600</v>
      </c>
    </row>
    <row r="6" spans="1:18" x14ac:dyDescent="0.4">
      <c r="A6" s="19" t="s">
        <v>196</v>
      </c>
      <c r="B6" s="129">
        <v>1433.30445236539</v>
      </c>
      <c r="C6" s="130"/>
      <c r="E6" s="27" t="s">
        <v>68</v>
      </c>
      <c r="F6" s="24" t="s">
        <v>12</v>
      </c>
      <c r="G6" s="12">
        <v>31</v>
      </c>
      <c r="H6" s="88">
        <f>IF(B$20=0,0,G6/B$20)</f>
        <v>0.248</v>
      </c>
      <c r="I6" s="58">
        <v>12</v>
      </c>
      <c r="K6" s="74">
        <v>4</v>
      </c>
      <c r="L6" s="119">
        <v>112.4</v>
      </c>
      <c r="M6" s="117">
        <v>1385.5606314465524</v>
      </c>
      <c r="O6" s="74" t="s">
        <v>132</v>
      </c>
      <c r="P6" s="80">
        <f t="shared" si="0"/>
        <v>2200</v>
      </c>
      <c r="Q6" s="77">
        <v>33</v>
      </c>
      <c r="R6" s="64">
        <v>72600</v>
      </c>
    </row>
    <row r="7" spans="1:18" x14ac:dyDescent="0.4">
      <c r="A7" s="19" t="s">
        <v>1</v>
      </c>
      <c r="B7" s="139">
        <f>IF(B$2=0,0,(B$8*1+B$9*2+B$10*3)/B$2)</f>
        <v>1.8913043478260869</v>
      </c>
      <c r="C7" s="140"/>
      <c r="E7" s="27" t="s">
        <v>67</v>
      </c>
      <c r="F7" s="24" t="s">
        <v>23</v>
      </c>
      <c r="G7" s="12">
        <v>24</v>
      </c>
      <c r="H7" s="88">
        <f>IF(B$20=0,0,G7/B$20)</f>
        <v>0.192</v>
      </c>
      <c r="I7" s="58">
        <v>10</v>
      </c>
      <c r="K7" s="74">
        <v>5</v>
      </c>
      <c r="L7" s="119">
        <v>140.30000000000001</v>
      </c>
      <c r="M7" s="117">
        <v>1391.8752676578731</v>
      </c>
      <c r="O7" s="75" t="s">
        <v>133</v>
      </c>
      <c r="P7" s="81">
        <f t="shared" si="0"/>
        <v>1010</v>
      </c>
      <c r="Q7" s="78">
        <v>30</v>
      </c>
      <c r="R7" s="65">
        <v>30300</v>
      </c>
    </row>
    <row r="8" spans="1:18" x14ac:dyDescent="0.4">
      <c r="A8" s="19" t="s">
        <v>2</v>
      </c>
      <c r="B8" s="12">
        <v>17</v>
      </c>
      <c r="C8" s="6">
        <f t="shared" ref="C8:C15" si="1">IF(B$2=0,0,B8/B$2)</f>
        <v>0.36956521739130432</v>
      </c>
      <c r="E8" s="27" t="s">
        <v>69</v>
      </c>
      <c r="F8" s="24" t="s">
        <v>24</v>
      </c>
      <c r="G8" s="12">
        <v>19</v>
      </c>
      <c r="H8" s="88">
        <f>IF(B$20=0,0,G8/B$20)</f>
        <v>0.152</v>
      </c>
      <c r="I8" s="58">
        <v>5</v>
      </c>
      <c r="K8" s="74">
        <v>6</v>
      </c>
      <c r="L8" s="119">
        <v>167.3</v>
      </c>
      <c r="M8" s="117">
        <v>1396.9160160519259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0.36956521739130432</v>
      </c>
      <c r="E9" s="27" t="s">
        <v>89</v>
      </c>
      <c r="F9" s="24" t="s">
        <v>44</v>
      </c>
      <c r="G9" s="12">
        <v>16</v>
      </c>
      <c r="H9" s="88">
        <f>IF(B$20=0,0,G9/B$20)</f>
        <v>0.128</v>
      </c>
      <c r="I9" s="58">
        <v>8</v>
      </c>
      <c r="K9" s="74">
        <v>7</v>
      </c>
      <c r="L9" s="119">
        <v>118.4</v>
      </c>
      <c r="M9" s="117">
        <v>1388.2045199556144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</v>
      </c>
      <c r="C10" s="7">
        <f t="shared" si="1"/>
        <v>0.2608695652173913</v>
      </c>
      <c r="E10" s="27" t="s">
        <v>83</v>
      </c>
      <c r="F10" s="24" t="s">
        <v>38</v>
      </c>
      <c r="G10" s="12">
        <v>12</v>
      </c>
      <c r="H10" s="88">
        <f>IF(B$20=0,0,G10/B$20)</f>
        <v>9.6000000000000002E-2</v>
      </c>
      <c r="I10" s="58">
        <v>1</v>
      </c>
      <c r="K10" s="74">
        <v>8</v>
      </c>
      <c r="L10" s="119">
        <v>96.800000000000011</v>
      </c>
      <c r="M10" s="117">
        <v>1384.4592928358807</v>
      </c>
      <c r="O10" s="73" t="s">
        <v>151</v>
      </c>
      <c r="P10" s="82">
        <f>IF(Q10=0,0,R10/Q10)</f>
        <v>-2.7142857142857126</v>
      </c>
      <c r="Q10" s="76">
        <v>14</v>
      </c>
      <c r="R10" s="67">
        <v>-37.999999999999979</v>
      </c>
    </row>
    <row r="11" spans="1:18" x14ac:dyDescent="0.4">
      <c r="A11" s="20" t="s">
        <v>184</v>
      </c>
      <c r="B11" s="109">
        <f>IF(B8=0,0,C11/B8)</f>
        <v>37.988235294117644</v>
      </c>
      <c r="C11" s="110">
        <v>645.79999999999995</v>
      </c>
      <c r="E11" s="27" t="s">
        <v>65</v>
      </c>
      <c r="F11" s="24" t="s">
        <v>21</v>
      </c>
      <c r="G11" s="12">
        <v>10</v>
      </c>
      <c r="H11" s="88">
        <f>IF(B$20=0,0,G11/B$20)</f>
        <v>0.08</v>
      </c>
      <c r="I11" s="58">
        <v>9</v>
      </c>
      <c r="K11" s="74">
        <v>9</v>
      </c>
      <c r="L11" s="119">
        <v>51.600000000000009</v>
      </c>
      <c r="M11" s="117">
        <v>1376.7645370788655</v>
      </c>
      <c r="O11" s="74" t="s">
        <v>152</v>
      </c>
      <c r="P11" s="83">
        <f>IF(Q11=0,0,R11/Q11)</f>
        <v>2.046666666666666</v>
      </c>
      <c r="Q11" s="77">
        <v>15</v>
      </c>
      <c r="R11" s="68">
        <v>30.699999999999992</v>
      </c>
    </row>
    <row r="12" spans="1:18" x14ac:dyDescent="0.4">
      <c r="A12" s="20" t="s">
        <v>185</v>
      </c>
      <c r="B12" s="109">
        <f>IF(B9=0,0,C12/B9)</f>
        <v>-0.17058823529411798</v>
      </c>
      <c r="C12" s="110">
        <v>-2.9000000000000057</v>
      </c>
      <c r="E12" s="27" t="s">
        <v>70</v>
      </c>
      <c r="F12" s="24" t="s">
        <v>25</v>
      </c>
      <c r="G12" s="12">
        <v>7</v>
      </c>
      <c r="H12" s="88">
        <f>IF(B$20=0,0,G12/B$20)</f>
        <v>5.6000000000000001E-2</v>
      </c>
      <c r="I12" s="58">
        <v>9</v>
      </c>
      <c r="K12" s="74">
        <v>10</v>
      </c>
      <c r="L12" s="119">
        <v>28.300000000000008</v>
      </c>
      <c r="M12" s="117">
        <v>1373.0579498563923</v>
      </c>
      <c r="O12" s="75" t="s">
        <v>153</v>
      </c>
      <c r="P12" s="84">
        <f>IF(Q12=0,0,R12/Q12)</f>
        <v>11.217647058823527</v>
      </c>
      <c r="Q12" s="78">
        <v>17</v>
      </c>
      <c r="R12" s="69">
        <v>190.69999999999996</v>
      </c>
    </row>
    <row r="13" spans="1:18" x14ac:dyDescent="0.4">
      <c r="A13" s="20" t="s">
        <v>186</v>
      </c>
      <c r="B13" s="109">
        <f>IF(B10=0,0,C13/B10)</f>
        <v>-38.291666666666664</v>
      </c>
      <c r="C13" s="110">
        <v>-459.5</v>
      </c>
      <c r="E13" s="27" t="s">
        <v>81</v>
      </c>
      <c r="F13" s="24" t="s">
        <v>36</v>
      </c>
      <c r="G13" s="12">
        <v>6</v>
      </c>
      <c r="H13" s="88">
        <f>IF(B$20=0,0,G13/B$20)</f>
        <v>4.8000000000000001E-2</v>
      </c>
      <c r="I13" s="58">
        <v>1</v>
      </c>
      <c r="K13" s="74">
        <v>11</v>
      </c>
      <c r="L13" s="119">
        <v>44.400000000000006</v>
      </c>
      <c r="M13" s="117">
        <v>1376.999602157254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-0.15800653594771319</v>
      </c>
      <c r="C14" s="126"/>
      <c r="E14" s="27" t="s">
        <v>71</v>
      </c>
      <c r="F14" s="24" t="s">
        <v>26</v>
      </c>
      <c r="G14" s="12">
        <v>5</v>
      </c>
      <c r="H14" s="88">
        <f>IF(B$20=0,0,G14/B$20)</f>
        <v>0.04</v>
      </c>
      <c r="I14" s="58">
        <v>10</v>
      </c>
      <c r="K14" s="74">
        <v>12</v>
      </c>
      <c r="L14" s="119">
        <v>31.800000000000004</v>
      </c>
      <c r="M14" s="117">
        <v>1375.7516045443106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1"/>
        <v>0.15217391304347827</v>
      </c>
      <c r="E15" s="27" t="s">
        <v>78</v>
      </c>
      <c r="F15" s="24" t="s">
        <v>33</v>
      </c>
      <c r="G15" s="12">
        <v>4</v>
      </c>
      <c r="H15" s="88">
        <f>IF(B$20=0,0,G15/B$20)</f>
        <v>3.2000000000000001E-2</v>
      </c>
      <c r="I15" s="58">
        <v>7</v>
      </c>
      <c r="K15" s="74">
        <v>13</v>
      </c>
      <c r="L15" s="119">
        <v>83.1</v>
      </c>
      <c r="M15" s="117">
        <v>1385.2510949170446</v>
      </c>
      <c r="O15" s="73" t="s">
        <v>192</v>
      </c>
      <c r="P15" s="82">
        <f t="shared" ref="P15:P22" si="2">IF(Q15=0,0,R15/Q15)</f>
        <v>35.35</v>
      </c>
      <c r="Q15" s="76">
        <v>4</v>
      </c>
      <c r="R15" s="67">
        <v>141.4</v>
      </c>
    </row>
    <row r="16" spans="1:18" x14ac:dyDescent="0.4">
      <c r="A16" s="22" t="s">
        <v>121</v>
      </c>
      <c r="B16" s="15">
        <v>61</v>
      </c>
      <c r="C16" s="10">
        <f>IF(B$3=0,0,B16/B$3)</f>
        <v>0.16758241758241757</v>
      </c>
      <c r="E16" s="27" t="s">
        <v>86</v>
      </c>
      <c r="F16" s="24" t="s">
        <v>41</v>
      </c>
      <c r="G16" s="12">
        <v>3</v>
      </c>
      <c r="H16" s="88">
        <f>IF(B$20=0,0,G16/B$20)</f>
        <v>2.4E-2</v>
      </c>
      <c r="I16" s="58">
        <v>10</v>
      </c>
      <c r="K16" s="74">
        <v>14</v>
      </c>
      <c r="L16" s="119">
        <v>89.399999999999991</v>
      </c>
      <c r="M16" s="117">
        <v>1386.8515883475422</v>
      </c>
      <c r="O16" s="74" t="s">
        <v>195</v>
      </c>
      <c r="P16" s="83">
        <f t="shared" si="2"/>
        <v>34.107692307692304</v>
      </c>
      <c r="Q16" s="77">
        <v>13</v>
      </c>
      <c r="R16" s="68">
        <v>443.4</v>
      </c>
    </row>
    <row r="17" spans="1:18" x14ac:dyDescent="0.4">
      <c r="A17" s="19" t="s">
        <v>118</v>
      </c>
      <c r="B17" s="12">
        <v>131</v>
      </c>
      <c r="C17" s="6">
        <f>IF(B$3=0,0,B17/B$3)</f>
        <v>0.35989010989010989</v>
      </c>
      <c r="E17" s="27" t="s">
        <v>77</v>
      </c>
      <c r="F17" s="24" t="s">
        <v>32</v>
      </c>
      <c r="G17" s="12">
        <v>2</v>
      </c>
      <c r="H17" s="88">
        <f>IF(B$20=0,0,G17/B$20)</f>
        <v>1.6E-2</v>
      </c>
      <c r="I17" s="58">
        <v>3</v>
      </c>
      <c r="K17" s="74">
        <v>15</v>
      </c>
      <c r="L17" s="119">
        <v>112.6</v>
      </c>
      <c r="M17" s="117">
        <v>1391.490478817457</v>
      </c>
      <c r="O17" s="74" t="s">
        <v>193</v>
      </c>
      <c r="P17" s="83">
        <f t="shared" si="2"/>
        <v>21.5</v>
      </c>
      <c r="Q17" s="77">
        <v>3</v>
      </c>
      <c r="R17" s="68">
        <v>64.5</v>
      </c>
    </row>
    <row r="18" spans="1:18" x14ac:dyDescent="0.4">
      <c r="A18" s="18" t="s">
        <v>123</v>
      </c>
      <c r="B18" s="11">
        <f>B24</f>
        <v>36</v>
      </c>
      <c r="C18" s="5">
        <f>IF(B$16=0,0,B18/B$16)</f>
        <v>0.5901639344262295</v>
      </c>
      <c r="E18" s="27" t="s">
        <v>79</v>
      </c>
      <c r="F18" s="24" t="s">
        <v>34</v>
      </c>
      <c r="G18" s="12">
        <v>2</v>
      </c>
      <c r="H18" s="88">
        <f>IF(B$20=0,0,G18/B$20)</f>
        <v>1.6E-2</v>
      </c>
      <c r="I18" s="58">
        <v>7</v>
      </c>
      <c r="K18" s="74">
        <v>16</v>
      </c>
      <c r="L18" s="119">
        <v>119.3</v>
      </c>
      <c r="M18" s="117">
        <v>1393.9355359445522</v>
      </c>
      <c r="O18" s="74" t="s">
        <v>253</v>
      </c>
      <c r="P18" s="83">
        <f t="shared" si="2"/>
        <v>17.033333333333331</v>
      </c>
      <c r="Q18" s="77">
        <v>3</v>
      </c>
      <c r="R18" s="68">
        <v>51.099999999999994</v>
      </c>
    </row>
    <row r="19" spans="1:18" x14ac:dyDescent="0.4">
      <c r="A19" s="18" t="s">
        <v>124</v>
      </c>
      <c r="B19" s="11">
        <f>B25</f>
        <v>57</v>
      </c>
      <c r="C19" s="5">
        <f>IF(B$17=0,0,B19/B$17)</f>
        <v>0.4351145038167939</v>
      </c>
      <c r="E19" s="27" t="s">
        <v>85</v>
      </c>
      <c r="F19" s="24" t="s">
        <v>40</v>
      </c>
      <c r="G19" s="12">
        <v>2</v>
      </c>
      <c r="H19" s="88">
        <f>IF(B$20=0,0,G19/B$20)</f>
        <v>1.6E-2</v>
      </c>
      <c r="I19" s="58">
        <v>1</v>
      </c>
      <c r="K19" s="74">
        <v>17</v>
      </c>
      <c r="L19" s="119">
        <v>71.699999999999989</v>
      </c>
      <c r="M19" s="117">
        <v>1386.5919227288848</v>
      </c>
      <c r="O19" s="74" t="s">
        <v>163</v>
      </c>
      <c r="P19" s="83">
        <f t="shared" si="2"/>
        <v>14.606666666666664</v>
      </c>
      <c r="Q19" s="77">
        <v>15</v>
      </c>
      <c r="R19" s="68">
        <v>219.09999999999997</v>
      </c>
    </row>
    <row r="20" spans="1:18" x14ac:dyDescent="0.4">
      <c r="A20" s="18" t="s">
        <v>10</v>
      </c>
      <c r="B20" s="11">
        <f>B23+B22</f>
        <v>125</v>
      </c>
      <c r="C20" s="5">
        <f>IF(B$3=0,0,B20/B$3)</f>
        <v>0.34340659340659341</v>
      </c>
      <c r="E20" s="27" t="s">
        <v>88</v>
      </c>
      <c r="F20" s="24" t="s">
        <v>43</v>
      </c>
      <c r="G20" s="12">
        <v>2</v>
      </c>
      <c r="H20" s="88">
        <f>IF(B$20=0,0,G20/B$20)</f>
        <v>1.6E-2</v>
      </c>
      <c r="I20" s="58">
        <v>1</v>
      </c>
      <c r="K20" s="74">
        <v>18</v>
      </c>
      <c r="L20" s="119">
        <v>45.399999999999991</v>
      </c>
      <c r="M20" s="117">
        <v>1383.4263711925114</v>
      </c>
      <c r="O20" s="74" t="s">
        <v>198</v>
      </c>
      <c r="P20" s="83">
        <f t="shared" si="2"/>
        <v>4.2000000000000011</v>
      </c>
      <c r="Q20" s="77">
        <v>4</v>
      </c>
      <c r="R20" s="68">
        <v>16.800000000000004</v>
      </c>
    </row>
    <row r="21" spans="1:18" x14ac:dyDescent="0.4">
      <c r="A21" s="19" t="s">
        <v>13</v>
      </c>
      <c r="B21" s="12">
        <v>49</v>
      </c>
      <c r="C21" s="6">
        <f>IF(B$3=0,0,B21/B$3)</f>
        <v>0.13461538461538461</v>
      </c>
      <c r="E21" s="27" t="s">
        <v>74</v>
      </c>
      <c r="F21" s="24" t="s">
        <v>29</v>
      </c>
      <c r="G21" s="12">
        <v>1</v>
      </c>
      <c r="H21" s="88">
        <f>IF(B$20=0,0,G21/B$20)</f>
        <v>8.0000000000000002E-3</v>
      </c>
      <c r="I21" s="58">
        <v>1</v>
      </c>
      <c r="K21" s="74">
        <v>19</v>
      </c>
      <c r="L21" s="119">
        <v>100.1</v>
      </c>
      <c r="M21" s="117">
        <v>1394.8538129653564</v>
      </c>
      <c r="O21" s="74" t="s">
        <v>190</v>
      </c>
      <c r="P21" s="83">
        <f t="shared" si="2"/>
        <v>-5.7964285714285753</v>
      </c>
      <c r="Q21" s="77">
        <v>28</v>
      </c>
      <c r="R21" s="68">
        <v>-162.3000000000001</v>
      </c>
    </row>
    <row r="22" spans="1:18" x14ac:dyDescent="0.4">
      <c r="A22" s="19" t="s">
        <v>12</v>
      </c>
      <c r="B22" s="12">
        <v>56</v>
      </c>
      <c r="C22" s="6">
        <f>IF(B$20=0,0,B22/B$20)</f>
        <v>0.44800000000000001</v>
      </c>
      <c r="E22" s="27" t="s">
        <v>75</v>
      </c>
      <c r="F22" s="24" t="s">
        <v>30</v>
      </c>
      <c r="G22" s="12">
        <v>1</v>
      </c>
      <c r="H22" s="88">
        <f>IF(B$20=0,0,G22/B$20)</f>
        <v>8.0000000000000002E-3</v>
      </c>
      <c r="I22" s="58">
        <v>4</v>
      </c>
      <c r="K22" s="74">
        <v>20</v>
      </c>
      <c r="L22" s="119">
        <v>52.8</v>
      </c>
      <c r="M22" s="117">
        <v>1387.8586900875644</v>
      </c>
      <c r="O22" s="74" t="s">
        <v>126</v>
      </c>
      <c r="P22" s="83">
        <f t="shared" si="2"/>
        <v>-10.172727272727274</v>
      </c>
      <c r="Q22" s="77">
        <v>22</v>
      </c>
      <c r="R22" s="68">
        <v>-223.8</v>
      </c>
    </row>
    <row r="23" spans="1:18" x14ac:dyDescent="0.4">
      <c r="A23" s="19" t="s">
        <v>11</v>
      </c>
      <c r="B23" s="12">
        <v>69</v>
      </c>
      <c r="C23" s="6">
        <f>IF(B$20=0,0,B23/B$20)</f>
        <v>0.55200000000000005</v>
      </c>
      <c r="E23" s="27" t="s">
        <v>91</v>
      </c>
      <c r="F23" s="24" t="s">
        <v>46</v>
      </c>
      <c r="G23" s="12">
        <v>1</v>
      </c>
      <c r="H23" s="88">
        <f>IF(B$20=0,0,G23/B$20)</f>
        <v>8.0000000000000002E-3</v>
      </c>
      <c r="I23" s="58">
        <v>6</v>
      </c>
      <c r="K23" s="74">
        <v>21</v>
      </c>
      <c r="L23" s="119">
        <v>41</v>
      </c>
      <c r="M23" s="117">
        <v>1386.9475379470389</v>
      </c>
    </row>
    <row r="24" spans="1:18" x14ac:dyDescent="0.4">
      <c r="A24" s="19" t="s">
        <v>183</v>
      </c>
      <c r="B24" s="12">
        <v>36</v>
      </c>
      <c r="C24" s="6">
        <f>IF(B$20=0,0,B24/B$20)</f>
        <v>0.28799999999999998</v>
      </c>
      <c r="E24" s="27" t="s">
        <v>102</v>
      </c>
      <c r="F24" s="24" t="s">
        <v>57</v>
      </c>
      <c r="G24" s="12">
        <v>1</v>
      </c>
      <c r="H24" s="88">
        <f>IF(B$20=0,0,G24/B$20)</f>
        <v>8.0000000000000002E-3</v>
      </c>
      <c r="I24" s="58">
        <v>1</v>
      </c>
      <c r="K24" s="74">
        <v>22</v>
      </c>
      <c r="L24" s="119">
        <v>90.5</v>
      </c>
      <c r="M24" s="117">
        <v>1397.0758527193566</v>
      </c>
    </row>
    <row r="25" spans="1:18" x14ac:dyDescent="0.4">
      <c r="A25" s="19" t="s">
        <v>181</v>
      </c>
      <c r="B25" s="12">
        <v>57</v>
      </c>
      <c r="C25" s="6">
        <f>IF(B$20=0,0,B25/B$20)</f>
        <v>0.45600000000000002</v>
      </c>
      <c r="E25" s="27" t="s">
        <v>73</v>
      </c>
      <c r="F25" s="24" t="s">
        <v>28</v>
      </c>
      <c r="G25" s="12">
        <v>0</v>
      </c>
      <c r="H25" s="88">
        <f>IF(B$20=0,0,G25/B$20)</f>
        <v>0</v>
      </c>
      <c r="I25" s="58">
        <v>5</v>
      </c>
      <c r="K25" s="74">
        <v>23</v>
      </c>
      <c r="L25" s="119">
        <v>97</v>
      </c>
      <c r="M25" s="117">
        <v>1399.7573976030405</v>
      </c>
    </row>
    <row r="26" spans="1:18" x14ac:dyDescent="0.4">
      <c r="A26" s="19" t="s">
        <v>182</v>
      </c>
      <c r="B26" s="12">
        <v>32</v>
      </c>
      <c r="C26" s="6">
        <f>IF(B$20=0,0,B26/B$20)</f>
        <v>0.25600000000000001</v>
      </c>
      <c r="E26" s="27" t="s">
        <v>76</v>
      </c>
      <c r="F26" s="24" t="s">
        <v>31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92.2</v>
      </c>
      <c r="M26" s="117">
        <v>1399.0388532174222</v>
      </c>
    </row>
    <row r="27" spans="1:18" x14ac:dyDescent="0.4">
      <c r="A27" s="19" t="s">
        <v>5</v>
      </c>
      <c r="B27" s="16">
        <f>IF(B$20=0,0,C27/B$20)</f>
        <v>7276.8</v>
      </c>
      <c r="C27" s="8">
        <v>909600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41</v>
      </c>
      <c r="M27" s="117">
        <v>1389.9726200981177</v>
      </c>
    </row>
    <row r="28" spans="1:18" x14ac:dyDescent="0.4">
      <c r="A28" s="20" t="s">
        <v>165</v>
      </c>
      <c r="B28" s="95">
        <f>IF($B$20-B$19=0,0,C28/($B$20-B$19))</f>
        <v>8302.9411764705874</v>
      </c>
      <c r="C28" s="96">
        <v>564600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86.8</v>
      </c>
      <c r="M28" s="117">
        <v>1398.4207843775289</v>
      </c>
    </row>
    <row r="29" spans="1:18" x14ac:dyDescent="0.4">
      <c r="A29" s="20" t="s">
        <v>166</v>
      </c>
      <c r="B29" s="95">
        <f>IF(B$19=0,0,C29/B$19)</f>
        <v>6052.6315789473683</v>
      </c>
      <c r="C29" s="96">
        <v>345000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85.3</v>
      </c>
      <c r="M29" s="117">
        <v>1399.3482596712638</v>
      </c>
    </row>
    <row r="30" spans="1:18" x14ac:dyDescent="0.4">
      <c r="A30" s="20" t="s">
        <v>164</v>
      </c>
      <c r="B30" s="95">
        <f>IF(B$21=0,0,C30/B$21)</f>
        <v>-8171.4285714285716</v>
      </c>
      <c r="C30" s="96">
        <v>-400400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4</v>
      </c>
      <c r="K30" s="74">
        <v>28</v>
      </c>
      <c r="L30" s="119">
        <v>50.5</v>
      </c>
      <c r="M30" s="117">
        <v>1393.8021701132361</v>
      </c>
    </row>
    <row r="31" spans="1:18" x14ac:dyDescent="0.4">
      <c r="A31" s="19" t="s">
        <v>157</v>
      </c>
      <c r="B31" s="12">
        <v>7</v>
      </c>
      <c r="C31" s="90">
        <v>1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57.6</v>
      </c>
      <c r="M31" s="117">
        <v>1395.6033570925567</v>
      </c>
    </row>
    <row r="32" spans="1:18" x14ac:dyDescent="0.4">
      <c r="A32" s="19" t="s">
        <v>158</v>
      </c>
      <c r="B32" s="12">
        <v>27</v>
      </c>
      <c r="C32" s="90">
        <v>24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7</v>
      </c>
      <c r="K32" s="74">
        <v>30</v>
      </c>
      <c r="L32" s="119">
        <v>82</v>
      </c>
      <c r="M32" s="117">
        <v>1400.5077369500013</v>
      </c>
    </row>
    <row r="33" spans="1:13" x14ac:dyDescent="0.4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81.900000000000006</v>
      </c>
      <c r="M33" s="117">
        <v>1401.6626905283013</v>
      </c>
    </row>
    <row r="34" spans="1:13" x14ac:dyDescent="0.4">
      <c r="A34" s="22" t="s">
        <v>180</v>
      </c>
      <c r="B34" s="129">
        <v>106500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76.100000000000009</v>
      </c>
      <c r="M34" s="117">
        <v>1401.8267143851315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4</v>
      </c>
      <c r="K35" s="74">
        <v>33</v>
      </c>
      <c r="L35" s="119">
        <v>84.500000000000014</v>
      </c>
      <c r="M35" s="117">
        <v>1404.5217540988208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63.800000000000011</v>
      </c>
      <c r="M36" s="117">
        <v>1401.6926235742278</v>
      </c>
    </row>
    <row r="37" spans="1:13" x14ac:dyDescent="0.4">
      <c r="A37" s="54" t="s">
        <v>171</v>
      </c>
      <c r="B37" s="123">
        <v>13</v>
      </c>
      <c r="C37" s="98">
        <f t="shared" ref="C37:C49" si="3">IF(B$20=0,0,B37/B$20)</f>
        <v>0.104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  <c r="K37" s="74">
        <v>35</v>
      </c>
      <c r="L37" s="119">
        <v>94.4</v>
      </c>
      <c r="M37" s="117">
        <v>1408.1144678327823</v>
      </c>
    </row>
    <row r="38" spans="1:13" x14ac:dyDescent="0.4">
      <c r="A38" s="19" t="s">
        <v>167</v>
      </c>
      <c r="B38" s="12">
        <v>29</v>
      </c>
      <c r="C38" s="6">
        <f t="shared" si="3"/>
        <v>0.23200000000000001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89.100000000000009</v>
      </c>
      <c r="M38" s="117">
        <v>1407.8617810257856</v>
      </c>
    </row>
    <row r="39" spans="1:13" x14ac:dyDescent="0.4">
      <c r="A39" s="19" t="s">
        <v>168</v>
      </c>
      <c r="B39" s="124">
        <v>26</v>
      </c>
      <c r="C39" s="6">
        <f t="shared" si="3"/>
        <v>0.20799999999999999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106.30000000000001</v>
      </c>
      <c r="M39" s="117">
        <v>1411.6186103396308</v>
      </c>
    </row>
    <row r="40" spans="1:13" x14ac:dyDescent="0.4">
      <c r="A40" s="19" t="s">
        <v>169</v>
      </c>
      <c r="B40" s="124">
        <v>17</v>
      </c>
      <c r="C40" s="6">
        <f t="shared" si="3"/>
        <v>0.13600000000000001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106.9</v>
      </c>
      <c r="M40" s="117">
        <v>1412.3648986775929</v>
      </c>
    </row>
    <row r="41" spans="1:13" x14ac:dyDescent="0.4">
      <c r="A41" s="19" t="s">
        <v>170</v>
      </c>
      <c r="B41" s="124">
        <v>21</v>
      </c>
      <c r="C41" s="6">
        <f t="shared" si="3"/>
        <v>0.16800000000000001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130.1</v>
      </c>
      <c r="M41" s="117">
        <v>1417.1807092855274</v>
      </c>
    </row>
    <row r="42" spans="1:13" x14ac:dyDescent="0.4">
      <c r="A42" s="19" t="s">
        <v>172</v>
      </c>
      <c r="B42" s="124">
        <v>9</v>
      </c>
      <c r="C42" s="6">
        <f t="shared" si="3"/>
        <v>7.1999999999999995E-2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84.1</v>
      </c>
      <c r="M42" s="117">
        <v>1409.5596250298142</v>
      </c>
    </row>
    <row r="43" spans="1:13" x14ac:dyDescent="0.4">
      <c r="A43" s="19" t="s">
        <v>173</v>
      </c>
      <c r="B43" s="124">
        <v>6</v>
      </c>
      <c r="C43" s="6">
        <f t="shared" si="3"/>
        <v>4.8000000000000001E-2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63.3</v>
      </c>
      <c r="M43" s="117">
        <v>1406.5202672796354</v>
      </c>
    </row>
    <row r="44" spans="1:13" x14ac:dyDescent="0.4">
      <c r="A44" s="19" t="s">
        <v>174</v>
      </c>
      <c r="B44" s="124">
        <v>1</v>
      </c>
      <c r="C44" s="6">
        <f t="shared" si="3"/>
        <v>8.0000000000000002E-3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66.899999999999991</v>
      </c>
      <c r="M44" s="117">
        <v>1408.3051456759576</v>
      </c>
    </row>
    <row r="45" spans="1:13" x14ac:dyDescent="0.4">
      <c r="A45" s="19" t="s">
        <v>175</v>
      </c>
      <c r="B45" s="124">
        <v>1</v>
      </c>
      <c r="C45" s="6">
        <f t="shared" si="3"/>
        <v>8.0000000000000002E-3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64.3</v>
      </c>
      <c r="M45" s="117">
        <v>1408.9633148019018</v>
      </c>
    </row>
    <row r="46" spans="1:13" x14ac:dyDescent="0.4">
      <c r="A46" s="19" t="s">
        <v>176</v>
      </c>
      <c r="B46" s="124">
        <v>1</v>
      </c>
      <c r="C46" s="6">
        <f t="shared" si="3"/>
        <v>8.0000000000000002E-3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92.199999999999989</v>
      </c>
      <c r="M46" s="117">
        <v>1415.1075349130904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143.5</v>
      </c>
      <c r="M47" s="117">
        <v>1425.0728897036117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183.4</v>
      </c>
      <c r="M48" s="117">
        <v>1433.30445236539</v>
      </c>
    </row>
    <row r="49" spans="1:9" x14ac:dyDescent="0.4">
      <c r="A49" s="21" t="s">
        <v>179</v>
      </c>
      <c r="B49" s="97">
        <v>1</v>
      </c>
      <c r="C49" s="9">
        <f t="shared" si="3"/>
        <v>8.0000000000000002E-3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70E67-2173-411B-923D-8B1E9DB44B57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10</v>
      </c>
      <c r="C2" s="134"/>
      <c r="E2" s="26" t="s">
        <v>64</v>
      </c>
      <c r="F2" s="23" t="s">
        <v>20</v>
      </c>
      <c r="G2" s="11">
        <v>12</v>
      </c>
      <c r="H2" s="87">
        <f>IF(B$20=0,0,G2/B$20)</f>
        <v>0.63157894736842102</v>
      </c>
      <c r="I2" s="57">
        <v>5</v>
      </c>
      <c r="K2" s="73">
        <v>0</v>
      </c>
      <c r="L2" s="118">
        <v>0</v>
      </c>
      <c r="M2" s="116">
        <v>1340.889100821483</v>
      </c>
      <c r="O2" s="73" t="s">
        <v>128</v>
      </c>
      <c r="P2" s="79">
        <f t="shared" ref="P2:P7" si="0">IF(Q2=0,0,R2/Q2)</f>
        <v>3370</v>
      </c>
      <c r="Q2" s="76">
        <v>10</v>
      </c>
      <c r="R2" s="63">
        <v>33700</v>
      </c>
    </row>
    <row r="3" spans="1:18" x14ac:dyDescent="0.4">
      <c r="A3" s="19" t="s">
        <v>8</v>
      </c>
      <c r="B3" s="135">
        <v>81</v>
      </c>
      <c r="C3" s="136"/>
      <c r="E3" s="27" t="s">
        <v>66</v>
      </c>
      <c r="F3" s="24" t="s">
        <v>22</v>
      </c>
      <c r="G3" s="12">
        <v>10</v>
      </c>
      <c r="H3" s="88">
        <f>IF(B$20=0,0,G3/B$20)</f>
        <v>0.52631578947368418</v>
      </c>
      <c r="I3" s="58">
        <v>9</v>
      </c>
      <c r="K3" s="74">
        <v>1</v>
      </c>
      <c r="L3" s="119">
        <v>-30.5</v>
      </c>
      <c r="M3" s="117">
        <v>1335.8617662165541</v>
      </c>
      <c r="O3" s="74" t="s">
        <v>129</v>
      </c>
      <c r="P3" s="80">
        <f t="shared" si="0"/>
        <v>-740</v>
      </c>
      <c r="Q3" s="77">
        <v>10</v>
      </c>
      <c r="R3" s="64">
        <v>-7400</v>
      </c>
    </row>
    <row r="4" spans="1:18" x14ac:dyDescent="0.4">
      <c r="A4" s="19" t="s">
        <v>6</v>
      </c>
      <c r="B4" s="137">
        <v>-13.400000000000013</v>
      </c>
      <c r="C4" s="138"/>
      <c r="E4" s="27" t="s">
        <v>159</v>
      </c>
      <c r="F4" s="24" t="s">
        <v>160</v>
      </c>
      <c r="G4" s="12">
        <v>9</v>
      </c>
      <c r="H4" s="88">
        <f>IF(B$20=0,0,G4/B$20)</f>
        <v>0.47368421052631576</v>
      </c>
      <c r="I4" s="58">
        <v>2</v>
      </c>
      <c r="K4" s="74">
        <v>2</v>
      </c>
      <c r="L4" s="119">
        <v>-28.6</v>
      </c>
      <c r="M4" s="117">
        <v>1337.6625956192547</v>
      </c>
      <c r="O4" s="74" t="s">
        <v>130</v>
      </c>
      <c r="P4" s="80">
        <f t="shared" si="0"/>
        <v>-3850</v>
      </c>
      <c r="Q4" s="77">
        <v>10</v>
      </c>
      <c r="R4" s="64">
        <v>-38500</v>
      </c>
    </row>
    <row r="5" spans="1:18" x14ac:dyDescent="0.4">
      <c r="A5" s="19" t="s">
        <v>7</v>
      </c>
      <c r="B5" s="125">
        <f>IF(B$2=0,0,B$4/B$2)</f>
        <v>-1.3400000000000012</v>
      </c>
      <c r="C5" s="126"/>
      <c r="E5" s="27" t="s">
        <v>68</v>
      </c>
      <c r="F5" s="24" t="s">
        <v>12</v>
      </c>
      <c r="G5" s="12">
        <v>8</v>
      </c>
      <c r="H5" s="88">
        <f>IF(B$20=0,0,G5/B$20)</f>
        <v>0.42105263157894735</v>
      </c>
      <c r="I5" s="58">
        <v>4</v>
      </c>
      <c r="K5" s="74">
        <v>3</v>
      </c>
      <c r="L5" s="119">
        <v>-41.400000000000006</v>
      </c>
      <c r="M5" s="117">
        <v>1336.8066200455391</v>
      </c>
      <c r="O5" s="74" t="s">
        <v>131</v>
      </c>
      <c r="P5" s="80">
        <f t="shared" si="0"/>
        <v>-5450</v>
      </c>
      <c r="Q5" s="77">
        <v>8</v>
      </c>
      <c r="R5" s="64">
        <v>-43600</v>
      </c>
    </row>
    <row r="6" spans="1:18" x14ac:dyDescent="0.4">
      <c r="A6" s="19" t="s">
        <v>196</v>
      </c>
      <c r="B6" s="129">
        <v>1348.2487416206377</v>
      </c>
      <c r="C6" s="130"/>
      <c r="E6" s="27" t="s">
        <v>72</v>
      </c>
      <c r="F6" s="24" t="s">
        <v>27</v>
      </c>
      <c r="G6" s="12">
        <v>7</v>
      </c>
      <c r="H6" s="88">
        <f>IF(B$20=0,0,G6/B$20)</f>
        <v>0.36842105263157893</v>
      </c>
      <c r="I6" s="58">
        <v>12</v>
      </c>
      <c r="K6" s="74">
        <v>4</v>
      </c>
      <c r="L6" s="119">
        <v>-56.000000000000007</v>
      </c>
      <c r="M6" s="117">
        <v>1334.629780325266</v>
      </c>
      <c r="O6" s="74" t="s">
        <v>132</v>
      </c>
      <c r="P6" s="80">
        <f t="shared" si="0"/>
        <v>5142.8571428571431</v>
      </c>
      <c r="Q6" s="77">
        <v>7</v>
      </c>
      <c r="R6" s="64">
        <v>36000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5</v>
      </c>
      <c r="H7" s="88">
        <f>IF(B$20=0,0,G7/B$20)</f>
        <v>0.26315789473684209</v>
      </c>
      <c r="I7" s="58">
        <v>5</v>
      </c>
      <c r="K7" s="74">
        <v>5</v>
      </c>
      <c r="L7" s="119">
        <v>-64.400000000000006</v>
      </c>
      <c r="M7" s="117">
        <v>1333.5820016433145</v>
      </c>
      <c r="O7" s="75" t="s">
        <v>133</v>
      </c>
      <c r="P7" s="81">
        <f t="shared" si="0"/>
        <v>100</v>
      </c>
      <c r="Q7" s="78">
        <v>4</v>
      </c>
      <c r="R7" s="65">
        <v>400</v>
      </c>
    </row>
    <row r="8" spans="1:18" x14ac:dyDescent="0.4">
      <c r="A8" s="19" t="s">
        <v>2</v>
      </c>
      <c r="B8" s="12">
        <v>2</v>
      </c>
      <c r="C8" s="6">
        <f t="shared" ref="C8:C15" si="1">IF(B$2=0,0,B8/B$2)</f>
        <v>0.2</v>
      </c>
      <c r="E8" s="27" t="s">
        <v>71</v>
      </c>
      <c r="F8" s="24" t="s">
        <v>26</v>
      </c>
      <c r="G8" s="12">
        <v>3</v>
      </c>
      <c r="H8" s="88">
        <f>IF(B$20=0,0,G8/B$20)</f>
        <v>0.15789473684210525</v>
      </c>
      <c r="I8" s="58">
        <v>1</v>
      </c>
      <c r="K8" s="74">
        <v>6</v>
      </c>
      <c r="L8" s="119">
        <v>-97.800000000000011</v>
      </c>
      <c r="M8" s="117">
        <v>1328.5505096334546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0.6</v>
      </c>
      <c r="E9" s="27" t="s">
        <v>65</v>
      </c>
      <c r="F9" s="24" t="s">
        <v>21</v>
      </c>
      <c r="G9" s="12">
        <v>2</v>
      </c>
      <c r="H9" s="88">
        <f>IF(B$20=0,0,G9/B$20)</f>
        <v>0.10526315789473684</v>
      </c>
      <c r="I9" s="58">
        <v>7</v>
      </c>
      <c r="K9" s="74">
        <v>7</v>
      </c>
      <c r="L9" s="119">
        <v>-56.500000000000014</v>
      </c>
      <c r="M9" s="117">
        <v>1336.9952065756538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0.2</v>
      </c>
      <c r="E10" s="27" t="s">
        <v>86</v>
      </c>
      <c r="F10" s="24" t="s">
        <v>41</v>
      </c>
      <c r="G10" s="12">
        <v>2</v>
      </c>
      <c r="H10" s="88">
        <f>IF(B$20=0,0,G10/B$20)</f>
        <v>0.10526315789473684</v>
      </c>
      <c r="I10" s="58">
        <v>2</v>
      </c>
      <c r="K10" s="74">
        <v>8</v>
      </c>
      <c r="L10" s="119">
        <v>7.4999999999999858</v>
      </c>
      <c r="M10" s="117">
        <v>1349.4752353361998</v>
      </c>
      <c r="O10" s="73" t="s">
        <v>151</v>
      </c>
      <c r="P10" s="82">
        <f>IF(Q10=0,0,R10/Q10)</f>
        <v>-0.97999999999999976</v>
      </c>
      <c r="Q10" s="76">
        <v>5</v>
      </c>
      <c r="R10" s="67">
        <v>-4.8999999999999986</v>
      </c>
    </row>
    <row r="11" spans="1:18" x14ac:dyDescent="0.4">
      <c r="A11" s="20" t="s">
        <v>184</v>
      </c>
      <c r="B11" s="109">
        <f>IF(B8=0,0,C11/B8)</f>
        <v>52.65</v>
      </c>
      <c r="C11" s="110">
        <v>105.3</v>
      </c>
      <c r="E11" s="27" t="s">
        <v>89</v>
      </c>
      <c r="F11" s="24" t="s">
        <v>44</v>
      </c>
      <c r="G11" s="12">
        <v>2</v>
      </c>
      <c r="H11" s="88">
        <f>IF(B$20=0,0,G11/B$20)</f>
        <v>0.10526315789473684</v>
      </c>
      <c r="I11" s="58">
        <v>10</v>
      </c>
      <c r="K11" s="74">
        <v>9</v>
      </c>
      <c r="L11" s="119">
        <v>21.599999999999987</v>
      </c>
      <c r="M11" s="117">
        <v>1352.9403839241827</v>
      </c>
      <c r="O11" s="74" t="s">
        <v>152</v>
      </c>
      <c r="P11" s="83">
        <f>IF(Q11=0,0,R11/Q11)</f>
        <v>0.79999999999999949</v>
      </c>
      <c r="Q11" s="77">
        <v>3</v>
      </c>
      <c r="R11" s="68">
        <v>2.3999999999999986</v>
      </c>
    </row>
    <row r="12" spans="1:18" x14ac:dyDescent="0.4">
      <c r="A12" s="20" t="s">
        <v>185</v>
      </c>
      <c r="B12" s="109">
        <f>IF(B9=0,0,C12/B9)</f>
        <v>-11.816666666666668</v>
      </c>
      <c r="C12" s="110">
        <v>-70.900000000000006</v>
      </c>
      <c r="E12" s="27" t="s">
        <v>69</v>
      </c>
      <c r="F12" s="24" t="s">
        <v>24</v>
      </c>
      <c r="G12" s="12">
        <v>1</v>
      </c>
      <c r="H12" s="88">
        <f>IF(B$20=0,0,G12/B$20)</f>
        <v>5.2631578947368418E-2</v>
      </c>
      <c r="I12" s="58">
        <v>12</v>
      </c>
      <c r="K12" s="74">
        <v>10</v>
      </c>
      <c r="L12" s="119">
        <v>-13.400000000000013</v>
      </c>
      <c r="M12" s="117">
        <v>1348.2487416206377</v>
      </c>
      <c r="O12" s="75" t="s">
        <v>153</v>
      </c>
      <c r="P12" s="84">
        <f>IF(Q12=0,0,R12/Q12)</f>
        <v>-5.45</v>
      </c>
      <c r="Q12" s="78">
        <v>2</v>
      </c>
      <c r="R12" s="69">
        <v>-10.9</v>
      </c>
    </row>
    <row r="13" spans="1:18" x14ac:dyDescent="0.4">
      <c r="A13" s="20" t="s">
        <v>186</v>
      </c>
      <c r="B13" s="109">
        <f>IF(B10=0,0,C13/B10)</f>
        <v>-23.9</v>
      </c>
      <c r="C13" s="110">
        <v>-47.8</v>
      </c>
      <c r="E13" s="27" t="s">
        <v>73</v>
      </c>
      <c r="F13" s="24" t="s">
        <v>28</v>
      </c>
      <c r="G13" s="12">
        <v>1</v>
      </c>
      <c r="H13" s="88">
        <f>IF(B$20=0,0,G13/B$20)</f>
        <v>5.2631578947368418E-2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5.644444444444443</v>
      </c>
      <c r="C14" s="126"/>
      <c r="E14" s="27" t="s">
        <v>77</v>
      </c>
      <c r="F14" s="24" t="s">
        <v>32</v>
      </c>
      <c r="G14" s="12">
        <v>1</v>
      </c>
      <c r="H14" s="88">
        <f>IF(B$20=0,0,G14/B$20)</f>
        <v>5.2631578947368418E-2</v>
      </c>
      <c r="I14" s="58">
        <v>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70</v>
      </c>
      <c r="F15" s="24" t="s">
        <v>25</v>
      </c>
      <c r="G15" s="12">
        <v>0</v>
      </c>
      <c r="H15" s="88">
        <f>IF(B$20=0,0,G15/B$20)</f>
        <v>0</v>
      </c>
      <c r="I15" s="58">
        <v>11</v>
      </c>
      <c r="O15" s="73" t="s">
        <v>195</v>
      </c>
      <c r="P15" s="82">
        <f>IF(Q15=0,0,R15/Q15)</f>
        <v>20.5</v>
      </c>
      <c r="Q15" s="76">
        <v>1</v>
      </c>
      <c r="R15" s="67">
        <v>20.5</v>
      </c>
    </row>
    <row r="16" spans="1:18" x14ac:dyDescent="0.4">
      <c r="A16" s="22" t="s">
        <v>121</v>
      </c>
      <c r="B16" s="15">
        <v>21</v>
      </c>
      <c r="C16" s="10">
        <f>IF(B$3=0,0,B16/B$3)</f>
        <v>0.25925925925925924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4</v>
      </c>
      <c r="O16" s="74" t="s">
        <v>190</v>
      </c>
      <c r="P16" s="83">
        <f>IF(Q16=0,0,R16/Q16)</f>
        <v>14.162500000000003</v>
      </c>
      <c r="Q16" s="77">
        <v>8</v>
      </c>
      <c r="R16" s="68">
        <v>113.30000000000003</v>
      </c>
    </row>
    <row r="17" spans="1:18" x14ac:dyDescent="0.4">
      <c r="A17" s="19" t="s">
        <v>118</v>
      </c>
      <c r="B17" s="12">
        <v>11</v>
      </c>
      <c r="C17" s="6">
        <f>IF(B$3=0,0,B17/B$3)</f>
        <v>0.13580246913580246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7</v>
      </c>
      <c r="O17" s="74" t="s">
        <v>163</v>
      </c>
      <c r="P17" s="83">
        <f>IF(Q17=0,0,R17/Q17)</f>
        <v>0.7399999999999991</v>
      </c>
      <c r="Q17" s="77">
        <v>5</v>
      </c>
      <c r="R17" s="68">
        <v>3.6999999999999957</v>
      </c>
    </row>
    <row r="18" spans="1:18" x14ac:dyDescent="0.4">
      <c r="A18" s="18" t="s">
        <v>123</v>
      </c>
      <c r="B18" s="11">
        <f>B24</f>
        <v>13</v>
      </c>
      <c r="C18" s="5">
        <f>IF(B$16=0,0,B18/B$16)</f>
        <v>0.61904761904761907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189</v>
      </c>
      <c r="P18" s="83">
        <f>IF(Q18=0,0,R18/Q18)</f>
        <v>-21.5</v>
      </c>
      <c r="Q18" s="77">
        <v>3</v>
      </c>
      <c r="R18" s="68">
        <v>-64.5</v>
      </c>
    </row>
    <row r="19" spans="1:18" x14ac:dyDescent="0.4">
      <c r="A19" s="18" t="s">
        <v>124</v>
      </c>
      <c r="B19" s="11">
        <f>B25</f>
        <v>4</v>
      </c>
      <c r="C19" s="5">
        <f>IF(B$17=0,0,B19/B$17)</f>
        <v>0.36363636363636365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9</v>
      </c>
      <c r="O19" s="74" t="s">
        <v>126</v>
      </c>
      <c r="P19" s="83">
        <f>IF(Q19=0,0,R19/Q19)</f>
        <v>-37.733333333333334</v>
      </c>
      <c r="Q19" s="77">
        <v>3</v>
      </c>
      <c r="R19" s="68">
        <v>-113.2</v>
      </c>
    </row>
    <row r="20" spans="1:18" x14ac:dyDescent="0.4">
      <c r="A20" s="18" t="s">
        <v>10</v>
      </c>
      <c r="B20" s="11">
        <f>B23+B22</f>
        <v>19</v>
      </c>
      <c r="C20" s="5">
        <f>IF(B$3=0,0,B20/B$3)</f>
        <v>0.23456790123456789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18" x14ac:dyDescent="0.4">
      <c r="A21" s="19" t="s">
        <v>13</v>
      </c>
      <c r="B21" s="12">
        <v>6</v>
      </c>
      <c r="C21" s="6">
        <f>IF(B$3=0,0,B21/B$3)</f>
        <v>7.407407407407407E-2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9</v>
      </c>
      <c r="C22" s="6">
        <f>IF(B$20=0,0,B22/B$20)</f>
        <v>0.47368421052631576</v>
      </c>
      <c r="E22" s="27" t="s">
        <v>81</v>
      </c>
      <c r="F22" s="24" t="s">
        <v>36</v>
      </c>
      <c r="G22" s="12">
        <v>0</v>
      </c>
      <c r="H22" s="88">
        <f>IF(B$20=0,0,G22/B$20)</f>
        <v>0</v>
      </c>
      <c r="I22" s="58">
        <v>8</v>
      </c>
    </row>
    <row r="23" spans="1:18" x14ac:dyDescent="0.4">
      <c r="A23" s="19" t="s">
        <v>11</v>
      </c>
      <c r="B23" s="12">
        <v>10</v>
      </c>
      <c r="C23" s="6">
        <f>IF(B$20=0,0,B23/B$20)</f>
        <v>0.52631578947368418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13</v>
      </c>
      <c r="C24" s="6">
        <f>IF(B$20=0,0,B24/B$20)</f>
        <v>0.68421052631578949</v>
      </c>
      <c r="E24" s="27" t="s">
        <v>83</v>
      </c>
      <c r="F24" s="24" t="s">
        <v>38</v>
      </c>
      <c r="G24" s="12">
        <v>0</v>
      </c>
      <c r="H24" s="88">
        <f>IF(B$20=0,0,G24/B$20)</f>
        <v>0</v>
      </c>
      <c r="I24" s="58">
        <v>9</v>
      </c>
    </row>
    <row r="25" spans="1:18" x14ac:dyDescent="0.4">
      <c r="A25" s="19" t="s">
        <v>181</v>
      </c>
      <c r="B25" s="12">
        <v>4</v>
      </c>
      <c r="C25" s="6">
        <f>IF(B$20=0,0,B25/B$20)</f>
        <v>0.21052631578947367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3</v>
      </c>
    </row>
    <row r="26" spans="1:18" x14ac:dyDescent="0.4">
      <c r="A26" s="19" t="s">
        <v>182</v>
      </c>
      <c r="B26" s="12">
        <v>2</v>
      </c>
      <c r="C26" s="6">
        <f>IF(B$20=0,0,B26/B$20)</f>
        <v>0.10526315789473684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4</v>
      </c>
    </row>
    <row r="27" spans="1:18" x14ac:dyDescent="0.4">
      <c r="A27" s="19" t="s">
        <v>5</v>
      </c>
      <c r="B27" s="16">
        <f>IF(B$20=0,0,C27/B$20)</f>
        <v>7736.8421052631575</v>
      </c>
      <c r="C27" s="8">
        <v>147000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4</v>
      </c>
    </row>
    <row r="28" spans="1:18" x14ac:dyDescent="0.4">
      <c r="A28" s="20" t="s">
        <v>165</v>
      </c>
      <c r="B28" s="95">
        <f>IF($B$20-B$19=0,0,C28/($B$20-B$19))</f>
        <v>8186.666666666667</v>
      </c>
      <c r="C28" s="96">
        <v>122800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">
      <c r="A29" s="20" t="s">
        <v>166</v>
      </c>
      <c r="B29" s="95">
        <f>IF(B$19=0,0,C29/B$19)</f>
        <v>6050</v>
      </c>
      <c r="C29" s="96">
        <v>24200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-3916.6666666666665</v>
      </c>
      <c r="C30" s="96">
        <v>-23500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7</v>
      </c>
    </row>
    <row r="32" spans="1:18" x14ac:dyDescent="0.4">
      <c r="A32" s="19" t="s">
        <v>158</v>
      </c>
      <c r="B32" s="12">
        <v>29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89000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4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0.10526315789473684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3</v>
      </c>
      <c r="C38" s="6">
        <f t="shared" si="2"/>
        <v>0.15789473684210525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6</v>
      </c>
      <c r="C39" s="6">
        <f t="shared" si="2"/>
        <v>0.31578947368421051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0.21052631578947367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1</v>
      </c>
      <c r="C41" s="6">
        <f t="shared" si="2"/>
        <v>5.2631578947368418E-2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0.10526315789473684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2"/>
        <v>5.2631578947368418E-2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D3FAA-C822-4F0D-B2C6-ABD6E4BFDA1C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42</v>
      </c>
      <c r="C2" s="134"/>
      <c r="E2" s="26" t="s">
        <v>66</v>
      </c>
      <c r="F2" s="23" t="s">
        <v>22</v>
      </c>
      <c r="G2" s="11">
        <v>89</v>
      </c>
      <c r="H2" s="87">
        <f>IF(B$20=0,0,G2/B$20)</f>
        <v>0.87254901960784315</v>
      </c>
      <c r="I2" s="57">
        <v>3</v>
      </c>
      <c r="K2" s="73">
        <v>0</v>
      </c>
      <c r="L2" s="118">
        <v>0</v>
      </c>
      <c r="M2" s="116">
        <v>1526.204694156469</v>
      </c>
      <c r="O2" s="73" t="s">
        <v>128</v>
      </c>
      <c r="P2" s="79">
        <f t="shared" ref="P2:P7" si="0">IF(Q2=0,0,R2/Q2)</f>
        <v>680</v>
      </c>
      <c r="Q2" s="76">
        <v>40</v>
      </c>
      <c r="R2" s="63">
        <v>27200</v>
      </c>
    </row>
    <row r="3" spans="1:18" x14ac:dyDescent="0.4">
      <c r="A3" s="19" t="s">
        <v>8</v>
      </c>
      <c r="B3" s="135">
        <v>323</v>
      </c>
      <c r="C3" s="136"/>
      <c r="E3" s="27" t="s">
        <v>72</v>
      </c>
      <c r="F3" s="24" t="s">
        <v>27</v>
      </c>
      <c r="G3" s="12">
        <v>56</v>
      </c>
      <c r="H3" s="88">
        <f>IF(B$20=0,0,G3/B$20)</f>
        <v>0.5490196078431373</v>
      </c>
      <c r="I3" s="58">
        <v>5</v>
      </c>
      <c r="K3" s="74">
        <v>1</v>
      </c>
      <c r="L3" s="119">
        <v>68.2</v>
      </c>
      <c r="M3" s="117">
        <v>1539.1274659915302</v>
      </c>
      <c r="O3" s="74" t="s">
        <v>129</v>
      </c>
      <c r="P3" s="80">
        <f t="shared" si="0"/>
        <v>-2204.7619047619046</v>
      </c>
      <c r="Q3" s="77">
        <v>42</v>
      </c>
      <c r="R3" s="64">
        <v>-92600</v>
      </c>
    </row>
    <row r="4" spans="1:18" x14ac:dyDescent="0.4">
      <c r="A4" s="19" t="s">
        <v>6</v>
      </c>
      <c r="B4" s="137">
        <v>-193.20000000000002</v>
      </c>
      <c r="C4" s="138"/>
      <c r="E4" s="27" t="s">
        <v>159</v>
      </c>
      <c r="F4" s="24" t="s">
        <v>160</v>
      </c>
      <c r="G4" s="12">
        <v>48</v>
      </c>
      <c r="H4" s="88">
        <f>IF(B$20=0,0,G4/B$20)</f>
        <v>0.47058823529411764</v>
      </c>
      <c r="I4" s="58">
        <v>4</v>
      </c>
      <c r="K4" s="74">
        <v>2</v>
      </c>
      <c r="L4" s="119">
        <v>41.2</v>
      </c>
      <c r="M4" s="117">
        <v>1534.890701195581</v>
      </c>
      <c r="O4" s="74" t="s">
        <v>130</v>
      </c>
      <c r="P4" s="80">
        <f t="shared" si="0"/>
        <v>-1525</v>
      </c>
      <c r="Q4" s="77">
        <v>40</v>
      </c>
      <c r="R4" s="64">
        <v>-61000</v>
      </c>
    </row>
    <row r="5" spans="1:18" x14ac:dyDescent="0.4">
      <c r="A5" s="19" t="s">
        <v>7</v>
      </c>
      <c r="B5" s="125">
        <f>IF(B$2=0,0,B$4/B$2)</f>
        <v>-4.6000000000000005</v>
      </c>
      <c r="C5" s="126"/>
      <c r="E5" s="27" t="s">
        <v>64</v>
      </c>
      <c r="F5" s="24" t="s">
        <v>20</v>
      </c>
      <c r="G5" s="12">
        <v>38</v>
      </c>
      <c r="H5" s="88">
        <f>IF(B$20=0,0,G5/B$20)</f>
        <v>0.37254901960784315</v>
      </c>
      <c r="I5" s="58">
        <v>11</v>
      </c>
      <c r="K5" s="74">
        <v>3</v>
      </c>
      <c r="L5" s="119">
        <v>8.9000000000000057</v>
      </c>
      <c r="M5" s="117">
        <v>1529.7253569884074</v>
      </c>
      <c r="O5" s="74" t="s">
        <v>131</v>
      </c>
      <c r="P5" s="80">
        <f t="shared" si="0"/>
        <v>1436.1111111111111</v>
      </c>
      <c r="Q5" s="77">
        <v>36</v>
      </c>
      <c r="R5" s="64">
        <v>51700</v>
      </c>
    </row>
    <row r="6" spans="1:18" x14ac:dyDescent="0.4">
      <c r="A6" s="19" t="s">
        <v>196</v>
      </c>
      <c r="B6" s="129">
        <v>1517.1288342047803</v>
      </c>
      <c r="C6" s="130"/>
      <c r="E6" s="27" t="s">
        <v>68</v>
      </c>
      <c r="F6" s="24" t="s">
        <v>12</v>
      </c>
      <c r="G6" s="12">
        <v>28</v>
      </c>
      <c r="H6" s="88">
        <f>IF(B$20=0,0,G6/B$20)</f>
        <v>0.27450980392156865</v>
      </c>
      <c r="I6" s="58">
        <v>9</v>
      </c>
      <c r="K6" s="74">
        <v>4</v>
      </c>
      <c r="L6" s="119">
        <v>-41.199999999999996</v>
      </c>
      <c r="M6" s="117">
        <v>1521.6930048464769</v>
      </c>
      <c r="O6" s="74" t="s">
        <v>132</v>
      </c>
      <c r="P6" s="80">
        <f t="shared" si="0"/>
        <v>-1740</v>
      </c>
      <c r="Q6" s="77">
        <v>35</v>
      </c>
      <c r="R6" s="64">
        <v>-60900</v>
      </c>
    </row>
    <row r="7" spans="1:18" x14ac:dyDescent="0.4">
      <c r="A7" s="19" t="s">
        <v>1</v>
      </c>
      <c r="B7" s="139">
        <f>IF(B$2=0,0,(B$8*1+B$9*2+B$10*3)/B$2)</f>
        <v>2.0952380952380953</v>
      </c>
      <c r="C7" s="140"/>
      <c r="E7" s="27" t="s">
        <v>67</v>
      </c>
      <c r="F7" s="24" t="s">
        <v>23</v>
      </c>
      <c r="G7" s="12">
        <v>26</v>
      </c>
      <c r="H7" s="88">
        <f>IF(B$20=0,0,G7/B$20)</f>
        <v>0.25490196078431371</v>
      </c>
      <c r="I7" s="58">
        <v>7</v>
      </c>
      <c r="K7" s="74">
        <v>5</v>
      </c>
      <c r="L7" s="119">
        <v>-72.899999999999991</v>
      </c>
      <c r="M7" s="117">
        <v>1516.6308468173982</v>
      </c>
      <c r="O7" s="75" t="s">
        <v>133</v>
      </c>
      <c r="P7" s="81">
        <f t="shared" si="0"/>
        <v>-1759.2592592592594</v>
      </c>
      <c r="Q7" s="78">
        <v>27</v>
      </c>
      <c r="R7" s="65">
        <v>-47500</v>
      </c>
    </row>
    <row r="8" spans="1:18" x14ac:dyDescent="0.4">
      <c r="A8" s="19" t="s">
        <v>2</v>
      </c>
      <c r="B8" s="12">
        <v>12</v>
      </c>
      <c r="C8" s="6">
        <f t="shared" ref="C8:C15" si="1">IF(B$2=0,0,B8/B$2)</f>
        <v>0.2857142857142857</v>
      </c>
      <c r="E8" s="27" t="s">
        <v>89</v>
      </c>
      <c r="F8" s="24" t="s">
        <v>44</v>
      </c>
      <c r="G8" s="12">
        <v>17</v>
      </c>
      <c r="H8" s="88">
        <f>IF(B$20=0,0,G8/B$20)</f>
        <v>0.16666666666666666</v>
      </c>
      <c r="I8" s="58">
        <v>3</v>
      </c>
      <c r="K8" s="74">
        <v>6</v>
      </c>
      <c r="L8" s="119">
        <v>-130</v>
      </c>
      <c r="M8" s="117">
        <v>1506.8050617364938</v>
      </c>
      <c r="O8" s="107"/>
      <c r="P8" s="85"/>
      <c r="Q8" s="108"/>
      <c r="R8" s="70"/>
    </row>
    <row r="9" spans="1:18" x14ac:dyDescent="0.4">
      <c r="A9" s="19" t="s">
        <v>3</v>
      </c>
      <c r="B9" s="12">
        <v>14</v>
      </c>
      <c r="C9" s="6">
        <f t="shared" si="1"/>
        <v>0.33333333333333331</v>
      </c>
      <c r="E9" s="27" t="s">
        <v>69</v>
      </c>
      <c r="F9" s="24" t="s">
        <v>24</v>
      </c>
      <c r="G9" s="12">
        <v>16</v>
      </c>
      <c r="H9" s="88">
        <f>IF(B$20=0,0,G9/B$20)</f>
        <v>0.15686274509803921</v>
      </c>
      <c r="I9" s="58">
        <v>3</v>
      </c>
      <c r="K9" s="74">
        <v>7</v>
      </c>
      <c r="L9" s="119">
        <v>-183</v>
      </c>
      <c r="M9" s="117">
        <v>1497.7762313660749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16</v>
      </c>
      <c r="C10" s="7">
        <f t="shared" si="1"/>
        <v>0.38095238095238093</v>
      </c>
      <c r="E10" s="27" t="s">
        <v>70</v>
      </c>
      <c r="F10" s="24" t="s">
        <v>25</v>
      </c>
      <c r="G10" s="12">
        <v>12</v>
      </c>
      <c r="H10" s="88">
        <f>IF(B$20=0,0,G10/B$20)</f>
        <v>0.11764705882352941</v>
      </c>
      <c r="I10" s="58">
        <v>5</v>
      </c>
      <c r="K10" s="74">
        <v>8</v>
      </c>
      <c r="L10" s="119">
        <v>-128.6</v>
      </c>
      <c r="M10" s="117">
        <v>1508.1335739778783</v>
      </c>
      <c r="O10" s="73" t="s">
        <v>151</v>
      </c>
      <c r="P10" s="82">
        <f>IF(Q10=0,0,R10/Q10)</f>
        <v>-5.291666666666667</v>
      </c>
      <c r="Q10" s="76">
        <v>12</v>
      </c>
      <c r="R10" s="67">
        <v>-63.5</v>
      </c>
    </row>
    <row r="11" spans="1:18" x14ac:dyDescent="0.4">
      <c r="A11" s="20" t="s">
        <v>184</v>
      </c>
      <c r="B11" s="109">
        <f>IF(B8=0,0,C11/B8)</f>
        <v>35.549999999999997</v>
      </c>
      <c r="C11" s="110">
        <v>426.59999999999997</v>
      </c>
      <c r="E11" s="27" t="s">
        <v>65</v>
      </c>
      <c r="F11" s="24" t="s">
        <v>21</v>
      </c>
      <c r="G11" s="12">
        <v>8</v>
      </c>
      <c r="H11" s="88">
        <f>IF(B$20=0,0,G11/B$20)</f>
        <v>7.8431372549019607E-2</v>
      </c>
      <c r="I11" s="58">
        <v>10</v>
      </c>
      <c r="K11" s="74">
        <v>9</v>
      </c>
      <c r="L11" s="119">
        <v>-120</v>
      </c>
      <c r="M11" s="117">
        <v>1510.7487725340111</v>
      </c>
      <c r="O11" s="74" t="s">
        <v>152</v>
      </c>
      <c r="P11" s="83">
        <f>IF(Q11=0,0,R11/Q11)</f>
        <v>-0.61538461538461553</v>
      </c>
      <c r="Q11" s="77">
        <v>13</v>
      </c>
      <c r="R11" s="68">
        <v>-8.0000000000000018</v>
      </c>
    </row>
    <row r="12" spans="1:18" x14ac:dyDescent="0.4">
      <c r="A12" s="20" t="s">
        <v>185</v>
      </c>
      <c r="B12" s="109">
        <f>IF(B9=0,0,C12/B9)</f>
        <v>-1.4642857142857142</v>
      </c>
      <c r="C12" s="110">
        <v>-20.5</v>
      </c>
      <c r="E12" s="27" t="s">
        <v>71</v>
      </c>
      <c r="F12" s="24" t="s">
        <v>26</v>
      </c>
      <c r="G12" s="12">
        <v>6</v>
      </c>
      <c r="H12" s="88">
        <f>IF(B$20=0,0,G12/B$20)</f>
        <v>5.8823529411764705E-2</v>
      </c>
      <c r="I12" s="58">
        <v>6</v>
      </c>
      <c r="K12" s="74">
        <v>10</v>
      </c>
      <c r="L12" s="119">
        <v>-112.8</v>
      </c>
      <c r="M12" s="117">
        <v>1513.0962798988071</v>
      </c>
      <c r="O12" s="75" t="s">
        <v>153</v>
      </c>
      <c r="P12" s="84">
        <f>IF(Q12=0,0,R12/Q12)</f>
        <v>-7.1588235294117659</v>
      </c>
      <c r="Q12" s="78">
        <v>17</v>
      </c>
      <c r="R12" s="69">
        <v>-121.70000000000002</v>
      </c>
    </row>
    <row r="13" spans="1:18" x14ac:dyDescent="0.4">
      <c r="A13" s="20" t="s">
        <v>186</v>
      </c>
      <c r="B13" s="109">
        <f>IF(B10=0,0,C13/B10)</f>
        <v>-37.456249999999997</v>
      </c>
      <c r="C13" s="110">
        <v>-599.29999999999995</v>
      </c>
      <c r="E13" s="27" t="s">
        <v>86</v>
      </c>
      <c r="F13" s="24" t="s">
        <v>41</v>
      </c>
      <c r="G13" s="12">
        <v>6</v>
      </c>
      <c r="H13" s="88">
        <f>IF(B$20=0,0,G13/B$20)</f>
        <v>5.8823529411764705E-2</v>
      </c>
      <c r="I13" s="58">
        <v>6</v>
      </c>
      <c r="K13" s="74">
        <v>11</v>
      </c>
      <c r="L13" s="119">
        <v>-121</v>
      </c>
      <c r="M13" s="117">
        <v>1511.8777022194142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-1.1235119047619051</v>
      </c>
      <c r="C14" s="126"/>
      <c r="E14" s="27" t="s">
        <v>78</v>
      </c>
      <c r="F14" s="24" t="s">
        <v>33</v>
      </c>
      <c r="G14" s="12">
        <v>5</v>
      </c>
      <c r="H14" s="88">
        <f>IF(B$20=0,0,G14/B$20)</f>
        <v>4.9019607843137254E-2</v>
      </c>
      <c r="I14" s="58">
        <v>2</v>
      </c>
      <c r="K14" s="74">
        <v>12</v>
      </c>
      <c r="L14" s="119">
        <v>-108.5</v>
      </c>
      <c r="M14" s="117">
        <v>1514.6864360060977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5</v>
      </c>
      <c r="C15" s="9">
        <f t="shared" si="1"/>
        <v>0.11904761904761904</v>
      </c>
      <c r="E15" s="27" t="s">
        <v>83</v>
      </c>
      <c r="F15" s="24" t="s">
        <v>38</v>
      </c>
      <c r="G15" s="12">
        <v>5</v>
      </c>
      <c r="H15" s="88">
        <f>IF(B$20=0,0,G15/B$20)</f>
        <v>4.9019607843137254E-2</v>
      </c>
      <c r="I15" s="58">
        <v>4</v>
      </c>
      <c r="K15" s="74">
        <v>13</v>
      </c>
      <c r="L15" s="119">
        <v>-63.4</v>
      </c>
      <c r="M15" s="117">
        <v>1523.8383173900611</v>
      </c>
      <c r="O15" s="73" t="s">
        <v>190</v>
      </c>
      <c r="P15" s="82">
        <f t="shared" ref="P15:P21" si="2">IF(Q15=0,0,R15/Q15)</f>
        <v>0.84166666666666501</v>
      </c>
      <c r="Q15" s="76">
        <v>12</v>
      </c>
      <c r="R15" s="67">
        <v>10.09999999999998</v>
      </c>
    </row>
    <row r="16" spans="1:18" x14ac:dyDescent="0.4">
      <c r="A16" s="22" t="s">
        <v>121</v>
      </c>
      <c r="B16" s="15">
        <v>57</v>
      </c>
      <c r="C16" s="10">
        <f>IF(B$3=0,0,B16/B$3)</f>
        <v>0.17647058823529413</v>
      </c>
      <c r="E16" s="27" t="s">
        <v>81</v>
      </c>
      <c r="F16" s="24" t="s">
        <v>36</v>
      </c>
      <c r="G16" s="12">
        <v>2</v>
      </c>
      <c r="H16" s="88">
        <f>IF(B$20=0,0,G16/B$20)</f>
        <v>1.9607843137254902E-2</v>
      </c>
      <c r="I16" s="58">
        <v>7</v>
      </c>
      <c r="K16" s="74">
        <v>14</v>
      </c>
      <c r="L16" s="119">
        <v>-42.4</v>
      </c>
      <c r="M16" s="117">
        <v>1528.5972874857207</v>
      </c>
      <c r="O16" s="74" t="s">
        <v>195</v>
      </c>
      <c r="P16" s="83">
        <f t="shared" si="2"/>
        <v>0.79166666666666663</v>
      </c>
      <c r="Q16" s="77">
        <v>12</v>
      </c>
      <c r="R16" s="68">
        <v>9.5</v>
      </c>
    </row>
    <row r="17" spans="1:18" x14ac:dyDescent="0.4">
      <c r="A17" s="19" t="s">
        <v>118</v>
      </c>
      <c r="B17" s="12">
        <v>87</v>
      </c>
      <c r="C17" s="6">
        <f>IF(B$3=0,0,B17/B$3)</f>
        <v>0.26934984520123839</v>
      </c>
      <c r="E17" s="27" t="s">
        <v>75</v>
      </c>
      <c r="F17" s="24" t="s">
        <v>30</v>
      </c>
      <c r="G17" s="12">
        <v>1</v>
      </c>
      <c r="H17" s="88">
        <f>IF(B$20=0,0,G17/B$20)</f>
        <v>9.8039215686274508E-3</v>
      </c>
      <c r="I17" s="58">
        <v>3</v>
      </c>
      <c r="K17" s="74">
        <v>15</v>
      </c>
      <c r="L17" s="119">
        <v>-65.7</v>
      </c>
      <c r="M17" s="117">
        <v>1524.0457037608064</v>
      </c>
      <c r="O17" s="74" t="s">
        <v>250</v>
      </c>
      <c r="P17" s="83">
        <f t="shared" si="2"/>
        <v>-4.8999999999999986</v>
      </c>
      <c r="Q17" s="77">
        <v>2</v>
      </c>
      <c r="R17" s="68">
        <v>-9.7999999999999972</v>
      </c>
    </row>
    <row r="18" spans="1:18" x14ac:dyDescent="0.4">
      <c r="A18" s="18" t="s">
        <v>123</v>
      </c>
      <c r="B18" s="11">
        <f>B24</f>
        <v>37</v>
      </c>
      <c r="C18" s="5">
        <f>IF(B$16=0,0,B18/B$16)</f>
        <v>0.64912280701754388</v>
      </c>
      <c r="E18" s="27" t="s">
        <v>92</v>
      </c>
      <c r="F18" s="24" t="s">
        <v>47</v>
      </c>
      <c r="G18" s="12">
        <v>1</v>
      </c>
      <c r="H18" s="88">
        <f>IF(B$20=0,0,G18/B$20)</f>
        <v>9.8039215686274508E-3</v>
      </c>
      <c r="I18" s="58">
        <v>6</v>
      </c>
      <c r="K18" s="74">
        <v>16</v>
      </c>
      <c r="L18" s="119">
        <v>-104.80000000000001</v>
      </c>
      <c r="M18" s="117">
        <v>1516.6714295382417</v>
      </c>
      <c r="O18" s="74" t="s">
        <v>163</v>
      </c>
      <c r="P18" s="83">
        <f t="shared" si="2"/>
        <v>-5.4470588235294146</v>
      </c>
      <c r="Q18" s="77">
        <v>17</v>
      </c>
      <c r="R18" s="68">
        <v>-92.600000000000051</v>
      </c>
    </row>
    <row r="19" spans="1:18" x14ac:dyDescent="0.4">
      <c r="A19" s="18" t="s">
        <v>124</v>
      </c>
      <c r="B19" s="11">
        <f>B25</f>
        <v>28</v>
      </c>
      <c r="C19" s="5">
        <f>IF(B$17=0,0,B19/B$17)</f>
        <v>0.32183908045977011</v>
      </c>
      <c r="E19" s="27" t="s">
        <v>73</v>
      </c>
      <c r="F19" s="24" t="s">
        <v>28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-52.900000000000013</v>
      </c>
      <c r="M19" s="117">
        <v>1527.0054009610121</v>
      </c>
      <c r="O19" s="74" t="s">
        <v>126</v>
      </c>
      <c r="P19" s="83">
        <f t="shared" si="2"/>
        <v>-8.2694444444444475</v>
      </c>
      <c r="Q19" s="77">
        <v>36</v>
      </c>
      <c r="R19" s="68">
        <v>-297.7000000000001</v>
      </c>
    </row>
    <row r="20" spans="1:18" x14ac:dyDescent="0.4">
      <c r="A20" s="18" t="s">
        <v>10</v>
      </c>
      <c r="B20" s="11">
        <f>B23+B22</f>
        <v>102</v>
      </c>
      <c r="C20" s="5">
        <f>IF(B$3=0,0,B20/B$3)</f>
        <v>0.31578947368421051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4</v>
      </c>
      <c r="K20" s="74">
        <v>18</v>
      </c>
      <c r="L20" s="119">
        <v>-45.800000000000011</v>
      </c>
      <c r="M20" s="117">
        <v>1529.0093685552461</v>
      </c>
      <c r="O20" s="74" t="s">
        <v>189</v>
      </c>
      <c r="P20" s="83">
        <f t="shared" si="2"/>
        <v>-35.35</v>
      </c>
      <c r="Q20" s="77">
        <v>4</v>
      </c>
      <c r="R20" s="68">
        <v>-141.4</v>
      </c>
    </row>
    <row r="21" spans="1:18" x14ac:dyDescent="0.4">
      <c r="A21" s="19" t="s">
        <v>13</v>
      </c>
      <c r="B21" s="12">
        <v>56</v>
      </c>
      <c r="C21" s="6">
        <f>IF(B$3=0,0,B21/B$3)</f>
        <v>0.17337461300309598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-67.600000000000009</v>
      </c>
      <c r="M21" s="117">
        <v>1525.7993123439146</v>
      </c>
      <c r="O21" s="74" t="s">
        <v>198</v>
      </c>
      <c r="P21" s="83">
        <f t="shared" si="2"/>
        <v>-57.7</v>
      </c>
      <c r="Q21" s="77">
        <v>1</v>
      </c>
      <c r="R21" s="68">
        <v>-57.7</v>
      </c>
    </row>
    <row r="22" spans="1:18" x14ac:dyDescent="0.4">
      <c r="A22" s="19" t="s">
        <v>12</v>
      </c>
      <c r="B22" s="12">
        <v>47</v>
      </c>
      <c r="C22" s="6">
        <f>IF(B$20=0,0,B22/B$20)</f>
        <v>0.46078431372549017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7</v>
      </c>
      <c r="K22" s="74">
        <v>20</v>
      </c>
      <c r="L22" s="119">
        <v>-26.70000000000001</v>
      </c>
      <c r="M22" s="117">
        <v>1533.6065164698512</v>
      </c>
    </row>
    <row r="23" spans="1:18" x14ac:dyDescent="0.4">
      <c r="A23" s="19" t="s">
        <v>11</v>
      </c>
      <c r="B23" s="12">
        <v>55</v>
      </c>
      <c r="C23" s="6">
        <f>IF(B$20=0,0,B23/B$20)</f>
        <v>0.53921568627450978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8</v>
      </c>
      <c r="K23" s="74">
        <v>21</v>
      </c>
      <c r="L23" s="119">
        <v>-41.20000000000001</v>
      </c>
      <c r="M23" s="117">
        <v>1531.8988773710321</v>
      </c>
    </row>
    <row r="24" spans="1:18" x14ac:dyDescent="0.4">
      <c r="A24" s="19" t="s">
        <v>183</v>
      </c>
      <c r="B24" s="12">
        <v>37</v>
      </c>
      <c r="C24" s="6">
        <f>IF(B$20=0,0,B24/B$20)</f>
        <v>0.36274509803921567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-38.400000000000013</v>
      </c>
      <c r="M24" s="117">
        <v>1533.2854841068058</v>
      </c>
    </row>
    <row r="25" spans="1:18" x14ac:dyDescent="0.4">
      <c r="A25" s="19" t="s">
        <v>181</v>
      </c>
      <c r="B25" s="12">
        <v>28</v>
      </c>
      <c r="C25" s="6">
        <f>IF(B$20=0,0,B25/B$20)</f>
        <v>0.27450980392156865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-83.9</v>
      </c>
      <c r="M25" s="117">
        <v>1525.969771202165</v>
      </c>
    </row>
    <row r="26" spans="1:18" x14ac:dyDescent="0.4">
      <c r="A26" s="19" t="s">
        <v>182</v>
      </c>
      <c r="B26" s="12">
        <v>37</v>
      </c>
      <c r="C26" s="6">
        <f>IF(B$20=0,0,B26/B$20)</f>
        <v>0.36274509803921567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-68.600000000000009</v>
      </c>
      <c r="M26" s="117">
        <v>1528.6579525749521</v>
      </c>
    </row>
    <row r="27" spans="1:18" x14ac:dyDescent="0.4">
      <c r="A27" s="19" t="s">
        <v>5</v>
      </c>
      <c r="B27" s="16">
        <f>IF(B$20=0,0,C27/B$20)</f>
        <v>8118.6274509803925</v>
      </c>
      <c r="C27" s="8">
        <v>828100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4</v>
      </c>
      <c r="K27" s="74">
        <v>25</v>
      </c>
      <c r="L27" s="119">
        <v>-49.100000000000009</v>
      </c>
      <c r="M27" s="117">
        <v>1532.5480048595025</v>
      </c>
    </row>
    <row r="28" spans="1:18" x14ac:dyDescent="0.4">
      <c r="A28" s="20" t="s">
        <v>165</v>
      </c>
      <c r="B28" s="95">
        <f>IF($B$20-B$19=0,0,C28/($B$20-B$19))</f>
        <v>8355.405405405405</v>
      </c>
      <c r="C28" s="96">
        <v>618300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4</v>
      </c>
      <c r="K28" s="74">
        <v>26</v>
      </c>
      <c r="L28" s="119">
        <v>-58.000000000000007</v>
      </c>
      <c r="M28" s="117">
        <v>1531.3027168303454</v>
      </c>
    </row>
    <row r="29" spans="1:18" x14ac:dyDescent="0.4">
      <c r="A29" s="20" t="s">
        <v>166</v>
      </c>
      <c r="B29" s="95">
        <f>IF(B$19=0,0,C29/B$19)</f>
        <v>7492.8571428571431</v>
      </c>
      <c r="C29" s="96">
        <v>209800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-62.70000000000001</v>
      </c>
      <c r="M29" s="117">
        <v>1530.8209005293634</v>
      </c>
    </row>
    <row r="30" spans="1:18" x14ac:dyDescent="0.4">
      <c r="A30" s="20" t="s">
        <v>164</v>
      </c>
      <c r="B30" s="95">
        <f>IF(B$21=0,0,C30/B$21)</f>
        <v>-9228.5714285714294</v>
      </c>
      <c r="C30" s="96">
        <v>-516800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-104.30000000000001</v>
      </c>
      <c r="M30" s="117">
        <v>1524.2279751261872</v>
      </c>
    </row>
    <row r="31" spans="1:18" x14ac:dyDescent="0.4">
      <c r="A31" s="19" t="s">
        <v>157</v>
      </c>
      <c r="B31" s="12">
        <v>4</v>
      </c>
      <c r="C31" s="90">
        <v>1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7</v>
      </c>
      <c r="K31" s="74">
        <v>29</v>
      </c>
      <c r="L31" s="119">
        <v>-140.5</v>
      </c>
      <c r="M31" s="117">
        <v>1518.6466072754301</v>
      </c>
    </row>
    <row r="32" spans="1:18" x14ac:dyDescent="0.4">
      <c r="A32" s="19" t="s">
        <v>158</v>
      </c>
      <c r="B32" s="12">
        <v>17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-181.3</v>
      </c>
      <c r="M32" s="117">
        <v>1511.0767276317777</v>
      </c>
    </row>
    <row r="33" spans="1:13" x14ac:dyDescent="0.4">
      <c r="A33" s="54" t="s">
        <v>136</v>
      </c>
      <c r="B33" s="127">
        <v>10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-180.3</v>
      </c>
      <c r="M33" s="117">
        <v>1511.0762672659871</v>
      </c>
    </row>
    <row r="34" spans="1:13" x14ac:dyDescent="0.4">
      <c r="A34" s="22" t="s">
        <v>180</v>
      </c>
      <c r="B34" s="129">
        <v>93200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-199.60000000000002</v>
      </c>
      <c r="M34" s="117">
        <v>1508.1118096623911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-242.10000000000002</v>
      </c>
      <c r="M35" s="117">
        <v>1501.0071388044169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-238.00000000000003</v>
      </c>
      <c r="M36" s="117">
        <v>1502.7950959715904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7.8431372549019607E-2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-209.50000000000003</v>
      </c>
      <c r="M37" s="117">
        <v>1508.9643253957609</v>
      </c>
    </row>
    <row r="38" spans="1:13" x14ac:dyDescent="0.4">
      <c r="A38" s="19" t="s">
        <v>167</v>
      </c>
      <c r="B38" s="12">
        <v>25</v>
      </c>
      <c r="C38" s="6">
        <f t="shared" si="3"/>
        <v>0.24509803921568626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-215.90000000000003</v>
      </c>
      <c r="M38" s="117">
        <v>1508.2865394433863</v>
      </c>
    </row>
    <row r="39" spans="1:13" x14ac:dyDescent="0.4">
      <c r="A39" s="19" t="s">
        <v>168</v>
      </c>
      <c r="B39" s="124">
        <v>15</v>
      </c>
      <c r="C39" s="6">
        <f t="shared" si="3"/>
        <v>0.14705882352941177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-222.60000000000002</v>
      </c>
      <c r="M39" s="117">
        <v>1507.840820206726</v>
      </c>
    </row>
    <row r="40" spans="1:13" x14ac:dyDescent="0.4">
      <c r="A40" s="19" t="s">
        <v>169</v>
      </c>
      <c r="B40" s="124">
        <v>19</v>
      </c>
      <c r="C40" s="6">
        <f t="shared" si="3"/>
        <v>0.18627450980392157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-198.20000000000002</v>
      </c>
      <c r="M40" s="117">
        <v>1512.9957752854857</v>
      </c>
    </row>
    <row r="41" spans="1:13" x14ac:dyDescent="0.4">
      <c r="A41" s="19" t="s">
        <v>170</v>
      </c>
      <c r="B41" s="124">
        <v>13</v>
      </c>
      <c r="C41" s="6">
        <f t="shared" si="3"/>
        <v>0.12745098039215685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-153.30000000000001</v>
      </c>
      <c r="M41" s="117">
        <v>1522.0558006337728</v>
      </c>
    </row>
    <row r="42" spans="1:13" x14ac:dyDescent="0.4">
      <c r="A42" s="19" t="s">
        <v>172</v>
      </c>
      <c r="B42" s="124">
        <v>9</v>
      </c>
      <c r="C42" s="6">
        <f t="shared" si="3"/>
        <v>8.8235294117647065E-2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-153.5</v>
      </c>
      <c r="M42" s="117">
        <v>1522.9434658299701</v>
      </c>
    </row>
    <row r="43" spans="1:13" x14ac:dyDescent="0.4">
      <c r="A43" s="19" t="s">
        <v>173</v>
      </c>
      <c r="B43" s="124">
        <v>4</v>
      </c>
      <c r="C43" s="6">
        <f t="shared" si="3"/>
        <v>3.9215686274509803E-2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-200.3</v>
      </c>
      <c r="M43" s="117">
        <v>1515.1618050349903</v>
      </c>
    </row>
    <row r="44" spans="1:13" x14ac:dyDescent="0.4">
      <c r="A44" s="19" t="s">
        <v>174</v>
      </c>
      <c r="B44" s="124">
        <v>3</v>
      </c>
      <c r="C44" s="6">
        <f t="shared" si="3"/>
        <v>2.9411764705882353E-2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-193.20000000000002</v>
      </c>
      <c r="M44" s="117">
        <v>1517.1288342047803</v>
      </c>
    </row>
    <row r="45" spans="1:13" x14ac:dyDescent="0.4">
      <c r="A45" s="19" t="s">
        <v>175</v>
      </c>
      <c r="B45" s="124">
        <v>1</v>
      </c>
      <c r="C45" s="6">
        <f t="shared" si="3"/>
        <v>9.8039215686274508E-3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1</v>
      </c>
      <c r="C46" s="6">
        <f t="shared" si="3"/>
        <v>9.8039215686274508E-3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2</v>
      </c>
      <c r="C47" s="6">
        <f t="shared" si="3"/>
        <v>1.9607843137254902E-2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1</v>
      </c>
      <c r="C48" s="6">
        <f t="shared" si="3"/>
        <v>9.8039215686274508E-3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3"/>
        <v>9.8039215686274508E-3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093FA-2425-4FEA-AC30-E22DF3179CC5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205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9</v>
      </c>
      <c r="C2" s="134"/>
      <c r="E2" s="26" t="s">
        <v>64</v>
      </c>
      <c r="F2" s="23" t="s">
        <v>20</v>
      </c>
      <c r="G2" s="11">
        <v>17</v>
      </c>
      <c r="H2" s="87">
        <f>IF(B$20=0,0,G2/B$20)</f>
        <v>0.73913043478260865</v>
      </c>
      <c r="I2" s="57">
        <v>1</v>
      </c>
      <c r="K2" s="73">
        <v>0</v>
      </c>
      <c r="L2" s="118">
        <v>0</v>
      </c>
      <c r="M2" s="116">
        <v>1374.5098815116364</v>
      </c>
      <c r="O2" s="73" t="s">
        <v>128</v>
      </c>
      <c r="P2" s="79">
        <f t="shared" ref="P2:P7" si="0">IF(Q2=0,0,R2/Q2)</f>
        <v>8822.2222222222226</v>
      </c>
      <c r="Q2" s="76">
        <v>9</v>
      </c>
      <c r="R2" s="63">
        <v>79400</v>
      </c>
    </row>
    <row r="3" spans="1:18" x14ac:dyDescent="0.4">
      <c r="A3" s="19" t="s">
        <v>8</v>
      </c>
      <c r="B3" s="135">
        <v>74</v>
      </c>
      <c r="C3" s="136"/>
      <c r="E3" s="27" t="s">
        <v>67</v>
      </c>
      <c r="F3" s="24" t="s">
        <v>23</v>
      </c>
      <c r="G3" s="12">
        <v>11</v>
      </c>
      <c r="H3" s="88">
        <f>IF(B$20=0,0,G3/B$20)</f>
        <v>0.47826086956521741</v>
      </c>
      <c r="I3" s="58">
        <v>1</v>
      </c>
      <c r="K3" s="74">
        <v>1</v>
      </c>
      <c r="L3" s="119">
        <v>-27.3</v>
      </c>
      <c r="M3" s="117">
        <v>1371.5128222225667</v>
      </c>
      <c r="O3" s="74" t="s">
        <v>129</v>
      </c>
      <c r="P3" s="80">
        <f t="shared" si="0"/>
        <v>-425</v>
      </c>
      <c r="Q3" s="77">
        <v>8</v>
      </c>
      <c r="R3" s="64">
        <v>-3400</v>
      </c>
    </row>
    <row r="4" spans="1:18" x14ac:dyDescent="0.4">
      <c r="A4" s="19" t="s">
        <v>6</v>
      </c>
      <c r="B4" s="137">
        <v>-41.599999999999994</v>
      </c>
      <c r="C4" s="138"/>
      <c r="E4" s="27" t="s">
        <v>68</v>
      </c>
      <c r="F4" s="24" t="s">
        <v>12</v>
      </c>
      <c r="G4" s="12">
        <v>11</v>
      </c>
      <c r="H4" s="88">
        <f>IF(B$20=0,0,G4/B$20)</f>
        <v>0.47826086956521741</v>
      </c>
      <c r="I4" s="58">
        <v>2</v>
      </c>
      <c r="K4" s="74">
        <v>2</v>
      </c>
      <c r="L4" s="119">
        <v>-36.799999999999997</v>
      </c>
      <c r="M4" s="117">
        <v>1371.4917452892312</v>
      </c>
      <c r="O4" s="74" t="s">
        <v>130</v>
      </c>
      <c r="P4" s="80">
        <f t="shared" si="0"/>
        <v>-5325</v>
      </c>
      <c r="Q4" s="77">
        <v>8</v>
      </c>
      <c r="R4" s="64">
        <v>-42600</v>
      </c>
    </row>
    <row r="5" spans="1:18" x14ac:dyDescent="0.4">
      <c r="A5" s="19" t="s">
        <v>7</v>
      </c>
      <c r="B5" s="125">
        <f>IF(B$2=0,0,B$4/B$2)</f>
        <v>-4.6222222222222218</v>
      </c>
      <c r="C5" s="126"/>
      <c r="E5" s="27" t="s">
        <v>72</v>
      </c>
      <c r="F5" s="24" t="s">
        <v>27</v>
      </c>
      <c r="G5" s="12">
        <v>11</v>
      </c>
      <c r="H5" s="88">
        <f>IF(B$20=0,0,G5/B$20)</f>
        <v>0.47826086956521741</v>
      </c>
      <c r="I5" s="58">
        <v>9</v>
      </c>
      <c r="K5" s="74">
        <v>3</v>
      </c>
      <c r="L5" s="119">
        <v>-62</v>
      </c>
      <c r="M5" s="117">
        <v>1368.6447948174957</v>
      </c>
      <c r="O5" s="74" t="s">
        <v>131</v>
      </c>
      <c r="P5" s="80">
        <f t="shared" si="0"/>
        <v>-1514.2857142857142</v>
      </c>
      <c r="Q5" s="77">
        <v>7</v>
      </c>
      <c r="R5" s="64">
        <v>-10600</v>
      </c>
    </row>
    <row r="6" spans="1:18" x14ac:dyDescent="0.4">
      <c r="A6" s="19" t="s">
        <v>196</v>
      </c>
      <c r="B6" s="129">
        <v>1382.1789004547948</v>
      </c>
      <c r="C6" s="130"/>
      <c r="E6" s="27" t="s">
        <v>66</v>
      </c>
      <c r="F6" s="24" t="s">
        <v>22</v>
      </c>
      <c r="G6" s="12">
        <v>10</v>
      </c>
      <c r="H6" s="88">
        <f>IF(B$20=0,0,G6/B$20)</f>
        <v>0.43478260869565216</v>
      </c>
      <c r="I6" s="58">
        <v>10</v>
      </c>
      <c r="K6" s="74">
        <v>4</v>
      </c>
      <c r="L6" s="119">
        <v>-64.3</v>
      </c>
      <c r="M6" s="117">
        <v>1369.9369260485907</v>
      </c>
      <c r="O6" s="74" t="s">
        <v>132</v>
      </c>
      <c r="P6" s="80">
        <f t="shared" si="0"/>
        <v>-4485.7142857142853</v>
      </c>
      <c r="Q6" s="77">
        <v>7</v>
      </c>
      <c r="R6" s="64">
        <v>-31400</v>
      </c>
    </row>
    <row r="7" spans="1:18" x14ac:dyDescent="0.4">
      <c r="A7" s="19" t="s">
        <v>1</v>
      </c>
      <c r="B7" s="139">
        <f>IF(B$2=0,0,(B$8*1+B$9*2+B$10*3)/B$2)</f>
        <v>2.1111111111111112</v>
      </c>
      <c r="C7" s="140"/>
      <c r="E7" s="27" t="s">
        <v>159</v>
      </c>
      <c r="F7" s="24" t="s">
        <v>160</v>
      </c>
      <c r="G7" s="12">
        <v>10</v>
      </c>
      <c r="H7" s="88">
        <f>IF(B$20=0,0,G7/B$20)</f>
        <v>0.43478260869565216</v>
      </c>
      <c r="I7" s="58">
        <v>6</v>
      </c>
      <c r="K7" s="74">
        <v>5</v>
      </c>
      <c r="L7" s="119">
        <v>-42.3</v>
      </c>
      <c r="M7" s="117">
        <v>1375.5953044922992</v>
      </c>
      <c r="O7" s="75" t="s">
        <v>133</v>
      </c>
      <c r="P7" s="81">
        <f t="shared" si="0"/>
        <v>-571.42857142857144</v>
      </c>
      <c r="Q7" s="78">
        <v>7</v>
      </c>
      <c r="R7" s="65">
        <v>-4000</v>
      </c>
    </row>
    <row r="8" spans="1:18" x14ac:dyDescent="0.4">
      <c r="A8" s="19" t="s">
        <v>2</v>
      </c>
      <c r="B8" s="12">
        <v>2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3</v>
      </c>
      <c r="H8" s="88">
        <f>IF(B$20=0,0,G8/B$20)</f>
        <v>0.13043478260869565</v>
      </c>
      <c r="I8" s="58">
        <v>3</v>
      </c>
      <c r="K8" s="74">
        <v>6</v>
      </c>
      <c r="L8" s="119">
        <v>27.700000000000003</v>
      </c>
      <c r="M8" s="117">
        <v>1389.8597326653453</v>
      </c>
      <c r="O8" s="107"/>
      <c r="P8" s="85"/>
      <c r="Q8" s="108"/>
      <c r="R8" s="70"/>
    </row>
    <row r="9" spans="1:18" x14ac:dyDescent="0.4">
      <c r="A9" s="19" t="s">
        <v>3</v>
      </c>
      <c r="B9" s="12">
        <v>4</v>
      </c>
      <c r="C9" s="6">
        <f t="shared" si="1"/>
        <v>0.44444444444444442</v>
      </c>
      <c r="E9" s="27" t="s">
        <v>69</v>
      </c>
      <c r="F9" s="24" t="s">
        <v>24</v>
      </c>
      <c r="G9" s="12">
        <v>3</v>
      </c>
      <c r="H9" s="88">
        <f>IF(B$20=0,0,G9/B$20)</f>
        <v>0.13043478260869565</v>
      </c>
      <c r="I9" s="58">
        <v>8</v>
      </c>
      <c r="K9" s="74">
        <v>7</v>
      </c>
      <c r="L9" s="119">
        <v>-4.1999999999999957</v>
      </c>
      <c r="M9" s="117">
        <v>1385.6965742693533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0.33333333333333331</v>
      </c>
      <c r="E10" s="27" t="s">
        <v>70</v>
      </c>
      <c r="F10" s="24" t="s">
        <v>25</v>
      </c>
      <c r="G10" s="12">
        <v>3</v>
      </c>
      <c r="H10" s="88">
        <f>IF(B$20=0,0,G10/B$20)</f>
        <v>0.13043478260869565</v>
      </c>
      <c r="I10" s="58">
        <v>3</v>
      </c>
      <c r="K10" s="74">
        <v>8</v>
      </c>
      <c r="L10" s="119">
        <v>-19.299999999999997</v>
      </c>
      <c r="M10" s="117">
        <v>1384.5823948237371</v>
      </c>
      <c r="O10" s="73" t="s">
        <v>151</v>
      </c>
      <c r="P10" s="82">
        <f>IF(Q10=0,0,R10/Q10)</f>
        <v>19.400000000000002</v>
      </c>
      <c r="Q10" s="76">
        <v>3</v>
      </c>
      <c r="R10" s="67">
        <v>58.2</v>
      </c>
    </row>
    <row r="11" spans="1:18" x14ac:dyDescent="0.4">
      <c r="A11" s="20" t="s">
        <v>184</v>
      </c>
      <c r="B11" s="109">
        <f>IF(B8=0,0,C11/B8)</f>
        <v>46</v>
      </c>
      <c r="C11" s="110">
        <v>92</v>
      </c>
      <c r="E11" s="27" t="s">
        <v>79</v>
      </c>
      <c r="F11" s="24" t="s">
        <v>34</v>
      </c>
      <c r="G11" s="12">
        <v>2</v>
      </c>
      <c r="H11" s="88">
        <f>IF(B$20=0,0,G11/B$20)</f>
        <v>8.6956521739130432E-2</v>
      </c>
      <c r="I11" s="58">
        <v>2</v>
      </c>
      <c r="K11" s="74">
        <v>9</v>
      </c>
      <c r="L11" s="119">
        <v>-41.599999999999994</v>
      </c>
      <c r="M11" s="117">
        <v>1382.1789004547948</v>
      </c>
      <c r="O11" s="74" t="s">
        <v>152</v>
      </c>
      <c r="P11" s="83">
        <f>IF(Q11=0,0,R11/Q11)</f>
        <v>-20.866666666666664</v>
      </c>
      <c r="Q11" s="77">
        <v>3</v>
      </c>
      <c r="R11" s="68">
        <v>-62.599999999999994</v>
      </c>
    </row>
    <row r="12" spans="1:18" x14ac:dyDescent="0.4">
      <c r="A12" s="20" t="s">
        <v>185</v>
      </c>
      <c r="B12" s="109">
        <f>IF(B9=0,0,C12/B9)</f>
        <v>-14.824999999999999</v>
      </c>
      <c r="C12" s="110">
        <v>-59.3</v>
      </c>
      <c r="E12" s="27" t="s">
        <v>78</v>
      </c>
      <c r="F12" s="24" t="s">
        <v>33</v>
      </c>
      <c r="G12" s="12">
        <v>1</v>
      </c>
      <c r="H12" s="88">
        <f>IF(B$20=0,0,G12/B$20)</f>
        <v>4.3478260869565216E-2</v>
      </c>
      <c r="I12" s="58">
        <v>3</v>
      </c>
      <c r="O12" s="75" t="s">
        <v>153</v>
      </c>
      <c r="P12" s="84">
        <f>IF(Q12=0,0,R12/Q12)</f>
        <v>-12.4</v>
      </c>
      <c r="Q12" s="78">
        <v>3</v>
      </c>
      <c r="R12" s="69">
        <v>-37.200000000000003</v>
      </c>
    </row>
    <row r="13" spans="1:18" x14ac:dyDescent="0.4">
      <c r="A13" s="20" t="s">
        <v>186</v>
      </c>
      <c r="B13" s="109">
        <f>IF(B10=0,0,C13/B10)</f>
        <v>-24.766666666666666</v>
      </c>
      <c r="C13" s="110">
        <v>-74.3</v>
      </c>
      <c r="E13" s="27" t="s">
        <v>86</v>
      </c>
      <c r="F13" s="24" t="s">
        <v>41</v>
      </c>
      <c r="G13" s="12">
        <v>1</v>
      </c>
      <c r="H13" s="88">
        <f>IF(B$20=0,0,G13/B$20)</f>
        <v>4.3478260869565216E-2</v>
      </c>
      <c r="I13" s="58">
        <v>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2.1361111111111115</v>
      </c>
      <c r="C14" s="126"/>
      <c r="E14" s="27" t="s">
        <v>89</v>
      </c>
      <c r="F14" s="24" t="s">
        <v>44</v>
      </c>
      <c r="G14" s="12">
        <v>1</v>
      </c>
      <c r="H14" s="88">
        <f>IF(B$20=0,0,G14/B$20)</f>
        <v>4.3478260869565216E-2</v>
      </c>
      <c r="I14" s="58">
        <v>11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71</v>
      </c>
      <c r="F15" s="24" t="s">
        <v>26</v>
      </c>
      <c r="G15" s="12">
        <v>0</v>
      </c>
      <c r="H15" s="88">
        <f>IF(B$20=0,0,G15/B$20)</f>
        <v>0</v>
      </c>
      <c r="I15" s="58">
        <v>11</v>
      </c>
      <c r="O15" s="73" t="s">
        <v>126</v>
      </c>
      <c r="P15" s="82">
        <f>IF(Q15=0,0,R15/Q15)</f>
        <v>-4.7444444444444462</v>
      </c>
      <c r="Q15" s="76">
        <v>9</v>
      </c>
      <c r="R15" s="67">
        <v>-42.700000000000017</v>
      </c>
    </row>
    <row r="16" spans="1:18" x14ac:dyDescent="0.4">
      <c r="A16" s="22" t="s">
        <v>121</v>
      </c>
      <c r="B16" s="15">
        <v>24</v>
      </c>
      <c r="C16" s="10">
        <f>IF(B$3=0,0,B16/B$3)</f>
        <v>0.32432432432432434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5</v>
      </c>
      <c r="O16" s="74" t="s">
        <v>163</v>
      </c>
      <c r="P16" s="83">
        <f>IF(Q16=0,0,R16/Q16)</f>
        <v>-9.1222222222222236</v>
      </c>
      <c r="Q16" s="77">
        <v>9</v>
      </c>
      <c r="R16" s="68">
        <v>-82.100000000000009</v>
      </c>
    </row>
    <row r="17" spans="1:9" x14ac:dyDescent="0.4">
      <c r="A17" s="19" t="s">
        <v>118</v>
      </c>
      <c r="B17" s="12">
        <v>7</v>
      </c>
      <c r="C17" s="6">
        <f>IF(B$3=0,0,B17/B$3)</f>
        <v>9.45945945945946E-2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4</v>
      </c>
    </row>
    <row r="18" spans="1:9" x14ac:dyDescent="0.4">
      <c r="A18" s="18" t="s">
        <v>123</v>
      </c>
      <c r="B18" s="11">
        <f>B24</f>
        <v>17</v>
      </c>
      <c r="C18" s="5">
        <f>IF(B$16=0,0,B18/B$16)</f>
        <v>0.70833333333333337</v>
      </c>
      <c r="E18" s="27" t="s">
        <v>75</v>
      </c>
      <c r="F18" s="24" t="s">
        <v>30</v>
      </c>
      <c r="G18" s="12">
        <v>0</v>
      </c>
      <c r="H18" s="88">
        <f>IF(B$20=0,0,G18/B$20)</f>
        <v>0</v>
      </c>
      <c r="I18" s="58">
        <v>7</v>
      </c>
    </row>
    <row r="19" spans="1:9" x14ac:dyDescent="0.4">
      <c r="A19" s="18" t="s">
        <v>124</v>
      </c>
      <c r="B19" s="11">
        <f>B25</f>
        <v>4</v>
      </c>
      <c r="C19" s="5">
        <f>IF(B$17=0,0,B19/B$17)</f>
        <v>0.5714285714285714</v>
      </c>
      <c r="E19" s="27" t="s">
        <v>76</v>
      </c>
      <c r="F19" s="24" t="s">
        <v>31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23</v>
      </c>
      <c r="C20" s="5">
        <f>IF(B$3=0,0,B20/B$3)</f>
        <v>0.3108108108108108</v>
      </c>
      <c r="E20" s="27" t="s">
        <v>77</v>
      </c>
      <c r="F20" s="24" t="s">
        <v>32</v>
      </c>
      <c r="G20" s="12">
        <v>0</v>
      </c>
      <c r="H20" s="88">
        <f>IF(B$20=0,0,G20/B$20)</f>
        <v>0</v>
      </c>
      <c r="I20" s="58">
        <v>7</v>
      </c>
    </row>
    <row r="21" spans="1:9" x14ac:dyDescent="0.4">
      <c r="A21" s="19" t="s">
        <v>13</v>
      </c>
      <c r="B21" s="12">
        <v>14</v>
      </c>
      <c r="C21" s="6">
        <f>IF(B$3=0,0,B21/B$3)</f>
        <v>0.1891891891891892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12</v>
      </c>
      <c r="C22" s="6">
        <f>IF(B$20=0,0,B22/B$20)</f>
        <v>0.52173913043478259</v>
      </c>
      <c r="E22" s="27" t="s">
        <v>81</v>
      </c>
      <c r="F22" s="24" t="s">
        <v>36</v>
      </c>
      <c r="G22" s="12">
        <v>0</v>
      </c>
      <c r="H22" s="88">
        <f>IF(B$20=0,0,G22/B$20)</f>
        <v>0</v>
      </c>
      <c r="I22" s="58">
        <v>8</v>
      </c>
    </row>
    <row r="23" spans="1:9" x14ac:dyDescent="0.4">
      <c r="A23" s="19" t="s">
        <v>11</v>
      </c>
      <c r="B23" s="12">
        <v>11</v>
      </c>
      <c r="C23" s="6">
        <f>IF(B$20=0,0,B23/B$20)</f>
        <v>0.47826086956521741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9" x14ac:dyDescent="0.4">
      <c r="A24" s="19" t="s">
        <v>183</v>
      </c>
      <c r="B24" s="12">
        <v>17</v>
      </c>
      <c r="C24" s="6">
        <f>IF(B$20=0,0,B24/B$20)</f>
        <v>0.73913043478260865</v>
      </c>
      <c r="E24" s="27" t="s">
        <v>83</v>
      </c>
      <c r="F24" s="24" t="s">
        <v>38</v>
      </c>
      <c r="G24" s="12">
        <v>0</v>
      </c>
      <c r="H24" s="88">
        <f>IF(B$20=0,0,G24/B$20)</f>
        <v>0</v>
      </c>
      <c r="I24" s="58">
        <v>9</v>
      </c>
    </row>
    <row r="25" spans="1:9" x14ac:dyDescent="0.4">
      <c r="A25" s="19" t="s">
        <v>181</v>
      </c>
      <c r="B25" s="12">
        <v>4</v>
      </c>
      <c r="C25" s="6">
        <f>IF(B$20=0,0,B25/B$20)</f>
        <v>0.17391304347826086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3</v>
      </c>
    </row>
    <row r="26" spans="1:9" x14ac:dyDescent="0.4">
      <c r="A26" s="19" t="s">
        <v>182</v>
      </c>
      <c r="B26" s="12">
        <v>2</v>
      </c>
      <c r="C26" s="6">
        <f>IF(B$20=0,0,B26/B$20)</f>
        <v>8.6956521739130432E-2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4</v>
      </c>
    </row>
    <row r="27" spans="1:9" x14ac:dyDescent="0.4">
      <c r="A27" s="19" t="s">
        <v>5</v>
      </c>
      <c r="B27" s="16">
        <f>IF(B$20=0,0,C27/B$20)</f>
        <v>7530.434782608696</v>
      </c>
      <c r="C27" s="8">
        <v>173200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4</v>
      </c>
    </row>
    <row r="28" spans="1:9" x14ac:dyDescent="0.4">
      <c r="A28" s="20" t="s">
        <v>165</v>
      </c>
      <c r="B28" s="95">
        <f>IF($B$20-B$19=0,0,C28/($B$20-B$19))</f>
        <v>7010.5263157894733</v>
      </c>
      <c r="C28" s="96">
        <v>133200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9" x14ac:dyDescent="0.4">
      <c r="A29" s="20" t="s">
        <v>166</v>
      </c>
      <c r="B29" s="95">
        <f>IF(B$19=0,0,C29/B$19)</f>
        <v>10000</v>
      </c>
      <c r="C29" s="96">
        <v>40000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164</v>
      </c>
      <c r="B30" s="95">
        <f>IF(B$21=0,0,C30/B$21)</f>
        <v>-8671.4285714285706</v>
      </c>
      <c r="C30" s="96">
        <v>-121400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9" x14ac:dyDescent="0.4">
      <c r="A31" s="19" t="s">
        <v>157</v>
      </c>
      <c r="B31" s="12">
        <v>5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7</v>
      </c>
    </row>
    <row r="32" spans="1:9" x14ac:dyDescent="0.4">
      <c r="A32" s="19" t="s">
        <v>158</v>
      </c>
      <c r="B32" s="12">
        <v>18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95000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4</v>
      </c>
    </row>
    <row r="35" spans="1:9" x14ac:dyDescent="0.4">
      <c r="A35" s="21" t="s">
        <v>137</v>
      </c>
      <c r="B35" s="29">
        <v>1</v>
      </c>
      <c r="C35" s="9">
        <f>IF(B$3=0,0,B35/B$3)</f>
        <v>1.3513513513513514E-2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">
      <c r="A37" s="54" t="s">
        <v>171</v>
      </c>
      <c r="B37" s="123">
        <v>3</v>
      </c>
      <c r="C37" s="98">
        <f t="shared" ref="C37:C49" si="2">IF(B$20=0,0,B37/B$20)</f>
        <v>0.13043478260869565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2"/>
        <v>0.17391304347826086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4</v>
      </c>
      <c r="C39" s="6">
        <f t="shared" si="2"/>
        <v>0.17391304347826086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3</v>
      </c>
      <c r="C40" s="6">
        <f t="shared" si="2"/>
        <v>0.13043478260869565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3</v>
      </c>
      <c r="C41" s="6">
        <f t="shared" si="2"/>
        <v>0.13043478260869565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4</v>
      </c>
      <c r="C42" s="6">
        <f t="shared" si="2"/>
        <v>0.17391304347826086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2"/>
        <v>8.6956521739130432E-2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4F55E-0C25-44E1-8C25-0866C2C397D4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250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5</v>
      </c>
      <c r="C2" s="134"/>
      <c r="E2" s="26" t="s">
        <v>64</v>
      </c>
      <c r="F2" s="23" t="s">
        <v>20</v>
      </c>
      <c r="G2" s="11">
        <v>5</v>
      </c>
      <c r="H2" s="87">
        <f>IF(B$20=0,0,G2/B$20)</f>
        <v>0.7142857142857143</v>
      </c>
      <c r="I2" s="57">
        <v>2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-7160</v>
      </c>
      <c r="Q2" s="76">
        <v>5</v>
      </c>
      <c r="R2" s="63">
        <v>-35800</v>
      </c>
    </row>
    <row r="3" spans="1:18" x14ac:dyDescent="0.4">
      <c r="A3" s="19" t="s">
        <v>8</v>
      </c>
      <c r="B3" s="135">
        <v>41</v>
      </c>
      <c r="C3" s="136"/>
      <c r="E3" s="27" t="s">
        <v>68</v>
      </c>
      <c r="F3" s="24" t="s">
        <v>12</v>
      </c>
      <c r="G3" s="12">
        <v>3</v>
      </c>
      <c r="H3" s="88">
        <f>IF(B$20=0,0,G3/B$20)</f>
        <v>0.42857142857142855</v>
      </c>
      <c r="I3" s="58">
        <v>3</v>
      </c>
      <c r="K3" s="74">
        <v>1</v>
      </c>
      <c r="L3" s="119">
        <v>10.199999999999999</v>
      </c>
      <c r="M3" s="117">
        <v>1502.616</v>
      </c>
      <c r="O3" s="74" t="s">
        <v>129</v>
      </c>
      <c r="P3" s="80">
        <f t="shared" si="0"/>
        <v>-3700</v>
      </c>
      <c r="Q3" s="77">
        <v>5</v>
      </c>
      <c r="R3" s="64">
        <v>-18500</v>
      </c>
    </row>
    <row r="4" spans="1:18" x14ac:dyDescent="0.4">
      <c r="A4" s="19" t="s">
        <v>6</v>
      </c>
      <c r="B4" s="137">
        <v>-113.70000000000002</v>
      </c>
      <c r="C4" s="138"/>
      <c r="E4" s="27" t="s">
        <v>72</v>
      </c>
      <c r="F4" s="24" t="s">
        <v>27</v>
      </c>
      <c r="G4" s="12">
        <v>3</v>
      </c>
      <c r="H4" s="88">
        <f>IF(B$20=0,0,G4/B$20)</f>
        <v>0.42857142857142855</v>
      </c>
      <c r="I4" s="58">
        <v>10</v>
      </c>
      <c r="K4" s="74">
        <v>2</v>
      </c>
      <c r="L4" s="119">
        <v>-29.900000000000002</v>
      </c>
      <c r="M4" s="117">
        <v>1496.1623039999999</v>
      </c>
      <c r="O4" s="74" t="s">
        <v>130</v>
      </c>
      <c r="P4" s="80">
        <f t="shared" si="0"/>
        <v>4475</v>
      </c>
      <c r="Q4" s="77">
        <v>4</v>
      </c>
      <c r="R4" s="64">
        <v>17900</v>
      </c>
    </row>
    <row r="5" spans="1:18" x14ac:dyDescent="0.4">
      <c r="A5" s="19" t="s">
        <v>7</v>
      </c>
      <c r="B5" s="125">
        <f>IF(B$2=0,0,B$4/B$2)</f>
        <v>-22.740000000000002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0.42857142857142855</v>
      </c>
      <c r="I5" s="58">
        <v>8</v>
      </c>
      <c r="K5" s="74">
        <v>3</v>
      </c>
      <c r="L5" s="119">
        <v>-37.1</v>
      </c>
      <c r="M5" s="117">
        <v>1495.3993301759999</v>
      </c>
      <c r="O5" s="74" t="s">
        <v>131</v>
      </c>
      <c r="P5" s="80">
        <f t="shared" si="0"/>
        <v>-10500</v>
      </c>
      <c r="Q5" s="77">
        <v>3</v>
      </c>
      <c r="R5" s="64">
        <v>-31500</v>
      </c>
    </row>
    <row r="6" spans="1:18" x14ac:dyDescent="0.4">
      <c r="A6" s="19" t="s">
        <v>196</v>
      </c>
      <c r="B6" s="129">
        <v>1483.0119085897741</v>
      </c>
      <c r="C6" s="130"/>
      <c r="E6" s="27" t="s">
        <v>65</v>
      </c>
      <c r="F6" s="24" t="s">
        <v>21</v>
      </c>
      <c r="G6" s="12">
        <v>2</v>
      </c>
      <c r="H6" s="88">
        <f>IF(B$20=0,0,G6/B$20)</f>
        <v>0.2857142857142857</v>
      </c>
      <c r="I6" s="58">
        <v>1</v>
      </c>
      <c r="K6" s="74">
        <v>4</v>
      </c>
      <c r="L6" s="119">
        <v>-85.800000000000011</v>
      </c>
      <c r="M6" s="117">
        <v>1487.1709341949438</v>
      </c>
      <c r="O6" s="74" t="s">
        <v>132</v>
      </c>
      <c r="P6" s="80">
        <f t="shared" si="0"/>
        <v>-400</v>
      </c>
      <c r="Q6" s="77">
        <v>2</v>
      </c>
      <c r="R6" s="64">
        <v>-800</v>
      </c>
    </row>
    <row r="7" spans="1:18" x14ac:dyDescent="0.4">
      <c r="A7" s="19" t="s">
        <v>1</v>
      </c>
      <c r="B7" s="139">
        <f>IF(B$2=0,0,(B$8*1+B$9*2+B$10*3)/B$2)</f>
        <v>2.4</v>
      </c>
      <c r="C7" s="140"/>
      <c r="E7" s="27" t="s">
        <v>66</v>
      </c>
      <c r="F7" s="24" t="s">
        <v>22</v>
      </c>
      <c r="G7" s="12">
        <v>2</v>
      </c>
      <c r="H7" s="88">
        <f>IF(B$20=0,0,G7/B$20)</f>
        <v>0.2857142857142857</v>
      </c>
      <c r="I7" s="58">
        <v>11</v>
      </c>
      <c r="K7" s="74">
        <v>5</v>
      </c>
      <c r="L7" s="119">
        <v>-113.70000000000002</v>
      </c>
      <c r="M7" s="117">
        <v>1483.0119085897741</v>
      </c>
      <c r="O7" s="75" t="s">
        <v>133</v>
      </c>
      <c r="P7" s="81">
        <f t="shared" si="0"/>
        <v>-11000</v>
      </c>
      <c r="Q7" s="78">
        <v>2</v>
      </c>
      <c r="R7" s="65">
        <v>-22000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67</v>
      </c>
      <c r="F8" s="24" t="s">
        <v>23</v>
      </c>
      <c r="G8" s="12">
        <v>1</v>
      </c>
      <c r="H8" s="88">
        <f>IF(B$20=0,0,G8/B$20)</f>
        <v>0.14285714285714285</v>
      </c>
      <c r="I8" s="58">
        <v>12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1"/>
        <v>0.6</v>
      </c>
      <c r="E9" s="27" t="s">
        <v>69</v>
      </c>
      <c r="F9" s="24" t="s">
        <v>24</v>
      </c>
      <c r="G9" s="12">
        <v>1</v>
      </c>
      <c r="H9" s="88">
        <f>IF(B$20=0,0,G9/B$20)</f>
        <v>0.14285714285714285</v>
      </c>
      <c r="I9" s="58">
        <v>7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0.4</v>
      </c>
      <c r="E10" s="27" t="s">
        <v>70</v>
      </c>
      <c r="F10" s="24" t="s">
        <v>25</v>
      </c>
      <c r="G10" s="12">
        <v>1</v>
      </c>
      <c r="H10" s="88">
        <f>IF(B$20=0,0,G10/B$20)</f>
        <v>0.14285714285714285</v>
      </c>
      <c r="I10" s="58">
        <v>1</v>
      </c>
      <c r="O10" s="73" t="s">
        <v>151</v>
      </c>
      <c r="P10" s="82">
        <f>IF(Q10=0,0,R10/Q10)</f>
        <v>-40.1</v>
      </c>
      <c r="Q10" s="76">
        <v>1</v>
      </c>
      <c r="R10" s="67">
        <v>-40.1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79</v>
      </c>
      <c r="F11" s="24" t="s">
        <v>34</v>
      </c>
      <c r="G11" s="12">
        <v>1</v>
      </c>
      <c r="H11" s="88">
        <f>IF(B$20=0,0,G11/B$20)</f>
        <v>0.14285714285714285</v>
      </c>
      <c r="I11" s="58">
        <v>1</v>
      </c>
      <c r="O11" s="74" t="s">
        <v>152</v>
      </c>
      <c r="P11" s="83">
        <f>IF(Q11=0,0,R11/Q11)</f>
        <v>-7.2</v>
      </c>
      <c r="Q11" s="77">
        <v>1</v>
      </c>
      <c r="R11" s="68">
        <v>-7.2</v>
      </c>
    </row>
    <row r="12" spans="1:18" x14ac:dyDescent="0.4">
      <c r="A12" s="20" t="s">
        <v>185</v>
      </c>
      <c r="B12" s="109">
        <f>IF(B9=0,0,C12/B9)</f>
        <v>-8.2999999999999989</v>
      </c>
      <c r="C12" s="110">
        <v>-24.9</v>
      </c>
      <c r="E12" s="27" t="s">
        <v>71</v>
      </c>
      <c r="F12" s="24" t="s">
        <v>26</v>
      </c>
      <c r="G12" s="12">
        <v>0</v>
      </c>
      <c r="H12" s="88">
        <f>IF(B$20=0,0,G12/B$20)</f>
        <v>0</v>
      </c>
      <c r="I12" s="58">
        <v>11</v>
      </c>
      <c r="O12" s="75" t="s">
        <v>153</v>
      </c>
      <c r="P12" s="84">
        <f>IF(Q12=0,0,R12/Q12)</f>
        <v>-22.133333333333336</v>
      </c>
      <c r="Q12" s="78">
        <v>3</v>
      </c>
      <c r="R12" s="69">
        <v>-66.400000000000006</v>
      </c>
    </row>
    <row r="13" spans="1:18" x14ac:dyDescent="0.4">
      <c r="A13" s="20" t="s">
        <v>186</v>
      </c>
      <c r="B13" s="109">
        <f>IF(B10=0,0,C13/B10)</f>
        <v>-44.400000000000006</v>
      </c>
      <c r="C13" s="110">
        <v>-88.800000000000011</v>
      </c>
      <c r="E13" s="27" t="s">
        <v>73</v>
      </c>
      <c r="F13" s="24" t="s">
        <v>28</v>
      </c>
      <c r="G13" s="12">
        <v>0</v>
      </c>
      <c r="H13" s="88">
        <f>IF(B$20=0,0,G13/B$20)</f>
        <v>0</v>
      </c>
      <c r="I13" s="58">
        <v>5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-17.566666666666666</v>
      </c>
      <c r="C14" s="126"/>
      <c r="E14" s="27" t="s">
        <v>74</v>
      </c>
      <c r="F14" s="24" t="s">
        <v>29</v>
      </c>
      <c r="G14" s="12">
        <v>0</v>
      </c>
      <c r="H14" s="88">
        <f>IF(B$20=0,0,G14/B$20)</f>
        <v>0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0.2</v>
      </c>
      <c r="E15" s="27" t="s">
        <v>75</v>
      </c>
      <c r="F15" s="24" t="s">
        <v>30</v>
      </c>
      <c r="G15" s="12">
        <v>0</v>
      </c>
      <c r="H15" s="88">
        <f>IF(B$20=0,0,G15/B$20)</f>
        <v>0</v>
      </c>
      <c r="I15" s="58">
        <v>7</v>
      </c>
      <c r="O15" s="73" t="s">
        <v>192</v>
      </c>
      <c r="P15" s="82">
        <f>IF(Q15=0,0,R15/Q15)</f>
        <v>4.8999999999999995</v>
      </c>
      <c r="Q15" s="76">
        <v>2</v>
      </c>
      <c r="R15" s="67">
        <v>9.7999999999999989</v>
      </c>
    </row>
    <row r="16" spans="1:18" x14ac:dyDescent="0.4">
      <c r="A16" s="22" t="s">
        <v>121</v>
      </c>
      <c r="B16" s="15">
        <v>11</v>
      </c>
      <c r="C16" s="10">
        <f>IF(B$3=0,0,B16/B$3)</f>
        <v>0.26829268292682928</v>
      </c>
      <c r="E16" s="27" t="s">
        <v>76</v>
      </c>
      <c r="F16" s="24" t="s">
        <v>31</v>
      </c>
      <c r="G16" s="12">
        <v>0</v>
      </c>
      <c r="H16" s="88">
        <f>IF(B$20=0,0,G16/B$20)</f>
        <v>0</v>
      </c>
      <c r="I16" s="58">
        <v>1</v>
      </c>
      <c r="O16" s="74" t="s">
        <v>195</v>
      </c>
      <c r="P16" s="83">
        <f>IF(Q16=0,0,R16/Q16)</f>
        <v>-12.500000000000002</v>
      </c>
      <c r="Q16" s="77">
        <v>2</v>
      </c>
      <c r="R16" s="68">
        <v>-25.000000000000004</v>
      </c>
    </row>
    <row r="17" spans="1:18" x14ac:dyDescent="0.4">
      <c r="A17" s="19" t="s">
        <v>118</v>
      </c>
      <c r="B17" s="12">
        <v>5</v>
      </c>
      <c r="C17" s="6">
        <f>IF(B$3=0,0,B17/B$3)</f>
        <v>0.12195121951219512</v>
      </c>
      <c r="E17" s="27" t="s">
        <v>77</v>
      </c>
      <c r="F17" s="24" t="s">
        <v>32</v>
      </c>
      <c r="G17" s="12">
        <v>0</v>
      </c>
      <c r="H17" s="88">
        <f>IF(B$20=0,0,G17/B$20)</f>
        <v>0</v>
      </c>
      <c r="I17" s="58">
        <v>7</v>
      </c>
      <c r="O17" s="74" t="s">
        <v>126</v>
      </c>
      <c r="P17" s="83">
        <f>IF(Q17=0,0,R17/Q17)</f>
        <v>-43.120000000000005</v>
      </c>
      <c r="Q17" s="77">
        <v>5</v>
      </c>
      <c r="R17" s="68">
        <v>-215.60000000000002</v>
      </c>
    </row>
    <row r="18" spans="1:18" x14ac:dyDescent="0.4">
      <c r="A18" s="18" t="s">
        <v>123</v>
      </c>
      <c r="B18" s="11">
        <f>B24</f>
        <v>5</v>
      </c>
      <c r="C18" s="5">
        <f>IF(B$16=0,0,B18/B$16)</f>
        <v>0.45454545454545453</v>
      </c>
      <c r="E18" s="27" t="s">
        <v>78</v>
      </c>
      <c r="F18" s="24" t="s">
        <v>33</v>
      </c>
      <c r="G18" s="12">
        <v>0</v>
      </c>
      <c r="H18" s="88">
        <f>IF(B$20=0,0,G18/B$20)</f>
        <v>0</v>
      </c>
      <c r="I18" s="58">
        <v>9</v>
      </c>
      <c r="O18" s="74" t="s">
        <v>190</v>
      </c>
      <c r="P18" s="83">
        <f>IF(Q18=0,0,R18/Q18)</f>
        <v>-110.30000000000001</v>
      </c>
      <c r="Q18" s="77">
        <v>1</v>
      </c>
      <c r="R18" s="68">
        <v>-110.30000000000001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18" x14ac:dyDescent="0.4">
      <c r="A20" s="18" t="s">
        <v>10</v>
      </c>
      <c r="B20" s="11">
        <f>B23+B22</f>
        <v>7</v>
      </c>
      <c r="C20" s="5">
        <f>IF(B$3=0,0,B20/B$3)</f>
        <v>0.17073170731707318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8</v>
      </c>
    </row>
    <row r="21" spans="1:18" x14ac:dyDescent="0.4">
      <c r="A21" s="19" t="s">
        <v>13</v>
      </c>
      <c r="B21" s="12">
        <v>6</v>
      </c>
      <c r="C21" s="6">
        <f>IF(B$3=0,0,B21/B$3)</f>
        <v>0.14634146341463414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3</v>
      </c>
      <c r="C22" s="6">
        <f>IF(B$20=0,0,B22/B$20)</f>
        <v>0.42857142857142855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9</v>
      </c>
    </row>
    <row r="23" spans="1:18" x14ac:dyDescent="0.4">
      <c r="A23" s="19" t="s">
        <v>11</v>
      </c>
      <c r="B23" s="12">
        <v>4</v>
      </c>
      <c r="C23" s="6">
        <f>IF(B$20=0,0,B23/B$20)</f>
        <v>0.5714285714285714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5</v>
      </c>
      <c r="C24" s="6">
        <f>IF(B$20=0,0,B24/B$20)</f>
        <v>0.7142857142857143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4</v>
      </c>
    </row>
    <row r="25" spans="1:18" x14ac:dyDescent="0.4">
      <c r="A25" s="19" t="s">
        <v>181</v>
      </c>
      <c r="B25" s="12">
        <v>1</v>
      </c>
      <c r="C25" s="6">
        <f>IF(B$20=0,0,B25/B$20)</f>
        <v>0.14285714285714285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11</v>
      </c>
    </row>
    <row r="26" spans="1:18" x14ac:dyDescent="0.4">
      <c r="A26" s="19" t="s">
        <v>182</v>
      </c>
      <c r="B26" s="12">
        <v>1</v>
      </c>
      <c r="C26" s="6">
        <f>IF(B$20=0,0,B26/B$20)</f>
        <v>0.14285714285714285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4</v>
      </c>
    </row>
    <row r="27" spans="1:18" x14ac:dyDescent="0.4">
      <c r="A27" s="19" t="s">
        <v>5</v>
      </c>
      <c r="B27" s="16">
        <f>IF(B$20=0,0,C27/B$20)</f>
        <v>7142.8571428571431</v>
      </c>
      <c r="C27" s="8">
        <v>50000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3</v>
      </c>
    </row>
    <row r="28" spans="1:18" x14ac:dyDescent="0.4">
      <c r="A28" s="20" t="s">
        <v>165</v>
      </c>
      <c r="B28" s="95">
        <f>IF($B$20-B$19=0,0,C28/($B$20-B$19))</f>
        <v>6400</v>
      </c>
      <c r="C28" s="96">
        <v>38400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11600</v>
      </c>
      <c r="C29" s="96">
        <v>11600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-8866.6666666666661</v>
      </c>
      <c r="C30" s="96">
        <v>-53200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7</v>
      </c>
    </row>
    <row r="32" spans="1:18" x14ac:dyDescent="0.4">
      <c r="A32" s="19" t="s">
        <v>158</v>
      </c>
      <c r="B32" s="12">
        <v>14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2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45200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4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0.2857142857142857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0.14285714285714285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0.5714285714285714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F94A6-649F-436D-9534-D09539E04AAC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253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5</v>
      </c>
      <c r="C2" s="134"/>
      <c r="E2" s="26" t="s">
        <v>64</v>
      </c>
      <c r="F2" s="23" t="s">
        <v>20</v>
      </c>
      <c r="G2" s="11">
        <v>5</v>
      </c>
      <c r="H2" s="87">
        <f>IF(B$20=0,0,G2/B$20)</f>
        <v>0.7142857142857143</v>
      </c>
      <c r="I2" s="57">
        <v>2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-4460</v>
      </c>
      <c r="Q2" s="76">
        <v>5</v>
      </c>
      <c r="R2" s="63">
        <v>-22300</v>
      </c>
    </row>
    <row r="3" spans="1:18" x14ac:dyDescent="0.4">
      <c r="A3" s="19" t="s">
        <v>8</v>
      </c>
      <c r="B3" s="135">
        <v>46</v>
      </c>
      <c r="C3" s="136"/>
      <c r="E3" s="27" t="s">
        <v>68</v>
      </c>
      <c r="F3" s="24" t="s">
        <v>12</v>
      </c>
      <c r="G3" s="12">
        <v>5</v>
      </c>
      <c r="H3" s="88">
        <f>IF(B$20=0,0,G3/B$20)</f>
        <v>0.7142857142857143</v>
      </c>
      <c r="I3" s="58">
        <v>1</v>
      </c>
      <c r="K3" s="74">
        <v>1</v>
      </c>
      <c r="L3" s="119">
        <v>-18.399999999999999</v>
      </c>
      <c r="M3" s="117">
        <v>1496.796</v>
      </c>
      <c r="O3" s="74" t="s">
        <v>129</v>
      </c>
      <c r="P3" s="80">
        <f t="shared" si="0"/>
        <v>-1620</v>
      </c>
      <c r="Q3" s="77">
        <v>5</v>
      </c>
      <c r="R3" s="64">
        <v>-8100</v>
      </c>
    </row>
    <row r="4" spans="1:18" x14ac:dyDescent="0.4">
      <c r="A4" s="19" t="s">
        <v>6</v>
      </c>
      <c r="B4" s="137">
        <v>-70.399999999999991</v>
      </c>
      <c r="C4" s="138"/>
      <c r="E4" s="27" t="s">
        <v>67</v>
      </c>
      <c r="F4" s="24" t="s">
        <v>23</v>
      </c>
      <c r="G4" s="12">
        <v>3</v>
      </c>
      <c r="H4" s="88">
        <f>IF(B$20=0,0,G4/B$20)</f>
        <v>0.42857142857142855</v>
      </c>
      <c r="I4" s="58">
        <v>2</v>
      </c>
      <c r="K4" s="74">
        <v>2</v>
      </c>
      <c r="L4" s="119">
        <v>-3.7999999999999989</v>
      </c>
      <c r="M4" s="117">
        <v>1499.551224</v>
      </c>
      <c r="O4" s="74" t="s">
        <v>130</v>
      </c>
      <c r="P4" s="80">
        <f t="shared" si="0"/>
        <v>2620</v>
      </c>
      <c r="Q4" s="77">
        <v>5</v>
      </c>
      <c r="R4" s="64">
        <v>13100</v>
      </c>
    </row>
    <row r="5" spans="1:18" x14ac:dyDescent="0.4">
      <c r="A5" s="19" t="s">
        <v>7</v>
      </c>
      <c r="B5" s="125">
        <f>IF(B$2=0,0,B$4/B$2)</f>
        <v>-14.079999999999998</v>
      </c>
      <c r="C5" s="126"/>
      <c r="E5" s="27" t="s">
        <v>72</v>
      </c>
      <c r="F5" s="24" t="s">
        <v>27</v>
      </c>
      <c r="G5" s="12">
        <v>3</v>
      </c>
      <c r="H5" s="88">
        <f>IF(B$20=0,0,G5/B$20)</f>
        <v>0.42857142857142855</v>
      </c>
      <c r="I5" s="58">
        <v>10</v>
      </c>
      <c r="K5" s="74">
        <v>3</v>
      </c>
      <c r="L5" s="119">
        <v>-10.099999999999998</v>
      </c>
      <c r="M5" s="117">
        <v>1498.533916656</v>
      </c>
      <c r="O5" s="74" t="s">
        <v>131</v>
      </c>
      <c r="P5" s="80">
        <f t="shared" si="0"/>
        <v>-3880</v>
      </c>
      <c r="Q5" s="77">
        <v>5</v>
      </c>
      <c r="R5" s="64">
        <v>-19400</v>
      </c>
    </row>
    <row r="6" spans="1:18" x14ac:dyDescent="0.4">
      <c r="A6" s="19" t="s">
        <v>196</v>
      </c>
      <c r="B6" s="129">
        <v>1488.8318648771276</v>
      </c>
      <c r="C6" s="130"/>
      <c r="E6" s="27" t="s">
        <v>159</v>
      </c>
      <c r="F6" s="24" t="s">
        <v>160</v>
      </c>
      <c r="G6" s="12">
        <v>3</v>
      </c>
      <c r="H6" s="88">
        <f>IF(B$20=0,0,G6/B$20)</f>
        <v>0.42857142857142855</v>
      </c>
      <c r="I6" s="58">
        <v>8</v>
      </c>
      <c r="K6" s="74">
        <v>4</v>
      </c>
      <c r="L6" s="119">
        <v>-51.399999999999991</v>
      </c>
      <c r="M6" s="117">
        <v>1491.4747131560639</v>
      </c>
      <c r="O6" s="74" t="s">
        <v>132</v>
      </c>
      <c r="P6" s="80">
        <f t="shared" si="0"/>
        <v>-7200</v>
      </c>
      <c r="Q6" s="77">
        <v>5</v>
      </c>
      <c r="R6" s="64">
        <v>-36000</v>
      </c>
    </row>
    <row r="7" spans="1:18" x14ac:dyDescent="0.4">
      <c r="A7" s="19" t="s">
        <v>1</v>
      </c>
      <c r="B7" s="139">
        <f>IF(B$2=0,0,(B$8*1+B$9*2+B$10*3)/B$2)</f>
        <v>2.4</v>
      </c>
      <c r="C7" s="140"/>
      <c r="E7" s="27" t="s">
        <v>69</v>
      </c>
      <c r="F7" s="24" t="s">
        <v>24</v>
      </c>
      <c r="G7" s="12">
        <v>2</v>
      </c>
      <c r="H7" s="88">
        <f>IF(B$20=0,0,G7/B$20)</f>
        <v>0.2857142857142857</v>
      </c>
      <c r="I7" s="58">
        <v>1</v>
      </c>
      <c r="K7" s="74">
        <v>5</v>
      </c>
      <c r="L7" s="119">
        <v>-70.399999999999991</v>
      </c>
      <c r="M7" s="117">
        <v>1488.8318648771276</v>
      </c>
      <c r="O7" s="75" t="s">
        <v>133</v>
      </c>
      <c r="P7" s="81">
        <f t="shared" si="0"/>
        <v>4460</v>
      </c>
      <c r="Q7" s="78">
        <v>5</v>
      </c>
      <c r="R7" s="65">
        <v>22300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0.2</v>
      </c>
      <c r="E8" s="27" t="s">
        <v>65</v>
      </c>
      <c r="F8" s="24" t="s">
        <v>21</v>
      </c>
      <c r="G8" s="12">
        <v>1</v>
      </c>
      <c r="H8" s="88">
        <f>IF(B$20=0,0,G8/B$20)</f>
        <v>0.14285714285714285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0.2</v>
      </c>
      <c r="E9" s="27" t="s">
        <v>66</v>
      </c>
      <c r="F9" s="24" t="s">
        <v>22</v>
      </c>
      <c r="G9" s="12">
        <v>1</v>
      </c>
      <c r="H9" s="88">
        <f>IF(B$20=0,0,G9/B$20)</f>
        <v>0.14285714285714285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0.6</v>
      </c>
      <c r="E10" s="27" t="s">
        <v>70</v>
      </c>
      <c r="F10" s="24" t="s">
        <v>25</v>
      </c>
      <c r="G10" s="12">
        <v>1</v>
      </c>
      <c r="H10" s="88">
        <f>IF(B$20=0,0,G10/B$20)</f>
        <v>0.14285714285714285</v>
      </c>
      <c r="I10" s="58">
        <v>1</v>
      </c>
      <c r="O10" s="73" t="s">
        <v>151</v>
      </c>
      <c r="P10" s="82">
        <f>IF(Q10=0,0,R10/Q10)</f>
        <v>-13.349999999999998</v>
      </c>
      <c r="Q10" s="76">
        <v>2</v>
      </c>
      <c r="R10" s="67">
        <v>-26.699999999999996</v>
      </c>
    </row>
    <row r="11" spans="1:18" x14ac:dyDescent="0.4">
      <c r="A11" s="20" t="s">
        <v>184</v>
      </c>
      <c r="B11" s="109">
        <f>IF(B8=0,0,C11/B8)</f>
        <v>14.6</v>
      </c>
      <c r="C11" s="110">
        <v>14.6</v>
      </c>
      <c r="E11" s="27" t="s">
        <v>71</v>
      </c>
      <c r="F11" s="24" t="s">
        <v>26</v>
      </c>
      <c r="G11" s="12">
        <v>1</v>
      </c>
      <c r="H11" s="88">
        <f>IF(B$20=0,0,G11/B$20)</f>
        <v>0.14285714285714285</v>
      </c>
      <c r="I11" s="58">
        <v>2</v>
      </c>
      <c r="O11" s="74" t="s">
        <v>152</v>
      </c>
      <c r="P11" s="83">
        <f>IF(Q11=0,0,R11/Q11)</f>
        <v>-6.3</v>
      </c>
      <c r="Q11" s="77">
        <v>1</v>
      </c>
      <c r="R11" s="68">
        <v>-6.3</v>
      </c>
    </row>
    <row r="12" spans="1:18" x14ac:dyDescent="0.4">
      <c r="A12" s="20" t="s">
        <v>185</v>
      </c>
      <c r="B12" s="109">
        <f>IF(B9=0,0,C12/B9)</f>
        <v>-6.3</v>
      </c>
      <c r="C12" s="110">
        <v>-6.3</v>
      </c>
      <c r="E12" s="27" t="s">
        <v>86</v>
      </c>
      <c r="F12" s="24" t="s">
        <v>41</v>
      </c>
      <c r="G12" s="12">
        <v>1</v>
      </c>
      <c r="H12" s="88">
        <f>IF(B$20=0,0,G12/B$20)</f>
        <v>0.14285714285714285</v>
      </c>
      <c r="I12" s="58">
        <v>1</v>
      </c>
      <c r="O12" s="75" t="s">
        <v>153</v>
      </c>
      <c r="P12" s="84">
        <f>IF(Q12=0,0,R12/Q12)</f>
        <v>-18.7</v>
      </c>
      <c r="Q12" s="78">
        <v>2</v>
      </c>
      <c r="R12" s="69">
        <v>-37.4</v>
      </c>
    </row>
    <row r="13" spans="1:18" x14ac:dyDescent="0.4">
      <c r="A13" s="20" t="s">
        <v>186</v>
      </c>
      <c r="B13" s="109">
        <f>IF(B10=0,0,C13/B10)</f>
        <v>-26.233333333333331</v>
      </c>
      <c r="C13" s="110">
        <v>-78.699999999999989</v>
      </c>
      <c r="E13" s="27" t="s">
        <v>89</v>
      </c>
      <c r="F13" s="24" t="s">
        <v>44</v>
      </c>
      <c r="G13" s="12">
        <v>1</v>
      </c>
      <c r="H13" s="88">
        <f>IF(B$20=0,0,G13/B$20)</f>
        <v>0.14285714285714285</v>
      </c>
      <c r="I13" s="58">
        <v>5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-5.977777777777777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4</v>
      </c>
      <c r="O15" s="73" t="s">
        <v>163</v>
      </c>
      <c r="P15" s="82">
        <f>IF(Q15=0,0,R15/Q15)</f>
        <v>-15.024999999999999</v>
      </c>
      <c r="Q15" s="76">
        <v>4</v>
      </c>
      <c r="R15" s="67">
        <v>-60.099999999999994</v>
      </c>
    </row>
    <row r="16" spans="1:18" x14ac:dyDescent="0.4">
      <c r="A16" s="22" t="s">
        <v>121</v>
      </c>
      <c r="B16" s="15">
        <v>10</v>
      </c>
      <c r="C16" s="10">
        <f>IF(B$3=0,0,B16/B$3)</f>
        <v>0.21739130434782608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7</v>
      </c>
      <c r="O16" s="74" t="s">
        <v>189</v>
      </c>
      <c r="P16" s="83">
        <f>IF(Q16=0,0,R16/Q16)</f>
        <v>-17.033333333333331</v>
      </c>
      <c r="Q16" s="77">
        <v>3</v>
      </c>
      <c r="R16" s="68">
        <v>-51.099999999999994</v>
      </c>
    </row>
    <row r="17" spans="1:18" x14ac:dyDescent="0.4">
      <c r="A17" s="19" t="s">
        <v>118</v>
      </c>
      <c r="B17" s="12">
        <v>5</v>
      </c>
      <c r="C17" s="6">
        <f>IF(B$3=0,0,B17/B$3)</f>
        <v>0.10869565217391304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-17.3</v>
      </c>
      <c r="Q17" s="77">
        <v>1</v>
      </c>
      <c r="R17" s="68">
        <v>-17.3</v>
      </c>
    </row>
    <row r="18" spans="1:18" x14ac:dyDescent="0.4">
      <c r="A18" s="18" t="s">
        <v>123</v>
      </c>
      <c r="B18" s="11">
        <f>B24</f>
        <v>5</v>
      </c>
      <c r="C18" s="5">
        <f>IF(B$16=0,0,B18/B$16)</f>
        <v>0.5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7</v>
      </c>
      <c r="O18" s="74" t="s">
        <v>190</v>
      </c>
      <c r="P18" s="83">
        <f>IF(Q18=0,0,R18/Q18)</f>
        <v>-41.35</v>
      </c>
      <c r="Q18" s="77">
        <v>2</v>
      </c>
      <c r="R18" s="68">
        <v>-82.7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9</v>
      </c>
    </row>
    <row r="20" spans="1:18" x14ac:dyDescent="0.4">
      <c r="A20" s="18" t="s">
        <v>10</v>
      </c>
      <c r="B20" s="11">
        <f>B23+B22</f>
        <v>7</v>
      </c>
      <c r="C20" s="5">
        <f>IF(B$3=0,0,B20/B$3)</f>
        <v>0.15217391304347827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18" x14ac:dyDescent="0.4">
      <c r="A21" s="19" t="s">
        <v>13</v>
      </c>
      <c r="B21" s="12">
        <v>11</v>
      </c>
      <c r="C21" s="6">
        <f>IF(B$3=0,0,B21/B$3)</f>
        <v>0.2391304347826087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5</v>
      </c>
      <c r="C22" s="6">
        <f>IF(B$20=0,0,B22/B$20)</f>
        <v>0.7142857142857143</v>
      </c>
      <c r="E22" s="27" t="s">
        <v>81</v>
      </c>
      <c r="F22" s="24" t="s">
        <v>36</v>
      </c>
      <c r="G22" s="12">
        <v>0</v>
      </c>
      <c r="H22" s="88">
        <f>IF(B$20=0,0,G22/B$20)</f>
        <v>0</v>
      </c>
      <c r="I22" s="58">
        <v>8</v>
      </c>
    </row>
    <row r="23" spans="1:18" x14ac:dyDescent="0.4">
      <c r="A23" s="19" t="s">
        <v>11</v>
      </c>
      <c r="B23" s="12">
        <v>2</v>
      </c>
      <c r="C23" s="6">
        <f>IF(B$20=0,0,B23/B$20)</f>
        <v>0.2857142857142857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5</v>
      </c>
      <c r="C24" s="6">
        <f>IF(B$20=0,0,B24/B$20)</f>
        <v>0.7142857142857143</v>
      </c>
      <c r="E24" s="27" t="s">
        <v>83</v>
      </c>
      <c r="F24" s="24" t="s">
        <v>38</v>
      </c>
      <c r="G24" s="12">
        <v>0</v>
      </c>
      <c r="H24" s="88">
        <f>IF(B$20=0,0,G24/B$20)</f>
        <v>0</v>
      </c>
      <c r="I24" s="58">
        <v>9</v>
      </c>
    </row>
    <row r="25" spans="1:18" x14ac:dyDescent="0.4">
      <c r="A25" s="19" t="s">
        <v>181</v>
      </c>
      <c r="B25" s="12">
        <v>1</v>
      </c>
      <c r="C25" s="6">
        <f>IF(B$20=0,0,B25/B$20)</f>
        <v>0.14285714285714285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3</v>
      </c>
    </row>
    <row r="26" spans="1:18" x14ac:dyDescent="0.4">
      <c r="A26" s="19" t="s">
        <v>182</v>
      </c>
      <c r="B26" s="12">
        <v>1</v>
      </c>
      <c r="C26" s="6">
        <f>IF(B$20=0,0,B26/B$20)</f>
        <v>0.14285714285714285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4</v>
      </c>
    </row>
    <row r="27" spans="1:18" x14ac:dyDescent="0.4">
      <c r="A27" s="19" t="s">
        <v>5</v>
      </c>
      <c r="B27" s="16">
        <f>IF(B$20=0,0,C27/B$20)</f>
        <v>9742.8571428571431</v>
      </c>
      <c r="C27" s="8">
        <v>68200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4</v>
      </c>
    </row>
    <row r="28" spans="1:18" x14ac:dyDescent="0.4">
      <c r="A28" s="20" t="s">
        <v>165</v>
      </c>
      <c r="B28" s="95">
        <f>IF($B$20-B$19=0,0,C28/($B$20-B$19))</f>
        <v>11200</v>
      </c>
      <c r="C28" s="96">
        <v>67200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3</v>
      </c>
    </row>
    <row r="29" spans="1:18" x14ac:dyDescent="0.4">
      <c r="A29" s="20" t="s">
        <v>166</v>
      </c>
      <c r="B29" s="95">
        <f>IF(B$19=0,0,C29/B$19)</f>
        <v>1000</v>
      </c>
      <c r="C29" s="96">
        <v>1000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-4936.363636363636</v>
      </c>
      <c r="C30" s="96">
        <v>-54300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7</v>
      </c>
    </row>
    <row r="32" spans="1:18" x14ac:dyDescent="0.4">
      <c r="A32" s="19" t="s">
        <v>158</v>
      </c>
      <c r="B32" s="12">
        <v>8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39600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4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0.14285714285714285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0.14285714285714285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0.2857142857142857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2"/>
        <v>0.42857142857142855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CE8FE-7AC7-4966-A84A-3CABB3A80F7B}">
  <sheetPr codeName="Sheet28"/>
  <dimension ref="A1:Q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253</v>
      </c>
      <c r="B1" s="34" t="s">
        <v>253</v>
      </c>
      <c r="C1" s="34" t="s">
        <v>253</v>
      </c>
      <c r="D1" s="35" t="s">
        <v>253</v>
      </c>
      <c r="E1" s="34" t="s">
        <v>253</v>
      </c>
      <c r="F1" s="34" t="s">
        <v>253</v>
      </c>
      <c r="G1" s="34" t="s">
        <v>253</v>
      </c>
      <c r="H1" s="34" t="s">
        <v>253</v>
      </c>
      <c r="I1" s="34" t="s">
        <v>253</v>
      </c>
      <c r="J1" s="34" t="s">
        <v>253</v>
      </c>
      <c r="K1" s="34" t="s">
        <v>253</v>
      </c>
      <c r="L1" s="34" t="s">
        <v>253</v>
      </c>
      <c r="M1" s="34" t="s">
        <v>253</v>
      </c>
      <c r="N1" s="34" t="s">
        <v>253</v>
      </c>
      <c r="O1" s="34" t="s">
        <v>253</v>
      </c>
      <c r="P1" s="34" t="s">
        <v>253</v>
      </c>
      <c r="Q1" s="34" t="s">
        <v>253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-18.399999999999999</v>
      </c>
      <c r="C4" s="30">
        <v>-18.399999999999999</v>
      </c>
      <c r="D4" s="35">
        <v>3</v>
      </c>
      <c r="E4" s="31">
        <v>0</v>
      </c>
      <c r="F4" s="31">
        <v>1</v>
      </c>
      <c r="G4" s="31">
        <v>0.125</v>
      </c>
      <c r="H4" s="31">
        <v>0.25</v>
      </c>
      <c r="I4" s="32">
        <v>18000</v>
      </c>
      <c r="J4" s="32">
        <v>-5950</v>
      </c>
      <c r="K4" s="31">
        <v>0</v>
      </c>
      <c r="L4" s="31">
        <v>0.25</v>
      </c>
      <c r="M4" s="31">
        <v>0</v>
      </c>
      <c r="N4" s="31">
        <v>0.5</v>
      </c>
      <c r="O4" s="31">
        <v>0</v>
      </c>
      <c r="P4" s="31">
        <v>1</v>
      </c>
    </row>
    <row r="5" spans="1:17" x14ac:dyDescent="0.4">
      <c r="A5" s="33">
        <v>2</v>
      </c>
      <c r="B5" s="30">
        <v>-3.7999999999999989</v>
      </c>
      <c r="C5" s="30">
        <v>-1.8999999999999995</v>
      </c>
      <c r="D5" s="35">
        <v>2</v>
      </c>
      <c r="E5" s="31">
        <v>0.5</v>
      </c>
      <c r="F5" s="31">
        <v>0.5</v>
      </c>
      <c r="G5" s="31">
        <v>0.22222222222222221</v>
      </c>
      <c r="H5" s="31">
        <v>0.16666666666666666</v>
      </c>
      <c r="I5" s="32">
        <v>10150</v>
      </c>
      <c r="J5" s="32">
        <v>-6633.333333333333</v>
      </c>
      <c r="K5" s="31">
        <v>0</v>
      </c>
      <c r="L5" s="31">
        <v>0.22222222222222221</v>
      </c>
      <c r="M5" s="31">
        <v>0.1111111111111111</v>
      </c>
      <c r="N5" s="31">
        <v>0.75</v>
      </c>
      <c r="O5" s="31">
        <v>0.5</v>
      </c>
      <c r="P5" s="31">
        <v>0.75</v>
      </c>
    </row>
    <row r="6" spans="1:17" x14ac:dyDescent="0.4">
      <c r="A6" s="33">
        <v>3</v>
      </c>
      <c r="B6" s="30">
        <v>-10.099999999999998</v>
      </c>
      <c r="C6" s="30">
        <v>-3.3666666666666658</v>
      </c>
      <c r="D6" s="35">
        <v>2</v>
      </c>
      <c r="E6" s="31">
        <v>0.33333333333333331</v>
      </c>
      <c r="F6" s="31">
        <v>0.33333333333333331</v>
      </c>
      <c r="G6" s="31">
        <v>0.20689655172413793</v>
      </c>
      <c r="H6" s="31">
        <v>0.2413793103448276</v>
      </c>
      <c r="I6" s="32">
        <v>9433.3333333333339</v>
      </c>
      <c r="J6" s="32">
        <v>-4914.2857142857147</v>
      </c>
      <c r="K6" s="31">
        <v>0</v>
      </c>
      <c r="L6" s="31">
        <v>0.17241379310344829</v>
      </c>
      <c r="M6" s="31">
        <v>0.10344827586206896</v>
      </c>
      <c r="N6" s="31">
        <v>0.8</v>
      </c>
      <c r="O6" s="31">
        <v>0.33333333333333331</v>
      </c>
      <c r="P6" s="31">
        <v>0.66666666666666663</v>
      </c>
    </row>
    <row r="7" spans="1:17" x14ac:dyDescent="0.4">
      <c r="A7" s="33">
        <v>4</v>
      </c>
      <c r="B7" s="30">
        <v>-51.399999999999991</v>
      </c>
      <c r="C7" s="30">
        <v>-12.849999999999998</v>
      </c>
      <c r="D7" s="35">
        <v>2.25</v>
      </c>
      <c r="E7" s="31">
        <v>0.25</v>
      </c>
      <c r="F7" s="31">
        <v>0.5</v>
      </c>
      <c r="G7" s="31">
        <v>0.15384615384615385</v>
      </c>
      <c r="H7" s="31">
        <v>0.25641025641025639</v>
      </c>
      <c r="I7" s="32">
        <v>9433.3333333333339</v>
      </c>
      <c r="J7" s="32">
        <v>-5170</v>
      </c>
      <c r="K7" s="31">
        <v>0</v>
      </c>
      <c r="L7" s="31">
        <v>0.20512820512820512</v>
      </c>
      <c r="M7" s="31">
        <v>7.6923076923076927E-2</v>
      </c>
      <c r="N7" s="31">
        <v>0.5</v>
      </c>
      <c r="O7" s="31">
        <v>0.33333333333333331</v>
      </c>
      <c r="P7" s="31">
        <v>0.66666666666666663</v>
      </c>
    </row>
    <row r="8" spans="1:17" x14ac:dyDescent="0.4">
      <c r="A8" s="33">
        <v>5</v>
      </c>
      <c r="B8" s="30">
        <v>-70.399999999999991</v>
      </c>
      <c r="C8" s="30">
        <v>-14.079999999999998</v>
      </c>
      <c r="D8" s="35">
        <v>2.4</v>
      </c>
      <c r="E8" s="31">
        <v>0.2</v>
      </c>
      <c r="F8" s="31">
        <v>0.6</v>
      </c>
      <c r="G8" s="31">
        <v>0.15217391304347827</v>
      </c>
      <c r="H8" s="31">
        <v>0.2391304347826087</v>
      </c>
      <c r="I8" s="32">
        <v>9742.8571428571431</v>
      </c>
      <c r="J8" s="32">
        <v>-4936.363636363636</v>
      </c>
      <c r="K8" s="31">
        <v>0</v>
      </c>
      <c r="L8" s="31">
        <v>0.21739130434782608</v>
      </c>
      <c r="M8" s="31">
        <v>0.10869565217391304</v>
      </c>
      <c r="N8" s="31">
        <v>0.5</v>
      </c>
      <c r="O8" s="31">
        <v>0.2</v>
      </c>
      <c r="P8" s="31">
        <v>0.7142857142857143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8F33B-F72D-4815-9E8E-3FFF1B9D4F24}">
  <sheetPr codeName="Sheet26"/>
  <dimension ref="A1:Q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250</v>
      </c>
      <c r="B1" s="34" t="s">
        <v>250</v>
      </c>
      <c r="C1" s="34" t="s">
        <v>250</v>
      </c>
      <c r="D1" s="35" t="s">
        <v>250</v>
      </c>
      <c r="E1" s="34" t="s">
        <v>250</v>
      </c>
      <c r="F1" s="34" t="s">
        <v>250</v>
      </c>
      <c r="G1" s="34" t="s">
        <v>250</v>
      </c>
      <c r="H1" s="34" t="s">
        <v>250</v>
      </c>
      <c r="I1" s="34" t="s">
        <v>250</v>
      </c>
      <c r="J1" s="34" t="s">
        <v>250</v>
      </c>
      <c r="K1" s="34" t="s">
        <v>250</v>
      </c>
      <c r="L1" s="34" t="s">
        <v>250</v>
      </c>
      <c r="M1" s="34" t="s">
        <v>250</v>
      </c>
      <c r="N1" s="34" t="s">
        <v>250</v>
      </c>
      <c r="O1" s="34" t="s">
        <v>250</v>
      </c>
      <c r="P1" s="34" t="s">
        <v>250</v>
      </c>
      <c r="Q1" s="34" t="s">
        <v>250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10.199999999999999</v>
      </c>
      <c r="C4" s="30">
        <v>10.199999999999999</v>
      </c>
      <c r="D4" s="35">
        <v>2</v>
      </c>
      <c r="E4" s="31">
        <v>0</v>
      </c>
      <c r="F4" s="31">
        <v>0</v>
      </c>
      <c r="G4" s="31">
        <v>0.2857142857142857</v>
      </c>
      <c r="H4" s="31">
        <v>0</v>
      </c>
      <c r="I4" s="32">
        <v>7100</v>
      </c>
      <c r="J4" s="32">
        <v>0</v>
      </c>
      <c r="K4" s="31">
        <v>0</v>
      </c>
      <c r="L4" s="31">
        <v>0.14285714285714285</v>
      </c>
      <c r="M4" s="31">
        <v>0.42857142857142855</v>
      </c>
      <c r="N4" s="31">
        <v>1</v>
      </c>
      <c r="O4" s="31">
        <v>0.33333333333333331</v>
      </c>
      <c r="P4" s="31">
        <v>0</v>
      </c>
    </row>
    <row r="5" spans="1:17" x14ac:dyDescent="0.4">
      <c r="A5" s="33">
        <v>2</v>
      </c>
      <c r="B5" s="30">
        <v>-29.900000000000002</v>
      </c>
      <c r="C5" s="30">
        <v>-14.950000000000001</v>
      </c>
      <c r="D5" s="35">
        <v>2.5</v>
      </c>
      <c r="E5" s="31">
        <v>0</v>
      </c>
      <c r="F5" s="31">
        <v>0.5</v>
      </c>
      <c r="G5" s="31">
        <v>0.2</v>
      </c>
      <c r="H5" s="31">
        <v>6.6666666666666666E-2</v>
      </c>
      <c r="I5" s="32">
        <v>7300</v>
      </c>
      <c r="J5" s="32">
        <v>-16000</v>
      </c>
      <c r="K5" s="31">
        <v>0</v>
      </c>
      <c r="L5" s="31">
        <v>6.6666666666666666E-2</v>
      </c>
      <c r="M5" s="31">
        <v>0.26666666666666666</v>
      </c>
      <c r="N5" s="31">
        <v>1</v>
      </c>
      <c r="O5" s="31">
        <v>0.25</v>
      </c>
      <c r="P5" s="31">
        <v>0.33333333333333331</v>
      </c>
    </row>
    <row r="6" spans="1:17" x14ac:dyDescent="0.4">
      <c r="A6" s="33">
        <v>3</v>
      </c>
      <c r="B6" s="30">
        <v>-37.1</v>
      </c>
      <c r="C6" s="30">
        <v>-12.366666666666667</v>
      </c>
      <c r="D6" s="35">
        <v>2.3333333333333335</v>
      </c>
      <c r="E6" s="31">
        <v>0</v>
      </c>
      <c r="F6" s="31">
        <v>0.33333333333333331</v>
      </c>
      <c r="G6" s="31">
        <v>0.25</v>
      </c>
      <c r="H6" s="31">
        <v>8.3333333333333329E-2</v>
      </c>
      <c r="I6" s="32">
        <v>6400</v>
      </c>
      <c r="J6" s="32">
        <v>-11850</v>
      </c>
      <c r="K6" s="31">
        <v>0</v>
      </c>
      <c r="L6" s="31">
        <v>0.20833333333333334</v>
      </c>
      <c r="M6" s="31">
        <v>0.16666666666666666</v>
      </c>
      <c r="N6" s="31">
        <v>0.8</v>
      </c>
      <c r="O6" s="31">
        <v>0.25</v>
      </c>
      <c r="P6" s="31">
        <v>0.5</v>
      </c>
    </row>
    <row r="7" spans="1:17" x14ac:dyDescent="0.4">
      <c r="A7" s="33">
        <v>4</v>
      </c>
      <c r="B7" s="30">
        <v>-85.800000000000011</v>
      </c>
      <c r="C7" s="30">
        <v>-21.450000000000003</v>
      </c>
      <c r="D7" s="35">
        <v>2.5</v>
      </c>
      <c r="E7" s="31">
        <v>0</v>
      </c>
      <c r="F7" s="31">
        <v>0.5</v>
      </c>
      <c r="G7" s="31">
        <v>0.1875</v>
      </c>
      <c r="H7" s="31">
        <v>9.375E-2</v>
      </c>
      <c r="I7" s="32">
        <v>6400</v>
      </c>
      <c r="J7" s="32">
        <v>-8400</v>
      </c>
      <c r="K7" s="31">
        <v>0.25</v>
      </c>
      <c r="L7" s="31">
        <v>0.1875</v>
      </c>
      <c r="M7" s="31">
        <v>0.125</v>
      </c>
      <c r="N7" s="31">
        <v>0.66666666666666663</v>
      </c>
      <c r="O7" s="31">
        <v>0.25</v>
      </c>
      <c r="P7" s="31">
        <v>0.5</v>
      </c>
    </row>
    <row r="8" spans="1:17" x14ac:dyDescent="0.4">
      <c r="A8" s="33">
        <v>5</v>
      </c>
      <c r="B8" s="30">
        <v>-113.70000000000002</v>
      </c>
      <c r="C8" s="30">
        <v>-22.740000000000002</v>
      </c>
      <c r="D8" s="35">
        <v>2.4</v>
      </c>
      <c r="E8" s="31">
        <v>0</v>
      </c>
      <c r="F8" s="31">
        <v>0.4</v>
      </c>
      <c r="G8" s="31">
        <v>0.17073170731707318</v>
      </c>
      <c r="H8" s="31">
        <v>0.14634146341463414</v>
      </c>
      <c r="I8" s="32">
        <v>7142.8571428571431</v>
      </c>
      <c r="J8" s="32">
        <v>-8866.6666666666661</v>
      </c>
      <c r="K8" s="31">
        <v>0.2</v>
      </c>
      <c r="L8" s="31">
        <v>0.26829268292682928</v>
      </c>
      <c r="M8" s="31">
        <v>0.12195121951219512</v>
      </c>
      <c r="N8" s="31">
        <v>0.45454545454545453</v>
      </c>
      <c r="O8" s="31">
        <v>0.2</v>
      </c>
      <c r="P8" s="31">
        <v>0.42857142857142855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2438B-D85D-41FD-9CD2-033F3595F3F1}">
  <sheetPr codeName="Sheet24"/>
  <dimension ref="A1:Q1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205</v>
      </c>
      <c r="B1" s="34" t="s">
        <v>205</v>
      </c>
      <c r="C1" s="34" t="s">
        <v>205</v>
      </c>
      <c r="D1" s="35" t="s">
        <v>205</v>
      </c>
      <c r="E1" s="34" t="s">
        <v>205</v>
      </c>
      <c r="F1" s="34" t="s">
        <v>205</v>
      </c>
      <c r="G1" s="34" t="s">
        <v>205</v>
      </c>
      <c r="H1" s="34" t="s">
        <v>205</v>
      </c>
      <c r="I1" s="34" t="s">
        <v>205</v>
      </c>
      <c r="J1" s="34" t="s">
        <v>205</v>
      </c>
      <c r="K1" s="34" t="s">
        <v>205</v>
      </c>
      <c r="L1" s="34" t="s">
        <v>205</v>
      </c>
      <c r="M1" s="34" t="s">
        <v>205</v>
      </c>
      <c r="N1" s="34" t="s">
        <v>205</v>
      </c>
      <c r="O1" s="34" t="s">
        <v>205</v>
      </c>
      <c r="P1" s="34" t="s">
        <v>205</v>
      </c>
      <c r="Q1" s="34" t="s">
        <v>205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-27.3</v>
      </c>
      <c r="C4" s="30">
        <v>-27.3</v>
      </c>
      <c r="D4" s="35">
        <v>3</v>
      </c>
      <c r="E4" s="31">
        <v>0</v>
      </c>
      <c r="F4" s="31">
        <v>1</v>
      </c>
      <c r="G4" s="31">
        <v>0.14285714285714285</v>
      </c>
      <c r="H4" s="31">
        <v>0.42857142857142855</v>
      </c>
      <c r="I4" s="32">
        <v>12000</v>
      </c>
      <c r="J4" s="32">
        <v>-5533.333333333333</v>
      </c>
      <c r="K4" s="31">
        <v>0</v>
      </c>
      <c r="L4" s="31">
        <v>0.2857142857142857</v>
      </c>
      <c r="M4" s="31">
        <v>0</v>
      </c>
      <c r="N4" s="31">
        <v>0.5</v>
      </c>
      <c r="O4" s="31">
        <v>0</v>
      </c>
      <c r="P4" s="31">
        <v>1</v>
      </c>
    </row>
    <row r="5" spans="1:17" x14ac:dyDescent="0.4">
      <c r="A5" s="33">
        <v>2</v>
      </c>
      <c r="B5" s="30">
        <v>-36.799999999999997</v>
      </c>
      <c r="C5" s="30">
        <v>-18.399999999999999</v>
      </c>
      <c r="D5" s="35">
        <v>2.5</v>
      </c>
      <c r="E5" s="31">
        <v>0</v>
      </c>
      <c r="F5" s="31">
        <v>0.5</v>
      </c>
      <c r="G5" s="31">
        <v>0.1875</v>
      </c>
      <c r="H5" s="31">
        <v>0.25</v>
      </c>
      <c r="I5" s="32">
        <v>8700</v>
      </c>
      <c r="J5" s="32">
        <v>-6150</v>
      </c>
      <c r="K5" s="31">
        <v>0</v>
      </c>
      <c r="L5" s="31">
        <v>0.3125</v>
      </c>
      <c r="M5" s="31">
        <v>0</v>
      </c>
      <c r="N5" s="31">
        <v>0.6</v>
      </c>
      <c r="O5" s="31">
        <v>0</v>
      </c>
      <c r="P5" s="31">
        <v>1</v>
      </c>
    </row>
    <row r="6" spans="1:17" x14ac:dyDescent="0.4">
      <c r="A6" s="33">
        <v>3</v>
      </c>
      <c r="B6" s="30">
        <v>-62</v>
      </c>
      <c r="C6" s="30">
        <v>-20.666666666666668</v>
      </c>
      <c r="D6" s="35">
        <v>2.3333333333333335</v>
      </c>
      <c r="E6" s="31">
        <v>0</v>
      </c>
      <c r="F6" s="31">
        <v>0.33333333333333331</v>
      </c>
      <c r="G6" s="31">
        <v>0.25806451612903225</v>
      </c>
      <c r="H6" s="31">
        <v>0.25806451612903225</v>
      </c>
      <c r="I6" s="32">
        <v>5862.5</v>
      </c>
      <c r="J6" s="32">
        <v>-7575</v>
      </c>
      <c r="K6" s="31">
        <v>0</v>
      </c>
      <c r="L6" s="31">
        <v>0.29032258064516131</v>
      </c>
      <c r="M6" s="31">
        <v>0</v>
      </c>
      <c r="N6" s="31">
        <v>0.66666666666666663</v>
      </c>
      <c r="O6" s="31">
        <v>0</v>
      </c>
      <c r="P6" s="31">
        <v>0.75</v>
      </c>
    </row>
    <row r="7" spans="1:17" x14ac:dyDescent="0.4">
      <c r="A7" s="33">
        <v>4</v>
      </c>
      <c r="B7" s="30">
        <v>-64.3</v>
      </c>
      <c r="C7" s="30">
        <v>-16.074999999999999</v>
      </c>
      <c r="D7" s="35">
        <v>2.25</v>
      </c>
      <c r="E7" s="31">
        <v>0</v>
      </c>
      <c r="F7" s="31">
        <v>0.25</v>
      </c>
      <c r="G7" s="31">
        <v>0.26315789473684209</v>
      </c>
      <c r="H7" s="31">
        <v>0.21052631578947367</v>
      </c>
      <c r="I7" s="32">
        <v>5410</v>
      </c>
      <c r="J7" s="32">
        <v>-7575</v>
      </c>
      <c r="K7" s="31">
        <v>0</v>
      </c>
      <c r="L7" s="31">
        <v>0.26315789473684209</v>
      </c>
      <c r="M7" s="31">
        <v>2.6315789473684209E-2</v>
      </c>
      <c r="N7" s="31">
        <v>0.7</v>
      </c>
      <c r="O7" s="31">
        <v>1</v>
      </c>
      <c r="P7" s="31">
        <v>0.6</v>
      </c>
    </row>
    <row r="8" spans="1:17" x14ac:dyDescent="0.4">
      <c r="A8" s="33">
        <v>5</v>
      </c>
      <c r="B8" s="30">
        <v>-42.3</v>
      </c>
      <c r="C8" s="30">
        <v>-8.4599999999999991</v>
      </c>
      <c r="D8" s="35">
        <v>2</v>
      </c>
      <c r="E8" s="31">
        <v>0.2</v>
      </c>
      <c r="F8" s="31">
        <v>0.2</v>
      </c>
      <c r="G8" s="31">
        <v>0.29545454545454547</v>
      </c>
      <c r="H8" s="31">
        <v>0.18181818181818182</v>
      </c>
      <c r="I8" s="32">
        <v>5238.4615384615381</v>
      </c>
      <c r="J8" s="32">
        <v>-7575</v>
      </c>
      <c r="K8" s="31">
        <v>0</v>
      </c>
      <c r="L8" s="31">
        <v>0.29545454545454547</v>
      </c>
      <c r="M8" s="31">
        <v>4.5454545454545456E-2</v>
      </c>
      <c r="N8" s="31">
        <v>0.76923076923076927</v>
      </c>
      <c r="O8" s="31">
        <v>0.5</v>
      </c>
      <c r="P8" s="31">
        <v>0.53846153846153844</v>
      </c>
    </row>
    <row r="9" spans="1:17" x14ac:dyDescent="0.4">
      <c r="A9" s="33">
        <v>6</v>
      </c>
      <c r="B9" s="30">
        <v>27.700000000000003</v>
      </c>
      <c r="C9" s="30">
        <v>4.6166666666666671</v>
      </c>
      <c r="D9" s="35">
        <v>1.8333333333333333</v>
      </c>
      <c r="E9" s="31">
        <v>0.33333333333333331</v>
      </c>
      <c r="F9" s="31">
        <v>0.16666666666666666</v>
      </c>
      <c r="G9" s="31">
        <v>0.35416666666666669</v>
      </c>
      <c r="H9" s="31">
        <v>0.16666666666666666</v>
      </c>
      <c r="I9" s="32">
        <v>7005.8823529411766</v>
      </c>
      <c r="J9" s="32">
        <v>-7575</v>
      </c>
      <c r="K9" s="31">
        <v>0</v>
      </c>
      <c r="L9" s="31">
        <v>0.33333333333333331</v>
      </c>
      <c r="M9" s="31">
        <v>6.25E-2</v>
      </c>
      <c r="N9" s="31">
        <v>0.8125</v>
      </c>
      <c r="O9" s="31">
        <v>0.66666666666666663</v>
      </c>
      <c r="P9" s="31">
        <v>0.58823529411764708</v>
      </c>
    </row>
    <row r="10" spans="1:17" x14ac:dyDescent="0.4">
      <c r="A10" s="33">
        <v>7</v>
      </c>
      <c r="B10" s="30">
        <v>-4.1999999999999957</v>
      </c>
      <c r="C10" s="30">
        <v>-0.59999999999999942</v>
      </c>
      <c r="D10" s="35">
        <v>2</v>
      </c>
      <c r="E10" s="31">
        <v>0.2857142857142857</v>
      </c>
      <c r="F10" s="31">
        <v>0.2857142857142857</v>
      </c>
      <c r="G10" s="31">
        <v>0.33333333333333331</v>
      </c>
      <c r="H10" s="31">
        <v>0.17460317460317459</v>
      </c>
      <c r="I10" s="32">
        <v>7295.2380952380954</v>
      </c>
      <c r="J10" s="32">
        <v>-8554.545454545454</v>
      </c>
      <c r="K10" s="31">
        <v>0</v>
      </c>
      <c r="L10" s="31">
        <v>0.33333333333333331</v>
      </c>
      <c r="M10" s="31">
        <v>6.3492063492063489E-2</v>
      </c>
      <c r="N10" s="31">
        <v>0.76190476190476186</v>
      </c>
      <c r="O10" s="31">
        <v>0.75</v>
      </c>
      <c r="P10" s="31">
        <v>0.5714285714285714</v>
      </c>
    </row>
    <row r="11" spans="1:17" x14ac:dyDescent="0.4">
      <c r="A11" s="33">
        <v>8</v>
      </c>
      <c r="B11" s="30">
        <v>-19.299999999999997</v>
      </c>
      <c r="C11" s="30">
        <v>-2.4124999999999996</v>
      </c>
      <c r="D11" s="35">
        <v>2.125</v>
      </c>
      <c r="E11" s="31">
        <v>0.25</v>
      </c>
      <c r="F11" s="31">
        <v>0.375</v>
      </c>
      <c r="G11" s="31">
        <v>0.3188405797101449</v>
      </c>
      <c r="H11" s="31">
        <v>0.17391304347826086</v>
      </c>
      <c r="I11" s="32">
        <v>7509.090909090909</v>
      </c>
      <c r="J11" s="32">
        <v>-8508.3333333333339</v>
      </c>
      <c r="K11" s="31">
        <v>0</v>
      </c>
      <c r="L11" s="31">
        <v>0.33333333333333331</v>
      </c>
      <c r="M11" s="31">
        <v>8.6956521739130432E-2</v>
      </c>
      <c r="N11" s="31">
        <v>0.73913043478260865</v>
      </c>
      <c r="O11" s="31">
        <v>0.5</v>
      </c>
      <c r="P11" s="31">
        <v>0.54545454545454541</v>
      </c>
    </row>
    <row r="12" spans="1:17" x14ac:dyDescent="0.4">
      <c r="A12" s="33">
        <v>9</v>
      </c>
      <c r="B12" s="30">
        <v>-41.599999999999994</v>
      </c>
      <c r="C12" s="30">
        <v>-4.6222222222222218</v>
      </c>
      <c r="D12" s="35">
        <v>2.1111111111111112</v>
      </c>
      <c r="E12" s="31">
        <v>0.22222222222222221</v>
      </c>
      <c r="F12" s="31">
        <v>0.33333333333333331</v>
      </c>
      <c r="G12" s="31">
        <v>0.3108108108108108</v>
      </c>
      <c r="H12" s="31">
        <v>0.1891891891891892</v>
      </c>
      <c r="I12" s="32">
        <v>7530.434782608696</v>
      </c>
      <c r="J12" s="32">
        <v>-8671.4285714285706</v>
      </c>
      <c r="K12" s="31">
        <v>0</v>
      </c>
      <c r="L12" s="31">
        <v>0.32432432432432434</v>
      </c>
      <c r="M12" s="31">
        <v>9.45945945945946E-2</v>
      </c>
      <c r="N12" s="31">
        <v>0.70833333333333337</v>
      </c>
      <c r="O12" s="31">
        <v>0.5714285714285714</v>
      </c>
      <c r="P12" s="31">
        <v>0.52173913043478259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DFF36-8A87-418A-A7A6-CB3C32621113}">
  <sheetPr codeName="Sheet22"/>
  <dimension ref="A1:Q4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68.2</v>
      </c>
      <c r="C4" s="30">
        <v>68.2</v>
      </c>
      <c r="D4" s="35">
        <v>1</v>
      </c>
      <c r="E4" s="31">
        <v>1</v>
      </c>
      <c r="F4" s="31">
        <v>0</v>
      </c>
      <c r="G4" s="31">
        <v>0.75</v>
      </c>
      <c r="H4" s="31">
        <v>0.25</v>
      </c>
      <c r="I4" s="32">
        <v>10350</v>
      </c>
      <c r="J4" s="32">
        <v>-1950</v>
      </c>
      <c r="K4" s="31">
        <v>0</v>
      </c>
      <c r="L4" s="31">
        <v>0.25</v>
      </c>
      <c r="M4" s="31">
        <v>0.125</v>
      </c>
      <c r="N4" s="31">
        <v>1</v>
      </c>
      <c r="O4" s="31">
        <v>1</v>
      </c>
      <c r="P4" s="31">
        <v>0.33333333333333331</v>
      </c>
    </row>
    <row r="5" spans="1:17" x14ac:dyDescent="0.4">
      <c r="A5" s="33">
        <v>2</v>
      </c>
      <c r="B5" s="30">
        <v>41.2</v>
      </c>
      <c r="C5" s="30">
        <v>20.6</v>
      </c>
      <c r="D5" s="35">
        <v>2</v>
      </c>
      <c r="E5" s="31">
        <v>0.5</v>
      </c>
      <c r="F5" s="31">
        <v>0.5</v>
      </c>
      <c r="G5" s="31">
        <v>0.5</v>
      </c>
      <c r="H5" s="31">
        <v>0.21428571428571427</v>
      </c>
      <c r="I5" s="32">
        <v>9442.8571428571431</v>
      </c>
      <c r="J5" s="32">
        <v>-5300</v>
      </c>
      <c r="K5" s="31">
        <v>0</v>
      </c>
      <c r="L5" s="31">
        <v>0.21428571428571427</v>
      </c>
      <c r="M5" s="31">
        <v>0.14285714285714285</v>
      </c>
      <c r="N5" s="31">
        <v>0.66666666666666663</v>
      </c>
      <c r="O5" s="31">
        <v>0.5</v>
      </c>
      <c r="P5" s="31">
        <v>0.42857142857142855</v>
      </c>
    </row>
    <row r="6" spans="1:17" x14ac:dyDescent="0.4">
      <c r="A6" s="33">
        <v>3</v>
      </c>
      <c r="B6" s="30">
        <v>8.9000000000000057</v>
      </c>
      <c r="C6" s="30">
        <v>2.9666666666666686</v>
      </c>
      <c r="D6" s="35">
        <v>2.3333333333333335</v>
      </c>
      <c r="E6" s="31">
        <v>0.33333333333333331</v>
      </c>
      <c r="F6" s="31">
        <v>0.66666666666666663</v>
      </c>
      <c r="G6" s="31">
        <v>0.4</v>
      </c>
      <c r="H6" s="31">
        <v>0.2</v>
      </c>
      <c r="I6" s="32">
        <v>7870</v>
      </c>
      <c r="J6" s="32">
        <v>-8760</v>
      </c>
      <c r="K6" s="31">
        <v>0</v>
      </c>
      <c r="L6" s="31">
        <v>0.2</v>
      </c>
      <c r="M6" s="31">
        <v>0.16</v>
      </c>
      <c r="N6" s="31">
        <v>0.6</v>
      </c>
      <c r="O6" s="31">
        <v>0.25</v>
      </c>
      <c r="P6" s="31">
        <v>0.4</v>
      </c>
    </row>
    <row r="7" spans="1:17" x14ac:dyDescent="0.4">
      <c r="A7" s="33">
        <v>4</v>
      </c>
      <c r="B7" s="30">
        <v>-41.199999999999996</v>
      </c>
      <c r="C7" s="30">
        <v>-10.299999999999999</v>
      </c>
      <c r="D7" s="35">
        <v>2.5</v>
      </c>
      <c r="E7" s="31">
        <v>0.25</v>
      </c>
      <c r="F7" s="31">
        <v>0.75</v>
      </c>
      <c r="G7" s="31">
        <v>0.33333333333333331</v>
      </c>
      <c r="H7" s="31">
        <v>0.23333333333333334</v>
      </c>
      <c r="I7" s="32">
        <v>7870</v>
      </c>
      <c r="J7" s="32">
        <v>-9628.5714285714294</v>
      </c>
      <c r="K7" s="31">
        <v>0.25</v>
      </c>
      <c r="L7" s="31">
        <v>0.16666666666666666</v>
      </c>
      <c r="M7" s="31">
        <v>0.23333333333333334</v>
      </c>
      <c r="N7" s="31">
        <v>0.6</v>
      </c>
      <c r="O7" s="31">
        <v>0.14285714285714285</v>
      </c>
      <c r="P7" s="31">
        <v>0.4</v>
      </c>
    </row>
    <row r="8" spans="1:17" x14ac:dyDescent="0.4">
      <c r="A8" s="33">
        <v>5</v>
      </c>
      <c r="B8" s="30">
        <v>-72.899999999999991</v>
      </c>
      <c r="C8" s="30">
        <v>-14.579999999999998</v>
      </c>
      <c r="D8" s="35">
        <v>2.6</v>
      </c>
      <c r="E8" s="31">
        <v>0.2</v>
      </c>
      <c r="F8" s="31">
        <v>0.8</v>
      </c>
      <c r="G8" s="31">
        <v>0.31578947368421051</v>
      </c>
      <c r="H8" s="31">
        <v>0.23684210526315788</v>
      </c>
      <c r="I8" s="32">
        <v>7891.666666666667</v>
      </c>
      <c r="J8" s="32">
        <v>-8955.5555555555547</v>
      </c>
      <c r="K8" s="31">
        <v>0.2</v>
      </c>
      <c r="L8" s="31">
        <v>0.13157894736842105</v>
      </c>
      <c r="M8" s="31">
        <v>0.34210526315789475</v>
      </c>
      <c r="N8" s="31">
        <v>0.6</v>
      </c>
      <c r="O8" s="31">
        <v>0.23076923076923078</v>
      </c>
      <c r="P8" s="31">
        <v>0.33333333333333331</v>
      </c>
    </row>
    <row r="9" spans="1:17" x14ac:dyDescent="0.4">
      <c r="A9" s="33">
        <v>6</v>
      </c>
      <c r="B9" s="30">
        <v>-130</v>
      </c>
      <c r="C9" s="30">
        <v>-21.666666666666668</v>
      </c>
      <c r="D9" s="35">
        <v>2.6666666666666665</v>
      </c>
      <c r="E9" s="31">
        <v>0.16666666666666666</v>
      </c>
      <c r="F9" s="31">
        <v>0.83333333333333337</v>
      </c>
      <c r="G9" s="31">
        <v>0.2978723404255319</v>
      </c>
      <c r="H9" s="31">
        <v>0.25531914893617019</v>
      </c>
      <c r="I9" s="32">
        <v>8464.2857142857138</v>
      </c>
      <c r="J9" s="32">
        <v>-11600</v>
      </c>
      <c r="K9" s="31">
        <v>0.33333333333333331</v>
      </c>
      <c r="L9" s="31">
        <v>0.1276595744680851</v>
      </c>
      <c r="M9" s="31">
        <v>0.34042553191489361</v>
      </c>
      <c r="N9" s="31">
        <v>0.66666666666666663</v>
      </c>
      <c r="O9" s="31">
        <v>0.25</v>
      </c>
      <c r="P9" s="31">
        <v>0.35714285714285715</v>
      </c>
    </row>
    <row r="10" spans="1:17" x14ac:dyDescent="0.4">
      <c r="A10" s="33">
        <v>7</v>
      </c>
      <c r="B10" s="30">
        <v>-183</v>
      </c>
      <c r="C10" s="30">
        <v>-26.142857142857142</v>
      </c>
      <c r="D10" s="35">
        <v>2.7142857142857144</v>
      </c>
      <c r="E10" s="31">
        <v>0.14285714285714285</v>
      </c>
      <c r="F10" s="31">
        <v>0.8571428571428571</v>
      </c>
      <c r="G10" s="31">
        <v>0.27450980392156865</v>
      </c>
      <c r="H10" s="31">
        <v>0.27450980392156865</v>
      </c>
      <c r="I10" s="32">
        <v>8464.2857142857138</v>
      </c>
      <c r="J10" s="32">
        <v>-11657.142857142857</v>
      </c>
      <c r="K10" s="31">
        <v>0.42857142857142855</v>
      </c>
      <c r="L10" s="31">
        <v>0.11764705882352941</v>
      </c>
      <c r="M10" s="31">
        <v>0.35294117647058826</v>
      </c>
      <c r="N10" s="31">
        <v>0.66666666666666663</v>
      </c>
      <c r="O10" s="31">
        <v>0.22222222222222221</v>
      </c>
      <c r="P10" s="31">
        <v>0.35714285714285715</v>
      </c>
    </row>
    <row r="11" spans="1:17" x14ac:dyDescent="0.4">
      <c r="A11" s="33">
        <v>8</v>
      </c>
      <c r="B11" s="30">
        <v>-128.6</v>
      </c>
      <c r="C11" s="30">
        <v>-16.074999999999999</v>
      </c>
      <c r="D11" s="35">
        <v>2.5</v>
      </c>
      <c r="E11" s="31">
        <v>0.25</v>
      </c>
      <c r="F11" s="31">
        <v>0.75</v>
      </c>
      <c r="G11" s="31">
        <v>0.32203389830508472</v>
      </c>
      <c r="H11" s="31">
        <v>0.2711864406779661</v>
      </c>
      <c r="I11" s="32">
        <v>9442.105263157895</v>
      </c>
      <c r="J11" s="32">
        <v>-11700</v>
      </c>
      <c r="K11" s="31">
        <v>0.375</v>
      </c>
      <c r="L11" s="31">
        <v>0.15254237288135594</v>
      </c>
      <c r="M11" s="31">
        <v>0.3728813559322034</v>
      </c>
      <c r="N11" s="31">
        <v>0.77777777777777779</v>
      </c>
      <c r="O11" s="31">
        <v>0.22727272727272727</v>
      </c>
      <c r="P11" s="31">
        <v>0.36842105263157893</v>
      </c>
    </row>
    <row r="12" spans="1:17" x14ac:dyDescent="0.4">
      <c r="A12" s="33">
        <v>9</v>
      </c>
      <c r="B12" s="30">
        <v>-120</v>
      </c>
      <c r="C12" s="30">
        <v>-13.333333333333334</v>
      </c>
      <c r="D12" s="35">
        <v>2.4444444444444446</v>
      </c>
      <c r="E12" s="31">
        <v>0.22222222222222221</v>
      </c>
      <c r="F12" s="31">
        <v>0.66666666666666663</v>
      </c>
      <c r="G12" s="31">
        <v>0.31818181818181818</v>
      </c>
      <c r="H12" s="31">
        <v>0.24242424242424243</v>
      </c>
      <c r="I12" s="32">
        <v>9809.5238095238092</v>
      </c>
      <c r="J12" s="32">
        <v>-11700</v>
      </c>
      <c r="K12" s="31">
        <v>0.33333333333333331</v>
      </c>
      <c r="L12" s="31">
        <v>0.16666666666666666</v>
      </c>
      <c r="M12" s="31">
        <v>0.34848484848484851</v>
      </c>
      <c r="N12" s="31">
        <v>0.72727272727272729</v>
      </c>
      <c r="O12" s="31">
        <v>0.2608695652173913</v>
      </c>
      <c r="P12" s="31">
        <v>0.38095238095238093</v>
      </c>
    </row>
    <row r="13" spans="1:17" x14ac:dyDescent="0.4">
      <c r="A13" s="33">
        <v>10</v>
      </c>
      <c r="B13" s="30">
        <v>-112.8</v>
      </c>
      <c r="C13" s="30">
        <v>-11.28</v>
      </c>
      <c r="D13" s="35">
        <v>2.4</v>
      </c>
      <c r="E13" s="31">
        <v>0.2</v>
      </c>
      <c r="F13" s="31">
        <v>0.6</v>
      </c>
      <c r="G13" s="31">
        <v>0.32876712328767121</v>
      </c>
      <c r="H13" s="31">
        <v>0.24657534246575341</v>
      </c>
      <c r="I13" s="32">
        <v>9712.5</v>
      </c>
      <c r="J13" s="32">
        <v>-11227.777777777777</v>
      </c>
      <c r="K13" s="31">
        <v>0.3</v>
      </c>
      <c r="L13" s="31">
        <v>0.16438356164383561</v>
      </c>
      <c r="M13" s="31">
        <v>0.34246575342465752</v>
      </c>
      <c r="N13" s="31">
        <v>0.75</v>
      </c>
      <c r="O13" s="31">
        <v>0.24</v>
      </c>
      <c r="P13" s="31">
        <v>0.375</v>
      </c>
    </row>
    <row r="14" spans="1:17" x14ac:dyDescent="0.4">
      <c r="A14" s="33">
        <v>11</v>
      </c>
      <c r="B14" s="30">
        <v>-121</v>
      </c>
      <c r="C14" s="30">
        <v>-11</v>
      </c>
      <c r="D14" s="35">
        <v>2.3636363636363638</v>
      </c>
      <c r="E14" s="31">
        <v>0.18181818181818182</v>
      </c>
      <c r="F14" s="31">
        <v>0.54545454545454541</v>
      </c>
      <c r="G14" s="31">
        <v>0.31707317073170732</v>
      </c>
      <c r="H14" s="31">
        <v>0.24390243902439024</v>
      </c>
      <c r="I14" s="32">
        <v>9503.8461538461543</v>
      </c>
      <c r="J14" s="32">
        <v>-10365</v>
      </c>
      <c r="K14" s="31">
        <v>0.27272727272727271</v>
      </c>
      <c r="L14" s="31">
        <v>0.15853658536585366</v>
      </c>
      <c r="M14" s="31">
        <v>0.32926829268292684</v>
      </c>
      <c r="N14" s="31">
        <v>0.69230769230769229</v>
      </c>
      <c r="O14" s="31">
        <v>0.25925925925925924</v>
      </c>
      <c r="P14" s="31">
        <v>0.34615384615384615</v>
      </c>
    </row>
    <row r="15" spans="1:17" x14ac:dyDescent="0.4">
      <c r="A15" s="33">
        <v>12</v>
      </c>
      <c r="B15" s="30">
        <v>-108.5</v>
      </c>
      <c r="C15" s="30">
        <v>-9.0416666666666661</v>
      </c>
      <c r="D15" s="35">
        <v>2.25</v>
      </c>
      <c r="E15" s="31">
        <v>0.25</v>
      </c>
      <c r="F15" s="31">
        <v>0.5</v>
      </c>
      <c r="G15" s="31">
        <v>0.32222222222222224</v>
      </c>
      <c r="H15" s="31">
        <v>0.24444444444444444</v>
      </c>
      <c r="I15" s="32">
        <v>8979.310344827587</v>
      </c>
      <c r="J15" s="32">
        <v>-9904.545454545454</v>
      </c>
      <c r="K15" s="31">
        <v>0.25</v>
      </c>
      <c r="L15" s="31">
        <v>0.14444444444444443</v>
      </c>
      <c r="M15" s="31">
        <v>0.34444444444444444</v>
      </c>
      <c r="N15" s="31">
        <v>0.69230769230769229</v>
      </c>
      <c r="O15" s="31">
        <v>0.25806451612903225</v>
      </c>
      <c r="P15" s="31">
        <v>0.34482758620689657</v>
      </c>
    </row>
    <row r="16" spans="1:17" x14ac:dyDescent="0.4">
      <c r="A16" s="33">
        <v>13</v>
      </c>
      <c r="B16" s="30">
        <v>-63.4</v>
      </c>
      <c r="C16" s="30">
        <v>-4.8769230769230765</v>
      </c>
      <c r="D16" s="35">
        <v>2.1538461538461537</v>
      </c>
      <c r="E16" s="31">
        <v>0.30769230769230771</v>
      </c>
      <c r="F16" s="31">
        <v>0.46153846153846156</v>
      </c>
      <c r="G16" s="31">
        <v>0.34375</v>
      </c>
      <c r="H16" s="31">
        <v>0.22916666666666666</v>
      </c>
      <c r="I16" s="32">
        <v>9090.9090909090901</v>
      </c>
      <c r="J16" s="32">
        <v>-9904.545454545454</v>
      </c>
      <c r="K16" s="31">
        <v>0.23076923076923078</v>
      </c>
      <c r="L16" s="31">
        <v>0.17708333333333334</v>
      </c>
      <c r="M16" s="31">
        <v>0.33333333333333331</v>
      </c>
      <c r="N16" s="31">
        <v>0.6470588235294118</v>
      </c>
      <c r="O16" s="31">
        <v>0.28125</v>
      </c>
      <c r="P16" s="31">
        <v>0.33333333333333331</v>
      </c>
    </row>
    <row r="17" spans="1:16" x14ac:dyDescent="0.4">
      <c r="A17" s="33">
        <v>14</v>
      </c>
      <c r="B17" s="30">
        <v>-42.4</v>
      </c>
      <c r="C17" s="30">
        <v>-3.0285714285714285</v>
      </c>
      <c r="D17" s="35">
        <v>2.0714285714285716</v>
      </c>
      <c r="E17" s="31">
        <v>0.35714285714285715</v>
      </c>
      <c r="F17" s="31">
        <v>0.42857142857142855</v>
      </c>
      <c r="G17" s="31">
        <v>0.35238095238095241</v>
      </c>
      <c r="H17" s="31">
        <v>0.21904761904761905</v>
      </c>
      <c r="I17" s="32">
        <v>9108.1081081081084</v>
      </c>
      <c r="J17" s="32">
        <v>-9821.7391304347821</v>
      </c>
      <c r="K17" s="31">
        <v>0.21428571428571427</v>
      </c>
      <c r="L17" s="31">
        <v>0.18095238095238095</v>
      </c>
      <c r="M17" s="31">
        <v>0.32380952380952382</v>
      </c>
      <c r="N17" s="31">
        <v>0.68421052631578949</v>
      </c>
      <c r="O17" s="31">
        <v>0.29411764705882354</v>
      </c>
      <c r="P17" s="31">
        <v>0.29729729729729731</v>
      </c>
    </row>
    <row r="18" spans="1:16" x14ac:dyDescent="0.4">
      <c r="A18" s="33">
        <v>15</v>
      </c>
      <c r="B18" s="30">
        <v>-65.7</v>
      </c>
      <c r="C18" s="30">
        <v>-4.38</v>
      </c>
      <c r="D18" s="35">
        <v>2.0666666666666669</v>
      </c>
      <c r="E18" s="31">
        <v>0.33333333333333331</v>
      </c>
      <c r="F18" s="31">
        <v>0.4</v>
      </c>
      <c r="G18" s="31">
        <v>0.33913043478260868</v>
      </c>
      <c r="H18" s="31">
        <v>0.21739130434782608</v>
      </c>
      <c r="I18" s="32">
        <v>9082.0512820512813</v>
      </c>
      <c r="J18" s="32">
        <v>-9836</v>
      </c>
      <c r="K18" s="31">
        <v>0.2</v>
      </c>
      <c r="L18" s="31">
        <v>0.17391304347826086</v>
      </c>
      <c r="M18" s="31">
        <v>0.31304347826086959</v>
      </c>
      <c r="N18" s="31">
        <v>0.65</v>
      </c>
      <c r="O18" s="31">
        <v>0.30555555555555558</v>
      </c>
      <c r="P18" s="31">
        <v>0.30769230769230771</v>
      </c>
    </row>
    <row r="19" spans="1:16" x14ac:dyDescent="0.4">
      <c r="A19" s="33">
        <v>16</v>
      </c>
      <c r="B19" s="30">
        <v>-104.80000000000001</v>
      </c>
      <c r="C19" s="30">
        <v>-6.5500000000000007</v>
      </c>
      <c r="D19" s="35">
        <v>2.125</v>
      </c>
      <c r="E19" s="31">
        <v>0.3125</v>
      </c>
      <c r="F19" s="31">
        <v>0.4375</v>
      </c>
      <c r="G19" s="31">
        <v>0.32258064516129031</v>
      </c>
      <c r="H19" s="31">
        <v>0.22580645161290322</v>
      </c>
      <c r="I19" s="32">
        <v>8987.5</v>
      </c>
      <c r="J19" s="32">
        <v>-9542.8571428571431</v>
      </c>
      <c r="K19" s="31">
        <v>0.1875</v>
      </c>
      <c r="L19" s="31">
        <v>0.19354838709677419</v>
      </c>
      <c r="M19" s="31">
        <v>0.30645161290322581</v>
      </c>
      <c r="N19" s="31">
        <v>0.58333333333333337</v>
      </c>
      <c r="O19" s="31">
        <v>0.28947368421052633</v>
      </c>
      <c r="P19" s="31">
        <v>0.32500000000000001</v>
      </c>
    </row>
    <row r="20" spans="1:16" x14ac:dyDescent="0.4">
      <c r="A20" s="33">
        <v>17</v>
      </c>
      <c r="B20" s="30">
        <v>-52.900000000000013</v>
      </c>
      <c r="C20" s="30">
        <v>-3.1117647058823539</v>
      </c>
      <c r="D20" s="35">
        <v>2.0588235294117645</v>
      </c>
      <c r="E20" s="31">
        <v>0.35294117647058826</v>
      </c>
      <c r="F20" s="31">
        <v>0.41176470588235292</v>
      </c>
      <c r="G20" s="31">
        <v>0.328125</v>
      </c>
      <c r="H20" s="31">
        <v>0.2265625</v>
      </c>
      <c r="I20" s="32">
        <v>9978.5714285714294</v>
      </c>
      <c r="J20" s="32">
        <v>-9479.310344827587</v>
      </c>
      <c r="K20" s="31">
        <v>0.17647058823529413</v>
      </c>
      <c r="L20" s="31">
        <v>0.1953125</v>
      </c>
      <c r="M20" s="31">
        <v>0.3046875</v>
      </c>
      <c r="N20" s="31">
        <v>0.6</v>
      </c>
      <c r="O20" s="31">
        <v>0.28205128205128205</v>
      </c>
      <c r="P20" s="31">
        <v>0.35714285714285715</v>
      </c>
    </row>
    <row r="21" spans="1:16" x14ac:dyDescent="0.4">
      <c r="A21" s="33">
        <v>18</v>
      </c>
      <c r="B21" s="30">
        <v>-45.800000000000011</v>
      </c>
      <c r="C21" s="30">
        <v>-2.5444444444444452</v>
      </c>
      <c r="D21" s="35">
        <v>2.0555555555555554</v>
      </c>
      <c r="E21" s="31">
        <v>0.33333333333333331</v>
      </c>
      <c r="F21" s="31">
        <v>0.3888888888888889</v>
      </c>
      <c r="G21" s="31">
        <v>0.32846715328467152</v>
      </c>
      <c r="H21" s="31">
        <v>0.21897810218978103</v>
      </c>
      <c r="I21" s="32">
        <v>9720</v>
      </c>
      <c r="J21" s="32">
        <v>-9336.6666666666661</v>
      </c>
      <c r="K21" s="31">
        <v>0.16666666666666666</v>
      </c>
      <c r="L21" s="31">
        <v>0.18978102189781021</v>
      </c>
      <c r="M21" s="31">
        <v>0.29927007299270075</v>
      </c>
      <c r="N21" s="31">
        <v>0.57692307692307687</v>
      </c>
      <c r="O21" s="31">
        <v>0.29268292682926828</v>
      </c>
      <c r="P21" s="31">
        <v>0.35555555555555557</v>
      </c>
    </row>
    <row r="22" spans="1:16" x14ac:dyDescent="0.4">
      <c r="A22" s="33">
        <v>19</v>
      </c>
      <c r="B22" s="30">
        <v>-67.600000000000009</v>
      </c>
      <c r="C22" s="30">
        <v>-3.5578947368421057</v>
      </c>
      <c r="D22" s="35">
        <v>2.1052631578947367</v>
      </c>
      <c r="E22" s="31">
        <v>0.31578947368421051</v>
      </c>
      <c r="F22" s="31">
        <v>0.42105263157894735</v>
      </c>
      <c r="G22" s="31">
        <v>0.32167832167832167</v>
      </c>
      <c r="H22" s="31">
        <v>0.21678321678321677</v>
      </c>
      <c r="I22" s="32">
        <v>9676.0869565217399</v>
      </c>
      <c r="J22" s="32">
        <v>-9551.6129032258068</v>
      </c>
      <c r="K22" s="31">
        <v>0.15789473684210525</v>
      </c>
      <c r="L22" s="31">
        <v>0.18181818181818182</v>
      </c>
      <c r="M22" s="31">
        <v>0.30769230769230771</v>
      </c>
      <c r="N22" s="31">
        <v>0.57692307692307687</v>
      </c>
      <c r="O22" s="31">
        <v>0.29545454545454547</v>
      </c>
      <c r="P22" s="31">
        <v>0.36956521739130432</v>
      </c>
    </row>
    <row r="23" spans="1:16" x14ac:dyDescent="0.4">
      <c r="A23" s="33">
        <v>20</v>
      </c>
      <c r="B23" s="30">
        <v>-26.70000000000001</v>
      </c>
      <c r="C23" s="30">
        <v>-1.3350000000000004</v>
      </c>
      <c r="D23" s="35">
        <v>2.0499999999999998</v>
      </c>
      <c r="E23" s="31">
        <v>0.35</v>
      </c>
      <c r="F23" s="31">
        <v>0.4</v>
      </c>
      <c r="G23" s="31">
        <v>0.33774834437086093</v>
      </c>
      <c r="H23" s="31">
        <v>0.20529801324503311</v>
      </c>
      <c r="I23" s="32">
        <v>9411.7647058823532</v>
      </c>
      <c r="J23" s="32">
        <v>-9551.6129032258068</v>
      </c>
      <c r="K23" s="31">
        <v>0.15</v>
      </c>
      <c r="L23" s="31">
        <v>0.19205298013245034</v>
      </c>
      <c r="M23" s="31">
        <v>0.31125827814569534</v>
      </c>
      <c r="N23" s="31">
        <v>0.62068965517241381</v>
      </c>
      <c r="O23" s="31">
        <v>0.2978723404255319</v>
      </c>
      <c r="P23" s="31">
        <v>0.35294117647058826</v>
      </c>
    </row>
    <row r="24" spans="1:16" x14ac:dyDescent="0.4">
      <c r="A24" s="33">
        <v>21</v>
      </c>
      <c r="B24" s="30">
        <v>-41.20000000000001</v>
      </c>
      <c r="C24" s="30">
        <v>-1.9619047619047625</v>
      </c>
      <c r="D24" s="35">
        <v>2.0952380952380953</v>
      </c>
      <c r="E24" s="31">
        <v>0.33333333333333331</v>
      </c>
      <c r="F24" s="31">
        <v>0.42857142857142855</v>
      </c>
      <c r="G24" s="31">
        <v>0.34375</v>
      </c>
      <c r="H24" s="31">
        <v>0.2</v>
      </c>
      <c r="I24" s="32">
        <v>9172.7272727272721</v>
      </c>
      <c r="J24" s="32">
        <v>-9753.125</v>
      </c>
      <c r="K24" s="31">
        <v>0.14285714285714285</v>
      </c>
      <c r="L24" s="31">
        <v>0.20624999999999999</v>
      </c>
      <c r="M24" s="31">
        <v>0.30625000000000002</v>
      </c>
      <c r="N24" s="31">
        <v>0.63636363636363635</v>
      </c>
      <c r="O24" s="31">
        <v>0.2857142857142857</v>
      </c>
      <c r="P24" s="31">
        <v>0.36363636363636365</v>
      </c>
    </row>
    <row r="25" spans="1:16" x14ac:dyDescent="0.4">
      <c r="A25" s="33">
        <v>22</v>
      </c>
      <c r="B25" s="30">
        <v>-38.400000000000013</v>
      </c>
      <c r="C25" s="30">
        <v>-1.745454545454546</v>
      </c>
      <c r="D25" s="35">
        <v>2.0909090909090908</v>
      </c>
      <c r="E25" s="31">
        <v>0.31818181818181818</v>
      </c>
      <c r="F25" s="31">
        <v>0.40909090909090912</v>
      </c>
      <c r="G25" s="31">
        <v>0.33720930232558138</v>
      </c>
      <c r="H25" s="31">
        <v>0.19767441860465115</v>
      </c>
      <c r="I25" s="32">
        <v>9141.3793103448279</v>
      </c>
      <c r="J25" s="32">
        <v>-9464.7058823529405</v>
      </c>
      <c r="K25" s="31">
        <v>0.13636363636363635</v>
      </c>
      <c r="L25" s="31">
        <v>0.19186046511627908</v>
      </c>
      <c r="M25" s="31">
        <v>0.31395348837209303</v>
      </c>
      <c r="N25" s="31">
        <v>0.63636363636363635</v>
      </c>
      <c r="O25" s="31">
        <v>0.29629629629629628</v>
      </c>
      <c r="P25" s="31">
        <v>0.37931034482758619</v>
      </c>
    </row>
    <row r="26" spans="1:16" x14ac:dyDescent="0.4">
      <c r="A26" s="33">
        <v>23</v>
      </c>
      <c r="B26" s="30">
        <v>-83.9</v>
      </c>
      <c r="C26" s="30">
        <v>-3.6478260869565218</v>
      </c>
      <c r="D26" s="35">
        <v>2.1304347826086958</v>
      </c>
      <c r="E26" s="31">
        <v>0.30434782608695654</v>
      </c>
      <c r="F26" s="31">
        <v>0.43478260869565216</v>
      </c>
      <c r="G26" s="31">
        <v>0.32240437158469948</v>
      </c>
      <c r="H26" s="31">
        <v>0.19672131147540983</v>
      </c>
      <c r="I26" s="32">
        <v>9116.9491525423728</v>
      </c>
      <c r="J26" s="32">
        <v>-9605.5555555555547</v>
      </c>
      <c r="K26" s="31">
        <v>0.17391304347826086</v>
      </c>
      <c r="L26" s="31">
        <v>0.18579234972677597</v>
      </c>
      <c r="M26" s="31">
        <v>0.31693989071038253</v>
      </c>
      <c r="N26" s="31">
        <v>0.61764705882352944</v>
      </c>
      <c r="O26" s="31">
        <v>0.29310344827586204</v>
      </c>
      <c r="P26" s="31">
        <v>0.3728813559322034</v>
      </c>
    </row>
    <row r="27" spans="1:16" x14ac:dyDescent="0.4">
      <c r="A27" s="33">
        <v>24</v>
      </c>
      <c r="B27" s="30">
        <v>-68.600000000000009</v>
      </c>
      <c r="C27" s="30">
        <v>-2.8583333333333338</v>
      </c>
      <c r="D27" s="35">
        <v>2.0833333333333335</v>
      </c>
      <c r="E27" s="31">
        <v>0.33333333333333331</v>
      </c>
      <c r="F27" s="31">
        <v>0.41666666666666669</v>
      </c>
      <c r="G27" s="31">
        <v>0.3193717277486911</v>
      </c>
      <c r="H27" s="31">
        <v>0.19895287958115182</v>
      </c>
      <c r="I27" s="32">
        <v>9042.622950819672</v>
      </c>
      <c r="J27" s="32">
        <v>-9378.9473684210534</v>
      </c>
      <c r="K27" s="31">
        <v>0.16666666666666666</v>
      </c>
      <c r="L27" s="31">
        <v>0.18324607329842932</v>
      </c>
      <c r="M27" s="31">
        <v>0.31413612565445026</v>
      </c>
      <c r="N27" s="31">
        <v>0.62857142857142856</v>
      </c>
      <c r="O27" s="31">
        <v>0.28333333333333333</v>
      </c>
      <c r="P27" s="31">
        <v>0.39344262295081966</v>
      </c>
    </row>
    <row r="28" spans="1:16" x14ac:dyDescent="0.4">
      <c r="A28" s="33">
        <v>25</v>
      </c>
      <c r="B28" s="30">
        <v>-49.100000000000009</v>
      </c>
      <c r="C28" s="30">
        <v>-1.9640000000000004</v>
      </c>
      <c r="D28" s="35">
        <v>2.04</v>
      </c>
      <c r="E28" s="31">
        <v>0.36</v>
      </c>
      <c r="F28" s="31">
        <v>0.4</v>
      </c>
      <c r="G28" s="31">
        <v>0.32663316582914576</v>
      </c>
      <c r="H28" s="31">
        <v>0.19597989949748743</v>
      </c>
      <c r="I28" s="32">
        <v>8783.0769230769238</v>
      </c>
      <c r="J28" s="32">
        <v>-9212.8205128205136</v>
      </c>
      <c r="K28" s="31">
        <v>0.16</v>
      </c>
      <c r="L28" s="31">
        <v>0.17587939698492464</v>
      </c>
      <c r="M28" s="31">
        <v>0.30150753768844218</v>
      </c>
      <c r="N28" s="31">
        <v>0.62857142857142856</v>
      </c>
      <c r="O28" s="31">
        <v>0.28333333333333333</v>
      </c>
      <c r="P28" s="31">
        <v>0.36923076923076925</v>
      </c>
    </row>
    <row r="29" spans="1:16" x14ac:dyDescent="0.4">
      <c r="A29" s="33">
        <v>26</v>
      </c>
      <c r="B29" s="30">
        <v>-58.000000000000007</v>
      </c>
      <c r="C29" s="30">
        <v>-2.2307692307692308</v>
      </c>
      <c r="D29" s="35">
        <v>2.0384615384615383</v>
      </c>
      <c r="E29" s="31">
        <v>0.34615384615384615</v>
      </c>
      <c r="F29" s="31">
        <v>0.38461538461538464</v>
      </c>
      <c r="G29" s="31">
        <v>0.32038834951456313</v>
      </c>
      <c r="H29" s="31">
        <v>0.1941747572815534</v>
      </c>
      <c r="I29" s="32">
        <v>8681.818181818182</v>
      </c>
      <c r="J29" s="32">
        <v>-9007.5</v>
      </c>
      <c r="K29" s="31">
        <v>0.15384615384615385</v>
      </c>
      <c r="L29" s="31">
        <v>0.17475728155339806</v>
      </c>
      <c r="M29" s="31">
        <v>0.30582524271844658</v>
      </c>
      <c r="N29" s="31">
        <v>0.61111111111111116</v>
      </c>
      <c r="O29" s="31">
        <v>0.2857142857142857</v>
      </c>
      <c r="P29" s="31">
        <v>0.37878787878787878</v>
      </c>
    </row>
    <row r="30" spans="1:16" x14ac:dyDescent="0.4">
      <c r="A30" s="33">
        <v>27</v>
      </c>
      <c r="B30" s="30">
        <v>-62.70000000000001</v>
      </c>
      <c r="C30" s="30">
        <v>-2.3222222222222224</v>
      </c>
      <c r="D30" s="35">
        <v>2.0370370370370372</v>
      </c>
      <c r="E30" s="31">
        <v>0.33333333333333331</v>
      </c>
      <c r="F30" s="31">
        <v>0.37037037037037035</v>
      </c>
      <c r="G30" s="31">
        <v>0.31627906976744186</v>
      </c>
      <c r="H30" s="31">
        <v>0.18604651162790697</v>
      </c>
      <c r="I30" s="32">
        <v>8617.6470588235297</v>
      </c>
      <c r="J30" s="32">
        <v>-9007.5</v>
      </c>
      <c r="K30" s="31">
        <v>0.14814814814814814</v>
      </c>
      <c r="L30" s="31">
        <v>0.16744186046511628</v>
      </c>
      <c r="M30" s="31">
        <v>0.30232558139534882</v>
      </c>
      <c r="N30" s="31">
        <v>0.61111111111111116</v>
      </c>
      <c r="O30" s="31">
        <v>0.29230769230769232</v>
      </c>
      <c r="P30" s="31">
        <v>0.39705882352941174</v>
      </c>
    </row>
    <row r="31" spans="1:16" x14ac:dyDescent="0.4">
      <c r="A31" s="33">
        <v>28</v>
      </c>
      <c r="B31" s="30">
        <v>-104.30000000000001</v>
      </c>
      <c r="C31" s="30">
        <v>-3.7250000000000005</v>
      </c>
      <c r="D31" s="35">
        <v>2.0714285714285716</v>
      </c>
      <c r="E31" s="31">
        <v>0.32142857142857145</v>
      </c>
      <c r="F31" s="31">
        <v>0.39285714285714285</v>
      </c>
      <c r="G31" s="31">
        <v>0.3108108108108108</v>
      </c>
      <c r="H31" s="31">
        <v>0.18468468468468469</v>
      </c>
      <c r="I31" s="32">
        <v>8523.188405797102</v>
      </c>
      <c r="J31" s="32">
        <v>-8975.6097560975613</v>
      </c>
      <c r="K31" s="31">
        <v>0.14285714285714285</v>
      </c>
      <c r="L31" s="31">
        <v>0.16216216216216217</v>
      </c>
      <c r="M31" s="31">
        <v>0.30180180180180183</v>
      </c>
      <c r="N31" s="31">
        <v>0.61111111111111116</v>
      </c>
      <c r="O31" s="31">
        <v>0.29850746268656714</v>
      </c>
      <c r="P31" s="31">
        <v>0.40579710144927539</v>
      </c>
    </row>
    <row r="32" spans="1:16" x14ac:dyDescent="0.4">
      <c r="A32" s="33">
        <v>29</v>
      </c>
      <c r="B32" s="30">
        <v>-140.5</v>
      </c>
      <c r="C32" s="30">
        <v>-4.8448275862068968</v>
      </c>
      <c r="D32" s="35">
        <v>2.103448275862069</v>
      </c>
      <c r="E32" s="31">
        <v>0.31034482758620691</v>
      </c>
      <c r="F32" s="31">
        <v>0.41379310344827586</v>
      </c>
      <c r="G32" s="31">
        <v>0.30735930735930733</v>
      </c>
      <c r="H32" s="31">
        <v>0.18181818181818182</v>
      </c>
      <c r="I32" s="32">
        <v>8347.8873239436616</v>
      </c>
      <c r="J32" s="32">
        <v>-9142.8571428571431</v>
      </c>
      <c r="K32" s="31">
        <v>0.13793103448275862</v>
      </c>
      <c r="L32" s="31">
        <v>0.16883116883116883</v>
      </c>
      <c r="M32" s="31">
        <v>0.29870129870129869</v>
      </c>
      <c r="N32" s="31">
        <v>0.61538461538461542</v>
      </c>
      <c r="O32" s="31">
        <v>0.28985507246376813</v>
      </c>
      <c r="P32" s="31">
        <v>0.39436619718309857</v>
      </c>
    </row>
    <row r="33" spans="1:16" x14ac:dyDescent="0.4">
      <c r="A33" s="33">
        <v>30</v>
      </c>
      <c r="B33" s="30">
        <v>-181.3</v>
      </c>
      <c r="C33" s="30">
        <v>-6.0433333333333339</v>
      </c>
      <c r="D33" s="35">
        <v>2.1333333333333333</v>
      </c>
      <c r="E33" s="31">
        <v>0.3</v>
      </c>
      <c r="F33" s="31">
        <v>0.43333333333333335</v>
      </c>
      <c r="G33" s="31">
        <v>0.29957805907172996</v>
      </c>
      <c r="H33" s="31">
        <v>0.18143459915611815</v>
      </c>
      <c r="I33" s="32">
        <v>8347.8873239436616</v>
      </c>
      <c r="J33" s="32">
        <v>-9116.2790697674427</v>
      </c>
      <c r="K33" s="31">
        <v>0.13333333333333333</v>
      </c>
      <c r="L33" s="31">
        <v>0.16877637130801687</v>
      </c>
      <c r="M33" s="31">
        <v>0.29535864978902954</v>
      </c>
      <c r="N33" s="31">
        <v>0.6</v>
      </c>
      <c r="O33" s="31">
        <v>0.2857142857142857</v>
      </c>
      <c r="P33" s="31">
        <v>0.39436619718309857</v>
      </c>
    </row>
    <row r="34" spans="1:16" x14ac:dyDescent="0.4">
      <c r="A34" s="33">
        <v>31</v>
      </c>
      <c r="B34" s="30">
        <v>-180.3</v>
      </c>
      <c r="C34" s="30">
        <v>-5.8161290322580648</v>
      </c>
      <c r="D34" s="35">
        <v>2.129032258064516</v>
      </c>
      <c r="E34" s="31">
        <v>0.29032258064516131</v>
      </c>
      <c r="F34" s="31">
        <v>0.41935483870967744</v>
      </c>
      <c r="G34" s="31">
        <v>0.29629629629629628</v>
      </c>
      <c r="H34" s="31">
        <v>0.17695473251028807</v>
      </c>
      <c r="I34" s="32">
        <v>8343.0555555555547</v>
      </c>
      <c r="J34" s="32">
        <v>-9116.2790697674427</v>
      </c>
      <c r="K34" s="31">
        <v>0.12903225806451613</v>
      </c>
      <c r="L34" s="31">
        <v>0.16460905349794239</v>
      </c>
      <c r="M34" s="31">
        <v>0.29218106995884774</v>
      </c>
      <c r="N34" s="31">
        <v>0.6</v>
      </c>
      <c r="O34" s="31">
        <v>0.29577464788732394</v>
      </c>
      <c r="P34" s="31">
        <v>0.3888888888888889</v>
      </c>
    </row>
    <row r="35" spans="1:16" x14ac:dyDescent="0.4">
      <c r="A35" s="33">
        <v>32</v>
      </c>
      <c r="B35" s="30">
        <v>-199.60000000000002</v>
      </c>
      <c r="C35" s="30">
        <v>-6.2375000000000007</v>
      </c>
      <c r="D35" s="35">
        <v>2.15625</v>
      </c>
      <c r="E35" s="31">
        <v>0.28125</v>
      </c>
      <c r="F35" s="31">
        <v>0.4375</v>
      </c>
      <c r="G35" s="31">
        <v>0.3</v>
      </c>
      <c r="H35" s="31">
        <v>0.17599999999999999</v>
      </c>
      <c r="I35" s="32">
        <v>8145.333333333333</v>
      </c>
      <c r="J35" s="32">
        <v>-9090.9090909090901</v>
      </c>
      <c r="K35" s="31">
        <v>0.125</v>
      </c>
      <c r="L35" s="31">
        <v>0.16400000000000001</v>
      </c>
      <c r="M35" s="31">
        <v>0.29599999999999999</v>
      </c>
      <c r="N35" s="31">
        <v>0.6097560975609756</v>
      </c>
      <c r="O35" s="31">
        <v>0.3108108108108108</v>
      </c>
      <c r="P35" s="31">
        <v>0.38666666666666666</v>
      </c>
    </row>
    <row r="36" spans="1:16" x14ac:dyDescent="0.4">
      <c r="A36" s="33">
        <v>33</v>
      </c>
      <c r="B36" s="30">
        <v>-242.10000000000002</v>
      </c>
      <c r="C36" s="30">
        <v>-7.3363636363636369</v>
      </c>
      <c r="D36" s="35">
        <v>2.1818181818181817</v>
      </c>
      <c r="E36" s="31">
        <v>0.27272727272727271</v>
      </c>
      <c r="F36" s="31">
        <v>0.45454545454545453</v>
      </c>
      <c r="G36" s="31">
        <v>0.29615384615384616</v>
      </c>
      <c r="H36" s="31">
        <v>0.18461538461538463</v>
      </c>
      <c r="I36" s="32">
        <v>8141.5584415584417</v>
      </c>
      <c r="J36" s="32">
        <v>-9333.3333333333339</v>
      </c>
      <c r="K36" s="31">
        <v>0.12121212121212122</v>
      </c>
      <c r="L36" s="31">
        <v>0.16923076923076924</v>
      </c>
      <c r="M36" s="31">
        <v>0.28846153846153844</v>
      </c>
      <c r="N36" s="31">
        <v>0.61363636363636365</v>
      </c>
      <c r="O36" s="31">
        <v>0.30666666666666664</v>
      </c>
      <c r="P36" s="31">
        <v>0.38961038961038963</v>
      </c>
    </row>
    <row r="37" spans="1:16" x14ac:dyDescent="0.4">
      <c r="A37" s="33">
        <v>34</v>
      </c>
      <c r="B37" s="30">
        <v>-238.00000000000003</v>
      </c>
      <c r="C37" s="30">
        <v>-7.0000000000000009</v>
      </c>
      <c r="D37" s="35">
        <v>2.1764705882352939</v>
      </c>
      <c r="E37" s="31">
        <v>0.26470588235294118</v>
      </c>
      <c r="F37" s="31">
        <v>0.44117647058823528</v>
      </c>
      <c r="G37" s="31">
        <v>0.29699248120300753</v>
      </c>
      <c r="H37" s="31">
        <v>0.18045112781954886</v>
      </c>
      <c r="I37" s="32">
        <v>8153.164556962025</v>
      </c>
      <c r="J37" s="32">
        <v>-9333.3333333333339</v>
      </c>
      <c r="K37" s="31">
        <v>0.11764705882352941</v>
      </c>
      <c r="L37" s="31">
        <v>0.16917293233082706</v>
      </c>
      <c r="M37" s="31">
        <v>0.28195488721804512</v>
      </c>
      <c r="N37" s="31">
        <v>0.62222222222222223</v>
      </c>
      <c r="O37" s="31">
        <v>0.30666666666666664</v>
      </c>
      <c r="P37" s="31">
        <v>0.379746835443038</v>
      </c>
    </row>
    <row r="38" spans="1:16" x14ac:dyDescent="0.4">
      <c r="A38" s="33">
        <v>35</v>
      </c>
      <c r="B38" s="30">
        <v>-209.50000000000003</v>
      </c>
      <c r="C38" s="30">
        <v>-5.9857142857142867</v>
      </c>
      <c r="D38" s="35">
        <v>2.1428571428571428</v>
      </c>
      <c r="E38" s="31">
        <v>0.2857142857142857</v>
      </c>
      <c r="F38" s="31">
        <v>0.42857142857142855</v>
      </c>
      <c r="G38" s="31">
        <v>0.3014705882352941</v>
      </c>
      <c r="H38" s="31">
        <v>0.17647058823529413</v>
      </c>
      <c r="I38" s="32">
        <v>8186.5853658536589</v>
      </c>
      <c r="J38" s="32">
        <v>-9333.3333333333339</v>
      </c>
      <c r="K38" s="31">
        <v>0.11428571428571428</v>
      </c>
      <c r="L38" s="31">
        <v>0.17279411764705882</v>
      </c>
      <c r="M38" s="31">
        <v>0.28308823529411764</v>
      </c>
      <c r="N38" s="31">
        <v>0.63829787234042556</v>
      </c>
      <c r="O38" s="31">
        <v>0.31168831168831168</v>
      </c>
      <c r="P38" s="31">
        <v>0.3902439024390244</v>
      </c>
    </row>
    <row r="39" spans="1:16" x14ac:dyDescent="0.4">
      <c r="A39" s="33">
        <v>36</v>
      </c>
      <c r="B39" s="30">
        <v>-215.90000000000003</v>
      </c>
      <c r="C39" s="30">
        <v>-5.9972222222222236</v>
      </c>
      <c r="D39" s="35">
        <v>2.1388888888888888</v>
      </c>
      <c r="E39" s="31">
        <v>0.27777777777777779</v>
      </c>
      <c r="F39" s="31">
        <v>0.41666666666666669</v>
      </c>
      <c r="G39" s="31">
        <v>0.30107526881720431</v>
      </c>
      <c r="H39" s="31">
        <v>0.17921146953405018</v>
      </c>
      <c r="I39" s="32">
        <v>8229.7619047619046</v>
      </c>
      <c r="J39" s="32">
        <v>-9328</v>
      </c>
      <c r="K39" s="31">
        <v>0.1111111111111111</v>
      </c>
      <c r="L39" s="31">
        <v>0.17562724014336917</v>
      </c>
      <c r="M39" s="31">
        <v>0.28673835125448027</v>
      </c>
      <c r="N39" s="31">
        <v>0.63265306122448983</v>
      </c>
      <c r="O39" s="31">
        <v>0.3125</v>
      </c>
      <c r="P39" s="31">
        <v>0.40476190476190477</v>
      </c>
    </row>
    <row r="40" spans="1:16" x14ac:dyDescent="0.4">
      <c r="A40" s="33">
        <v>37</v>
      </c>
      <c r="B40" s="30">
        <v>-222.60000000000002</v>
      </c>
      <c r="C40" s="30">
        <v>-6.0162162162162165</v>
      </c>
      <c r="D40" s="35">
        <v>2.1351351351351351</v>
      </c>
      <c r="E40" s="31">
        <v>0.27027027027027029</v>
      </c>
      <c r="F40" s="31">
        <v>0.40540540540540543</v>
      </c>
      <c r="G40" s="31">
        <v>0.30313588850174217</v>
      </c>
      <c r="H40" s="31">
        <v>0.17770034843205576</v>
      </c>
      <c r="I40" s="32">
        <v>8110.3448275862065</v>
      </c>
      <c r="J40" s="32">
        <v>-9301.9607843137255</v>
      </c>
      <c r="K40" s="31">
        <v>0.10810810810810811</v>
      </c>
      <c r="L40" s="31">
        <v>0.18118466898954705</v>
      </c>
      <c r="M40" s="31">
        <v>0.28222996515679444</v>
      </c>
      <c r="N40" s="31">
        <v>0.63461538461538458</v>
      </c>
      <c r="O40" s="31">
        <v>0.32098765432098764</v>
      </c>
      <c r="P40" s="31">
        <v>0.41379310344827586</v>
      </c>
    </row>
    <row r="41" spans="1:16" x14ac:dyDescent="0.4">
      <c r="A41" s="33">
        <v>38</v>
      </c>
      <c r="B41" s="30">
        <v>-198.20000000000002</v>
      </c>
      <c r="C41" s="30">
        <v>-5.215789473684211</v>
      </c>
      <c r="D41" s="35">
        <v>2.1052631578947367</v>
      </c>
      <c r="E41" s="31">
        <v>0.28947368421052633</v>
      </c>
      <c r="F41" s="31">
        <v>0.39473684210526316</v>
      </c>
      <c r="G41" s="31">
        <v>0.30952380952380953</v>
      </c>
      <c r="H41" s="31">
        <v>0.17687074829931973</v>
      </c>
      <c r="I41" s="32">
        <v>8087.9120879120883</v>
      </c>
      <c r="J41" s="32">
        <v>-9161.538461538461</v>
      </c>
      <c r="K41" s="31">
        <v>0.10526315789473684</v>
      </c>
      <c r="L41" s="31">
        <v>0.17687074829931973</v>
      </c>
      <c r="M41" s="31">
        <v>0.27551020408163263</v>
      </c>
      <c r="N41" s="31">
        <v>0.63461538461538458</v>
      </c>
      <c r="O41" s="31">
        <v>0.32098765432098764</v>
      </c>
      <c r="P41" s="31">
        <v>0.43956043956043955</v>
      </c>
    </row>
    <row r="42" spans="1:16" x14ac:dyDescent="0.4">
      <c r="A42" s="33">
        <v>39</v>
      </c>
      <c r="B42" s="30">
        <v>-153.30000000000001</v>
      </c>
      <c r="C42" s="30">
        <v>-3.930769230769231</v>
      </c>
      <c r="D42" s="35">
        <v>2.0769230769230771</v>
      </c>
      <c r="E42" s="31">
        <v>0.30769230769230771</v>
      </c>
      <c r="F42" s="31">
        <v>0.38461538461538464</v>
      </c>
      <c r="G42" s="31">
        <v>0.32</v>
      </c>
      <c r="H42" s="31">
        <v>0.17333333333333334</v>
      </c>
      <c r="I42" s="32">
        <v>7946.875</v>
      </c>
      <c r="J42" s="32">
        <v>-9161.538461538461</v>
      </c>
      <c r="K42" s="31">
        <v>0.10256410256410256</v>
      </c>
      <c r="L42" s="31">
        <v>0.17333333333333334</v>
      </c>
      <c r="M42" s="31">
        <v>0.27333333333333332</v>
      </c>
      <c r="N42" s="31">
        <v>0.63461538461538458</v>
      </c>
      <c r="O42" s="31">
        <v>0.32926829268292684</v>
      </c>
      <c r="P42" s="31">
        <v>0.44791666666666669</v>
      </c>
    </row>
    <row r="43" spans="1:16" x14ac:dyDescent="0.4">
      <c r="A43" s="33">
        <v>40</v>
      </c>
      <c r="B43" s="30">
        <v>-153.5</v>
      </c>
      <c r="C43" s="30">
        <v>-3.8374999999999999</v>
      </c>
      <c r="D43" s="35">
        <v>2.0750000000000002</v>
      </c>
      <c r="E43" s="31">
        <v>0.3</v>
      </c>
      <c r="F43" s="31">
        <v>0.375</v>
      </c>
      <c r="G43" s="31">
        <v>0.32142857142857145</v>
      </c>
      <c r="H43" s="31">
        <v>0.16883116883116883</v>
      </c>
      <c r="I43" s="32">
        <v>7921.212121212121</v>
      </c>
      <c r="J43" s="32">
        <v>-9161.538461538461</v>
      </c>
      <c r="K43" s="31">
        <v>0.1</v>
      </c>
      <c r="L43" s="31">
        <v>0.17207792207792208</v>
      </c>
      <c r="M43" s="31">
        <v>0.27272727272727271</v>
      </c>
      <c r="N43" s="31">
        <v>0.64150943396226412</v>
      </c>
      <c r="O43" s="31">
        <v>0.33333333333333331</v>
      </c>
      <c r="P43" s="31">
        <v>0.46464646464646464</v>
      </c>
    </row>
    <row r="44" spans="1:16" x14ac:dyDescent="0.4">
      <c r="A44" s="33">
        <v>41</v>
      </c>
      <c r="B44" s="30">
        <v>-200.3</v>
      </c>
      <c r="C44" s="30">
        <v>-4.8853658536585369</v>
      </c>
      <c r="D44" s="35">
        <v>2.0975609756097562</v>
      </c>
      <c r="E44" s="31">
        <v>0.29268292682926828</v>
      </c>
      <c r="F44" s="31">
        <v>0.3902439024390244</v>
      </c>
      <c r="G44" s="31">
        <v>0.31746031746031744</v>
      </c>
      <c r="H44" s="31">
        <v>0.17142857142857143</v>
      </c>
      <c r="I44" s="32">
        <v>7881</v>
      </c>
      <c r="J44" s="32">
        <v>-9251.8518518518522</v>
      </c>
      <c r="K44" s="31">
        <v>0.12195121951219512</v>
      </c>
      <c r="L44" s="31">
        <v>0.17460317460317459</v>
      </c>
      <c r="M44" s="31">
        <v>0.26984126984126983</v>
      </c>
      <c r="N44" s="31">
        <v>0.63636363636363635</v>
      </c>
      <c r="O44" s="31">
        <v>0.32941176470588235</v>
      </c>
      <c r="P44" s="31">
        <v>0.46</v>
      </c>
    </row>
    <row r="45" spans="1:16" x14ac:dyDescent="0.4">
      <c r="A45" s="33">
        <v>42</v>
      </c>
      <c r="B45" s="30">
        <v>-193.20000000000002</v>
      </c>
      <c r="C45" s="30">
        <v>-4.6000000000000005</v>
      </c>
      <c r="D45" s="35">
        <v>2.0952380952380953</v>
      </c>
      <c r="E45" s="31">
        <v>0.2857142857142857</v>
      </c>
      <c r="F45" s="31">
        <v>0.38095238095238093</v>
      </c>
      <c r="G45" s="31">
        <v>0.31578947368421051</v>
      </c>
      <c r="H45" s="31">
        <v>0.17337461300309598</v>
      </c>
      <c r="I45" s="32">
        <v>8118.6274509803925</v>
      </c>
      <c r="J45" s="32">
        <v>-9228.5714285714294</v>
      </c>
      <c r="K45" s="31">
        <v>0.11904761904761904</v>
      </c>
      <c r="L45" s="31">
        <v>0.17647058823529413</v>
      </c>
      <c r="M45" s="31">
        <v>0.26934984520123839</v>
      </c>
      <c r="N45" s="31">
        <v>0.64912280701754388</v>
      </c>
      <c r="O45" s="31">
        <v>0.32183908045977011</v>
      </c>
      <c r="P45" s="31">
        <v>0.46078431372549017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5AC0B-1691-4974-B587-8C4EFE073065}">
  <sheetPr codeName="Sheet20"/>
  <dimension ref="A1:Q1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-30.5</v>
      </c>
      <c r="C4" s="30">
        <v>-30.5</v>
      </c>
      <c r="D4" s="35">
        <v>2</v>
      </c>
      <c r="E4" s="31">
        <v>0</v>
      </c>
      <c r="F4" s="31">
        <v>0</v>
      </c>
      <c r="G4" s="31">
        <v>0</v>
      </c>
      <c r="H4" s="31">
        <v>0.125</v>
      </c>
      <c r="I4" s="32">
        <v>0</v>
      </c>
      <c r="J4" s="32">
        <v>-3900</v>
      </c>
      <c r="K4" s="31">
        <v>0</v>
      </c>
      <c r="L4" s="31">
        <v>0</v>
      </c>
      <c r="M4" s="31">
        <v>0.125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-28.6</v>
      </c>
      <c r="C5" s="30">
        <v>-14.3</v>
      </c>
      <c r="D5" s="35">
        <v>2</v>
      </c>
      <c r="E5" s="31">
        <v>0</v>
      </c>
      <c r="F5" s="31">
        <v>0</v>
      </c>
      <c r="G5" s="31">
        <v>0.14285714285714285</v>
      </c>
      <c r="H5" s="31">
        <v>7.1428571428571425E-2</v>
      </c>
      <c r="I5" s="32">
        <v>4600</v>
      </c>
      <c r="J5" s="32">
        <v>-3900</v>
      </c>
      <c r="K5" s="31">
        <v>0</v>
      </c>
      <c r="L5" s="31">
        <v>7.1428571428571425E-2</v>
      </c>
      <c r="M5" s="31">
        <v>7.1428571428571425E-2</v>
      </c>
      <c r="N5" s="31">
        <v>1</v>
      </c>
      <c r="O5" s="31">
        <v>0</v>
      </c>
      <c r="P5" s="31">
        <v>0.5</v>
      </c>
    </row>
    <row r="6" spans="1:17" x14ac:dyDescent="0.4">
      <c r="A6" s="33">
        <v>3</v>
      </c>
      <c r="B6" s="30">
        <v>-41.400000000000006</v>
      </c>
      <c r="C6" s="30">
        <v>-13.800000000000002</v>
      </c>
      <c r="D6" s="35">
        <v>2.3333333333333335</v>
      </c>
      <c r="E6" s="31">
        <v>0</v>
      </c>
      <c r="F6" s="31">
        <v>0.33333333333333331</v>
      </c>
      <c r="G6" s="31">
        <v>0.2</v>
      </c>
      <c r="H6" s="31">
        <v>0.05</v>
      </c>
      <c r="I6" s="32">
        <v>5100</v>
      </c>
      <c r="J6" s="32">
        <v>-3900</v>
      </c>
      <c r="K6" s="31">
        <v>0</v>
      </c>
      <c r="L6" s="31">
        <v>0.2</v>
      </c>
      <c r="M6" s="31">
        <v>0.05</v>
      </c>
      <c r="N6" s="31">
        <v>0.75</v>
      </c>
      <c r="O6" s="31">
        <v>0</v>
      </c>
      <c r="P6" s="31">
        <v>0.25</v>
      </c>
    </row>
    <row r="7" spans="1:17" x14ac:dyDescent="0.4">
      <c r="A7" s="33">
        <v>4</v>
      </c>
      <c r="B7" s="30">
        <v>-56.000000000000007</v>
      </c>
      <c r="C7" s="30">
        <v>-14.000000000000002</v>
      </c>
      <c r="D7" s="35">
        <v>2.25</v>
      </c>
      <c r="E7" s="31">
        <v>0</v>
      </c>
      <c r="F7" s="31">
        <v>0.25</v>
      </c>
      <c r="G7" s="31">
        <v>0.15384615384615385</v>
      </c>
      <c r="H7" s="31">
        <v>0.11538461538461539</v>
      </c>
      <c r="I7" s="32">
        <v>5100</v>
      </c>
      <c r="J7" s="32">
        <v>-5000</v>
      </c>
      <c r="K7" s="31">
        <v>0</v>
      </c>
      <c r="L7" s="31">
        <v>0.19230769230769232</v>
      </c>
      <c r="M7" s="31">
        <v>0.11538461538461539</v>
      </c>
      <c r="N7" s="31">
        <v>0.6</v>
      </c>
      <c r="O7" s="31">
        <v>0</v>
      </c>
      <c r="P7" s="31">
        <v>0.25</v>
      </c>
    </row>
    <row r="8" spans="1:17" x14ac:dyDescent="0.4">
      <c r="A8" s="33">
        <v>5</v>
      </c>
      <c r="B8" s="30">
        <v>-64.400000000000006</v>
      </c>
      <c r="C8" s="30">
        <v>-12.88</v>
      </c>
      <c r="D8" s="35">
        <v>2.2000000000000002</v>
      </c>
      <c r="E8" s="31">
        <v>0</v>
      </c>
      <c r="F8" s="31">
        <v>0.2</v>
      </c>
      <c r="G8" s="31">
        <v>0.17647058823529413</v>
      </c>
      <c r="H8" s="31">
        <v>0.11764705882352941</v>
      </c>
      <c r="I8" s="32">
        <v>4566.666666666667</v>
      </c>
      <c r="J8" s="32">
        <v>-4400</v>
      </c>
      <c r="K8" s="31">
        <v>0</v>
      </c>
      <c r="L8" s="31">
        <v>0.23529411764705882</v>
      </c>
      <c r="M8" s="31">
        <v>0.17647058823529413</v>
      </c>
      <c r="N8" s="31">
        <v>0.5</v>
      </c>
      <c r="O8" s="31">
        <v>0.16666666666666666</v>
      </c>
      <c r="P8" s="31">
        <v>0.33333333333333331</v>
      </c>
    </row>
    <row r="9" spans="1:17" x14ac:dyDescent="0.4">
      <c r="A9" s="33">
        <v>6</v>
      </c>
      <c r="B9" s="30">
        <v>-97.800000000000011</v>
      </c>
      <c r="C9" s="30">
        <v>-16.3</v>
      </c>
      <c r="D9" s="35">
        <v>2.1666666666666665</v>
      </c>
      <c r="E9" s="31">
        <v>0</v>
      </c>
      <c r="F9" s="31">
        <v>0.16666666666666666</v>
      </c>
      <c r="G9" s="31">
        <v>0.15909090909090909</v>
      </c>
      <c r="H9" s="31">
        <v>9.0909090909090912E-2</v>
      </c>
      <c r="I9" s="32">
        <v>5014.2857142857147</v>
      </c>
      <c r="J9" s="32">
        <v>-4400</v>
      </c>
      <c r="K9" s="31">
        <v>0</v>
      </c>
      <c r="L9" s="31">
        <v>0.20454545454545456</v>
      </c>
      <c r="M9" s="31">
        <v>0.18181818181818182</v>
      </c>
      <c r="N9" s="31">
        <v>0.44444444444444442</v>
      </c>
      <c r="O9" s="31">
        <v>0.25</v>
      </c>
      <c r="P9" s="31">
        <v>0.2857142857142857</v>
      </c>
    </row>
    <row r="10" spans="1:17" x14ac:dyDescent="0.4">
      <c r="A10" s="33">
        <v>7</v>
      </c>
      <c r="B10" s="30">
        <v>-56.500000000000014</v>
      </c>
      <c r="C10" s="30">
        <v>-8.071428571428573</v>
      </c>
      <c r="D10" s="35">
        <v>2</v>
      </c>
      <c r="E10" s="31">
        <v>0.14285714285714285</v>
      </c>
      <c r="F10" s="31">
        <v>0.14285714285714285</v>
      </c>
      <c r="G10" s="31">
        <v>0.20370370370370369</v>
      </c>
      <c r="H10" s="31">
        <v>9.2592592592592587E-2</v>
      </c>
      <c r="I10" s="32">
        <v>7436.363636363636</v>
      </c>
      <c r="J10" s="32">
        <v>-4300</v>
      </c>
      <c r="K10" s="31">
        <v>0</v>
      </c>
      <c r="L10" s="31">
        <v>0.24074074074074073</v>
      </c>
      <c r="M10" s="31">
        <v>0.14814814814814814</v>
      </c>
      <c r="N10" s="31">
        <v>0.61538461538461542</v>
      </c>
      <c r="O10" s="31">
        <v>0.25</v>
      </c>
      <c r="P10" s="31">
        <v>0.45454545454545453</v>
      </c>
    </row>
    <row r="11" spans="1:17" x14ac:dyDescent="0.4">
      <c r="A11" s="33">
        <v>8</v>
      </c>
      <c r="B11" s="30">
        <v>7.4999999999999858</v>
      </c>
      <c r="C11" s="30">
        <v>0.93749999999999822</v>
      </c>
      <c r="D11" s="35">
        <v>1.875</v>
      </c>
      <c r="E11" s="31">
        <v>0.25</v>
      </c>
      <c r="F11" s="31">
        <v>0.125</v>
      </c>
      <c r="G11" s="31">
        <v>0.26153846153846155</v>
      </c>
      <c r="H11" s="31">
        <v>7.6923076923076927E-2</v>
      </c>
      <c r="I11" s="32">
        <v>7964.7058823529414</v>
      </c>
      <c r="J11" s="32">
        <v>-4300</v>
      </c>
      <c r="K11" s="31">
        <v>0</v>
      </c>
      <c r="L11" s="31">
        <v>0.29230769230769232</v>
      </c>
      <c r="M11" s="31">
        <v>0.13846153846153847</v>
      </c>
      <c r="N11" s="31">
        <v>0.68421052631578949</v>
      </c>
      <c r="O11" s="31">
        <v>0.33333333333333331</v>
      </c>
      <c r="P11" s="31">
        <v>0.52941176470588236</v>
      </c>
    </row>
    <row r="12" spans="1:17" x14ac:dyDescent="0.4">
      <c r="A12" s="33">
        <v>9</v>
      </c>
      <c r="B12" s="30">
        <v>21.599999999999987</v>
      </c>
      <c r="C12" s="30">
        <v>2.3999999999999986</v>
      </c>
      <c r="D12" s="35">
        <v>1.8888888888888888</v>
      </c>
      <c r="E12" s="31">
        <v>0.22222222222222221</v>
      </c>
      <c r="F12" s="31">
        <v>0.1111111111111111</v>
      </c>
      <c r="G12" s="31">
        <v>0.26027397260273971</v>
      </c>
      <c r="H12" s="31">
        <v>6.8493150684931503E-2</v>
      </c>
      <c r="I12" s="32">
        <v>7736.8421052631575</v>
      </c>
      <c r="J12" s="32">
        <v>-4300</v>
      </c>
      <c r="K12" s="31">
        <v>0</v>
      </c>
      <c r="L12" s="31">
        <v>0.27397260273972601</v>
      </c>
      <c r="M12" s="31">
        <v>0.15068493150684931</v>
      </c>
      <c r="N12" s="31">
        <v>0.65</v>
      </c>
      <c r="O12" s="31">
        <v>0.36363636363636365</v>
      </c>
      <c r="P12" s="31">
        <v>0.47368421052631576</v>
      </c>
    </row>
    <row r="13" spans="1:17" x14ac:dyDescent="0.4">
      <c r="A13" s="33">
        <v>10</v>
      </c>
      <c r="B13" s="30">
        <v>-13.400000000000013</v>
      </c>
      <c r="C13" s="30">
        <v>-1.3400000000000012</v>
      </c>
      <c r="D13" s="35">
        <v>2</v>
      </c>
      <c r="E13" s="31">
        <v>0.2</v>
      </c>
      <c r="F13" s="31">
        <v>0.2</v>
      </c>
      <c r="G13" s="31">
        <v>0.23456790123456789</v>
      </c>
      <c r="H13" s="31">
        <v>7.407407407407407E-2</v>
      </c>
      <c r="I13" s="32">
        <v>7736.8421052631575</v>
      </c>
      <c r="J13" s="32">
        <v>-3916.6666666666665</v>
      </c>
      <c r="K13" s="31">
        <v>0</v>
      </c>
      <c r="L13" s="31">
        <v>0.25925925925925924</v>
      </c>
      <c r="M13" s="31">
        <v>0.13580246913580246</v>
      </c>
      <c r="N13" s="31">
        <v>0.61904761904761907</v>
      </c>
      <c r="O13" s="31">
        <v>0.36363636363636365</v>
      </c>
      <c r="P13" s="31">
        <v>0.47368421052631576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508D3-1B32-429B-AE41-5B1034E0F1AE}">
  <sheetPr codeName="Sheet18"/>
  <dimension ref="A1:Q4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56</v>
      </c>
      <c r="C4" s="30">
        <v>56</v>
      </c>
      <c r="D4" s="35">
        <v>1</v>
      </c>
      <c r="E4" s="31">
        <v>1</v>
      </c>
      <c r="F4" s="31">
        <v>0</v>
      </c>
      <c r="G4" s="31">
        <v>0.5</v>
      </c>
      <c r="H4" s="31">
        <v>0.25</v>
      </c>
      <c r="I4" s="32">
        <v>28000</v>
      </c>
      <c r="J4" s="32">
        <v>-12000</v>
      </c>
      <c r="K4" s="31">
        <v>0</v>
      </c>
      <c r="L4" s="31">
        <v>0</v>
      </c>
      <c r="M4" s="31">
        <v>0.5</v>
      </c>
      <c r="N4" s="31">
        <v>0</v>
      </c>
      <c r="O4" s="31">
        <v>0.5</v>
      </c>
      <c r="P4" s="31">
        <v>1</v>
      </c>
    </row>
    <row r="5" spans="1:17" x14ac:dyDescent="0.4">
      <c r="A5" s="33">
        <v>2</v>
      </c>
      <c r="B5" s="30">
        <v>137.5</v>
      </c>
      <c r="C5" s="30">
        <v>68.75</v>
      </c>
      <c r="D5" s="35">
        <v>1</v>
      </c>
      <c r="E5" s="31">
        <v>1</v>
      </c>
      <c r="F5" s="31">
        <v>0</v>
      </c>
      <c r="G5" s="31">
        <v>0.75</v>
      </c>
      <c r="H5" s="31">
        <v>8.3333333333333329E-2</v>
      </c>
      <c r="I5" s="32">
        <v>12555.555555555555</v>
      </c>
      <c r="J5" s="32">
        <v>-12000</v>
      </c>
      <c r="K5" s="31">
        <v>0</v>
      </c>
      <c r="L5" s="31">
        <v>0.33333333333333331</v>
      </c>
      <c r="M5" s="31">
        <v>0.25</v>
      </c>
      <c r="N5" s="31">
        <v>1</v>
      </c>
      <c r="O5" s="31">
        <v>0.66666666666666663</v>
      </c>
      <c r="P5" s="31">
        <v>0.55555555555555558</v>
      </c>
    </row>
    <row r="6" spans="1:17" x14ac:dyDescent="0.4">
      <c r="A6" s="33">
        <v>3</v>
      </c>
      <c r="B6" s="30">
        <v>159</v>
      </c>
      <c r="C6" s="30">
        <v>53</v>
      </c>
      <c r="D6" s="35">
        <v>1</v>
      </c>
      <c r="E6" s="31">
        <v>1</v>
      </c>
      <c r="F6" s="31">
        <v>0</v>
      </c>
      <c r="G6" s="31">
        <v>0.52173913043478259</v>
      </c>
      <c r="H6" s="31">
        <v>8.6956521739130432E-2</v>
      </c>
      <c r="I6" s="32">
        <v>11216.666666666666</v>
      </c>
      <c r="J6" s="32">
        <v>-6800</v>
      </c>
      <c r="K6" s="31">
        <v>0</v>
      </c>
      <c r="L6" s="31">
        <v>0.2608695652173913</v>
      </c>
      <c r="M6" s="31">
        <v>0.2608695652173913</v>
      </c>
      <c r="N6" s="31">
        <v>0.66666666666666663</v>
      </c>
      <c r="O6" s="31">
        <v>0.5</v>
      </c>
      <c r="P6" s="31">
        <v>0.5</v>
      </c>
    </row>
    <row r="7" spans="1:17" x14ac:dyDescent="0.4">
      <c r="A7" s="33">
        <v>4</v>
      </c>
      <c r="B7" s="30">
        <v>112.4</v>
      </c>
      <c r="C7" s="30">
        <v>28.1</v>
      </c>
      <c r="D7" s="35">
        <v>1.5</v>
      </c>
      <c r="E7" s="31">
        <v>0.75</v>
      </c>
      <c r="F7" s="31">
        <v>0.25</v>
      </c>
      <c r="G7" s="31">
        <v>0.4</v>
      </c>
      <c r="H7" s="31">
        <v>0.13333333333333333</v>
      </c>
      <c r="I7" s="32">
        <v>11216.666666666666</v>
      </c>
      <c r="J7" s="32">
        <v>-4225</v>
      </c>
      <c r="K7" s="31">
        <v>0.25</v>
      </c>
      <c r="L7" s="31">
        <v>0.23333333333333334</v>
      </c>
      <c r="M7" s="31">
        <v>0.33333333333333331</v>
      </c>
      <c r="N7" s="31">
        <v>0.5714285714285714</v>
      </c>
      <c r="O7" s="31">
        <v>0.3</v>
      </c>
      <c r="P7" s="31">
        <v>0.5</v>
      </c>
    </row>
    <row r="8" spans="1:17" x14ac:dyDescent="0.4">
      <c r="A8" s="33">
        <v>5</v>
      </c>
      <c r="B8" s="30">
        <v>140.30000000000001</v>
      </c>
      <c r="C8" s="30">
        <v>28.060000000000002</v>
      </c>
      <c r="D8" s="35">
        <v>1.4</v>
      </c>
      <c r="E8" s="31">
        <v>0.8</v>
      </c>
      <c r="F8" s="31">
        <v>0.2</v>
      </c>
      <c r="G8" s="31">
        <v>0.4</v>
      </c>
      <c r="H8" s="31">
        <v>0.125</v>
      </c>
      <c r="I8" s="32">
        <v>10318.75</v>
      </c>
      <c r="J8" s="32">
        <v>-4980</v>
      </c>
      <c r="K8" s="31">
        <v>0.2</v>
      </c>
      <c r="L8" s="31">
        <v>0.22500000000000001</v>
      </c>
      <c r="M8" s="31">
        <v>0.375</v>
      </c>
      <c r="N8" s="31">
        <v>0.55555555555555558</v>
      </c>
      <c r="O8" s="31">
        <v>0.4</v>
      </c>
      <c r="P8" s="31">
        <v>0.4375</v>
      </c>
    </row>
    <row r="9" spans="1:17" x14ac:dyDescent="0.4">
      <c r="A9" s="33">
        <v>6</v>
      </c>
      <c r="B9" s="30">
        <v>167.3</v>
      </c>
      <c r="C9" s="30">
        <v>27.883333333333336</v>
      </c>
      <c r="D9" s="35">
        <v>1.3333333333333333</v>
      </c>
      <c r="E9" s="31">
        <v>0.83333333333333337</v>
      </c>
      <c r="F9" s="31">
        <v>0.16666666666666666</v>
      </c>
      <c r="G9" s="31">
        <v>0.39130434782608697</v>
      </c>
      <c r="H9" s="31">
        <v>0.10869565217391304</v>
      </c>
      <c r="I9" s="32">
        <v>10283.333333333334</v>
      </c>
      <c r="J9" s="32">
        <v>-4980</v>
      </c>
      <c r="K9" s="31">
        <v>0.16666666666666666</v>
      </c>
      <c r="L9" s="31">
        <v>0.2391304347826087</v>
      </c>
      <c r="M9" s="31">
        <v>0.36956521739130432</v>
      </c>
      <c r="N9" s="31">
        <v>0.63636363636363635</v>
      </c>
      <c r="O9" s="31">
        <v>0.35294117647058826</v>
      </c>
      <c r="P9" s="31">
        <v>0.5</v>
      </c>
    </row>
    <row r="10" spans="1:17" x14ac:dyDescent="0.4">
      <c r="A10" s="33">
        <v>7</v>
      </c>
      <c r="B10" s="30">
        <v>118.4</v>
      </c>
      <c r="C10" s="30">
        <v>16.914285714285715</v>
      </c>
      <c r="D10" s="35">
        <v>1.5714285714285714</v>
      </c>
      <c r="E10" s="31">
        <v>0.7142857142857143</v>
      </c>
      <c r="F10" s="31">
        <v>0.2857142857142857</v>
      </c>
      <c r="G10" s="31">
        <v>0.36538461538461536</v>
      </c>
      <c r="H10" s="31">
        <v>0.13461538461538461</v>
      </c>
      <c r="I10" s="32">
        <v>9878.9473684210534</v>
      </c>
      <c r="J10" s="32">
        <v>-9271.4285714285706</v>
      </c>
      <c r="K10" s="31">
        <v>0.2857142857142857</v>
      </c>
      <c r="L10" s="31">
        <v>0.23076923076923078</v>
      </c>
      <c r="M10" s="31">
        <v>0.34615384615384615</v>
      </c>
      <c r="N10" s="31">
        <v>0.58333333333333337</v>
      </c>
      <c r="O10" s="31">
        <v>0.33333333333333331</v>
      </c>
      <c r="P10" s="31">
        <v>0.47368421052631576</v>
      </c>
    </row>
    <row r="11" spans="1:17" x14ac:dyDescent="0.4">
      <c r="A11" s="33">
        <v>8</v>
      </c>
      <c r="B11" s="30">
        <v>96.800000000000011</v>
      </c>
      <c r="C11" s="30">
        <v>12.100000000000001</v>
      </c>
      <c r="D11" s="35">
        <v>1.75</v>
      </c>
      <c r="E11" s="31">
        <v>0.625</v>
      </c>
      <c r="F11" s="31">
        <v>0.375</v>
      </c>
      <c r="G11" s="31">
        <v>0.35</v>
      </c>
      <c r="H11" s="31">
        <v>0.13333333333333333</v>
      </c>
      <c r="I11" s="32">
        <v>9185.7142857142862</v>
      </c>
      <c r="J11" s="32">
        <v>-8237.5</v>
      </c>
      <c r="K11" s="31">
        <v>0.25</v>
      </c>
      <c r="L11" s="31">
        <v>0.21666666666666667</v>
      </c>
      <c r="M11" s="31">
        <v>0.4</v>
      </c>
      <c r="N11" s="31">
        <v>0.53846153846153844</v>
      </c>
      <c r="O11" s="31">
        <v>0.33333333333333331</v>
      </c>
      <c r="P11" s="31">
        <v>0.42857142857142855</v>
      </c>
    </row>
    <row r="12" spans="1:17" x14ac:dyDescent="0.4">
      <c r="A12" s="33">
        <v>9</v>
      </c>
      <c r="B12" s="30">
        <v>51.600000000000009</v>
      </c>
      <c r="C12" s="30">
        <v>5.7333333333333343</v>
      </c>
      <c r="D12" s="35">
        <v>1.8888888888888888</v>
      </c>
      <c r="E12" s="31">
        <v>0.55555555555555558</v>
      </c>
      <c r="F12" s="31">
        <v>0.44444444444444442</v>
      </c>
      <c r="G12" s="31">
        <v>0.328125</v>
      </c>
      <c r="H12" s="31">
        <v>0.171875</v>
      </c>
      <c r="I12" s="32">
        <v>9185.7142857142862</v>
      </c>
      <c r="J12" s="32">
        <v>-8509.0909090909099</v>
      </c>
      <c r="K12" s="31">
        <v>0.33333333333333331</v>
      </c>
      <c r="L12" s="31">
        <v>0.203125</v>
      </c>
      <c r="M12" s="31">
        <v>0.421875</v>
      </c>
      <c r="N12" s="31">
        <v>0.53846153846153844</v>
      </c>
      <c r="O12" s="31">
        <v>0.29629629629629628</v>
      </c>
      <c r="P12" s="31">
        <v>0.42857142857142855</v>
      </c>
    </row>
    <row r="13" spans="1:17" x14ac:dyDescent="0.4">
      <c r="A13" s="33">
        <v>10</v>
      </c>
      <c r="B13" s="30">
        <v>28.300000000000008</v>
      </c>
      <c r="C13" s="30">
        <v>2.830000000000001</v>
      </c>
      <c r="D13" s="35">
        <v>2</v>
      </c>
      <c r="E13" s="31">
        <v>0.5</v>
      </c>
      <c r="F13" s="31">
        <v>0.5</v>
      </c>
      <c r="G13" s="31">
        <v>0.30555555555555558</v>
      </c>
      <c r="H13" s="31">
        <v>0.15277777777777779</v>
      </c>
      <c r="I13" s="32">
        <v>8836.363636363636</v>
      </c>
      <c r="J13" s="32">
        <v>-8509.0909090909099</v>
      </c>
      <c r="K13" s="31">
        <v>0.3</v>
      </c>
      <c r="L13" s="31">
        <v>0.18055555555555555</v>
      </c>
      <c r="M13" s="31">
        <v>0.3888888888888889</v>
      </c>
      <c r="N13" s="31">
        <v>0.53846153846153844</v>
      </c>
      <c r="O13" s="31">
        <v>0.32142857142857145</v>
      </c>
      <c r="P13" s="31">
        <v>0.40909090909090912</v>
      </c>
    </row>
    <row r="14" spans="1:17" x14ac:dyDescent="0.4">
      <c r="A14" s="33">
        <v>11</v>
      </c>
      <c r="B14" s="30">
        <v>44.400000000000006</v>
      </c>
      <c r="C14" s="30">
        <v>4.036363636363637</v>
      </c>
      <c r="D14" s="35">
        <v>1.9090909090909092</v>
      </c>
      <c r="E14" s="31">
        <v>0.54545454545454541</v>
      </c>
      <c r="F14" s="31">
        <v>0.45454545454545453</v>
      </c>
      <c r="G14" s="31">
        <v>0.32051282051282054</v>
      </c>
      <c r="H14" s="31">
        <v>0.14102564102564102</v>
      </c>
      <c r="I14" s="32">
        <v>8184</v>
      </c>
      <c r="J14" s="32">
        <v>-8509.0909090909099</v>
      </c>
      <c r="K14" s="31">
        <v>0.27272727272727271</v>
      </c>
      <c r="L14" s="31">
        <v>0.17948717948717949</v>
      </c>
      <c r="M14" s="31">
        <v>0.37179487179487181</v>
      </c>
      <c r="N14" s="31">
        <v>0.5714285714285714</v>
      </c>
      <c r="O14" s="31">
        <v>0.34482758620689657</v>
      </c>
      <c r="P14" s="31">
        <v>0.48</v>
      </c>
    </row>
    <row r="15" spans="1:17" x14ac:dyDescent="0.4">
      <c r="A15" s="33">
        <v>12</v>
      </c>
      <c r="B15" s="30">
        <v>31.800000000000004</v>
      </c>
      <c r="C15" s="30">
        <v>2.6500000000000004</v>
      </c>
      <c r="D15" s="35">
        <v>1.9166666666666667</v>
      </c>
      <c r="E15" s="31">
        <v>0.5</v>
      </c>
      <c r="F15" s="31">
        <v>0.41666666666666669</v>
      </c>
      <c r="G15" s="31">
        <v>0.32926829268292684</v>
      </c>
      <c r="H15" s="31">
        <v>0.13414634146341464</v>
      </c>
      <c r="I15" s="32">
        <v>8148.1481481481478</v>
      </c>
      <c r="J15" s="32">
        <v>-8509.0909090909099</v>
      </c>
      <c r="K15" s="31">
        <v>0.25</v>
      </c>
      <c r="L15" s="31">
        <v>0.17073170731707318</v>
      </c>
      <c r="M15" s="31">
        <v>0.37804878048780488</v>
      </c>
      <c r="N15" s="31">
        <v>0.5714285714285714</v>
      </c>
      <c r="O15" s="31">
        <v>0.38709677419354838</v>
      </c>
      <c r="P15" s="31">
        <v>0.51851851851851849</v>
      </c>
    </row>
    <row r="16" spans="1:17" x14ac:dyDescent="0.4">
      <c r="A16" s="33">
        <v>13</v>
      </c>
      <c r="B16" s="30">
        <v>83.1</v>
      </c>
      <c r="C16" s="30">
        <v>6.3923076923076918</v>
      </c>
      <c r="D16" s="35">
        <v>1.8461538461538463</v>
      </c>
      <c r="E16" s="31">
        <v>0.53846153846153844</v>
      </c>
      <c r="F16" s="31">
        <v>0.38461538461538464</v>
      </c>
      <c r="G16" s="31">
        <v>0.36046511627906974</v>
      </c>
      <c r="H16" s="31">
        <v>0.12790697674418605</v>
      </c>
      <c r="I16" s="32">
        <v>8300</v>
      </c>
      <c r="J16" s="32">
        <v>-8509.0909090909099</v>
      </c>
      <c r="K16" s="31">
        <v>0.23076923076923078</v>
      </c>
      <c r="L16" s="31">
        <v>0.18604651162790697</v>
      </c>
      <c r="M16" s="31">
        <v>0.38372093023255816</v>
      </c>
      <c r="N16" s="31">
        <v>0.625</v>
      </c>
      <c r="O16" s="31">
        <v>0.42424242424242425</v>
      </c>
      <c r="P16" s="31">
        <v>0.4838709677419355</v>
      </c>
    </row>
    <row r="17" spans="1:16" x14ac:dyDescent="0.4">
      <c r="A17" s="33">
        <v>14</v>
      </c>
      <c r="B17" s="30">
        <v>89.399999999999991</v>
      </c>
      <c r="C17" s="30">
        <v>6.3857142857142852</v>
      </c>
      <c r="D17" s="35">
        <v>1.8571428571428572</v>
      </c>
      <c r="E17" s="31">
        <v>0.5</v>
      </c>
      <c r="F17" s="31">
        <v>0.35714285714285715</v>
      </c>
      <c r="G17" s="31">
        <v>0.34375</v>
      </c>
      <c r="H17" s="31">
        <v>0.125</v>
      </c>
      <c r="I17" s="32">
        <v>8221.2121212121219</v>
      </c>
      <c r="J17" s="32">
        <v>-8041.666666666667</v>
      </c>
      <c r="K17" s="31">
        <v>0.21428571428571427</v>
      </c>
      <c r="L17" s="31">
        <v>0.17708333333333334</v>
      </c>
      <c r="M17" s="31">
        <v>0.36458333333333331</v>
      </c>
      <c r="N17" s="31">
        <v>0.6470588235294118</v>
      </c>
      <c r="O17" s="31">
        <v>0.4</v>
      </c>
      <c r="P17" s="31">
        <v>0.45454545454545453</v>
      </c>
    </row>
    <row r="18" spans="1:16" x14ac:dyDescent="0.4">
      <c r="A18" s="33">
        <v>15</v>
      </c>
      <c r="B18" s="30">
        <v>112.6</v>
      </c>
      <c r="C18" s="30">
        <v>7.5066666666666659</v>
      </c>
      <c r="D18" s="35">
        <v>1.8666666666666667</v>
      </c>
      <c r="E18" s="31">
        <v>0.46666666666666667</v>
      </c>
      <c r="F18" s="31">
        <v>0.33333333333333331</v>
      </c>
      <c r="G18" s="31">
        <v>0.34653465346534651</v>
      </c>
      <c r="H18" s="31">
        <v>0.11881188118811881</v>
      </c>
      <c r="I18" s="32">
        <v>8305.7142857142862</v>
      </c>
      <c r="J18" s="32">
        <v>-8041.666666666667</v>
      </c>
      <c r="K18" s="31">
        <v>0.2</v>
      </c>
      <c r="L18" s="31">
        <v>0.18811881188118812</v>
      </c>
      <c r="M18" s="31">
        <v>0.35643564356435642</v>
      </c>
      <c r="N18" s="31">
        <v>0.63157894736842102</v>
      </c>
      <c r="O18" s="31">
        <v>0.41666666666666669</v>
      </c>
      <c r="P18" s="31">
        <v>0.48571428571428571</v>
      </c>
    </row>
    <row r="19" spans="1:16" x14ac:dyDescent="0.4">
      <c r="A19" s="33">
        <v>16</v>
      </c>
      <c r="B19" s="30">
        <v>119.3</v>
      </c>
      <c r="C19" s="30">
        <v>7.4562499999999998</v>
      </c>
      <c r="D19" s="35">
        <v>1.875</v>
      </c>
      <c r="E19" s="31">
        <v>0.4375</v>
      </c>
      <c r="F19" s="31">
        <v>0.3125</v>
      </c>
      <c r="G19" s="31">
        <v>0.34862385321100919</v>
      </c>
      <c r="H19" s="31">
        <v>0.11926605504587157</v>
      </c>
      <c r="I19" s="32">
        <v>7971.0526315789475</v>
      </c>
      <c r="J19" s="32">
        <v>-7576.9230769230771</v>
      </c>
      <c r="K19" s="31">
        <v>0.1875</v>
      </c>
      <c r="L19" s="31">
        <v>0.1743119266055046</v>
      </c>
      <c r="M19" s="31">
        <v>0.3577981651376147</v>
      </c>
      <c r="N19" s="31">
        <v>0.63157894736842102</v>
      </c>
      <c r="O19" s="31">
        <v>0.41025641025641024</v>
      </c>
      <c r="P19" s="31">
        <v>0.5</v>
      </c>
    </row>
    <row r="20" spans="1:16" x14ac:dyDescent="0.4">
      <c r="A20" s="33">
        <v>17</v>
      </c>
      <c r="B20" s="30">
        <v>71.699999999999989</v>
      </c>
      <c r="C20" s="30">
        <v>4.2176470588235286</v>
      </c>
      <c r="D20" s="35">
        <v>1.9411764705882353</v>
      </c>
      <c r="E20" s="31">
        <v>0.41176470588235292</v>
      </c>
      <c r="F20" s="31">
        <v>0.35294117647058826</v>
      </c>
      <c r="G20" s="31">
        <v>0.33613445378151263</v>
      </c>
      <c r="H20" s="31">
        <v>0.14285714285714285</v>
      </c>
      <c r="I20" s="32">
        <v>7675</v>
      </c>
      <c r="J20" s="32">
        <v>-6929.411764705882</v>
      </c>
      <c r="K20" s="31">
        <v>0.23529411764705882</v>
      </c>
      <c r="L20" s="31">
        <v>0.16806722689075632</v>
      </c>
      <c r="M20" s="31">
        <v>0.33613445378151263</v>
      </c>
      <c r="N20" s="31">
        <v>0.6</v>
      </c>
      <c r="O20" s="31">
        <v>0.42499999999999999</v>
      </c>
      <c r="P20" s="31">
        <v>0.5</v>
      </c>
    </row>
    <row r="21" spans="1:16" x14ac:dyDescent="0.4">
      <c r="A21" s="33">
        <v>18</v>
      </c>
      <c r="B21" s="30">
        <v>45.399999999999991</v>
      </c>
      <c r="C21" s="30">
        <v>2.5222222222222217</v>
      </c>
      <c r="D21" s="35">
        <v>2</v>
      </c>
      <c r="E21" s="31">
        <v>0.3888888888888889</v>
      </c>
      <c r="F21" s="31">
        <v>0.3888888888888889</v>
      </c>
      <c r="G21" s="31">
        <v>0.32539682539682541</v>
      </c>
      <c r="H21" s="31">
        <v>0.14285714285714285</v>
      </c>
      <c r="I21" s="32">
        <v>7682.9268292682927</v>
      </c>
      <c r="J21" s="32">
        <v>-7211.1111111111113</v>
      </c>
      <c r="K21" s="31">
        <v>0.22222222222222221</v>
      </c>
      <c r="L21" s="31">
        <v>0.15873015873015872</v>
      </c>
      <c r="M21" s="31">
        <v>0.34126984126984128</v>
      </c>
      <c r="N21" s="31">
        <v>0.6</v>
      </c>
      <c r="O21" s="31">
        <v>0.41860465116279072</v>
      </c>
      <c r="P21" s="31">
        <v>0.48780487804878048</v>
      </c>
    </row>
    <row r="22" spans="1:16" x14ac:dyDescent="0.4">
      <c r="A22" s="33">
        <v>19</v>
      </c>
      <c r="B22" s="30">
        <v>100.1</v>
      </c>
      <c r="C22" s="30">
        <v>5.2684210526315782</v>
      </c>
      <c r="D22" s="35">
        <v>1.9473684210526316</v>
      </c>
      <c r="E22" s="31">
        <v>0.42105263157894735</v>
      </c>
      <c r="F22" s="31">
        <v>0.36842105263157893</v>
      </c>
      <c r="G22" s="31">
        <v>0.33333333333333331</v>
      </c>
      <c r="H22" s="31">
        <v>0.13636363636363635</v>
      </c>
      <c r="I22" s="32">
        <v>8250</v>
      </c>
      <c r="J22" s="32">
        <v>-7211.1111111111113</v>
      </c>
      <c r="K22" s="31">
        <v>0.21052631578947367</v>
      </c>
      <c r="L22" s="31">
        <v>0.15909090909090909</v>
      </c>
      <c r="M22" s="31">
        <v>0.34090909090909088</v>
      </c>
      <c r="N22" s="31">
        <v>0.61904761904761907</v>
      </c>
      <c r="O22" s="31">
        <v>0.42222222222222222</v>
      </c>
      <c r="P22" s="31">
        <v>0.52272727272727271</v>
      </c>
    </row>
    <row r="23" spans="1:16" x14ac:dyDescent="0.4">
      <c r="A23" s="33">
        <v>20</v>
      </c>
      <c r="B23" s="30">
        <v>52.8</v>
      </c>
      <c r="C23" s="30">
        <v>2.6399999999999997</v>
      </c>
      <c r="D23" s="35">
        <v>2</v>
      </c>
      <c r="E23" s="31">
        <v>0.4</v>
      </c>
      <c r="F23" s="31">
        <v>0.4</v>
      </c>
      <c r="G23" s="31">
        <v>0.32116788321167883</v>
      </c>
      <c r="H23" s="31">
        <v>0.145985401459854</v>
      </c>
      <c r="I23" s="32">
        <v>8250</v>
      </c>
      <c r="J23" s="32">
        <v>-7775</v>
      </c>
      <c r="K23" s="31">
        <v>0.25</v>
      </c>
      <c r="L23" s="31">
        <v>0.15328467153284672</v>
      </c>
      <c r="M23" s="31">
        <v>0.33576642335766421</v>
      </c>
      <c r="N23" s="31">
        <v>0.61904761904761907</v>
      </c>
      <c r="O23" s="31">
        <v>0.41304347826086957</v>
      </c>
      <c r="P23" s="31">
        <v>0.52272727272727271</v>
      </c>
    </row>
    <row r="24" spans="1:16" x14ac:dyDescent="0.4">
      <c r="A24" s="33">
        <v>21</v>
      </c>
      <c r="B24" s="30">
        <v>41</v>
      </c>
      <c r="C24" s="30">
        <v>1.9523809523809523</v>
      </c>
      <c r="D24" s="35">
        <v>2</v>
      </c>
      <c r="E24" s="31">
        <v>0.38095238095238093</v>
      </c>
      <c r="F24" s="31">
        <v>0.38095238095238093</v>
      </c>
      <c r="G24" s="31">
        <v>0.31034482758620691</v>
      </c>
      <c r="H24" s="31">
        <v>0.14482758620689656</v>
      </c>
      <c r="I24" s="32">
        <v>8153.333333333333</v>
      </c>
      <c r="J24" s="32">
        <v>-7785.7142857142853</v>
      </c>
      <c r="K24" s="31">
        <v>0.23809523809523808</v>
      </c>
      <c r="L24" s="31">
        <v>0.15172413793103448</v>
      </c>
      <c r="M24" s="31">
        <v>0.33103448275862069</v>
      </c>
      <c r="N24" s="31">
        <v>0.59090909090909094</v>
      </c>
      <c r="O24" s="31">
        <v>0.41666666666666669</v>
      </c>
      <c r="P24" s="31">
        <v>0.51111111111111107</v>
      </c>
    </row>
    <row r="25" spans="1:16" x14ac:dyDescent="0.4">
      <c r="A25" s="33">
        <v>22</v>
      </c>
      <c r="B25" s="30">
        <v>90.5</v>
      </c>
      <c r="C25" s="30">
        <v>4.1136363636363633</v>
      </c>
      <c r="D25" s="35">
        <v>1.9545454545454546</v>
      </c>
      <c r="E25" s="31">
        <v>0.40909090909090912</v>
      </c>
      <c r="F25" s="31">
        <v>0.36363636363636365</v>
      </c>
      <c r="G25" s="31">
        <v>0.32484076433121017</v>
      </c>
      <c r="H25" s="31">
        <v>0.13375796178343949</v>
      </c>
      <c r="I25" s="32">
        <v>8037.2549019607841</v>
      </c>
      <c r="J25" s="32">
        <v>-7785.7142857142853</v>
      </c>
      <c r="K25" s="31">
        <v>0.22727272727272727</v>
      </c>
      <c r="L25" s="31">
        <v>0.1464968152866242</v>
      </c>
      <c r="M25" s="31">
        <v>0.33121019108280253</v>
      </c>
      <c r="N25" s="31">
        <v>0.60869565217391308</v>
      </c>
      <c r="O25" s="31">
        <v>0.44230769230769229</v>
      </c>
      <c r="P25" s="31">
        <v>0.49019607843137253</v>
      </c>
    </row>
    <row r="26" spans="1:16" x14ac:dyDescent="0.4">
      <c r="A26" s="33">
        <v>23</v>
      </c>
      <c r="B26" s="30">
        <v>97</v>
      </c>
      <c r="C26" s="30">
        <v>4.2173913043478262</v>
      </c>
      <c r="D26" s="35">
        <v>1.9565217391304348</v>
      </c>
      <c r="E26" s="31">
        <v>0.39130434782608697</v>
      </c>
      <c r="F26" s="31">
        <v>0.34782608695652173</v>
      </c>
      <c r="G26" s="31">
        <v>0.32515337423312884</v>
      </c>
      <c r="H26" s="31">
        <v>0.13496932515337423</v>
      </c>
      <c r="I26" s="32">
        <v>7958.4905660377362</v>
      </c>
      <c r="J26" s="32">
        <v>-7609.090909090909</v>
      </c>
      <c r="K26" s="31">
        <v>0.21739130434782608</v>
      </c>
      <c r="L26" s="31">
        <v>0.1411042944785276</v>
      </c>
      <c r="M26" s="31">
        <v>0.33128834355828218</v>
      </c>
      <c r="N26" s="31">
        <v>0.60869565217391308</v>
      </c>
      <c r="O26" s="31">
        <v>0.46296296296296297</v>
      </c>
      <c r="P26" s="31">
        <v>0.47169811320754718</v>
      </c>
    </row>
    <row r="27" spans="1:16" x14ac:dyDescent="0.4">
      <c r="A27" s="33">
        <v>24</v>
      </c>
      <c r="B27" s="30">
        <v>92.2</v>
      </c>
      <c r="C27" s="30">
        <v>3.8416666666666668</v>
      </c>
      <c r="D27" s="35">
        <v>1.9583333333333333</v>
      </c>
      <c r="E27" s="31">
        <v>0.375</v>
      </c>
      <c r="F27" s="31">
        <v>0.33333333333333331</v>
      </c>
      <c r="G27" s="31">
        <v>0.32369942196531792</v>
      </c>
      <c r="H27" s="31">
        <v>0.13294797687861271</v>
      </c>
      <c r="I27" s="32">
        <v>7930.3571428571431</v>
      </c>
      <c r="J27" s="32">
        <v>-7447.826086956522</v>
      </c>
      <c r="K27" s="31">
        <v>0.20833333333333334</v>
      </c>
      <c r="L27" s="31">
        <v>0.14450867052023122</v>
      </c>
      <c r="M27" s="31">
        <v>0.33526011560693642</v>
      </c>
      <c r="N27" s="31">
        <v>0.6</v>
      </c>
      <c r="O27" s="31">
        <v>0.44827586206896552</v>
      </c>
      <c r="P27" s="31">
        <v>0.44642857142857145</v>
      </c>
    </row>
    <row r="28" spans="1:16" x14ac:dyDescent="0.4">
      <c r="A28" s="33">
        <v>25</v>
      </c>
      <c r="B28" s="30">
        <v>41</v>
      </c>
      <c r="C28" s="30">
        <v>1.64</v>
      </c>
      <c r="D28" s="35">
        <v>2</v>
      </c>
      <c r="E28" s="31">
        <v>0.36</v>
      </c>
      <c r="F28" s="31">
        <v>0.36</v>
      </c>
      <c r="G28" s="31">
        <v>0.30939226519337015</v>
      </c>
      <c r="H28" s="31">
        <v>0.13259668508287292</v>
      </c>
      <c r="I28" s="32">
        <v>7930.3571428571431</v>
      </c>
      <c r="J28" s="32">
        <v>-7887.5</v>
      </c>
      <c r="K28" s="31">
        <v>0.24</v>
      </c>
      <c r="L28" s="31">
        <v>0.13812154696132597</v>
      </c>
      <c r="M28" s="31">
        <v>0.32044198895027626</v>
      </c>
      <c r="N28" s="31">
        <v>0.6</v>
      </c>
      <c r="O28" s="31">
        <v>0.44827586206896552</v>
      </c>
      <c r="P28" s="31">
        <v>0.44642857142857145</v>
      </c>
    </row>
    <row r="29" spans="1:16" x14ac:dyDescent="0.4">
      <c r="A29" s="33">
        <v>26</v>
      </c>
      <c r="B29" s="30">
        <v>86.8</v>
      </c>
      <c r="C29" s="30">
        <v>3.3384615384615381</v>
      </c>
      <c r="D29" s="35">
        <v>1.9615384615384615</v>
      </c>
      <c r="E29" s="31">
        <v>0.38461538461538464</v>
      </c>
      <c r="F29" s="31">
        <v>0.34615384615384615</v>
      </c>
      <c r="G29" s="31">
        <v>0.31413612565445026</v>
      </c>
      <c r="H29" s="31">
        <v>0.14136125654450263</v>
      </c>
      <c r="I29" s="32">
        <v>8308.3333333333339</v>
      </c>
      <c r="J29" s="32">
        <v>-7514.8148148148148</v>
      </c>
      <c r="K29" s="31">
        <v>0.23076923076923078</v>
      </c>
      <c r="L29" s="31">
        <v>0.14136125654450263</v>
      </c>
      <c r="M29" s="31">
        <v>0.31413612565445026</v>
      </c>
      <c r="N29" s="31">
        <v>0.62962962962962965</v>
      </c>
      <c r="O29" s="31">
        <v>0.43333333333333335</v>
      </c>
      <c r="P29" s="31">
        <v>0.46666666666666667</v>
      </c>
    </row>
    <row r="30" spans="1:16" x14ac:dyDescent="0.4">
      <c r="A30" s="33">
        <v>27</v>
      </c>
      <c r="B30" s="30">
        <v>85.3</v>
      </c>
      <c r="C30" s="30">
        <v>3.159259259259259</v>
      </c>
      <c r="D30" s="35">
        <v>1.962962962962963</v>
      </c>
      <c r="E30" s="31">
        <v>0.37037037037037035</v>
      </c>
      <c r="F30" s="31">
        <v>0.33333333333333331</v>
      </c>
      <c r="G30" s="31">
        <v>0.30964467005076141</v>
      </c>
      <c r="H30" s="31">
        <v>0.14213197969543148</v>
      </c>
      <c r="I30" s="32">
        <v>8236.065573770491</v>
      </c>
      <c r="J30" s="32">
        <v>-7385.7142857142853</v>
      </c>
      <c r="K30" s="31">
        <v>0.22222222222222221</v>
      </c>
      <c r="L30" s="31">
        <v>0.13705583756345177</v>
      </c>
      <c r="M30" s="31">
        <v>0.32487309644670048</v>
      </c>
      <c r="N30" s="31">
        <v>0.62962962962962965</v>
      </c>
      <c r="O30" s="31">
        <v>0.40625</v>
      </c>
      <c r="P30" s="31">
        <v>0.45901639344262296</v>
      </c>
    </row>
    <row r="31" spans="1:16" x14ac:dyDescent="0.4">
      <c r="A31" s="33">
        <v>28</v>
      </c>
      <c r="B31" s="30">
        <v>50.5</v>
      </c>
      <c r="C31" s="30">
        <v>1.8035714285714286</v>
      </c>
      <c r="D31" s="35">
        <v>2</v>
      </c>
      <c r="E31" s="31">
        <v>0.35714285714285715</v>
      </c>
      <c r="F31" s="31">
        <v>0.35714285714285715</v>
      </c>
      <c r="G31" s="31">
        <v>0.30582524271844658</v>
      </c>
      <c r="H31" s="31">
        <v>0.14563106796116504</v>
      </c>
      <c r="I31" s="32">
        <v>8120.6349206349205</v>
      </c>
      <c r="J31" s="32">
        <v>-7280</v>
      </c>
      <c r="K31" s="31">
        <v>0.21428571428571427</v>
      </c>
      <c r="L31" s="31">
        <v>0.14077669902912621</v>
      </c>
      <c r="M31" s="31">
        <v>0.32524271844660196</v>
      </c>
      <c r="N31" s="31">
        <v>0.62068965517241381</v>
      </c>
      <c r="O31" s="31">
        <v>0.40298507462686567</v>
      </c>
      <c r="P31" s="31">
        <v>0.46031746031746029</v>
      </c>
    </row>
    <row r="32" spans="1:16" x14ac:dyDescent="0.4">
      <c r="A32" s="33">
        <v>29</v>
      </c>
      <c r="B32" s="30">
        <v>57.6</v>
      </c>
      <c r="C32" s="30">
        <v>1.9862068965517241</v>
      </c>
      <c r="D32" s="35">
        <v>2</v>
      </c>
      <c r="E32" s="31">
        <v>0.34482758620689657</v>
      </c>
      <c r="F32" s="31">
        <v>0.34482758620689657</v>
      </c>
      <c r="G32" s="31">
        <v>0.31132075471698112</v>
      </c>
      <c r="H32" s="31">
        <v>0.14150943396226415</v>
      </c>
      <c r="I32" s="32">
        <v>8086.363636363636</v>
      </c>
      <c r="J32" s="32">
        <v>-7280</v>
      </c>
      <c r="K32" s="31">
        <v>0.20689655172413793</v>
      </c>
      <c r="L32" s="31">
        <v>0.14150943396226415</v>
      </c>
      <c r="M32" s="31">
        <v>0.32075471698113206</v>
      </c>
      <c r="N32" s="31">
        <v>0.6333333333333333</v>
      </c>
      <c r="O32" s="31">
        <v>0.41176470588235292</v>
      </c>
      <c r="P32" s="31">
        <v>0.46969696969696972</v>
      </c>
    </row>
    <row r="33" spans="1:16" x14ac:dyDescent="0.4">
      <c r="A33" s="33">
        <v>30</v>
      </c>
      <c r="B33" s="30">
        <v>82</v>
      </c>
      <c r="C33" s="30">
        <v>2.7333333333333334</v>
      </c>
      <c r="D33" s="35">
        <v>1.9666666666666666</v>
      </c>
      <c r="E33" s="31">
        <v>0.36666666666666664</v>
      </c>
      <c r="F33" s="31">
        <v>0.33333333333333331</v>
      </c>
      <c r="G33" s="31">
        <v>0.31192660550458717</v>
      </c>
      <c r="H33" s="31">
        <v>0.13761467889908258</v>
      </c>
      <c r="I33" s="32">
        <v>7964.7058823529414</v>
      </c>
      <c r="J33" s="32">
        <v>-7280</v>
      </c>
      <c r="K33" s="31">
        <v>0.2</v>
      </c>
      <c r="L33" s="31">
        <v>0.13761467889908258</v>
      </c>
      <c r="M33" s="31">
        <v>0.33027522935779818</v>
      </c>
      <c r="N33" s="31">
        <v>0.6333333333333333</v>
      </c>
      <c r="O33" s="31">
        <v>0.41666666666666669</v>
      </c>
      <c r="P33" s="31">
        <v>0.47058823529411764</v>
      </c>
    </row>
    <row r="34" spans="1:16" x14ac:dyDescent="0.4">
      <c r="A34" s="33">
        <v>31</v>
      </c>
      <c r="B34" s="30">
        <v>81.900000000000006</v>
      </c>
      <c r="C34" s="30">
        <v>2.6419354838709679</v>
      </c>
      <c r="D34" s="35">
        <v>1.967741935483871</v>
      </c>
      <c r="E34" s="31">
        <v>0.35483870967741937</v>
      </c>
      <c r="F34" s="31">
        <v>0.32258064516129031</v>
      </c>
      <c r="G34" s="31">
        <v>0.31555555555555553</v>
      </c>
      <c r="H34" s="31">
        <v>0.13333333333333333</v>
      </c>
      <c r="I34" s="32">
        <v>7805.6338028169012</v>
      </c>
      <c r="J34" s="32">
        <v>-7280</v>
      </c>
      <c r="K34" s="31">
        <v>0.19354838709677419</v>
      </c>
      <c r="L34" s="31">
        <v>0.13333333333333333</v>
      </c>
      <c r="M34" s="31">
        <v>0.33333333333333331</v>
      </c>
      <c r="N34" s="31">
        <v>0.6333333333333333</v>
      </c>
      <c r="O34" s="31">
        <v>0.42666666666666669</v>
      </c>
      <c r="P34" s="31">
        <v>0.46478873239436619</v>
      </c>
    </row>
    <row r="35" spans="1:16" x14ac:dyDescent="0.4">
      <c r="A35" s="33">
        <v>32</v>
      </c>
      <c r="B35" s="30">
        <v>76.100000000000009</v>
      </c>
      <c r="C35" s="30">
        <v>2.3781250000000003</v>
      </c>
      <c r="D35" s="35">
        <v>1.96875</v>
      </c>
      <c r="E35" s="31">
        <v>0.34375</v>
      </c>
      <c r="F35" s="31">
        <v>0.3125</v>
      </c>
      <c r="G35" s="31">
        <v>0.31120331950207469</v>
      </c>
      <c r="H35" s="31">
        <v>0.13692946058091288</v>
      </c>
      <c r="I35" s="32">
        <v>7746.666666666667</v>
      </c>
      <c r="J35" s="32">
        <v>-6827.272727272727</v>
      </c>
      <c r="K35" s="31">
        <v>0.1875</v>
      </c>
      <c r="L35" s="31">
        <v>0.13278008298755187</v>
      </c>
      <c r="M35" s="31">
        <v>0.35269709543568467</v>
      </c>
      <c r="N35" s="31">
        <v>0.625</v>
      </c>
      <c r="O35" s="31">
        <v>0.41176470588235292</v>
      </c>
      <c r="P35" s="31">
        <v>0.46666666666666667</v>
      </c>
    </row>
    <row r="36" spans="1:16" x14ac:dyDescent="0.4">
      <c r="A36" s="33">
        <v>33</v>
      </c>
      <c r="B36" s="30">
        <v>84.500000000000014</v>
      </c>
      <c r="C36" s="30">
        <v>2.560606060606061</v>
      </c>
      <c r="D36" s="35">
        <v>1.9696969696969697</v>
      </c>
      <c r="E36" s="31">
        <v>0.33333333333333331</v>
      </c>
      <c r="F36" s="31">
        <v>0.30303030303030304</v>
      </c>
      <c r="G36" s="31">
        <v>0.3147410358565737</v>
      </c>
      <c r="H36" s="31">
        <v>0.1394422310756972</v>
      </c>
      <c r="I36" s="32">
        <v>7745.5696202531644</v>
      </c>
      <c r="J36" s="32">
        <v>-7008.5714285714284</v>
      </c>
      <c r="K36" s="31">
        <v>0.18181818181818182</v>
      </c>
      <c r="L36" s="31">
        <v>0.1394422310756972</v>
      </c>
      <c r="M36" s="31">
        <v>0.36254980079681276</v>
      </c>
      <c r="N36" s="31">
        <v>0.6</v>
      </c>
      <c r="O36" s="31">
        <v>0.4175824175824176</v>
      </c>
      <c r="P36" s="31">
        <v>0.44303797468354428</v>
      </c>
    </row>
    <row r="37" spans="1:16" x14ac:dyDescent="0.4">
      <c r="A37" s="33">
        <v>34</v>
      </c>
      <c r="B37" s="30">
        <v>63.800000000000011</v>
      </c>
      <c r="C37" s="30">
        <v>1.8764705882352946</v>
      </c>
      <c r="D37" s="35">
        <v>2</v>
      </c>
      <c r="E37" s="31">
        <v>0.3235294117647059</v>
      </c>
      <c r="F37" s="31">
        <v>0.3235294117647059</v>
      </c>
      <c r="G37" s="31">
        <v>0.31517509727626458</v>
      </c>
      <c r="H37" s="31">
        <v>0.14396887159533073</v>
      </c>
      <c r="I37" s="32">
        <v>7734.5679012345681</v>
      </c>
      <c r="J37" s="32">
        <v>-7170.27027027027</v>
      </c>
      <c r="K37" s="31">
        <v>0.17647058823529413</v>
      </c>
      <c r="L37" s="31">
        <v>0.14785992217898833</v>
      </c>
      <c r="M37" s="31">
        <v>0.35408560311284049</v>
      </c>
      <c r="N37" s="31">
        <v>0.60526315789473684</v>
      </c>
      <c r="O37" s="31">
        <v>0.4175824175824176</v>
      </c>
      <c r="P37" s="31">
        <v>0.44444444444444442</v>
      </c>
    </row>
    <row r="38" spans="1:16" x14ac:dyDescent="0.4">
      <c r="A38" s="33">
        <v>35</v>
      </c>
      <c r="B38" s="30">
        <v>94.4</v>
      </c>
      <c r="C38" s="30">
        <v>2.6971428571428575</v>
      </c>
      <c r="D38" s="35">
        <v>1.9714285714285715</v>
      </c>
      <c r="E38" s="31">
        <v>0.34285714285714286</v>
      </c>
      <c r="F38" s="31">
        <v>0.31428571428571428</v>
      </c>
      <c r="G38" s="31">
        <v>0.3193916349809886</v>
      </c>
      <c r="H38" s="31">
        <v>0.14068441064638784</v>
      </c>
      <c r="I38" s="32">
        <v>7826.1904761904761</v>
      </c>
      <c r="J38" s="32">
        <v>-7170.27027027027</v>
      </c>
      <c r="K38" s="31">
        <v>0.17142857142857143</v>
      </c>
      <c r="L38" s="31">
        <v>0.15209125475285171</v>
      </c>
      <c r="M38" s="31">
        <v>0.34980988593155893</v>
      </c>
      <c r="N38" s="31">
        <v>0.625</v>
      </c>
      <c r="O38" s="31">
        <v>0.42391304347826086</v>
      </c>
      <c r="P38" s="31">
        <v>0.45238095238095238</v>
      </c>
    </row>
    <row r="39" spans="1:16" x14ac:dyDescent="0.4">
      <c r="A39" s="33">
        <v>36</v>
      </c>
      <c r="B39" s="30">
        <v>89.100000000000009</v>
      </c>
      <c r="C39" s="30">
        <v>2.4750000000000001</v>
      </c>
      <c r="D39" s="35">
        <v>1.9722222222222223</v>
      </c>
      <c r="E39" s="31">
        <v>0.33333333333333331</v>
      </c>
      <c r="F39" s="31">
        <v>0.30555555555555558</v>
      </c>
      <c r="G39" s="31">
        <v>0.32</v>
      </c>
      <c r="H39" s="31">
        <v>0.14181818181818182</v>
      </c>
      <c r="I39" s="32">
        <v>7734.090909090909</v>
      </c>
      <c r="J39" s="32">
        <v>-7315.3846153846152</v>
      </c>
      <c r="K39" s="31">
        <v>0.16666666666666666</v>
      </c>
      <c r="L39" s="31">
        <v>0.15272727272727274</v>
      </c>
      <c r="M39" s="31">
        <v>0.35272727272727272</v>
      </c>
      <c r="N39" s="31">
        <v>0.6428571428571429</v>
      </c>
      <c r="O39" s="31">
        <v>0.42268041237113402</v>
      </c>
      <c r="P39" s="31">
        <v>0.44318181818181818</v>
      </c>
    </row>
    <row r="40" spans="1:16" x14ac:dyDescent="0.4">
      <c r="A40" s="33">
        <v>37</v>
      </c>
      <c r="B40" s="30">
        <v>106.30000000000001</v>
      </c>
      <c r="C40" s="30">
        <v>2.8729729729729732</v>
      </c>
      <c r="D40" s="35">
        <v>1.9459459459459461</v>
      </c>
      <c r="E40" s="31">
        <v>0.35135135135135137</v>
      </c>
      <c r="F40" s="31">
        <v>0.29729729729729731</v>
      </c>
      <c r="G40" s="31">
        <v>0.32508833922261482</v>
      </c>
      <c r="H40" s="31">
        <v>0.14134275618374559</v>
      </c>
      <c r="I40" s="32">
        <v>7679.347826086957</v>
      </c>
      <c r="J40" s="32">
        <v>-7325</v>
      </c>
      <c r="K40" s="31">
        <v>0.16216216216216217</v>
      </c>
      <c r="L40" s="31">
        <v>0.15547703180212014</v>
      </c>
      <c r="M40" s="31">
        <v>0.3462897526501767</v>
      </c>
      <c r="N40" s="31">
        <v>0.65909090909090906</v>
      </c>
      <c r="O40" s="31">
        <v>0.41836734693877553</v>
      </c>
      <c r="P40" s="31">
        <v>0.44565217391304346</v>
      </c>
    </row>
    <row r="41" spans="1:16" x14ac:dyDescent="0.4">
      <c r="A41" s="33">
        <v>38</v>
      </c>
      <c r="B41" s="30">
        <v>106.9</v>
      </c>
      <c r="C41" s="30">
        <v>2.8131578947368423</v>
      </c>
      <c r="D41" s="35">
        <v>1.9473684210526316</v>
      </c>
      <c r="E41" s="31">
        <v>0.34210526315789475</v>
      </c>
      <c r="F41" s="31">
        <v>0.28947368421052633</v>
      </c>
      <c r="G41" s="31">
        <v>0.32423208191126279</v>
      </c>
      <c r="H41" s="31">
        <v>0.13993174061433447</v>
      </c>
      <c r="I41" s="32">
        <v>7632.6315789473683</v>
      </c>
      <c r="J41" s="32">
        <v>-7334.1463414634145</v>
      </c>
      <c r="K41" s="31">
        <v>0.15789473684210525</v>
      </c>
      <c r="L41" s="31">
        <v>0.15017064846416384</v>
      </c>
      <c r="M41" s="31">
        <v>0.34812286689419797</v>
      </c>
      <c r="N41" s="31">
        <v>0.65909090909090906</v>
      </c>
      <c r="O41" s="31">
        <v>0.42156862745098039</v>
      </c>
      <c r="P41" s="31">
        <v>0.43157894736842106</v>
      </c>
    </row>
    <row r="42" spans="1:16" x14ac:dyDescent="0.4">
      <c r="A42" s="33">
        <v>39</v>
      </c>
      <c r="B42" s="30">
        <v>130.1</v>
      </c>
      <c r="C42" s="30">
        <v>3.3358974358974356</v>
      </c>
      <c r="D42" s="35">
        <v>1.9230769230769231</v>
      </c>
      <c r="E42" s="31">
        <v>0.35897435897435898</v>
      </c>
      <c r="F42" s="31">
        <v>0.28205128205128205</v>
      </c>
      <c r="G42" s="31">
        <v>0.32894736842105265</v>
      </c>
      <c r="H42" s="31">
        <v>0.13486842105263158</v>
      </c>
      <c r="I42" s="32">
        <v>7380</v>
      </c>
      <c r="J42" s="32">
        <v>-7334.1463414634145</v>
      </c>
      <c r="K42" s="31">
        <v>0.15384615384615385</v>
      </c>
      <c r="L42" s="31">
        <v>0.15460526315789475</v>
      </c>
      <c r="M42" s="31">
        <v>0.35197368421052633</v>
      </c>
      <c r="N42" s="31">
        <v>0.61702127659574468</v>
      </c>
      <c r="O42" s="31">
        <v>0.42990654205607476</v>
      </c>
      <c r="P42" s="31">
        <v>0.43</v>
      </c>
    </row>
    <row r="43" spans="1:16" x14ac:dyDescent="0.4">
      <c r="A43" s="33">
        <v>40</v>
      </c>
      <c r="B43" s="30">
        <v>84.1</v>
      </c>
      <c r="C43" s="30">
        <v>2.1025</v>
      </c>
      <c r="D43" s="35">
        <v>1.95</v>
      </c>
      <c r="E43" s="31">
        <v>0.35</v>
      </c>
      <c r="F43" s="31">
        <v>0.3</v>
      </c>
      <c r="G43" s="31">
        <v>0.32679738562091504</v>
      </c>
      <c r="H43" s="31">
        <v>0.13725490196078433</v>
      </c>
      <c r="I43" s="32">
        <v>7380</v>
      </c>
      <c r="J43" s="32">
        <v>-7921.4285714285716</v>
      </c>
      <c r="K43" s="31">
        <v>0.17499999999999999</v>
      </c>
      <c r="L43" s="31">
        <v>0.15686274509803921</v>
      </c>
      <c r="M43" s="31">
        <v>0.34967320261437906</v>
      </c>
      <c r="N43" s="31">
        <v>0.60416666666666663</v>
      </c>
      <c r="O43" s="31">
        <v>0.42990654205607476</v>
      </c>
      <c r="P43" s="31">
        <v>0.43</v>
      </c>
    </row>
    <row r="44" spans="1:16" x14ac:dyDescent="0.4">
      <c r="A44" s="33">
        <v>41</v>
      </c>
      <c r="B44" s="30">
        <v>63.3</v>
      </c>
      <c r="C44" s="30">
        <v>1.5439024390243903</v>
      </c>
      <c r="D44" s="35">
        <v>1.9512195121951219</v>
      </c>
      <c r="E44" s="31">
        <v>0.34146341463414637</v>
      </c>
      <c r="F44" s="31">
        <v>0.29268292682926828</v>
      </c>
      <c r="G44" s="31">
        <v>0.330188679245283</v>
      </c>
      <c r="H44" s="31">
        <v>0.14150943396226415</v>
      </c>
      <c r="I44" s="32">
        <v>7329.5238095238092</v>
      </c>
      <c r="J44" s="32">
        <v>-8168.8888888888887</v>
      </c>
      <c r="K44" s="31">
        <v>0.17073170731707318</v>
      </c>
      <c r="L44" s="31">
        <v>0.16037735849056603</v>
      </c>
      <c r="M44" s="31">
        <v>0.34905660377358488</v>
      </c>
      <c r="N44" s="31">
        <v>0.58823529411764708</v>
      </c>
      <c r="O44" s="31">
        <v>0.44144144144144143</v>
      </c>
      <c r="P44" s="31">
        <v>0.44761904761904764</v>
      </c>
    </row>
    <row r="45" spans="1:16" x14ac:dyDescent="0.4">
      <c r="A45" s="33">
        <v>42</v>
      </c>
      <c r="B45" s="30">
        <v>66.899999999999991</v>
      </c>
      <c r="C45" s="30">
        <v>1.5928571428571427</v>
      </c>
      <c r="D45" s="35">
        <v>1.9523809523809523</v>
      </c>
      <c r="E45" s="31">
        <v>0.33333333333333331</v>
      </c>
      <c r="F45" s="31">
        <v>0.2857142857142857</v>
      </c>
      <c r="G45" s="31">
        <v>0.33333333333333331</v>
      </c>
      <c r="H45" s="31">
        <v>0.1388888888888889</v>
      </c>
      <c r="I45" s="32">
        <v>7228.7037037037035</v>
      </c>
      <c r="J45" s="32">
        <v>-8168.8888888888887</v>
      </c>
      <c r="K45" s="31">
        <v>0.16666666666666666</v>
      </c>
      <c r="L45" s="31">
        <v>0.16049382716049382</v>
      </c>
      <c r="M45" s="31">
        <v>0.35185185185185186</v>
      </c>
      <c r="N45" s="31">
        <v>0.57692307692307687</v>
      </c>
      <c r="O45" s="31">
        <v>0.44736842105263158</v>
      </c>
      <c r="P45" s="31">
        <v>0.43518518518518517</v>
      </c>
    </row>
    <row r="46" spans="1:16" x14ac:dyDescent="0.4">
      <c r="A46" s="33">
        <v>43</v>
      </c>
      <c r="B46" s="30">
        <v>64.3</v>
      </c>
      <c r="C46" s="30">
        <v>1.4953488372093022</v>
      </c>
      <c r="D46" s="35">
        <v>1.9534883720930232</v>
      </c>
      <c r="E46" s="31">
        <v>0.32558139534883723</v>
      </c>
      <c r="F46" s="31">
        <v>0.27906976744186046</v>
      </c>
      <c r="G46" s="31">
        <v>0.33233532934131738</v>
      </c>
      <c r="H46" s="31">
        <v>0.1437125748502994</v>
      </c>
      <c r="I46" s="32">
        <v>7296.3963963963961</v>
      </c>
      <c r="J46" s="32">
        <v>-8281.25</v>
      </c>
      <c r="K46" s="31">
        <v>0.16279069767441862</v>
      </c>
      <c r="L46" s="31">
        <v>0.16467065868263472</v>
      </c>
      <c r="M46" s="31">
        <v>0.35029940119760478</v>
      </c>
      <c r="N46" s="31">
        <v>0.58181818181818179</v>
      </c>
      <c r="O46" s="31">
        <v>0.4358974358974359</v>
      </c>
      <c r="P46" s="31">
        <v>0.44144144144144143</v>
      </c>
    </row>
    <row r="47" spans="1:16" x14ac:dyDescent="0.4">
      <c r="A47" s="33">
        <v>44</v>
      </c>
      <c r="B47" s="30">
        <v>92.199999999999989</v>
      </c>
      <c r="C47" s="30">
        <v>2.0954545454545452</v>
      </c>
      <c r="D47" s="35">
        <v>1.9318181818181819</v>
      </c>
      <c r="E47" s="31">
        <v>0.34090909090909088</v>
      </c>
      <c r="F47" s="31">
        <v>0.27272727272727271</v>
      </c>
      <c r="G47" s="31">
        <v>0.33526011560693642</v>
      </c>
      <c r="H47" s="31">
        <v>0.1416184971098266</v>
      </c>
      <c r="I47" s="32">
        <v>7188.7931034482763</v>
      </c>
      <c r="J47" s="32">
        <v>-8171.4285714285716</v>
      </c>
      <c r="K47" s="31">
        <v>0.15909090909090909</v>
      </c>
      <c r="L47" s="31">
        <v>0.16184971098265896</v>
      </c>
      <c r="M47" s="31">
        <v>0.3583815028901734</v>
      </c>
      <c r="N47" s="31">
        <v>0.5714285714285714</v>
      </c>
      <c r="O47" s="31">
        <v>0.42741935483870969</v>
      </c>
      <c r="P47" s="31">
        <v>0.45689655172413796</v>
      </c>
    </row>
    <row r="48" spans="1:16" x14ac:dyDescent="0.4">
      <c r="A48" s="33">
        <v>45</v>
      </c>
      <c r="B48" s="30">
        <v>143.5</v>
      </c>
      <c r="C48" s="30">
        <v>3.1888888888888891</v>
      </c>
      <c r="D48" s="35">
        <v>1.9111111111111112</v>
      </c>
      <c r="E48" s="31">
        <v>0.35555555555555557</v>
      </c>
      <c r="F48" s="31">
        <v>0.26666666666666666</v>
      </c>
      <c r="G48" s="31">
        <v>0.33893557422969189</v>
      </c>
      <c r="H48" s="31">
        <v>0.13725490196078433</v>
      </c>
      <c r="I48" s="32">
        <v>7278.5123966942147</v>
      </c>
      <c r="J48" s="32">
        <v>-8171.4285714285716</v>
      </c>
      <c r="K48" s="31">
        <v>0.15555555555555556</v>
      </c>
      <c r="L48" s="31">
        <v>0.16526610644257703</v>
      </c>
      <c r="M48" s="31">
        <v>0.35854341736694678</v>
      </c>
      <c r="N48" s="31">
        <v>0.59322033898305082</v>
      </c>
      <c r="O48" s="31">
        <v>0.4296875</v>
      </c>
      <c r="P48" s="31">
        <v>0.45454545454545453</v>
      </c>
    </row>
    <row r="49" spans="1:16" x14ac:dyDescent="0.4">
      <c r="A49" s="33">
        <v>46</v>
      </c>
      <c r="B49" s="30">
        <v>183.4</v>
      </c>
      <c r="C49" s="30">
        <v>3.9869565217391307</v>
      </c>
      <c r="D49" s="35">
        <v>1.8913043478260869</v>
      </c>
      <c r="E49" s="31">
        <v>0.36956521739130432</v>
      </c>
      <c r="F49" s="31">
        <v>0.2608695652173913</v>
      </c>
      <c r="G49" s="31">
        <v>0.34340659340659341</v>
      </c>
      <c r="H49" s="31">
        <v>0.13461538461538461</v>
      </c>
      <c r="I49" s="32">
        <v>7276.8</v>
      </c>
      <c r="J49" s="32">
        <v>-8171.4285714285716</v>
      </c>
      <c r="K49" s="31">
        <v>0.15217391304347827</v>
      </c>
      <c r="L49" s="31">
        <v>0.16758241758241757</v>
      </c>
      <c r="M49" s="31">
        <v>0.35989010989010989</v>
      </c>
      <c r="N49" s="31">
        <v>0.5901639344262295</v>
      </c>
      <c r="O49" s="31">
        <v>0.4351145038167939</v>
      </c>
      <c r="P49" s="31">
        <v>0.44800000000000001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C13B1-3336-4721-9167-BA7B587E57AA}">
  <sheetPr codeName="Sheet16"/>
  <dimension ref="A1:Q7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-0.5</v>
      </c>
      <c r="C4" s="30">
        <v>-0.5</v>
      </c>
      <c r="D4" s="35">
        <v>2</v>
      </c>
      <c r="E4" s="31">
        <v>0</v>
      </c>
      <c r="F4" s="31">
        <v>0</v>
      </c>
      <c r="G4" s="31">
        <v>0.5</v>
      </c>
      <c r="H4" s="31">
        <v>0</v>
      </c>
      <c r="I4" s="32">
        <v>14000</v>
      </c>
      <c r="J4" s="32">
        <v>0</v>
      </c>
      <c r="K4" s="31">
        <v>0</v>
      </c>
      <c r="L4" s="31">
        <v>0.5</v>
      </c>
      <c r="M4" s="31">
        <v>0</v>
      </c>
      <c r="N4" s="31">
        <v>1</v>
      </c>
      <c r="O4" s="31">
        <v>0</v>
      </c>
      <c r="P4" s="31">
        <v>0</v>
      </c>
    </row>
    <row r="5" spans="1:17" x14ac:dyDescent="0.4">
      <c r="A5" s="33">
        <v>2</v>
      </c>
      <c r="B5" s="30">
        <v>-62.8</v>
      </c>
      <c r="C5" s="30">
        <v>-31.4</v>
      </c>
      <c r="D5" s="35">
        <v>2.5</v>
      </c>
      <c r="E5" s="31">
        <v>0</v>
      </c>
      <c r="F5" s="31">
        <v>0.5</v>
      </c>
      <c r="G5" s="31">
        <v>0.2</v>
      </c>
      <c r="H5" s="31">
        <v>0.2</v>
      </c>
      <c r="I5" s="32">
        <v>14000</v>
      </c>
      <c r="J5" s="32">
        <v>-17950</v>
      </c>
      <c r="K5" s="31">
        <v>0.5</v>
      </c>
      <c r="L5" s="31">
        <v>0.5</v>
      </c>
      <c r="M5" s="31">
        <v>0</v>
      </c>
      <c r="N5" s="31">
        <v>0.4</v>
      </c>
      <c r="O5" s="31">
        <v>0</v>
      </c>
      <c r="P5" s="31">
        <v>0</v>
      </c>
    </row>
    <row r="6" spans="1:17" x14ac:dyDescent="0.4">
      <c r="A6" s="33">
        <v>3</v>
      </c>
      <c r="B6" s="30">
        <v>-48.5</v>
      </c>
      <c r="C6" s="30">
        <v>-16.166666666666668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0.25</v>
      </c>
      <c r="I6" s="32">
        <v>12000</v>
      </c>
      <c r="J6" s="32">
        <v>-11775</v>
      </c>
      <c r="K6" s="31">
        <v>0.33333333333333331</v>
      </c>
      <c r="L6" s="31">
        <v>0.375</v>
      </c>
      <c r="M6" s="31">
        <v>6.25E-2</v>
      </c>
      <c r="N6" s="31">
        <v>0.5</v>
      </c>
      <c r="O6" s="31">
        <v>0</v>
      </c>
      <c r="P6" s="31">
        <v>0.5</v>
      </c>
    </row>
    <row r="7" spans="1:17" x14ac:dyDescent="0.4">
      <c r="A7" s="33">
        <v>4</v>
      </c>
      <c r="B7" s="30">
        <v>-75.599999999999994</v>
      </c>
      <c r="C7" s="30">
        <v>-18.899999999999999</v>
      </c>
      <c r="D7" s="35">
        <v>2.25</v>
      </c>
      <c r="E7" s="31">
        <v>0.25</v>
      </c>
      <c r="F7" s="31">
        <v>0.5</v>
      </c>
      <c r="G7" s="31">
        <v>0.22727272727272727</v>
      </c>
      <c r="H7" s="31">
        <v>0.22727272727272727</v>
      </c>
      <c r="I7" s="32">
        <v>10160</v>
      </c>
      <c r="J7" s="32">
        <v>-9940</v>
      </c>
      <c r="K7" s="31">
        <v>0.25</v>
      </c>
      <c r="L7" s="31">
        <v>0.40909090909090912</v>
      </c>
      <c r="M7" s="31">
        <v>4.5454545454545456E-2</v>
      </c>
      <c r="N7" s="31">
        <v>0.44444444444444442</v>
      </c>
      <c r="O7" s="31">
        <v>0</v>
      </c>
      <c r="P7" s="31">
        <v>0.6</v>
      </c>
    </row>
    <row r="8" spans="1:17" x14ac:dyDescent="0.4">
      <c r="A8" s="33">
        <v>5</v>
      </c>
      <c r="B8" s="30">
        <v>-96.5</v>
      </c>
      <c r="C8" s="30">
        <v>-19.3</v>
      </c>
      <c r="D8" s="35">
        <v>2.4</v>
      </c>
      <c r="E8" s="31">
        <v>0.2</v>
      </c>
      <c r="F8" s="31">
        <v>0.6</v>
      </c>
      <c r="G8" s="31">
        <v>0.20689655172413793</v>
      </c>
      <c r="H8" s="31">
        <v>0.20689655172413793</v>
      </c>
      <c r="I8" s="32">
        <v>8900</v>
      </c>
      <c r="J8" s="32">
        <v>-9150</v>
      </c>
      <c r="K8" s="31">
        <v>0.2</v>
      </c>
      <c r="L8" s="31">
        <v>0.34482758620689657</v>
      </c>
      <c r="M8" s="31">
        <v>3.4482758620689655E-2</v>
      </c>
      <c r="N8" s="31">
        <v>0.4</v>
      </c>
      <c r="O8" s="31">
        <v>0</v>
      </c>
      <c r="P8" s="31">
        <v>0.5</v>
      </c>
    </row>
    <row r="9" spans="1:17" x14ac:dyDescent="0.4">
      <c r="A9" s="33">
        <v>6</v>
      </c>
      <c r="B9" s="30">
        <v>-70.5</v>
      </c>
      <c r="C9" s="30">
        <v>-11.75</v>
      </c>
      <c r="D9" s="35">
        <v>2.1666666666666665</v>
      </c>
      <c r="E9" s="31">
        <v>0.33333333333333331</v>
      </c>
      <c r="F9" s="31">
        <v>0.5</v>
      </c>
      <c r="G9" s="31">
        <v>0.25</v>
      </c>
      <c r="H9" s="31">
        <v>0.19444444444444445</v>
      </c>
      <c r="I9" s="32">
        <v>8566.6666666666661</v>
      </c>
      <c r="J9" s="32">
        <v>-8585.7142857142862</v>
      </c>
      <c r="K9" s="31">
        <v>0.16666666666666666</v>
      </c>
      <c r="L9" s="31">
        <v>0.3888888888888889</v>
      </c>
      <c r="M9" s="31">
        <v>2.7777777777777776E-2</v>
      </c>
      <c r="N9" s="31">
        <v>0.5</v>
      </c>
      <c r="O9" s="31">
        <v>0</v>
      </c>
      <c r="P9" s="31">
        <v>0.44444444444444442</v>
      </c>
    </row>
    <row r="10" spans="1:17" x14ac:dyDescent="0.4">
      <c r="A10" s="33">
        <v>7</v>
      </c>
      <c r="B10" s="30">
        <v>-38.6</v>
      </c>
      <c r="C10" s="30">
        <v>-5.5142857142857142</v>
      </c>
      <c r="D10" s="35">
        <v>2</v>
      </c>
      <c r="E10" s="31">
        <v>0.42857142857142855</v>
      </c>
      <c r="F10" s="31">
        <v>0.42857142857142855</v>
      </c>
      <c r="G10" s="31">
        <v>0.28888888888888886</v>
      </c>
      <c r="H10" s="31">
        <v>0.15555555555555556</v>
      </c>
      <c r="I10" s="32">
        <v>8769.2307692307695</v>
      </c>
      <c r="J10" s="32">
        <v>-8585.7142857142862</v>
      </c>
      <c r="K10" s="31">
        <v>0.14285714285714285</v>
      </c>
      <c r="L10" s="31">
        <v>0.35555555555555557</v>
      </c>
      <c r="M10" s="31">
        <v>8.8888888888888892E-2</v>
      </c>
      <c r="N10" s="31">
        <v>0.5625</v>
      </c>
      <c r="O10" s="31">
        <v>0.25</v>
      </c>
      <c r="P10" s="31">
        <v>0.38461538461538464</v>
      </c>
    </row>
    <row r="11" spans="1:17" x14ac:dyDescent="0.4">
      <c r="A11" s="33">
        <v>8</v>
      </c>
      <c r="B11" s="30">
        <v>-28.3</v>
      </c>
      <c r="C11" s="30">
        <v>-3.5375000000000001</v>
      </c>
      <c r="D11" s="35">
        <v>2</v>
      </c>
      <c r="E11" s="31">
        <v>0.375</v>
      </c>
      <c r="F11" s="31">
        <v>0.375</v>
      </c>
      <c r="G11" s="31">
        <v>0.2857142857142857</v>
      </c>
      <c r="H11" s="31">
        <v>0.14285714285714285</v>
      </c>
      <c r="I11" s="32">
        <v>9431.25</v>
      </c>
      <c r="J11" s="32">
        <v>-8475</v>
      </c>
      <c r="K11" s="31">
        <v>0.125</v>
      </c>
      <c r="L11" s="31">
        <v>0.32142857142857145</v>
      </c>
      <c r="M11" s="31">
        <v>0.14285714285714285</v>
      </c>
      <c r="N11" s="31">
        <v>0.55555555555555558</v>
      </c>
      <c r="O11" s="31">
        <v>0.375</v>
      </c>
      <c r="P11" s="31">
        <v>0.375</v>
      </c>
    </row>
    <row r="12" spans="1:17" x14ac:dyDescent="0.4">
      <c r="A12" s="33">
        <v>9</v>
      </c>
      <c r="B12" s="30">
        <v>-20.3</v>
      </c>
      <c r="C12" s="30">
        <v>-2.2555555555555555</v>
      </c>
      <c r="D12" s="35">
        <v>2</v>
      </c>
      <c r="E12" s="31">
        <v>0.33333333333333331</v>
      </c>
      <c r="F12" s="31">
        <v>0.33333333333333331</v>
      </c>
      <c r="G12" s="31">
        <v>0.27692307692307694</v>
      </c>
      <c r="H12" s="31">
        <v>0.12307692307692308</v>
      </c>
      <c r="I12" s="32">
        <v>9316.6666666666661</v>
      </c>
      <c r="J12" s="32">
        <v>-8475</v>
      </c>
      <c r="K12" s="31">
        <v>0.1111111111111111</v>
      </c>
      <c r="L12" s="31">
        <v>0.30769230769230771</v>
      </c>
      <c r="M12" s="31">
        <v>0.15384615384615385</v>
      </c>
      <c r="N12" s="31">
        <v>0.55000000000000004</v>
      </c>
      <c r="O12" s="31">
        <v>0.4</v>
      </c>
      <c r="P12" s="31">
        <v>0.3888888888888889</v>
      </c>
    </row>
    <row r="13" spans="1:17" x14ac:dyDescent="0.4">
      <c r="A13" s="33">
        <v>10</v>
      </c>
      <c r="B13" s="30">
        <v>-14.9</v>
      </c>
      <c r="C13" s="30">
        <v>-1.49</v>
      </c>
      <c r="D13" s="35">
        <v>2</v>
      </c>
      <c r="E13" s="31">
        <v>0.3</v>
      </c>
      <c r="F13" s="31">
        <v>0.3</v>
      </c>
      <c r="G13" s="31">
        <v>0.30263157894736842</v>
      </c>
      <c r="H13" s="31">
        <v>0.11842105263157894</v>
      </c>
      <c r="I13" s="32">
        <v>8526.0869565217399</v>
      </c>
      <c r="J13" s="32">
        <v>-11088.888888888889</v>
      </c>
      <c r="K13" s="31">
        <v>0.1</v>
      </c>
      <c r="L13" s="31">
        <v>0.31578947368421051</v>
      </c>
      <c r="M13" s="31">
        <v>0.17105263157894737</v>
      </c>
      <c r="N13" s="31">
        <v>0.54166666666666663</v>
      </c>
      <c r="O13" s="31">
        <v>0.53846153846153844</v>
      </c>
      <c r="P13" s="31">
        <v>0.30434782608695654</v>
      </c>
    </row>
    <row r="14" spans="1:17" x14ac:dyDescent="0.4">
      <c r="A14" s="33">
        <v>11</v>
      </c>
      <c r="B14" s="30">
        <v>-46</v>
      </c>
      <c r="C14" s="30">
        <v>-4.1818181818181817</v>
      </c>
      <c r="D14" s="35">
        <v>2</v>
      </c>
      <c r="E14" s="31">
        <v>0.27272727272727271</v>
      </c>
      <c r="F14" s="31">
        <v>0.27272727272727271</v>
      </c>
      <c r="G14" s="31">
        <v>0.28915662650602408</v>
      </c>
      <c r="H14" s="31">
        <v>0.10843373493975904</v>
      </c>
      <c r="I14" s="32">
        <v>8225</v>
      </c>
      <c r="J14" s="32">
        <v>-11088.888888888889</v>
      </c>
      <c r="K14" s="31">
        <v>9.0909090909090912E-2</v>
      </c>
      <c r="L14" s="31">
        <v>0.3253012048192771</v>
      </c>
      <c r="M14" s="31">
        <v>0.18072289156626506</v>
      </c>
      <c r="N14" s="31">
        <v>0.51851851851851849</v>
      </c>
      <c r="O14" s="31">
        <v>0.46666666666666667</v>
      </c>
      <c r="P14" s="31">
        <v>0.29166666666666669</v>
      </c>
    </row>
    <row r="15" spans="1:17" x14ac:dyDescent="0.4">
      <c r="A15" s="33">
        <v>12</v>
      </c>
      <c r="B15" s="30">
        <v>-87.6</v>
      </c>
      <c r="C15" s="30">
        <v>-7.3</v>
      </c>
      <c r="D15" s="35">
        <v>2.0833333333333335</v>
      </c>
      <c r="E15" s="31">
        <v>0.25</v>
      </c>
      <c r="F15" s="31">
        <v>0.33333333333333331</v>
      </c>
      <c r="G15" s="31">
        <v>0.26881720430107525</v>
      </c>
      <c r="H15" s="31">
        <v>0.13978494623655913</v>
      </c>
      <c r="I15" s="32">
        <v>7960</v>
      </c>
      <c r="J15" s="32">
        <v>-9323.0769230769238</v>
      </c>
      <c r="K15" s="31">
        <v>8.3333333333333329E-2</v>
      </c>
      <c r="L15" s="31">
        <v>0.30107526881720431</v>
      </c>
      <c r="M15" s="31">
        <v>0.19354838709677419</v>
      </c>
      <c r="N15" s="31">
        <v>0.5</v>
      </c>
      <c r="O15" s="31">
        <v>0.3888888888888889</v>
      </c>
      <c r="P15" s="31">
        <v>0.32</v>
      </c>
    </row>
    <row r="16" spans="1:17" x14ac:dyDescent="0.4">
      <c r="A16" s="33">
        <v>13</v>
      </c>
      <c r="B16" s="30">
        <v>-125.89999999999999</v>
      </c>
      <c r="C16" s="30">
        <v>-9.684615384615384</v>
      </c>
      <c r="D16" s="35">
        <v>2.1538461538461537</v>
      </c>
      <c r="E16" s="31">
        <v>0.23076923076923078</v>
      </c>
      <c r="F16" s="31">
        <v>0.38461538461538464</v>
      </c>
      <c r="G16" s="31">
        <v>0.25252525252525254</v>
      </c>
      <c r="H16" s="31">
        <v>0.15151515151515152</v>
      </c>
      <c r="I16" s="32">
        <v>7960</v>
      </c>
      <c r="J16" s="32">
        <v>-8700</v>
      </c>
      <c r="K16" s="31">
        <v>7.6923076923076927E-2</v>
      </c>
      <c r="L16" s="31">
        <v>0.30303030303030304</v>
      </c>
      <c r="M16" s="31">
        <v>0.19191919191919191</v>
      </c>
      <c r="N16" s="31">
        <v>0.46666666666666667</v>
      </c>
      <c r="O16" s="31">
        <v>0.36842105263157893</v>
      </c>
      <c r="P16" s="31">
        <v>0.32</v>
      </c>
    </row>
    <row r="17" spans="1:16" x14ac:dyDescent="0.4">
      <c r="A17" s="33">
        <v>14</v>
      </c>
      <c r="B17" s="30">
        <v>-149.39999999999998</v>
      </c>
      <c r="C17" s="30">
        <v>-10.671428571428569</v>
      </c>
      <c r="D17" s="35">
        <v>2.1428571428571428</v>
      </c>
      <c r="E17" s="31">
        <v>0.21428571428571427</v>
      </c>
      <c r="F17" s="31">
        <v>0.35714285714285715</v>
      </c>
      <c r="G17" s="31">
        <v>0.24299065420560748</v>
      </c>
      <c r="H17" s="31">
        <v>0.14953271028037382</v>
      </c>
      <c r="I17" s="32">
        <v>7753.8461538461543</v>
      </c>
      <c r="J17" s="32">
        <v>-8881.25</v>
      </c>
      <c r="K17" s="31">
        <v>7.1428571428571425E-2</v>
      </c>
      <c r="L17" s="31">
        <v>0.29906542056074764</v>
      </c>
      <c r="M17" s="31">
        <v>0.18691588785046728</v>
      </c>
      <c r="N17" s="31">
        <v>0.46875</v>
      </c>
      <c r="O17" s="31">
        <v>0.35</v>
      </c>
      <c r="P17" s="31">
        <v>0.30769230769230771</v>
      </c>
    </row>
    <row r="18" spans="1:16" x14ac:dyDescent="0.4">
      <c r="A18" s="33">
        <v>15</v>
      </c>
      <c r="B18" s="30">
        <v>-121.39999999999998</v>
      </c>
      <c r="C18" s="30">
        <v>-8.0933333333333319</v>
      </c>
      <c r="D18" s="35">
        <v>2.0666666666666669</v>
      </c>
      <c r="E18" s="31">
        <v>0.26666666666666666</v>
      </c>
      <c r="F18" s="31">
        <v>0.33333333333333331</v>
      </c>
      <c r="G18" s="31">
        <v>0.25663716814159293</v>
      </c>
      <c r="H18" s="31">
        <v>0.1415929203539823</v>
      </c>
      <c r="I18" s="32">
        <v>7813.7931034482763</v>
      </c>
      <c r="J18" s="32">
        <v>-8881.25</v>
      </c>
      <c r="K18" s="31">
        <v>6.6666666666666666E-2</v>
      </c>
      <c r="L18" s="31">
        <v>0.29203539823008851</v>
      </c>
      <c r="M18" s="31">
        <v>0.21238938053097345</v>
      </c>
      <c r="N18" s="31">
        <v>0.48484848484848486</v>
      </c>
      <c r="O18" s="31">
        <v>0.375</v>
      </c>
      <c r="P18" s="31">
        <v>0.31034482758620691</v>
      </c>
    </row>
    <row r="19" spans="1:16" x14ac:dyDescent="0.4">
      <c r="A19" s="33">
        <v>16</v>
      </c>
      <c r="B19" s="30">
        <v>-141.29999999999998</v>
      </c>
      <c r="C19" s="30">
        <v>-8.8312499999999989</v>
      </c>
      <c r="D19" s="35">
        <v>2.0625</v>
      </c>
      <c r="E19" s="31">
        <v>0.25</v>
      </c>
      <c r="F19" s="31">
        <v>0.3125</v>
      </c>
      <c r="G19" s="31">
        <v>0.24193548387096775</v>
      </c>
      <c r="H19" s="31">
        <v>0.15322580645161291</v>
      </c>
      <c r="I19" s="32">
        <v>7683.333333333333</v>
      </c>
      <c r="J19" s="32">
        <v>-8157.894736842105</v>
      </c>
      <c r="K19" s="31">
        <v>6.25E-2</v>
      </c>
      <c r="L19" s="31">
        <v>0.2661290322580645</v>
      </c>
      <c r="M19" s="31">
        <v>0.22580645161290322</v>
      </c>
      <c r="N19" s="31">
        <v>0.48484848484848486</v>
      </c>
      <c r="O19" s="31">
        <v>0.35714285714285715</v>
      </c>
      <c r="P19" s="31">
        <v>0.3</v>
      </c>
    </row>
    <row r="20" spans="1:16" x14ac:dyDescent="0.4">
      <c r="A20" s="33">
        <v>17</v>
      </c>
      <c r="B20" s="30">
        <v>-149.1</v>
      </c>
      <c r="C20" s="30">
        <v>-8.7705882352941167</v>
      </c>
      <c r="D20" s="35">
        <v>2.0588235294117645</v>
      </c>
      <c r="E20" s="31">
        <v>0.23529411764705882</v>
      </c>
      <c r="F20" s="31">
        <v>0.29411764705882354</v>
      </c>
      <c r="G20" s="31">
        <v>0.23846153846153847</v>
      </c>
      <c r="H20" s="31">
        <v>0.14615384615384616</v>
      </c>
      <c r="I20" s="32">
        <v>7564.5161290322585</v>
      </c>
      <c r="J20" s="32">
        <v>-8157.894736842105</v>
      </c>
      <c r="K20" s="31">
        <v>5.8823529411764705E-2</v>
      </c>
      <c r="L20" s="31">
        <v>0.26923076923076922</v>
      </c>
      <c r="M20" s="31">
        <v>0.23076923076923078</v>
      </c>
      <c r="N20" s="31">
        <v>0.48571428571428571</v>
      </c>
      <c r="O20" s="31">
        <v>0.33333333333333331</v>
      </c>
      <c r="P20" s="31">
        <v>0.32258064516129031</v>
      </c>
    </row>
    <row r="21" spans="1:16" x14ac:dyDescent="0.4">
      <c r="A21" s="33">
        <v>18</v>
      </c>
      <c r="B21" s="30">
        <v>-201.89999999999998</v>
      </c>
      <c r="C21" s="30">
        <v>-11.216666666666665</v>
      </c>
      <c r="D21" s="35">
        <v>2.1111111111111112</v>
      </c>
      <c r="E21" s="31">
        <v>0.22222222222222221</v>
      </c>
      <c r="F21" s="31">
        <v>0.33333333333333331</v>
      </c>
      <c r="G21" s="31">
        <v>0.22794117647058823</v>
      </c>
      <c r="H21" s="31">
        <v>0.15441176470588236</v>
      </c>
      <c r="I21" s="32">
        <v>7564.5161290322585</v>
      </c>
      <c r="J21" s="32">
        <v>-8300</v>
      </c>
      <c r="K21" s="31">
        <v>0.1111111111111111</v>
      </c>
      <c r="L21" s="31">
        <v>0.26470588235294118</v>
      </c>
      <c r="M21" s="31">
        <v>0.22794117647058823</v>
      </c>
      <c r="N21" s="31">
        <v>0.47222222222222221</v>
      </c>
      <c r="O21" s="31">
        <v>0.32258064516129031</v>
      </c>
      <c r="P21" s="31">
        <v>0.32258064516129031</v>
      </c>
    </row>
    <row r="22" spans="1:16" x14ac:dyDescent="0.4">
      <c r="A22" s="33">
        <v>19</v>
      </c>
      <c r="B22" s="30">
        <v>-152.39999999999998</v>
      </c>
      <c r="C22" s="30">
        <v>-8.0210526315789465</v>
      </c>
      <c r="D22" s="35">
        <v>2.0526315789473686</v>
      </c>
      <c r="E22" s="31">
        <v>0.26315789473684209</v>
      </c>
      <c r="F22" s="31">
        <v>0.31578947368421051</v>
      </c>
      <c r="G22" s="31">
        <v>0.23943661971830985</v>
      </c>
      <c r="H22" s="31">
        <v>0.14788732394366197</v>
      </c>
      <c r="I22" s="32">
        <v>7994.1176470588234</v>
      </c>
      <c r="J22" s="32">
        <v>-8300</v>
      </c>
      <c r="K22" s="31">
        <v>0.10526315789473684</v>
      </c>
      <c r="L22" s="31">
        <v>0.26760563380281688</v>
      </c>
      <c r="M22" s="31">
        <v>0.23239436619718309</v>
      </c>
      <c r="N22" s="31">
        <v>0.5</v>
      </c>
      <c r="O22" s="31">
        <v>0.33333333333333331</v>
      </c>
      <c r="P22" s="31">
        <v>0.35294117647058826</v>
      </c>
    </row>
    <row r="23" spans="1:16" x14ac:dyDescent="0.4">
      <c r="A23" s="33">
        <v>20</v>
      </c>
      <c r="B23" s="30">
        <v>-140.19999999999999</v>
      </c>
      <c r="C23" s="30">
        <v>-7.01</v>
      </c>
      <c r="D23" s="35">
        <v>2.0499999999999998</v>
      </c>
      <c r="E23" s="31">
        <v>0.25</v>
      </c>
      <c r="F23" s="31">
        <v>0.3</v>
      </c>
      <c r="G23" s="31">
        <v>0.23841059602649006</v>
      </c>
      <c r="H23" s="31">
        <v>0.13907284768211919</v>
      </c>
      <c r="I23" s="32">
        <v>7994.4444444444443</v>
      </c>
      <c r="J23" s="32">
        <v>-8300</v>
      </c>
      <c r="K23" s="31">
        <v>0.1</v>
      </c>
      <c r="L23" s="31">
        <v>0.27152317880794702</v>
      </c>
      <c r="M23" s="31">
        <v>0.23178807947019867</v>
      </c>
      <c r="N23" s="31">
        <v>0.48780487804878048</v>
      </c>
      <c r="O23" s="31">
        <v>0.34285714285714286</v>
      </c>
      <c r="P23" s="31">
        <v>0.3611111111111111</v>
      </c>
    </row>
    <row r="24" spans="1:16" x14ac:dyDescent="0.4">
      <c r="A24" s="33">
        <v>21</v>
      </c>
      <c r="B24" s="30">
        <v>-76.699999999999989</v>
      </c>
      <c r="C24" s="30">
        <v>-3.6523809523809518</v>
      </c>
      <c r="D24" s="35">
        <v>2</v>
      </c>
      <c r="E24" s="31">
        <v>0.2857142857142857</v>
      </c>
      <c r="F24" s="31">
        <v>0.2857142857142857</v>
      </c>
      <c r="G24" s="31">
        <v>0.26114649681528662</v>
      </c>
      <c r="H24" s="31">
        <v>0.14012738853503184</v>
      </c>
      <c r="I24" s="32">
        <v>8363.414634146342</v>
      </c>
      <c r="J24" s="32">
        <v>-8040.909090909091</v>
      </c>
      <c r="K24" s="31">
        <v>9.5238095238095233E-2</v>
      </c>
      <c r="L24" s="31">
        <v>0.28662420382165604</v>
      </c>
      <c r="M24" s="31">
        <v>0.22929936305732485</v>
      </c>
      <c r="N24" s="31">
        <v>0.53333333333333333</v>
      </c>
      <c r="O24" s="31">
        <v>0.33333333333333331</v>
      </c>
      <c r="P24" s="31">
        <v>0.34146341463414637</v>
      </c>
    </row>
    <row r="25" spans="1:16" x14ac:dyDescent="0.4">
      <c r="A25" s="33">
        <v>22</v>
      </c>
      <c r="B25" s="30">
        <v>-46.699999999999989</v>
      </c>
      <c r="C25" s="30">
        <v>-2.1227272727272721</v>
      </c>
      <c r="D25" s="35">
        <v>1.9545454545454546</v>
      </c>
      <c r="E25" s="31">
        <v>0.31818181818181818</v>
      </c>
      <c r="F25" s="31">
        <v>0.27272727272727271</v>
      </c>
      <c r="G25" s="31">
        <v>0.27272727272727271</v>
      </c>
      <c r="H25" s="31">
        <v>0.1393939393939394</v>
      </c>
      <c r="I25" s="32">
        <v>8211.1111111111113</v>
      </c>
      <c r="J25" s="32">
        <v>-7804.347826086957</v>
      </c>
      <c r="K25" s="31">
        <v>9.0909090909090912E-2</v>
      </c>
      <c r="L25" s="31">
        <v>0.28484848484848485</v>
      </c>
      <c r="M25" s="31">
        <v>0.21818181818181817</v>
      </c>
      <c r="N25" s="31">
        <v>0.53191489361702127</v>
      </c>
      <c r="O25" s="31">
        <v>0.33333333333333331</v>
      </c>
      <c r="P25" s="31">
        <v>0.4</v>
      </c>
    </row>
    <row r="26" spans="1:16" x14ac:dyDescent="0.4">
      <c r="A26" s="33">
        <v>23</v>
      </c>
      <c r="B26" s="30">
        <v>-43.199999999999989</v>
      </c>
      <c r="C26" s="30">
        <v>-1.878260869565217</v>
      </c>
      <c r="D26" s="35">
        <v>1.9565217391304348</v>
      </c>
      <c r="E26" s="31">
        <v>0.30434782608695654</v>
      </c>
      <c r="F26" s="31">
        <v>0.2608695652173913</v>
      </c>
      <c r="G26" s="31">
        <v>0.27218934911242604</v>
      </c>
      <c r="H26" s="31">
        <v>0.13609467455621302</v>
      </c>
      <c r="I26" s="32">
        <v>8206.5217391304341</v>
      </c>
      <c r="J26" s="32">
        <v>-7804.347826086957</v>
      </c>
      <c r="K26" s="31">
        <v>8.6956521739130432E-2</v>
      </c>
      <c r="L26" s="31">
        <v>0.28402366863905326</v>
      </c>
      <c r="M26" s="31">
        <v>0.21301775147928995</v>
      </c>
      <c r="N26" s="31">
        <v>0.54166666666666663</v>
      </c>
      <c r="O26" s="31">
        <v>0.33333333333333331</v>
      </c>
      <c r="P26" s="31">
        <v>0.39130434782608697</v>
      </c>
    </row>
    <row r="27" spans="1:16" x14ac:dyDescent="0.4">
      <c r="A27" s="33">
        <v>24</v>
      </c>
      <c r="B27" s="30">
        <v>-9.1999999999999886</v>
      </c>
      <c r="C27" s="30">
        <v>-0.38333333333333286</v>
      </c>
      <c r="D27" s="35">
        <v>1.9166666666666667</v>
      </c>
      <c r="E27" s="31">
        <v>0.33333333333333331</v>
      </c>
      <c r="F27" s="31">
        <v>0.25</v>
      </c>
      <c r="G27" s="31">
        <v>0.2824858757062147</v>
      </c>
      <c r="H27" s="31">
        <v>0.13559322033898305</v>
      </c>
      <c r="I27" s="32">
        <v>8070</v>
      </c>
      <c r="J27" s="32">
        <v>-7541.666666666667</v>
      </c>
      <c r="K27" s="31">
        <v>8.3333333333333329E-2</v>
      </c>
      <c r="L27" s="31">
        <v>0.2768361581920904</v>
      </c>
      <c r="M27" s="31">
        <v>0.22033898305084745</v>
      </c>
      <c r="N27" s="31">
        <v>0.55102040816326525</v>
      </c>
      <c r="O27" s="31">
        <v>0.33333333333333331</v>
      </c>
      <c r="P27" s="31">
        <v>0.4</v>
      </c>
    </row>
    <row r="28" spans="1:16" x14ac:dyDescent="0.4">
      <c r="A28" s="33">
        <v>25</v>
      </c>
      <c r="B28" s="30">
        <v>-13.199999999999989</v>
      </c>
      <c r="C28" s="30">
        <v>-0.52799999999999958</v>
      </c>
      <c r="D28" s="35">
        <v>1.92</v>
      </c>
      <c r="E28" s="31">
        <v>0.32</v>
      </c>
      <c r="F28" s="31">
        <v>0.24</v>
      </c>
      <c r="G28" s="31">
        <v>0.27624309392265195</v>
      </c>
      <c r="H28" s="31">
        <v>0.13259668508287292</v>
      </c>
      <c r="I28" s="32">
        <v>8070</v>
      </c>
      <c r="J28" s="32">
        <v>-7541.666666666667</v>
      </c>
      <c r="K28" s="31">
        <v>0.08</v>
      </c>
      <c r="L28" s="31">
        <v>0.27071823204419887</v>
      </c>
      <c r="M28" s="31">
        <v>0.22099447513812154</v>
      </c>
      <c r="N28" s="31">
        <v>0.55102040816326525</v>
      </c>
      <c r="O28" s="31">
        <v>0.32500000000000001</v>
      </c>
      <c r="P28" s="31">
        <v>0.4</v>
      </c>
    </row>
    <row r="29" spans="1:16" x14ac:dyDescent="0.4">
      <c r="A29" s="33">
        <v>26</v>
      </c>
      <c r="B29" s="30">
        <v>-24.699999999999989</v>
      </c>
      <c r="C29" s="30">
        <v>-0.94999999999999951</v>
      </c>
      <c r="D29" s="35">
        <v>1.9230769230769231</v>
      </c>
      <c r="E29" s="31">
        <v>0.30769230769230771</v>
      </c>
      <c r="F29" s="31">
        <v>0.23076923076923078</v>
      </c>
      <c r="G29" s="31">
        <v>0.27419354838709675</v>
      </c>
      <c r="H29" s="31">
        <v>0.12903225806451613</v>
      </c>
      <c r="I29" s="32">
        <v>8147.0588235294117</v>
      </c>
      <c r="J29" s="32">
        <v>-7541.666666666667</v>
      </c>
      <c r="K29" s="31">
        <v>7.6923076923076927E-2</v>
      </c>
      <c r="L29" s="31">
        <v>0.27419354838709675</v>
      </c>
      <c r="M29" s="31">
        <v>0.22043010752688172</v>
      </c>
      <c r="N29" s="31">
        <v>0.5490196078431373</v>
      </c>
      <c r="O29" s="31">
        <v>0.31707317073170732</v>
      </c>
      <c r="P29" s="31">
        <v>0.39215686274509803</v>
      </c>
    </row>
    <row r="30" spans="1:16" x14ac:dyDescent="0.4">
      <c r="A30" s="33">
        <v>27</v>
      </c>
      <c r="B30" s="30">
        <v>-58.099999999999987</v>
      </c>
      <c r="C30" s="30">
        <v>-2.1518518518518515</v>
      </c>
      <c r="D30" s="35">
        <v>1.962962962962963</v>
      </c>
      <c r="E30" s="31">
        <v>0.29629629629629628</v>
      </c>
      <c r="F30" s="31">
        <v>0.25925925925925924</v>
      </c>
      <c r="G30" s="31">
        <v>0.27179487179487177</v>
      </c>
      <c r="H30" s="31">
        <v>0.13333333333333333</v>
      </c>
      <c r="I30" s="32">
        <v>8015.0943396226412</v>
      </c>
      <c r="J30" s="32">
        <v>-7623.0769230769229</v>
      </c>
      <c r="K30" s="31">
        <v>7.407407407407407E-2</v>
      </c>
      <c r="L30" s="31">
        <v>0.28205128205128205</v>
      </c>
      <c r="M30" s="31">
        <v>0.22051282051282051</v>
      </c>
      <c r="N30" s="31">
        <v>0.54545454545454541</v>
      </c>
      <c r="O30" s="31">
        <v>0.30232558139534882</v>
      </c>
      <c r="P30" s="31">
        <v>0.37735849056603776</v>
      </c>
    </row>
    <row r="31" spans="1:16" x14ac:dyDescent="0.4">
      <c r="A31" s="33">
        <v>28</v>
      </c>
      <c r="B31" s="30">
        <v>-115.69999999999999</v>
      </c>
      <c r="C31" s="30">
        <v>-4.1321428571428571</v>
      </c>
      <c r="D31" s="35">
        <v>2</v>
      </c>
      <c r="E31" s="31">
        <v>0.2857142857142857</v>
      </c>
      <c r="F31" s="31">
        <v>0.2857142857142857</v>
      </c>
      <c r="G31" s="31">
        <v>0.26829268292682928</v>
      </c>
      <c r="H31" s="31">
        <v>0.13658536585365855</v>
      </c>
      <c r="I31" s="32">
        <v>7890.909090909091</v>
      </c>
      <c r="J31" s="32">
        <v>-7782.1428571428569</v>
      </c>
      <c r="K31" s="31">
        <v>0.10714285714285714</v>
      </c>
      <c r="L31" s="31">
        <v>0.27317073170731709</v>
      </c>
      <c r="M31" s="31">
        <v>0.22439024390243903</v>
      </c>
      <c r="N31" s="31">
        <v>0.5357142857142857</v>
      </c>
      <c r="O31" s="31">
        <v>0.30434782608695654</v>
      </c>
      <c r="P31" s="31">
        <v>0.4</v>
      </c>
    </row>
    <row r="32" spans="1:16" x14ac:dyDescent="0.4">
      <c r="A32" s="33">
        <v>29</v>
      </c>
      <c r="B32" s="30">
        <v>-163.79999999999998</v>
      </c>
      <c r="C32" s="30">
        <v>-5.6482758620689646</v>
      </c>
      <c r="D32" s="35">
        <v>2.0344827586206895</v>
      </c>
      <c r="E32" s="31">
        <v>0.27586206896551724</v>
      </c>
      <c r="F32" s="31">
        <v>0.31034482758620691</v>
      </c>
      <c r="G32" s="31">
        <v>0.26511627906976742</v>
      </c>
      <c r="H32" s="31">
        <v>0.13488372093023257</v>
      </c>
      <c r="I32" s="32">
        <v>7773.6842105263158</v>
      </c>
      <c r="J32" s="32">
        <v>-7779.3103448275861</v>
      </c>
      <c r="K32" s="31">
        <v>0.13793103448275862</v>
      </c>
      <c r="L32" s="31">
        <v>0.26511627906976742</v>
      </c>
      <c r="M32" s="31">
        <v>0.22790697674418606</v>
      </c>
      <c r="N32" s="31">
        <v>0.54385964912280704</v>
      </c>
      <c r="O32" s="31">
        <v>0.30612244897959184</v>
      </c>
      <c r="P32" s="31">
        <v>0.38596491228070173</v>
      </c>
    </row>
    <row r="33" spans="1:16" x14ac:dyDescent="0.4">
      <c r="A33" s="33">
        <v>30</v>
      </c>
      <c r="B33" s="30">
        <v>-201</v>
      </c>
      <c r="C33" s="30">
        <v>-6.7</v>
      </c>
      <c r="D33" s="35">
        <v>2.0666666666666669</v>
      </c>
      <c r="E33" s="31">
        <v>0.26666666666666666</v>
      </c>
      <c r="F33" s="31">
        <v>0.33333333333333331</v>
      </c>
      <c r="G33" s="31">
        <v>0.26106194690265488</v>
      </c>
      <c r="H33" s="31">
        <v>0.13716814159292035</v>
      </c>
      <c r="I33" s="32">
        <v>7681.3559322033898</v>
      </c>
      <c r="J33" s="32">
        <v>-7790.322580645161</v>
      </c>
      <c r="K33" s="31">
        <v>0.13333333333333333</v>
      </c>
      <c r="L33" s="31">
        <v>0.26991150442477874</v>
      </c>
      <c r="M33" s="31">
        <v>0.22566371681415928</v>
      </c>
      <c r="N33" s="31">
        <v>0.52459016393442626</v>
      </c>
      <c r="O33" s="31">
        <v>0.29411764705882354</v>
      </c>
      <c r="P33" s="31">
        <v>0.38983050847457629</v>
      </c>
    </row>
    <row r="34" spans="1:16" x14ac:dyDescent="0.4">
      <c r="A34" s="33">
        <v>31</v>
      </c>
      <c r="B34" s="30">
        <v>-181.9</v>
      </c>
      <c r="C34" s="30">
        <v>-5.8677419354838714</v>
      </c>
      <c r="D34" s="35">
        <v>2.032258064516129</v>
      </c>
      <c r="E34" s="31">
        <v>0.29032258064516131</v>
      </c>
      <c r="F34" s="31">
        <v>0.32258064516129031</v>
      </c>
      <c r="G34" s="31">
        <v>0.26495726495726496</v>
      </c>
      <c r="H34" s="31">
        <v>0.13247863247863248</v>
      </c>
      <c r="I34" s="32">
        <v>7474.1935483870966</v>
      </c>
      <c r="J34" s="32">
        <v>-7790.322580645161</v>
      </c>
      <c r="K34" s="31">
        <v>0.12903225806451613</v>
      </c>
      <c r="L34" s="31">
        <v>0.26923076923076922</v>
      </c>
      <c r="M34" s="31">
        <v>0.22222222222222221</v>
      </c>
      <c r="N34" s="31">
        <v>0.53968253968253965</v>
      </c>
      <c r="O34" s="31">
        <v>0.30769230769230771</v>
      </c>
      <c r="P34" s="31">
        <v>0.38709677419354838</v>
      </c>
    </row>
    <row r="35" spans="1:16" x14ac:dyDescent="0.4">
      <c r="A35" s="33">
        <v>32</v>
      </c>
      <c r="B35" s="30">
        <v>-137.5</v>
      </c>
      <c r="C35" s="30">
        <v>-4.296875</v>
      </c>
      <c r="D35" s="35">
        <v>2</v>
      </c>
      <c r="E35" s="31">
        <v>0.3125</v>
      </c>
      <c r="F35" s="31">
        <v>0.3125</v>
      </c>
      <c r="G35" s="31">
        <v>0.27459016393442626</v>
      </c>
      <c r="H35" s="31">
        <v>0.12704918032786885</v>
      </c>
      <c r="I35" s="32">
        <v>7502.9850746268658</v>
      </c>
      <c r="J35" s="32">
        <v>-7790.322580645161</v>
      </c>
      <c r="K35" s="31">
        <v>0.125</v>
      </c>
      <c r="L35" s="31">
        <v>0.27049180327868855</v>
      </c>
      <c r="M35" s="31">
        <v>0.22540983606557377</v>
      </c>
      <c r="N35" s="31">
        <v>0.56060606060606055</v>
      </c>
      <c r="O35" s="31">
        <v>0.30909090909090908</v>
      </c>
      <c r="P35" s="31">
        <v>0.38805970149253732</v>
      </c>
    </row>
    <row r="36" spans="1:16" x14ac:dyDescent="0.4">
      <c r="A36" s="33">
        <v>33</v>
      </c>
      <c r="B36" s="30">
        <v>-142.19999999999999</v>
      </c>
      <c r="C36" s="30">
        <v>-4.3090909090909086</v>
      </c>
      <c r="D36" s="35">
        <v>2</v>
      </c>
      <c r="E36" s="31">
        <v>0.30303030303030304</v>
      </c>
      <c r="F36" s="31">
        <v>0.30303030303030304</v>
      </c>
      <c r="G36" s="31">
        <v>0.26984126984126983</v>
      </c>
      <c r="H36" s="31">
        <v>0.12301587301587301</v>
      </c>
      <c r="I36" s="32">
        <v>7411.7647058823532</v>
      </c>
      <c r="J36" s="32">
        <v>-7790.322580645161</v>
      </c>
      <c r="K36" s="31">
        <v>0.12121212121212122</v>
      </c>
      <c r="L36" s="31">
        <v>0.26190476190476192</v>
      </c>
      <c r="M36" s="31">
        <v>0.23015873015873015</v>
      </c>
      <c r="N36" s="31">
        <v>0.56060606060606055</v>
      </c>
      <c r="O36" s="31">
        <v>0.29310344827586204</v>
      </c>
      <c r="P36" s="31">
        <v>0.38235294117647056</v>
      </c>
    </row>
    <row r="37" spans="1:16" x14ac:dyDescent="0.4">
      <c r="A37" s="33">
        <v>34</v>
      </c>
      <c r="B37" s="30">
        <v>-158.79999999999998</v>
      </c>
      <c r="C37" s="30">
        <v>-4.670588235294117</v>
      </c>
      <c r="D37" s="35">
        <v>2</v>
      </c>
      <c r="E37" s="31">
        <v>0.29411764705882354</v>
      </c>
      <c r="F37" s="31">
        <v>0.29411764705882354</v>
      </c>
      <c r="G37" s="31">
        <v>0.26848249027237353</v>
      </c>
      <c r="H37" s="31">
        <v>0.12062256809338522</v>
      </c>
      <c r="I37" s="32">
        <v>7360.869565217391</v>
      </c>
      <c r="J37" s="32">
        <v>-7790.322580645161</v>
      </c>
      <c r="K37" s="31">
        <v>0.11764705882352941</v>
      </c>
      <c r="L37" s="31">
        <v>0.26070038910505838</v>
      </c>
      <c r="M37" s="31">
        <v>0.22957198443579765</v>
      </c>
      <c r="N37" s="31">
        <v>0.55223880597014929</v>
      </c>
      <c r="O37" s="31">
        <v>0.30508474576271188</v>
      </c>
      <c r="P37" s="31">
        <v>0.37681159420289856</v>
      </c>
    </row>
    <row r="38" spans="1:16" x14ac:dyDescent="0.4">
      <c r="A38" s="33">
        <v>35</v>
      </c>
      <c r="B38" s="30">
        <v>-182.49999999999997</v>
      </c>
      <c r="C38" s="30">
        <v>-5.2142857142857135</v>
      </c>
      <c r="D38" s="35">
        <v>2.0285714285714285</v>
      </c>
      <c r="E38" s="31">
        <v>0.2857142857142857</v>
      </c>
      <c r="F38" s="31">
        <v>0.31428571428571428</v>
      </c>
      <c r="G38" s="31">
        <v>0.26865671641791045</v>
      </c>
      <c r="H38" s="31">
        <v>0.12686567164179105</v>
      </c>
      <c r="I38" s="32">
        <v>7419.4444444444443</v>
      </c>
      <c r="J38" s="32">
        <v>-7879.411764705882</v>
      </c>
      <c r="K38" s="31">
        <v>0.11428571428571428</v>
      </c>
      <c r="L38" s="31">
        <v>0.2574626865671642</v>
      </c>
      <c r="M38" s="31">
        <v>0.23134328358208955</v>
      </c>
      <c r="N38" s="31">
        <v>0.53623188405797106</v>
      </c>
      <c r="O38" s="31">
        <v>0.32258064516129031</v>
      </c>
      <c r="P38" s="31">
        <v>0.3888888888888889</v>
      </c>
    </row>
    <row r="39" spans="1:16" x14ac:dyDescent="0.4">
      <c r="A39" s="33">
        <v>36</v>
      </c>
      <c r="B39" s="30">
        <v>-211.19999999999996</v>
      </c>
      <c r="C39" s="30">
        <v>-5.8666666666666654</v>
      </c>
      <c r="D39" s="35">
        <v>2.0277777777777777</v>
      </c>
      <c r="E39" s="31">
        <v>0.27777777777777779</v>
      </c>
      <c r="F39" s="31">
        <v>0.30555555555555558</v>
      </c>
      <c r="G39" s="31">
        <v>0.26353790613718414</v>
      </c>
      <c r="H39" s="31">
        <v>0.1263537906137184</v>
      </c>
      <c r="I39" s="32">
        <v>7353.4246575342468</v>
      </c>
      <c r="J39" s="32">
        <v>-7997.1428571428569</v>
      </c>
      <c r="K39" s="31">
        <v>0.1111111111111111</v>
      </c>
      <c r="L39" s="31">
        <v>0.2563176895306859</v>
      </c>
      <c r="M39" s="31">
        <v>0.23104693140794225</v>
      </c>
      <c r="N39" s="31">
        <v>0.53521126760563376</v>
      </c>
      <c r="O39" s="31">
        <v>0.3125</v>
      </c>
      <c r="P39" s="31">
        <v>0.38356164383561642</v>
      </c>
    </row>
    <row r="40" spans="1:16" x14ac:dyDescent="0.4">
      <c r="A40" s="33">
        <v>37</v>
      </c>
      <c r="B40" s="30">
        <v>-171.09999999999997</v>
      </c>
      <c r="C40" s="30">
        <v>-4.6243243243243235</v>
      </c>
      <c r="D40" s="35">
        <v>2</v>
      </c>
      <c r="E40" s="31">
        <v>0.29729729729729731</v>
      </c>
      <c r="F40" s="31">
        <v>0.29729729729729731</v>
      </c>
      <c r="G40" s="31">
        <v>0.26829268292682928</v>
      </c>
      <c r="H40" s="31">
        <v>0.12195121951219512</v>
      </c>
      <c r="I40" s="32">
        <v>7484.4155844155848</v>
      </c>
      <c r="J40" s="32">
        <v>-7997.1428571428569</v>
      </c>
      <c r="K40" s="31">
        <v>0.10810810810810811</v>
      </c>
      <c r="L40" s="31">
        <v>0.25783972125435539</v>
      </c>
      <c r="M40" s="31">
        <v>0.23344947735191637</v>
      </c>
      <c r="N40" s="31">
        <v>0.52702702702702697</v>
      </c>
      <c r="O40" s="31">
        <v>0.34328358208955223</v>
      </c>
      <c r="P40" s="31">
        <v>0.38961038961038963</v>
      </c>
    </row>
    <row r="41" spans="1:16" x14ac:dyDescent="0.4">
      <c r="A41" s="33">
        <v>38</v>
      </c>
      <c r="B41" s="30">
        <v>-97.399999999999963</v>
      </c>
      <c r="C41" s="30">
        <v>-2.563157894736841</v>
      </c>
      <c r="D41" s="35">
        <v>1.9736842105263157</v>
      </c>
      <c r="E41" s="31">
        <v>0.31578947368421051</v>
      </c>
      <c r="F41" s="31">
        <v>0.28947368421052633</v>
      </c>
      <c r="G41" s="31">
        <v>0.28135593220338984</v>
      </c>
      <c r="H41" s="31">
        <v>0.12203389830508475</v>
      </c>
      <c r="I41" s="32">
        <v>7691.5662650602408</v>
      </c>
      <c r="J41" s="32">
        <v>-7855.5555555555557</v>
      </c>
      <c r="K41" s="31">
        <v>0.10526315789473684</v>
      </c>
      <c r="L41" s="31">
        <v>0.25762711864406779</v>
      </c>
      <c r="M41" s="31">
        <v>0.2440677966101695</v>
      </c>
      <c r="N41" s="31">
        <v>0.53947368421052633</v>
      </c>
      <c r="O41" s="31">
        <v>0.3611111111111111</v>
      </c>
      <c r="P41" s="31">
        <v>0.39759036144578314</v>
      </c>
    </row>
    <row r="42" spans="1:16" x14ac:dyDescent="0.4">
      <c r="A42" s="33">
        <v>39</v>
      </c>
      <c r="B42" s="30">
        <v>-77.999999999999972</v>
      </c>
      <c r="C42" s="30">
        <v>-1.9999999999999993</v>
      </c>
      <c r="D42" s="35">
        <v>1.9743589743589745</v>
      </c>
      <c r="E42" s="31">
        <v>0.30769230769230771</v>
      </c>
      <c r="F42" s="31">
        <v>0.28205128205128205</v>
      </c>
      <c r="G42" s="31">
        <v>0.28196721311475409</v>
      </c>
      <c r="H42" s="31">
        <v>0.11803278688524591</v>
      </c>
      <c r="I42" s="32">
        <v>7840.6976744186049</v>
      </c>
      <c r="J42" s="32">
        <v>-7855.5555555555557</v>
      </c>
      <c r="K42" s="31">
        <v>0.10256410256410256</v>
      </c>
      <c r="L42" s="31">
        <v>0.25245901639344265</v>
      </c>
      <c r="M42" s="31">
        <v>0.24918032786885247</v>
      </c>
      <c r="N42" s="31">
        <v>0.54545454545454541</v>
      </c>
      <c r="O42" s="31">
        <v>0.36842105263157893</v>
      </c>
      <c r="P42" s="31">
        <v>0.39534883720930231</v>
      </c>
    </row>
    <row r="43" spans="1:16" x14ac:dyDescent="0.4">
      <c r="A43" s="33">
        <v>40</v>
      </c>
      <c r="B43" s="30">
        <v>-71.499999999999972</v>
      </c>
      <c r="C43" s="30">
        <v>-1.7874999999999992</v>
      </c>
      <c r="D43" s="35">
        <v>1.9750000000000001</v>
      </c>
      <c r="E43" s="31">
        <v>0.3</v>
      </c>
      <c r="F43" s="31">
        <v>0.27500000000000002</v>
      </c>
      <c r="G43" s="31">
        <v>0.27619047619047621</v>
      </c>
      <c r="H43" s="31">
        <v>0.11428571428571428</v>
      </c>
      <c r="I43" s="32">
        <v>7796.5517241379312</v>
      </c>
      <c r="J43" s="32">
        <v>-7855.5555555555557</v>
      </c>
      <c r="K43" s="31">
        <v>0.1</v>
      </c>
      <c r="L43" s="31">
        <v>0.25079365079365079</v>
      </c>
      <c r="M43" s="31">
        <v>0.24444444444444444</v>
      </c>
      <c r="N43" s="31">
        <v>0.54430379746835444</v>
      </c>
      <c r="O43" s="31">
        <v>0.36363636363636365</v>
      </c>
      <c r="P43" s="31">
        <v>0.40229885057471265</v>
      </c>
    </row>
    <row r="44" spans="1:16" x14ac:dyDescent="0.4">
      <c r="A44" s="33">
        <v>41</v>
      </c>
      <c r="B44" s="30">
        <v>-106.09999999999997</v>
      </c>
      <c r="C44" s="30">
        <v>-2.5878048780487797</v>
      </c>
      <c r="D44" s="35">
        <v>2</v>
      </c>
      <c r="E44" s="31">
        <v>0.29268292682926828</v>
      </c>
      <c r="F44" s="31">
        <v>0.29268292682926828</v>
      </c>
      <c r="G44" s="31">
        <v>0.27384615384615385</v>
      </c>
      <c r="H44" s="31">
        <v>0.11384615384615385</v>
      </c>
      <c r="I44" s="32">
        <v>7711.2359550561796</v>
      </c>
      <c r="J44" s="32">
        <v>-7956.7567567567567</v>
      </c>
      <c r="K44" s="31">
        <v>9.7560975609756101E-2</v>
      </c>
      <c r="L44" s="31">
        <v>0.24923076923076923</v>
      </c>
      <c r="M44" s="31">
        <v>0.24615384615384617</v>
      </c>
      <c r="N44" s="31">
        <v>0.54320987654320985</v>
      </c>
      <c r="O44" s="31">
        <v>0.36249999999999999</v>
      </c>
      <c r="P44" s="31">
        <v>0.4044943820224719</v>
      </c>
    </row>
    <row r="45" spans="1:16" x14ac:dyDescent="0.4">
      <c r="A45" s="33">
        <v>42</v>
      </c>
      <c r="B45" s="30">
        <v>-92.299999999999969</v>
      </c>
      <c r="C45" s="30">
        <v>-2.1976190476190469</v>
      </c>
      <c r="D45" s="35">
        <v>2</v>
      </c>
      <c r="E45" s="31">
        <v>0.2857142857142857</v>
      </c>
      <c r="F45" s="31">
        <v>0.2857142857142857</v>
      </c>
      <c r="G45" s="31">
        <v>0.27844311377245506</v>
      </c>
      <c r="H45" s="31">
        <v>0.11377245508982035</v>
      </c>
      <c r="I45" s="32">
        <v>7629.0322580645161</v>
      </c>
      <c r="J45" s="32">
        <v>-7850</v>
      </c>
      <c r="K45" s="31">
        <v>9.5238095238095233E-2</v>
      </c>
      <c r="L45" s="31">
        <v>0.24550898203592814</v>
      </c>
      <c r="M45" s="31">
        <v>0.24850299401197604</v>
      </c>
      <c r="N45" s="31">
        <v>0.54878048780487809</v>
      </c>
      <c r="O45" s="31">
        <v>0.37349397590361444</v>
      </c>
      <c r="P45" s="31">
        <v>0.40860215053763443</v>
      </c>
    </row>
    <row r="46" spans="1:16" x14ac:dyDescent="0.4">
      <c r="A46" s="33">
        <v>43</v>
      </c>
      <c r="B46" s="30">
        <v>-117.99999999999997</v>
      </c>
      <c r="C46" s="30">
        <v>-2.7441860465116275</v>
      </c>
      <c r="D46" s="35">
        <v>2.0232558139534884</v>
      </c>
      <c r="E46" s="31">
        <v>0.27906976744186046</v>
      </c>
      <c r="F46" s="31">
        <v>0.30232558139534882</v>
      </c>
      <c r="G46" s="31">
        <v>0.27696793002915454</v>
      </c>
      <c r="H46" s="31">
        <v>0.11661807580174927</v>
      </c>
      <c r="I46" s="32">
        <v>7565.2631578947367</v>
      </c>
      <c r="J46" s="32">
        <v>-7855</v>
      </c>
      <c r="K46" s="31">
        <v>9.3023255813953487E-2</v>
      </c>
      <c r="L46" s="31">
        <v>0.24198250728862974</v>
      </c>
      <c r="M46" s="31">
        <v>0.24781341107871721</v>
      </c>
      <c r="N46" s="31">
        <v>0.54216867469879515</v>
      </c>
      <c r="O46" s="31">
        <v>0.36470588235294116</v>
      </c>
      <c r="P46" s="31">
        <v>0.41052631578947368</v>
      </c>
    </row>
    <row r="47" spans="1:16" x14ac:dyDescent="0.4">
      <c r="A47" s="33">
        <v>44</v>
      </c>
      <c r="B47" s="30">
        <v>-94.799999999999969</v>
      </c>
      <c r="C47" s="30">
        <v>-2.1545454545454539</v>
      </c>
      <c r="D47" s="35">
        <v>2</v>
      </c>
      <c r="E47" s="31">
        <v>0.29545454545454547</v>
      </c>
      <c r="F47" s="31">
        <v>0.29545454545454547</v>
      </c>
      <c r="G47" s="31">
        <v>0.27793696275071633</v>
      </c>
      <c r="H47" s="31">
        <v>0.11461318051575932</v>
      </c>
      <c r="I47" s="32">
        <v>7615.4639175257735</v>
      </c>
      <c r="J47" s="32">
        <v>-7855</v>
      </c>
      <c r="K47" s="31">
        <v>9.0909090909090912E-2</v>
      </c>
      <c r="L47" s="31">
        <v>0.24928366762177651</v>
      </c>
      <c r="M47" s="31">
        <v>0.24355300859598855</v>
      </c>
      <c r="N47" s="31">
        <v>0.54022988505747127</v>
      </c>
      <c r="O47" s="31">
        <v>0.36470588235294116</v>
      </c>
      <c r="P47" s="31">
        <v>0.40206185567010311</v>
      </c>
    </row>
    <row r="48" spans="1:16" x14ac:dyDescent="0.4">
      <c r="A48" s="33">
        <v>45</v>
      </c>
      <c r="B48" s="30">
        <v>-60.89999999999997</v>
      </c>
      <c r="C48" s="30">
        <v>-1.3533333333333326</v>
      </c>
      <c r="D48" s="35">
        <v>1.9777777777777779</v>
      </c>
      <c r="E48" s="31">
        <v>0.31111111111111112</v>
      </c>
      <c r="F48" s="31">
        <v>0.28888888888888886</v>
      </c>
      <c r="G48" s="31">
        <v>0.28055555555555556</v>
      </c>
      <c r="H48" s="31">
        <v>0.1111111111111111</v>
      </c>
      <c r="I48" s="32">
        <v>7611.8811881188121</v>
      </c>
      <c r="J48" s="32">
        <v>-7855</v>
      </c>
      <c r="K48" s="31">
        <v>8.8888888888888892E-2</v>
      </c>
      <c r="L48" s="31">
        <v>0.25</v>
      </c>
      <c r="M48" s="31">
        <v>0.24722222222222223</v>
      </c>
      <c r="N48" s="31">
        <v>0.53333333333333333</v>
      </c>
      <c r="O48" s="31">
        <v>0.3707865168539326</v>
      </c>
      <c r="P48" s="31">
        <v>0.41584158415841582</v>
      </c>
    </row>
    <row r="49" spans="1:16" x14ac:dyDescent="0.4">
      <c r="A49" s="33">
        <v>46</v>
      </c>
      <c r="B49" s="30">
        <v>-76.899999999999977</v>
      </c>
      <c r="C49" s="30">
        <v>-1.6717391304347822</v>
      </c>
      <c r="D49" s="35">
        <v>2</v>
      </c>
      <c r="E49" s="31">
        <v>0.30434782608695654</v>
      </c>
      <c r="F49" s="31">
        <v>0.30434782608695654</v>
      </c>
      <c r="G49" s="31">
        <v>0.28142076502732238</v>
      </c>
      <c r="H49" s="31">
        <v>0.11475409836065574</v>
      </c>
      <c r="I49" s="32">
        <v>7539.8058252427181</v>
      </c>
      <c r="J49" s="32">
        <v>-7726.1904761904761</v>
      </c>
      <c r="K49" s="31">
        <v>8.6956521739130432E-2</v>
      </c>
      <c r="L49" s="31">
        <v>0.25409836065573771</v>
      </c>
      <c r="M49" s="31">
        <v>0.24316939890710382</v>
      </c>
      <c r="N49" s="31">
        <v>0.5268817204301075</v>
      </c>
      <c r="O49" s="31">
        <v>0.3707865168539326</v>
      </c>
      <c r="P49" s="31">
        <v>0.40776699029126212</v>
      </c>
    </row>
    <row r="50" spans="1:16" x14ac:dyDescent="0.4">
      <c r="A50" s="33">
        <v>47</v>
      </c>
      <c r="B50" s="30">
        <v>-26.09999999999998</v>
      </c>
      <c r="C50" s="30">
        <v>-0.55531914893616974</v>
      </c>
      <c r="D50" s="35">
        <v>1.9787234042553192</v>
      </c>
      <c r="E50" s="31">
        <v>0.31914893617021278</v>
      </c>
      <c r="F50" s="31">
        <v>0.2978723404255319</v>
      </c>
      <c r="G50" s="31">
        <v>0.28533333333333333</v>
      </c>
      <c r="H50" s="31">
        <v>0.112</v>
      </c>
      <c r="I50" s="32">
        <v>7702.8037383177571</v>
      </c>
      <c r="J50" s="32">
        <v>-7726.1904761904761</v>
      </c>
      <c r="K50" s="31">
        <v>8.5106382978723402E-2</v>
      </c>
      <c r="L50" s="31">
        <v>0.25333333333333335</v>
      </c>
      <c r="M50" s="31">
        <v>0.24266666666666667</v>
      </c>
      <c r="N50" s="31">
        <v>0.5368421052631579</v>
      </c>
      <c r="O50" s="31">
        <v>0.37362637362637363</v>
      </c>
      <c r="P50" s="31">
        <v>0.41121495327102803</v>
      </c>
    </row>
    <row r="51" spans="1:16" x14ac:dyDescent="0.4">
      <c r="A51" s="33">
        <v>48</v>
      </c>
      <c r="B51" s="30">
        <v>-19.899999999999981</v>
      </c>
      <c r="C51" s="30">
        <v>-0.41458333333333292</v>
      </c>
      <c r="D51" s="35">
        <v>1.9791666666666667</v>
      </c>
      <c r="E51" s="31">
        <v>0.3125</v>
      </c>
      <c r="F51" s="31">
        <v>0.29166666666666669</v>
      </c>
      <c r="G51" s="31">
        <v>0.28720626631853785</v>
      </c>
      <c r="H51" s="31">
        <v>0.11488250652741515</v>
      </c>
      <c r="I51" s="32">
        <v>7708.181818181818</v>
      </c>
      <c r="J51" s="32">
        <v>-7829.545454545455</v>
      </c>
      <c r="K51" s="31">
        <v>8.3333333333333329E-2</v>
      </c>
      <c r="L51" s="31">
        <v>0.25848563968668409</v>
      </c>
      <c r="M51" s="31">
        <v>0.23759791122715404</v>
      </c>
      <c r="N51" s="31">
        <v>0.54545454545454541</v>
      </c>
      <c r="O51" s="31">
        <v>0.37362637362637363</v>
      </c>
      <c r="P51" s="31">
        <v>0.41818181818181815</v>
      </c>
    </row>
    <row r="52" spans="1:16" x14ac:dyDescent="0.4">
      <c r="A52" s="33">
        <v>49</v>
      </c>
      <c r="B52" s="30">
        <v>13.800000000000022</v>
      </c>
      <c r="C52" s="30">
        <v>0.28163265306122492</v>
      </c>
      <c r="D52" s="35">
        <v>1.9591836734693877</v>
      </c>
      <c r="E52" s="31">
        <v>0.32653061224489793</v>
      </c>
      <c r="F52" s="31">
        <v>0.2857142857142857</v>
      </c>
      <c r="G52" s="31">
        <v>0.2879177377892031</v>
      </c>
      <c r="H52" s="31">
        <v>0.11311053984575835</v>
      </c>
      <c r="I52" s="32">
        <v>7820.5357142857147</v>
      </c>
      <c r="J52" s="32">
        <v>-7829.545454545455</v>
      </c>
      <c r="K52" s="31">
        <v>8.1632653061224483E-2</v>
      </c>
      <c r="L52" s="31">
        <v>0.25706940874035988</v>
      </c>
      <c r="M52" s="31">
        <v>0.2416452442159383</v>
      </c>
      <c r="N52" s="31">
        <v>0.55000000000000004</v>
      </c>
      <c r="O52" s="31">
        <v>0.36170212765957449</v>
      </c>
      <c r="P52" s="31">
        <v>0.42857142857142855</v>
      </c>
    </row>
    <row r="53" spans="1:16" x14ac:dyDescent="0.4">
      <c r="A53" s="33">
        <v>50</v>
      </c>
      <c r="B53" s="30">
        <v>-11.599999999999977</v>
      </c>
      <c r="C53" s="30">
        <v>-0.23199999999999954</v>
      </c>
      <c r="D53" s="35">
        <v>1.98</v>
      </c>
      <c r="E53" s="31">
        <v>0.32</v>
      </c>
      <c r="F53" s="31">
        <v>0.3</v>
      </c>
      <c r="G53" s="31">
        <v>0.28607594936708863</v>
      </c>
      <c r="H53" s="31">
        <v>0.11645569620253164</v>
      </c>
      <c r="I53" s="32">
        <v>7786.7256637168139</v>
      </c>
      <c r="J53" s="32">
        <v>-7747.826086956522</v>
      </c>
      <c r="K53" s="31">
        <v>0.08</v>
      </c>
      <c r="L53" s="31">
        <v>0.25569620253164554</v>
      </c>
      <c r="M53" s="31">
        <v>0.2481012658227848</v>
      </c>
      <c r="N53" s="31">
        <v>0.54455445544554459</v>
      </c>
      <c r="O53" s="31">
        <v>0.35714285714285715</v>
      </c>
      <c r="P53" s="31">
        <v>0.4336283185840708</v>
      </c>
    </row>
    <row r="54" spans="1:16" x14ac:dyDescent="0.4">
      <c r="A54" s="33">
        <v>51</v>
      </c>
      <c r="B54" s="30">
        <v>-66.299999999999983</v>
      </c>
      <c r="C54" s="30">
        <v>-1.2999999999999996</v>
      </c>
      <c r="D54" s="35">
        <v>2</v>
      </c>
      <c r="E54" s="31">
        <v>0.31372549019607843</v>
      </c>
      <c r="F54" s="31">
        <v>0.31372549019607843</v>
      </c>
      <c r="G54" s="31">
        <v>0.27980535279805352</v>
      </c>
      <c r="H54" s="31">
        <v>0.11922141119221411</v>
      </c>
      <c r="I54" s="32">
        <v>7701.739130434783</v>
      </c>
      <c r="J54" s="32">
        <v>-7618.3673469387759</v>
      </c>
      <c r="K54" s="31">
        <v>9.8039215686274508E-2</v>
      </c>
      <c r="L54" s="31">
        <v>0.24574209245742093</v>
      </c>
      <c r="M54" s="31">
        <v>0.24574209245742093</v>
      </c>
      <c r="N54" s="31">
        <v>0.54455445544554459</v>
      </c>
      <c r="O54" s="31">
        <v>0.35643564356435642</v>
      </c>
      <c r="P54" s="31">
        <v>0.42608695652173911</v>
      </c>
    </row>
    <row r="55" spans="1:16" x14ac:dyDescent="0.4">
      <c r="A55" s="33">
        <v>52</v>
      </c>
      <c r="B55" s="30">
        <v>-46.09999999999998</v>
      </c>
      <c r="C55" s="30">
        <v>-0.88653846153846116</v>
      </c>
      <c r="D55" s="35">
        <v>1.9807692307692308</v>
      </c>
      <c r="E55" s="31">
        <v>0.32692307692307693</v>
      </c>
      <c r="F55" s="31">
        <v>0.30769230769230771</v>
      </c>
      <c r="G55" s="31">
        <v>0.28297362110311752</v>
      </c>
      <c r="H55" s="31">
        <v>0.11990407673860912</v>
      </c>
      <c r="I55" s="32">
        <v>7774.5762711864409</v>
      </c>
      <c r="J55" s="32">
        <v>-7786</v>
      </c>
      <c r="K55" s="31">
        <v>9.6153846153846159E-2</v>
      </c>
      <c r="L55" s="31">
        <v>0.2446043165467626</v>
      </c>
      <c r="M55" s="31">
        <v>0.25179856115107913</v>
      </c>
      <c r="N55" s="31">
        <v>0.5490196078431373</v>
      </c>
      <c r="O55" s="31">
        <v>0.3619047619047619</v>
      </c>
      <c r="P55" s="31">
        <v>0.43220338983050849</v>
      </c>
    </row>
    <row r="56" spans="1:16" x14ac:dyDescent="0.4">
      <c r="A56" s="33">
        <v>53</v>
      </c>
      <c r="B56" s="30">
        <v>-73.59999999999998</v>
      </c>
      <c r="C56" s="30">
        <v>-1.3886792452830186</v>
      </c>
      <c r="D56" s="35">
        <v>2</v>
      </c>
      <c r="E56" s="31">
        <v>0.32075471698113206</v>
      </c>
      <c r="F56" s="31">
        <v>0.32075471698113206</v>
      </c>
      <c r="G56" s="31">
        <v>0.28235294117647058</v>
      </c>
      <c r="H56" s="31">
        <v>0.11764705882352941</v>
      </c>
      <c r="I56" s="32">
        <v>7695</v>
      </c>
      <c r="J56" s="32">
        <v>-7786</v>
      </c>
      <c r="K56" s="31">
        <v>9.4339622641509441E-2</v>
      </c>
      <c r="L56" s="31">
        <v>0.24235294117647058</v>
      </c>
      <c r="M56" s="31">
        <v>0.2541176470588235</v>
      </c>
      <c r="N56" s="31">
        <v>0.5436893203883495</v>
      </c>
      <c r="O56" s="31">
        <v>0.37037037037037035</v>
      </c>
      <c r="P56" s="31">
        <v>0.43333333333333335</v>
      </c>
    </row>
    <row r="57" spans="1:16" x14ac:dyDescent="0.4">
      <c r="A57" s="33">
        <v>54</v>
      </c>
      <c r="B57" s="30">
        <v>-104.39999999999998</v>
      </c>
      <c r="C57" s="30">
        <v>-1.9333333333333329</v>
      </c>
      <c r="D57" s="35">
        <v>2.0185185185185186</v>
      </c>
      <c r="E57" s="31">
        <v>0.31481481481481483</v>
      </c>
      <c r="F57" s="31">
        <v>0.33333333333333331</v>
      </c>
      <c r="G57" s="31">
        <v>0.28310502283105021</v>
      </c>
      <c r="H57" s="31">
        <v>0.11872146118721461</v>
      </c>
      <c r="I57" s="32">
        <v>7693.5483870967746</v>
      </c>
      <c r="J57" s="32">
        <v>-7998.0769230769229</v>
      </c>
      <c r="K57" s="31">
        <v>9.2592592592592587E-2</v>
      </c>
      <c r="L57" s="31">
        <v>0.24200913242009131</v>
      </c>
      <c r="M57" s="31">
        <v>0.25342465753424659</v>
      </c>
      <c r="N57" s="31">
        <v>0.54716981132075471</v>
      </c>
      <c r="O57" s="31">
        <v>0.3783783783783784</v>
      </c>
      <c r="P57" s="31">
        <v>0.41935483870967744</v>
      </c>
    </row>
    <row r="58" spans="1:16" x14ac:dyDescent="0.4">
      <c r="A58" s="33">
        <v>55</v>
      </c>
      <c r="B58" s="30">
        <v>-68.199999999999974</v>
      </c>
      <c r="C58" s="30">
        <v>-1.2399999999999995</v>
      </c>
      <c r="D58" s="35">
        <v>2</v>
      </c>
      <c r="E58" s="31">
        <v>0.32727272727272727</v>
      </c>
      <c r="F58" s="31">
        <v>0.32727272727272727</v>
      </c>
      <c r="G58" s="31">
        <v>0.28475336322869954</v>
      </c>
      <c r="H58" s="31">
        <v>0.11659192825112108</v>
      </c>
      <c r="I58" s="32">
        <v>7690.5511811023625</v>
      </c>
      <c r="J58" s="32">
        <v>-7998.0769230769229</v>
      </c>
      <c r="K58" s="31">
        <v>9.0909090909090912E-2</v>
      </c>
      <c r="L58" s="31">
        <v>0.23766816143497757</v>
      </c>
      <c r="M58" s="31">
        <v>0.25784753363228702</v>
      </c>
      <c r="N58" s="31">
        <v>0.54716981132075471</v>
      </c>
      <c r="O58" s="31">
        <v>0.39130434782608697</v>
      </c>
      <c r="P58" s="31">
        <v>0.41732283464566927</v>
      </c>
    </row>
    <row r="59" spans="1:16" x14ac:dyDescent="0.4">
      <c r="A59" s="33">
        <v>56</v>
      </c>
      <c r="B59" s="30">
        <v>-92.099999999999966</v>
      </c>
      <c r="C59" s="30">
        <v>-1.6446428571428566</v>
      </c>
      <c r="D59" s="35">
        <v>2.0178571428571428</v>
      </c>
      <c r="E59" s="31">
        <v>0.32142857142857145</v>
      </c>
      <c r="F59" s="31">
        <v>0.3392857142857143</v>
      </c>
      <c r="G59" s="31">
        <v>0.28193832599118945</v>
      </c>
      <c r="H59" s="31">
        <v>0.11674008810572688</v>
      </c>
      <c r="I59" s="32">
        <v>7771.09375</v>
      </c>
      <c r="J59" s="32">
        <v>-8186.7924528301883</v>
      </c>
      <c r="K59" s="31">
        <v>8.9285714285714288E-2</v>
      </c>
      <c r="L59" s="31">
        <v>0.23568281938325991</v>
      </c>
      <c r="M59" s="31">
        <v>0.25330396475770928</v>
      </c>
      <c r="N59" s="31">
        <v>0.55140186915887845</v>
      </c>
      <c r="O59" s="31">
        <v>0.39130434782608697</v>
      </c>
      <c r="P59" s="31">
        <v>0.421875</v>
      </c>
    </row>
    <row r="60" spans="1:16" x14ac:dyDescent="0.4">
      <c r="A60" s="33">
        <v>57</v>
      </c>
      <c r="B60" s="30">
        <v>-112.99999999999997</v>
      </c>
      <c r="C60" s="30">
        <v>-1.9824561403508767</v>
      </c>
      <c r="D60" s="35">
        <v>2.0350877192982457</v>
      </c>
      <c r="E60" s="31">
        <v>0.31578947368421051</v>
      </c>
      <c r="F60" s="31">
        <v>0.35087719298245612</v>
      </c>
      <c r="G60" s="31">
        <v>0.27982646420824298</v>
      </c>
      <c r="H60" s="31">
        <v>0.11496746203904555</v>
      </c>
      <c r="I60" s="32">
        <v>7803.8759689922481</v>
      </c>
      <c r="J60" s="32">
        <v>-8186.7924528301883</v>
      </c>
      <c r="K60" s="31">
        <v>8.771929824561403E-2</v>
      </c>
      <c r="L60" s="31">
        <v>0.23644251626898047</v>
      </c>
      <c r="M60" s="31">
        <v>0.24945770065075923</v>
      </c>
      <c r="N60" s="31">
        <v>0.55045871559633031</v>
      </c>
      <c r="O60" s="31">
        <v>0.39130434782608697</v>
      </c>
      <c r="P60" s="31">
        <v>0.4263565891472868</v>
      </c>
    </row>
    <row r="61" spans="1:16" x14ac:dyDescent="0.4">
      <c r="A61" s="33">
        <v>58</v>
      </c>
      <c r="B61" s="30">
        <v>-30.599999999999966</v>
      </c>
      <c r="C61" s="30">
        <v>-0.52758620689655111</v>
      </c>
      <c r="D61" s="35">
        <v>2.0172413793103448</v>
      </c>
      <c r="E61" s="31">
        <v>0.32758620689655171</v>
      </c>
      <c r="F61" s="31">
        <v>0.34482758620689657</v>
      </c>
      <c r="G61" s="31">
        <v>0.28297872340425534</v>
      </c>
      <c r="H61" s="31">
        <v>0.1148936170212766</v>
      </c>
      <c r="I61" s="32">
        <v>8103.0075187969924</v>
      </c>
      <c r="J61" s="32">
        <v>-8250</v>
      </c>
      <c r="K61" s="31">
        <v>8.6206896551724144E-2</v>
      </c>
      <c r="L61" s="31">
        <v>0.23829787234042554</v>
      </c>
      <c r="M61" s="31">
        <v>0.24468085106382978</v>
      </c>
      <c r="N61" s="31">
        <v>0.5535714285714286</v>
      </c>
      <c r="O61" s="31">
        <v>0.39130434782608697</v>
      </c>
      <c r="P61" s="31">
        <v>0.42857142857142855</v>
      </c>
    </row>
    <row r="62" spans="1:16" x14ac:dyDescent="0.4">
      <c r="A62" s="33">
        <v>59</v>
      </c>
      <c r="B62" s="30">
        <v>-56.299999999999969</v>
      </c>
      <c r="C62" s="30">
        <v>-0.95423728813559272</v>
      </c>
      <c r="D62" s="35">
        <v>2.0338983050847457</v>
      </c>
      <c r="E62" s="31">
        <v>0.32203389830508472</v>
      </c>
      <c r="F62" s="31">
        <v>0.3559322033898305</v>
      </c>
      <c r="G62" s="31">
        <v>0.28033472803347281</v>
      </c>
      <c r="H62" s="31">
        <v>0.11506276150627615</v>
      </c>
      <c r="I62" s="32">
        <v>8102.2388059701489</v>
      </c>
      <c r="J62" s="32">
        <v>-8240</v>
      </c>
      <c r="K62" s="31">
        <v>8.4745762711864403E-2</v>
      </c>
      <c r="L62" s="31">
        <v>0.23430962343096234</v>
      </c>
      <c r="M62" s="31">
        <v>0.24267782426778242</v>
      </c>
      <c r="N62" s="31">
        <v>0.5535714285714286</v>
      </c>
      <c r="O62" s="31">
        <v>0.39655172413793105</v>
      </c>
      <c r="P62" s="31">
        <v>0.43283582089552236</v>
      </c>
    </row>
    <row r="63" spans="1:16" x14ac:dyDescent="0.4">
      <c r="A63" s="33">
        <v>60</v>
      </c>
      <c r="B63" s="30">
        <v>-98.69999999999996</v>
      </c>
      <c r="C63" s="30">
        <v>-1.6449999999999994</v>
      </c>
      <c r="D63" s="35">
        <v>2.0499999999999998</v>
      </c>
      <c r="E63" s="31">
        <v>0.31666666666666665</v>
      </c>
      <c r="F63" s="31">
        <v>0.36666666666666664</v>
      </c>
      <c r="G63" s="31">
        <v>0.27551020408163263</v>
      </c>
      <c r="H63" s="31">
        <v>0.11632653061224489</v>
      </c>
      <c r="I63" s="32">
        <v>8085.1851851851852</v>
      </c>
      <c r="J63" s="32">
        <v>-8182.4561403508769</v>
      </c>
      <c r="K63" s="31">
        <v>8.3333333333333329E-2</v>
      </c>
      <c r="L63" s="31">
        <v>0.23469387755102042</v>
      </c>
      <c r="M63" s="31">
        <v>0.24081632653061225</v>
      </c>
      <c r="N63" s="31">
        <v>0.53913043478260869</v>
      </c>
      <c r="O63" s="31">
        <v>0.39830508474576271</v>
      </c>
      <c r="P63" s="31">
        <v>0.42962962962962964</v>
      </c>
    </row>
    <row r="64" spans="1:16" x14ac:dyDescent="0.4">
      <c r="A64" s="33">
        <v>61</v>
      </c>
      <c r="B64" s="30">
        <v>-47.69999999999996</v>
      </c>
      <c r="C64" s="30">
        <v>-0.78196721311475348</v>
      </c>
      <c r="D64" s="35">
        <v>2.0327868852459017</v>
      </c>
      <c r="E64" s="31">
        <v>0.32786885245901637</v>
      </c>
      <c r="F64" s="31">
        <v>0.36065573770491804</v>
      </c>
      <c r="G64" s="31">
        <v>0.27845528455284552</v>
      </c>
      <c r="H64" s="31">
        <v>0.11585365853658537</v>
      </c>
      <c r="I64" s="32">
        <v>8259.1240875912408</v>
      </c>
      <c r="J64" s="32">
        <v>-8182.4561403508769</v>
      </c>
      <c r="K64" s="31">
        <v>8.1967213114754092E-2</v>
      </c>
      <c r="L64" s="31">
        <v>0.23577235772357724</v>
      </c>
      <c r="M64" s="31">
        <v>0.241869918699187</v>
      </c>
      <c r="N64" s="31">
        <v>0.5431034482758621</v>
      </c>
      <c r="O64" s="31">
        <v>0.40336134453781514</v>
      </c>
      <c r="P64" s="31">
        <v>0.43065693430656932</v>
      </c>
    </row>
    <row r="65" spans="1:16" x14ac:dyDescent="0.4">
      <c r="A65" s="33">
        <v>62</v>
      </c>
      <c r="B65" s="30">
        <v>-83.499999999999957</v>
      </c>
      <c r="C65" s="30">
        <v>-1.3467741935483863</v>
      </c>
      <c r="D65" s="35">
        <v>2.0483870967741935</v>
      </c>
      <c r="E65" s="31">
        <v>0.32258064516129031</v>
      </c>
      <c r="F65" s="31">
        <v>0.37096774193548387</v>
      </c>
      <c r="G65" s="31">
        <v>0.27380952380952384</v>
      </c>
      <c r="H65" s="31">
        <v>0.11706349206349206</v>
      </c>
      <c r="I65" s="32">
        <v>8257.246376811594</v>
      </c>
      <c r="J65" s="32">
        <v>-8298.3050847457635</v>
      </c>
      <c r="K65" s="31">
        <v>8.0645161290322578E-2</v>
      </c>
      <c r="L65" s="31">
        <v>0.2361111111111111</v>
      </c>
      <c r="M65" s="31">
        <v>0.23809523809523808</v>
      </c>
      <c r="N65" s="31">
        <v>0.52941176470588236</v>
      </c>
      <c r="O65" s="31">
        <v>0.40833333333333333</v>
      </c>
      <c r="P65" s="31">
        <v>0.42753623188405798</v>
      </c>
    </row>
    <row r="66" spans="1:16" x14ac:dyDescent="0.4">
      <c r="A66" s="33">
        <v>63</v>
      </c>
      <c r="B66" s="30">
        <v>-102.59999999999997</v>
      </c>
      <c r="C66" s="30">
        <v>-1.6285714285714281</v>
      </c>
      <c r="D66" s="35">
        <v>2.0634920634920637</v>
      </c>
      <c r="E66" s="31">
        <v>0.31746031746031744</v>
      </c>
      <c r="F66" s="31">
        <v>0.38095238095238093</v>
      </c>
      <c r="G66" s="31">
        <v>0.27254901960784311</v>
      </c>
      <c r="H66" s="31">
        <v>0.11960784313725491</v>
      </c>
      <c r="I66" s="32">
        <v>8226.6187050359713</v>
      </c>
      <c r="J66" s="32">
        <v>-8175.4098360655735</v>
      </c>
      <c r="K66" s="31">
        <v>7.9365079365079361E-2</v>
      </c>
      <c r="L66" s="31">
        <v>0.23529411764705882</v>
      </c>
      <c r="M66" s="31">
        <v>0.23921568627450981</v>
      </c>
      <c r="N66" s="31">
        <v>0.53333333333333333</v>
      </c>
      <c r="O66" s="31">
        <v>0.40163934426229508</v>
      </c>
      <c r="P66" s="31">
        <v>0.43165467625899279</v>
      </c>
    </row>
    <row r="67" spans="1:16" x14ac:dyDescent="0.4">
      <c r="A67" s="33">
        <v>64</v>
      </c>
      <c r="B67" s="30">
        <v>-72.299999999999969</v>
      </c>
      <c r="C67" s="30">
        <v>-1.1296874999999995</v>
      </c>
      <c r="D67" s="35">
        <v>2.046875</v>
      </c>
      <c r="E67" s="31">
        <v>0.328125</v>
      </c>
      <c r="F67" s="31">
        <v>0.375</v>
      </c>
      <c r="G67" s="31">
        <v>0.27500000000000002</v>
      </c>
      <c r="H67" s="31">
        <v>0.11923076923076924</v>
      </c>
      <c r="I67" s="32">
        <v>8270.6293706293709</v>
      </c>
      <c r="J67" s="32">
        <v>-8167.7419354838712</v>
      </c>
      <c r="K67" s="31">
        <v>7.8125E-2</v>
      </c>
      <c r="L67" s="31">
        <v>0.23076923076923078</v>
      </c>
      <c r="M67" s="31">
        <v>0.24038461538461539</v>
      </c>
      <c r="N67" s="31">
        <v>0.53333333333333333</v>
      </c>
      <c r="O67" s="31">
        <v>0.40799999999999997</v>
      </c>
      <c r="P67" s="31">
        <v>0.42657342657342656</v>
      </c>
    </row>
    <row r="68" spans="1:16" x14ac:dyDescent="0.4">
      <c r="A68" s="33">
        <v>65</v>
      </c>
      <c r="B68" s="30">
        <v>-72.599999999999966</v>
      </c>
      <c r="C68" s="30">
        <v>-1.1169230769230765</v>
      </c>
      <c r="D68" s="35">
        <v>2.046153846153846</v>
      </c>
      <c r="E68" s="31">
        <v>0.32307692307692309</v>
      </c>
      <c r="F68" s="31">
        <v>0.36923076923076925</v>
      </c>
      <c r="G68" s="31">
        <v>0.27255639097744361</v>
      </c>
      <c r="H68" s="31">
        <v>0.11654135338345864</v>
      </c>
      <c r="I68" s="32">
        <v>8196.5517241379312</v>
      </c>
      <c r="J68" s="32">
        <v>-8167.7419354838712</v>
      </c>
      <c r="K68" s="31">
        <v>7.6923076923076927E-2</v>
      </c>
      <c r="L68" s="31">
        <v>0.22932330827067668</v>
      </c>
      <c r="M68" s="31">
        <v>0.23684210526315788</v>
      </c>
      <c r="N68" s="31">
        <v>0.53278688524590168</v>
      </c>
      <c r="O68" s="31">
        <v>0.40476190476190477</v>
      </c>
      <c r="P68" s="31">
        <v>0.42758620689655175</v>
      </c>
    </row>
    <row r="69" spans="1:16" x14ac:dyDescent="0.4">
      <c r="A69" s="33">
        <v>66</v>
      </c>
      <c r="B69" s="30">
        <v>-70.899999999999963</v>
      </c>
      <c r="C69" s="30">
        <v>-1.0742424242424238</v>
      </c>
      <c r="D69" s="35">
        <v>2.0454545454545454</v>
      </c>
      <c r="E69" s="31">
        <v>0.31818181818181818</v>
      </c>
      <c r="F69" s="31">
        <v>0.36363636363636365</v>
      </c>
      <c r="G69" s="31">
        <v>0.27306273062730629</v>
      </c>
      <c r="H69" s="31">
        <v>0.11808118081180811</v>
      </c>
      <c r="I69" s="32">
        <v>8214.864864864865</v>
      </c>
      <c r="J69" s="32">
        <v>-8281.25</v>
      </c>
      <c r="K69" s="31">
        <v>7.575757575757576E-2</v>
      </c>
      <c r="L69" s="31">
        <v>0.23247232472324722</v>
      </c>
      <c r="M69" s="31">
        <v>0.23616236162361623</v>
      </c>
      <c r="N69" s="31">
        <v>0.53174603174603174</v>
      </c>
      <c r="O69" s="31">
        <v>0.40625</v>
      </c>
      <c r="P69" s="31">
        <v>0.42567567567567566</v>
      </c>
    </row>
    <row r="70" spans="1:16" x14ac:dyDescent="0.4">
      <c r="A70" s="33">
        <v>67</v>
      </c>
      <c r="B70" s="30">
        <v>-50.19999999999996</v>
      </c>
      <c r="C70" s="30">
        <v>-0.74925373134328299</v>
      </c>
      <c r="D70" s="35">
        <v>2.0298507462686568</v>
      </c>
      <c r="E70" s="31">
        <v>0.32835820895522388</v>
      </c>
      <c r="F70" s="31">
        <v>0.35820895522388058</v>
      </c>
      <c r="G70" s="31">
        <v>0.27322404371584702</v>
      </c>
      <c r="H70" s="31">
        <v>0.11657559198542805</v>
      </c>
      <c r="I70" s="32">
        <v>8292</v>
      </c>
      <c r="J70" s="32">
        <v>-8281.25</v>
      </c>
      <c r="K70" s="31">
        <v>7.4626865671641784E-2</v>
      </c>
      <c r="L70" s="31">
        <v>0.23132969034608378</v>
      </c>
      <c r="M70" s="31">
        <v>0.23679417122040072</v>
      </c>
      <c r="N70" s="31">
        <v>0.53543307086614178</v>
      </c>
      <c r="O70" s="31">
        <v>0.4</v>
      </c>
      <c r="P70" s="31">
        <v>0.43333333333333335</v>
      </c>
    </row>
    <row r="71" spans="1:16" x14ac:dyDescent="0.4">
      <c r="A71" s="33">
        <v>68</v>
      </c>
      <c r="B71" s="30">
        <v>-53.19999999999996</v>
      </c>
      <c r="C71" s="30">
        <v>-0.78235294117647003</v>
      </c>
      <c r="D71" s="35">
        <v>2.0294117647058822</v>
      </c>
      <c r="E71" s="31">
        <v>0.3235294117647059</v>
      </c>
      <c r="F71" s="31">
        <v>0.35294117647058826</v>
      </c>
      <c r="G71" s="31">
        <v>0.27321428571428569</v>
      </c>
      <c r="H71" s="31">
        <v>0.11785714285714285</v>
      </c>
      <c r="I71" s="32">
        <v>8213.7254901960787</v>
      </c>
      <c r="J71" s="32">
        <v>-8196.9696969696961</v>
      </c>
      <c r="K71" s="31">
        <v>7.3529411764705885E-2</v>
      </c>
      <c r="L71" s="31">
        <v>0.23035714285714284</v>
      </c>
      <c r="M71" s="31">
        <v>0.23749999999999999</v>
      </c>
      <c r="N71" s="31">
        <v>0.52713178294573648</v>
      </c>
      <c r="O71" s="31">
        <v>0.41353383458646614</v>
      </c>
      <c r="P71" s="31">
        <v>0.43790849673202614</v>
      </c>
    </row>
    <row r="72" spans="1:16" x14ac:dyDescent="0.4">
      <c r="A72" s="33">
        <v>69</v>
      </c>
      <c r="B72" s="30">
        <v>-93.19999999999996</v>
      </c>
      <c r="C72" s="30">
        <v>-1.3507246376811588</v>
      </c>
      <c r="D72" s="35">
        <v>2.0434782608695654</v>
      </c>
      <c r="E72" s="31">
        <v>0.3188405797101449</v>
      </c>
      <c r="F72" s="31">
        <v>0.36231884057971014</v>
      </c>
      <c r="G72" s="31">
        <v>0.27160493827160492</v>
      </c>
      <c r="H72" s="31">
        <v>0.12169312169312169</v>
      </c>
      <c r="I72" s="32">
        <v>8177.272727272727</v>
      </c>
      <c r="J72" s="32">
        <v>-8091.304347826087</v>
      </c>
      <c r="K72" s="31">
        <v>7.2463768115942032E-2</v>
      </c>
      <c r="L72" s="31">
        <v>0.2292768959435626</v>
      </c>
      <c r="M72" s="31">
        <v>0.23809523809523808</v>
      </c>
      <c r="N72" s="31">
        <v>0.52307692307692311</v>
      </c>
      <c r="O72" s="31">
        <v>0.40740740740740738</v>
      </c>
      <c r="P72" s="31">
        <v>0.43506493506493504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0A2AF-B496-419E-8DCE-B2C7A20A8881}">
  <sheetPr codeName="Sheet14"/>
  <dimension ref="A1:Q4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-55.5</v>
      </c>
      <c r="C4" s="30">
        <v>-55.5</v>
      </c>
      <c r="D4" s="35">
        <v>3</v>
      </c>
      <c r="E4" s="31">
        <v>0</v>
      </c>
      <c r="F4" s="31">
        <v>1</v>
      </c>
      <c r="G4" s="31">
        <v>0</v>
      </c>
      <c r="H4" s="31">
        <v>0.25</v>
      </c>
      <c r="I4" s="32">
        <v>0</v>
      </c>
      <c r="J4" s="32">
        <v>-16000</v>
      </c>
      <c r="K4" s="31">
        <v>1</v>
      </c>
      <c r="L4" s="31">
        <v>0.5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-106.5</v>
      </c>
      <c r="C5" s="30">
        <v>-53.25</v>
      </c>
      <c r="D5" s="35">
        <v>3</v>
      </c>
      <c r="E5" s="31">
        <v>0</v>
      </c>
      <c r="F5" s="31">
        <v>1</v>
      </c>
      <c r="G5" s="31">
        <v>0</v>
      </c>
      <c r="H5" s="31">
        <v>0.33333333333333331</v>
      </c>
      <c r="I5" s="32">
        <v>0</v>
      </c>
      <c r="J5" s="32">
        <v>-7725</v>
      </c>
      <c r="K5" s="31">
        <v>1</v>
      </c>
      <c r="L5" s="31">
        <v>0.33333333333333331</v>
      </c>
      <c r="M5" s="31">
        <v>8.3333333333333329E-2</v>
      </c>
      <c r="N5" s="31">
        <v>0</v>
      </c>
      <c r="O5" s="31">
        <v>0</v>
      </c>
      <c r="P5" s="31">
        <v>0</v>
      </c>
    </row>
    <row r="6" spans="1:17" x14ac:dyDescent="0.4">
      <c r="A6" s="33">
        <v>3</v>
      </c>
      <c r="B6" s="30">
        <v>-108</v>
      </c>
      <c r="C6" s="30">
        <v>-36</v>
      </c>
      <c r="D6" s="35">
        <v>2.6666666666666665</v>
      </c>
      <c r="E6" s="31">
        <v>0</v>
      </c>
      <c r="F6" s="31">
        <v>0.66666666666666663</v>
      </c>
      <c r="G6" s="31">
        <v>0.16666666666666666</v>
      </c>
      <c r="H6" s="31">
        <v>0.22222222222222221</v>
      </c>
      <c r="I6" s="32">
        <v>2900</v>
      </c>
      <c r="J6" s="32">
        <v>-7725</v>
      </c>
      <c r="K6" s="31">
        <v>0.66666666666666663</v>
      </c>
      <c r="L6" s="31">
        <v>0.33333333333333331</v>
      </c>
      <c r="M6" s="31">
        <v>5.5555555555555552E-2</v>
      </c>
      <c r="N6" s="31">
        <v>0.33333333333333331</v>
      </c>
      <c r="O6" s="31">
        <v>0</v>
      </c>
      <c r="P6" s="31">
        <v>0.66666666666666663</v>
      </c>
    </row>
    <row r="7" spans="1:17" x14ac:dyDescent="0.4">
      <c r="A7" s="33">
        <v>4</v>
      </c>
      <c r="B7" s="30">
        <v>-115.5</v>
      </c>
      <c r="C7" s="30">
        <v>-28.875</v>
      </c>
      <c r="D7" s="35">
        <v>2.5</v>
      </c>
      <c r="E7" s="31">
        <v>0</v>
      </c>
      <c r="F7" s="31">
        <v>0.5</v>
      </c>
      <c r="G7" s="31">
        <v>0.13043478260869565</v>
      </c>
      <c r="H7" s="31">
        <v>0.17391304347826086</v>
      </c>
      <c r="I7" s="32">
        <v>2900</v>
      </c>
      <c r="J7" s="32">
        <v>-7725</v>
      </c>
      <c r="K7" s="31">
        <v>0.5</v>
      </c>
      <c r="L7" s="31">
        <v>0.30434782608695654</v>
      </c>
      <c r="M7" s="31">
        <v>4.3478260869565216E-2</v>
      </c>
      <c r="N7" s="31">
        <v>0.2857142857142857</v>
      </c>
      <c r="O7" s="31">
        <v>0</v>
      </c>
      <c r="P7" s="31">
        <v>0.66666666666666663</v>
      </c>
    </row>
    <row r="8" spans="1:17" x14ac:dyDescent="0.4">
      <c r="A8" s="33">
        <v>5</v>
      </c>
      <c r="B8" s="30">
        <v>-116</v>
      </c>
      <c r="C8" s="30">
        <v>-23.2</v>
      </c>
      <c r="D8" s="35">
        <v>2.4</v>
      </c>
      <c r="E8" s="31">
        <v>0</v>
      </c>
      <c r="F8" s="31">
        <v>0.4</v>
      </c>
      <c r="G8" s="31">
        <v>0.2</v>
      </c>
      <c r="H8" s="31">
        <v>0.2</v>
      </c>
      <c r="I8" s="32">
        <v>4516.666666666667</v>
      </c>
      <c r="J8" s="32">
        <v>-7583.333333333333</v>
      </c>
      <c r="K8" s="31">
        <v>0.4</v>
      </c>
      <c r="L8" s="31">
        <v>0.3</v>
      </c>
      <c r="M8" s="31">
        <v>3.3333333333333333E-2</v>
      </c>
      <c r="N8" s="31">
        <v>0.33333333333333331</v>
      </c>
      <c r="O8" s="31">
        <v>0</v>
      </c>
      <c r="P8" s="31">
        <v>0.33333333333333331</v>
      </c>
    </row>
    <row r="9" spans="1:17" x14ac:dyDescent="0.4">
      <c r="A9" s="33">
        <v>6</v>
      </c>
      <c r="B9" s="30">
        <v>-146</v>
      </c>
      <c r="C9" s="30">
        <v>-24.333333333333332</v>
      </c>
      <c r="D9" s="35">
        <v>2.5</v>
      </c>
      <c r="E9" s="31">
        <v>0</v>
      </c>
      <c r="F9" s="31">
        <v>0.5</v>
      </c>
      <c r="G9" s="31">
        <v>0.16216216216216217</v>
      </c>
      <c r="H9" s="31">
        <v>0.1891891891891892</v>
      </c>
      <c r="I9" s="32">
        <v>4516.666666666667</v>
      </c>
      <c r="J9" s="32">
        <v>-8214.2857142857138</v>
      </c>
      <c r="K9" s="31">
        <v>0.33333333333333331</v>
      </c>
      <c r="L9" s="31">
        <v>0.32432432432432434</v>
      </c>
      <c r="M9" s="31">
        <v>5.4054054054054057E-2</v>
      </c>
      <c r="N9" s="31">
        <v>0.25</v>
      </c>
      <c r="O9" s="31">
        <v>0</v>
      </c>
      <c r="P9" s="31">
        <v>0.33333333333333331</v>
      </c>
    </row>
    <row r="10" spans="1:17" x14ac:dyDescent="0.4">
      <c r="A10" s="33">
        <v>7</v>
      </c>
      <c r="B10" s="30">
        <v>-168.5</v>
      </c>
      <c r="C10" s="30">
        <v>-24.071428571428573</v>
      </c>
      <c r="D10" s="35">
        <v>2.5714285714285716</v>
      </c>
      <c r="E10" s="31">
        <v>0</v>
      </c>
      <c r="F10" s="31">
        <v>0.5714285714285714</v>
      </c>
      <c r="G10" s="31">
        <v>0.17391304347826086</v>
      </c>
      <c r="H10" s="31">
        <v>0.17391304347826086</v>
      </c>
      <c r="I10" s="32">
        <v>5137.5</v>
      </c>
      <c r="J10" s="32">
        <v>-9187.5</v>
      </c>
      <c r="K10" s="31">
        <v>0.2857142857142857</v>
      </c>
      <c r="L10" s="31">
        <v>0.30434782608695654</v>
      </c>
      <c r="M10" s="31">
        <v>8.6956521739130432E-2</v>
      </c>
      <c r="N10" s="31">
        <v>0.2857142857142857</v>
      </c>
      <c r="O10" s="31">
        <v>0.25</v>
      </c>
      <c r="P10" s="31">
        <v>0.375</v>
      </c>
    </row>
    <row r="11" spans="1:17" x14ac:dyDescent="0.4">
      <c r="A11" s="33">
        <v>8</v>
      </c>
      <c r="B11" s="30">
        <v>-157.19999999999999</v>
      </c>
      <c r="C11" s="30">
        <v>-19.649999999999999</v>
      </c>
      <c r="D11" s="35">
        <v>2.5</v>
      </c>
      <c r="E11" s="31">
        <v>0</v>
      </c>
      <c r="F11" s="31">
        <v>0.5</v>
      </c>
      <c r="G11" s="31">
        <v>0.21153846153846154</v>
      </c>
      <c r="H11" s="31">
        <v>0.15384615384615385</v>
      </c>
      <c r="I11" s="32">
        <v>5672.727272727273</v>
      </c>
      <c r="J11" s="32">
        <v>-9187.5</v>
      </c>
      <c r="K11" s="31">
        <v>0.25</v>
      </c>
      <c r="L11" s="31">
        <v>0.34615384615384615</v>
      </c>
      <c r="M11" s="31">
        <v>7.6923076923076927E-2</v>
      </c>
      <c r="N11" s="31">
        <v>0.3888888888888889</v>
      </c>
      <c r="O11" s="31">
        <v>0.25</v>
      </c>
      <c r="P11" s="31">
        <v>0.36363636363636365</v>
      </c>
    </row>
    <row r="12" spans="1:17" x14ac:dyDescent="0.4">
      <c r="A12" s="33">
        <v>9</v>
      </c>
      <c r="B12" s="30">
        <v>-172.39999999999998</v>
      </c>
      <c r="C12" s="30">
        <v>-19.155555555555551</v>
      </c>
      <c r="D12" s="35">
        <v>2.5555555555555554</v>
      </c>
      <c r="E12" s="31">
        <v>0</v>
      </c>
      <c r="F12" s="31">
        <v>0.55555555555555558</v>
      </c>
      <c r="G12" s="31">
        <v>0.22413793103448276</v>
      </c>
      <c r="H12" s="31">
        <v>0.13793103448275862</v>
      </c>
      <c r="I12" s="32">
        <v>5169.2307692307695</v>
      </c>
      <c r="J12" s="32">
        <v>-9187.5</v>
      </c>
      <c r="K12" s="31">
        <v>0.22222222222222221</v>
      </c>
      <c r="L12" s="31">
        <v>0.36206896551724138</v>
      </c>
      <c r="M12" s="31">
        <v>8.6206896551724144E-2</v>
      </c>
      <c r="N12" s="31">
        <v>0.38095238095238093</v>
      </c>
      <c r="O12" s="31">
        <v>0.4</v>
      </c>
      <c r="P12" s="31">
        <v>0.38461538461538464</v>
      </c>
    </row>
    <row r="13" spans="1:17" x14ac:dyDescent="0.4">
      <c r="A13" s="33">
        <v>10</v>
      </c>
      <c r="B13" s="30">
        <v>-217.59999999999997</v>
      </c>
      <c r="C13" s="30">
        <v>-21.759999999999998</v>
      </c>
      <c r="D13" s="35">
        <v>2.6</v>
      </c>
      <c r="E13" s="31">
        <v>0</v>
      </c>
      <c r="F13" s="31">
        <v>0.6</v>
      </c>
      <c r="G13" s="31">
        <v>0.20967741935483872</v>
      </c>
      <c r="H13" s="31">
        <v>0.12903225806451613</v>
      </c>
      <c r="I13" s="32">
        <v>5169.2307692307695</v>
      </c>
      <c r="J13" s="32">
        <v>-9187.5</v>
      </c>
      <c r="K13" s="31">
        <v>0.3</v>
      </c>
      <c r="L13" s="31">
        <v>0.33870967741935482</v>
      </c>
      <c r="M13" s="31">
        <v>0.11290322580645161</v>
      </c>
      <c r="N13" s="31">
        <v>0.38095238095238093</v>
      </c>
      <c r="O13" s="31">
        <v>0.2857142857142857</v>
      </c>
      <c r="P13" s="31">
        <v>0.38461538461538464</v>
      </c>
    </row>
    <row r="14" spans="1:17" x14ac:dyDescent="0.4">
      <c r="A14" s="33">
        <v>11</v>
      </c>
      <c r="B14" s="30">
        <v>-264.89999999999998</v>
      </c>
      <c r="C14" s="30">
        <v>-24.081818181818178</v>
      </c>
      <c r="D14" s="35">
        <v>2.6363636363636362</v>
      </c>
      <c r="E14" s="31">
        <v>0</v>
      </c>
      <c r="F14" s="31">
        <v>0.63636363636363635</v>
      </c>
      <c r="G14" s="31">
        <v>0.19696969696969696</v>
      </c>
      <c r="H14" s="31">
        <v>0.16666666666666666</v>
      </c>
      <c r="I14" s="32">
        <v>5169.2307692307695</v>
      </c>
      <c r="J14" s="32">
        <v>-9490.9090909090901</v>
      </c>
      <c r="K14" s="31">
        <v>0.36363636363636365</v>
      </c>
      <c r="L14" s="31">
        <v>0.33333333333333331</v>
      </c>
      <c r="M14" s="31">
        <v>0.12121212121212122</v>
      </c>
      <c r="N14" s="31">
        <v>0.36363636363636365</v>
      </c>
      <c r="O14" s="31">
        <v>0.25</v>
      </c>
      <c r="P14" s="31">
        <v>0.38461538461538464</v>
      </c>
    </row>
    <row r="15" spans="1:17" x14ac:dyDescent="0.4">
      <c r="A15" s="33">
        <v>12</v>
      </c>
      <c r="B15" s="30">
        <v>-260.59999999999997</v>
      </c>
      <c r="C15" s="30">
        <v>-21.716666666666665</v>
      </c>
      <c r="D15" s="35">
        <v>2.5833333333333335</v>
      </c>
      <c r="E15" s="31">
        <v>0</v>
      </c>
      <c r="F15" s="31">
        <v>0.58333333333333337</v>
      </c>
      <c r="G15" s="31">
        <v>0.2</v>
      </c>
      <c r="H15" s="31">
        <v>0.14666666666666667</v>
      </c>
      <c r="I15" s="32">
        <v>6253.333333333333</v>
      </c>
      <c r="J15" s="32">
        <v>-9490.9090909090901</v>
      </c>
      <c r="K15" s="31">
        <v>0.33333333333333331</v>
      </c>
      <c r="L15" s="31">
        <v>0.30666666666666664</v>
      </c>
      <c r="M15" s="31">
        <v>0.12</v>
      </c>
      <c r="N15" s="31">
        <v>0.39130434782608697</v>
      </c>
      <c r="O15" s="31">
        <v>0.22222222222222221</v>
      </c>
      <c r="P15" s="31">
        <v>0.33333333333333331</v>
      </c>
    </row>
    <row r="16" spans="1:17" x14ac:dyDescent="0.4">
      <c r="A16" s="33">
        <v>13</v>
      </c>
      <c r="B16" s="30">
        <v>-280.59999999999997</v>
      </c>
      <c r="C16" s="30">
        <v>-21.584615384615383</v>
      </c>
      <c r="D16" s="35">
        <v>2.5384615384615383</v>
      </c>
      <c r="E16" s="31">
        <v>0</v>
      </c>
      <c r="F16" s="31">
        <v>0.53846153846153844</v>
      </c>
      <c r="G16" s="31">
        <v>0.189873417721519</v>
      </c>
      <c r="H16" s="31">
        <v>0.13924050632911392</v>
      </c>
      <c r="I16" s="32">
        <v>6253.333333333333</v>
      </c>
      <c r="J16" s="32">
        <v>-9490.9090909090901</v>
      </c>
      <c r="K16" s="31">
        <v>0.30769230769230771</v>
      </c>
      <c r="L16" s="31">
        <v>0.29113924050632911</v>
      </c>
      <c r="M16" s="31">
        <v>0.12658227848101267</v>
      </c>
      <c r="N16" s="31">
        <v>0.39130434782608697</v>
      </c>
      <c r="O16" s="31">
        <v>0.2</v>
      </c>
      <c r="P16" s="31">
        <v>0.33333333333333331</v>
      </c>
    </row>
    <row r="17" spans="1:16" x14ac:dyDescent="0.4">
      <c r="A17" s="33">
        <v>14</v>
      </c>
      <c r="B17" s="30">
        <v>-330.7</v>
      </c>
      <c r="C17" s="30">
        <v>-23.62142857142857</v>
      </c>
      <c r="D17" s="35">
        <v>2.5714285714285716</v>
      </c>
      <c r="E17" s="31">
        <v>0</v>
      </c>
      <c r="F17" s="31">
        <v>0.5714285714285714</v>
      </c>
      <c r="G17" s="31">
        <v>0.17241379310344829</v>
      </c>
      <c r="H17" s="31">
        <v>0.14942528735632185</v>
      </c>
      <c r="I17" s="32">
        <v>6253.333333333333</v>
      </c>
      <c r="J17" s="32">
        <v>-9046.1538461538457</v>
      </c>
      <c r="K17" s="31">
        <v>0.35714285714285715</v>
      </c>
      <c r="L17" s="31">
        <v>0.2988505747126437</v>
      </c>
      <c r="M17" s="31">
        <v>0.11494252873563218</v>
      </c>
      <c r="N17" s="31">
        <v>0.34615384615384615</v>
      </c>
      <c r="O17" s="31">
        <v>0.2</v>
      </c>
      <c r="P17" s="31">
        <v>0.33333333333333331</v>
      </c>
    </row>
    <row r="18" spans="1:16" x14ac:dyDescent="0.4">
      <c r="A18" s="33">
        <v>15</v>
      </c>
      <c r="B18" s="30">
        <v>-284.09999999999997</v>
      </c>
      <c r="C18" s="30">
        <v>-18.939999999999998</v>
      </c>
      <c r="D18" s="35">
        <v>2.4666666666666668</v>
      </c>
      <c r="E18" s="31">
        <v>6.6666666666666666E-2</v>
      </c>
      <c r="F18" s="31">
        <v>0.53333333333333333</v>
      </c>
      <c r="G18" s="31">
        <v>0.20618556701030927</v>
      </c>
      <c r="H18" s="31">
        <v>0.15463917525773196</v>
      </c>
      <c r="I18" s="32">
        <v>7195</v>
      </c>
      <c r="J18" s="32">
        <v>-8773.3333333333339</v>
      </c>
      <c r="K18" s="31">
        <v>0.33333333333333331</v>
      </c>
      <c r="L18" s="31">
        <v>0.30927835051546393</v>
      </c>
      <c r="M18" s="31">
        <v>0.12371134020618557</v>
      </c>
      <c r="N18" s="31">
        <v>0.36666666666666664</v>
      </c>
      <c r="O18" s="31">
        <v>0.33333333333333331</v>
      </c>
      <c r="P18" s="31">
        <v>0.35</v>
      </c>
    </row>
    <row r="19" spans="1:16" x14ac:dyDescent="0.4">
      <c r="A19" s="33">
        <v>16</v>
      </c>
      <c r="B19" s="30">
        <v>-234.59999999999997</v>
      </c>
      <c r="C19" s="30">
        <v>-14.662499999999998</v>
      </c>
      <c r="D19" s="35">
        <v>2.375</v>
      </c>
      <c r="E19" s="31">
        <v>0.125</v>
      </c>
      <c r="F19" s="31">
        <v>0.5</v>
      </c>
      <c r="G19" s="31">
        <v>0.21568627450980393</v>
      </c>
      <c r="H19" s="31">
        <v>0.14705882352941177</v>
      </c>
      <c r="I19" s="32">
        <v>8777.2727272727279</v>
      </c>
      <c r="J19" s="32">
        <v>-8773.3333333333339</v>
      </c>
      <c r="K19" s="31">
        <v>0.3125</v>
      </c>
      <c r="L19" s="31">
        <v>0.29411764705882354</v>
      </c>
      <c r="M19" s="31">
        <v>0.12745098039215685</v>
      </c>
      <c r="N19" s="31">
        <v>0.36666666666666664</v>
      </c>
      <c r="O19" s="31">
        <v>0.38461538461538464</v>
      </c>
      <c r="P19" s="31">
        <v>0.36363636363636365</v>
      </c>
    </row>
    <row r="20" spans="1:16" x14ac:dyDescent="0.4">
      <c r="A20" s="33">
        <v>17</v>
      </c>
      <c r="B20" s="30">
        <v>-233.19999999999996</v>
      </c>
      <c r="C20" s="30">
        <v>-13.717647058823527</v>
      </c>
      <c r="D20" s="35">
        <v>2.3529411764705883</v>
      </c>
      <c r="E20" s="31">
        <v>0.11764705882352941</v>
      </c>
      <c r="F20" s="31">
        <v>0.47058823529411764</v>
      </c>
      <c r="G20" s="31">
        <v>0.23008849557522124</v>
      </c>
      <c r="H20" s="31">
        <v>0.13274336283185842</v>
      </c>
      <c r="I20" s="32">
        <v>8492.3076923076915</v>
      </c>
      <c r="J20" s="32">
        <v>-8773.3333333333339</v>
      </c>
      <c r="K20" s="31">
        <v>0.29411764705882354</v>
      </c>
      <c r="L20" s="31">
        <v>0.27433628318584069</v>
      </c>
      <c r="M20" s="31">
        <v>0.12389380530973451</v>
      </c>
      <c r="N20" s="31">
        <v>0.38709677419354838</v>
      </c>
      <c r="O20" s="31">
        <v>0.42857142857142855</v>
      </c>
      <c r="P20" s="31">
        <v>0.38461538461538464</v>
      </c>
    </row>
    <row r="21" spans="1:16" x14ac:dyDescent="0.4">
      <c r="A21" s="33">
        <v>18</v>
      </c>
      <c r="B21" s="30">
        <v>-154.09999999999997</v>
      </c>
      <c r="C21" s="30">
        <v>-8.56111111111111</v>
      </c>
      <c r="D21" s="35">
        <v>2.2777777777777777</v>
      </c>
      <c r="E21" s="31">
        <v>0.16666666666666666</v>
      </c>
      <c r="F21" s="31">
        <v>0.44444444444444442</v>
      </c>
      <c r="G21" s="31">
        <v>0.25409836065573771</v>
      </c>
      <c r="H21" s="31">
        <v>0.12295081967213115</v>
      </c>
      <c r="I21" s="32">
        <v>8835.4838709677424</v>
      </c>
      <c r="J21" s="32">
        <v>-8773.3333333333339</v>
      </c>
      <c r="K21" s="31">
        <v>0.27777777777777779</v>
      </c>
      <c r="L21" s="31">
        <v>0.27868852459016391</v>
      </c>
      <c r="M21" s="31">
        <v>0.13114754098360656</v>
      </c>
      <c r="N21" s="31">
        <v>0.41176470588235292</v>
      </c>
      <c r="O21" s="31">
        <v>0.4375</v>
      </c>
      <c r="P21" s="31">
        <v>0.38709677419354838</v>
      </c>
    </row>
    <row r="22" spans="1:16" x14ac:dyDescent="0.4">
      <c r="A22" s="33">
        <v>19</v>
      </c>
      <c r="B22" s="30">
        <v>-167.29999999999995</v>
      </c>
      <c r="C22" s="30">
        <v>-8.8052631578947338</v>
      </c>
      <c r="D22" s="35">
        <v>2.3157894736842106</v>
      </c>
      <c r="E22" s="31">
        <v>0.15789473684210525</v>
      </c>
      <c r="F22" s="31">
        <v>0.47368421052631576</v>
      </c>
      <c r="G22" s="31">
        <v>0.26153846153846155</v>
      </c>
      <c r="H22" s="31">
        <v>0.13846153846153847</v>
      </c>
      <c r="I22" s="32">
        <v>8441.176470588236</v>
      </c>
      <c r="J22" s="32">
        <v>-8133.333333333333</v>
      </c>
      <c r="K22" s="31">
        <v>0.26315789473684209</v>
      </c>
      <c r="L22" s="31">
        <v>0.26923076923076922</v>
      </c>
      <c r="M22" s="31">
        <v>0.13076923076923078</v>
      </c>
      <c r="N22" s="31">
        <v>0.42857142857142855</v>
      </c>
      <c r="O22" s="31">
        <v>0.47058823529411764</v>
      </c>
      <c r="P22" s="31">
        <v>0.38235294117647056</v>
      </c>
    </row>
    <row r="23" spans="1:16" x14ac:dyDescent="0.4">
      <c r="A23" s="33">
        <v>20</v>
      </c>
      <c r="B23" s="30">
        <v>-202.59999999999997</v>
      </c>
      <c r="C23" s="30">
        <v>-10.129999999999999</v>
      </c>
      <c r="D23" s="35">
        <v>2.35</v>
      </c>
      <c r="E23" s="31">
        <v>0.15</v>
      </c>
      <c r="F23" s="31">
        <v>0.5</v>
      </c>
      <c r="G23" s="31">
        <v>0.25714285714285712</v>
      </c>
      <c r="H23" s="31">
        <v>0.15714285714285714</v>
      </c>
      <c r="I23" s="32">
        <v>8522.2222222222226</v>
      </c>
      <c r="J23" s="32">
        <v>-7845.454545454545</v>
      </c>
      <c r="K23" s="31">
        <v>0.25</v>
      </c>
      <c r="L23" s="31">
        <v>0.26428571428571429</v>
      </c>
      <c r="M23" s="31">
        <v>0.12142857142857143</v>
      </c>
      <c r="N23" s="31">
        <v>0.45945945945945948</v>
      </c>
      <c r="O23" s="31">
        <v>0.47058823529411764</v>
      </c>
      <c r="P23" s="31">
        <v>0.41666666666666669</v>
      </c>
    </row>
    <row r="24" spans="1:16" x14ac:dyDescent="0.4">
      <c r="A24" s="33">
        <v>21</v>
      </c>
      <c r="B24" s="30">
        <v>-225.09999999999997</v>
      </c>
      <c r="C24" s="30">
        <v>-10.719047619047618</v>
      </c>
      <c r="D24" s="35">
        <v>2.3333333333333335</v>
      </c>
      <c r="E24" s="31">
        <v>0.14285714285714285</v>
      </c>
      <c r="F24" s="31">
        <v>0.47619047619047616</v>
      </c>
      <c r="G24" s="31">
        <v>0.25675675675675674</v>
      </c>
      <c r="H24" s="31">
        <v>0.16216216216216217</v>
      </c>
      <c r="I24" s="32">
        <v>8255.2631578947367</v>
      </c>
      <c r="J24" s="32">
        <v>-7475</v>
      </c>
      <c r="K24" s="31">
        <v>0.23809523809523808</v>
      </c>
      <c r="L24" s="31">
        <v>0.25675675675675674</v>
      </c>
      <c r="M24" s="31">
        <v>0.12837837837837837</v>
      </c>
      <c r="N24" s="31">
        <v>0.47368421052631576</v>
      </c>
      <c r="O24" s="31">
        <v>0.47368421052631576</v>
      </c>
      <c r="P24" s="31">
        <v>0.42105263157894735</v>
      </c>
    </row>
    <row r="25" spans="1:16" x14ac:dyDescent="0.4">
      <c r="A25" s="33">
        <v>22</v>
      </c>
      <c r="B25" s="30">
        <v>-290.29999999999995</v>
      </c>
      <c r="C25" s="30">
        <v>-13.195454545454544</v>
      </c>
      <c r="D25" s="35">
        <v>2.3636363636363638</v>
      </c>
      <c r="E25" s="31">
        <v>0.13636363636363635</v>
      </c>
      <c r="F25" s="31">
        <v>0.5</v>
      </c>
      <c r="G25" s="31">
        <v>0.25316455696202533</v>
      </c>
      <c r="H25" s="31">
        <v>0.16455696202531644</v>
      </c>
      <c r="I25" s="32">
        <v>8085</v>
      </c>
      <c r="J25" s="32">
        <v>-8438.461538461539</v>
      </c>
      <c r="K25" s="31">
        <v>0.27272727272727271</v>
      </c>
      <c r="L25" s="31">
        <v>0.24683544303797469</v>
      </c>
      <c r="M25" s="31">
        <v>0.12025316455696203</v>
      </c>
      <c r="N25" s="31">
        <v>0.48717948717948717</v>
      </c>
      <c r="O25" s="31">
        <v>0.47368421052631576</v>
      </c>
      <c r="P25" s="31">
        <v>0.4</v>
      </c>
    </row>
    <row r="26" spans="1:16" x14ac:dyDescent="0.4">
      <c r="A26" s="33">
        <v>23</v>
      </c>
      <c r="B26" s="30">
        <v>-232.39999999999995</v>
      </c>
      <c r="C26" s="30">
        <v>-10.104347826086954</v>
      </c>
      <c r="D26" s="35">
        <v>2.3043478260869565</v>
      </c>
      <c r="E26" s="31">
        <v>0.17391304347826086</v>
      </c>
      <c r="F26" s="31">
        <v>0.47826086956521741</v>
      </c>
      <c r="G26" s="31">
        <v>0.26785714285714285</v>
      </c>
      <c r="H26" s="31">
        <v>0.16071428571428573</v>
      </c>
      <c r="I26" s="32">
        <v>8466.6666666666661</v>
      </c>
      <c r="J26" s="32">
        <v>-8318.5185185185182</v>
      </c>
      <c r="K26" s="31">
        <v>0.2608695652173913</v>
      </c>
      <c r="L26" s="31">
        <v>0.23809523809523808</v>
      </c>
      <c r="M26" s="31">
        <v>0.13690476190476192</v>
      </c>
      <c r="N26" s="31">
        <v>0.5</v>
      </c>
      <c r="O26" s="31">
        <v>0.52173913043478259</v>
      </c>
      <c r="P26" s="31">
        <v>0.42222222222222222</v>
      </c>
    </row>
    <row r="27" spans="1:16" x14ac:dyDescent="0.4">
      <c r="A27" s="33">
        <v>24</v>
      </c>
      <c r="B27" s="30">
        <v>-207.09999999999994</v>
      </c>
      <c r="C27" s="30">
        <v>-8.6291666666666647</v>
      </c>
      <c r="D27" s="35">
        <v>2.25</v>
      </c>
      <c r="E27" s="31">
        <v>0.20833333333333334</v>
      </c>
      <c r="F27" s="31">
        <v>0.45833333333333331</v>
      </c>
      <c r="G27" s="31">
        <v>0.2768361581920904</v>
      </c>
      <c r="H27" s="31">
        <v>0.15819209039548024</v>
      </c>
      <c r="I27" s="32">
        <v>8167.3469387755104</v>
      </c>
      <c r="J27" s="32">
        <v>-8075</v>
      </c>
      <c r="K27" s="31">
        <v>0.25</v>
      </c>
      <c r="L27" s="31">
        <v>0.22598870056497175</v>
      </c>
      <c r="M27" s="31">
        <v>0.14124293785310735</v>
      </c>
      <c r="N27" s="31">
        <v>0.5</v>
      </c>
      <c r="O27" s="31">
        <v>0.52</v>
      </c>
      <c r="P27" s="31">
        <v>0.40816326530612246</v>
      </c>
    </row>
    <row r="28" spans="1:16" x14ac:dyDescent="0.4">
      <c r="A28" s="33">
        <v>25</v>
      </c>
      <c r="B28" s="30">
        <v>-227.29999999999993</v>
      </c>
      <c r="C28" s="30">
        <v>-9.091999999999997</v>
      </c>
      <c r="D28" s="35">
        <v>2.2799999999999998</v>
      </c>
      <c r="E28" s="31">
        <v>0.2</v>
      </c>
      <c r="F28" s="31">
        <v>0.48</v>
      </c>
      <c r="G28" s="31">
        <v>0.27513227513227512</v>
      </c>
      <c r="H28" s="31">
        <v>0.16402116402116401</v>
      </c>
      <c r="I28" s="32">
        <v>8023.0769230769229</v>
      </c>
      <c r="J28" s="32">
        <v>-7961.2903225806449</v>
      </c>
      <c r="K28" s="31">
        <v>0.24</v>
      </c>
      <c r="L28" s="31">
        <v>0.21693121693121692</v>
      </c>
      <c r="M28" s="31">
        <v>0.14814814814814814</v>
      </c>
      <c r="N28" s="31">
        <v>0.48780487804878048</v>
      </c>
      <c r="O28" s="31">
        <v>0.5714285714285714</v>
      </c>
      <c r="P28" s="31">
        <v>0.42307692307692307</v>
      </c>
    </row>
    <row r="29" spans="1:16" x14ac:dyDescent="0.4">
      <c r="A29" s="33">
        <v>26</v>
      </c>
      <c r="B29" s="30">
        <v>-260.29999999999995</v>
      </c>
      <c r="C29" s="30">
        <v>-10.011538461538461</v>
      </c>
      <c r="D29" s="35">
        <v>2.3076923076923075</v>
      </c>
      <c r="E29" s="31">
        <v>0.19230769230769232</v>
      </c>
      <c r="F29" s="31">
        <v>0.5</v>
      </c>
      <c r="G29" s="31">
        <v>0.26903553299492383</v>
      </c>
      <c r="H29" s="31">
        <v>0.17766497461928935</v>
      </c>
      <c r="I29" s="32">
        <v>8022.6415094339627</v>
      </c>
      <c r="J29" s="32">
        <v>-7828.5714285714284</v>
      </c>
      <c r="K29" s="31">
        <v>0.23076923076923078</v>
      </c>
      <c r="L29" s="31">
        <v>0.2233502538071066</v>
      </c>
      <c r="M29" s="31">
        <v>0.14213197969543148</v>
      </c>
      <c r="N29" s="31">
        <v>0.47727272727272729</v>
      </c>
      <c r="O29" s="31">
        <v>0.5714285714285714</v>
      </c>
      <c r="P29" s="31">
        <v>0.43396226415094341</v>
      </c>
    </row>
    <row r="30" spans="1:16" x14ac:dyDescent="0.4">
      <c r="A30" s="33">
        <v>27</v>
      </c>
      <c r="B30" s="30">
        <v>-225.79999999999995</v>
      </c>
      <c r="C30" s="30">
        <v>-8.3629629629629605</v>
      </c>
      <c r="D30" s="35">
        <v>2.2592592592592591</v>
      </c>
      <c r="E30" s="31">
        <v>0.22222222222222221</v>
      </c>
      <c r="F30" s="31">
        <v>0.48148148148148145</v>
      </c>
      <c r="G30" s="31">
        <v>0.27941176470588236</v>
      </c>
      <c r="H30" s="31">
        <v>0.17156862745098039</v>
      </c>
      <c r="I30" s="32">
        <v>7915.7894736842109</v>
      </c>
      <c r="J30" s="32">
        <v>-7828.5714285714284</v>
      </c>
      <c r="K30" s="31">
        <v>0.22222222222222221</v>
      </c>
      <c r="L30" s="31">
        <v>0.22549019607843138</v>
      </c>
      <c r="M30" s="31">
        <v>0.14215686274509803</v>
      </c>
      <c r="N30" s="31">
        <v>0.5</v>
      </c>
      <c r="O30" s="31">
        <v>0.58620689655172409</v>
      </c>
      <c r="P30" s="31">
        <v>0.45614035087719296</v>
      </c>
    </row>
    <row r="31" spans="1:16" x14ac:dyDescent="0.4">
      <c r="A31" s="33">
        <v>28</v>
      </c>
      <c r="B31" s="30">
        <v>-222.39999999999995</v>
      </c>
      <c r="C31" s="30">
        <v>-7.9428571428571413</v>
      </c>
      <c r="D31" s="35">
        <v>2.25</v>
      </c>
      <c r="E31" s="31">
        <v>0.21428571428571427</v>
      </c>
      <c r="F31" s="31">
        <v>0.4642857142857143</v>
      </c>
      <c r="G31" s="31">
        <v>0.28773584905660377</v>
      </c>
      <c r="H31" s="31">
        <v>0.1650943396226415</v>
      </c>
      <c r="I31" s="32">
        <v>7760.6557377049185</v>
      </c>
      <c r="J31" s="32">
        <v>-7828.5714285714284</v>
      </c>
      <c r="K31" s="31">
        <v>0.21428571428571427</v>
      </c>
      <c r="L31" s="31">
        <v>0.22169811320754718</v>
      </c>
      <c r="M31" s="31">
        <v>0.14622641509433962</v>
      </c>
      <c r="N31" s="31">
        <v>0.51063829787234039</v>
      </c>
      <c r="O31" s="31">
        <v>0.61290322580645162</v>
      </c>
      <c r="P31" s="31">
        <v>0.44262295081967212</v>
      </c>
    </row>
    <row r="32" spans="1:16" x14ac:dyDescent="0.4">
      <c r="A32" s="33">
        <v>29</v>
      </c>
      <c r="B32" s="30">
        <v>-243.09999999999994</v>
      </c>
      <c r="C32" s="30">
        <v>-8.3827586206896534</v>
      </c>
      <c r="D32" s="35">
        <v>2.2758620689655173</v>
      </c>
      <c r="E32" s="31">
        <v>0.20689655172413793</v>
      </c>
      <c r="F32" s="31">
        <v>0.48275862068965519</v>
      </c>
      <c r="G32" s="31">
        <v>0.28636363636363638</v>
      </c>
      <c r="H32" s="31">
        <v>0.17272727272727273</v>
      </c>
      <c r="I32" s="32">
        <v>7642.8571428571431</v>
      </c>
      <c r="J32" s="32">
        <v>-7550</v>
      </c>
      <c r="K32" s="31">
        <v>0.20689655172413793</v>
      </c>
      <c r="L32" s="31">
        <v>0.21363636363636362</v>
      </c>
      <c r="M32" s="31">
        <v>0.15</v>
      </c>
      <c r="N32" s="31">
        <v>0.51063829787234039</v>
      </c>
      <c r="O32" s="31">
        <v>0.63636363636363635</v>
      </c>
      <c r="P32" s="31">
        <v>0.42857142857142855</v>
      </c>
    </row>
    <row r="33" spans="1:16" x14ac:dyDescent="0.4">
      <c r="A33" s="33">
        <v>30</v>
      </c>
      <c r="B33" s="30">
        <v>-270.19999999999993</v>
      </c>
      <c r="C33" s="30">
        <v>-9.0066666666666642</v>
      </c>
      <c r="D33" s="35">
        <v>2.2999999999999998</v>
      </c>
      <c r="E33" s="31">
        <v>0.2</v>
      </c>
      <c r="F33" s="31">
        <v>0.5</v>
      </c>
      <c r="G33" s="31">
        <v>0.27753303964757708</v>
      </c>
      <c r="H33" s="31">
        <v>0.1762114537444934</v>
      </c>
      <c r="I33" s="32">
        <v>7642.8571428571431</v>
      </c>
      <c r="J33" s="32">
        <v>-7342.5</v>
      </c>
      <c r="K33" s="31">
        <v>0.2</v>
      </c>
      <c r="L33" s="31">
        <v>0.21145374449339208</v>
      </c>
      <c r="M33" s="31">
        <v>0.15418502202643172</v>
      </c>
      <c r="N33" s="31">
        <v>0.5</v>
      </c>
      <c r="O33" s="31">
        <v>0.6</v>
      </c>
      <c r="P33" s="31">
        <v>0.42857142857142855</v>
      </c>
    </row>
    <row r="34" spans="1:16" x14ac:dyDescent="0.4">
      <c r="A34" s="33">
        <v>31</v>
      </c>
      <c r="B34" s="30">
        <v>-285.89999999999992</v>
      </c>
      <c r="C34" s="30">
        <v>-9.2225806451612886</v>
      </c>
      <c r="D34" s="35">
        <v>2.3225806451612905</v>
      </c>
      <c r="E34" s="31">
        <v>0.19354838709677419</v>
      </c>
      <c r="F34" s="31">
        <v>0.5161290322580645</v>
      </c>
      <c r="G34" s="31">
        <v>0.27542372881355931</v>
      </c>
      <c r="H34" s="31">
        <v>0.16949152542372881</v>
      </c>
      <c r="I34" s="32">
        <v>7644.6153846153848</v>
      </c>
      <c r="J34" s="32">
        <v>-7342.5</v>
      </c>
      <c r="K34" s="31">
        <v>0.19354838709677419</v>
      </c>
      <c r="L34" s="31">
        <v>0.21186440677966101</v>
      </c>
      <c r="M34" s="31">
        <v>0.16101694915254236</v>
      </c>
      <c r="N34" s="31">
        <v>0.48</v>
      </c>
      <c r="O34" s="31">
        <v>0.60526315789473684</v>
      </c>
      <c r="P34" s="31">
        <v>0.43076923076923079</v>
      </c>
    </row>
    <row r="35" spans="1:16" x14ac:dyDescent="0.4">
      <c r="A35" s="33">
        <v>32</v>
      </c>
      <c r="B35" s="30">
        <v>-277.49999999999994</v>
      </c>
      <c r="C35" s="30">
        <v>-8.6718749999999982</v>
      </c>
      <c r="D35" s="35">
        <v>2.3125</v>
      </c>
      <c r="E35" s="31">
        <v>0.1875</v>
      </c>
      <c r="F35" s="31">
        <v>0.5</v>
      </c>
      <c r="G35" s="31">
        <v>0.27049180327868855</v>
      </c>
      <c r="H35" s="31">
        <v>0.16803278688524589</v>
      </c>
      <c r="I35" s="32">
        <v>7892.424242424242</v>
      </c>
      <c r="J35" s="32">
        <v>-7195.1219512195121</v>
      </c>
      <c r="K35" s="31">
        <v>0.1875</v>
      </c>
      <c r="L35" s="31">
        <v>0.21311475409836064</v>
      </c>
      <c r="M35" s="31">
        <v>0.1598360655737705</v>
      </c>
      <c r="N35" s="31">
        <v>0.48076923076923078</v>
      </c>
      <c r="O35" s="31">
        <v>0.58974358974358976</v>
      </c>
      <c r="P35" s="31">
        <v>0.43939393939393939</v>
      </c>
    </row>
    <row r="36" spans="1:16" x14ac:dyDescent="0.4">
      <c r="A36" s="33">
        <v>33</v>
      </c>
      <c r="B36" s="30">
        <v>-276.19999999999993</v>
      </c>
      <c r="C36" s="30">
        <v>-8.3696969696969674</v>
      </c>
      <c r="D36" s="35">
        <v>2.3030303030303032</v>
      </c>
      <c r="E36" s="31">
        <v>0.18181818181818182</v>
      </c>
      <c r="F36" s="31">
        <v>0.48484848484848486</v>
      </c>
      <c r="G36" s="31">
        <v>0.2723735408560311</v>
      </c>
      <c r="H36" s="31">
        <v>0.17120622568093385</v>
      </c>
      <c r="I36" s="32">
        <v>8015.7142857142853</v>
      </c>
      <c r="J36" s="32">
        <v>-7452.272727272727</v>
      </c>
      <c r="K36" s="31">
        <v>0.18181818181818182</v>
      </c>
      <c r="L36" s="31">
        <v>0.21789883268482491</v>
      </c>
      <c r="M36" s="31">
        <v>0.15953307392996108</v>
      </c>
      <c r="N36" s="31">
        <v>0.5</v>
      </c>
      <c r="O36" s="31">
        <v>0.58536585365853655</v>
      </c>
      <c r="P36" s="31">
        <v>0.45714285714285713</v>
      </c>
    </row>
    <row r="37" spans="1:16" x14ac:dyDescent="0.4">
      <c r="A37" s="33">
        <v>34</v>
      </c>
      <c r="B37" s="30">
        <v>-295.39999999999992</v>
      </c>
      <c r="C37" s="30">
        <v>-8.6882352941176446</v>
      </c>
      <c r="D37" s="35">
        <v>2.3235294117647061</v>
      </c>
      <c r="E37" s="31">
        <v>0.17647058823529413</v>
      </c>
      <c r="F37" s="31">
        <v>0.5</v>
      </c>
      <c r="G37" s="31">
        <v>0.27376425855513309</v>
      </c>
      <c r="H37" s="31">
        <v>0.17490494296577946</v>
      </c>
      <c r="I37" s="32">
        <v>7877.7777777777774</v>
      </c>
      <c r="J37" s="32">
        <v>-7428.260869565217</v>
      </c>
      <c r="K37" s="31">
        <v>0.17647058823529413</v>
      </c>
      <c r="L37" s="31">
        <v>0.21292775665399238</v>
      </c>
      <c r="M37" s="31">
        <v>0.16730038022813687</v>
      </c>
      <c r="N37" s="31">
        <v>0.5</v>
      </c>
      <c r="O37" s="31">
        <v>0.59090909090909094</v>
      </c>
      <c r="P37" s="31">
        <v>0.47222222222222221</v>
      </c>
    </row>
    <row r="38" spans="1:16" x14ac:dyDescent="0.4">
      <c r="A38" s="33">
        <v>35</v>
      </c>
      <c r="B38" s="30">
        <v>-288.2999999999999</v>
      </c>
      <c r="C38" s="30">
        <v>-8.2371428571428549</v>
      </c>
      <c r="D38" s="35">
        <v>2.3142857142857145</v>
      </c>
      <c r="E38" s="31">
        <v>0.17142857142857143</v>
      </c>
      <c r="F38" s="31">
        <v>0.48571428571428571</v>
      </c>
      <c r="G38" s="31">
        <v>0.27407407407407408</v>
      </c>
      <c r="H38" s="31">
        <v>0.17037037037037037</v>
      </c>
      <c r="I38" s="32">
        <v>7848.6486486486483</v>
      </c>
      <c r="J38" s="32">
        <v>-7428.260869565217</v>
      </c>
      <c r="K38" s="31">
        <v>0.17142857142857143</v>
      </c>
      <c r="L38" s="31">
        <v>0.21481481481481482</v>
      </c>
      <c r="M38" s="31">
        <v>0.16666666666666666</v>
      </c>
      <c r="N38" s="31">
        <v>0.5</v>
      </c>
      <c r="O38" s="31">
        <v>0.57777777777777772</v>
      </c>
      <c r="P38" s="31">
        <v>0.48648648648648651</v>
      </c>
    </row>
    <row r="39" spans="1:16" x14ac:dyDescent="0.4">
      <c r="A39" s="33">
        <v>36</v>
      </c>
      <c r="B39" s="30">
        <v>-258.7999999999999</v>
      </c>
      <c r="C39" s="30">
        <v>-7.1888888888888864</v>
      </c>
      <c r="D39" s="35">
        <v>2.2777777777777777</v>
      </c>
      <c r="E39" s="31">
        <v>0.19444444444444445</v>
      </c>
      <c r="F39" s="31">
        <v>0.47222222222222221</v>
      </c>
      <c r="G39" s="31">
        <v>0.27436823104693142</v>
      </c>
      <c r="H39" s="31">
        <v>0.16606498194945848</v>
      </c>
      <c r="I39" s="32">
        <v>8010.5263157894733</v>
      </c>
      <c r="J39" s="32">
        <v>-7428.260869565217</v>
      </c>
      <c r="K39" s="31">
        <v>0.16666666666666666</v>
      </c>
      <c r="L39" s="31">
        <v>0.22021660649819494</v>
      </c>
      <c r="M39" s="31">
        <v>0.16245487364620939</v>
      </c>
      <c r="N39" s="31">
        <v>0.50819672131147542</v>
      </c>
      <c r="O39" s="31">
        <v>0.57777777777777772</v>
      </c>
      <c r="P39" s="31">
        <v>0.48684210526315791</v>
      </c>
    </row>
    <row r="40" spans="1:16" x14ac:dyDescent="0.4">
      <c r="A40" s="33">
        <v>37</v>
      </c>
      <c r="B40" s="30">
        <v>-287.2999999999999</v>
      </c>
      <c r="C40" s="30">
        <v>-7.7648648648648617</v>
      </c>
      <c r="D40" s="35">
        <v>2.2972972972972974</v>
      </c>
      <c r="E40" s="31">
        <v>0.1891891891891892</v>
      </c>
      <c r="F40" s="31">
        <v>0.48648648648648651</v>
      </c>
      <c r="G40" s="31">
        <v>0.27272727272727271</v>
      </c>
      <c r="H40" s="31">
        <v>0.16433566433566432</v>
      </c>
      <c r="I40" s="32">
        <v>7948.7179487179483</v>
      </c>
      <c r="J40" s="32">
        <v>-7372.3404255319147</v>
      </c>
      <c r="K40" s="31">
        <v>0.16216216216216217</v>
      </c>
      <c r="L40" s="31">
        <v>0.23076923076923078</v>
      </c>
      <c r="M40" s="31">
        <v>0.15734265734265734</v>
      </c>
      <c r="N40" s="31">
        <v>0.5</v>
      </c>
      <c r="O40" s="31">
        <v>0.57777777777777772</v>
      </c>
      <c r="P40" s="31">
        <v>0.48717948717948717</v>
      </c>
    </row>
    <row r="41" spans="1:16" x14ac:dyDescent="0.4">
      <c r="A41" s="33">
        <v>38</v>
      </c>
      <c r="B41" s="30">
        <v>-289.69999999999987</v>
      </c>
      <c r="C41" s="30">
        <v>-7.6236842105263127</v>
      </c>
      <c r="D41" s="35">
        <v>2.2894736842105261</v>
      </c>
      <c r="E41" s="31">
        <v>0.18421052631578946</v>
      </c>
      <c r="F41" s="31">
        <v>0.47368421052631576</v>
      </c>
      <c r="G41" s="31">
        <v>0.27551020408163263</v>
      </c>
      <c r="H41" s="31">
        <v>0.16666666666666666</v>
      </c>
      <c r="I41" s="32">
        <v>7929.6296296296296</v>
      </c>
      <c r="J41" s="32">
        <v>-7269.3877551020405</v>
      </c>
      <c r="K41" s="31">
        <v>0.15789473684210525</v>
      </c>
      <c r="L41" s="31">
        <v>0.23129251700680273</v>
      </c>
      <c r="M41" s="31">
        <v>0.15646258503401361</v>
      </c>
      <c r="N41" s="31">
        <v>0.5</v>
      </c>
      <c r="O41" s="31">
        <v>0.58695652173913049</v>
      </c>
      <c r="P41" s="31">
        <v>0.50617283950617287</v>
      </c>
    </row>
    <row r="42" spans="1:16" x14ac:dyDescent="0.4">
      <c r="A42" s="33">
        <v>39</v>
      </c>
      <c r="B42" s="30">
        <v>-263.09999999999985</v>
      </c>
      <c r="C42" s="30">
        <v>-6.7461538461538426</v>
      </c>
      <c r="D42" s="35">
        <v>2.2564102564102564</v>
      </c>
      <c r="E42" s="31">
        <v>0.20512820512820512</v>
      </c>
      <c r="F42" s="31">
        <v>0.46153846153846156</v>
      </c>
      <c r="G42" s="31">
        <v>0.28000000000000003</v>
      </c>
      <c r="H42" s="31">
        <v>0.16666666666666666</v>
      </c>
      <c r="I42" s="32">
        <v>7976.1904761904761</v>
      </c>
      <c r="J42" s="32">
        <v>-7176</v>
      </c>
      <c r="K42" s="31">
        <v>0.15384615384615385</v>
      </c>
      <c r="L42" s="31">
        <v>0.23666666666666666</v>
      </c>
      <c r="M42" s="31">
        <v>0.15666666666666668</v>
      </c>
      <c r="N42" s="31">
        <v>0.52112676056338025</v>
      </c>
      <c r="O42" s="31">
        <v>0.57446808510638303</v>
      </c>
      <c r="P42" s="31">
        <v>0.5</v>
      </c>
    </row>
    <row r="43" spans="1:16" x14ac:dyDescent="0.4">
      <c r="A43" s="33">
        <v>40</v>
      </c>
      <c r="B43" s="30">
        <v>-254.79999999999984</v>
      </c>
      <c r="C43" s="30">
        <v>-6.3699999999999957</v>
      </c>
      <c r="D43" s="35">
        <v>2.25</v>
      </c>
      <c r="E43" s="31">
        <v>0.2</v>
      </c>
      <c r="F43" s="31">
        <v>0.45</v>
      </c>
      <c r="G43" s="31">
        <v>0.28431372549019607</v>
      </c>
      <c r="H43" s="31">
        <v>0.16339869281045752</v>
      </c>
      <c r="I43" s="32">
        <v>7955.1724137931033</v>
      </c>
      <c r="J43" s="32">
        <v>-7176</v>
      </c>
      <c r="K43" s="31">
        <v>0.15</v>
      </c>
      <c r="L43" s="31">
        <v>0.24183006535947713</v>
      </c>
      <c r="M43" s="31">
        <v>0.15359477124183007</v>
      </c>
      <c r="N43" s="31">
        <v>0.54054054054054057</v>
      </c>
      <c r="O43" s="31">
        <v>0.57446808510638303</v>
      </c>
      <c r="P43" s="31">
        <v>0.51724137931034486</v>
      </c>
    </row>
    <row r="44" spans="1:16" x14ac:dyDescent="0.4">
      <c r="A44" s="33">
        <v>41</v>
      </c>
      <c r="B44" s="30">
        <v>-261.99999999999983</v>
      </c>
      <c r="C44" s="30">
        <v>-6.3902439024390203</v>
      </c>
      <c r="D44" s="35">
        <v>2.2439024390243905</v>
      </c>
      <c r="E44" s="31">
        <v>0.1951219512195122</v>
      </c>
      <c r="F44" s="31">
        <v>0.43902439024390244</v>
      </c>
      <c r="G44" s="31">
        <v>0.28253968253968254</v>
      </c>
      <c r="H44" s="31">
        <v>0.16190476190476191</v>
      </c>
      <c r="I44" s="32">
        <v>7910.1123595505615</v>
      </c>
      <c r="J44" s="32">
        <v>-7137.2549019607841</v>
      </c>
      <c r="K44" s="31">
        <v>0.14634146341463414</v>
      </c>
      <c r="L44" s="31">
        <v>0.24126984126984127</v>
      </c>
      <c r="M44" s="31">
        <v>0.15873015873015872</v>
      </c>
      <c r="N44" s="31">
        <v>0.53947368421052633</v>
      </c>
      <c r="O44" s="31">
        <v>0.56000000000000005</v>
      </c>
      <c r="P44" s="31">
        <v>0.5168539325842697</v>
      </c>
    </row>
    <row r="45" spans="1:16" x14ac:dyDescent="0.4">
      <c r="A45" s="33">
        <v>42</v>
      </c>
      <c r="B45" s="30">
        <v>-240.99999999999983</v>
      </c>
      <c r="C45" s="30">
        <v>-5.7380952380952337</v>
      </c>
      <c r="D45" s="35">
        <v>2.2142857142857144</v>
      </c>
      <c r="E45" s="31">
        <v>0.21428571428571427</v>
      </c>
      <c r="F45" s="31">
        <v>0.42857142857142855</v>
      </c>
      <c r="G45" s="31">
        <v>0.28792569659442724</v>
      </c>
      <c r="H45" s="31">
        <v>0.1609907120743034</v>
      </c>
      <c r="I45" s="32">
        <v>7873.1182795698924</v>
      </c>
      <c r="J45" s="32">
        <v>-7148.0769230769229</v>
      </c>
      <c r="K45" s="31">
        <v>0.14285714285714285</v>
      </c>
      <c r="L45" s="31">
        <v>0.23839009287925697</v>
      </c>
      <c r="M45" s="31">
        <v>0.15789473684210525</v>
      </c>
      <c r="N45" s="31">
        <v>0.54545454545454541</v>
      </c>
      <c r="O45" s="31">
        <v>0.56862745098039214</v>
      </c>
      <c r="P45" s="31">
        <v>0.5161290322580645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65025-0643-46B1-8FD0-F2DCE6E68A62}">
  <sheetPr codeName="Sheet12"/>
  <dimension ref="A1:Q10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39.200000000000003</v>
      </c>
      <c r="C4" s="30">
        <v>39.200000000000003</v>
      </c>
      <c r="D4" s="35">
        <v>1</v>
      </c>
      <c r="E4" s="31">
        <v>1</v>
      </c>
      <c r="F4" s="31">
        <v>0</v>
      </c>
      <c r="G4" s="31">
        <v>0.625</v>
      </c>
      <c r="H4" s="31">
        <v>0</v>
      </c>
      <c r="I4" s="32">
        <v>6500</v>
      </c>
      <c r="J4" s="32">
        <v>0</v>
      </c>
      <c r="K4" s="31">
        <v>0</v>
      </c>
      <c r="L4" s="31">
        <v>0</v>
      </c>
      <c r="M4" s="31">
        <v>0.375</v>
      </c>
      <c r="N4" s="31">
        <v>0</v>
      </c>
      <c r="O4" s="31">
        <v>1</v>
      </c>
      <c r="P4" s="31">
        <v>0.2</v>
      </c>
    </row>
    <row r="5" spans="1:17" x14ac:dyDescent="0.4">
      <c r="A5" s="33">
        <v>2</v>
      </c>
      <c r="B5" s="30">
        <v>99.6</v>
      </c>
      <c r="C5" s="30">
        <v>49.8</v>
      </c>
      <c r="D5" s="35">
        <v>1</v>
      </c>
      <c r="E5" s="31">
        <v>1</v>
      </c>
      <c r="F5" s="31">
        <v>0</v>
      </c>
      <c r="G5" s="31">
        <v>0.6428571428571429</v>
      </c>
      <c r="H5" s="31">
        <v>7.1428571428571425E-2</v>
      </c>
      <c r="I5" s="32">
        <v>9833.3333333333339</v>
      </c>
      <c r="J5" s="32">
        <v>-7700</v>
      </c>
      <c r="K5" s="31">
        <v>0</v>
      </c>
      <c r="L5" s="31">
        <v>0</v>
      </c>
      <c r="M5" s="31">
        <v>0.42857142857142855</v>
      </c>
      <c r="N5" s="31">
        <v>0</v>
      </c>
      <c r="O5" s="31">
        <v>1</v>
      </c>
      <c r="P5" s="31">
        <v>0.33333333333333331</v>
      </c>
    </row>
    <row r="6" spans="1:17" x14ac:dyDescent="0.4">
      <c r="A6" s="33">
        <v>3</v>
      </c>
      <c r="B6" s="30">
        <v>98.1</v>
      </c>
      <c r="C6" s="30">
        <v>32.699999999999996</v>
      </c>
      <c r="D6" s="35">
        <v>1.3333333333333333</v>
      </c>
      <c r="E6" s="31">
        <v>0.66666666666666663</v>
      </c>
      <c r="F6" s="31">
        <v>0</v>
      </c>
      <c r="G6" s="31">
        <v>0.5</v>
      </c>
      <c r="H6" s="31">
        <v>0.05</v>
      </c>
      <c r="I6" s="32">
        <v>9650</v>
      </c>
      <c r="J6" s="32">
        <v>-7700</v>
      </c>
      <c r="K6" s="31">
        <v>0</v>
      </c>
      <c r="L6" s="31">
        <v>0</v>
      </c>
      <c r="M6" s="31">
        <v>0.35</v>
      </c>
      <c r="N6" s="31">
        <v>0</v>
      </c>
      <c r="O6" s="31">
        <v>1</v>
      </c>
      <c r="P6" s="31">
        <v>0.4</v>
      </c>
    </row>
    <row r="7" spans="1:17" x14ac:dyDescent="0.4">
      <c r="A7" s="33">
        <v>4</v>
      </c>
      <c r="B7" s="30">
        <v>101.5</v>
      </c>
      <c r="C7" s="30">
        <v>25.375</v>
      </c>
      <c r="D7" s="35">
        <v>1.5</v>
      </c>
      <c r="E7" s="31">
        <v>0.5</v>
      </c>
      <c r="F7" s="31">
        <v>0</v>
      </c>
      <c r="G7" s="31">
        <v>0.40625</v>
      </c>
      <c r="H7" s="31">
        <v>3.125E-2</v>
      </c>
      <c r="I7" s="32">
        <v>8861.538461538461</v>
      </c>
      <c r="J7" s="32">
        <v>-7700</v>
      </c>
      <c r="K7" s="31">
        <v>0</v>
      </c>
      <c r="L7" s="31">
        <v>6.25E-2</v>
      </c>
      <c r="M7" s="31">
        <v>0.3125</v>
      </c>
      <c r="N7" s="31">
        <v>0</v>
      </c>
      <c r="O7" s="31">
        <v>0.9</v>
      </c>
      <c r="P7" s="31">
        <v>0.30769230769230771</v>
      </c>
    </row>
    <row r="8" spans="1:17" x14ac:dyDescent="0.4">
      <c r="A8" s="33">
        <v>5</v>
      </c>
      <c r="B8" s="30">
        <v>143.1</v>
      </c>
      <c r="C8" s="30">
        <v>28.619999999999997</v>
      </c>
      <c r="D8" s="35">
        <v>1.4</v>
      </c>
      <c r="E8" s="31">
        <v>0.6</v>
      </c>
      <c r="F8" s="31">
        <v>0</v>
      </c>
      <c r="G8" s="31">
        <v>0.45945945945945948</v>
      </c>
      <c r="H8" s="31">
        <v>5.4054054054054057E-2</v>
      </c>
      <c r="I8" s="32">
        <v>8635.2941176470595</v>
      </c>
      <c r="J8" s="32">
        <v>-7850</v>
      </c>
      <c r="K8" s="31">
        <v>0</v>
      </c>
      <c r="L8" s="31">
        <v>0.1891891891891892</v>
      </c>
      <c r="M8" s="31">
        <v>0.27027027027027029</v>
      </c>
      <c r="N8" s="31">
        <v>0.5714285714285714</v>
      </c>
      <c r="O8" s="31">
        <v>0.9</v>
      </c>
      <c r="P8" s="31">
        <v>0.35294117647058826</v>
      </c>
    </row>
    <row r="9" spans="1:17" x14ac:dyDescent="0.4">
      <c r="A9" s="33">
        <v>6</v>
      </c>
      <c r="B9" s="30">
        <v>164.5</v>
      </c>
      <c r="C9" s="30">
        <v>27.416666666666668</v>
      </c>
      <c r="D9" s="35">
        <v>1.3333333333333333</v>
      </c>
      <c r="E9" s="31">
        <v>0.66666666666666663</v>
      </c>
      <c r="F9" s="31">
        <v>0</v>
      </c>
      <c r="G9" s="31">
        <v>0.43181818181818182</v>
      </c>
      <c r="H9" s="31">
        <v>9.0909090909090912E-2</v>
      </c>
      <c r="I9" s="32">
        <v>8968.4210526315783</v>
      </c>
      <c r="J9" s="32">
        <v>-7225</v>
      </c>
      <c r="K9" s="31">
        <v>0</v>
      </c>
      <c r="L9" s="31">
        <v>0.25</v>
      </c>
      <c r="M9" s="31">
        <v>0.22727272727272727</v>
      </c>
      <c r="N9" s="31">
        <v>0.54545454545454541</v>
      </c>
      <c r="O9" s="31">
        <v>0.9</v>
      </c>
      <c r="P9" s="31">
        <v>0.36842105263157893</v>
      </c>
    </row>
    <row r="10" spans="1:17" x14ac:dyDescent="0.4">
      <c r="A10" s="33">
        <v>7</v>
      </c>
      <c r="B10" s="30">
        <v>168.5</v>
      </c>
      <c r="C10" s="30">
        <v>24.071428571428573</v>
      </c>
      <c r="D10" s="35">
        <v>1.4285714285714286</v>
      </c>
      <c r="E10" s="31">
        <v>0.5714285714285714</v>
      </c>
      <c r="F10" s="31">
        <v>0</v>
      </c>
      <c r="G10" s="31">
        <v>0.41176470588235292</v>
      </c>
      <c r="H10" s="31">
        <v>9.8039215686274508E-2</v>
      </c>
      <c r="I10" s="32">
        <v>8552.3809523809523</v>
      </c>
      <c r="J10" s="32">
        <v>-7320</v>
      </c>
      <c r="K10" s="31">
        <v>0</v>
      </c>
      <c r="L10" s="31">
        <v>0.23529411764705882</v>
      </c>
      <c r="M10" s="31">
        <v>0.23529411764705882</v>
      </c>
      <c r="N10" s="31">
        <v>0.58333333333333337</v>
      </c>
      <c r="O10" s="31">
        <v>0.83333333333333337</v>
      </c>
      <c r="P10" s="31">
        <v>0.38095238095238093</v>
      </c>
    </row>
    <row r="11" spans="1:17" x14ac:dyDescent="0.4">
      <c r="A11" s="33">
        <v>8</v>
      </c>
      <c r="B11" s="30">
        <v>132.6</v>
      </c>
      <c r="C11" s="30">
        <v>16.574999999999999</v>
      </c>
      <c r="D11" s="35">
        <v>1.625</v>
      </c>
      <c r="E11" s="31">
        <v>0.5</v>
      </c>
      <c r="F11" s="31">
        <v>0.125</v>
      </c>
      <c r="G11" s="31">
        <v>0.38709677419354838</v>
      </c>
      <c r="H11" s="31">
        <v>9.6774193548387094E-2</v>
      </c>
      <c r="I11" s="32">
        <v>8175</v>
      </c>
      <c r="J11" s="32">
        <v>-8100</v>
      </c>
      <c r="K11" s="31">
        <v>0</v>
      </c>
      <c r="L11" s="31">
        <v>0.22580645161290322</v>
      </c>
      <c r="M11" s="31">
        <v>0.24193548387096775</v>
      </c>
      <c r="N11" s="31">
        <v>0.5714285714285714</v>
      </c>
      <c r="O11" s="31">
        <v>0.73333333333333328</v>
      </c>
      <c r="P11" s="31">
        <v>0.41666666666666669</v>
      </c>
    </row>
    <row r="12" spans="1:17" x14ac:dyDescent="0.4">
      <c r="A12" s="33">
        <v>9</v>
      </c>
      <c r="B12" s="30">
        <v>151.29999999999998</v>
      </c>
      <c r="C12" s="30">
        <v>16.81111111111111</v>
      </c>
      <c r="D12" s="35">
        <v>1.5555555555555556</v>
      </c>
      <c r="E12" s="31">
        <v>0.55555555555555558</v>
      </c>
      <c r="F12" s="31">
        <v>0.1111111111111111</v>
      </c>
      <c r="G12" s="31">
        <v>0.39436619718309857</v>
      </c>
      <c r="H12" s="31">
        <v>0.11267605633802817</v>
      </c>
      <c r="I12" s="32">
        <v>7882.1428571428569</v>
      </c>
      <c r="J12" s="32">
        <v>-8000</v>
      </c>
      <c r="K12" s="31">
        <v>0</v>
      </c>
      <c r="L12" s="31">
        <v>0.25352112676056338</v>
      </c>
      <c r="M12" s="31">
        <v>0.22535211267605634</v>
      </c>
      <c r="N12" s="31">
        <v>0.55555555555555558</v>
      </c>
      <c r="O12" s="31">
        <v>0.6875</v>
      </c>
      <c r="P12" s="31">
        <v>0.42857142857142855</v>
      </c>
    </row>
    <row r="13" spans="1:17" x14ac:dyDescent="0.4">
      <c r="A13" s="33">
        <v>10</v>
      </c>
      <c r="B13" s="30">
        <v>229</v>
      </c>
      <c r="C13" s="30">
        <v>22.9</v>
      </c>
      <c r="D13" s="35">
        <v>1.5</v>
      </c>
      <c r="E13" s="31">
        <v>0.6</v>
      </c>
      <c r="F13" s="31">
        <v>0.1</v>
      </c>
      <c r="G13" s="31">
        <v>0.41025641025641024</v>
      </c>
      <c r="H13" s="31">
        <v>0.10256410256410256</v>
      </c>
      <c r="I13" s="32">
        <v>9075</v>
      </c>
      <c r="J13" s="32">
        <v>-8000</v>
      </c>
      <c r="K13" s="31">
        <v>0</v>
      </c>
      <c r="L13" s="31">
        <v>0.24358974358974358</v>
      </c>
      <c r="M13" s="31">
        <v>0.23076923076923078</v>
      </c>
      <c r="N13" s="31">
        <v>0.52631578947368418</v>
      </c>
      <c r="O13" s="31">
        <v>0.72222222222222221</v>
      </c>
      <c r="P13" s="31">
        <v>0.46875</v>
      </c>
    </row>
    <row r="14" spans="1:17" x14ac:dyDescent="0.4">
      <c r="A14" s="33">
        <v>11</v>
      </c>
      <c r="B14" s="30">
        <v>242.7</v>
      </c>
      <c r="C14" s="30">
        <v>22.063636363636363</v>
      </c>
      <c r="D14" s="35">
        <v>1.5454545454545454</v>
      </c>
      <c r="E14" s="31">
        <v>0.54545454545454541</v>
      </c>
      <c r="F14" s="31">
        <v>9.0909090909090912E-2</v>
      </c>
      <c r="G14" s="31">
        <v>0.42045454545454547</v>
      </c>
      <c r="H14" s="31">
        <v>0.10227272727272728</v>
      </c>
      <c r="I14" s="32">
        <v>8632.4324324324316</v>
      </c>
      <c r="J14" s="32">
        <v>-8444.4444444444453</v>
      </c>
      <c r="K14" s="31">
        <v>0</v>
      </c>
      <c r="L14" s="31">
        <v>0.23863636363636365</v>
      </c>
      <c r="M14" s="31">
        <v>0.23863636363636365</v>
      </c>
      <c r="N14" s="31">
        <v>0.5714285714285714</v>
      </c>
      <c r="O14" s="31">
        <v>0.66666666666666663</v>
      </c>
      <c r="P14" s="31">
        <v>0.45945945945945948</v>
      </c>
    </row>
    <row r="15" spans="1:17" x14ac:dyDescent="0.4">
      <c r="A15" s="33">
        <v>12</v>
      </c>
      <c r="B15" s="30">
        <v>198</v>
      </c>
      <c r="C15" s="30">
        <v>16.5</v>
      </c>
      <c r="D15" s="35">
        <v>1.6666666666666667</v>
      </c>
      <c r="E15" s="31">
        <v>0.5</v>
      </c>
      <c r="F15" s="31">
        <v>0.16666666666666666</v>
      </c>
      <c r="G15" s="31">
        <v>0.39583333333333331</v>
      </c>
      <c r="H15" s="31">
        <v>0.125</v>
      </c>
      <c r="I15" s="32">
        <v>8439.4736842105267</v>
      </c>
      <c r="J15" s="32">
        <v>-7875</v>
      </c>
      <c r="K15" s="31">
        <v>0</v>
      </c>
      <c r="L15" s="31">
        <v>0.22916666666666666</v>
      </c>
      <c r="M15" s="31">
        <v>0.23958333333333334</v>
      </c>
      <c r="N15" s="31">
        <v>0.59090909090909094</v>
      </c>
      <c r="O15" s="31">
        <v>0.60869565217391308</v>
      </c>
      <c r="P15" s="31">
        <v>0.44736842105263158</v>
      </c>
    </row>
    <row r="16" spans="1:17" x14ac:dyDescent="0.4">
      <c r="A16" s="33">
        <v>13</v>
      </c>
      <c r="B16" s="30">
        <v>197</v>
      </c>
      <c r="C16" s="30">
        <v>15.153846153846153</v>
      </c>
      <c r="D16" s="35">
        <v>1.6923076923076923</v>
      </c>
      <c r="E16" s="31">
        <v>0.46153846153846156</v>
      </c>
      <c r="F16" s="31">
        <v>0.15384615384615385</v>
      </c>
      <c r="G16" s="31">
        <v>0.38235294117647056</v>
      </c>
      <c r="H16" s="31">
        <v>0.12745098039215685</v>
      </c>
      <c r="I16" s="32">
        <v>8530.7692307692305</v>
      </c>
      <c r="J16" s="32">
        <v>-7861.5384615384619</v>
      </c>
      <c r="K16" s="31">
        <v>0</v>
      </c>
      <c r="L16" s="31">
        <v>0.22549019607843138</v>
      </c>
      <c r="M16" s="31">
        <v>0.24509803921568626</v>
      </c>
      <c r="N16" s="31">
        <v>0.56521739130434778</v>
      </c>
      <c r="O16" s="31">
        <v>0.56000000000000005</v>
      </c>
      <c r="P16" s="31">
        <v>0.46153846153846156</v>
      </c>
    </row>
    <row r="17" spans="1:16" x14ac:dyDescent="0.4">
      <c r="A17" s="33">
        <v>14</v>
      </c>
      <c r="B17" s="30">
        <v>249.2</v>
      </c>
      <c r="C17" s="30">
        <v>17.8</v>
      </c>
      <c r="D17" s="35">
        <v>1.6428571428571428</v>
      </c>
      <c r="E17" s="31">
        <v>0.5</v>
      </c>
      <c r="F17" s="31">
        <v>0.14285714285714285</v>
      </c>
      <c r="G17" s="31">
        <v>0.37168141592920356</v>
      </c>
      <c r="H17" s="31">
        <v>0.11504424778761062</v>
      </c>
      <c r="I17" s="32">
        <v>8873.8095238095229</v>
      </c>
      <c r="J17" s="32">
        <v>-7861.5384615384619</v>
      </c>
      <c r="K17" s="31">
        <v>0</v>
      </c>
      <c r="L17" s="31">
        <v>0.21238938053097345</v>
      </c>
      <c r="M17" s="31">
        <v>0.22123893805309736</v>
      </c>
      <c r="N17" s="31">
        <v>0.54166666666666663</v>
      </c>
      <c r="O17" s="31">
        <v>0.56000000000000005</v>
      </c>
      <c r="P17" s="31">
        <v>0.45238095238095238</v>
      </c>
    </row>
    <row r="18" spans="1:16" x14ac:dyDescent="0.4">
      <c r="A18" s="33">
        <v>15</v>
      </c>
      <c r="B18" s="30">
        <v>213.5</v>
      </c>
      <c r="C18" s="30">
        <v>14.233333333333333</v>
      </c>
      <c r="D18" s="35">
        <v>1.7333333333333334</v>
      </c>
      <c r="E18" s="31">
        <v>0.46666666666666667</v>
      </c>
      <c r="F18" s="31">
        <v>0.2</v>
      </c>
      <c r="G18" s="31">
        <v>0.36974789915966388</v>
      </c>
      <c r="H18" s="31">
        <v>0.12605042016806722</v>
      </c>
      <c r="I18" s="32">
        <v>8772.7272727272721</v>
      </c>
      <c r="J18" s="32">
        <v>-8946.6666666666661</v>
      </c>
      <c r="K18" s="31">
        <v>0</v>
      </c>
      <c r="L18" s="31">
        <v>0.21848739495798319</v>
      </c>
      <c r="M18" s="31">
        <v>0.21008403361344538</v>
      </c>
      <c r="N18" s="31">
        <v>0.53846153846153844</v>
      </c>
      <c r="O18" s="31">
        <v>0.56000000000000005</v>
      </c>
      <c r="P18" s="31">
        <v>0.47727272727272729</v>
      </c>
    </row>
    <row r="19" spans="1:16" x14ac:dyDescent="0.4">
      <c r="A19" s="33">
        <v>16</v>
      </c>
      <c r="B19" s="30">
        <v>273.8</v>
      </c>
      <c r="C19" s="30">
        <v>17.112500000000001</v>
      </c>
      <c r="D19" s="35">
        <v>1.6875</v>
      </c>
      <c r="E19" s="31">
        <v>0.5</v>
      </c>
      <c r="F19" s="31">
        <v>0.1875</v>
      </c>
      <c r="G19" s="31">
        <v>0.38400000000000001</v>
      </c>
      <c r="H19" s="31">
        <v>0.128</v>
      </c>
      <c r="I19" s="32">
        <v>9218.75</v>
      </c>
      <c r="J19" s="32">
        <v>-8868.75</v>
      </c>
      <c r="K19" s="31">
        <v>0</v>
      </c>
      <c r="L19" s="31">
        <v>0.24</v>
      </c>
      <c r="M19" s="31">
        <v>0.20799999999999999</v>
      </c>
      <c r="N19" s="31">
        <v>0.6</v>
      </c>
      <c r="O19" s="31">
        <v>0.53846153846153844</v>
      </c>
      <c r="P19" s="31">
        <v>0.45833333333333331</v>
      </c>
    </row>
    <row r="20" spans="1:16" x14ac:dyDescent="0.4">
      <c r="A20" s="33">
        <v>17</v>
      </c>
      <c r="B20" s="30">
        <v>242.8</v>
      </c>
      <c r="C20" s="30">
        <v>14.282352941176471</v>
      </c>
      <c r="D20" s="35">
        <v>1.7647058823529411</v>
      </c>
      <c r="E20" s="31">
        <v>0.47058823529411764</v>
      </c>
      <c r="F20" s="31">
        <v>0.23529411764705882</v>
      </c>
      <c r="G20" s="31">
        <v>0.38345864661654133</v>
      </c>
      <c r="H20" s="31">
        <v>0.13533834586466165</v>
      </c>
      <c r="I20" s="32">
        <v>9060.7843137254895</v>
      </c>
      <c r="J20" s="32">
        <v>-9638.8888888888887</v>
      </c>
      <c r="K20" s="31">
        <v>0</v>
      </c>
      <c r="L20" s="31">
        <v>0.24060150375939848</v>
      </c>
      <c r="M20" s="31">
        <v>0.21052631578947367</v>
      </c>
      <c r="N20" s="31">
        <v>0.59375</v>
      </c>
      <c r="O20" s="31">
        <v>0.5714285714285714</v>
      </c>
      <c r="P20" s="31">
        <v>0.45098039215686275</v>
      </c>
    </row>
    <row r="21" spans="1:16" x14ac:dyDescent="0.4">
      <c r="A21" s="33">
        <v>18</v>
      </c>
      <c r="B21" s="30">
        <v>280</v>
      </c>
      <c r="C21" s="30">
        <v>15.555555555555555</v>
      </c>
      <c r="D21" s="35">
        <v>1.7222222222222223</v>
      </c>
      <c r="E21" s="31">
        <v>0.5</v>
      </c>
      <c r="F21" s="31">
        <v>0.22222222222222221</v>
      </c>
      <c r="G21" s="31">
        <v>0.38028169014084506</v>
      </c>
      <c r="H21" s="31">
        <v>0.13380281690140844</v>
      </c>
      <c r="I21" s="32">
        <v>9292.5925925925931</v>
      </c>
      <c r="J21" s="32">
        <v>-9763.1578947368416</v>
      </c>
      <c r="K21" s="31">
        <v>0</v>
      </c>
      <c r="L21" s="31">
        <v>0.24647887323943662</v>
      </c>
      <c r="M21" s="31">
        <v>0.21126760563380281</v>
      </c>
      <c r="N21" s="31">
        <v>0.5714285714285714</v>
      </c>
      <c r="O21" s="31">
        <v>0.6</v>
      </c>
      <c r="P21" s="31">
        <v>0.46296296296296297</v>
      </c>
    </row>
    <row r="22" spans="1:16" x14ac:dyDescent="0.4">
      <c r="A22" s="33">
        <v>19</v>
      </c>
      <c r="B22" s="30">
        <v>281.5</v>
      </c>
      <c r="C22" s="30">
        <v>14.815789473684211</v>
      </c>
      <c r="D22" s="35">
        <v>1.736842105263158</v>
      </c>
      <c r="E22" s="31">
        <v>0.47368421052631576</v>
      </c>
      <c r="F22" s="31">
        <v>0.21052631578947367</v>
      </c>
      <c r="G22" s="31">
        <v>0.37414965986394561</v>
      </c>
      <c r="H22" s="31">
        <v>0.12925170068027211</v>
      </c>
      <c r="I22" s="32">
        <v>9341.818181818182</v>
      </c>
      <c r="J22" s="32">
        <v>-9763.1578947368416</v>
      </c>
      <c r="K22" s="31">
        <v>0</v>
      </c>
      <c r="L22" s="31">
        <v>0.24489795918367346</v>
      </c>
      <c r="M22" s="31">
        <v>0.21088435374149661</v>
      </c>
      <c r="N22" s="31">
        <v>0.55555555555555558</v>
      </c>
      <c r="O22" s="31">
        <v>0.58064516129032262</v>
      </c>
      <c r="P22" s="31">
        <v>0.45454545454545453</v>
      </c>
    </row>
    <row r="23" spans="1:16" x14ac:dyDescent="0.4">
      <c r="A23" s="33">
        <v>20</v>
      </c>
      <c r="B23" s="30">
        <v>287.2</v>
      </c>
      <c r="C23" s="30">
        <v>14.36</v>
      </c>
      <c r="D23" s="35">
        <v>1.75</v>
      </c>
      <c r="E23" s="31">
        <v>0.45</v>
      </c>
      <c r="F23" s="31">
        <v>0.2</v>
      </c>
      <c r="G23" s="31">
        <v>0.37419354838709679</v>
      </c>
      <c r="H23" s="31">
        <v>0.12903225806451613</v>
      </c>
      <c r="I23" s="32">
        <v>9293.1034482758623</v>
      </c>
      <c r="J23" s="32">
        <v>-9675</v>
      </c>
      <c r="K23" s="31">
        <v>0</v>
      </c>
      <c r="L23" s="31">
        <v>0.24516129032258063</v>
      </c>
      <c r="M23" s="31">
        <v>0.20645161290322581</v>
      </c>
      <c r="N23" s="31">
        <v>0.57894736842105265</v>
      </c>
      <c r="O23" s="31">
        <v>0.5625</v>
      </c>
      <c r="P23" s="31">
        <v>0.44827586206896552</v>
      </c>
    </row>
    <row r="24" spans="1:16" x14ac:dyDescent="0.4">
      <c r="A24" s="33">
        <v>21</v>
      </c>
      <c r="B24" s="30">
        <v>286.3</v>
      </c>
      <c r="C24" s="30">
        <v>13.633333333333335</v>
      </c>
      <c r="D24" s="35">
        <v>1.7619047619047619</v>
      </c>
      <c r="E24" s="31">
        <v>0.42857142857142855</v>
      </c>
      <c r="F24" s="31">
        <v>0.19047619047619047</v>
      </c>
      <c r="G24" s="31">
        <v>0.36645962732919257</v>
      </c>
      <c r="H24" s="31">
        <v>0.13043478260869565</v>
      </c>
      <c r="I24" s="32">
        <v>9271.1864406779659</v>
      </c>
      <c r="J24" s="32">
        <v>-9309.5238095238092</v>
      </c>
      <c r="K24" s="31">
        <v>0</v>
      </c>
      <c r="L24" s="31">
        <v>0.2360248447204969</v>
      </c>
      <c r="M24" s="31">
        <v>0.20496894409937888</v>
      </c>
      <c r="N24" s="31">
        <v>0.57894736842105265</v>
      </c>
      <c r="O24" s="31">
        <v>0.5757575757575758</v>
      </c>
      <c r="P24" s="31">
        <v>0.4576271186440678</v>
      </c>
    </row>
    <row r="25" spans="1:16" x14ac:dyDescent="0.4">
      <c r="A25" s="33">
        <v>22</v>
      </c>
      <c r="B25" s="30">
        <v>344.1</v>
      </c>
      <c r="C25" s="30">
        <v>15.640909090909092</v>
      </c>
      <c r="D25" s="35">
        <v>1.7272727272727273</v>
      </c>
      <c r="E25" s="31">
        <v>0.45454545454545453</v>
      </c>
      <c r="F25" s="31">
        <v>0.18181818181818182</v>
      </c>
      <c r="G25" s="31">
        <v>0.36969696969696969</v>
      </c>
      <c r="H25" s="31">
        <v>0.12727272727272726</v>
      </c>
      <c r="I25" s="32">
        <v>9885.2459016393441</v>
      </c>
      <c r="J25" s="32">
        <v>-9309.5238095238092</v>
      </c>
      <c r="K25" s="31">
        <v>0</v>
      </c>
      <c r="L25" s="31">
        <v>0.24242424242424243</v>
      </c>
      <c r="M25" s="31">
        <v>0.20606060606060606</v>
      </c>
      <c r="N25" s="31">
        <v>0.6</v>
      </c>
      <c r="O25" s="31">
        <v>0.55882352941176472</v>
      </c>
      <c r="P25" s="31">
        <v>0.47540983606557374</v>
      </c>
    </row>
    <row r="26" spans="1:16" x14ac:dyDescent="0.4">
      <c r="A26" s="33">
        <v>23</v>
      </c>
      <c r="B26" s="30">
        <v>396.90000000000003</v>
      </c>
      <c r="C26" s="30">
        <v>17.256521739130438</v>
      </c>
      <c r="D26" s="35">
        <v>1.6956521739130435</v>
      </c>
      <c r="E26" s="31">
        <v>0.47826086956521741</v>
      </c>
      <c r="F26" s="31">
        <v>0.17391304347826086</v>
      </c>
      <c r="G26" s="31">
        <v>0.37356321839080459</v>
      </c>
      <c r="H26" s="31">
        <v>0.12643678160919541</v>
      </c>
      <c r="I26" s="32">
        <v>10163.076923076924</v>
      </c>
      <c r="J26" s="32">
        <v>-9150</v>
      </c>
      <c r="K26" s="31">
        <v>0</v>
      </c>
      <c r="L26" s="31">
        <v>0.2471264367816092</v>
      </c>
      <c r="M26" s="31">
        <v>0.20114942528735633</v>
      </c>
      <c r="N26" s="31">
        <v>0.62790697674418605</v>
      </c>
      <c r="O26" s="31">
        <v>0.54285714285714282</v>
      </c>
      <c r="P26" s="31">
        <v>0.49230769230769234</v>
      </c>
    </row>
    <row r="27" spans="1:16" x14ac:dyDescent="0.4">
      <c r="A27" s="33">
        <v>24</v>
      </c>
      <c r="B27" s="30">
        <v>469.90000000000003</v>
      </c>
      <c r="C27" s="30">
        <v>19.579166666666669</v>
      </c>
      <c r="D27" s="35">
        <v>1.6666666666666667</v>
      </c>
      <c r="E27" s="31">
        <v>0.5</v>
      </c>
      <c r="F27" s="31">
        <v>0.16666666666666666</v>
      </c>
      <c r="G27" s="31">
        <v>0.38764044943820225</v>
      </c>
      <c r="H27" s="31">
        <v>0.12359550561797752</v>
      </c>
      <c r="I27" s="32">
        <v>10443.478260869566</v>
      </c>
      <c r="J27" s="32">
        <v>-9150</v>
      </c>
      <c r="K27" s="31">
        <v>0</v>
      </c>
      <c r="L27" s="31">
        <v>0.25280898876404495</v>
      </c>
      <c r="M27" s="31">
        <v>0.20786516853932585</v>
      </c>
      <c r="N27" s="31">
        <v>0.64444444444444449</v>
      </c>
      <c r="O27" s="31">
        <v>0.56756756756756754</v>
      </c>
      <c r="P27" s="31">
        <v>0.49275362318840582</v>
      </c>
    </row>
    <row r="28" spans="1:16" x14ac:dyDescent="0.4">
      <c r="A28" s="33">
        <v>25</v>
      </c>
      <c r="B28" s="30">
        <v>465.6</v>
      </c>
      <c r="C28" s="30">
        <v>18.624000000000002</v>
      </c>
      <c r="D28" s="35">
        <v>1.68</v>
      </c>
      <c r="E28" s="31">
        <v>0.48</v>
      </c>
      <c r="F28" s="31">
        <v>0.16</v>
      </c>
      <c r="G28" s="31">
        <v>0.38172043010752688</v>
      </c>
      <c r="H28" s="31">
        <v>0.12365591397849462</v>
      </c>
      <c r="I28" s="32">
        <v>10487.323943661971</v>
      </c>
      <c r="J28" s="32">
        <v>-8921.7391304347821</v>
      </c>
      <c r="K28" s="31">
        <v>0</v>
      </c>
      <c r="L28" s="31">
        <v>0.24731182795698925</v>
      </c>
      <c r="M28" s="31">
        <v>0.21505376344086022</v>
      </c>
      <c r="N28" s="31">
        <v>0.65217391304347827</v>
      </c>
      <c r="O28" s="31">
        <v>0.55000000000000004</v>
      </c>
      <c r="P28" s="31">
        <v>0.47887323943661969</v>
      </c>
    </row>
    <row r="29" spans="1:16" x14ac:dyDescent="0.4">
      <c r="A29" s="33">
        <v>26</v>
      </c>
      <c r="B29" s="30">
        <v>525.30000000000007</v>
      </c>
      <c r="C29" s="30">
        <v>20.203846153846158</v>
      </c>
      <c r="D29" s="35">
        <v>1.6538461538461537</v>
      </c>
      <c r="E29" s="31">
        <v>0.5</v>
      </c>
      <c r="F29" s="31">
        <v>0.15384615384615385</v>
      </c>
      <c r="G29" s="31">
        <v>0.38743455497382201</v>
      </c>
      <c r="H29" s="31">
        <v>0.12041884816753927</v>
      </c>
      <c r="I29" s="32">
        <v>10679.72972972973</v>
      </c>
      <c r="J29" s="32">
        <v>-8921.7391304347821</v>
      </c>
      <c r="K29" s="31">
        <v>0</v>
      </c>
      <c r="L29" s="31">
        <v>0.24607329842931938</v>
      </c>
      <c r="M29" s="31">
        <v>0.21465968586387435</v>
      </c>
      <c r="N29" s="31">
        <v>0.65957446808510634</v>
      </c>
      <c r="O29" s="31">
        <v>0.56097560975609762</v>
      </c>
      <c r="P29" s="31">
        <v>0.48648648648648651</v>
      </c>
    </row>
    <row r="30" spans="1:16" x14ac:dyDescent="0.4">
      <c r="A30" s="33">
        <v>27</v>
      </c>
      <c r="B30" s="30">
        <v>530.30000000000007</v>
      </c>
      <c r="C30" s="30">
        <v>19.640740740740743</v>
      </c>
      <c r="D30" s="35">
        <v>1.6666666666666667</v>
      </c>
      <c r="E30" s="31">
        <v>0.48148148148148145</v>
      </c>
      <c r="F30" s="31">
        <v>0.14814814814814814</v>
      </c>
      <c r="G30" s="31">
        <v>0.3888888888888889</v>
      </c>
      <c r="H30" s="31">
        <v>0.11616161616161616</v>
      </c>
      <c r="I30" s="32">
        <v>10424.675324675325</v>
      </c>
      <c r="J30" s="32">
        <v>-8921.7391304347821</v>
      </c>
      <c r="K30" s="31">
        <v>0</v>
      </c>
      <c r="L30" s="31">
        <v>0.24747474747474749</v>
      </c>
      <c r="M30" s="31">
        <v>0.21212121212121213</v>
      </c>
      <c r="N30" s="31">
        <v>0.65306122448979587</v>
      </c>
      <c r="O30" s="31">
        <v>0.5714285714285714</v>
      </c>
      <c r="P30" s="31">
        <v>0.48051948051948051</v>
      </c>
    </row>
    <row r="31" spans="1:16" x14ac:dyDescent="0.4">
      <c r="A31" s="33">
        <v>28</v>
      </c>
      <c r="B31" s="30">
        <v>561.90000000000009</v>
      </c>
      <c r="C31" s="30">
        <v>20.067857142857147</v>
      </c>
      <c r="D31" s="35">
        <v>1.6428571428571428</v>
      </c>
      <c r="E31" s="31">
        <v>0.5</v>
      </c>
      <c r="F31" s="31">
        <v>0.14285714285714285</v>
      </c>
      <c r="G31" s="31">
        <v>0.39613526570048307</v>
      </c>
      <c r="H31" s="31">
        <v>0.1111111111111111</v>
      </c>
      <c r="I31" s="32">
        <v>10068.292682926829</v>
      </c>
      <c r="J31" s="32">
        <v>-8921.7391304347821</v>
      </c>
      <c r="K31" s="31">
        <v>0</v>
      </c>
      <c r="L31" s="31">
        <v>0.24637681159420291</v>
      </c>
      <c r="M31" s="31">
        <v>0.20772946859903382</v>
      </c>
      <c r="N31" s="31">
        <v>0.66666666666666663</v>
      </c>
      <c r="O31" s="31">
        <v>0.58139534883720934</v>
      </c>
      <c r="P31" s="31">
        <v>0.48780487804878048</v>
      </c>
    </row>
    <row r="32" spans="1:16" x14ac:dyDescent="0.4">
      <c r="A32" s="33">
        <v>29</v>
      </c>
      <c r="B32" s="30">
        <v>623.50000000000011</v>
      </c>
      <c r="C32" s="30">
        <v>21.500000000000004</v>
      </c>
      <c r="D32" s="35">
        <v>1.6206896551724137</v>
      </c>
      <c r="E32" s="31">
        <v>0.51724137931034486</v>
      </c>
      <c r="F32" s="31">
        <v>0.13793103448275862</v>
      </c>
      <c r="G32" s="31">
        <v>0.39189189189189189</v>
      </c>
      <c r="H32" s="31">
        <v>0.1036036036036036</v>
      </c>
      <c r="I32" s="32">
        <v>10133.333333333334</v>
      </c>
      <c r="J32" s="32">
        <v>-8921.7391304347821</v>
      </c>
      <c r="K32" s="31">
        <v>0</v>
      </c>
      <c r="L32" s="31">
        <v>0.24774774774774774</v>
      </c>
      <c r="M32" s="31">
        <v>0.2072072072072072</v>
      </c>
      <c r="N32" s="31">
        <v>0.67272727272727273</v>
      </c>
      <c r="O32" s="31">
        <v>0.58695652173913049</v>
      </c>
      <c r="P32" s="31">
        <v>0.47126436781609193</v>
      </c>
    </row>
    <row r="33" spans="1:16" x14ac:dyDescent="0.4">
      <c r="A33" s="33">
        <v>30</v>
      </c>
      <c r="B33" s="30">
        <v>601.00000000000011</v>
      </c>
      <c r="C33" s="30">
        <v>20.033333333333339</v>
      </c>
      <c r="D33" s="35">
        <v>1.6666666666666667</v>
      </c>
      <c r="E33" s="31">
        <v>0.5</v>
      </c>
      <c r="F33" s="31">
        <v>0.16666666666666666</v>
      </c>
      <c r="G33" s="31">
        <v>0.38427947598253276</v>
      </c>
      <c r="H33" s="31">
        <v>0.1091703056768559</v>
      </c>
      <c r="I33" s="32">
        <v>10063.636363636364</v>
      </c>
      <c r="J33" s="32">
        <v>-8608</v>
      </c>
      <c r="K33" s="31">
        <v>0</v>
      </c>
      <c r="L33" s="31">
        <v>0.24890829694323144</v>
      </c>
      <c r="M33" s="31">
        <v>0.20087336244541484</v>
      </c>
      <c r="N33" s="31">
        <v>0.64912280701754388</v>
      </c>
      <c r="O33" s="31">
        <v>0.58695652173913049</v>
      </c>
      <c r="P33" s="31">
        <v>0.47727272727272729</v>
      </c>
    </row>
    <row r="34" spans="1:16" x14ac:dyDescent="0.4">
      <c r="A34" s="33">
        <v>31</v>
      </c>
      <c r="B34" s="30">
        <v>606.50000000000011</v>
      </c>
      <c r="C34" s="30">
        <v>19.564516129032263</v>
      </c>
      <c r="D34" s="35">
        <v>1.6774193548387097</v>
      </c>
      <c r="E34" s="31">
        <v>0.4838709677419355</v>
      </c>
      <c r="F34" s="31">
        <v>0.16129032258064516</v>
      </c>
      <c r="G34" s="31">
        <v>0.37872340425531914</v>
      </c>
      <c r="H34" s="31">
        <v>0.10638297872340426</v>
      </c>
      <c r="I34" s="32">
        <v>10010.112359550561</v>
      </c>
      <c r="J34" s="32">
        <v>-8608</v>
      </c>
      <c r="K34" s="31">
        <v>0</v>
      </c>
      <c r="L34" s="31">
        <v>0.25106382978723402</v>
      </c>
      <c r="M34" s="31">
        <v>0.19574468085106383</v>
      </c>
      <c r="N34" s="31">
        <v>0.64406779661016944</v>
      </c>
      <c r="O34" s="31">
        <v>0.58695652173913049</v>
      </c>
      <c r="P34" s="31">
        <v>0.48314606741573035</v>
      </c>
    </row>
    <row r="35" spans="1:16" x14ac:dyDescent="0.4">
      <c r="A35" s="33">
        <v>32</v>
      </c>
      <c r="B35" s="30">
        <v>583.00000000000011</v>
      </c>
      <c r="C35" s="30">
        <v>18.218750000000004</v>
      </c>
      <c r="D35" s="35">
        <v>1.6875</v>
      </c>
      <c r="E35" s="31">
        <v>0.46875</v>
      </c>
      <c r="F35" s="31">
        <v>0.15625</v>
      </c>
      <c r="G35" s="31">
        <v>0.3723849372384937</v>
      </c>
      <c r="H35" s="31">
        <v>0.10460251046025104</v>
      </c>
      <c r="I35" s="32">
        <v>10010.112359550561</v>
      </c>
      <c r="J35" s="32">
        <v>-8608</v>
      </c>
      <c r="K35" s="31">
        <v>0</v>
      </c>
      <c r="L35" s="31">
        <v>0.2510460251046025</v>
      </c>
      <c r="M35" s="31">
        <v>0.19246861924686193</v>
      </c>
      <c r="N35" s="31">
        <v>0.6333333333333333</v>
      </c>
      <c r="O35" s="31">
        <v>0.58695652173913049</v>
      </c>
      <c r="P35" s="31">
        <v>0.48314606741573035</v>
      </c>
    </row>
    <row r="36" spans="1:16" x14ac:dyDescent="0.4">
      <c r="A36" s="33">
        <v>33</v>
      </c>
      <c r="B36" s="30">
        <v>577.60000000000014</v>
      </c>
      <c r="C36" s="30">
        <v>17.503030303030307</v>
      </c>
      <c r="D36" s="35">
        <v>1.696969696969697</v>
      </c>
      <c r="E36" s="31">
        <v>0.45454545454545453</v>
      </c>
      <c r="F36" s="31">
        <v>0.15151515151515152</v>
      </c>
      <c r="G36" s="31">
        <v>0.36220472440944884</v>
      </c>
      <c r="H36" s="31">
        <v>0.1062992125984252</v>
      </c>
      <c r="I36" s="32">
        <v>10118.478260869566</v>
      </c>
      <c r="J36" s="32">
        <v>-8711.1111111111113</v>
      </c>
      <c r="K36" s="31">
        <v>0</v>
      </c>
      <c r="L36" s="31">
        <v>0.25984251968503935</v>
      </c>
      <c r="M36" s="31">
        <v>0.19291338582677164</v>
      </c>
      <c r="N36" s="31">
        <v>0.60606060606060608</v>
      </c>
      <c r="O36" s="31">
        <v>0.5714285714285714</v>
      </c>
      <c r="P36" s="31">
        <v>0.47826086956521741</v>
      </c>
    </row>
    <row r="37" spans="1:16" x14ac:dyDescent="0.4">
      <c r="A37" s="33">
        <v>34</v>
      </c>
      <c r="B37" s="30">
        <v>591.40000000000009</v>
      </c>
      <c r="C37" s="30">
        <v>17.394117647058827</v>
      </c>
      <c r="D37" s="35">
        <v>1.6764705882352942</v>
      </c>
      <c r="E37" s="31">
        <v>0.47058823529411764</v>
      </c>
      <c r="F37" s="31">
        <v>0.14705882352941177</v>
      </c>
      <c r="G37" s="31">
        <v>0.36153846153846153</v>
      </c>
      <c r="H37" s="31">
        <v>0.10384615384615385</v>
      </c>
      <c r="I37" s="32">
        <v>10005.319148936171</v>
      </c>
      <c r="J37" s="32">
        <v>-8711.1111111111113</v>
      </c>
      <c r="K37" s="31">
        <v>0</v>
      </c>
      <c r="L37" s="31">
        <v>0.25769230769230766</v>
      </c>
      <c r="M37" s="31">
        <v>0.19230769230769232</v>
      </c>
      <c r="N37" s="31">
        <v>0.61194029850746268</v>
      </c>
      <c r="O37" s="31">
        <v>0.57999999999999996</v>
      </c>
      <c r="P37" s="31">
        <v>0.48936170212765956</v>
      </c>
    </row>
    <row r="38" spans="1:16" x14ac:dyDescent="0.4">
      <c r="A38" s="33">
        <v>35</v>
      </c>
      <c r="B38" s="30">
        <v>526.40000000000009</v>
      </c>
      <c r="C38" s="30">
        <v>15.040000000000003</v>
      </c>
      <c r="D38" s="35">
        <v>1.7142857142857142</v>
      </c>
      <c r="E38" s="31">
        <v>0.45714285714285713</v>
      </c>
      <c r="F38" s="31">
        <v>0.17142857142857143</v>
      </c>
      <c r="G38" s="31">
        <v>0.35471698113207545</v>
      </c>
      <c r="H38" s="31">
        <v>0.10566037735849057</v>
      </c>
      <c r="I38" s="32">
        <v>10005.319148936171</v>
      </c>
      <c r="J38" s="32">
        <v>-10114.285714285714</v>
      </c>
      <c r="K38" s="31">
        <v>2.8571428571428571E-2</v>
      </c>
      <c r="L38" s="31">
        <v>0.25283018867924528</v>
      </c>
      <c r="M38" s="31">
        <v>0.18867924528301888</v>
      </c>
      <c r="N38" s="31">
        <v>0.61194029850746268</v>
      </c>
      <c r="O38" s="31">
        <v>0.57999999999999996</v>
      </c>
      <c r="P38" s="31">
        <v>0.48936170212765956</v>
      </c>
    </row>
    <row r="39" spans="1:16" x14ac:dyDescent="0.4">
      <c r="A39" s="33">
        <v>36</v>
      </c>
      <c r="B39" s="30">
        <v>564.40000000000009</v>
      </c>
      <c r="C39" s="30">
        <v>15.677777777777781</v>
      </c>
      <c r="D39" s="35">
        <v>1.6944444444444444</v>
      </c>
      <c r="E39" s="31">
        <v>0.47222222222222221</v>
      </c>
      <c r="F39" s="31">
        <v>0.16666666666666666</v>
      </c>
      <c r="G39" s="31">
        <v>0.35294117647058826</v>
      </c>
      <c r="H39" s="31">
        <v>0.10294117647058823</v>
      </c>
      <c r="I39" s="32">
        <v>10234.375</v>
      </c>
      <c r="J39" s="32">
        <v>-10114.285714285714</v>
      </c>
      <c r="K39" s="31">
        <v>2.7777777777777776E-2</v>
      </c>
      <c r="L39" s="31">
        <v>0.25</v>
      </c>
      <c r="M39" s="31">
        <v>0.18382352941176472</v>
      </c>
      <c r="N39" s="31">
        <v>0.61764705882352944</v>
      </c>
      <c r="O39" s="31">
        <v>0.57999999999999996</v>
      </c>
      <c r="P39" s="31">
        <v>0.5</v>
      </c>
    </row>
    <row r="40" spans="1:16" x14ac:dyDescent="0.4">
      <c r="A40" s="33">
        <v>37</v>
      </c>
      <c r="B40" s="30">
        <v>523.60000000000014</v>
      </c>
      <c r="C40" s="30">
        <v>14.151351351351355</v>
      </c>
      <c r="D40" s="35">
        <v>1.7297297297297298</v>
      </c>
      <c r="E40" s="31">
        <v>0.45945945945945948</v>
      </c>
      <c r="F40" s="31">
        <v>0.1891891891891892</v>
      </c>
      <c r="G40" s="31">
        <v>0.34408602150537637</v>
      </c>
      <c r="H40" s="31">
        <v>0.1039426523297491</v>
      </c>
      <c r="I40" s="32">
        <v>10234.375</v>
      </c>
      <c r="J40" s="32">
        <v>-10593.103448275862</v>
      </c>
      <c r="K40" s="31">
        <v>2.7027027027027029E-2</v>
      </c>
      <c r="L40" s="31">
        <v>0.24731182795698925</v>
      </c>
      <c r="M40" s="31">
        <v>0.18279569892473119</v>
      </c>
      <c r="N40" s="31">
        <v>0.60869565217391308</v>
      </c>
      <c r="O40" s="31">
        <v>0.56862745098039214</v>
      </c>
      <c r="P40" s="31">
        <v>0.5</v>
      </c>
    </row>
    <row r="41" spans="1:16" x14ac:dyDescent="0.4">
      <c r="A41" s="33">
        <v>38</v>
      </c>
      <c r="B41" s="30">
        <v>497.80000000000013</v>
      </c>
      <c r="C41" s="30">
        <v>13.100000000000003</v>
      </c>
      <c r="D41" s="35">
        <v>1.763157894736842</v>
      </c>
      <c r="E41" s="31">
        <v>0.44736842105263158</v>
      </c>
      <c r="F41" s="31">
        <v>0.21052631578947367</v>
      </c>
      <c r="G41" s="31">
        <v>0.33449477351916379</v>
      </c>
      <c r="H41" s="31">
        <v>0.10801393728222997</v>
      </c>
      <c r="I41" s="32">
        <v>10234.375</v>
      </c>
      <c r="J41" s="32">
        <v>-10141.935483870968</v>
      </c>
      <c r="K41" s="31">
        <v>2.6315789473684209E-2</v>
      </c>
      <c r="L41" s="31">
        <v>0.24041811846689895</v>
      </c>
      <c r="M41" s="31">
        <v>0.18466898954703834</v>
      </c>
      <c r="N41" s="31">
        <v>0.60869565217391308</v>
      </c>
      <c r="O41" s="31">
        <v>0.54716981132075471</v>
      </c>
      <c r="P41" s="31">
        <v>0.5</v>
      </c>
    </row>
    <row r="42" spans="1:16" x14ac:dyDescent="0.4">
      <c r="A42" s="33">
        <v>39</v>
      </c>
      <c r="B42" s="30">
        <v>501.00000000000011</v>
      </c>
      <c r="C42" s="30">
        <v>12.846153846153848</v>
      </c>
      <c r="D42" s="35">
        <v>1.7692307692307692</v>
      </c>
      <c r="E42" s="31">
        <v>0.4358974358974359</v>
      </c>
      <c r="F42" s="31">
        <v>0.20512820512820512</v>
      </c>
      <c r="G42" s="31">
        <v>0.33333333333333331</v>
      </c>
      <c r="H42" s="31">
        <v>0.10774410774410774</v>
      </c>
      <c r="I42" s="32">
        <v>10144.444444444445</v>
      </c>
      <c r="J42" s="32">
        <v>-9915.625</v>
      </c>
      <c r="K42" s="31">
        <v>2.564102564102564E-2</v>
      </c>
      <c r="L42" s="31">
        <v>0.24579124579124578</v>
      </c>
      <c r="M42" s="31">
        <v>0.18518518518518517</v>
      </c>
      <c r="N42" s="31">
        <v>0.60273972602739723</v>
      </c>
      <c r="O42" s="31">
        <v>0.54545454545454541</v>
      </c>
      <c r="P42" s="31">
        <v>0.50505050505050508</v>
      </c>
    </row>
    <row r="43" spans="1:16" x14ac:dyDescent="0.4">
      <c r="A43" s="33">
        <v>40</v>
      </c>
      <c r="B43" s="30">
        <v>526.50000000000011</v>
      </c>
      <c r="C43" s="30">
        <v>13.162500000000003</v>
      </c>
      <c r="D43" s="35">
        <v>1.75</v>
      </c>
      <c r="E43" s="31">
        <v>0.45</v>
      </c>
      <c r="F43" s="31">
        <v>0.2</v>
      </c>
      <c r="G43" s="31">
        <v>0.33552631578947367</v>
      </c>
      <c r="H43" s="31">
        <v>0.1118421052631579</v>
      </c>
      <c r="I43" s="32">
        <v>10108.823529411764</v>
      </c>
      <c r="J43" s="32">
        <v>-9605.8823529411766</v>
      </c>
      <c r="K43" s="31">
        <v>2.5000000000000001E-2</v>
      </c>
      <c r="L43" s="31">
        <v>0.24671052631578946</v>
      </c>
      <c r="M43" s="31">
        <v>0.18421052631578946</v>
      </c>
      <c r="N43" s="31">
        <v>0.6</v>
      </c>
      <c r="O43" s="31">
        <v>0.5357142857142857</v>
      </c>
      <c r="P43" s="31">
        <v>0.50980392156862742</v>
      </c>
    </row>
    <row r="44" spans="1:16" x14ac:dyDescent="0.4">
      <c r="A44" s="33">
        <v>41</v>
      </c>
      <c r="B44" s="30">
        <v>522.10000000000014</v>
      </c>
      <c r="C44" s="30">
        <v>12.734146341463418</v>
      </c>
      <c r="D44" s="35">
        <v>1.7560975609756098</v>
      </c>
      <c r="E44" s="31">
        <v>0.43902439024390244</v>
      </c>
      <c r="F44" s="31">
        <v>0.1951219512195122</v>
      </c>
      <c r="G44" s="31">
        <v>0.33548387096774196</v>
      </c>
      <c r="H44" s="31">
        <v>0.10967741935483871</v>
      </c>
      <c r="I44" s="32">
        <v>10107.692307692309</v>
      </c>
      <c r="J44" s="32">
        <v>-9605.8823529411766</v>
      </c>
      <c r="K44" s="31">
        <v>2.4390243902439025E-2</v>
      </c>
      <c r="L44" s="31">
        <v>0.24516129032258063</v>
      </c>
      <c r="M44" s="31">
        <v>0.18064516129032257</v>
      </c>
      <c r="N44" s="31">
        <v>0.60526315789473684</v>
      </c>
      <c r="O44" s="31">
        <v>0.5357142857142857</v>
      </c>
      <c r="P44" s="31">
        <v>0.51923076923076927</v>
      </c>
    </row>
    <row r="45" spans="1:16" x14ac:dyDescent="0.4">
      <c r="A45" s="33">
        <v>42</v>
      </c>
      <c r="B45" s="30">
        <v>530.70000000000016</v>
      </c>
      <c r="C45" s="30">
        <v>12.63571428571429</v>
      </c>
      <c r="D45" s="35">
        <v>1.7619047619047619</v>
      </c>
      <c r="E45" s="31">
        <v>0.42857142857142855</v>
      </c>
      <c r="F45" s="31">
        <v>0.19047619047619047</v>
      </c>
      <c r="G45" s="31">
        <v>0.33650793650793653</v>
      </c>
      <c r="H45" s="31">
        <v>0.10793650793650794</v>
      </c>
      <c r="I45" s="32">
        <v>10065.094339622641</v>
      </c>
      <c r="J45" s="32">
        <v>-9605.8823529411766</v>
      </c>
      <c r="K45" s="31">
        <v>2.3809523809523808E-2</v>
      </c>
      <c r="L45" s="31">
        <v>0.25079365079365079</v>
      </c>
      <c r="M45" s="31">
        <v>0.17777777777777778</v>
      </c>
      <c r="N45" s="31">
        <v>0.60759493670886078</v>
      </c>
      <c r="O45" s="31">
        <v>0.5357142857142857</v>
      </c>
      <c r="P45" s="31">
        <v>0.51886792452830188</v>
      </c>
    </row>
    <row r="46" spans="1:16" x14ac:dyDescent="0.4">
      <c r="A46" s="33">
        <v>43</v>
      </c>
      <c r="B46" s="30">
        <v>575.50000000000011</v>
      </c>
      <c r="C46" s="30">
        <v>13.383720930232561</v>
      </c>
      <c r="D46" s="35">
        <v>1.7441860465116279</v>
      </c>
      <c r="E46" s="31">
        <v>0.44186046511627908</v>
      </c>
      <c r="F46" s="31">
        <v>0.18604651162790697</v>
      </c>
      <c r="G46" s="31">
        <v>0.34365325077399383</v>
      </c>
      <c r="H46" s="31">
        <v>0.11145510835913312</v>
      </c>
      <c r="I46" s="32">
        <v>9997.2972972972966</v>
      </c>
      <c r="J46" s="32">
        <v>-9252.7777777777774</v>
      </c>
      <c r="K46" s="31">
        <v>2.3255813953488372E-2</v>
      </c>
      <c r="L46" s="31">
        <v>0.25386996904024767</v>
      </c>
      <c r="M46" s="31">
        <v>0.1826625386996904</v>
      </c>
      <c r="N46" s="31">
        <v>0.62195121951219512</v>
      </c>
      <c r="O46" s="31">
        <v>0.5423728813559322</v>
      </c>
      <c r="P46" s="31">
        <v>0.52252252252252251</v>
      </c>
    </row>
    <row r="47" spans="1:16" x14ac:dyDescent="0.4">
      <c r="A47" s="33">
        <v>44</v>
      </c>
      <c r="B47" s="30">
        <v>571.60000000000014</v>
      </c>
      <c r="C47" s="30">
        <v>12.990909090909094</v>
      </c>
      <c r="D47" s="35">
        <v>1.75</v>
      </c>
      <c r="E47" s="31">
        <v>0.43181818181818182</v>
      </c>
      <c r="F47" s="31">
        <v>0.18181818181818182</v>
      </c>
      <c r="G47" s="31">
        <v>0.34029850746268658</v>
      </c>
      <c r="H47" s="31">
        <v>0.11940298507462686</v>
      </c>
      <c r="I47" s="32">
        <v>9979.8245614035095</v>
      </c>
      <c r="J47" s="32">
        <v>-9085</v>
      </c>
      <c r="K47" s="31">
        <v>2.2727272727272728E-2</v>
      </c>
      <c r="L47" s="31">
        <v>0.25671641791044775</v>
      </c>
      <c r="M47" s="31">
        <v>0.18208955223880596</v>
      </c>
      <c r="N47" s="31">
        <v>0.60465116279069764</v>
      </c>
      <c r="O47" s="31">
        <v>0.54098360655737709</v>
      </c>
      <c r="P47" s="31">
        <v>0.52631578947368418</v>
      </c>
    </row>
    <row r="48" spans="1:16" x14ac:dyDescent="0.4">
      <c r="A48" s="33">
        <v>45</v>
      </c>
      <c r="B48" s="30">
        <v>616.90000000000009</v>
      </c>
      <c r="C48" s="30">
        <v>13.708888888888891</v>
      </c>
      <c r="D48" s="35">
        <v>1.7333333333333334</v>
      </c>
      <c r="E48" s="31">
        <v>0.44444444444444442</v>
      </c>
      <c r="F48" s="31">
        <v>0.17777777777777778</v>
      </c>
      <c r="G48" s="31">
        <v>0.34402332361516036</v>
      </c>
      <c r="H48" s="31">
        <v>0.119533527696793</v>
      </c>
      <c r="I48" s="32">
        <v>9950</v>
      </c>
      <c r="J48" s="32">
        <v>-8895.121951219513</v>
      </c>
      <c r="K48" s="31">
        <v>2.2222222222222223E-2</v>
      </c>
      <c r="L48" s="31">
        <v>0.25947521865889212</v>
      </c>
      <c r="M48" s="31">
        <v>0.17784256559766765</v>
      </c>
      <c r="N48" s="31">
        <v>0.6067415730337079</v>
      </c>
      <c r="O48" s="31">
        <v>0.54098360655737709</v>
      </c>
      <c r="P48" s="31">
        <v>0.52542372881355937</v>
      </c>
    </row>
    <row r="49" spans="1:16" x14ac:dyDescent="0.4">
      <c r="A49" s="33">
        <v>46</v>
      </c>
      <c r="B49" s="30">
        <v>687.90000000000009</v>
      </c>
      <c r="C49" s="30">
        <v>14.954347826086959</v>
      </c>
      <c r="D49" s="35">
        <v>1.7173913043478262</v>
      </c>
      <c r="E49" s="31">
        <v>0.45652173913043476</v>
      </c>
      <c r="F49" s="31">
        <v>0.17391304347826086</v>
      </c>
      <c r="G49" s="31">
        <v>0.35057471264367818</v>
      </c>
      <c r="H49" s="31">
        <v>0.11781609195402298</v>
      </c>
      <c r="I49" s="32">
        <v>10115.573770491803</v>
      </c>
      <c r="J49" s="32">
        <v>-8895.121951219513</v>
      </c>
      <c r="K49" s="31">
        <v>2.1739130434782608E-2</v>
      </c>
      <c r="L49" s="31">
        <v>0.25862068965517243</v>
      </c>
      <c r="M49" s="31">
        <v>0.17816091954022989</v>
      </c>
      <c r="N49" s="31">
        <v>0.61111111111111116</v>
      </c>
      <c r="O49" s="31">
        <v>0.54838709677419351</v>
      </c>
      <c r="P49" s="31">
        <v>0.53278688524590168</v>
      </c>
    </row>
    <row r="50" spans="1:16" x14ac:dyDescent="0.4">
      <c r="A50" s="33">
        <v>47</v>
      </c>
      <c r="B50" s="30">
        <v>710.2</v>
      </c>
      <c r="C50" s="30">
        <v>15.110638297872342</v>
      </c>
      <c r="D50" s="35">
        <v>1.7021276595744681</v>
      </c>
      <c r="E50" s="31">
        <v>0.46808510638297873</v>
      </c>
      <c r="F50" s="31">
        <v>0.1702127659574468</v>
      </c>
      <c r="G50" s="31">
        <v>0.35097493036211697</v>
      </c>
      <c r="H50" s="31">
        <v>0.11977715877437325</v>
      </c>
      <c r="I50" s="32">
        <v>10099.20634920635</v>
      </c>
      <c r="J50" s="32">
        <v>-8820.9302325581393</v>
      </c>
      <c r="K50" s="31">
        <v>2.1276595744680851E-2</v>
      </c>
      <c r="L50" s="31">
        <v>0.2618384401114206</v>
      </c>
      <c r="M50" s="31">
        <v>0.17548746518105848</v>
      </c>
      <c r="N50" s="31">
        <v>0.62765957446808507</v>
      </c>
      <c r="O50" s="31">
        <v>0.53968253968253965</v>
      </c>
      <c r="P50" s="31">
        <v>0.53174603174603174</v>
      </c>
    </row>
    <row r="51" spans="1:16" x14ac:dyDescent="0.4">
      <c r="A51" s="33">
        <v>48</v>
      </c>
      <c r="B51" s="30">
        <v>659.80000000000007</v>
      </c>
      <c r="C51" s="30">
        <v>13.745833333333335</v>
      </c>
      <c r="D51" s="35">
        <v>1.7291666666666667</v>
      </c>
      <c r="E51" s="31">
        <v>0.45833333333333331</v>
      </c>
      <c r="F51" s="31">
        <v>0.1875</v>
      </c>
      <c r="G51" s="31">
        <v>0.34239130434782611</v>
      </c>
      <c r="H51" s="31">
        <v>0.125</v>
      </c>
      <c r="I51" s="32">
        <v>10099.20634920635</v>
      </c>
      <c r="J51" s="32">
        <v>-8595.652173913044</v>
      </c>
      <c r="K51" s="31">
        <v>4.1666666666666664E-2</v>
      </c>
      <c r="L51" s="31">
        <v>0.26358695652173914</v>
      </c>
      <c r="M51" s="31">
        <v>0.17119565217391305</v>
      </c>
      <c r="N51" s="31">
        <v>0.60824742268041232</v>
      </c>
      <c r="O51" s="31">
        <v>0.53968253968253965</v>
      </c>
      <c r="P51" s="31">
        <v>0.53174603174603174</v>
      </c>
    </row>
    <row r="52" spans="1:16" x14ac:dyDescent="0.4">
      <c r="A52" s="33">
        <v>49</v>
      </c>
      <c r="B52" s="30">
        <v>689.2</v>
      </c>
      <c r="C52" s="30">
        <v>14.06530612244898</v>
      </c>
      <c r="D52" s="35">
        <v>1.7142857142857142</v>
      </c>
      <c r="E52" s="31">
        <v>0.46938775510204084</v>
      </c>
      <c r="F52" s="31">
        <v>0.18367346938775511</v>
      </c>
      <c r="G52" s="31">
        <v>0.34491978609625668</v>
      </c>
      <c r="H52" s="31">
        <v>0.12299465240641712</v>
      </c>
      <c r="I52" s="32">
        <v>10014.728682170542</v>
      </c>
      <c r="J52" s="32">
        <v>-8595.652173913044</v>
      </c>
      <c r="K52" s="31">
        <v>4.0816326530612242E-2</v>
      </c>
      <c r="L52" s="31">
        <v>0.26470588235294118</v>
      </c>
      <c r="M52" s="31">
        <v>0.16844919786096257</v>
      </c>
      <c r="N52" s="31">
        <v>0.61616161616161613</v>
      </c>
      <c r="O52" s="31">
        <v>0.53968253968253965</v>
      </c>
      <c r="P52" s="31">
        <v>0.52713178294573648</v>
      </c>
    </row>
    <row r="53" spans="1:16" x14ac:dyDescent="0.4">
      <c r="A53" s="33">
        <v>50</v>
      </c>
      <c r="B53" s="30">
        <v>689.90000000000009</v>
      </c>
      <c r="C53" s="30">
        <v>13.798000000000002</v>
      </c>
      <c r="D53" s="35">
        <v>1.72</v>
      </c>
      <c r="E53" s="31">
        <v>0.46</v>
      </c>
      <c r="F53" s="31">
        <v>0.18</v>
      </c>
      <c r="G53" s="31">
        <v>0.34293193717277487</v>
      </c>
      <c r="H53" s="31">
        <v>0.12303664921465969</v>
      </c>
      <c r="I53" s="32">
        <v>9916.0305343511445</v>
      </c>
      <c r="J53" s="32">
        <v>-8495.7446808510631</v>
      </c>
      <c r="K53" s="31">
        <v>0.04</v>
      </c>
      <c r="L53" s="31">
        <v>0.26701570680628273</v>
      </c>
      <c r="M53" s="31">
        <v>0.17015706806282724</v>
      </c>
      <c r="N53" s="31">
        <v>0.61764705882352944</v>
      </c>
      <c r="O53" s="31">
        <v>0.52307692307692311</v>
      </c>
      <c r="P53" s="31">
        <v>0.51908396946564883</v>
      </c>
    </row>
    <row r="54" spans="1:16" x14ac:dyDescent="0.4">
      <c r="A54" s="33">
        <v>51</v>
      </c>
      <c r="B54" s="30">
        <v>639.30000000000007</v>
      </c>
      <c r="C54" s="30">
        <v>12.53529411764706</v>
      </c>
      <c r="D54" s="35">
        <v>1.7450980392156863</v>
      </c>
      <c r="E54" s="31">
        <v>0.45098039215686275</v>
      </c>
      <c r="F54" s="31">
        <v>0.19607843137254902</v>
      </c>
      <c r="G54" s="31">
        <v>0.33762886597938147</v>
      </c>
      <c r="H54" s="31">
        <v>0.12886597938144329</v>
      </c>
      <c r="I54" s="32">
        <v>9916.0305343511445</v>
      </c>
      <c r="J54" s="32">
        <v>-8418</v>
      </c>
      <c r="K54" s="31">
        <v>5.8823529411764705E-2</v>
      </c>
      <c r="L54" s="31">
        <v>0.26288659793814434</v>
      </c>
      <c r="M54" s="31">
        <v>0.17010309278350516</v>
      </c>
      <c r="N54" s="31">
        <v>0.61764705882352944</v>
      </c>
      <c r="O54" s="31">
        <v>0.51515151515151514</v>
      </c>
      <c r="P54" s="31">
        <v>0.51908396946564883</v>
      </c>
    </row>
    <row r="55" spans="1:16" x14ac:dyDescent="0.4">
      <c r="A55" s="33">
        <v>52</v>
      </c>
      <c r="B55" s="30">
        <v>644.20000000000005</v>
      </c>
      <c r="C55" s="30">
        <v>12.38846153846154</v>
      </c>
      <c r="D55" s="35">
        <v>1.75</v>
      </c>
      <c r="E55" s="31">
        <v>0.44230769230769229</v>
      </c>
      <c r="F55" s="31">
        <v>0.19230769230769232</v>
      </c>
      <c r="G55" s="31">
        <v>0.33501259445843828</v>
      </c>
      <c r="H55" s="31">
        <v>0.13602015113350127</v>
      </c>
      <c r="I55" s="32">
        <v>10085.714285714286</v>
      </c>
      <c r="J55" s="32">
        <v>-8479.6296296296296</v>
      </c>
      <c r="K55" s="31">
        <v>5.7692307692307696E-2</v>
      </c>
      <c r="L55" s="31">
        <v>0.25944584382871538</v>
      </c>
      <c r="M55" s="31">
        <v>0.16624685138539042</v>
      </c>
      <c r="N55" s="31">
        <v>0.62135922330097082</v>
      </c>
      <c r="O55" s="31">
        <v>0.51515151515151514</v>
      </c>
      <c r="P55" s="31">
        <v>0.51879699248120303</v>
      </c>
    </row>
    <row r="56" spans="1:16" x14ac:dyDescent="0.4">
      <c r="A56" s="33">
        <v>53</v>
      </c>
      <c r="B56" s="30">
        <v>605.20000000000005</v>
      </c>
      <c r="C56" s="30">
        <v>11.418867924528303</v>
      </c>
      <c r="D56" s="35">
        <v>1.7735849056603774</v>
      </c>
      <c r="E56" s="31">
        <v>0.43396226415094341</v>
      </c>
      <c r="F56" s="31">
        <v>0.20754716981132076</v>
      </c>
      <c r="G56" s="31">
        <v>0.33169533169533172</v>
      </c>
      <c r="H56" s="31">
        <v>0.14496314496314497</v>
      </c>
      <c r="I56" s="32">
        <v>10108.888888888889</v>
      </c>
      <c r="J56" s="32">
        <v>-8622.0338983050842</v>
      </c>
      <c r="K56" s="31">
        <v>5.6603773584905662E-2</v>
      </c>
      <c r="L56" s="31">
        <v>0.25798525798525801</v>
      </c>
      <c r="M56" s="31">
        <v>0.16461916461916462</v>
      </c>
      <c r="N56" s="31">
        <v>0.62857142857142856</v>
      </c>
      <c r="O56" s="31">
        <v>0.5074626865671642</v>
      </c>
      <c r="P56" s="31">
        <v>0.51851851851851849</v>
      </c>
    </row>
    <row r="57" spans="1:16" x14ac:dyDescent="0.4">
      <c r="A57" s="33">
        <v>54</v>
      </c>
      <c r="B57" s="30">
        <v>598.90000000000009</v>
      </c>
      <c r="C57" s="30">
        <v>11.090740740740742</v>
      </c>
      <c r="D57" s="35">
        <v>1.7777777777777777</v>
      </c>
      <c r="E57" s="31">
        <v>0.42592592592592593</v>
      </c>
      <c r="F57" s="31">
        <v>0.20370370370370369</v>
      </c>
      <c r="G57" s="31">
        <v>0.33090024330900242</v>
      </c>
      <c r="H57" s="31">
        <v>0.14355231143552311</v>
      </c>
      <c r="I57" s="32">
        <v>10211.029411764706</v>
      </c>
      <c r="J57" s="32">
        <v>-8622.0338983050842</v>
      </c>
      <c r="K57" s="31">
        <v>5.5555555555555552E-2</v>
      </c>
      <c r="L57" s="31">
        <v>0.26034063260340634</v>
      </c>
      <c r="M57" s="31">
        <v>0.16545012165450121</v>
      </c>
      <c r="N57" s="31">
        <v>0.62616822429906538</v>
      </c>
      <c r="O57" s="31">
        <v>0.5</v>
      </c>
      <c r="P57" s="31">
        <v>0.5220588235294118</v>
      </c>
    </row>
    <row r="58" spans="1:16" x14ac:dyDescent="0.4">
      <c r="A58" s="33">
        <v>55</v>
      </c>
      <c r="B58" s="30">
        <v>627.40000000000009</v>
      </c>
      <c r="C58" s="30">
        <v>11.407272727272728</v>
      </c>
      <c r="D58" s="35">
        <v>1.7636363636363637</v>
      </c>
      <c r="E58" s="31">
        <v>0.43636363636363634</v>
      </c>
      <c r="F58" s="31">
        <v>0.2</v>
      </c>
      <c r="G58" s="31">
        <v>0.33333333333333331</v>
      </c>
      <c r="H58" s="31">
        <v>0.14184397163120568</v>
      </c>
      <c r="I58" s="32">
        <v>10036.879432624113</v>
      </c>
      <c r="J58" s="32">
        <v>-8511.6666666666661</v>
      </c>
      <c r="K58" s="31">
        <v>5.4545454545454543E-2</v>
      </c>
      <c r="L58" s="31">
        <v>0.25295508274231676</v>
      </c>
      <c r="M58" s="31">
        <v>0.16548463356973994</v>
      </c>
      <c r="N58" s="31">
        <v>0.62616822429906538</v>
      </c>
      <c r="O58" s="31">
        <v>0.51428571428571423</v>
      </c>
      <c r="P58" s="31">
        <v>0.51773049645390068</v>
      </c>
    </row>
    <row r="59" spans="1:16" x14ac:dyDescent="0.4">
      <c r="A59" s="33">
        <v>56</v>
      </c>
      <c r="B59" s="30">
        <v>646.00000000000011</v>
      </c>
      <c r="C59" s="30">
        <v>11.535714285714288</v>
      </c>
      <c r="D59" s="35">
        <v>1.75</v>
      </c>
      <c r="E59" s="31">
        <v>0.44642857142857145</v>
      </c>
      <c r="F59" s="31">
        <v>0.19642857142857142</v>
      </c>
      <c r="G59" s="31">
        <v>0.33101851851851855</v>
      </c>
      <c r="H59" s="31">
        <v>0.14120370370370369</v>
      </c>
      <c r="I59" s="32">
        <v>10022.377622377622</v>
      </c>
      <c r="J59" s="32">
        <v>-8411.4754098360663</v>
      </c>
      <c r="K59" s="31">
        <v>5.3571428571428568E-2</v>
      </c>
      <c r="L59" s="31">
        <v>0.25462962962962965</v>
      </c>
      <c r="M59" s="31">
        <v>0.16203703703703703</v>
      </c>
      <c r="N59" s="31">
        <v>0.62727272727272732</v>
      </c>
      <c r="O59" s="31">
        <v>0.51428571428571423</v>
      </c>
      <c r="P59" s="31">
        <v>0.5174825174825175</v>
      </c>
    </row>
    <row r="60" spans="1:16" x14ac:dyDescent="0.4">
      <c r="A60" s="33">
        <v>57</v>
      </c>
      <c r="B60" s="30">
        <v>644.60000000000014</v>
      </c>
      <c r="C60" s="30">
        <v>11.308771929824564</v>
      </c>
      <c r="D60" s="35">
        <v>1.7543859649122806</v>
      </c>
      <c r="E60" s="31">
        <v>0.43859649122807015</v>
      </c>
      <c r="F60" s="31">
        <v>0.19298245614035087</v>
      </c>
      <c r="G60" s="31">
        <v>0.33105022831050229</v>
      </c>
      <c r="H60" s="31">
        <v>0.14383561643835616</v>
      </c>
      <c r="I60" s="32">
        <v>10022.068965517241</v>
      </c>
      <c r="J60" s="32">
        <v>-8461.9047619047615</v>
      </c>
      <c r="K60" s="31">
        <v>5.2631578947368418E-2</v>
      </c>
      <c r="L60" s="31">
        <v>0.25114155251141551</v>
      </c>
      <c r="M60" s="31">
        <v>0.15981735159817351</v>
      </c>
      <c r="N60" s="31">
        <v>0.62727272727272732</v>
      </c>
      <c r="O60" s="31">
        <v>0.51428571428571423</v>
      </c>
      <c r="P60" s="31">
        <v>0.51724137931034486</v>
      </c>
    </row>
    <row r="61" spans="1:16" x14ac:dyDescent="0.4">
      <c r="A61" s="33">
        <v>58</v>
      </c>
      <c r="B61" s="30">
        <v>636.70000000000016</v>
      </c>
      <c r="C61" s="30">
        <v>10.977586206896554</v>
      </c>
      <c r="D61" s="35">
        <v>1.7586206896551724</v>
      </c>
      <c r="E61" s="31">
        <v>0.43103448275862066</v>
      </c>
      <c r="F61" s="31">
        <v>0.18965517241379309</v>
      </c>
      <c r="G61" s="31">
        <v>0.32511210762331838</v>
      </c>
      <c r="H61" s="31">
        <v>0.14125560538116591</v>
      </c>
      <c r="I61" s="32">
        <v>10022.068965517241</v>
      </c>
      <c r="J61" s="32">
        <v>-8461.9047619047615</v>
      </c>
      <c r="K61" s="31">
        <v>5.1724137931034482E-2</v>
      </c>
      <c r="L61" s="31">
        <v>0.24663677130044842</v>
      </c>
      <c r="M61" s="31">
        <v>0.15919282511210761</v>
      </c>
      <c r="N61" s="31">
        <v>0.62727272727272732</v>
      </c>
      <c r="O61" s="31">
        <v>0.50704225352112675</v>
      </c>
      <c r="P61" s="31">
        <v>0.51724137931034486</v>
      </c>
    </row>
    <row r="62" spans="1:16" x14ac:dyDescent="0.4">
      <c r="A62" s="33">
        <v>59</v>
      </c>
      <c r="B62" s="30">
        <v>633.30000000000018</v>
      </c>
      <c r="C62" s="30">
        <v>10.733898305084749</v>
      </c>
      <c r="D62" s="35">
        <v>1.7627118644067796</v>
      </c>
      <c r="E62" s="31">
        <v>0.42372881355932202</v>
      </c>
      <c r="F62" s="31">
        <v>0.1864406779661017</v>
      </c>
      <c r="G62" s="31">
        <v>0.32527472527472528</v>
      </c>
      <c r="H62" s="31">
        <v>0.14285714285714285</v>
      </c>
      <c r="I62" s="32">
        <v>10129.72972972973</v>
      </c>
      <c r="J62" s="32">
        <v>-8615.3846153846152</v>
      </c>
      <c r="K62" s="31">
        <v>5.0847457627118647E-2</v>
      </c>
      <c r="L62" s="31">
        <v>0.25274725274725274</v>
      </c>
      <c r="M62" s="31">
        <v>0.15824175824175823</v>
      </c>
      <c r="N62" s="31">
        <v>0.62608695652173918</v>
      </c>
      <c r="O62" s="31">
        <v>0.5</v>
      </c>
      <c r="P62" s="31">
        <v>0.51351351351351349</v>
      </c>
    </row>
    <row r="63" spans="1:16" x14ac:dyDescent="0.4">
      <c r="A63" s="33">
        <v>60</v>
      </c>
      <c r="B63" s="30">
        <v>629.20000000000016</v>
      </c>
      <c r="C63" s="30">
        <v>10.48666666666667</v>
      </c>
      <c r="D63" s="35">
        <v>1.7666666666666666</v>
      </c>
      <c r="E63" s="31">
        <v>0.41666666666666669</v>
      </c>
      <c r="F63" s="31">
        <v>0.18333333333333332</v>
      </c>
      <c r="G63" s="31">
        <v>0.32188841201716739</v>
      </c>
      <c r="H63" s="31">
        <v>0.13948497854077252</v>
      </c>
      <c r="I63" s="32">
        <v>10082.666666666666</v>
      </c>
      <c r="J63" s="32">
        <v>-8615.3846153846152</v>
      </c>
      <c r="K63" s="31">
        <v>0.05</v>
      </c>
      <c r="L63" s="31">
        <v>0.24892703862660945</v>
      </c>
      <c r="M63" s="31">
        <v>0.1609442060085837</v>
      </c>
      <c r="N63" s="31">
        <v>0.62931034482758619</v>
      </c>
      <c r="O63" s="31">
        <v>0.49333333333333335</v>
      </c>
      <c r="P63" s="31">
        <v>0.52</v>
      </c>
    </row>
    <row r="64" spans="1:16" x14ac:dyDescent="0.4">
      <c r="A64" s="33">
        <v>61</v>
      </c>
      <c r="B64" s="30">
        <v>581.20000000000016</v>
      </c>
      <c r="C64" s="30">
        <v>9.5278688524590187</v>
      </c>
      <c r="D64" s="35">
        <v>1.7868852459016393</v>
      </c>
      <c r="E64" s="31">
        <v>0.4098360655737705</v>
      </c>
      <c r="F64" s="31">
        <v>0.19672131147540983</v>
      </c>
      <c r="G64" s="31">
        <v>0.31923890063424948</v>
      </c>
      <c r="H64" s="31">
        <v>0.14164904862579281</v>
      </c>
      <c r="I64" s="32">
        <v>10042.384105960266</v>
      </c>
      <c r="J64" s="32">
        <v>-8656.7164179104475</v>
      </c>
      <c r="K64" s="31">
        <v>6.5573770491803282E-2</v>
      </c>
      <c r="L64" s="31">
        <v>0.25158562367864695</v>
      </c>
      <c r="M64" s="31">
        <v>0.15856236786469344</v>
      </c>
      <c r="N64" s="31">
        <v>0.62184873949579833</v>
      </c>
      <c r="O64" s="31">
        <v>0.49333333333333335</v>
      </c>
      <c r="P64" s="31">
        <v>0.52317880794701987</v>
      </c>
    </row>
    <row r="65" spans="1:16" x14ac:dyDescent="0.4">
      <c r="A65" s="33">
        <v>62</v>
      </c>
      <c r="B65" s="30">
        <v>534.9000000000002</v>
      </c>
      <c r="C65" s="30">
        <v>8.6274193548387128</v>
      </c>
      <c r="D65" s="35">
        <v>1.8064516129032258</v>
      </c>
      <c r="E65" s="31">
        <v>0.40322580645161288</v>
      </c>
      <c r="F65" s="31">
        <v>0.20967741935483872</v>
      </c>
      <c r="G65" s="31">
        <v>0.3134020618556701</v>
      </c>
      <c r="H65" s="31">
        <v>0.14020618556701031</v>
      </c>
      <c r="I65" s="32">
        <v>10015.78947368421</v>
      </c>
      <c r="J65" s="32">
        <v>-8623.5294117647063</v>
      </c>
      <c r="K65" s="31">
        <v>8.0645161290322578E-2</v>
      </c>
      <c r="L65" s="31">
        <v>0.25567010309278349</v>
      </c>
      <c r="M65" s="31">
        <v>0.16082474226804125</v>
      </c>
      <c r="N65" s="31">
        <v>0.60483870967741937</v>
      </c>
      <c r="O65" s="31">
        <v>0.47435897435897434</v>
      </c>
      <c r="P65" s="31">
        <v>0.52631578947368418</v>
      </c>
    </row>
    <row r="66" spans="1:16" x14ac:dyDescent="0.4">
      <c r="A66" s="33">
        <v>63</v>
      </c>
      <c r="B66" s="30">
        <v>511.30000000000018</v>
      </c>
      <c r="C66" s="30">
        <v>8.115873015873019</v>
      </c>
      <c r="D66" s="35">
        <v>1.8095238095238095</v>
      </c>
      <c r="E66" s="31">
        <v>0.3968253968253968</v>
      </c>
      <c r="F66" s="31">
        <v>0.20634920634920634</v>
      </c>
      <c r="G66" s="31">
        <v>0.30645161290322581</v>
      </c>
      <c r="H66" s="31">
        <v>0.13709677419354838</v>
      </c>
      <c r="I66" s="32">
        <v>10015.78947368421</v>
      </c>
      <c r="J66" s="32">
        <v>-8623.5294117647063</v>
      </c>
      <c r="K66" s="31">
        <v>7.9365079365079361E-2</v>
      </c>
      <c r="L66" s="31">
        <v>0.25403225806451613</v>
      </c>
      <c r="M66" s="31">
        <v>0.16129032258064516</v>
      </c>
      <c r="N66" s="31">
        <v>0.59523809523809523</v>
      </c>
      <c r="O66" s="31">
        <v>0.46250000000000002</v>
      </c>
      <c r="P66" s="31">
        <v>0.52631578947368418</v>
      </c>
    </row>
    <row r="67" spans="1:16" x14ac:dyDescent="0.4">
      <c r="A67" s="33">
        <v>64</v>
      </c>
      <c r="B67" s="30">
        <v>512.50000000000023</v>
      </c>
      <c r="C67" s="30">
        <v>8.0078125000000036</v>
      </c>
      <c r="D67" s="35">
        <v>1.8125</v>
      </c>
      <c r="E67" s="31">
        <v>0.390625</v>
      </c>
      <c r="F67" s="31">
        <v>0.203125</v>
      </c>
      <c r="G67" s="31">
        <v>0.30555555555555558</v>
      </c>
      <c r="H67" s="31">
        <v>0.1388888888888889</v>
      </c>
      <c r="I67" s="32">
        <v>9988.3116883116891</v>
      </c>
      <c r="J67" s="32">
        <v>-8542.8571428571431</v>
      </c>
      <c r="K67" s="31">
        <v>7.8125E-2</v>
      </c>
      <c r="L67" s="31">
        <v>0.25595238095238093</v>
      </c>
      <c r="M67" s="31">
        <v>0.15873015873015872</v>
      </c>
      <c r="N67" s="31">
        <v>0.5968992248062015</v>
      </c>
      <c r="O67" s="31">
        <v>0.46250000000000002</v>
      </c>
      <c r="P67" s="31">
        <v>0.53246753246753242</v>
      </c>
    </row>
    <row r="68" spans="1:16" x14ac:dyDescent="0.4">
      <c r="A68" s="33">
        <v>65</v>
      </c>
      <c r="B68" s="30">
        <v>548.50000000000023</v>
      </c>
      <c r="C68" s="30">
        <v>8.4384615384615422</v>
      </c>
      <c r="D68" s="35">
        <v>1.8</v>
      </c>
      <c r="E68" s="31">
        <v>0.4</v>
      </c>
      <c r="F68" s="31">
        <v>0.2</v>
      </c>
      <c r="G68" s="31">
        <v>0.31115459882583169</v>
      </c>
      <c r="H68" s="31">
        <v>0.13698630136986301</v>
      </c>
      <c r="I68" s="32">
        <v>9849.0566037735844</v>
      </c>
      <c r="J68" s="32">
        <v>-8542.8571428571431</v>
      </c>
      <c r="K68" s="31">
        <v>7.6923076923076927E-2</v>
      </c>
      <c r="L68" s="31">
        <v>0.25440313111545987</v>
      </c>
      <c r="M68" s="31">
        <v>0.16438356164383561</v>
      </c>
      <c r="N68" s="31">
        <v>0.6</v>
      </c>
      <c r="O68" s="31">
        <v>0.48809523809523808</v>
      </c>
      <c r="P68" s="31">
        <v>0.52830188679245282</v>
      </c>
    </row>
    <row r="69" spans="1:16" x14ac:dyDescent="0.4">
      <c r="A69" s="33">
        <v>66</v>
      </c>
      <c r="B69" s="30">
        <v>568.9000000000002</v>
      </c>
      <c r="C69" s="30">
        <v>8.6196969696969727</v>
      </c>
      <c r="D69" s="35">
        <v>1.7878787878787878</v>
      </c>
      <c r="E69" s="31">
        <v>0.40909090909090912</v>
      </c>
      <c r="F69" s="31">
        <v>0.19696969696969696</v>
      </c>
      <c r="G69" s="31">
        <v>0.31153846153846154</v>
      </c>
      <c r="H69" s="31">
        <v>0.13653846153846153</v>
      </c>
      <c r="I69" s="32">
        <v>9828.3950617283954</v>
      </c>
      <c r="J69" s="32">
        <v>-8530.9859154929582</v>
      </c>
      <c r="K69" s="31">
        <v>7.575757575757576E-2</v>
      </c>
      <c r="L69" s="31">
        <v>0.25384615384615383</v>
      </c>
      <c r="M69" s="31">
        <v>0.16346153846153846</v>
      </c>
      <c r="N69" s="31">
        <v>0.60606060606060608</v>
      </c>
      <c r="O69" s="31">
        <v>0.4823529411764706</v>
      </c>
      <c r="P69" s="31">
        <v>0.53703703703703709</v>
      </c>
    </row>
    <row r="70" spans="1:16" x14ac:dyDescent="0.4">
      <c r="A70" s="33">
        <v>67</v>
      </c>
      <c r="B70" s="30">
        <v>586.4000000000002</v>
      </c>
      <c r="C70" s="30">
        <v>8.752238805970153</v>
      </c>
      <c r="D70" s="35">
        <v>1.7761194029850746</v>
      </c>
      <c r="E70" s="31">
        <v>0.41791044776119401</v>
      </c>
      <c r="F70" s="31">
        <v>0.19402985074626866</v>
      </c>
      <c r="G70" s="31">
        <v>0.31368821292775667</v>
      </c>
      <c r="H70" s="31">
        <v>0.13878326996197718</v>
      </c>
      <c r="I70" s="32">
        <v>9735.757575757576</v>
      </c>
      <c r="J70" s="32">
        <v>-8457.534246575342</v>
      </c>
      <c r="K70" s="31">
        <v>7.4626865671641784E-2</v>
      </c>
      <c r="L70" s="31">
        <v>0.25665399239543724</v>
      </c>
      <c r="M70" s="31">
        <v>0.1634980988593156</v>
      </c>
      <c r="N70" s="31">
        <v>0.6074074074074074</v>
      </c>
      <c r="O70" s="31">
        <v>0.48837209302325579</v>
      </c>
      <c r="P70" s="31">
        <v>0.52727272727272723</v>
      </c>
    </row>
    <row r="71" spans="1:16" x14ac:dyDescent="0.4">
      <c r="A71" s="33">
        <v>68</v>
      </c>
      <c r="B71" s="30">
        <v>619.60000000000025</v>
      </c>
      <c r="C71" s="30">
        <v>9.1117647058823561</v>
      </c>
      <c r="D71" s="35">
        <v>1.7647058823529411</v>
      </c>
      <c r="E71" s="31">
        <v>0.4264705882352941</v>
      </c>
      <c r="F71" s="31">
        <v>0.19117647058823528</v>
      </c>
      <c r="G71" s="31">
        <v>0.31332082551594748</v>
      </c>
      <c r="H71" s="31">
        <v>0.13883677298311445</v>
      </c>
      <c r="I71" s="32">
        <v>9858.6826347305396</v>
      </c>
      <c r="J71" s="32">
        <v>-8451.3513513513517</v>
      </c>
      <c r="K71" s="31">
        <v>7.3529411764705885E-2</v>
      </c>
      <c r="L71" s="31">
        <v>0.25515947467166977</v>
      </c>
      <c r="M71" s="31">
        <v>0.16510318949343339</v>
      </c>
      <c r="N71" s="31">
        <v>0.61029411764705888</v>
      </c>
      <c r="O71" s="31">
        <v>0.47727272727272729</v>
      </c>
      <c r="P71" s="31">
        <v>0.52694610778443118</v>
      </c>
    </row>
    <row r="72" spans="1:16" x14ac:dyDescent="0.4">
      <c r="A72" s="33">
        <v>69</v>
      </c>
      <c r="B72" s="30">
        <v>631.50000000000023</v>
      </c>
      <c r="C72" s="30">
        <v>9.152173913043482</v>
      </c>
      <c r="D72" s="35">
        <v>1.7681159420289856</v>
      </c>
      <c r="E72" s="31">
        <v>0.42028985507246375</v>
      </c>
      <c r="F72" s="31">
        <v>0.18840579710144928</v>
      </c>
      <c r="G72" s="31">
        <v>0.31365313653136534</v>
      </c>
      <c r="H72" s="31">
        <v>0.14022140221402213</v>
      </c>
      <c r="I72" s="32">
        <v>9828.823529411764</v>
      </c>
      <c r="J72" s="32">
        <v>-8289.4736842105267</v>
      </c>
      <c r="K72" s="31">
        <v>7.2463768115942032E-2</v>
      </c>
      <c r="L72" s="31">
        <v>0.26014760147601473</v>
      </c>
      <c r="M72" s="31">
        <v>0.16420664206642066</v>
      </c>
      <c r="N72" s="31">
        <v>0.6028368794326241</v>
      </c>
      <c r="O72" s="31">
        <v>0.47191011235955055</v>
      </c>
      <c r="P72" s="31">
        <v>0.52352941176470591</v>
      </c>
    </row>
    <row r="73" spans="1:16" x14ac:dyDescent="0.4">
      <c r="A73" s="33">
        <v>70</v>
      </c>
      <c r="B73" s="30">
        <v>597.20000000000027</v>
      </c>
      <c r="C73" s="30">
        <v>8.5314285714285756</v>
      </c>
      <c r="D73" s="35">
        <v>1.7857142857142858</v>
      </c>
      <c r="E73" s="31">
        <v>0.41428571428571431</v>
      </c>
      <c r="F73" s="31">
        <v>0.2</v>
      </c>
      <c r="G73" s="31">
        <v>0.31090909090909091</v>
      </c>
      <c r="H73" s="31">
        <v>0.14181818181818182</v>
      </c>
      <c r="I73" s="32">
        <v>9818.1286549707602</v>
      </c>
      <c r="J73" s="32">
        <v>-8333.3333333333339</v>
      </c>
      <c r="K73" s="31">
        <v>7.1428571428571425E-2</v>
      </c>
      <c r="L73" s="31">
        <v>0.25818181818181818</v>
      </c>
      <c r="M73" s="31">
        <v>0.16727272727272727</v>
      </c>
      <c r="N73" s="31">
        <v>0.59859154929577463</v>
      </c>
      <c r="O73" s="31">
        <v>0.46739130434782611</v>
      </c>
      <c r="P73" s="31">
        <v>0.52046783625730997</v>
      </c>
    </row>
    <row r="74" spans="1:16" x14ac:dyDescent="0.4">
      <c r="A74" s="33">
        <v>71</v>
      </c>
      <c r="B74" s="30">
        <v>616.60000000000025</v>
      </c>
      <c r="C74" s="30">
        <v>8.6845070422535251</v>
      </c>
      <c r="D74" s="35">
        <v>1.7746478873239437</v>
      </c>
      <c r="E74" s="31">
        <v>0.42253521126760563</v>
      </c>
      <c r="F74" s="31">
        <v>0.19718309859154928</v>
      </c>
      <c r="G74" s="31">
        <v>0.30879712746858168</v>
      </c>
      <c r="H74" s="31">
        <v>0.14542190305206462</v>
      </c>
      <c r="I74" s="32">
        <v>9900.5813953488378</v>
      </c>
      <c r="J74" s="32">
        <v>-8155.5555555555557</v>
      </c>
      <c r="K74" s="31">
        <v>7.0422535211267609E-2</v>
      </c>
      <c r="L74" s="31">
        <v>0.25673249551166966</v>
      </c>
      <c r="M74" s="31">
        <v>0.16696588868940754</v>
      </c>
      <c r="N74" s="31">
        <v>0.59440559440559437</v>
      </c>
      <c r="O74" s="31">
        <v>0.4731182795698925</v>
      </c>
      <c r="P74" s="31">
        <v>0.52325581395348841</v>
      </c>
    </row>
    <row r="75" spans="1:16" x14ac:dyDescent="0.4">
      <c r="A75" s="33">
        <v>72</v>
      </c>
      <c r="B75" s="30">
        <v>677.10000000000025</v>
      </c>
      <c r="C75" s="30">
        <v>9.4041666666666703</v>
      </c>
      <c r="D75" s="35">
        <v>1.7638888888888888</v>
      </c>
      <c r="E75" s="31">
        <v>0.43055555555555558</v>
      </c>
      <c r="F75" s="31">
        <v>0.19444444444444445</v>
      </c>
      <c r="G75" s="31">
        <v>0.31413612565445026</v>
      </c>
      <c r="H75" s="31">
        <v>0.14485165794066318</v>
      </c>
      <c r="I75" s="32">
        <v>9749.4444444444453</v>
      </c>
      <c r="J75" s="32">
        <v>-8025.3012048192768</v>
      </c>
      <c r="K75" s="31">
        <v>6.9444444444444448E-2</v>
      </c>
      <c r="L75" s="31">
        <v>0.2513089005235602</v>
      </c>
      <c r="M75" s="31">
        <v>0.16753926701570682</v>
      </c>
      <c r="N75" s="31">
        <v>0.59027777777777779</v>
      </c>
      <c r="O75" s="31">
        <v>0.48958333333333331</v>
      </c>
      <c r="P75" s="31">
        <v>0.52222222222222225</v>
      </c>
    </row>
    <row r="76" spans="1:16" x14ac:dyDescent="0.4">
      <c r="A76" s="33">
        <v>73</v>
      </c>
      <c r="B76" s="30">
        <v>658.9000000000002</v>
      </c>
      <c r="C76" s="30">
        <v>9.0260273972602771</v>
      </c>
      <c r="D76" s="35">
        <v>1.7808219178082192</v>
      </c>
      <c r="E76" s="31">
        <v>0.42465753424657532</v>
      </c>
      <c r="F76" s="31">
        <v>0.20547945205479451</v>
      </c>
      <c r="G76" s="31">
        <v>0.31260794473229708</v>
      </c>
      <c r="H76" s="31">
        <v>0.14507772020725387</v>
      </c>
      <c r="I76" s="32">
        <v>9761.8784530386747</v>
      </c>
      <c r="J76" s="32">
        <v>-8021.4285714285716</v>
      </c>
      <c r="K76" s="31">
        <v>6.8493150684931503E-2</v>
      </c>
      <c r="L76" s="31">
        <v>0.25215889464594127</v>
      </c>
      <c r="M76" s="31">
        <v>0.16580310880829016</v>
      </c>
      <c r="N76" s="31">
        <v>0.58904109589041098</v>
      </c>
      <c r="O76" s="31">
        <v>0.48958333333333331</v>
      </c>
      <c r="P76" s="31">
        <v>0.52486187845303867</v>
      </c>
    </row>
    <row r="77" spans="1:16" x14ac:dyDescent="0.4">
      <c r="A77" s="33">
        <v>74</v>
      </c>
      <c r="B77" s="30">
        <v>678.00000000000023</v>
      </c>
      <c r="C77" s="30">
        <v>9.1621621621621649</v>
      </c>
      <c r="D77" s="35">
        <v>1.7702702702702702</v>
      </c>
      <c r="E77" s="31">
        <v>0.43243243243243246</v>
      </c>
      <c r="F77" s="31">
        <v>0.20270270270270271</v>
      </c>
      <c r="G77" s="31">
        <v>0.31175468483816016</v>
      </c>
      <c r="H77" s="31">
        <v>0.14480408858603067</v>
      </c>
      <c r="I77" s="32">
        <v>9760.6557377049176</v>
      </c>
      <c r="J77" s="32">
        <v>-7972.9411764705883</v>
      </c>
      <c r="K77" s="31">
        <v>6.7567567567567571E-2</v>
      </c>
      <c r="L77" s="31">
        <v>0.25212947189097101</v>
      </c>
      <c r="M77" s="31">
        <v>0.16524701873935263</v>
      </c>
      <c r="N77" s="31">
        <v>0.58783783783783783</v>
      </c>
      <c r="O77" s="31">
        <v>0.4845360824742268</v>
      </c>
      <c r="P77" s="31">
        <v>0.52459016393442626</v>
      </c>
    </row>
    <row r="78" spans="1:16" x14ac:dyDescent="0.4">
      <c r="A78" s="33">
        <v>75</v>
      </c>
      <c r="B78" s="30">
        <v>707.50000000000023</v>
      </c>
      <c r="C78" s="30">
        <v>9.4333333333333371</v>
      </c>
      <c r="D78" s="35">
        <v>1.76</v>
      </c>
      <c r="E78" s="31">
        <v>0.44</v>
      </c>
      <c r="F78" s="31">
        <v>0.2</v>
      </c>
      <c r="G78" s="31">
        <v>0.31</v>
      </c>
      <c r="H78" s="31">
        <v>0.14499999999999999</v>
      </c>
      <c r="I78" s="32">
        <v>9893.5483870967746</v>
      </c>
      <c r="J78" s="32">
        <v>-7970.1149425287358</v>
      </c>
      <c r="K78" s="31">
        <v>6.6666666666666666E-2</v>
      </c>
      <c r="L78" s="31">
        <v>0.255</v>
      </c>
      <c r="M78" s="31">
        <v>0.16333333333333333</v>
      </c>
      <c r="N78" s="31">
        <v>0.58823529411764708</v>
      </c>
      <c r="O78" s="31">
        <v>0.47959183673469385</v>
      </c>
      <c r="P78" s="31">
        <v>0.521505376344086</v>
      </c>
    </row>
    <row r="79" spans="1:16" x14ac:dyDescent="0.4">
      <c r="A79" s="33">
        <v>76</v>
      </c>
      <c r="B79" s="30">
        <v>741.60000000000025</v>
      </c>
      <c r="C79" s="30">
        <v>9.7578947368421094</v>
      </c>
      <c r="D79" s="35">
        <v>1.75</v>
      </c>
      <c r="E79" s="31">
        <v>0.44736842105263158</v>
      </c>
      <c r="F79" s="31">
        <v>0.19736842105263158</v>
      </c>
      <c r="G79" s="31">
        <v>0.30983606557377047</v>
      </c>
      <c r="H79" s="31">
        <v>0.14590163934426228</v>
      </c>
      <c r="I79" s="32">
        <v>9948.1481481481478</v>
      </c>
      <c r="J79" s="32">
        <v>-7913.4831460674159</v>
      </c>
      <c r="K79" s="31">
        <v>6.5789473684210523E-2</v>
      </c>
      <c r="L79" s="31">
        <v>0.25081967213114753</v>
      </c>
      <c r="M79" s="31">
        <v>0.16393442622950818</v>
      </c>
      <c r="N79" s="31">
        <v>0.58823529411764708</v>
      </c>
      <c r="O79" s="31">
        <v>0.48</v>
      </c>
      <c r="P79" s="31">
        <v>0.51322751322751325</v>
      </c>
    </row>
    <row r="80" spans="1:16" x14ac:dyDescent="0.4">
      <c r="A80" s="33">
        <v>77</v>
      </c>
      <c r="B80" s="30">
        <v>757.4000000000002</v>
      </c>
      <c r="C80" s="30">
        <v>9.8363636363636395</v>
      </c>
      <c r="D80" s="35">
        <v>1.7402597402597402</v>
      </c>
      <c r="E80" s="31">
        <v>0.45454545454545453</v>
      </c>
      <c r="F80" s="31">
        <v>0.19480519480519481</v>
      </c>
      <c r="G80" s="31">
        <v>0.31006493506493504</v>
      </c>
      <c r="H80" s="31">
        <v>0.1461038961038961</v>
      </c>
      <c r="I80" s="32">
        <v>9916.2303664921474</v>
      </c>
      <c r="J80" s="32">
        <v>-7883.333333333333</v>
      </c>
      <c r="K80" s="31">
        <v>6.4935064935064929E-2</v>
      </c>
      <c r="L80" s="31">
        <v>0.24837662337662339</v>
      </c>
      <c r="M80" s="31">
        <v>0.16233766233766234</v>
      </c>
      <c r="N80" s="31">
        <v>0.58823529411764708</v>
      </c>
      <c r="O80" s="31">
        <v>0.48</v>
      </c>
      <c r="P80" s="31">
        <v>0.50785340314136129</v>
      </c>
    </row>
    <row r="81" spans="1:16" x14ac:dyDescent="0.4">
      <c r="A81" s="33">
        <v>78</v>
      </c>
      <c r="B81" s="30">
        <v>729.20000000000016</v>
      </c>
      <c r="C81" s="30">
        <v>9.348717948717951</v>
      </c>
      <c r="D81" s="35">
        <v>1.7564102564102564</v>
      </c>
      <c r="E81" s="31">
        <v>0.44871794871794873</v>
      </c>
      <c r="F81" s="31">
        <v>0.20512820512820512</v>
      </c>
      <c r="G81" s="31">
        <v>0.3097913322632424</v>
      </c>
      <c r="H81" s="31">
        <v>0.1476725521669342</v>
      </c>
      <c r="I81" s="32">
        <v>9868.3937823834203</v>
      </c>
      <c r="J81" s="32">
        <v>-7929.347826086957</v>
      </c>
      <c r="K81" s="31">
        <v>6.4102564102564097E-2</v>
      </c>
      <c r="L81" s="31">
        <v>0.24879614767255218</v>
      </c>
      <c r="M81" s="31">
        <v>0.16211878009630817</v>
      </c>
      <c r="N81" s="31">
        <v>0.58709677419354833</v>
      </c>
      <c r="O81" s="31">
        <v>0.48514851485148514</v>
      </c>
      <c r="P81" s="31">
        <v>0.50259067357512954</v>
      </c>
    </row>
    <row r="82" spans="1:16" x14ac:dyDescent="0.4">
      <c r="A82" s="33">
        <v>79</v>
      </c>
      <c r="B82" s="30">
        <v>745.50000000000011</v>
      </c>
      <c r="C82" s="30">
        <v>9.4367088607594951</v>
      </c>
      <c r="D82" s="35">
        <v>1.7468354430379747</v>
      </c>
      <c r="E82" s="31">
        <v>0.45569620253164556</v>
      </c>
      <c r="F82" s="31">
        <v>0.20253164556962025</v>
      </c>
      <c r="G82" s="31">
        <v>0.31160572337042924</v>
      </c>
      <c r="H82" s="31">
        <v>0.14785373608903021</v>
      </c>
      <c r="I82" s="32">
        <v>9828.0612244897966</v>
      </c>
      <c r="J82" s="32">
        <v>-7973.1182795698924</v>
      </c>
      <c r="K82" s="31">
        <v>6.3291139240506333E-2</v>
      </c>
      <c r="L82" s="31">
        <v>0.24960254372019078</v>
      </c>
      <c r="M82" s="31">
        <v>0.16057233704292528</v>
      </c>
      <c r="N82" s="31">
        <v>0.5859872611464968</v>
      </c>
      <c r="O82" s="31">
        <v>0.48514851485148514</v>
      </c>
      <c r="P82" s="31">
        <v>0.51020408163265307</v>
      </c>
    </row>
    <row r="83" spans="1:16" x14ac:dyDescent="0.4">
      <c r="A83" s="33">
        <v>80</v>
      </c>
      <c r="B83" s="30">
        <v>712.20000000000016</v>
      </c>
      <c r="C83" s="30">
        <v>8.9025000000000016</v>
      </c>
      <c r="D83" s="35">
        <v>1.7625</v>
      </c>
      <c r="E83" s="31">
        <v>0.45</v>
      </c>
      <c r="F83" s="31">
        <v>0.21249999999999999</v>
      </c>
      <c r="G83" s="31">
        <v>0.31023622047244093</v>
      </c>
      <c r="H83" s="31">
        <v>0.14645669291338584</v>
      </c>
      <c r="I83" s="32">
        <v>9794.4162436548231</v>
      </c>
      <c r="J83" s="32">
        <v>-7973.1182795698924</v>
      </c>
      <c r="K83" s="31">
        <v>6.25E-2</v>
      </c>
      <c r="L83" s="31">
        <v>0.24724409448818899</v>
      </c>
      <c r="M83" s="31">
        <v>0.15905511811023623</v>
      </c>
      <c r="N83" s="31">
        <v>0.5859872611464968</v>
      </c>
      <c r="O83" s="31">
        <v>0.48514851485148514</v>
      </c>
      <c r="P83" s="31">
        <v>0.51269035532994922</v>
      </c>
    </row>
    <row r="84" spans="1:16" x14ac:dyDescent="0.4">
      <c r="A84" s="33">
        <v>81</v>
      </c>
      <c r="B84" s="30">
        <v>689.10000000000014</v>
      </c>
      <c r="C84" s="30">
        <v>8.5074074074074097</v>
      </c>
      <c r="D84" s="35">
        <v>1.7777777777777777</v>
      </c>
      <c r="E84" s="31">
        <v>0.44444444444444442</v>
      </c>
      <c r="F84" s="31">
        <v>0.22222222222222221</v>
      </c>
      <c r="G84" s="31">
        <v>0.3099688473520249</v>
      </c>
      <c r="H84" s="31">
        <v>0.14485981308411214</v>
      </c>
      <c r="I84" s="32">
        <v>9748.2412060301504</v>
      </c>
      <c r="J84" s="32">
        <v>-7973.1182795698924</v>
      </c>
      <c r="K84" s="31">
        <v>6.1728395061728392E-2</v>
      </c>
      <c r="L84" s="31">
        <v>0.24922118380062305</v>
      </c>
      <c r="M84" s="31">
        <v>0.15887850467289719</v>
      </c>
      <c r="N84" s="31">
        <v>0.58125000000000004</v>
      </c>
      <c r="O84" s="31">
        <v>0.49019607843137253</v>
      </c>
      <c r="P84" s="31">
        <v>0.51256281407035176</v>
      </c>
    </row>
    <row r="85" spans="1:16" x14ac:dyDescent="0.4">
      <c r="A85" s="33">
        <v>82</v>
      </c>
      <c r="B85" s="30">
        <v>719.70000000000016</v>
      </c>
      <c r="C85" s="30">
        <v>8.7768292682926852</v>
      </c>
      <c r="D85" s="35">
        <v>1.7682926829268293</v>
      </c>
      <c r="E85" s="31">
        <v>0.45121951219512196</v>
      </c>
      <c r="F85" s="31">
        <v>0.21951219512195122</v>
      </c>
      <c r="G85" s="31">
        <v>0.31076923076923074</v>
      </c>
      <c r="H85" s="31">
        <v>0.14461538461538462</v>
      </c>
      <c r="I85" s="32">
        <v>9791.5841584158425</v>
      </c>
      <c r="J85" s="32">
        <v>-7915.9574468085102</v>
      </c>
      <c r="K85" s="31">
        <v>6.097560975609756E-2</v>
      </c>
      <c r="L85" s="31">
        <v>0.25230769230769229</v>
      </c>
      <c r="M85" s="31">
        <v>0.15846153846153846</v>
      </c>
      <c r="N85" s="31">
        <v>0.57926829268292679</v>
      </c>
      <c r="O85" s="31">
        <v>0.4854368932038835</v>
      </c>
      <c r="P85" s="31">
        <v>0.50990099009900991</v>
      </c>
    </row>
    <row r="86" spans="1:16" x14ac:dyDescent="0.4">
      <c r="A86" s="33">
        <v>83</v>
      </c>
      <c r="B86" s="30">
        <v>716.20000000000016</v>
      </c>
      <c r="C86" s="30">
        <v>8.6289156626506038</v>
      </c>
      <c r="D86" s="35">
        <v>1.7710843373493976</v>
      </c>
      <c r="E86" s="31">
        <v>0.44578313253012047</v>
      </c>
      <c r="F86" s="31">
        <v>0.21686746987951808</v>
      </c>
      <c r="G86" s="31">
        <v>0.31050228310502281</v>
      </c>
      <c r="H86" s="31">
        <v>0.14307458143074581</v>
      </c>
      <c r="I86" s="32">
        <v>9783.823529411764</v>
      </c>
      <c r="J86" s="32">
        <v>-7915.9574468085102</v>
      </c>
      <c r="K86" s="31">
        <v>6.0240963855421686E-2</v>
      </c>
      <c r="L86" s="31">
        <v>0.25114155251141551</v>
      </c>
      <c r="M86" s="31">
        <v>0.15829528158295281</v>
      </c>
      <c r="N86" s="31">
        <v>0.58181818181818179</v>
      </c>
      <c r="O86" s="31">
        <v>0.49038461538461536</v>
      </c>
      <c r="P86" s="31">
        <v>0.50980392156862742</v>
      </c>
    </row>
    <row r="87" spans="1:16" x14ac:dyDescent="0.4">
      <c r="A87" s="33">
        <v>84</v>
      </c>
      <c r="B87" s="30">
        <v>718.10000000000014</v>
      </c>
      <c r="C87" s="30">
        <v>8.5488095238095259</v>
      </c>
      <c r="D87" s="35">
        <v>1.7738095238095237</v>
      </c>
      <c r="E87" s="31">
        <v>0.44047619047619047</v>
      </c>
      <c r="F87" s="31">
        <v>0.21428571428571427</v>
      </c>
      <c r="G87" s="31">
        <v>0.30920060331825039</v>
      </c>
      <c r="H87" s="31">
        <v>0.14177978883861236</v>
      </c>
      <c r="I87" s="32">
        <v>9745.8536585365855</v>
      </c>
      <c r="J87" s="32">
        <v>-7915.9574468085102</v>
      </c>
      <c r="K87" s="31">
        <v>5.9523809523809521E-2</v>
      </c>
      <c r="L87" s="31">
        <v>0.25037707390648567</v>
      </c>
      <c r="M87" s="31">
        <v>0.15837104072398189</v>
      </c>
      <c r="N87" s="31">
        <v>0.58433734939759041</v>
      </c>
      <c r="O87" s="31">
        <v>0.48571428571428571</v>
      </c>
      <c r="P87" s="31">
        <v>0.50731707317073171</v>
      </c>
    </row>
    <row r="88" spans="1:16" x14ac:dyDescent="0.4">
      <c r="A88" s="33">
        <v>85</v>
      </c>
      <c r="B88" s="30">
        <v>685.90000000000009</v>
      </c>
      <c r="C88" s="30">
        <v>8.0694117647058832</v>
      </c>
      <c r="D88" s="35">
        <v>1.7882352941176471</v>
      </c>
      <c r="E88" s="31">
        <v>0.43529411764705883</v>
      </c>
      <c r="F88" s="31">
        <v>0.22352941176470589</v>
      </c>
      <c r="G88" s="31">
        <v>0.30700447093889716</v>
      </c>
      <c r="H88" s="31">
        <v>0.14157973174366617</v>
      </c>
      <c r="I88" s="32">
        <v>9776.213592233009</v>
      </c>
      <c r="J88" s="32">
        <v>-7958.9473684210525</v>
      </c>
      <c r="K88" s="31">
        <v>5.8823529411764705E-2</v>
      </c>
      <c r="L88" s="31">
        <v>0.25186289120715349</v>
      </c>
      <c r="M88" s="31">
        <v>0.15648286140089418</v>
      </c>
      <c r="N88" s="31">
        <v>0.57988165680473369</v>
      </c>
      <c r="O88" s="31">
        <v>0.48571428571428571</v>
      </c>
      <c r="P88" s="31">
        <v>0.50970873786407767</v>
      </c>
    </row>
    <row r="89" spans="1:16" x14ac:dyDescent="0.4">
      <c r="A89" s="33">
        <v>86</v>
      </c>
      <c r="B89" s="30">
        <v>722.50000000000011</v>
      </c>
      <c r="C89" s="30">
        <v>8.4011627906976756</v>
      </c>
      <c r="D89" s="35">
        <v>1.7790697674418605</v>
      </c>
      <c r="E89" s="31">
        <v>0.44186046511627908</v>
      </c>
      <c r="F89" s="31">
        <v>0.22093023255813954</v>
      </c>
      <c r="G89" s="31">
        <v>0.30825958702064898</v>
      </c>
      <c r="H89" s="31">
        <v>0.14306784660766961</v>
      </c>
      <c r="I89" s="32">
        <v>9787.0813397129186</v>
      </c>
      <c r="J89" s="32">
        <v>-7861.855670103093</v>
      </c>
      <c r="K89" s="31">
        <v>5.8139534883720929E-2</v>
      </c>
      <c r="L89" s="31">
        <v>0.25221238938053098</v>
      </c>
      <c r="M89" s="31">
        <v>0.15781710914454278</v>
      </c>
      <c r="N89" s="31">
        <v>0.57894736842105265</v>
      </c>
      <c r="O89" s="31">
        <v>0.49532710280373832</v>
      </c>
      <c r="P89" s="31">
        <v>0.51196172248803828</v>
      </c>
    </row>
    <row r="90" spans="1:16" x14ac:dyDescent="0.4">
      <c r="A90" s="33">
        <v>87</v>
      </c>
      <c r="B90" s="30">
        <v>755.50000000000011</v>
      </c>
      <c r="C90" s="30">
        <v>8.683908045977013</v>
      </c>
      <c r="D90" s="35">
        <v>1.7701149425287357</v>
      </c>
      <c r="E90" s="31">
        <v>0.44827586206896552</v>
      </c>
      <c r="F90" s="31">
        <v>0.21839080459770116</v>
      </c>
      <c r="G90" s="31">
        <v>0.31049562682215742</v>
      </c>
      <c r="H90" s="31">
        <v>0.14139941690962099</v>
      </c>
      <c r="I90" s="32">
        <v>9778.403755868545</v>
      </c>
      <c r="J90" s="32">
        <v>-7861.855670103093</v>
      </c>
      <c r="K90" s="31">
        <v>5.7471264367816091E-2</v>
      </c>
      <c r="L90" s="31">
        <v>0.25364431486880468</v>
      </c>
      <c r="M90" s="31">
        <v>0.15743440233236153</v>
      </c>
      <c r="N90" s="31">
        <v>0.58045977011494254</v>
      </c>
      <c r="O90" s="31">
        <v>0.49074074074074076</v>
      </c>
      <c r="P90" s="31">
        <v>0.51173708920187788</v>
      </c>
    </row>
    <row r="91" spans="1:16" x14ac:dyDescent="0.4">
      <c r="A91" s="33">
        <v>88</v>
      </c>
      <c r="B91" s="30">
        <v>791.20000000000016</v>
      </c>
      <c r="C91" s="30">
        <v>8.9909090909090921</v>
      </c>
      <c r="D91" s="35">
        <v>1.7613636363636365</v>
      </c>
      <c r="E91" s="31">
        <v>0.45454545454545453</v>
      </c>
      <c r="F91" s="31">
        <v>0.21590909090909091</v>
      </c>
      <c r="G91" s="31">
        <v>0.3107913669064748</v>
      </c>
      <c r="H91" s="31">
        <v>0.14100719424460431</v>
      </c>
      <c r="I91" s="32">
        <v>9807.8703703703704</v>
      </c>
      <c r="J91" s="32">
        <v>-7834.6938775510207</v>
      </c>
      <c r="K91" s="31">
        <v>5.6818181818181816E-2</v>
      </c>
      <c r="L91" s="31">
        <v>0.25179856115107913</v>
      </c>
      <c r="M91" s="31">
        <v>0.15971223021582734</v>
      </c>
      <c r="N91" s="31">
        <v>0.58285714285714285</v>
      </c>
      <c r="O91" s="31">
        <v>0.49549549549549549</v>
      </c>
      <c r="P91" s="31">
        <v>0.51388888888888884</v>
      </c>
    </row>
    <row r="92" spans="1:16" x14ac:dyDescent="0.4">
      <c r="A92" s="33">
        <v>89</v>
      </c>
      <c r="B92" s="30">
        <v>842.30000000000018</v>
      </c>
      <c r="C92" s="30">
        <v>9.4640449438202268</v>
      </c>
      <c r="D92" s="35">
        <v>1.752808988764045</v>
      </c>
      <c r="E92" s="31">
        <v>0.4606741573033708</v>
      </c>
      <c r="F92" s="31">
        <v>0.21348314606741572</v>
      </c>
      <c r="G92" s="31">
        <v>0.31436699857752487</v>
      </c>
      <c r="H92" s="31">
        <v>0.13940256045519203</v>
      </c>
      <c r="I92" s="32">
        <v>9799.5475113122175</v>
      </c>
      <c r="J92" s="32">
        <v>-7834.6938775510207</v>
      </c>
      <c r="K92" s="31">
        <v>5.6179775280898875E-2</v>
      </c>
      <c r="L92" s="31">
        <v>0.25462304409672831</v>
      </c>
      <c r="M92" s="31">
        <v>0.15931721194879089</v>
      </c>
      <c r="N92" s="31">
        <v>0.58659217877094971</v>
      </c>
      <c r="O92" s="31">
        <v>0.5</v>
      </c>
      <c r="P92" s="31">
        <v>0.5113122171945701</v>
      </c>
    </row>
    <row r="93" spans="1:16" x14ac:dyDescent="0.4">
      <c r="A93" s="33">
        <v>90</v>
      </c>
      <c r="B93" s="30">
        <v>787.80000000000018</v>
      </c>
      <c r="C93" s="30">
        <v>8.7533333333333356</v>
      </c>
      <c r="D93" s="35">
        <v>1.7666666666666666</v>
      </c>
      <c r="E93" s="31">
        <v>0.45555555555555555</v>
      </c>
      <c r="F93" s="31">
        <v>0.22222222222222221</v>
      </c>
      <c r="G93" s="31">
        <v>0.31320224719101125</v>
      </c>
      <c r="H93" s="31">
        <v>0.13904494382022473</v>
      </c>
      <c r="I93" s="32">
        <v>9801.3452914798199</v>
      </c>
      <c r="J93" s="32">
        <v>-8240.4040404040406</v>
      </c>
      <c r="K93" s="31">
        <v>6.6666666666666666E-2</v>
      </c>
      <c r="L93" s="31">
        <v>0.25280898876404495</v>
      </c>
      <c r="M93" s="31">
        <v>0.15730337078651685</v>
      </c>
      <c r="N93" s="31">
        <v>0.58888888888888891</v>
      </c>
      <c r="O93" s="31">
        <v>0.5</v>
      </c>
      <c r="P93" s="31">
        <v>0.50672645739910316</v>
      </c>
    </row>
    <row r="94" spans="1:16" x14ac:dyDescent="0.4">
      <c r="A94" s="33">
        <v>91</v>
      </c>
      <c r="B94" s="30">
        <v>781.9000000000002</v>
      </c>
      <c r="C94" s="30">
        <v>8.5923076923076938</v>
      </c>
      <c r="D94" s="35">
        <v>1.7692307692307692</v>
      </c>
      <c r="E94" s="31">
        <v>0.45054945054945056</v>
      </c>
      <c r="F94" s="31">
        <v>0.21978021978021978</v>
      </c>
      <c r="G94" s="31">
        <v>0.31058495821727017</v>
      </c>
      <c r="H94" s="31">
        <v>0.13788300835654596</v>
      </c>
      <c r="I94" s="32">
        <v>9801.3452914798199</v>
      </c>
      <c r="J94" s="32">
        <v>-8240.4040404040406</v>
      </c>
      <c r="K94" s="31">
        <v>6.5934065934065936E-2</v>
      </c>
      <c r="L94" s="31">
        <v>0.25069637883008355</v>
      </c>
      <c r="M94" s="31">
        <v>0.1573816155988858</v>
      </c>
      <c r="N94" s="31">
        <v>0.58888888888888891</v>
      </c>
      <c r="O94" s="31">
        <v>0.49557522123893805</v>
      </c>
      <c r="P94" s="31">
        <v>0.50672645739910316</v>
      </c>
    </row>
    <row r="95" spans="1:16" x14ac:dyDescent="0.4">
      <c r="A95" s="33">
        <v>92</v>
      </c>
      <c r="B95" s="30">
        <v>743.00000000000023</v>
      </c>
      <c r="C95" s="30">
        <v>8.0760869565217419</v>
      </c>
      <c r="D95" s="35">
        <v>1.7826086956521738</v>
      </c>
      <c r="E95" s="31">
        <v>0.44565217391304346</v>
      </c>
      <c r="F95" s="31">
        <v>0.22826086956521738</v>
      </c>
      <c r="G95" s="31">
        <v>0.30801104972375692</v>
      </c>
      <c r="H95" s="31">
        <v>0.13812154696132597</v>
      </c>
      <c r="I95" s="32">
        <v>9801.3452914798199</v>
      </c>
      <c r="J95" s="32">
        <v>-8210</v>
      </c>
      <c r="K95" s="31">
        <v>6.5217391304347824E-2</v>
      </c>
      <c r="L95" s="31">
        <v>0.24861878453038674</v>
      </c>
      <c r="M95" s="31">
        <v>0.15883977900552487</v>
      </c>
      <c r="N95" s="31">
        <v>0.58888888888888891</v>
      </c>
      <c r="O95" s="31">
        <v>0.48695652173913045</v>
      </c>
      <c r="P95" s="31">
        <v>0.50672645739910316</v>
      </c>
    </row>
    <row r="96" spans="1:16" x14ac:dyDescent="0.4">
      <c r="A96" s="33">
        <v>93</v>
      </c>
      <c r="B96" s="30">
        <v>761.70000000000027</v>
      </c>
      <c r="C96" s="30">
        <v>8.1903225806451641</v>
      </c>
      <c r="D96" s="35">
        <v>1.7741935483870968</v>
      </c>
      <c r="E96" s="31">
        <v>0.45161290322580644</v>
      </c>
      <c r="F96" s="31">
        <v>0.22580645161290322</v>
      </c>
      <c r="G96" s="31">
        <v>0.30737704918032788</v>
      </c>
      <c r="H96" s="31">
        <v>0.13797814207650272</v>
      </c>
      <c r="I96" s="32">
        <v>9835.1111111111113</v>
      </c>
      <c r="J96" s="32">
        <v>-8287.1287128712866</v>
      </c>
      <c r="K96" s="31">
        <v>6.4516129032258063E-2</v>
      </c>
      <c r="L96" s="31">
        <v>0.24863387978142076</v>
      </c>
      <c r="M96" s="31">
        <v>0.15846994535519127</v>
      </c>
      <c r="N96" s="31">
        <v>0.59340659340659341</v>
      </c>
      <c r="O96" s="31">
        <v>0.48275862068965519</v>
      </c>
      <c r="P96" s="31">
        <v>0.50666666666666671</v>
      </c>
    </row>
    <row r="97" spans="1:16" x14ac:dyDescent="0.4">
      <c r="A97" s="33">
        <v>94</v>
      </c>
      <c r="B97" s="30">
        <v>770.10000000000025</v>
      </c>
      <c r="C97" s="30">
        <v>8.192553191489365</v>
      </c>
      <c r="D97" s="35">
        <v>1.7765957446808511</v>
      </c>
      <c r="E97" s="31">
        <v>0.44680851063829785</v>
      </c>
      <c r="F97" s="31">
        <v>0.22340425531914893</v>
      </c>
      <c r="G97" s="31">
        <v>0.30810810810810813</v>
      </c>
      <c r="H97" s="31">
        <v>0.13648648648648648</v>
      </c>
      <c r="I97" s="32">
        <v>9801.7543859649122</v>
      </c>
      <c r="J97" s="32">
        <v>-8287.1287128712866</v>
      </c>
      <c r="K97" s="31">
        <v>6.3829787234042548E-2</v>
      </c>
      <c r="L97" s="31">
        <v>0.25</v>
      </c>
      <c r="M97" s="31">
        <v>0.1581081081081081</v>
      </c>
      <c r="N97" s="31">
        <v>0.59459459459459463</v>
      </c>
      <c r="O97" s="31">
        <v>0.48717948717948717</v>
      </c>
      <c r="P97" s="31">
        <v>0.50438596491228072</v>
      </c>
    </row>
    <row r="98" spans="1:16" x14ac:dyDescent="0.4">
      <c r="A98" s="33">
        <v>95</v>
      </c>
      <c r="B98" s="30">
        <v>748.9000000000002</v>
      </c>
      <c r="C98" s="30">
        <v>7.8831578947368444</v>
      </c>
      <c r="D98" s="35">
        <v>1.7894736842105263</v>
      </c>
      <c r="E98" s="31">
        <v>0.44210526315789472</v>
      </c>
      <c r="F98" s="31">
        <v>0.23157894736842105</v>
      </c>
      <c r="G98" s="31">
        <v>0.30707610146862485</v>
      </c>
      <c r="H98" s="31">
        <v>0.13618157543391188</v>
      </c>
      <c r="I98" s="32">
        <v>9791.3043478260861</v>
      </c>
      <c r="J98" s="32">
        <v>-8323.5294117647063</v>
      </c>
      <c r="K98" s="31">
        <v>6.3157894736842107E-2</v>
      </c>
      <c r="L98" s="31">
        <v>0.25100133511348466</v>
      </c>
      <c r="M98" s="31">
        <v>0.15887850467289719</v>
      </c>
      <c r="N98" s="31">
        <v>0.5957446808510638</v>
      </c>
      <c r="O98" s="31">
        <v>0.47899159663865548</v>
      </c>
      <c r="P98" s="31">
        <v>0.5043478260869565</v>
      </c>
    </row>
    <row r="99" spans="1:16" x14ac:dyDescent="0.4">
      <c r="A99" s="33">
        <v>96</v>
      </c>
      <c r="B99" s="30">
        <v>720.4000000000002</v>
      </c>
      <c r="C99" s="30">
        <v>7.5041666666666691</v>
      </c>
      <c r="D99" s="35">
        <v>1.8020833333333333</v>
      </c>
      <c r="E99" s="31">
        <v>0.4375</v>
      </c>
      <c r="F99" s="31">
        <v>0.23958333333333334</v>
      </c>
      <c r="G99" s="31">
        <v>0.30515191545574638</v>
      </c>
      <c r="H99" s="31">
        <v>0.13738441215323646</v>
      </c>
      <c r="I99" s="32">
        <v>9800.8658008658003</v>
      </c>
      <c r="J99" s="32">
        <v>-8355.7692307692305</v>
      </c>
      <c r="K99" s="31">
        <v>6.25E-2</v>
      </c>
      <c r="L99" s="31">
        <v>0.24966974900924702</v>
      </c>
      <c r="M99" s="31">
        <v>0.15852047556142668</v>
      </c>
      <c r="N99" s="31">
        <v>0.59259259259259256</v>
      </c>
      <c r="O99" s="31">
        <v>0.48333333333333334</v>
      </c>
      <c r="P99" s="31">
        <v>0.50649350649350644</v>
      </c>
    </row>
    <row r="100" spans="1:16" x14ac:dyDescent="0.4">
      <c r="A100" s="33">
        <v>97</v>
      </c>
      <c r="B100" s="30">
        <v>735.9000000000002</v>
      </c>
      <c r="C100" s="30">
        <v>7.5865979381443323</v>
      </c>
      <c r="D100" s="35">
        <v>1.7938144329896908</v>
      </c>
      <c r="E100" s="31">
        <v>0.44329896907216493</v>
      </c>
      <c r="F100" s="31">
        <v>0.23711340206185566</v>
      </c>
      <c r="G100" s="31">
        <v>0.30406290956749671</v>
      </c>
      <c r="H100" s="31">
        <v>0.13761467889908258</v>
      </c>
      <c r="I100" s="32">
        <v>9793.1034482758623</v>
      </c>
      <c r="J100" s="32">
        <v>-8295.2380952380954</v>
      </c>
      <c r="K100" s="31">
        <v>6.1855670103092786E-2</v>
      </c>
      <c r="L100" s="31">
        <v>0.24770642201834864</v>
      </c>
      <c r="M100" s="31">
        <v>0.15858453473132372</v>
      </c>
      <c r="N100" s="31">
        <v>0.59259259259259256</v>
      </c>
      <c r="O100" s="31">
        <v>0.47933884297520662</v>
      </c>
      <c r="P100" s="31">
        <v>0.50862068965517238</v>
      </c>
    </row>
    <row r="101" spans="1:16" x14ac:dyDescent="0.4">
      <c r="A101" s="33">
        <v>98</v>
      </c>
      <c r="B101" s="30">
        <v>708.20000000000016</v>
      </c>
      <c r="C101" s="30">
        <v>7.2265306122448996</v>
      </c>
      <c r="D101" s="35">
        <v>1.8061224489795917</v>
      </c>
      <c r="E101" s="31">
        <v>0.43877551020408162</v>
      </c>
      <c r="F101" s="31">
        <v>0.24489795918367346</v>
      </c>
      <c r="G101" s="31">
        <v>0.30401034928848641</v>
      </c>
      <c r="H101" s="31">
        <v>0.13842173350582149</v>
      </c>
      <c r="I101" s="32">
        <v>9729.3617021276605</v>
      </c>
      <c r="J101" s="32">
        <v>-8297.1962616822439</v>
      </c>
      <c r="K101" s="31">
        <v>6.1224489795918366E-2</v>
      </c>
      <c r="L101" s="31">
        <v>0.24838292367399742</v>
      </c>
      <c r="M101" s="31">
        <v>0.15782664941785252</v>
      </c>
      <c r="N101" s="31">
        <v>0.59375</v>
      </c>
      <c r="O101" s="31">
        <v>0.48360655737704916</v>
      </c>
      <c r="P101" s="31">
        <v>0.50638297872340421</v>
      </c>
    </row>
    <row r="102" spans="1:16" x14ac:dyDescent="0.4">
      <c r="A102" s="33">
        <v>99</v>
      </c>
      <c r="B102" s="30">
        <v>680.60000000000014</v>
      </c>
      <c r="C102" s="30">
        <v>6.8747474747474762</v>
      </c>
      <c r="D102" s="35">
        <v>1.8181818181818181</v>
      </c>
      <c r="E102" s="31">
        <v>0.43434343434343436</v>
      </c>
      <c r="F102" s="31">
        <v>0.25252525252525254</v>
      </c>
      <c r="G102" s="31">
        <v>0.30063694267515922</v>
      </c>
      <c r="H102" s="31">
        <v>0.13885350318471337</v>
      </c>
      <c r="I102" s="32">
        <v>9700.4237288135591</v>
      </c>
      <c r="J102" s="32">
        <v>-8182.5688073394494</v>
      </c>
      <c r="K102" s="31">
        <v>6.0606060606060608E-2</v>
      </c>
      <c r="L102" s="31">
        <v>0.2445859872611465</v>
      </c>
      <c r="M102" s="31">
        <v>0.16050955414012738</v>
      </c>
      <c r="N102" s="31">
        <v>0.59375</v>
      </c>
      <c r="O102" s="31">
        <v>0.47619047619047616</v>
      </c>
      <c r="P102" s="31">
        <v>0.50423728813559321</v>
      </c>
    </row>
    <row r="103" spans="1:16" x14ac:dyDescent="0.4">
      <c r="A103" s="33">
        <v>100</v>
      </c>
      <c r="B103" s="30">
        <v>678.90000000000009</v>
      </c>
      <c r="C103" s="30">
        <v>6.7890000000000006</v>
      </c>
      <c r="D103" s="35">
        <v>1.82</v>
      </c>
      <c r="E103" s="31">
        <v>0.43</v>
      </c>
      <c r="F103" s="31">
        <v>0.25</v>
      </c>
      <c r="G103" s="31">
        <v>0.30176767676767674</v>
      </c>
      <c r="H103" s="31">
        <v>0.13762626262626262</v>
      </c>
      <c r="I103" s="32">
        <v>9673.2217573221751</v>
      </c>
      <c r="J103" s="32">
        <v>-8182.5688073394494</v>
      </c>
      <c r="K103" s="31">
        <v>0.06</v>
      </c>
      <c r="L103" s="31">
        <v>0.24621212121212122</v>
      </c>
      <c r="M103" s="31">
        <v>0.15909090909090909</v>
      </c>
      <c r="N103" s="31">
        <v>0.59487179487179487</v>
      </c>
      <c r="O103" s="31">
        <v>0.47619047619047616</v>
      </c>
      <c r="P103" s="31">
        <v>0.50627615062761511</v>
      </c>
    </row>
    <row r="104" spans="1:16" x14ac:dyDescent="0.4">
      <c r="A104" s="33">
        <v>101</v>
      </c>
      <c r="B104" s="30">
        <v>679.00000000000011</v>
      </c>
      <c r="C104" s="30">
        <v>6.7227722772277243</v>
      </c>
      <c r="D104" s="35">
        <v>1.8217821782178218</v>
      </c>
      <c r="E104" s="31">
        <v>0.42574257425742573</v>
      </c>
      <c r="F104" s="31">
        <v>0.24752475247524752</v>
      </c>
      <c r="G104" s="31">
        <v>0.30037546933667086</v>
      </c>
      <c r="H104" s="31">
        <v>0.13767209011264081</v>
      </c>
      <c r="I104" s="32">
        <v>9682.9166666666661</v>
      </c>
      <c r="J104" s="32">
        <v>-8131.818181818182</v>
      </c>
      <c r="K104" s="31">
        <v>5.9405940594059403E-2</v>
      </c>
      <c r="L104" s="31">
        <v>0.24780976220275344</v>
      </c>
      <c r="M104" s="31">
        <v>0.15894868585732166</v>
      </c>
      <c r="N104" s="31">
        <v>0.59090909090909094</v>
      </c>
      <c r="O104" s="31">
        <v>0.47244094488188976</v>
      </c>
      <c r="P104" s="31">
        <v>0.5083333333333333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F002-488C-45EB-804F-7D517F19D4F2}">
  <sheetPr codeName="Sheet10"/>
  <dimension ref="A1:Q1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198</v>
      </c>
      <c r="B1" s="34" t="s">
        <v>198</v>
      </c>
      <c r="C1" s="34" t="s">
        <v>198</v>
      </c>
      <c r="D1" s="35" t="s">
        <v>198</v>
      </c>
      <c r="E1" s="34" t="s">
        <v>198</v>
      </c>
      <c r="F1" s="34" t="s">
        <v>198</v>
      </c>
      <c r="G1" s="34" t="s">
        <v>198</v>
      </c>
      <c r="H1" s="34" t="s">
        <v>198</v>
      </c>
      <c r="I1" s="34" t="s">
        <v>198</v>
      </c>
      <c r="J1" s="34" t="s">
        <v>198</v>
      </c>
      <c r="K1" s="34" t="s">
        <v>198</v>
      </c>
      <c r="L1" s="34" t="s">
        <v>198</v>
      </c>
      <c r="M1" s="34" t="s">
        <v>198</v>
      </c>
      <c r="N1" s="34" t="s">
        <v>198</v>
      </c>
      <c r="O1" s="34" t="s">
        <v>198</v>
      </c>
      <c r="P1" s="34" t="s">
        <v>198</v>
      </c>
      <c r="Q1" s="34" t="s">
        <v>198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-36.299999999999997</v>
      </c>
      <c r="C4" s="30">
        <v>-36.299999999999997</v>
      </c>
      <c r="D4" s="35">
        <v>3</v>
      </c>
      <c r="E4" s="31">
        <v>0</v>
      </c>
      <c r="F4" s="31">
        <v>1</v>
      </c>
      <c r="G4" s="31">
        <v>0.125</v>
      </c>
      <c r="H4" s="31">
        <v>0.375</v>
      </c>
      <c r="I4" s="32">
        <v>2100</v>
      </c>
      <c r="J4" s="32">
        <v>-4166.666666666667</v>
      </c>
      <c r="K4" s="31">
        <v>0</v>
      </c>
      <c r="L4" s="31">
        <v>0.375</v>
      </c>
      <c r="M4" s="31">
        <v>0</v>
      </c>
      <c r="N4" s="31">
        <v>0.33333333333333331</v>
      </c>
      <c r="O4" s="31">
        <v>0</v>
      </c>
      <c r="P4" s="31">
        <v>1</v>
      </c>
    </row>
    <row r="5" spans="1:17" x14ac:dyDescent="0.4">
      <c r="A5" s="33">
        <v>2</v>
      </c>
      <c r="B5" s="30">
        <v>-75.5</v>
      </c>
      <c r="C5" s="30">
        <v>-37.75</v>
      </c>
      <c r="D5" s="35">
        <v>3</v>
      </c>
      <c r="E5" s="31">
        <v>0</v>
      </c>
      <c r="F5" s="31">
        <v>1</v>
      </c>
      <c r="G5" s="31">
        <v>0.2</v>
      </c>
      <c r="H5" s="31">
        <v>0.45</v>
      </c>
      <c r="I5" s="32">
        <v>7050</v>
      </c>
      <c r="J5" s="32">
        <v>-6088.8888888888887</v>
      </c>
      <c r="K5" s="31">
        <v>0</v>
      </c>
      <c r="L5" s="31">
        <v>0.25</v>
      </c>
      <c r="M5" s="31">
        <v>0.05</v>
      </c>
      <c r="N5" s="31">
        <v>0.4</v>
      </c>
      <c r="O5" s="31">
        <v>0</v>
      </c>
      <c r="P5" s="31">
        <v>1</v>
      </c>
    </row>
    <row r="6" spans="1:17" x14ac:dyDescent="0.4">
      <c r="A6" s="33">
        <v>3</v>
      </c>
      <c r="B6" s="30">
        <v>-90.3</v>
      </c>
      <c r="C6" s="30">
        <v>-30.099999999999998</v>
      </c>
      <c r="D6" s="35">
        <v>2.6666666666666665</v>
      </c>
      <c r="E6" s="31">
        <v>0</v>
      </c>
      <c r="F6" s="31">
        <v>0.66666666666666663</v>
      </c>
      <c r="G6" s="31">
        <v>0.23076923076923078</v>
      </c>
      <c r="H6" s="31">
        <v>0.34615384615384615</v>
      </c>
      <c r="I6" s="32">
        <v>7350</v>
      </c>
      <c r="J6" s="32">
        <v>-6088.8888888888887</v>
      </c>
      <c r="K6" s="31">
        <v>0</v>
      </c>
      <c r="L6" s="31">
        <v>0.30769230769230771</v>
      </c>
      <c r="M6" s="31">
        <v>3.8461538461538464E-2</v>
      </c>
      <c r="N6" s="31">
        <v>0.5</v>
      </c>
      <c r="O6" s="31">
        <v>0</v>
      </c>
      <c r="P6" s="31">
        <v>0.66666666666666663</v>
      </c>
    </row>
    <row r="7" spans="1:17" x14ac:dyDescent="0.4">
      <c r="A7" s="33">
        <v>4</v>
      </c>
      <c r="B7" s="30">
        <v>-83.899999999999991</v>
      </c>
      <c r="C7" s="30">
        <v>-20.974999999999998</v>
      </c>
      <c r="D7" s="35">
        <v>2.5</v>
      </c>
      <c r="E7" s="31">
        <v>0</v>
      </c>
      <c r="F7" s="31">
        <v>0.5</v>
      </c>
      <c r="G7" s="31">
        <v>0.23529411764705882</v>
      </c>
      <c r="H7" s="31">
        <v>0.3235294117647059</v>
      </c>
      <c r="I7" s="32">
        <v>9262.5</v>
      </c>
      <c r="J7" s="32">
        <v>-6763.636363636364</v>
      </c>
      <c r="K7" s="31">
        <v>0</v>
      </c>
      <c r="L7" s="31">
        <v>0.29411764705882354</v>
      </c>
      <c r="M7" s="31">
        <v>5.8823529411764705E-2</v>
      </c>
      <c r="N7" s="31">
        <v>0.5</v>
      </c>
      <c r="O7" s="31">
        <v>0.5</v>
      </c>
      <c r="P7" s="31">
        <v>0.625</v>
      </c>
    </row>
    <row r="8" spans="1:17" x14ac:dyDescent="0.4">
      <c r="A8" s="33">
        <v>5</v>
      </c>
      <c r="B8" s="30">
        <v>-57.899999999999991</v>
      </c>
      <c r="C8" s="30">
        <v>-11.579999999999998</v>
      </c>
      <c r="D8" s="35">
        <v>2.2000000000000002</v>
      </c>
      <c r="E8" s="31">
        <v>0.2</v>
      </c>
      <c r="F8" s="31">
        <v>0.4</v>
      </c>
      <c r="G8" s="31">
        <v>0.23809523809523808</v>
      </c>
      <c r="H8" s="31">
        <v>0.2857142857142857</v>
      </c>
      <c r="I8" s="32">
        <v>10010</v>
      </c>
      <c r="J8" s="32">
        <v>-6866.666666666667</v>
      </c>
      <c r="K8" s="31">
        <v>0</v>
      </c>
      <c r="L8" s="31">
        <v>0.2857142857142857</v>
      </c>
      <c r="M8" s="31">
        <v>4.7619047619047616E-2</v>
      </c>
      <c r="N8" s="31">
        <v>0.5</v>
      </c>
      <c r="O8" s="31">
        <v>0.5</v>
      </c>
      <c r="P8" s="31">
        <v>0.7</v>
      </c>
    </row>
    <row r="9" spans="1:17" x14ac:dyDescent="0.4">
      <c r="A9" s="33">
        <v>6</v>
      </c>
      <c r="B9" s="30">
        <v>-16.199999999999989</v>
      </c>
      <c r="C9" s="30">
        <v>-2.699999999999998</v>
      </c>
      <c r="D9" s="35">
        <v>2</v>
      </c>
      <c r="E9" s="31">
        <v>0.33333333333333331</v>
      </c>
      <c r="F9" s="31">
        <v>0.33333333333333331</v>
      </c>
      <c r="G9" s="31">
        <v>0.28260869565217389</v>
      </c>
      <c r="H9" s="31">
        <v>0.2608695652173913</v>
      </c>
      <c r="I9" s="32">
        <v>10138.461538461539</v>
      </c>
      <c r="J9" s="32">
        <v>-6866.666666666667</v>
      </c>
      <c r="K9" s="31">
        <v>0</v>
      </c>
      <c r="L9" s="31">
        <v>0.28260869565217389</v>
      </c>
      <c r="M9" s="31">
        <v>8.6956521739130432E-2</v>
      </c>
      <c r="N9" s="31">
        <v>0.53846153846153844</v>
      </c>
      <c r="O9" s="31">
        <v>0.75</v>
      </c>
      <c r="P9" s="31">
        <v>0.61538461538461542</v>
      </c>
    </row>
    <row r="10" spans="1:17" x14ac:dyDescent="0.4">
      <c r="A10" s="33">
        <v>7</v>
      </c>
      <c r="B10" s="30">
        <v>-26.899999999999988</v>
      </c>
      <c r="C10" s="30">
        <v>-3.8428571428571412</v>
      </c>
      <c r="D10" s="35">
        <v>2</v>
      </c>
      <c r="E10" s="31">
        <v>0.2857142857142857</v>
      </c>
      <c r="F10" s="31">
        <v>0.2857142857142857</v>
      </c>
      <c r="G10" s="31">
        <v>0.25925925925925924</v>
      </c>
      <c r="H10" s="31">
        <v>0.25925925925925924</v>
      </c>
      <c r="I10" s="32">
        <v>9985.7142857142862</v>
      </c>
      <c r="J10" s="32">
        <v>-6628.5714285714284</v>
      </c>
      <c r="K10" s="31">
        <v>0</v>
      </c>
      <c r="L10" s="31">
        <v>0.27777777777777779</v>
      </c>
      <c r="M10" s="31">
        <v>9.2592592592592587E-2</v>
      </c>
      <c r="N10" s="31">
        <v>0.53333333333333333</v>
      </c>
      <c r="O10" s="31">
        <v>0.6</v>
      </c>
      <c r="P10" s="31">
        <v>0.6428571428571429</v>
      </c>
    </row>
    <row r="11" spans="1:17" x14ac:dyDescent="0.4">
      <c r="A11" s="33">
        <v>8</v>
      </c>
      <c r="B11" s="30">
        <v>-59.899999999999991</v>
      </c>
      <c r="C11" s="30">
        <v>-7.4874999999999989</v>
      </c>
      <c r="D11" s="35">
        <v>2.125</v>
      </c>
      <c r="E11" s="31">
        <v>0.25</v>
      </c>
      <c r="F11" s="31">
        <v>0.375</v>
      </c>
      <c r="G11" s="31">
        <v>0.24193548387096775</v>
      </c>
      <c r="H11" s="31">
        <v>0.24193548387096775</v>
      </c>
      <c r="I11" s="32">
        <v>9493.3333333333339</v>
      </c>
      <c r="J11" s="32">
        <v>-6986.666666666667</v>
      </c>
      <c r="K11" s="31">
        <v>0</v>
      </c>
      <c r="L11" s="31">
        <v>0.29032258064516131</v>
      </c>
      <c r="M11" s="31">
        <v>9.6774193548387094E-2</v>
      </c>
      <c r="N11" s="31">
        <v>0.5</v>
      </c>
      <c r="O11" s="31">
        <v>0.5</v>
      </c>
      <c r="P11" s="31">
        <v>0.6</v>
      </c>
    </row>
    <row r="12" spans="1:17" x14ac:dyDescent="0.4">
      <c r="A12" s="33">
        <v>9</v>
      </c>
      <c r="B12" s="30">
        <v>-105.5</v>
      </c>
      <c r="C12" s="30">
        <v>-11.722222222222221</v>
      </c>
      <c r="D12" s="35">
        <v>2.2222222222222223</v>
      </c>
      <c r="E12" s="31">
        <v>0.22222222222222221</v>
      </c>
      <c r="F12" s="31">
        <v>0.44444444444444442</v>
      </c>
      <c r="G12" s="31">
        <v>0.21621621621621623</v>
      </c>
      <c r="H12" s="31">
        <v>0.22972972972972974</v>
      </c>
      <c r="I12" s="32">
        <v>9062.5</v>
      </c>
      <c r="J12" s="32">
        <v>-7317.6470588235297</v>
      </c>
      <c r="K12" s="31">
        <v>0.1111111111111111</v>
      </c>
      <c r="L12" s="31">
        <v>0.28378378378378377</v>
      </c>
      <c r="M12" s="31">
        <v>8.1081081081081086E-2</v>
      </c>
      <c r="N12" s="31">
        <v>0.47619047619047616</v>
      </c>
      <c r="O12" s="31">
        <v>0.5</v>
      </c>
      <c r="P12" s="31">
        <v>0.5625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42349-3DDE-49C1-A305-E827BED8E6B7}">
  <sheetPr codeName="Sheet8"/>
  <dimension ref="A1:Q7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-2.9</v>
      </c>
      <c r="C4" s="30">
        <v>-2.9</v>
      </c>
      <c r="D4" s="35">
        <v>2</v>
      </c>
      <c r="E4" s="31">
        <v>0</v>
      </c>
      <c r="F4" s="31">
        <v>0</v>
      </c>
      <c r="G4" s="31">
        <v>0.125</v>
      </c>
      <c r="H4" s="31">
        <v>0.125</v>
      </c>
      <c r="I4" s="32">
        <v>6400</v>
      </c>
      <c r="J4" s="32">
        <v>-2000</v>
      </c>
      <c r="K4" s="31">
        <v>0</v>
      </c>
      <c r="L4" s="31">
        <v>0.5</v>
      </c>
      <c r="M4" s="31">
        <v>0.25</v>
      </c>
      <c r="N4" s="31">
        <v>0.25</v>
      </c>
      <c r="O4" s="31">
        <v>0</v>
      </c>
      <c r="P4" s="31">
        <v>1</v>
      </c>
    </row>
    <row r="5" spans="1:17" x14ac:dyDescent="0.4">
      <c r="A5" s="33">
        <v>2</v>
      </c>
      <c r="B5" s="30">
        <v>32.9</v>
      </c>
      <c r="C5" s="30">
        <v>16.45</v>
      </c>
      <c r="D5" s="35">
        <v>1.5</v>
      </c>
      <c r="E5" s="31">
        <v>0.5</v>
      </c>
      <c r="F5" s="31">
        <v>0</v>
      </c>
      <c r="G5" s="31">
        <v>0.25</v>
      </c>
      <c r="H5" s="31">
        <v>0.05</v>
      </c>
      <c r="I5" s="32">
        <v>8400</v>
      </c>
      <c r="J5" s="32">
        <v>-2000</v>
      </c>
      <c r="K5" s="31">
        <v>0</v>
      </c>
      <c r="L5" s="31">
        <v>0.4</v>
      </c>
      <c r="M5" s="31">
        <v>0.2</v>
      </c>
      <c r="N5" s="31">
        <v>0.5</v>
      </c>
      <c r="O5" s="31">
        <v>0</v>
      </c>
      <c r="P5" s="31">
        <v>0.4</v>
      </c>
    </row>
    <row r="6" spans="1:17" x14ac:dyDescent="0.4">
      <c r="A6" s="33">
        <v>3</v>
      </c>
      <c r="B6" s="30">
        <v>61.5</v>
      </c>
      <c r="C6" s="30">
        <v>20.5</v>
      </c>
      <c r="D6" s="35">
        <v>1.3333333333333333</v>
      </c>
      <c r="E6" s="31">
        <v>0.66666666666666663</v>
      </c>
      <c r="F6" s="31">
        <v>0</v>
      </c>
      <c r="G6" s="31">
        <v>0.23076923076923078</v>
      </c>
      <c r="H6" s="31">
        <v>3.8461538461538464E-2</v>
      </c>
      <c r="I6" s="32">
        <v>10000</v>
      </c>
      <c r="J6" s="32">
        <v>-2000</v>
      </c>
      <c r="K6" s="31">
        <v>0</v>
      </c>
      <c r="L6" s="31">
        <v>0.34615384615384615</v>
      </c>
      <c r="M6" s="31">
        <v>0.26923076923076922</v>
      </c>
      <c r="N6" s="31">
        <v>0.55555555555555558</v>
      </c>
      <c r="O6" s="31">
        <v>0</v>
      </c>
      <c r="P6" s="31">
        <v>0.5</v>
      </c>
    </row>
    <row r="7" spans="1:17" x14ac:dyDescent="0.4">
      <c r="A7" s="33">
        <v>4</v>
      </c>
      <c r="B7" s="30">
        <v>27.4</v>
      </c>
      <c r="C7" s="30">
        <v>6.85</v>
      </c>
      <c r="D7" s="35">
        <v>1.75</v>
      </c>
      <c r="E7" s="31">
        <v>0.5</v>
      </c>
      <c r="F7" s="31">
        <v>0.25</v>
      </c>
      <c r="G7" s="31">
        <v>0.22580645161290322</v>
      </c>
      <c r="H7" s="31">
        <v>9.6774193548387094E-2</v>
      </c>
      <c r="I7" s="32">
        <v>9714.2857142857138</v>
      </c>
      <c r="J7" s="32">
        <v>-4533.333333333333</v>
      </c>
      <c r="K7" s="31">
        <v>0</v>
      </c>
      <c r="L7" s="31">
        <v>0.32258064516129031</v>
      </c>
      <c r="M7" s="31">
        <v>0.22580645161290322</v>
      </c>
      <c r="N7" s="31">
        <v>0.5</v>
      </c>
      <c r="O7" s="31">
        <v>0</v>
      </c>
      <c r="P7" s="31">
        <v>0.42857142857142855</v>
      </c>
    </row>
    <row r="8" spans="1:17" x14ac:dyDescent="0.4">
      <c r="A8" s="33">
        <v>5</v>
      </c>
      <c r="B8" s="30">
        <v>18</v>
      </c>
      <c r="C8" s="30">
        <v>3.6</v>
      </c>
      <c r="D8" s="35">
        <v>1.8</v>
      </c>
      <c r="E8" s="31">
        <v>0.4</v>
      </c>
      <c r="F8" s="31">
        <v>0.2</v>
      </c>
      <c r="G8" s="31">
        <v>0.22500000000000001</v>
      </c>
      <c r="H8" s="31">
        <v>0.17499999999999999</v>
      </c>
      <c r="I8" s="32">
        <v>11111.111111111111</v>
      </c>
      <c r="J8" s="32">
        <v>-6642.8571428571431</v>
      </c>
      <c r="K8" s="31">
        <v>0</v>
      </c>
      <c r="L8" s="31">
        <v>0.32500000000000001</v>
      </c>
      <c r="M8" s="31">
        <v>0.22500000000000001</v>
      </c>
      <c r="N8" s="31">
        <v>0.46153846153846156</v>
      </c>
      <c r="O8" s="31">
        <v>0.1111111111111111</v>
      </c>
      <c r="P8" s="31">
        <v>0.44444444444444442</v>
      </c>
    </row>
    <row r="9" spans="1:17" x14ac:dyDescent="0.4">
      <c r="A9" s="33">
        <v>6</v>
      </c>
      <c r="B9" s="30">
        <v>43.6</v>
      </c>
      <c r="C9" s="30">
        <v>7.2666666666666666</v>
      </c>
      <c r="D9" s="35">
        <v>1.6666666666666667</v>
      </c>
      <c r="E9" s="31">
        <v>0.5</v>
      </c>
      <c r="F9" s="31">
        <v>0.16666666666666666</v>
      </c>
      <c r="G9" s="31">
        <v>0.25490196078431371</v>
      </c>
      <c r="H9" s="31">
        <v>0.19607843137254902</v>
      </c>
      <c r="I9" s="32">
        <v>11515.384615384615</v>
      </c>
      <c r="J9" s="32">
        <v>-6520</v>
      </c>
      <c r="K9" s="31">
        <v>0</v>
      </c>
      <c r="L9" s="31">
        <v>0.33333333333333331</v>
      </c>
      <c r="M9" s="31">
        <v>0.23529411764705882</v>
      </c>
      <c r="N9" s="31">
        <v>0.47058823529411764</v>
      </c>
      <c r="O9" s="31">
        <v>0.25</v>
      </c>
      <c r="P9" s="31">
        <v>0.46153846153846156</v>
      </c>
    </row>
    <row r="10" spans="1:17" x14ac:dyDescent="0.4">
      <c r="A10" s="33">
        <v>7</v>
      </c>
      <c r="B10" s="30">
        <v>16.900000000000002</v>
      </c>
      <c r="C10" s="30">
        <v>2.4142857142857146</v>
      </c>
      <c r="D10" s="35">
        <v>1.8571428571428572</v>
      </c>
      <c r="E10" s="31">
        <v>0.42857142857142855</v>
      </c>
      <c r="F10" s="31">
        <v>0.2857142857142857</v>
      </c>
      <c r="G10" s="31">
        <v>0.25</v>
      </c>
      <c r="H10" s="31">
        <v>0.21666666666666667</v>
      </c>
      <c r="I10" s="32">
        <v>11006.666666666666</v>
      </c>
      <c r="J10" s="32">
        <v>-6800</v>
      </c>
      <c r="K10" s="31">
        <v>0</v>
      </c>
      <c r="L10" s="31">
        <v>0.3</v>
      </c>
      <c r="M10" s="31">
        <v>0.23333333333333334</v>
      </c>
      <c r="N10" s="31">
        <v>0.5</v>
      </c>
      <c r="O10" s="31">
        <v>0.2857142857142857</v>
      </c>
      <c r="P10" s="31">
        <v>0.4</v>
      </c>
    </row>
    <row r="11" spans="1:17" x14ac:dyDescent="0.4">
      <c r="A11" s="33">
        <v>8</v>
      </c>
      <c r="B11" s="30">
        <v>-9.9999999999999964</v>
      </c>
      <c r="C11" s="30">
        <v>-1.2499999999999996</v>
      </c>
      <c r="D11" s="35">
        <v>2</v>
      </c>
      <c r="E11" s="31">
        <v>0.375</v>
      </c>
      <c r="F11" s="31">
        <v>0.375</v>
      </c>
      <c r="G11" s="31">
        <v>0.23943661971830985</v>
      </c>
      <c r="H11" s="31">
        <v>0.28169014084507044</v>
      </c>
      <c r="I11" s="32">
        <v>11688.235294117647</v>
      </c>
      <c r="J11" s="32">
        <v>-6320</v>
      </c>
      <c r="K11" s="31">
        <v>0</v>
      </c>
      <c r="L11" s="31">
        <v>0.26760563380281688</v>
      </c>
      <c r="M11" s="31">
        <v>0.21126760563380281</v>
      </c>
      <c r="N11" s="31">
        <v>0.47368421052631576</v>
      </c>
      <c r="O11" s="31">
        <v>0.26666666666666666</v>
      </c>
      <c r="P11" s="31">
        <v>0.35294117647058826</v>
      </c>
    </row>
    <row r="12" spans="1:17" x14ac:dyDescent="0.4">
      <c r="A12" s="33">
        <v>9</v>
      </c>
      <c r="B12" s="30">
        <v>33.5</v>
      </c>
      <c r="C12" s="30">
        <v>3.7222222222222223</v>
      </c>
      <c r="D12" s="35">
        <v>1.8888888888888888</v>
      </c>
      <c r="E12" s="31">
        <v>0.44444444444444442</v>
      </c>
      <c r="F12" s="31">
        <v>0.33333333333333331</v>
      </c>
      <c r="G12" s="31">
        <v>0.25974025974025972</v>
      </c>
      <c r="H12" s="31">
        <v>0.25974025974025972</v>
      </c>
      <c r="I12" s="32">
        <v>12135</v>
      </c>
      <c r="J12" s="32">
        <v>-6320</v>
      </c>
      <c r="K12" s="31">
        <v>0</v>
      </c>
      <c r="L12" s="31">
        <v>0.31168831168831168</v>
      </c>
      <c r="M12" s="31">
        <v>0.19480519480519481</v>
      </c>
      <c r="N12" s="31">
        <v>0.5</v>
      </c>
      <c r="O12" s="31">
        <v>0.26666666666666666</v>
      </c>
      <c r="P12" s="31">
        <v>0.35</v>
      </c>
    </row>
    <row r="13" spans="1:17" x14ac:dyDescent="0.4">
      <c r="A13" s="33">
        <v>10</v>
      </c>
      <c r="B13" s="30">
        <v>26</v>
      </c>
      <c r="C13" s="30">
        <v>2.6</v>
      </c>
      <c r="D13" s="35">
        <v>1.9</v>
      </c>
      <c r="E13" s="31">
        <v>0.4</v>
      </c>
      <c r="F13" s="31">
        <v>0.3</v>
      </c>
      <c r="G13" s="31">
        <v>0.25301204819277107</v>
      </c>
      <c r="H13" s="31">
        <v>0.25301204819277107</v>
      </c>
      <c r="I13" s="32">
        <v>11923.809523809523</v>
      </c>
      <c r="J13" s="32">
        <v>-6266.666666666667</v>
      </c>
      <c r="K13" s="31">
        <v>0</v>
      </c>
      <c r="L13" s="31">
        <v>0.30120481927710846</v>
      </c>
      <c r="M13" s="31">
        <v>0.19277108433734941</v>
      </c>
      <c r="N13" s="31">
        <v>0.48</v>
      </c>
      <c r="O13" s="31">
        <v>0.3125</v>
      </c>
      <c r="P13" s="31">
        <v>0.33333333333333331</v>
      </c>
    </row>
    <row r="14" spans="1:17" x14ac:dyDescent="0.4">
      <c r="A14" s="33">
        <v>11</v>
      </c>
      <c r="B14" s="30">
        <v>-8.7000000000000028</v>
      </c>
      <c r="C14" s="30">
        <v>-0.79090909090909112</v>
      </c>
      <c r="D14" s="35">
        <v>2</v>
      </c>
      <c r="E14" s="31">
        <v>0.36363636363636365</v>
      </c>
      <c r="F14" s="31">
        <v>0.36363636363636365</v>
      </c>
      <c r="G14" s="31">
        <v>0.24719101123595505</v>
      </c>
      <c r="H14" s="31">
        <v>0.2696629213483146</v>
      </c>
      <c r="I14" s="32">
        <v>11731.818181818182</v>
      </c>
      <c r="J14" s="32">
        <v>-6479.166666666667</v>
      </c>
      <c r="K14" s="31">
        <v>0</v>
      </c>
      <c r="L14" s="31">
        <v>0.30337078651685395</v>
      </c>
      <c r="M14" s="31">
        <v>0.1797752808988764</v>
      </c>
      <c r="N14" s="31">
        <v>0.48148148148148145</v>
      </c>
      <c r="O14" s="31">
        <v>0.3125</v>
      </c>
      <c r="P14" s="31">
        <v>0.36363636363636365</v>
      </c>
    </row>
    <row r="15" spans="1:17" x14ac:dyDescent="0.4">
      <c r="A15" s="33">
        <v>12</v>
      </c>
      <c r="B15" s="30">
        <v>15.899999999999999</v>
      </c>
      <c r="C15" s="30">
        <v>1.325</v>
      </c>
      <c r="D15" s="35">
        <v>1.9166666666666667</v>
      </c>
      <c r="E15" s="31">
        <v>0.41666666666666669</v>
      </c>
      <c r="F15" s="31">
        <v>0.33333333333333331</v>
      </c>
      <c r="G15" s="31">
        <v>0.26804123711340205</v>
      </c>
      <c r="H15" s="31">
        <v>0.26804123711340205</v>
      </c>
      <c r="I15" s="32">
        <v>11434.615384615385</v>
      </c>
      <c r="J15" s="32">
        <v>-6426.9230769230771</v>
      </c>
      <c r="K15" s="31">
        <v>0</v>
      </c>
      <c r="L15" s="31">
        <v>0.30927835051546393</v>
      </c>
      <c r="M15" s="31">
        <v>0.18556701030927836</v>
      </c>
      <c r="N15" s="31">
        <v>0.5</v>
      </c>
      <c r="O15" s="31">
        <v>0.3888888888888889</v>
      </c>
      <c r="P15" s="31">
        <v>0.30769230769230771</v>
      </c>
    </row>
    <row r="16" spans="1:17" x14ac:dyDescent="0.4">
      <c r="A16" s="33">
        <v>13</v>
      </c>
      <c r="B16" s="30">
        <v>-33.5</v>
      </c>
      <c r="C16" s="30">
        <v>-2.5769230769230771</v>
      </c>
      <c r="D16" s="35">
        <v>2</v>
      </c>
      <c r="E16" s="31">
        <v>0.38461538461538464</v>
      </c>
      <c r="F16" s="31">
        <v>0.38461538461538464</v>
      </c>
      <c r="G16" s="31">
        <v>0.24528301886792453</v>
      </c>
      <c r="H16" s="31">
        <v>0.25471698113207547</v>
      </c>
      <c r="I16" s="32">
        <v>11434.615384615385</v>
      </c>
      <c r="J16" s="32">
        <v>-7077.7777777777774</v>
      </c>
      <c r="K16" s="31">
        <v>7.6923076923076927E-2</v>
      </c>
      <c r="L16" s="31">
        <v>0.29245283018867924</v>
      </c>
      <c r="M16" s="31">
        <v>0.19811320754716982</v>
      </c>
      <c r="N16" s="31">
        <v>0.4838709677419355</v>
      </c>
      <c r="O16" s="31">
        <v>0.33333333333333331</v>
      </c>
      <c r="P16" s="31">
        <v>0.30769230769230771</v>
      </c>
    </row>
    <row r="17" spans="1:16" x14ac:dyDescent="0.4">
      <c r="A17" s="33">
        <v>14</v>
      </c>
      <c r="B17" s="30">
        <v>15.100000000000001</v>
      </c>
      <c r="C17" s="30">
        <v>1.0785714285714287</v>
      </c>
      <c r="D17" s="35">
        <v>1.9285714285714286</v>
      </c>
      <c r="E17" s="31">
        <v>0.42857142857142855</v>
      </c>
      <c r="F17" s="31">
        <v>0.35714285714285715</v>
      </c>
      <c r="G17" s="31">
        <v>0.26126126126126126</v>
      </c>
      <c r="H17" s="31">
        <v>0.24324324324324326</v>
      </c>
      <c r="I17" s="32">
        <v>11479.310344827587</v>
      </c>
      <c r="J17" s="32">
        <v>-7077.7777777777774</v>
      </c>
      <c r="K17" s="31">
        <v>7.1428571428571425E-2</v>
      </c>
      <c r="L17" s="31">
        <v>0.30630630630630629</v>
      </c>
      <c r="M17" s="31">
        <v>0.2072072072072072</v>
      </c>
      <c r="N17" s="31">
        <v>0.5</v>
      </c>
      <c r="O17" s="31">
        <v>0.34782608695652173</v>
      </c>
      <c r="P17" s="31">
        <v>0.34482758620689657</v>
      </c>
    </row>
    <row r="18" spans="1:16" x14ac:dyDescent="0.4">
      <c r="A18" s="33">
        <v>15</v>
      </c>
      <c r="B18" s="30">
        <v>-33.1</v>
      </c>
      <c r="C18" s="30">
        <v>-2.2066666666666666</v>
      </c>
      <c r="D18" s="35">
        <v>2</v>
      </c>
      <c r="E18" s="31">
        <v>0.4</v>
      </c>
      <c r="F18" s="31">
        <v>0.4</v>
      </c>
      <c r="G18" s="31">
        <v>0.25</v>
      </c>
      <c r="H18" s="31">
        <v>0.25</v>
      </c>
      <c r="I18" s="32">
        <v>11479.310344827587</v>
      </c>
      <c r="J18" s="32">
        <v>-7268.9655172413795</v>
      </c>
      <c r="K18" s="31">
        <v>0.13333333333333333</v>
      </c>
      <c r="L18" s="31">
        <v>0.31034482758620691</v>
      </c>
      <c r="M18" s="31">
        <v>0.21551724137931033</v>
      </c>
      <c r="N18" s="31">
        <v>0.47222222222222221</v>
      </c>
      <c r="O18" s="31">
        <v>0.32</v>
      </c>
      <c r="P18" s="31">
        <v>0.34482758620689657</v>
      </c>
    </row>
    <row r="19" spans="1:16" x14ac:dyDescent="0.4">
      <c r="A19" s="33">
        <v>16</v>
      </c>
      <c r="B19" s="30">
        <v>-10.8</v>
      </c>
      <c r="C19" s="30">
        <v>-0.67500000000000004</v>
      </c>
      <c r="D19" s="35">
        <v>1.9375</v>
      </c>
      <c r="E19" s="31">
        <v>0.4375</v>
      </c>
      <c r="F19" s="31">
        <v>0.375</v>
      </c>
      <c r="G19" s="31">
        <v>0.25203252032520324</v>
      </c>
      <c r="H19" s="31">
        <v>0.23577235772357724</v>
      </c>
      <c r="I19" s="32">
        <v>11374.193548387097</v>
      </c>
      <c r="J19" s="32">
        <v>-7268.9655172413795</v>
      </c>
      <c r="K19" s="31">
        <v>0.125</v>
      </c>
      <c r="L19" s="31">
        <v>0.30894308943089432</v>
      </c>
      <c r="M19" s="31">
        <v>0.21138211382113822</v>
      </c>
      <c r="N19" s="31">
        <v>0.47368421052631576</v>
      </c>
      <c r="O19" s="31">
        <v>0.34615384615384615</v>
      </c>
      <c r="P19" s="31">
        <v>0.35483870967741937</v>
      </c>
    </row>
    <row r="20" spans="1:16" x14ac:dyDescent="0.4">
      <c r="A20" s="33">
        <v>17</v>
      </c>
      <c r="B20" s="30">
        <v>-32.900000000000006</v>
      </c>
      <c r="C20" s="30">
        <v>-1.9352941176470591</v>
      </c>
      <c r="D20" s="35">
        <v>2</v>
      </c>
      <c r="E20" s="31">
        <v>0.41176470588235292</v>
      </c>
      <c r="F20" s="31">
        <v>0.41176470588235292</v>
      </c>
      <c r="G20" s="31">
        <v>0.24242424242424243</v>
      </c>
      <c r="H20" s="31">
        <v>0.22727272727272727</v>
      </c>
      <c r="I20" s="32">
        <v>11268.75</v>
      </c>
      <c r="J20" s="32">
        <v>-7283.333333333333</v>
      </c>
      <c r="K20" s="31">
        <v>0.11764705882352941</v>
      </c>
      <c r="L20" s="31">
        <v>0.31060606060606061</v>
      </c>
      <c r="M20" s="31">
        <v>0.20454545454545456</v>
      </c>
      <c r="N20" s="31">
        <v>0.46341463414634149</v>
      </c>
      <c r="O20" s="31">
        <v>0.33333333333333331</v>
      </c>
      <c r="P20" s="31">
        <v>0.375</v>
      </c>
    </row>
    <row r="21" spans="1:16" x14ac:dyDescent="0.4">
      <c r="A21" s="33">
        <v>18</v>
      </c>
      <c r="B21" s="30">
        <v>-69.300000000000011</v>
      </c>
      <c r="C21" s="30">
        <v>-3.8500000000000005</v>
      </c>
      <c r="D21" s="35">
        <v>2.0555555555555554</v>
      </c>
      <c r="E21" s="31">
        <v>0.3888888888888889</v>
      </c>
      <c r="F21" s="31">
        <v>0.44444444444444442</v>
      </c>
      <c r="G21" s="31">
        <v>0.22448979591836735</v>
      </c>
      <c r="H21" s="31">
        <v>0.22448979591836735</v>
      </c>
      <c r="I21" s="32">
        <v>11169.69696969697</v>
      </c>
      <c r="J21" s="32">
        <v>-7075.757575757576</v>
      </c>
      <c r="K21" s="31">
        <v>0.1111111111111111</v>
      </c>
      <c r="L21" s="31">
        <v>0.32653061224489793</v>
      </c>
      <c r="M21" s="31">
        <v>0.19047619047619047</v>
      </c>
      <c r="N21" s="31">
        <v>0.41666666666666669</v>
      </c>
      <c r="O21" s="31">
        <v>0.32142857142857145</v>
      </c>
      <c r="P21" s="31">
        <v>0.36363636363636365</v>
      </c>
    </row>
    <row r="22" spans="1:16" x14ac:dyDescent="0.4">
      <c r="A22" s="33">
        <v>19</v>
      </c>
      <c r="B22" s="30">
        <v>-44.500000000000014</v>
      </c>
      <c r="C22" s="30">
        <v>-2.3421052631578956</v>
      </c>
      <c r="D22" s="35">
        <v>2</v>
      </c>
      <c r="E22" s="31">
        <v>0.42105263157894735</v>
      </c>
      <c r="F22" s="31">
        <v>0.42105263157894735</v>
      </c>
      <c r="G22" s="31">
        <v>0.22727272727272727</v>
      </c>
      <c r="H22" s="31">
        <v>0.22077922077922077</v>
      </c>
      <c r="I22" s="32">
        <v>11102.857142857143</v>
      </c>
      <c r="J22" s="32">
        <v>-7020.588235294118</v>
      </c>
      <c r="K22" s="31">
        <v>0.10526315789473684</v>
      </c>
      <c r="L22" s="31">
        <v>0.33766233766233766</v>
      </c>
      <c r="M22" s="31">
        <v>0.18831168831168832</v>
      </c>
      <c r="N22" s="31">
        <v>0.40384615384615385</v>
      </c>
      <c r="O22" s="31">
        <v>0.31034482758620691</v>
      </c>
      <c r="P22" s="31">
        <v>0.37142857142857144</v>
      </c>
    </row>
    <row r="23" spans="1:16" x14ac:dyDescent="0.4">
      <c r="A23" s="33">
        <v>20</v>
      </c>
      <c r="B23" s="30">
        <v>-72.000000000000014</v>
      </c>
      <c r="C23" s="30">
        <v>-3.6000000000000005</v>
      </c>
      <c r="D23" s="35">
        <v>2.0499999999999998</v>
      </c>
      <c r="E23" s="31">
        <v>0.4</v>
      </c>
      <c r="F23" s="31">
        <v>0.45</v>
      </c>
      <c r="G23" s="31">
        <v>0.21875</v>
      </c>
      <c r="H23" s="31">
        <v>0.22500000000000001</v>
      </c>
      <c r="I23" s="32">
        <v>11102.857142857143</v>
      </c>
      <c r="J23" s="32">
        <v>-6961.1111111111113</v>
      </c>
      <c r="K23" s="31">
        <v>0.1</v>
      </c>
      <c r="L23" s="31">
        <v>0.33750000000000002</v>
      </c>
      <c r="M23" s="31">
        <v>0.2</v>
      </c>
      <c r="N23" s="31">
        <v>0.3888888888888889</v>
      </c>
      <c r="O23" s="31">
        <v>0.28125</v>
      </c>
      <c r="P23" s="31">
        <v>0.37142857142857144</v>
      </c>
    </row>
    <row r="24" spans="1:16" x14ac:dyDescent="0.4">
      <c r="A24" s="33">
        <v>21</v>
      </c>
      <c r="B24" s="30">
        <v>-118.50000000000001</v>
      </c>
      <c r="C24" s="30">
        <v>-5.6428571428571432</v>
      </c>
      <c r="D24" s="35">
        <v>2.0952380952380953</v>
      </c>
      <c r="E24" s="31">
        <v>0.38095238095238093</v>
      </c>
      <c r="F24" s="31">
        <v>0.47619047619047616</v>
      </c>
      <c r="G24" s="31">
        <v>0.21341463414634146</v>
      </c>
      <c r="H24" s="31">
        <v>0.22560975609756098</v>
      </c>
      <c r="I24" s="32">
        <v>11102.857142857143</v>
      </c>
      <c r="J24" s="32">
        <v>-7097.2972972972975</v>
      </c>
      <c r="K24" s="31">
        <v>0.14285714285714285</v>
      </c>
      <c r="L24" s="31">
        <v>0.34146341463414637</v>
      </c>
      <c r="M24" s="31">
        <v>0.20121951219512196</v>
      </c>
      <c r="N24" s="31">
        <v>0.375</v>
      </c>
      <c r="O24" s="31">
        <v>0.27272727272727271</v>
      </c>
      <c r="P24" s="31">
        <v>0.37142857142857144</v>
      </c>
    </row>
    <row r="25" spans="1:16" x14ac:dyDescent="0.4">
      <c r="A25" s="33">
        <v>22</v>
      </c>
      <c r="B25" s="30">
        <v>-81.200000000000017</v>
      </c>
      <c r="C25" s="30">
        <v>-3.6909090909090918</v>
      </c>
      <c r="D25" s="35">
        <v>2.0454545454545454</v>
      </c>
      <c r="E25" s="31">
        <v>0.40909090909090912</v>
      </c>
      <c r="F25" s="31">
        <v>0.45454545454545453</v>
      </c>
      <c r="G25" s="31">
        <v>0.23463687150837989</v>
      </c>
      <c r="H25" s="31">
        <v>0.22905027932960895</v>
      </c>
      <c r="I25" s="32">
        <v>11002.380952380952</v>
      </c>
      <c r="J25" s="32">
        <v>-7146.3414634146338</v>
      </c>
      <c r="K25" s="31">
        <v>0.13636363636363635</v>
      </c>
      <c r="L25" s="31">
        <v>0.33519553072625696</v>
      </c>
      <c r="M25" s="31">
        <v>0.20670391061452514</v>
      </c>
      <c r="N25" s="31">
        <v>0.38333333333333336</v>
      </c>
      <c r="O25" s="31">
        <v>0.32432432432432434</v>
      </c>
      <c r="P25" s="31">
        <v>0.35714285714285715</v>
      </c>
    </row>
    <row r="26" spans="1:16" x14ac:dyDescent="0.4">
      <c r="A26" s="33">
        <v>23</v>
      </c>
      <c r="B26" s="30">
        <v>-79.90000000000002</v>
      </c>
      <c r="C26" s="30">
        <v>-3.4739130434782619</v>
      </c>
      <c r="D26" s="35">
        <v>2.0434782608695654</v>
      </c>
      <c r="E26" s="31">
        <v>0.39130434782608697</v>
      </c>
      <c r="F26" s="31">
        <v>0.43478260869565216</v>
      </c>
      <c r="G26" s="31">
        <v>0.24324324324324326</v>
      </c>
      <c r="H26" s="31">
        <v>0.22702702702702704</v>
      </c>
      <c r="I26" s="32">
        <v>10671.111111111111</v>
      </c>
      <c r="J26" s="32">
        <v>-7261.9047619047615</v>
      </c>
      <c r="K26" s="31">
        <v>0.13043478260869565</v>
      </c>
      <c r="L26" s="31">
        <v>0.33513513513513515</v>
      </c>
      <c r="M26" s="31">
        <v>0.2</v>
      </c>
      <c r="N26" s="31">
        <v>0.40322580645161288</v>
      </c>
      <c r="O26" s="31">
        <v>0.32432432432432434</v>
      </c>
      <c r="P26" s="31">
        <v>0.37777777777777777</v>
      </c>
    </row>
    <row r="27" spans="1:16" x14ac:dyDescent="0.4">
      <c r="A27" s="33">
        <v>24</v>
      </c>
      <c r="B27" s="30">
        <v>7.3999999999999773</v>
      </c>
      <c r="C27" s="30">
        <v>0.3083333333333324</v>
      </c>
      <c r="D27" s="35">
        <v>2</v>
      </c>
      <c r="E27" s="31">
        <v>0.41666666666666669</v>
      </c>
      <c r="F27" s="31">
        <v>0.41666666666666669</v>
      </c>
      <c r="G27" s="31">
        <v>0.25789473684210529</v>
      </c>
      <c r="H27" s="31">
        <v>0.22631578947368422</v>
      </c>
      <c r="I27" s="32">
        <v>11500</v>
      </c>
      <c r="J27" s="32">
        <v>-7279.0697674418607</v>
      </c>
      <c r="K27" s="31">
        <v>0.125</v>
      </c>
      <c r="L27" s="31">
        <v>0.33684210526315789</v>
      </c>
      <c r="M27" s="31">
        <v>0.19473684210526315</v>
      </c>
      <c r="N27" s="31">
        <v>0.421875</v>
      </c>
      <c r="O27" s="31">
        <v>0.32432432432432434</v>
      </c>
      <c r="P27" s="31">
        <v>0.36734693877551022</v>
      </c>
    </row>
    <row r="28" spans="1:16" x14ac:dyDescent="0.4">
      <c r="A28" s="33">
        <v>25</v>
      </c>
      <c r="B28" s="30">
        <v>-45.500000000000021</v>
      </c>
      <c r="C28" s="30">
        <v>-1.820000000000001</v>
      </c>
      <c r="D28" s="35">
        <v>2.04</v>
      </c>
      <c r="E28" s="31">
        <v>0.4</v>
      </c>
      <c r="F28" s="31">
        <v>0.44</v>
      </c>
      <c r="G28" s="31">
        <v>0.255</v>
      </c>
      <c r="H28" s="31">
        <v>0.23</v>
      </c>
      <c r="I28" s="32">
        <v>11164.705882352941</v>
      </c>
      <c r="J28" s="32">
        <v>-7717.391304347826</v>
      </c>
      <c r="K28" s="31">
        <v>0.16</v>
      </c>
      <c r="L28" s="31">
        <v>0.32500000000000001</v>
      </c>
      <c r="M28" s="31">
        <v>0.19500000000000001</v>
      </c>
      <c r="N28" s="31">
        <v>0.41538461538461541</v>
      </c>
      <c r="O28" s="31">
        <v>0.35897435897435898</v>
      </c>
      <c r="P28" s="31">
        <v>0.37254901960784315</v>
      </c>
    </row>
    <row r="29" spans="1:16" x14ac:dyDescent="0.4">
      <c r="A29" s="33">
        <v>26</v>
      </c>
      <c r="B29" s="30">
        <v>-118.20000000000002</v>
      </c>
      <c r="C29" s="30">
        <v>-4.5461538461538469</v>
      </c>
      <c r="D29" s="35">
        <v>2.0769230769230771</v>
      </c>
      <c r="E29" s="31">
        <v>0.38461538461538464</v>
      </c>
      <c r="F29" s="31">
        <v>0.46153846153846156</v>
      </c>
      <c r="G29" s="31">
        <v>0.24878048780487805</v>
      </c>
      <c r="H29" s="31">
        <v>0.22926829268292684</v>
      </c>
      <c r="I29" s="32">
        <v>11164.705882352941</v>
      </c>
      <c r="J29" s="32">
        <v>-8574.4680851063822</v>
      </c>
      <c r="K29" s="31">
        <v>0.19230769230769232</v>
      </c>
      <c r="L29" s="31">
        <v>0.31707317073170732</v>
      </c>
      <c r="M29" s="31">
        <v>0.1951219512195122</v>
      </c>
      <c r="N29" s="31">
        <v>0.41538461538461541</v>
      </c>
      <c r="O29" s="31">
        <v>0.35</v>
      </c>
      <c r="P29" s="31">
        <v>0.37254901960784315</v>
      </c>
    </row>
    <row r="30" spans="1:16" x14ac:dyDescent="0.4">
      <c r="A30" s="33">
        <v>27</v>
      </c>
      <c r="B30" s="30">
        <v>-164.8</v>
      </c>
      <c r="C30" s="30">
        <v>-6.1037037037037045</v>
      </c>
      <c r="D30" s="35">
        <v>2.1111111111111112</v>
      </c>
      <c r="E30" s="31">
        <v>0.37037037037037035</v>
      </c>
      <c r="F30" s="31">
        <v>0.48148148148148145</v>
      </c>
      <c r="G30" s="31">
        <v>0.24056603773584906</v>
      </c>
      <c r="H30" s="31">
        <v>0.22641509433962265</v>
      </c>
      <c r="I30" s="32">
        <v>11164.705882352941</v>
      </c>
      <c r="J30" s="32">
        <v>-8450</v>
      </c>
      <c r="K30" s="31">
        <v>0.22222222222222221</v>
      </c>
      <c r="L30" s="31">
        <v>0.31132075471698112</v>
      </c>
      <c r="M30" s="31">
        <v>0.20754716981132076</v>
      </c>
      <c r="N30" s="31">
        <v>0.40909090909090912</v>
      </c>
      <c r="O30" s="31">
        <v>0.31818181818181818</v>
      </c>
      <c r="P30" s="31">
        <v>0.37254901960784315</v>
      </c>
    </row>
    <row r="31" spans="1:16" x14ac:dyDescent="0.4">
      <c r="A31" s="33">
        <v>28</v>
      </c>
      <c r="B31" s="30">
        <v>-131.20000000000002</v>
      </c>
      <c r="C31" s="30">
        <v>-4.6857142857142859</v>
      </c>
      <c r="D31" s="35">
        <v>2.0714285714285716</v>
      </c>
      <c r="E31" s="31">
        <v>0.39285714285714285</v>
      </c>
      <c r="F31" s="31">
        <v>0.4642857142857143</v>
      </c>
      <c r="G31" s="31">
        <v>0.24657534246575341</v>
      </c>
      <c r="H31" s="31">
        <v>0.22374429223744291</v>
      </c>
      <c r="I31" s="32">
        <v>10968.518518518518</v>
      </c>
      <c r="J31" s="32">
        <v>-8297.9591836734689</v>
      </c>
      <c r="K31" s="31">
        <v>0.21428571428571427</v>
      </c>
      <c r="L31" s="31">
        <v>0.30593607305936071</v>
      </c>
      <c r="M31" s="31">
        <v>0.20547945205479451</v>
      </c>
      <c r="N31" s="31">
        <v>0.41791044776119401</v>
      </c>
      <c r="O31" s="31">
        <v>0.33333333333333331</v>
      </c>
      <c r="P31" s="31">
        <v>0.37037037037037035</v>
      </c>
    </row>
    <row r="32" spans="1:16" x14ac:dyDescent="0.4">
      <c r="A32" s="33">
        <v>29</v>
      </c>
      <c r="B32" s="30">
        <v>-89.600000000000023</v>
      </c>
      <c r="C32" s="30">
        <v>-3.0896551724137939</v>
      </c>
      <c r="D32" s="35">
        <v>2.0344827586206895</v>
      </c>
      <c r="E32" s="31">
        <v>0.41379310344827586</v>
      </c>
      <c r="F32" s="31">
        <v>0.44827586206896552</v>
      </c>
      <c r="G32" s="31">
        <v>0.25438596491228072</v>
      </c>
      <c r="H32" s="31">
        <v>0.22807017543859648</v>
      </c>
      <c r="I32" s="32">
        <v>11127.586206896553</v>
      </c>
      <c r="J32" s="32">
        <v>-8242.3076923076915</v>
      </c>
      <c r="K32" s="31">
        <v>0.20689655172413793</v>
      </c>
      <c r="L32" s="31">
        <v>0.30701754385964913</v>
      </c>
      <c r="M32" s="31">
        <v>0.20614035087719298</v>
      </c>
      <c r="N32" s="31">
        <v>0.41428571428571431</v>
      </c>
      <c r="O32" s="31">
        <v>0.36170212765957449</v>
      </c>
      <c r="P32" s="31">
        <v>0.36206896551724138</v>
      </c>
    </row>
    <row r="33" spans="1:16" x14ac:dyDescent="0.4">
      <c r="A33" s="33">
        <v>30</v>
      </c>
      <c r="B33" s="30">
        <v>1.3999999999999773</v>
      </c>
      <c r="C33" s="30">
        <v>4.6666666666665906E-2</v>
      </c>
      <c r="D33" s="35">
        <v>2</v>
      </c>
      <c r="E33" s="31">
        <v>0.43333333333333335</v>
      </c>
      <c r="F33" s="31">
        <v>0.43333333333333335</v>
      </c>
      <c r="G33" s="31">
        <v>0.27310924369747897</v>
      </c>
      <c r="H33" s="31">
        <v>0.21848739495798319</v>
      </c>
      <c r="I33" s="32">
        <v>11070.76923076923</v>
      </c>
      <c r="J33" s="32">
        <v>-8242.3076923076915</v>
      </c>
      <c r="K33" s="31">
        <v>0.2</v>
      </c>
      <c r="L33" s="31">
        <v>0.31092436974789917</v>
      </c>
      <c r="M33" s="31">
        <v>0.21848739495798319</v>
      </c>
      <c r="N33" s="31">
        <v>0.43243243243243246</v>
      </c>
      <c r="O33" s="31">
        <v>0.40384615384615385</v>
      </c>
      <c r="P33" s="31">
        <v>0.41538461538461541</v>
      </c>
    </row>
    <row r="34" spans="1:16" x14ac:dyDescent="0.4">
      <c r="A34" s="33">
        <v>31</v>
      </c>
      <c r="B34" s="30">
        <v>8.199999999999978</v>
      </c>
      <c r="C34" s="30">
        <v>0.26451612903225735</v>
      </c>
      <c r="D34" s="35">
        <v>2</v>
      </c>
      <c r="E34" s="31">
        <v>0.41935483870967744</v>
      </c>
      <c r="F34" s="31">
        <v>0.41935483870967744</v>
      </c>
      <c r="G34" s="31">
        <v>0.27419354838709675</v>
      </c>
      <c r="H34" s="31">
        <v>0.21774193548387097</v>
      </c>
      <c r="I34" s="32">
        <v>11077.941176470587</v>
      </c>
      <c r="J34" s="32">
        <v>-8175.9259259259261</v>
      </c>
      <c r="K34" s="31">
        <v>0.19354838709677419</v>
      </c>
      <c r="L34" s="31">
        <v>0.31451612903225806</v>
      </c>
      <c r="M34" s="31">
        <v>0.21774193548387097</v>
      </c>
      <c r="N34" s="31">
        <v>0.4358974358974359</v>
      </c>
      <c r="O34" s="31">
        <v>0.3888888888888889</v>
      </c>
      <c r="P34" s="31">
        <v>0.4264705882352941</v>
      </c>
    </row>
    <row r="35" spans="1:16" x14ac:dyDescent="0.4">
      <c r="A35" s="33">
        <v>32</v>
      </c>
      <c r="B35" s="30">
        <v>-18.600000000000023</v>
      </c>
      <c r="C35" s="30">
        <v>-0.58125000000000071</v>
      </c>
      <c r="D35" s="35">
        <v>2</v>
      </c>
      <c r="E35" s="31">
        <v>0.40625</v>
      </c>
      <c r="F35" s="31">
        <v>0.40625</v>
      </c>
      <c r="G35" s="31">
        <v>0.27027027027027029</v>
      </c>
      <c r="H35" s="31">
        <v>0.21235521235521235</v>
      </c>
      <c r="I35" s="32">
        <v>10834.285714285714</v>
      </c>
      <c r="J35" s="32">
        <v>-8172.727272727273</v>
      </c>
      <c r="K35" s="31">
        <v>0.1875</v>
      </c>
      <c r="L35" s="31">
        <v>0.30501930501930502</v>
      </c>
      <c r="M35" s="31">
        <v>0.22007722007722008</v>
      </c>
      <c r="N35" s="31">
        <v>0.43037974683544306</v>
      </c>
      <c r="O35" s="31">
        <v>0.40350877192982454</v>
      </c>
      <c r="P35" s="31">
        <v>0.44285714285714284</v>
      </c>
    </row>
    <row r="36" spans="1:16" x14ac:dyDescent="0.4">
      <c r="A36" s="33">
        <v>33</v>
      </c>
      <c r="B36" s="30">
        <v>-17.800000000000022</v>
      </c>
      <c r="C36" s="30">
        <v>-0.53939393939394009</v>
      </c>
      <c r="D36" s="35">
        <v>2</v>
      </c>
      <c r="E36" s="31">
        <v>0.39393939393939392</v>
      </c>
      <c r="F36" s="31">
        <v>0.39393939393939392</v>
      </c>
      <c r="G36" s="31">
        <v>0.27443609022556392</v>
      </c>
      <c r="H36" s="31">
        <v>0.21428571428571427</v>
      </c>
      <c r="I36" s="32">
        <v>10680.82191780822</v>
      </c>
      <c r="J36" s="32">
        <v>-8117.5438596491231</v>
      </c>
      <c r="K36" s="31">
        <v>0.18181818181818182</v>
      </c>
      <c r="L36" s="31">
        <v>0.30451127819548873</v>
      </c>
      <c r="M36" s="31">
        <v>0.21804511278195488</v>
      </c>
      <c r="N36" s="31">
        <v>0.44444444444444442</v>
      </c>
      <c r="O36" s="31">
        <v>0.39655172413793105</v>
      </c>
      <c r="P36" s="31">
        <v>0.42465753424657532</v>
      </c>
    </row>
    <row r="37" spans="1:16" x14ac:dyDescent="0.4">
      <c r="A37" s="33">
        <v>34</v>
      </c>
      <c r="B37" s="30">
        <v>-68.100000000000023</v>
      </c>
      <c r="C37" s="30">
        <v>-2.0029411764705891</v>
      </c>
      <c r="D37" s="35">
        <v>2.0294117647058822</v>
      </c>
      <c r="E37" s="31">
        <v>0.38235294117647056</v>
      </c>
      <c r="F37" s="31">
        <v>0.41176470588235292</v>
      </c>
      <c r="G37" s="31">
        <v>0.26838235294117646</v>
      </c>
      <c r="H37" s="31">
        <v>0.20955882352941177</v>
      </c>
      <c r="I37" s="32">
        <v>10680.82191780822</v>
      </c>
      <c r="J37" s="32">
        <v>-8117.5438596491231</v>
      </c>
      <c r="K37" s="31">
        <v>0.20588235294117646</v>
      </c>
      <c r="L37" s="31">
        <v>0.29779411764705882</v>
      </c>
      <c r="M37" s="31">
        <v>0.21323529411764705</v>
      </c>
      <c r="N37" s="31">
        <v>0.44444444444444442</v>
      </c>
      <c r="O37" s="31">
        <v>0.39655172413793105</v>
      </c>
      <c r="P37" s="31">
        <v>0.42465753424657532</v>
      </c>
    </row>
    <row r="38" spans="1:16" x14ac:dyDescent="0.4">
      <c r="A38" s="33">
        <v>35</v>
      </c>
      <c r="B38" s="30">
        <v>-29.40000000000002</v>
      </c>
      <c r="C38" s="30">
        <v>-0.84000000000000052</v>
      </c>
      <c r="D38" s="35">
        <v>2</v>
      </c>
      <c r="E38" s="31">
        <v>0.4</v>
      </c>
      <c r="F38" s="31">
        <v>0.4</v>
      </c>
      <c r="G38" s="31">
        <v>0.27436823104693142</v>
      </c>
      <c r="H38" s="31">
        <v>0.20577617328519857</v>
      </c>
      <c r="I38" s="32">
        <v>10676.315789473685</v>
      </c>
      <c r="J38" s="32">
        <v>-8117.5438596491231</v>
      </c>
      <c r="K38" s="31">
        <v>0.2</v>
      </c>
      <c r="L38" s="31">
        <v>0.29602888086642598</v>
      </c>
      <c r="M38" s="31">
        <v>0.21299638989169675</v>
      </c>
      <c r="N38" s="31">
        <v>0.45121951219512196</v>
      </c>
      <c r="O38" s="31">
        <v>0.40677966101694918</v>
      </c>
      <c r="P38" s="31">
        <v>0.43421052631578949</v>
      </c>
    </row>
    <row r="39" spans="1:16" x14ac:dyDescent="0.4">
      <c r="A39" s="33">
        <v>36</v>
      </c>
      <c r="B39" s="30">
        <v>-70.000000000000028</v>
      </c>
      <c r="C39" s="30">
        <v>-1.9444444444444453</v>
      </c>
      <c r="D39" s="35">
        <v>2.0277777777777777</v>
      </c>
      <c r="E39" s="31">
        <v>0.3888888888888889</v>
      </c>
      <c r="F39" s="31">
        <v>0.41666666666666669</v>
      </c>
      <c r="G39" s="31">
        <v>0.27017543859649124</v>
      </c>
      <c r="H39" s="31">
        <v>0.20701754385964913</v>
      </c>
      <c r="I39" s="32">
        <v>10564.935064935065</v>
      </c>
      <c r="J39" s="32">
        <v>-8293.2203389830502</v>
      </c>
      <c r="K39" s="31">
        <v>0.19444444444444445</v>
      </c>
      <c r="L39" s="31">
        <v>0.2982456140350877</v>
      </c>
      <c r="M39" s="31">
        <v>0.21754385964912282</v>
      </c>
      <c r="N39" s="31">
        <v>0.43529411764705883</v>
      </c>
      <c r="O39" s="31">
        <v>0.38709677419354838</v>
      </c>
      <c r="P39" s="31">
        <v>0.44155844155844154</v>
      </c>
    </row>
    <row r="40" spans="1:16" x14ac:dyDescent="0.4">
      <c r="A40" s="33">
        <v>37</v>
      </c>
      <c r="B40" s="30">
        <v>-124.40000000000003</v>
      </c>
      <c r="C40" s="30">
        <v>-3.3621621621621629</v>
      </c>
      <c r="D40" s="35">
        <v>2.0540540540540539</v>
      </c>
      <c r="E40" s="31">
        <v>0.3783783783783784</v>
      </c>
      <c r="F40" s="31">
        <v>0.43243243243243246</v>
      </c>
      <c r="G40" s="31">
        <v>0.26551724137931032</v>
      </c>
      <c r="H40" s="31">
        <v>0.2103448275862069</v>
      </c>
      <c r="I40" s="32">
        <v>10564.935064935065</v>
      </c>
      <c r="J40" s="32">
        <v>-8347.5409836065573</v>
      </c>
      <c r="K40" s="31">
        <v>0.21621621621621623</v>
      </c>
      <c r="L40" s="31">
        <v>0.29310344827586204</v>
      </c>
      <c r="M40" s="31">
        <v>0.21724137931034482</v>
      </c>
      <c r="N40" s="31">
        <v>0.43529411764705883</v>
      </c>
      <c r="O40" s="31">
        <v>0.38095238095238093</v>
      </c>
      <c r="P40" s="31">
        <v>0.44155844155844154</v>
      </c>
    </row>
    <row r="41" spans="1:16" x14ac:dyDescent="0.4">
      <c r="A41" s="33">
        <v>38</v>
      </c>
      <c r="B41" s="30">
        <v>-160.30000000000004</v>
      </c>
      <c r="C41" s="30">
        <v>-4.2184210526315802</v>
      </c>
      <c r="D41" s="35">
        <v>2.0789473684210527</v>
      </c>
      <c r="E41" s="31">
        <v>0.36842105263157893</v>
      </c>
      <c r="F41" s="31">
        <v>0.44736842105263158</v>
      </c>
      <c r="G41" s="31">
        <v>0.26351351351351349</v>
      </c>
      <c r="H41" s="31">
        <v>0.2195945945945946</v>
      </c>
      <c r="I41" s="32">
        <v>10479.48717948718</v>
      </c>
      <c r="J41" s="32">
        <v>-8253.8461538461543</v>
      </c>
      <c r="K41" s="31">
        <v>0.21052631578947367</v>
      </c>
      <c r="L41" s="31">
        <v>0.29054054054054052</v>
      </c>
      <c r="M41" s="31">
        <v>0.21621621621621623</v>
      </c>
      <c r="N41" s="31">
        <v>0.43023255813953487</v>
      </c>
      <c r="O41" s="31">
        <v>0.390625</v>
      </c>
      <c r="P41" s="31">
        <v>0.4358974358974359</v>
      </c>
    </row>
    <row r="42" spans="1:16" x14ac:dyDescent="0.4">
      <c r="A42" s="33">
        <v>39</v>
      </c>
      <c r="B42" s="30">
        <v>-154.80000000000004</v>
      </c>
      <c r="C42" s="30">
        <v>-3.9692307692307702</v>
      </c>
      <c r="D42" s="35">
        <v>2.0769230769230771</v>
      </c>
      <c r="E42" s="31">
        <v>0.35897435897435898</v>
      </c>
      <c r="F42" s="31">
        <v>0.4358974358974359</v>
      </c>
      <c r="G42" s="31">
        <v>0.26158940397350994</v>
      </c>
      <c r="H42" s="31">
        <v>0.21523178807947019</v>
      </c>
      <c r="I42" s="32">
        <v>10498.73417721519</v>
      </c>
      <c r="J42" s="32">
        <v>-8253.8461538461543</v>
      </c>
      <c r="K42" s="31">
        <v>0.20512820512820512</v>
      </c>
      <c r="L42" s="31">
        <v>0.29139072847682118</v>
      </c>
      <c r="M42" s="31">
        <v>0.21523178807947019</v>
      </c>
      <c r="N42" s="31">
        <v>0.42045454545454547</v>
      </c>
      <c r="O42" s="31">
        <v>0.4</v>
      </c>
      <c r="P42" s="31">
        <v>0.44303797468354428</v>
      </c>
    </row>
    <row r="43" spans="1:16" x14ac:dyDescent="0.4">
      <c r="A43" s="33">
        <v>40</v>
      </c>
      <c r="B43" s="30">
        <v>-180.70000000000005</v>
      </c>
      <c r="C43" s="30">
        <v>-4.517500000000001</v>
      </c>
      <c r="D43" s="35">
        <v>2.1</v>
      </c>
      <c r="E43" s="31">
        <v>0.35</v>
      </c>
      <c r="F43" s="31">
        <v>0.45</v>
      </c>
      <c r="G43" s="31">
        <v>0.26045016077170419</v>
      </c>
      <c r="H43" s="31">
        <v>0.21543408360128619</v>
      </c>
      <c r="I43" s="32">
        <v>10486.41975308642</v>
      </c>
      <c r="J43" s="32">
        <v>-8282.0895522388055</v>
      </c>
      <c r="K43" s="31">
        <v>0.2</v>
      </c>
      <c r="L43" s="31">
        <v>0.28295819935691319</v>
      </c>
      <c r="M43" s="31">
        <v>0.21864951768488747</v>
      </c>
      <c r="N43" s="31">
        <v>0.42045454545454547</v>
      </c>
      <c r="O43" s="31">
        <v>0.39705882352941174</v>
      </c>
      <c r="P43" s="31">
        <v>0.43209876543209874</v>
      </c>
    </row>
    <row r="44" spans="1:16" x14ac:dyDescent="0.4">
      <c r="A44" s="33">
        <v>41</v>
      </c>
      <c r="B44" s="30">
        <v>-148.20000000000005</v>
      </c>
      <c r="C44" s="30">
        <v>-3.6146341463414644</v>
      </c>
      <c r="D44" s="35">
        <v>2.0731707317073171</v>
      </c>
      <c r="E44" s="31">
        <v>0.36585365853658536</v>
      </c>
      <c r="F44" s="31">
        <v>0.43902439024390244</v>
      </c>
      <c r="G44" s="31">
        <v>0.26791277258566976</v>
      </c>
      <c r="H44" s="31">
        <v>0.21183800623052959</v>
      </c>
      <c r="I44" s="32">
        <v>10467.441860465116</v>
      </c>
      <c r="J44" s="32">
        <v>-8425</v>
      </c>
      <c r="K44" s="31">
        <v>0.1951219512195122</v>
      </c>
      <c r="L44" s="31">
        <v>0.29283489096573206</v>
      </c>
      <c r="M44" s="31">
        <v>0.21183800623052959</v>
      </c>
      <c r="N44" s="31">
        <v>0.42553191489361702</v>
      </c>
      <c r="O44" s="31">
        <v>0.39705882352941174</v>
      </c>
      <c r="P44" s="31">
        <v>0.40697674418604651</v>
      </c>
    </row>
    <row r="45" spans="1:16" x14ac:dyDescent="0.4">
      <c r="A45" s="33">
        <v>42</v>
      </c>
      <c r="B45" s="30">
        <v>-193.80000000000004</v>
      </c>
      <c r="C45" s="30">
        <v>-4.6142857142857157</v>
      </c>
      <c r="D45" s="35">
        <v>2.0952380952380953</v>
      </c>
      <c r="E45" s="31">
        <v>0.35714285714285715</v>
      </c>
      <c r="F45" s="31">
        <v>0.45238095238095238</v>
      </c>
      <c r="G45" s="31">
        <v>0.26769230769230767</v>
      </c>
      <c r="H45" s="31">
        <v>0.20923076923076922</v>
      </c>
      <c r="I45" s="32">
        <v>10435.632183908046</v>
      </c>
      <c r="J45" s="32">
        <v>-8425</v>
      </c>
      <c r="K45" s="31">
        <v>0.21428571428571427</v>
      </c>
      <c r="L45" s="31">
        <v>0.29846153846153844</v>
      </c>
      <c r="M45" s="31">
        <v>0.20923076923076922</v>
      </c>
      <c r="N45" s="31">
        <v>0.42268041237113402</v>
      </c>
      <c r="O45" s="31">
        <v>0.39705882352941174</v>
      </c>
      <c r="P45" s="31">
        <v>0.40229885057471265</v>
      </c>
    </row>
    <row r="46" spans="1:16" x14ac:dyDescent="0.4">
      <c r="A46" s="33">
        <v>43</v>
      </c>
      <c r="B46" s="30">
        <v>-202.10000000000005</v>
      </c>
      <c r="C46" s="30">
        <v>-4.7000000000000011</v>
      </c>
      <c r="D46" s="35">
        <v>2.0930232558139537</v>
      </c>
      <c r="E46" s="31">
        <v>0.34883720930232559</v>
      </c>
      <c r="F46" s="31">
        <v>0.44186046511627908</v>
      </c>
      <c r="G46" s="31">
        <v>0.26112759643916916</v>
      </c>
      <c r="H46" s="31">
        <v>0.20474777448071216</v>
      </c>
      <c r="I46" s="32">
        <v>10453.40909090909</v>
      </c>
      <c r="J46" s="32">
        <v>-8340.579710144928</v>
      </c>
      <c r="K46" s="31">
        <v>0.20930232558139536</v>
      </c>
      <c r="L46" s="31">
        <v>0.28783382789317508</v>
      </c>
      <c r="M46" s="31">
        <v>0.20474777448071216</v>
      </c>
      <c r="N46" s="31">
        <v>0.42268041237113402</v>
      </c>
      <c r="O46" s="31">
        <v>0.39130434782608697</v>
      </c>
      <c r="P46" s="31">
        <v>0.39772727272727271</v>
      </c>
    </row>
    <row r="47" spans="1:16" x14ac:dyDescent="0.4">
      <c r="A47" s="33">
        <v>44</v>
      </c>
      <c r="B47" s="30">
        <v>-184.20000000000005</v>
      </c>
      <c r="C47" s="30">
        <v>-4.1863636363636374</v>
      </c>
      <c r="D47" s="35">
        <v>2.0681818181818183</v>
      </c>
      <c r="E47" s="31">
        <v>0.36363636363636365</v>
      </c>
      <c r="F47" s="31">
        <v>0.43181818181818182</v>
      </c>
      <c r="G47" s="31">
        <v>0.26011560693641617</v>
      </c>
      <c r="H47" s="31">
        <v>0.20520231213872833</v>
      </c>
      <c r="I47" s="32">
        <v>10621.111111111111</v>
      </c>
      <c r="J47" s="32">
        <v>-8311.2676056338023</v>
      </c>
      <c r="K47" s="31">
        <v>0.20454545454545456</v>
      </c>
      <c r="L47" s="31">
        <v>0.28901734104046245</v>
      </c>
      <c r="M47" s="31">
        <v>0.20231213872832371</v>
      </c>
      <c r="N47" s="31">
        <v>0.43</v>
      </c>
      <c r="O47" s="31">
        <v>0.38571428571428573</v>
      </c>
      <c r="P47" s="31">
        <v>0.4</v>
      </c>
    </row>
    <row r="48" spans="1:16" x14ac:dyDescent="0.4">
      <c r="A48" s="33">
        <v>45</v>
      </c>
      <c r="B48" s="30">
        <v>-214.00000000000006</v>
      </c>
      <c r="C48" s="30">
        <v>-4.7555555555555564</v>
      </c>
      <c r="D48" s="35">
        <v>2.088888888888889</v>
      </c>
      <c r="E48" s="31">
        <v>0.35555555555555557</v>
      </c>
      <c r="F48" s="31">
        <v>0.44444444444444442</v>
      </c>
      <c r="G48" s="31">
        <v>0.25770308123249297</v>
      </c>
      <c r="H48" s="31">
        <v>0.20168067226890757</v>
      </c>
      <c r="I48" s="32">
        <v>10435.869565217392</v>
      </c>
      <c r="J48" s="32">
        <v>-8362.5</v>
      </c>
      <c r="K48" s="31">
        <v>0.2</v>
      </c>
      <c r="L48" s="31">
        <v>0.28851540616246496</v>
      </c>
      <c r="M48" s="31">
        <v>0.20728291316526612</v>
      </c>
      <c r="N48" s="31">
        <v>0.41747572815533979</v>
      </c>
      <c r="O48" s="31">
        <v>0.39189189189189189</v>
      </c>
      <c r="P48" s="31">
        <v>0.41304347826086957</v>
      </c>
    </row>
    <row r="49" spans="1:16" x14ac:dyDescent="0.4">
      <c r="A49" s="33">
        <v>46</v>
      </c>
      <c r="B49" s="30">
        <v>-200.50000000000006</v>
      </c>
      <c r="C49" s="30">
        <v>-4.358695652173914</v>
      </c>
      <c r="D49" s="35">
        <v>2.0869565217391304</v>
      </c>
      <c r="E49" s="31">
        <v>0.34782608695652173</v>
      </c>
      <c r="F49" s="31">
        <v>0.43478260869565216</v>
      </c>
      <c r="G49" s="31">
        <v>0.25824175824175827</v>
      </c>
      <c r="H49" s="31">
        <v>0.19780219780219779</v>
      </c>
      <c r="I49" s="32">
        <v>10532.978723404256</v>
      </c>
      <c r="J49" s="32">
        <v>-8362.5</v>
      </c>
      <c r="K49" s="31">
        <v>0.19565217391304349</v>
      </c>
      <c r="L49" s="31">
        <v>0.29120879120879123</v>
      </c>
      <c r="M49" s="31">
        <v>0.2087912087912088</v>
      </c>
      <c r="N49" s="31">
        <v>0.42452830188679247</v>
      </c>
      <c r="O49" s="31">
        <v>0.38157894736842107</v>
      </c>
      <c r="P49" s="31">
        <v>0.41489361702127658</v>
      </c>
    </row>
    <row r="50" spans="1:16" x14ac:dyDescent="0.4">
      <c r="A50" s="33">
        <v>47</v>
      </c>
      <c r="B50" s="30">
        <v>-157.00000000000006</v>
      </c>
      <c r="C50" s="30">
        <v>-3.340425531914895</v>
      </c>
      <c r="D50" s="35">
        <v>2.0638297872340425</v>
      </c>
      <c r="E50" s="31">
        <v>0.36170212765957449</v>
      </c>
      <c r="F50" s="31">
        <v>0.42553191489361702</v>
      </c>
      <c r="G50" s="31">
        <v>0.26861702127659576</v>
      </c>
      <c r="H50" s="31">
        <v>0.19414893617021275</v>
      </c>
      <c r="I50" s="32">
        <v>10270.29702970297</v>
      </c>
      <c r="J50" s="32">
        <v>-8353.4246575342459</v>
      </c>
      <c r="K50" s="31">
        <v>0.19148936170212766</v>
      </c>
      <c r="L50" s="31">
        <v>0.29521276595744683</v>
      </c>
      <c r="M50" s="31">
        <v>0.20212765957446807</v>
      </c>
      <c r="N50" s="31">
        <v>0.45045045045045046</v>
      </c>
      <c r="O50" s="31">
        <v>0.38157894736842107</v>
      </c>
      <c r="P50" s="31">
        <v>0.42574257425742573</v>
      </c>
    </row>
    <row r="51" spans="1:16" x14ac:dyDescent="0.4">
      <c r="A51" s="33">
        <v>48</v>
      </c>
      <c r="B51" s="30">
        <v>-87.900000000000063</v>
      </c>
      <c r="C51" s="30">
        <v>-1.8312500000000014</v>
      </c>
      <c r="D51" s="35">
        <v>2.0416666666666665</v>
      </c>
      <c r="E51" s="31">
        <v>0.375</v>
      </c>
      <c r="F51" s="31">
        <v>0.41666666666666669</v>
      </c>
      <c r="G51" s="31">
        <v>0.27648578811369506</v>
      </c>
      <c r="H51" s="31">
        <v>0.19121447028423771</v>
      </c>
      <c r="I51" s="32">
        <v>10267.289719626167</v>
      </c>
      <c r="J51" s="32">
        <v>-8344.594594594595</v>
      </c>
      <c r="K51" s="31">
        <v>0.1875</v>
      </c>
      <c r="L51" s="31">
        <v>0.29715762273901808</v>
      </c>
      <c r="M51" s="31">
        <v>0.20155038759689922</v>
      </c>
      <c r="N51" s="31">
        <v>0.46086956521739131</v>
      </c>
      <c r="O51" s="31">
        <v>0.38461538461538464</v>
      </c>
      <c r="P51" s="31">
        <v>0.43925233644859812</v>
      </c>
    </row>
    <row r="52" spans="1:16" x14ac:dyDescent="0.4">
      <c r="A52" s="33">
        <v>49</v>
      </c>
      <c r="B52" s="30">
        <v>-106.60000000000007</v>
      </c>
      <c r="C52" s="30">
        <v>-2.1755102040816339</v>
      </c>
      <c r="D52" s="35">
        <v>2.0612244897959182</v>
      </c>
      <c r="E52" s="31">
        <v>0.36734693877551022</v>
      </c>
      <c r="F52" s="31">
        <v>0.42857142857142855</v>
      </c>
      <c r="G52" s="31">
        <v>0.27088607594936709</v>
      </c>
      <c r="H52" s="31">
        <v>0.189873417721519</v>
      </c>
      <c r="I52" s="32">
        <v>10267.289719626167</v>
      </c>
      <c r="J52" s="32">
        <v>-8285.3333333333339</v>
      </c>
      <c r="K52" s="31">
        <v>0.18367346938775511</v>
      </c>
      <c r="L52" s="31">
        <v>0.29367088607594938</v>
      </c>
      <c r="M52" s="31">
        <v>0.19746835443037974</v>
      </c>
      <c r="N52" s="31">
        <v>0.45689655172413796</v>
      </c>
      <c r="O52" s="31">
        <v>0.38461538461538464</v>
      </c>
      <c r="P52" s="31">
        <v>0.43925233644859812</v>
      </c>
    </row>
    <row r="53" spans="1:16" x14ac:dyDescent="0.4">
      <c r="A53" s="33">
        <v>50</v>
      </c>
      <c r="B53" s="30">
        <v>-122.60000000000007</v>
      </c>
      <c r="C53" s="30">
        <v>-2.4520000000000013</v>
      </c>
      <c r="D53" s="35">
        <v>2.06</v>
      </c>
      <c r="E53" s="31">
        <v>0.36</v>
      </c>
      <c r="F53" s="31">
        <v>0.42</v>
      </c>
      <c r="G53" s="31">
        <v>0.26980198019801982</v>
      </c>
      <c r="H53" s="31">
        <v>0.18811881188118812</v>
      </c>
      <c r="I53" s="32">
        <v>10259.633027522936</v>
      </c>
      <c r="J53" s="32">
        <v>-8281.5789473684217</v>
      </c>
      <c r="K53" s="31">
        <v>0.18</v>
      </c>
      <c r="L53" s="31">
        <v>0.29207920792079206</v>
      </c>
      <c r="M53" s="31">
        <v>0.20049504950495051</v>
      </c>
      <c r="N53" s="31">
        <v>0.46610169491525422</v>
      </c>
      <c r="O53" s="31">
        <v>0.37037037037037035</v>
      </c>
      <c r="P53" s="31">
        <v>0.44954128440366975</v>
      </c>
    </row>
    <row r="54" spans="1:16" x14ac:dyDescent="0.4">
      <c r="A54" s="33">
        <v>51</v>
      </c>
      <c r="B54" s="30">
        <v>-114.20000000000006</v>
      </c>
      <c r="C54" s="30">
        <v>-2.2392156862745112</v>
      </c>
      <c r="D54" s="35">
        <v>2.0588235294117645</v>
      </c>
      <c r="E54" s="31">
        <v>0.35294117647058826</v>
      </c>
      <c r="F54" s="31">
        <v>0.41176470588235292</v>
      </c>
      <c r="G54" s="31">
        <v>0.27250608272506083</v>
      </c>
      <c r="H54" s="31">
        <v>0.18734793187347931</v>
      </c>
      <c r="I54" s="32">
        <v>10232.142857142857</v>
      </c>
      <c r="J54" s="32">
        <v>-8277.9220779220777</v>
      </c>
      <c r="K54" s="31">
        <v>0.17647058823529413</v>
      </c>
      <c r="L54" s="31">
        <v>0.29197080291970801</v>
      </c>
      <c r="M54" s="31">
        <v>0.19951338199513383</v>
      </c>
      <c r="N54" s="31">
        <v>0.46666666666666667</v>
      </c>
      <c r="O54" s="31">
        <v>0.36585365853658536</v>
      </c>
      <c r="P54" s="31">
        <v>0.44642857142857145</v>
      </c>
    </row>
    <row r="55" spans="1:16" x14ac:dyDescent="0.4">
      <c r="A55" s="33">
        <v>52</v>
      </c>
      <c r="B55" s="30">
        <v>-89.900000000000063</v>
      </c>
      <c r="C55" s="30">
        <v>-1.728846153846155</v>
      </c>
      <c r="D55" s="35">
        <v>2.0384615384615383</v>
      </c>
      <c r="E55" s="31">
        <v>0.36538461538461536</v>
      </c>
      <c r="F55" s="31">
        <v>0.40384615384615385</v>
      </c>
      <c r="G55" s="31">
        <v>0.27380952380952384</v>
      </c>
      <c r="H55" s="31">
        <v>0.18809523809523809</v>
      </c>
      <c r="I55" s="32">
        <v>10295.652173913044</v>
      </c>
      <c r="J55" s="32">
        <v>-8281.0126582278481</v>
      </c>
      <c r="K55" s="31">
        <v>0.17307692307692307</v>
      </c>
      <c r="L55" s="31">
        <v>0.29523809523809524</v>
      </c>
      <c r="M55" s="31">
        <v>0.19761904761904761</v>
      </c>
      <c r="N55" s="31">
        <v>0.47580645161290325</v>
      </c>
      <c r="O55" s="31">
        <v>0.36144578313253012</v>
      </c>
      <c r="P55" s="31">
        <v>0.45217391304347826</v>
      </c>
    </row>
    <row r="56" spans="1:16" x14ac:dyDescent="0.4">
      <c r="A56" s="33">
        <v>53</v>
      </c>
      <c r="B56" s="30">
        <v>-61.800000000000061</v>
      </c>
      <c r="C56" s="30">
        <v>-1.1660377358490577</v>
      </c>
      <c r="D56" s="35">
        <v>2.0188679245283021</v>
      </c>
      <c r="E56" s="31">
        <v>0.37735849056603776</v>
      </c>
      <c r="F56" s="31">
        <v>0.39622641509433965</v>
      </c>
      <c r="G56" s="31">
        <v>0.27570093457943923</v>
      </c>
      <c r="H56" s="31">
        <v>0.18457943925233644</v>
      </c>
      <c r="I56" s="32">
        <v>10262.71186440678</v>
      </c>
      <c r="J56" s="32">
        <v>-8281.0126582278481</v>
      </c>
      <c r="K56" s="31">
        <v>0.16981132075471697</v>
      </c>
      <c r="L56" s="31">
        <v>0.29906542056074764</v>
      </c>
      <c r="M56" s="31">
        <v>0.19626168224299065</v>
      </c>
      <c r="N56" s="31">
        <v>0.4765625</v>
      </c>
      <c r="O56" s="31">
        <v>0.36904761904761907</v>
      </c>
      <c r="P56" s="31">
        <v>0.44915254237288138</v>
      </c>
    </row>
    <row r="57" spans="1:16" x14ac:dyDescent="0.4">
      <c r="A57" s="33">
        <v>54</v>
      </c>
      <c r="B57" s="30">
        <v>-63.800000000000061</v>
      </c>
      <c r="C57" s="30">
        <v>-1.1814814814814827</v>
      </c>
      <c r="D57" s="35">
        <v>2.0185185185185186</v>
      </c>
      <c r="E57" s="31">
        <v>0.37037037037037035</v>
      </c>
      <c r="F57" s="31">
        <v>0.3888888888888889</v>
      </c>
      <c r="G57" s="31">
        <v>0.27419354838709675</v>
      </c>
      <c r="H57" s="31">
        <v>0.18202764976958524</v>
      </c>
      <c r="I57" s="32">
        <v>10310.9243697479</v>
      </c>
      <c r="J57" s="32">
        <v>-8281.0126582278481</v>
      </c>
      <c r="K57" s="31">
        <v>0.16666666666666666</v>
      </c>
      <c r="L57" s="31">
        <v>0.29723502304147464</v>
      </c>
      <c r="M57" s="31">
        <v>0.19354838709677419</v>
      </c>
      <c r="N57" s="31">
        <v>0.47286821705426357</v>
      </c>
      <c r="O57" s="31">
        <v>0.36904761904761907</v>
      </c>
      <c r="P57" s="31">
        <v>0.44537815126050423</v>
      </c>
    </row>
    <row r="58" spans="1:16" x14ac:dyDescent="0.4">
      <c r="A58" s="33">
        <v>55</v>
      </c>
      <c r="B58" s="30">
        <v>-114.10000000000005</v>
      </c>
      <c r="C58" s="30">
        <v>-2.0745454545454556</v>
      </c>
      <c r="D58" s="35">
        <v>2.0363636363636362</v>
      </c>
      <c r="E58" s="31">
        <v>0.36363636363636365</v>
      </c>
      <c r="F58" s="31">
        <v>0.4</v>
      </c>
      <c r="G58" s="31">
        <v>0.27149321266968324</v>
      </c>
      <c r="H58" s="31">
        <v>0.18778280542986425</v>
      </c>
      <c r="I58" s="32">
        <v>10291.666666666666</v>
      </c>
      <c r="J58" s="32">
        <v>-8259.0361445783128</v>
      </c>
      <c r="K58" s="31">
        <v>0.18181818181818182</v>
      </c>
      <c r="L58" s="31">
        <v>0.29638009049773756</v>
      </c>
      <c r="M58" s="31">
        <v>0.19683257918552036</v>
      </c>
      <c r="N58" s="31">
        <v>0.46564885496183206</v>
      </c>
      <c r="O58" s="31">
        <v>0.36781609195402298</v>
      </c>
      <c r="P58" s="31">
        <v>0.45</v>
      </c>
    </row>
    <row r="59" spans="1:16" x14ac:dyDescent="0.4">
      <c r="A59" s="33">
        <v>56</v>
      </c>
      <c r="B59" s="30">
        <v>-110.70000000000005</v>
      </c>
      <c r="C59" s="30">
        <v>-1.976785714285715</v>
      </c>
      <c r="D59" s="35">
        <v>2.0357142857142856</v>
      </c>
      <c r="E59" s="31">
        <v>0.35714285714285715</v>
      </c>
      <c r="F59" s="31">
        <v>0.39285714285714285</v>
      </c>
      <c r="G59" s="31">
        <v>0.2700892857142857</v>
      </c>
      <c r="H59" s="31">
        <v>0.18526785714285715</v>
      </c>
      <c r="I59" s="32">
        <v>10249.586776859504</v>
      </c>
      <c r="J59" s="32">
        <v>-8259.0361445783128</v>
      </c>
      <c r="K59" s="31">
        <v>0.17857142857142858</v>
      </c>
      <c r="L59" s="31">
        <v>0.296875</v>
      </c>
      <c r="M59" s="31">
        <v>0.19642857142857142</v>
      </c>
      <c r="N59" s="31">
        <v>0.46616541353383456</v>
      </c>
      <c r="O59" s="31">
        <v>0.36363636363636365</v>
      </c>
      <c r="P59" s="31">
        <v>0.4462809917355372</v>
      </c>
    </row>
    <row r="60" spans="1:16" x14ac:dyDescent="0.4">
      <c r="A60" s="33">
        <v>57</v>
      </c>
      <c r="B60" s="30">
        <v>-89.600000000000051</v>
      </c>
      <c r="C60" s="30">
        <v>-1.5719298245614044</v>
      </c>
      <c r="D60" s="35">
        <v>2.0175438596491229</v>
      </c>
      <c r="E60" s="31">
        <v>0.36842105263157893</v>
      </c>
      <c r="F60" s="31">
        <v>0.38596491228070173</v>
      </c>
      <c r="G60" s="31">
        <v>0.2725274725274725</v>
      </c>
      <c r="H60" s="31">
        <v>0.18681318681318682</v>
      </c>
      <c r="I60" s="32">
        <v>10227.41935483871</v>
      </c>
      <c r="J60" s="32">
        <v>-8189.411764705882</v>
      </c>
      <c r="K60" s="31">
        <v>0.17543859649122806</v>
      </c>
      <c r="L60" s="31">
        <v>0.29450549450549451</v>
      </c>
      <c r="M60" s="31">
        <v>0.2021978021978022</v>
      </c>
      <c r="N60" s="31">
        <v>0.47014925373134331</v>
      </c>
      <c r="O60" s="31">
        <v>0.35869565217391303</v>
      </c>
      <c r="P60" s="31">
        <v>0.44354838709677419</v>
      </c>
    </row>
    <row r="61" spans="1:16" x14ac:dyDescent="0.4">
      <c r="A61" s="33">
        <v>58</v>
      </c>
      <c r="B61" s="30">
        <v>-110.00000000000006</v>
      </c>
      <c r="C61" s="30">
        <v>-1.8965517241379319</v>
      </c>
      <c r="D61" s="35">
        <v>2.0344827586206895</v>
      </c>
      <c r="E61" s="31">
        <v>0.36206896551724138</v>
      </c>
      <c r="F61" s="31">
        <v>0.39655172413793105</v>
      </c>
      <c r="G61" s="31">
        <v>0.27114967462039047</v>
      </c>
      <c r="H61" s="31">
        <v>0.18655097613882862</v>
      </c>
      <c r="I61" s="32">
        <v>10196.799999999999</v>
      </c>
      <c r="J61" s="32">
        <v>-8154.6511627906975</v>
      </c>
      <c r="K61" s="31">
        <v>0.17241379310344829</v>
      </c>
      <c r="L61" s="31">
        <v>0.29284164859002171</v>
      </c>
      <c r="M61" s="31">
        <v>0.2017353579175705</v>
      </c>
      <c r="N61" s="31">
        <v>0.47407407407407409</v>
      </c>
      <c r="O61" s="31">
        <v>0.35483870967741937</v>
      </c>
      <c r="P61" s="31">
        <v>0.44800000000000001</v>
      </c>
    </row>
    <row r="62" spans="1:16" x14ac:dyDescent="0.4">
      <c r="A62" s="33">
        <v>59</v>
      </c>
      <c r="B62" s="30">
        <v>-105.20000000000006</v>
      </c>
      <c r="C62" s="30">
        <v>-1.7830508474576281</v>
      </c>
      <c r="D62" s="35">
        <v>2.0338983050847457</v>
      </c>
      <c r="E62" s="31">
        <v>0.3559322033898305</v>
      </c>
      <c r="F62" s="31">
        <v>0.38983050847457629</v>
      </c>
      <c r="G62" s="31">
        <v>0.26980728051391861</v>
      </c>
      <c r="H62" s="31">
        <v>0.18629550321199143</v>
      </c>
      <c r="I62" s="32">
        <v>10306.349206349207</v>
      </c>
      <c r="J62" s="32">
        <v>-8120.6896551724139</v>
      </c>
      <c r="K62" s="31">
        <v>0.16949152542372881</v>
      </c>
      <c r="L62" s="31">
        <v>0.2955032119914347</v>
      </c>
      <c r="M62" s="31">
        <v>0.2012847965738758</v>
      </c>
      <c r="N62" s="31">
        <v>0.46376811594202899</v>
      </c>
      <c r="O62" s="31">
        <v>0.35106382978723405</v>
      </c>
      <c r="P62" s="31">
        <v>0.45238095238095238</v>
      </c>
    </row>
    <row r="63" spans="1:16" x14ac:dyDescent="0.4">
      <c r="A63" s="33">
        <v>60</v>
      </c>
      <c r="B63" s="30">
        <v>-152.00000000000006</v>
      </c>
      <c r="C63" s="30">
        <v>-2.5333333333333341</v>
      </c>
      <c r="D63" s="35">
        <v>2.0499999999999998</v>
      </c>
      <c r="E63" s="31">
        <v>0.35</v>
      </c>
      <c r="F63" s="31">
        <v>0.4</v>
      </c>
      <c r="G63" s="31">
        <v>0.26638477801268501</v>
      </c>
      <c r="H63" s="31">
        <v>0.19027484143763213</v>
      </c>
      <c r="I63" s="32">
        <v>10306.349206349207</v>
      </c>
      <c r="J63" s="32">
        <v>-7973.333333333333</v>
      </c>
      <c r="K63" s="31">
        <v>0.18333333333333332</v>
      </c>
      <c r="L63" s="31">
        <v>0.29386892177589852</v>
      </c>
      <c r="M63" s="31">
        <v>0.20084566596194503</v>
      </c>
      <c r="N63" s="31">
        <v>0.46043165467625902</v>
      </c>
      <c r="O63" s="31">
        <v>0.3473684210526316</v>
      </c>
      <c r="P63" s="31">
        <v>0.45238095238095238</v>
      </c>
    </row>
    <row r="64" spans="1:16" x14ac:dyDescent="0.4">
      <c r="A64" s="33">
        <v>61</v>
      </c>
      <c r="B64" s="30">
        <v>-119.60000000000005</v>
      </c>
      <c r="C64" s="30">
        <v>-1.960655737704919</v>
      </c>
      <c r="D64" s="35">
        <v>2.0327868852459017</v>
      </c>
      <c r="E64" s="31">
        <v>0.36065573770491804</v>
      </c>
      <c r="F64" s="31">
        <v>0.39344262295081966</v>
      </c>
      <c r="G64" s="31">
        <v>0.26819126819126821</v>
      </c>
      <c r="H64" s="31">
        <v>0.18711018711018712</v>
      </c>
      <c r="I64" s="32">
        <v>10376.744186046511</v>
      </c>
      <c r="J64" s="32">
        <v>-7973.333333333333</v>
      </c>
      <c r="K64" s="31">
        <v>0.18032786885245902</v>
      </c>
      <c r="L64" s="31">
        <v>0.29729729729729731</v>
      </c>
      <c r="M64" s="31">
        <v>0.20166320166320167</v>
      </c>
      <c r="N64" s="31">
        <v>0.46153846153846156</v>
      </c>
      <c r="O64" s="31">
        <v>0.35051546391752575</v>
      </c>
      <c r="P64" s="31">
        <v>0.4573643410852713</v>
      </c>
    </row>
    <row r="65" spans="1:16" x14ac:dyDescent="0.4">
      <c r="A65" s="33">
        <v>62</v>
      </c>
      <c r="B65" s="30">
        <v>-112.60000000000005</v>
      </c>
      <c r="C65" s="30">
        <v>-1.8161290322580654</v>
      </c>
      <c r="D65" s="35">
        <v>2.032258064516129</v>
      </c>
      <c r="E65" s="31">
        <v>0.35483870967741937</v>
      </c>
      <c r="F65" s="31">
        <v>0.38709677419354838</v>
      </c>
      <c r="G65" s="31">
        <v>0.26789366053169733</v>
      </c>
      <c r="H65" s="31">
        <v>0.18609406952965235</v>
      </c>
      <c r="I65" s="32">
        <v>10399.236641221374</v>
      </c>
      <c r="J65" s="32">
        <v>-7920.8791208791208</v>
      </c>
      <c r="K65" s="31">
        <v>0.17741935483870969</v>
      </c>
      <c r="L65" s="31">
        <v>0.29856850715746419</v>
      </c>
      <c r="M65" s="31">
        <v>0.20245398773006135</v>
      </c>
      <c r="N65" s="31">
        <v>0.4589041095890411</v>
      </c>
      <c r="O65" s="31">
        <v>0.35353535353535354</v>
      </c>
      <c r="P65" s="31">
        <v>0.45038167938931295</v>
      </c>
    </row>
    <row r="66" spans="1:16" x14ac:dyDescent="0.4">
      <c r="A66" s="33">
        <v>63</v>
      </c>
      <c r="B66" s="30">
        <v>-64.900000000000048</v>
      </c>
      <c r="C66" s="30">
        <v>-1.0301587301587309</v>
      </c>
      <c r="D66" s="35">
        <v>2.0158730158730158</v>
      </c>
      <c r="E66" s="31">
        <v>0.36507936507936506</v>
      </c>
      <c r="F66" s="31">
        <v>0.38095238095238093</v>
      </c>
      <c r="G66" s="31">
        <v>0.26946107784431139</v>
      </c>
      <c r="H66" s="31">
        <v>0.18562874251497005</v>
      </c>
      <c r="I66" s="32">
        <v>10461.481481481482</v>
      </c>
      <c r="J66" s="32">
        <v>-7834.4086021505373</v>
      </c>
      <c r="K66" s="31">
        <v>0.17460317460317459</v>
      </c>
      <c r="L66" s="31">
        <v>0.30339321357285431</v>
      </c>
      <c r="M66" s="31">
        <v>0.19960079840319361</v>
      </c>
      <c r="N66" s="31">
        <v>0.46710526315789475</v>
      </c>
      <c r="O66" s="31">
        <v>0.35</v>
      </c>
      <c r="P66" s="31">
        <v>0.45185185185185184</v>
      </c>
    </row>
    <row r="67" spans="1:16" x14ac:dyDescent="0.4">
      <c r="A67" s="33">
        <v>64</v>
      </c>
      <c r="B67" s="30">
        <v>-63.700000000000045</v>
      </c>
      <c r="C67" s="30">
        <v>-0.99531250000000071</v>
      </c>
      <c r="D67" s="35">
        <v>2.015625</v>
      </c>
      <c r="E67" s="31">
        <v>0.359375</v>
      </c>
      <c r="F67" s="31">
        <v>0.375</v>
      </c>
      <c r="G67" s="31">
        <v>0.27111984282907664</v>
      </c>
      <c r="H67" s="31">
        <v>0.18467583497053044</v>
      </c>
      <c r="I67" s="32">
        <v>10376.811594202898</v>
      </c>
      <c r="J67" s="32">
        <v>-7772.3404255319147</v>
      </c>
      <c r="K67" s="31">
        <v>0.171875</v>
      </c>
      <c r="L67" s="31">
        <v>0.3005893909626719</v>
      </c>
      <c r="M67" s="31">
        <v>0.19646365422396855</v>
      </c>
      <c r="N67" s="31">
        <v>0.47058823529411764</v>
      </c>
      <c r="O67" s="31">
        <v>0.35</v>
      </c>
      <c r="P67" s="31">
        <v>0.44927536231884058</v>
      </c>
    </row>
    <row r="68" spans="1:16" x14ac:dyDescent="0.4">
      <c r="A68" s="33">
        <v>65</v>
      </c>
      <c r="B68" s="30">
        <v>-78.900000000000048</v>
      </c>
      <c r="C68" s="30">
        <v>-1.2138461538461547</v>
      </c>
      <c r="D68" s="35">
        <v>2.0307692307692307</v>
      </c>
      <c r="E68" s="31">
        <v>0.35384615384615387</v>
      </c>
      <c r="F68" s="31">
        <v>0.38461538461538464</v>
      </c>
      <c r="G68" s="31">
        <v>0.26974951830443161</v>
      </c>
      <c r="H68" s="31">
        <v>0.18689788053949905</v>
      </c>
      <c r="I68" s="32">
        <v>10369.285714285714</v>
      </c>
      <c r="J68" s="32">
        <v>-7651.5463917525776</v>
      </c>
      <c r="K68" s="31">
        <v>0.16923076923076924</v>
      </c>
      <c r="L68" s="31">
        <v>0.29672447013487474</v>
      </c>
      <c r="M68" s="31">
        <v>0.20231213872832371</v>
      </c>
      <c r="N68" s="31">
        <v>0.47402597402597402</v>
      </c>
      <c r="O68" s="31">
        <v>0.34285714285714286</v>
      </c>
      <c r="P68" s="31">
        <v>0.45</v>
      </c>
    </row>
    <row r="69" spans="1:16" x14ac:dyDescent="0.4">
      <c r="A69" s="33">
        <v>66</v>
      </c>
      <c r="B69" s="30">
        <v>-52.300000000000047</v>
      </c>
      <c r="C69" s="30">
        <v>-0.79242424242424314</v>
      </c>
      <c r="D69" s="35">
        <v>2.0151515151515151</v>
      </c>
      <c r="E69" s="31">
        <v>0.36363636363636365</v>
      </c>
      <c r="F69" s="31">
        <v>0.37878787878787878</v>
      </c>
      <c r="G69" s="31">
        <v>0.27134724857685011</v>
      </c>
      <c r="H69" s="31">
        <v>0.1859582542694497</v>
      </c>
      <c r="I69" s="32">
        <v>10347.552447552447</v>
      </c>
      <c r="J69" s="32">
        <v>-7613.2653061224491</v>
      </c>
      <c r="K69" s="31">
        <v>0.16666666666666666</v>
      </c>
      <c r="L69" s="31">
        <v>0.29981024667931688</v>
      </c>
      <c r="M69" s="31">
        <v>0.20113851992409867</v>
      </c>
      <c r="N69" s="31">
        <v>0.48101265822784811</v>
      </c>
      <c r="O69" s="31">
        <v>0.33962264150943394</v>
      </c>
      <c r="P69" s="31">
        <v>0.46153846153846156</v>
      </c>
    </row>
    <row r="70" spans="1:16" x14ac:dyDescent="0.4">
      <c r="A70" s="33">
        <v>67</v>
      </c>
      <c r="B70" s="30">
        <v>-69.200000000000045</v>
      </c>
      <c r="C70" s="30">
        <v>-1.0328358208955231</v>
      </c>
      <c r="D70" s="35">
        <v>2.0298507462686568</v>
      </c>
      <c r="E70" s="31">
        <v>0.35820895522388058</v>
      </c>
      <c r="F70" s="31">
        <v>0.38805970149253732</v>
      </c>
      <c r="G70" s="31">
        <v>0.27137546468401486</v>
      </c>
      <c r="H70" s="31">
        <v>0.18587360594795538</v>
      </c>
      <c r="I70" s="32">
        <v>10215.753424657534</v>
      </c>
      <c r="J70" s="32">
        <v>-7610</v>
      </c>
      <c r="K70" s="31">
        <v>0.16417910447761194</v>
      </c>
      <c r="L70" s="31">
        <v>0.2992565055762082</v>
      </c>
      <c r="M70" s="31">
        <v>0.20074349442379183</v>
      </c>
      <c r="N70" s="31">
        <v>0.47826086956521741</v>
      </c>
      <c r="O70" s="31">
        <v>0.33333333333333331</v>
      </c>
      <c r="P70" s="31">
        <v>0.4589041095890411</v>
      </c>
    </row>
    <row r="71" spans="1:16" x14ac:dyDescent="0.4">
      <c r="A71" s="33">
        <v>68</v>
      </c>
      <c r="B71" s="30">
        <v>-74.200000000000045</v>
      </c>
      <c r="C71" s="30">
        <v>-1.0911764705882359</v>
      </c>
      <c r="D71" s="35">
        <v>2.0294117647058822</v>
      </c>
      <c r="E71" s="31">
        <v>0.35294117647058826</v>
      </c>
      <c r="F71" s="31">
        <v>0.38235294117647056</v>
      </c>
      <c r="G71" s="31">
        <v>0.27037037037037037</v>
      </c>
      <c r="H71" s="31">
        <v>0.18518518518518517</v>
      </c>
      <c r="I71" s="32">
        <v>10215.753424657534</v>
      </c>
      <c r="J71" s="32">
        <v>-7610</v>
      </c>
      <c r="K71" s="31">
        <v>0.16176470588235295</v>
      </c>
      <c r="L71" s="31">
        <v>0.29814814814814816</v>
      </c>
      <c r="M71" s="31">
        <v>0.2</v>
      </c>
      <c r="N71" s="31">
        <v>0.47826086956521741</v>
      </c>
      <c r="O71" s="31">
        <v>0.33333333333333331</v>
      </c>
      <c r="P71" s="31">
        <v>0.4589041095890411</v>
      </c>
    </row>
    <row r="72" spans="1:16" x14ac:dyDescent="0.4">
      <c r="A72" s="33">
        <v>69</v>
      </c>
      <c r="B72" s="30">
        <v>-17.600000000000044</v>
      </c>
      <c r="C72" s="30">
        <v>-0.2550724637681166</v>
      </c>
      <c r="D72" s="35">
        <v>2.0144927536231885</v>
      </c>
      <c r="E72" s="31">
        <v>0.36231884057971014</v>
      </c>
      <c r="F72" s="31">
        <v>0.37681159420289856</v>
      </c>
      <c r="G72" s="31">
        <v>0.27173913043478259</v>
      </c>
      <c r="H72" s="31">
        <v>0.18115942028985507</v>
      </c>
      <c r="I72" s="32">
        <v>10237.333333333334</v>
      </c>
      <c r="J72" s="32">
        <v>-7610</v>
      </c>
      <c r="K72" s="31">
        <v>0.15942028985507245</v>
      </c>
      <c r="L72" s="31">
        <v>0.30072463768115942</v>
      </c>
      <c r="M72" s="31">
        <v>0.19927536231884058</v>
      </c>
      <c r="N72" s="31">
        <v>0.48192771084337349</v>
      </c>
      <c r="O72" s="31">
        <v>0.33636363636363636</v>
      </c>
      <c r="P72" s="31">
        <v>0.45333333333333331</v>
      </c>
    </row>
    <row r="73" spans="1:16" x14ac:dyDescent="0.4">
      <c r="A73" s="33">
        <v>70</v>
      </c>
      <c r="B73" s="30">
        <v>10.799999999999955</v>
      </c>
      <c r="C73" s="30">
        <v>0.15428571428571364</v>
      </c>
      <c r="D73" s="35">
        <v>2</v>
      </c>
      <c r="E73" s="31">
        <v>0.37142857142857144</v>
      </c>
      <c r="F73" s="31">
        <v>0.37142857142857144</v>
      </c>
      <c r="G73" s="31">
        <v>0.27272727272727271</v>
      </c>
      <c r="H73" s="31">
        <v>0.18003565062388591</v>
      </c>
      <c r="I73" s="32">
        <v>10244.444444444445</v>
      </c>
      <c r="J73" s="32">
        <v>-7573.2673267326736</v>
      </c>
      <c r="K73" s="31">
        <v>0.15714285714285714</v>
      </c>
      <c r="L73" s="31">
        <v>0.30303030303030304</v>
      </c>
      <c r="M73" s="31">
        <v>0.19607843137254902</v>
      </c>
      <c r="N73" s="31">
        <v>0.48823529411764705</v>
      </c>
      <c r="O73" s="31">
        <v>0.33636363636363636</v>
      </c>
      <c r="P73" s="31">
        <v>0.45751633986928103</v>
      </c>
    </row>
    <row r="74" spans="1:16" x14ac:dyDescent="0.4">
      <c r="A74" s="33">
        <v>71</v>
      </c>
      <c r="B74" s="30">
        <v>18.299999999999955</v>
      </c>
      <c r="C74" s="30">
        <v>0.25774647887323882</v>
      </c>
      <c r="D74" s="35">
        <v>2</v>
      </c>
      <c r="E74" s="31">
        <v>0.36619718309859156</v>
      </c>
      <c r="F74" s="31">
        <v>0.36619718309859156</v>
      </c>
      <c r="G74" s="31">
        <v>0.27416520210896311</v>
      </c>
      <c r="H74" s="31">
        <v>0.17926186291739896</v>
      </c>
      <c r="I74" s="32">
        <v>10199.358974358975</v>
      </c>
      <c r="J74" s="32">
        <v>-7550</v>
      </c>
      <c r="K74" s="31">
        <v>0.15492957746478872</v>
      </c>
      <c r="L74" s="31">
        <v>0.30228471001757468</v>
      </c>
      <c r="M74" s="31">
        <v>0.19683655536028119</v>
      </c>
      <c r="N74" s="31">
        <v>0.4941860465116279</v>
      </c>
      <c r="O74" s="31">
        <v>0.3392857142857143</v>
      </c>
      <c r="P74" s="31">
        <v>0.45512820512820512</v>
      </c>
    </row>
    <row r="75" spans="1:16" x14ac:dyDescent="0.4">
      <c r="A75" s="33">
        <v>72</v>
      </c>
      <c r="B75" s="30">
        <v>57.899999999999956</v>
      </c>
      <c r="C75" s="30">
        <v>0.80416666666666603</v>
      </c>
      <c r="D75" s="35">
        <v>1.9861111111111112</v>
      </c>
      <c r="E75" s="31">
        <v>0.375</v>
      </c>
      <c r="F75" s="31">
        <v>0.3611111111111111</v>
      </c>
      <c r="G75" s="31">
        <v>0.27633851468048359</v>
      </c>
      <c r="H75" s="31">
        <v>0.17616580310880828</v>
      </c>
      <c r="I75" s="32">
        <v>10216.875</v>
      </c>
      <c r="J75" s="32">
        <v>-7550</v>
      </c>
      <c r="K75" s="31">
        <v>0.15277777777777779</v>
      </c>
      <c r="L75" s="31">
        <v>0.307426597582038</v>
      </c>
      <c r="M75" s="31">
        <v>0.19343696027633853</v>
      </c>
      <c r="N75" s="31">
        <v>0.5</v>
      </c>
      <c r="O75" s="31">
        <v>0.3392857142857143</v>
      </c>
      <c r="P75" s="31">
        <v>0.45</v>
      </c>
    </row>
    <row r="76" spans="1:16" x14ac:dyDescent="0.4">
      <c r="A76" s="33">
        <v>73</v>
      </c>
      <c r="B76" s="30">
        <v>9.5999999999999588</v>
      </c>
      <c r="C76" s="30">
        <v>0.13150684931506793</v>
      </c>
      <c r="D76" s="35">
        <v>2</v>
      </c>
      <c r="E76" s="31">
        <v>0.36986301369863012</v>
      </c>
      <c r="F76" s="31">
        <v>0.36986301369863012</v>
      </c>
      <c r="G76" s="31">
        <v>0.27288135593220336</v>
      </c>
      <c r="H76" s="31">
        <v>0.17796610169491525</v>
      </c>
      <c r="I76" s="32">
        <v>10189.440993788819</v>
      </c>
      <c r="J76" s="32">
        <v>-7580</v>
      </c>
      <c r="K76" s="31">
        <v>0.16438356164383561</v>
      </c>
      <c r="L76" s="31">
        <v>0.30338983050847457</v>
      </c>
      <c r="M76" s="31">
        <v>0.19322033898305085</v>
      </c>
      <c r="N76" s="31">
        <v>0.4972067039106145</v>
      </c>
      <c r="O76" s="31">
        <v>0.34210526315789475</v>
      </c>
      <c r="P76" s="31">
        <v>0.44720496894409939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093A1-BADF-4A34-9B74-AD1548123570}">
  <sheetPr codeName="Sheet6"/>
  <dimension ref="A1:Q14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7.1054273576010019E-15</v>
      </c>
      <c r="C4" s="30">
        <v>2.3684757858670005E-15</v>
      </c>
      <c r="D4" s="35">
        <v>2</v>
      </c>
      <c r="E4" s="31">
        <v>0.33333333333333331</v>
      </c>
      <c r="F4" s="31">
        <v>0.33333333333333331</v>
      </c>
      <c r="G4" s="31">
        <v>0.29166666666666669</v>
      </c>
      <c r="H4" s="31">
        <v>0.16666666666666666</v>
      </c>
      <c r="I4" s="32">
        <v>5857.1428571428569</v>
      </c>
      <c r="J4" s="32">
        <v>-3625</v>
      </c>
      <c r="K4" s="31">
        <v>0</v>
      </c>
      <c r="L4" s="31">
        <v>0.29166666666666669</v>
      </c>
      <c r="M4" s="31">
        <v>0.20833333333333334</v>
      </c>
      <c r="N4" s="31">
        <v>0.2857142857142857</v>
      </c>
      <c r="O4" s="31">
        <v>0.6</v>
      </c>
      <c r="P4" s="31">
        <v>0.42857142857142855</v>
      </c>
    </row>
    <row r="5" spans="1:17" x14ac:dyDescent="0.4">
      <c r="A5" s="33">
        <v>2</v>
      </c>
      <c r="B5" s="30">
        <v>7.1054273576010019E-15</v>
      </c>
      <c r="C5" s="30">
        <v>1.1842378929335002E-15</v>
      </c>
      <c r="D5" s="35">
        <v>2</v>
      </c>
      <c r="E5" s="31">
        <v>0.33333333333333331</v>
      </c>
      <c r="F5" s="31">
        <v>0.33333333333333331</v>
      </c>
      <c r="G5" s="31">
        <v>0.30555555555555558</v>
      </c>
      <c r="H5" s="31">
        <v>0.16666666666666666</v>
      </c>
      <c r="I5" s="32">
        <v>11363.636363636364</v>
      </c>
      <c r="J5" s="32">
        <v>-7083.333333333333</v>
      </c>
      <c r="K5" s="31">
        <v>0.16666666666666666</v>
      </c>
      <c r="L5" s="31">
        <v>0.30555555555555558</v>
      </c>
      <c r="M5" s="31">
        <v>0.19444444444444445</v>
      </c>
      <c r="N5" s="31">
        <v>0.36363636363636365</v>
      </c>
      <c r="O5" s="31">
        <v>0.5714285714285714</v>
      </c>
      <c r="P5" s="31">
        <v>0.45454545454545453</v>
      </c>
    </row>
    <row r="6" spans="1:17" x14ac:dyDescent="0.4">
      <c r="A6" s="33">
        <v>3</v>
      </c>
      <c r="B6" s="30">
        <v>0</v>
      </c>
      <c r="C6" s="30">
        <v>0</v>
      </c>
      <c r="D6" s="35">
        <v>2</v>
      </c>
      <c r="E6" s="31">
        <v>0.33333333333333331</v>
      </c>
      <c r="F6" s="31">
        <v>0.33333333333333331</v>
      </c>
      <c r="G6" s="31">
        <v>0.3</v>
      </c>
      <c r="H6" s="31">
        <v>0.16666666666666666</v>
      </c>
      <c r="I6" s="32">
        <v>10111.111111111111</v>
      </c>
      <c r="J6" s="32">
        <v>-6130</v>
      </c>
      <c r="K6" s="31">
        <v>0.22222222222222221</v>
      </c>
      <c r="L6" s="31">
        <v>0.28333333333333333</v>
      </c>
      <c r="M6" s="31">
        <v>0.16666666666666666</v>
      </c>
      <c r="N6" s="31">
        <v>0.47058823529411764</v>
      </c>
      <c r="O6" s="31">
        <v>0.5</v>
      </c>
      <c r="P6" s="31">
        <v>0.44444444444444442</v>
      </c>
    </row>
    <row r="7" spans="1:17" x14ac:dyDescent="0.4">
      <c r="A7" s="33">
        <v>4</v>
      </c>
      <c r="B7" s="30">
        <v>1.3322676295501878E-15</v>
      </c>
      <c r="C7" s="30">
        <v>1.1102230246251565E-16</v>
      </c>
      <c r="D7" s="35">
        <v>2</v>
      </c>
      <c r="E7" s="31">
        <v>0.33333333333333331</v>
      </c>
      <c r="F7" s="31">
        <v>0.33333333333333331</v>
      </c>
      <c r="G7" s="31">
        <v>0.30769230769230771</v>
      </c>
      <c r="H7" s="31">
        <v>0.16666666666666666</v>
      </c>
      <c r="I7" s="32">
        <v>10300</v>
      </c>
      <c r="J7" s="32">
        <v>-8069.2307692307695</v>
      </c>
      <c r="K7" s="31">
        <v>0.25</v>
      </c>
      <c r="L7" s="31">
        <v>0.26923076923076922</v>
      </c>
      <c r="M7" s="31">
        <v>0.16666666666666666</v>
      </c>
      <c r="N7" s="31">
        <v>0.42857142857142855</v>
      </c>
      <c r="O7" s="31">
        <v>0.61538461538461542</v>
      </c>
      <c r="P7" s="31">
        <v>0.45833333333333331</v>
      </c>
    </row>
    <row r="8" spans="1:17" x14ac:dyDescent="0.4">
      <c r="A8" s="33">
        <v>5</v>
      </c>
      <c r="B8" s="30">
        <v>1.7763568394002505E-15</v>
      </c>
      <c r="C8" s="30">
        <v>1.1842378929335003E-16</v>
      </c>
      <c r="D8" s="35">
        <v>2</v>
      </c>
      <c r="E8" s="31">
        <v>0.33333333333333331</v>
      </c>
      <c r="F8" s="31">
        <v>0.33333333333333331</v>
      </c>
      <c r="G8" s="31">
        <v>0.30208333333333331</v>
      </c>
      <c r="H8" s="31">
        <v>0.15625</v>
      </c>
      <c r="I8" s="32">
        <v>9875.8620689655181</v>
      </c>
      <c r="J8" s="32">
        <v>-7740</v>
      </c>
      <c r="K8" s="31">
        <v>0.2</v>
      </c>
      <c r="L8" s="31">
        <v>0.26041666666666669</v>
      </c>
      <c r="M8" s="31">
        <v>0.15625</v>
      </c>
      <c r="N8" s="31">
        <v>0.48</v>
      </c>
      <c r="O8" s="31">
        <v>0.6</v>
      </c>
      <c r="P8" s="31">
        <v>0.48275862068965519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0.29545454545454547</v>
      </c>
      <c r="H9" s="31">
        <v>0.15909090909090909</v>
      </c>
      <c r="I9" s="32">
        <v>9405.1282051282051</v>
      </c>
      <c r="J9" s="32">
        <v>-7542.8571428571431</v>
      </c>
      <c r="K9" s="31">
        <v>0.16666666666666666</v>
      </c>
      <c r="L9" s="31">
        <v>0.25</v>
      </c>
      <c r="M9" s="31">
        <v>0.15909090909090909</v>
      </c>
      <c r="N9" s="31">
        <v>0.48484848484848486</v>
      </c>
      <c r="O9" s="31">
        <v>0.52380952380952384</v>
      </c>
      <c r="P9" s="31">
        <v>0.46153846153846156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0.29333333333333333</v>
      </c>
      <c r="H10" s="31">
        <v>0.14666666666666667</v>
      </c>
      <c r="I10" s="32">
        <v>9006.818181818182</v>
      </c>
      <c r="J10" s="32">
        <v>-7318.181818181818</v>
      </c>
      <c r="K10" s="31">
        <v>0.14285714285714285</v>
      </c>
      <c r="L10" s="31">
        <v>0.26</v>
      </c>
      <c r="M10" s="31">
        <v>0.16</v>
      </c>
      <c r="N10" s="31">
        <v>0.51282051282051277</v>
      </c>
      <c r="O10" s="31">
        <v>0.45833333333333331</v>
      </c>
      <c r="P10" s="31">
        <v>0.5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0.29696969696969699</v>
      </c>
      <c r="H11" s="31">
        <v>0.15151515151515152</v>
      </c>
      <c r="I11" s="32">
        <v>8895.9183673469379</v>
      </c>
      <c r="J11" s="32">
        <v>-7224</v>
      </c>
      <c r="K11" s="31">
        <v>0.125</v>
      </c>
      <c r="L11" s="31">
        <v>0.27878787878787881</v>
      </c>
      <c r="M11" s="31">
        <v>0.14545454545454545</v>
      </c>
      <c r="N11" s="31">
        <v>0.52173913043478259</v>
      </c>
      <c r="O11" s="31">
        <v>0.45833333333333331</v>
      </c>
      <c r="P11" s="31">
        <v>0.48979591836734693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0.29569892473118281</v>
      </c>
      <c r="H12" s="31">
        <v>0.16129032258064516</v>
      </c>
      <c r="I12" s="32">
        <v>8736.363636363636</v>
      </c>
      <c r="J12" s="32">
        <v>-7120</v>
      </c>
      <c r="K12" s="31">
        <v>0.1111111111111111</v>
      </c>
      <c r="L12" s="31">
        <v>0.28494623655913981</v>
      </c>
      <c r="M12" s="31">
        <v>0.12903225806451613</v>
      </c>
      <c r="N12" s="31">
        <v>0.50943396226415094</v>
      </c>
      <c r="O12" s="31">
        <v>0.45833333333333331</v>
      </c>
      <c r="P12" s="31">
        <v>0.45454545454545453</v>
      </c>
    </row>
    <row r="13" spans="1:17" x14ac:dyDescent="0.4">
      <c r="A13" s="33">
        <v>10</v>
      </c>
      <c r="B13" s="30">
        <v>-7.1054273576010019E-15</v>
      </c>
      <c r="C13" s="30">
        <v>-2.3684757858670006E-16</v>
      </c>
      <c r="D13" s="35">
        <v>2</v>
      </c>
      <c r="E13" s="31">
        <v>0.33333333333333331</v>
      </c>
      <c r="F13" s="31">
        <v>0.33333333333333331</v>
      </c>
      <c r="G13" s="31">
        <v>0.28985507246376813</v>
      </c>
      <c r="H13" s="31">
        <v>0.15942028985507245</v>
      </c>
      <c r="I13" s="32">
        <v>8556.6666666666661</v>
      </c>
      <c r="J13" s="32">
        <v>-7227.272727272727</v>
      </c>
      <c r="K13" s="31">
        <v>0.1</v>
      </c>
      <c r="L13" s="31">
        <v>0.29468599033816423</v>
      </c>
      <c r="M13" s="31">
        <v>0.13043478260869565</v>
      </c>
      <c r="N13" s="31">
        <v>0.50819672131147542</v>
      </c>
      <c r="O13" s="31">
        <v>0.44444444444444442</v>
      </c>
      <c r="P13" s="31">
        <v>0.45</v>
      </c>
    </row>
    <row r="14" spans="1:17" x14ac:dyDescent="0.4">
      <c r="A14" s="33">
        <v>11</v>
      </c>
      <c r="B14" s="30">
        <v>-7.1054273576010019E-15</v>
      </c>
      <c r="C14" s="30">
        <v>-2.153159805333637E-16</v>
      </c>
      <c r="D14" s="35">
        <v>2</v>
      </c>
      <c r="E14" s="31">
        <v>0.33333333333333331</v>
      </c>
      <c r="F14" s="31">
        <v>0.33333333333333331</v>
      </c>
      <c r="G14" s="31">
        <v>0.29059829059829062</v>
      </c>
      <c r="H14" s="31">
        <v>0.1623931623931624</v>
      </c>
      <c r="I14" s="32">
        <v>8769.1176470588234</v>
      </c>
      <c r="J14" s="32">
        <v>-7563.1578947368425</v>
      </c>
      <c r="K14" s="31">
        <v>9.0909090909090912E-2</v>
      </c>
      <c r="L14" s="31">
        <v>0.29059829059829062</v>
      </c>
      <c r="M14" s="31">
        <v>0.14529914529914531</v>
      </c>
      <c r="N14" s="31">
        <v>0.51470588235294112</v>
      </c>
      <c r="O14" s="31">
        <v>0.44117647058823528</v>
      </c>
      <c r="P14" s="31">
        <v>0.44117647058823528</v>
      </c>
    </row>
    <row r="15" spans="1:17" x14ac:dyDescent="0.4">
      <c r="A15" s="33">
        <v>12</v>
      </c>
      <c r="B15" s="30">
        <v>-3.5527136788005009E-15</v>
      </c>
      <c r="C15" s="30">
        <v>-9.8686491077791687E-17</v>
      </c>
      <c r="D15" s="35">
        <v>2</v>
      </c>
      <c r="E15" s="31">
        <v>0.33333333333333331</v>
      </c>
      <c r="F15" s="31">
        <v>0.33333333333333331</v>
      </c>
      <c r="G15" s="31">
        <v>0.29213483146067415</v>
      </c>
      <c r="H15" s="31">
        <v>0.16104868913857678</v>
      </c>
      <c r="I15" s="32">
        <v>8967.9487179487187</v>
      </c>
      <c r="J15" s="32">
        <v>-7576.7441860465115</v>
      </c>
      <c r="K15" s="31">
        <v>8.3333333333333329E-2</v>
      </c>
      <c r="L15" s="31">
        <v>0.28464419475655428</v>
      </c>
      <c r="M15" s="31">
        <v>0.16479400749063669</v>
      </c>
      <c r="N15" s="31">
        <v>0.51315789473684215</v>
      </c>
      <c r="O15" s="31">
        <v>0.45454545454545453</v>
      </c>
      <c r="P15" s="31">
        <v>0.44871794871794873</v>
      </c>
    </row>
    <row r="16" spans="1:17" x14ac:dyDescent="0.4">
      <c r="A16" s="33">
        <v>13</v>
      </c>
      <c r="B16" s="30">
        <v>-3.5527136788005009E-15</v>
      </c>
      <c r="C16" s="30">
        <v>-9.1095222533346175E-17</v>
      </c>
      <c r="D16" s="35">
        <v>2</v>
      </c>
      <c r="E16" s="31">
        <v>0.33333333333333331</v>
      </c>
      <c r="F16" s="31">
        <v>0.33333333333333331</v>
      </c>
      <c r="G16" s="31">
        <v>0.29251700680272108</v>
      </c>
      <c r="H16" s="31">
        <v>0.16326530612244897</v>
      </c>
      <c r="I16" s="32">
        <v>8793.0232558139542</v>
      </c>
      <c r="J16" s="32">
        <v>-7591.666666666667</v>
      </c>
      <c r="K16" s="31">
        <v>7.6923076923076927E-2</v>
      </c>
      <c r="L16" s="31">
        <v>0.28231292517006801</v>
      </c>
      <c r="M16" s="31">
        <v>0.16666666666666666</v>
      </c>
      <c r="N16" s="31">
        <v>0.51807228915662651</v>
      </c>
      <c r="O16" s="31">
        <v>0.44897959183673469</v>
      </c>
      <c r="P16" s="31">
        <v>0.44186046511627908</v>
      </c>
    </row>
    <row r="17" spans="1:16" x14ac:dyDescent="0.4">
      <c r="A17" s="33">
        <v>14</v>
      </c>
      <c r="B17" s="30">
        <v>-1.7763568394002505E-15</v>
      </c>
      <c r="C17" s="30">
        <v>-4.2294210461910723E-17</v>
      </c>
      <c r="D17" s="35">
        <v>2</v>
      </c>
      <c r="E17" s="31">
        <v>0.33333333333333331</v>
      </c>
      <c r="F17" s="31">
        <v>0.33333333333333331</v>
      </c>
      <c r="G17" s="31">
        <v>0.29357798165137616</v>
      </c>
      <c r="H17" s="31">
        <v>0.1743119266055046</v>
      </c>
      <c r="I17" s="32">
        <v>8747.9166666666661</v>
      </c>
      <c r="J17" s="32">
        <v>-7649.1228070175439</v>
      </c>
      <c r="K17" s="31">
        <v>7.1428571428571425E-2</v>
      </c>
      <c r="L17" s="31">
        <v>0.27522935779816515</v>
      </c>
      <c r="M17" s="31">
        <v>0.17125382262996941</v>
      </c>
      <c r="N17" s="31">
        <v>0.5</v>
      </c>
      <c r="O17" s="31">
        <v>0.4642857142857143</v>
      </c>
      <c r="P17" s="31">
        <v>0.40625</v>
      </c>
    </row>
    <row r="18" spans="1:16" x14ac:dyDescent="0.4">
      <c r="A18" s="33">
        <v>15</v>
      </c>
      <c r="B18" s="30">
        <v>0</v>
      </c>
      <c r="C18" s="30">
        <v>0</v>
      </c>
      <c r="D18" s="35">
        <v>2</v>
      </c>
      <c r="E18" s="31">
        <v>0.33333333333333331</v>
      </c>
      <c r="F18" s="31">
        <v>0.33333333333333331</v>
      </c>
      <c r="G18" s="31">
        <v>0.29022988505747127</v>
      </c>
      <c r="H18" s="31">
        <v>0.16954022988505746</v>
      </c>
      <c r="I18" s="32">
        <v>9017.8217821782182</v>
      </c>
      <c r="J18" s="32">
        <v>-7445.7627118644068</v>
      </c>
      <c r="K18" s="31">
        <v>8.8888888888888892E-2</v>
      </c>
      <c r="L18" s="31">
        <v>0.27298850574712646</v>
      </c>
      <c r="M18" s="31">
        <v>0.18390804597701149</v>
      </c>
      <c r="N18" s="31">
        <v>0.48421052631578948</v>
      </c>
      <c r="O18" s="31">
        <v>0.4375</v>
      </c>
      <c r="P18" s="31">
        <v>0.41584158415841582</v>
      </c>
    </row>
    <row r="19" spans="1:16" x14ac:dyDescent="0.4">
      <c r="A19" s="33">
        <v>16</v>
      </c>
      <c r="B19" s="30">
        <v>-3.5527136788005009E-15</v>
      </c>
      <c r="C19" s="30">
        <v>-7.4014868308343765E-17</v>
      </c>
      <c r="D19" s="35">
        <v>2</v>
      </c>
      <c r="E19" s="31">
        <v>0.33333333333333331</v>
      </c>
      <c r="F19" s="31">
        <v>0.33333333333333331</v>
      </c>
      <c r="G19" s="31">
        <v>0.29365079365079366</v>
      </c>
      <c r="H19" s="31">
        <v>0.17195767195767195</v>
      </c>
      <c r="I19" s="32">
        <v>8755.8558558558561</v>
      </c>
      <c r="J19" s="32">
        <v>-7395.3846153846152</v>
      </c>
      <c r="K19" s="31">
        <v>8.3333333333333329E-2</v>
      </c>
      <c r="L19" s="31">
        <v>0.26455026455026454</v>
      </c>
      <c r="M19" s="31">
        <v>0.1984126984126984</v>
      </c>
      <c r="N19" s="31">
        <v>0.49</v>
      </c>
      <c r="O19" s="31">
        <v>0.42666666666666669</v>
      </c>
      <c r="P19" s="31">
        <v>0.4144144144144144</v>
      </c>
    </row>
    <row r="20" spans="1:16" x14ac:dyDescent="0.4">
      <c r="A20" s="33">
        <v>17</v>
      </c>
      <c r="B20" s="30">
        <v>3.5527136788005009E-15</v>
      </c>
      <c r="C20" s="30">
        <v>6.9661052525500017E-17</v>
      </c>
      <c r="D20" s="35">
        <v>2</v>
      </c>
      <c r="E20" s="31">
        <v>0.33333333333333331</v>
      </c>
      <c r="F20" s="31">
        <v>0.33333333333333331</v>
      </c>
      <c r="G20" s="31">
        <v>0.29292929292929293</v>
      </c>
      <c r="H20" s="31">
        <v>0.1691919191919192</v>
      </c>
      <c r="I20" s="32">
        <v>8734.4827586206902</v>
      </c>
      <c r="J20" s="32">
        <v>-7313.4328358208959</v>
      </c>
      <c r="K20" s="31">
        <v>7.8431372549019607E-2</v>
      </c>
      <c r="L20" s="31">
        <v>0.27272727272727271</v>
      </c>
      <c r="M20" s="31">
        <v>0.19696969696969696</v>
      </c>
      <c r="N20" s="31">
        <v>0.5</v>
      </c>
      <c r="O20" s="31">
        <v>0.41025641025641024</v>
      </c>
      <c r="P20" s="31">
        <v>0.42241379310344829</v>
      </c>
    </row>
    <row r="21" spans="1:16" x14ac:dyDescent="0.4">
      <c r="A21" s="33">
        <v>18</v>
      </c>
      <c r="B21" s="30">
        <v>0</v>
      </c>
      <c r="C21" s="30">
        <v>0</v>
      </c>
      <c r="D21" s="35">
        <v>2</v>
      </c>
      <c r="E21" s="31">
        <v>0.33333333333333331</v>
      </c>
      <c r="F21" s="31">
        <v>0.33333333333333331</v>
      </c>
      <c r="G21" s="31">
        <v>0.29523809523809524</v>
      </c>
      <c r="H21" s="31">
        <v>0.1738095238095238</v>
      </c>
      <c r="I21" s="32">
        <v>8703.2258064516136</v>
      </c>
      <c r="J21" s="32">
        <v>-7178.0821917808216</v>
      </c>
      <c r="K21" s="31">
        <v>7.407407407407407E-2</v>
      </c>
      <c r="L21" s="31">
        <v>0.26904761904761904</v>
      </c>
      <c r="M21" s="31">
        <v>0.19523809523809524</v>
      </c>
      <c r="N21" s="31">
        <v>0.51327433628318586</v>
      </c>
      <c r="O21" s="31">
        <v>0.40243902439024393</v>
      </c>
      <c r="P21" s="31">
        <v>0.41129032258064518</v>
      </c>
    </row>
    <row r="22" spans="1:16" x14ac:dyDescent="0.4">
      <c r="A22" s="33">
        <v>19</v>
      </c>
      <c r="B22" s="30">
        <v>0</v>
      </c>
      <c r="C22" s="30">
        <v>0</v>
      </c>
      <c r="D22" s="35">
        <v>2</v>
      </c>
      <c r="E22" s="31">
        <v>0.33333333333333331</v>
      </c>
      <c r="F22" s="31">
        <v>0.33333333333333331</v>
      </c>
      <c r="G22" s="31">
        <v>0.29452054794520549</v>
      </c>
      <c r="H22" s="31">
        <v>0.17123287671232876</v>
      </c>
      <c r="I22" s="32">
        <v>8683.7209302325573</v>
      </c>
      <c r="J22" s="32">
        <v>-7249.333333333333</v>
      </c>
      <c r="K22" s="31">
        <v>7.0175438596491224E-2</v>
      </c>
      <c r="L22" s="31">
        <v>0.26484018264840181</v>
      </c>
      <c r="M22" s="31">
        <v>0.20319634703196346</v>
      </c>
      <c r="N22" s="31">
        <v>0.50862068965517238</v>
      </c>
      <c r="O22" s="31">
        <v>0.39325842696629215</v>
      </c>
      <c r="P22" s="31">
        <v>0.41860465116279072</v>
      </c>
    </row>
    <row r="23" spans="1:16" x14ac:dyDescent="0.4">
      <c r="A23" s="33">
        <v>20</v>
      </c>
      <c r="B23" s="30">
        <v>7.1054273576010019E-15</v>
      </c>
      <c r="C23" s="30">
        <v>1.1842378929335003E-16</v>
      </c>
      <c r="D23" s="35">
        <v>2</v>
      </c>
      <c r="E23" s="31">
        <v>0.33333333333333331</v>
      </c>
      <c r="F23" s="31">
        <v>0.33333333333333331</v>
      </c>
      <c r="G23" s="31">
        <v>0.28874734607218683</v>
      </c>
      <c r="H23" s="31">
        <v>0.16985138004246284</v>
      </c>
      <c r="I23" s="32">
        <v>8652.2058823529405</v>
      </c>
      <c r="J23" s="32">
        <v>-7306.25</v>
      </c>
      <c r="K23" s="31">
        <v>6.6666666666666666E-2</v>
      </c>
      <c r="L23" s="31">
        <v>0.25265392781316348</v>
      </c>
      <c r="M23" s="31">
        <v>0.20169851380042464</v>
      </c>
      <c r="N23" s="31">
        <v>0.50420168067226889</v>
      </c>
      <c r="O23" s="31">
        <v>0.37894736842105264</v>
      </c>
      <c r="P23" s="31">
        <v>0.41176470588235292</v>
      </c>
    </row>
    <row r="24" spans="1:16" x14ac:dyDescent="0.4">
      <c r="A24" s="33">
        <v>21</v>
      </c>
      <c r="B24" s="30">
        <v>4.4408920985006262E-15</v>
      </c>
      <c r="C24" s="30">
        <v>7.0490350769851205E-17</v>
      </c>
      <c r="D24" s="35">
        <v>2</v>
      </c>
      <c r="E24" s="31">
        <v>0.33333333333333331</v>
      </c>
      <c r="F24" s="31">
        <v>0.33333333333333331</v>
      </c>
      <c r="G24" s="31">
        <v>0.29038854805725972</v>
      </c>
      <c r="H24" s="31">
        <v>0.16768916155419222</v>
      </c>
      <c r="I24" s="32">
        <v>8718.3098591549297</v>
      </c>
      <c r="J24" s="32">
        <v>-7518.292682926829</v>
      </c>
      <c r="K24" s="31">
        <v>6.3492063492063489E-2</v>
      </c>
      <c r="L24" s="31">
        <v>0.26175869120654399</v>
      </c>
      <c r="M24" s="31">
        <v>0.19836400817995911</v>
      </c>
      <c r="N24" s="31">
        <v>0.5078125</v>
      </c>
      <c r="O24" s="31">
        <v>0.37113402061855671</v>
      </c>
      <c r="P24" s="31">
        <v>0.42253521126760563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0.28994082840236685</v>
      </c>
      <c r="H25" s="31">
        <v>0.16962524654832348</v>
      </c>
      <c r="I25" s="32">
        <v>8858.5034013605436</v>
      </c>
      <c r="J25" s="32">
        <v>-7543.0232558139533</v>
      </c>
      <c r="K25" s="31">
        <v>7.575757575757576E-2</v>
      </c>
      <c r="L25" s="31">
        <v>0.26429980276134124</v>
      </c>
      <c r="M25" s="31">
        <v>0.19723865877712032</v>
      </c>
      <c r="N25" s="31">
        <v>0.5149253731343284</v>
      </c>
      <c r="O25" s="31">
        <v>0.37</v>
      </c>
      <c r="P25" s="31">
        <v>0.41496598639455784</v>
      </c>
    </row>
    <row r="26" spans="1:16" x14ac:dyDescent="0.4">
      <c r="A26" s="33">
        <v>23</v>
      </c>
      <c r="B26" s="30">
        <v>0</v>
      </c>
      <c r="C26" s="30">
        <v>0</v>
      </c>
      <c r="D26" s="35">
        <v>2</v>
      </c>
      <c r="E26" s="31">
        <v>0.33333333333333331</v>
      </c>
      <c r="F26" s="31">
        <v>0.33333333333333331</v>
      </c>
      <c r="G26" s="31">
        <v>0.29142857142857143</v>
      </c>
      <c r="H26" s="31">
        <v>0.16952380952380952</v>
      </c>
      <c r="I26" s="32">
        <v>8909.1503267973858</v>
      </c>
      <c r="J26" s="32">
        <v>-7557.303370786517</v>
      </c>
      <c r="K26" s="31">
        <v>7.2463768115942032E-2</v>
      </c>
      <c r="L26" s="31">
        <v>0.26857142857142857</v>
      </c>
      <c r="M26" s="31">
        <v>0.19428571428571428</v>
      </c>
      <c r="N26" s="31">
        <v>0.52482269503546097</v>
      </c>
      <c r="O26" s="31">
        <v>0.37254901960784315</v>
      </c>
      <c r="P26" s="31">
        <v>0.41830065359477125</v>
      </c>
    </row>
    <row r="27" spans="1:16" x14ac:dyDescent="0.4">
      <c r="A27" s="33">
        <v>24</v>
      </c>
      <c r="B27" s="30">
        <v>0</v>
      </c>
      <c r="C27" s="30">
        <v>0</v>
      </c>
      <c r="D27" s="35">
        <v>2</v>
      </c>
      <c r="E27" s="31">
        <v>0.33333333333333331</v>
      </c>
      <c r="F27" s="31">
        <v>0.33333333333333331</v>
      </c>
      <c r="G27" s="31">
        <v>0.29508196721311475</v>
      </c>
      <c r="H27" s="31">
        <v>0.17304189435336975</v>
      </c>
      <c r="I27" s="32">
        <v>8962.3456790123455</v>
      </c>
      <c r="J27" s="32">
        <v>-7741.0526315789475</v>
      </c>
      <c r="K27" s="31">
        <v>6.9444444444444448E-2</v>
      </c>
      <c r="L27" s="31">
        <v>0.26958105646630237</v>
      </c>
      <c r="M27" s="31">
        <v>0.19489981785063754</v>
      </c>
      <c r="N27" s="31">
        <v>0.52702702702702697</v>
      </c>
      <c r="O27" s="31">
        <v>0.40186915887850466</v>
      </c>
      <c r="P27" s="31">
        <v>0.40740740740740738</v>
      </c>
    </row>
    <row r="28" spans="1:16" x14ac:dyDescent="0.4">
      <c r="A28" s="33">
        <v>25</v>
      </c>
      <c r="B28" s="30">
        <v>0</v>
      </c>
      <c r="C28" s="30">
        <v>0</v>
      </c>
      <c r="D28" s="35">
        <v>2</v>
      </c>
      <c r="E28" s="31">
        <v>0.33333333333333331</v>
      </c>
      <c r="F28" s="31">
        <v>0.33333333333333331</v>
      </c>
      <c r="G28" s="31">
        <v>0.28993055555555558</v>
      </c>
      <c r="H28" s="31">
        <v>0.16840277777777779</v>
      </c>
      <c r="I28" s="32">
        <v>9027.5449101796403</v>
      </c>
      <c r="J28" s="32">
        <v>-7952.5773195876291</v>
      </c>
      <c r="K28" s="31">
        <v>0.08</v>
      </c>
      <c r="L28" s="31">
        <v>0.26909722222222221</v>
      </c>
      <c r="M28" s="31">
        <v>0.19791666666666666</v>
      </c>
      <c r="N28" s="31">
        <v>0.5161290322580645</v>
      </c>
      <c r="O28" s="31">
        <v>0.40350877192982454</v>
      </c>
      <c r="P28" s="31">
        <v>0.41317365269461076</v>
      </c>
    </row>
    <row r="29" spans="1:16" x14ac:dyDescent="0.4">
      <c r="A29" s="33">
        <v>26</v>
      </c>
      <c r="B29" s="30">
        <v>0</v>
      </c>
      <c r="C29" s="30">
        <v>0</v>
      </c>
      <c r="D29" s="35">
        <v>2</v>
      </c>
      <c r="E29" s="31">
        <v>0.33333333333333331</v>
      </c>
      <c r="F29" s="31">
        <v>0.33333333333333331</v>
      </c>
      <c r="G29" s="31">
        <v>0.29124579124579125</v>
      </c>
      <c r="H29" s="31">
        <v>0.17171717171717171</v>
      </c>
      <c r="I29" s="32">
        <v>9047.976878612717</v>
      </c>
      <c r="J29" s="32">
        <v>-8089.2156862745096</v>
      </c>
      <c r="K29" s="31">
        <v>8.9743589743589744E-2</v>
      </c>
      <c r="L29" s="31">
        <v>0.27104377104377103</v>
      </c>
      <c r="M29" s="31">
        <v>0.19865319865319866</v>
      </c>
      <c r="N29" s="31">
        <v>0.52173913043478259</v>
      </c>
      <c r="O29" s="31">
        <v>0.38983050847457629</v>
      </c>
      <c r="P29" s="31">
        <v>0.40462427745664742</v>
      </c>
    </row>
    <row r="30" spans="1:16" x14ac:dyDescent="0.4">
      <c r="A30" s="33">
        <v>27</v>
      </c>
      <c r="B30" s="30">
        <v>0</v>
      </c>
      <c r="C30" s="30">
        <v>0</v>
      </c>
      <c r="D30" s="35">
        <v>2</v>
      </c>
      <c r="E30" s="31">
        <v>0.33333333333333331</v>
      </c>
      <c r="F30" s="31">
        <v>0.33333333333333331</v>
      </c>
      <c r="G30" s="31">
        <v>0.29288025889967639</v>
      </c>
      <c r="H30" s="31">
        <v>0.16990291262135923</v>
      </c>
      <c r="I30" s="32">
        <v>8862.4309392265186</v>
      </c>
      <c r="J30" s="32">
        <v>-7917.1428571428569</v>
      </c>
      <c r="K30" s="31">
        <v>8.6419753086419748E-2</v>
      </c>
      <c r="L30" s="31">
        <v>0.27022653721682849</v>
      </c>
      <c r="M30" s="31">
        <v>0.20550161812297735</v>
      </c>
      <c r="N30" s="31">
        <v>0.51497005988023947</v>
      </c>
      <c r="O30" s="31">
        <v>0.38582677165354329</v>
      </c>
      <c r="P30" s="31">
        <v>0.4143646408839779</v>
      </c>
    </row>
    <row r="31" spans="1:16" x14ac:dyDescent="0.4">
      <c r="A31" s="33">
        <v>28</v>
      </c>
      <c r="B31" s="30">
        <v>0</v>
      </c>
      <c r="C31" s="30">
        <v>0</v>
      </c>
      <c r="D31" s="35">
        <v>2</v>
      </c>
      <c r="E31" s="31">
        <v>0.33333333333333331</v>
      </c>
      <c r="F31" s="31">
        <v>0.33333333333333331</v>
      </c>
      <c r="G31" s="31">
        <v>0.29225908372827802</v>
      </c>
      <c r="H31" s="31">
        <v>0.16903633491311215</v>
      </c>
      <c r="I31" s="32">
        <v>8928.1081081081084</v>
      </c>
      <c r="J31" s="32">
        <v>-7989.7196261682247</v>
      </c>
      <c r="K31" s="31">
        <v>9.5238095238095233E-2</v>
      </c>
      <c r="L31" s="31">
        <v>0.27014218009478674</v>
      </c>
      <c r="M31" s="31">
        <v>0.21011058451816747</v>
      </c>
      <c r="N31" s="31">
        <v>0.51461988304093564</v>
      </c>
      <c r="O31" s="31">
        <v>0.37593984962406013</v>
      </c>
      <c r="P31" s="31">
        <v>0.41621621621621624</v>
      </c>
    </row>
    <row r="32" spans="1:16" x14ac:dyDescent="0.4">
      <c r="A32" s="33">
        <v>29</v>
      </c>
      <c r="B32" s="30">
        <v>8.8817841970012523E-16</v>
      </c>
      <c r="C32" s="30">
        <v>1.0208947352875003E-17</v>
      </c>
      <c r="D32" s="35">
        <v>2</v>
      </c>
      <c r="E32" s="31">
        <v>0.33333333333333331</v>
      </c>
      <c r="F32" s="31">
        <v>0.33333333333333331</v>
      </c>
      <c r="G32" s="31">
        <v>0.29223744292237441</v>
      </c>
      <c r="H32" s="31">
        <v>0.16894977168949771</v>
      </c>
      <c r="I32" s="32">
        <v>8952.6041666666661</v>
      </c>
      <c r="J32" s="32">
        <v>-7964.864864864865</v>
      </c>
      <c r="K32" s="31">
        <v>9.1954022988505746E-2</v>
      </c>
      <c r="L32" s="31">
        <v>0.26636225266362251</v>
      </c>
      <c r="M32" s="31">
        <v>0.21308980213089801</v>
      </c>
      <c r="N32" s="31">
        <v>0.52</v>
      </c>
      <c r="O32" s="31">
        <v>0.37142857142857144</v>
      </c>
      <c r="P32" s="31">
        <v>0.41666666666666669</v>
      </c>
    </row>
    <row r="33" spans="1:16" x14ac:dyDescent="0.4">
      <c r="A33" s="33">
        <v>30</v>
      </c>
      <c r="B33" s="30">
        <v>0</v>
      </c>
      <c r="C33" s="30">
        <v>0</v>
      </c>
      <c r="D33" s="35">
        <v>2</v>
      </c>
      <c r="E33" s="31">
        <v>0.33333333333333331</v>
      </c>
      <c r="F33" s="31">
        <v>0.33333333333333331</v>
      </c>
      <c r="G33" s="31">
        <v>0.29297458893871448</v>
      </c>
      <c r="H33" s="31">
        <v>0.17040358744394618</v>
      </c>
      <c r="I33" s="32">
        <v>8972.4489795918362</v>
      </c>
      <c r="J33" s="32">
        <v>-7998.2456140350878</v>
      </c>
      <c r="K33" s="31">
        <v>0.1</v>
      </c>
      <c r="L33" s="31">
        <v>0.26457399103139012</v>
      </c>
      <c r="M33" s="31">
        <v>0.21674140508221226</v>
      </c>
      <c r="N33" s="31">
        <v>0.52542372881355937</v>
      </c>
      <c r="O33" s="31">
        <v>0.3724137931034483</v>
      </c>
      <c r="P33" s="31">
        <v>0.41326530612244899</v>
      </c>
    </row>
    <row r="34" spans="1:16" x14ac:dyDescent="0.4">
      <c r="A34" s="33">
        <v>31</v>
      </c>
      <c r="B34" s="30">
        <v>0</v>
      </c>
      <c r="C34" s="30">
        <v>0</v>
      </c>
      <c r="D34" s="35">
        <v>2</v>
      </c>
      <c r="E34" s="31">
        <v>0.33333333333333331</v>
      </c>
      <c r="F34" s="31">
        <v>0.33333333333333331</v>
      </c>
      <c r="G34" s="31">
        <v>0.29148629148629146</v>
      </c>
      <c r="H34" s="31">
        <v>0.16883116883116883</v>
      </c>
      <c r="I34" s="32">
        <v>8881.6831683168311</v>
      </c>
      <c r="J34" s="32">
        <v>-7894.8717948717949</v>
      </c>
      <c r="K34" s="31">
        <v>9.6774193548387094E-2</v>
      </c>
      <c r="L34" s="31">
        <v>0.25974025974025972</v>
      </c>
      <c r="M34" s="31">
        <v>0.21645021645021645</v>
      </c>
      <c r="N34" s="31">
        <v>0.52777777777777779</v>
      </c>
      <c r="O34" s="31">
        <v>0.37333333333333335</v>
      </c>
      <c r="P34" s="31">
        <v>0.41584158415841582</v>
      </c>
    </row>
    <row r="35" spans="1:16" x14ac:dyDescent="0.4">
      <c r="A35" s="33">
        <v>32</v>
      </c>
      <c r="B35" s="30">
        <v>1.7763568394002505E-15</v>
      </c>
      <c r="C35" s="30">
        <v>1.8503717077085941E-17</v>
      </c>
      <c r="D35" s="35">
        <v>2</v>
      </c>
      <c r="E35" s="31">
        <v>0.33333333333333331</v>
      </c>
      <c r="F35" s="31">
        <v>0.33333333333333331</v>
      </c>
      <c r="G35" s="31">
        <v>0.29254571026722925</v>
      </c>
      <c r="H35" s="31">
        <v>0.16596343178621659</v>
      </c>
      <c r="I35" s="32">
        <v>8736.0576923076915</v>
      </c>
      <c r="J35" s="32">
        <v>-7844.9152542372885</v>
      </c>
      <c r="K35" s="31">
        <v>9.375E-2</v>
      </c>
      <c r="L35" s="31">
        <v>0.2587904360056259</v>
      </c>
      <c r="M35" s="31">
        <v>0.21518987341772153</v>
      </c>
      <c r="N35" s="31">
        <v>0.52717391304347827</v>
      </c>
      <c r="O35" s="31">
        <v>0.38562091503267976</v>
      </c>
      <c r="P35" s="31">
        <v>0.42788461538461536</v>
      </c>
    </row>
    <row r="36" spans="1:16" x14ac:dyDescent="0.4">
      <c r="A36" s="33">
        <v>33</v>
      </c>
      <c r="B36" s="30">
        <v>0</v>
      </c>
      <c r="C36" s="30">
        <v>0</v>
      </c>
      <c r="D36" s="35">
        <v>2</v>
      </c>
      <c r="E36" s="31">
        <v>0.33333333333333331</v>
      </c>
      <c r="F36" s="31">
        <v>0.33333333333333331</v>
      </c>
      <c r="G36" s="31">
        <v>0.29322268326417705</v>
      </c>
      <c r="H36" s="31">
        <v>0.16320885200553251</v>
      </c>
      <c r="I36" s="32">
        <v>8908.0188679245275</v>
      </c>
      <c r="J36" s="32">
        <v>-7844.9152542372885</v>
      </c>
      <c r="K36" s="31">
        <v>0.10101010101010101</v>
      </c>
      <c r="L36" s="31">
        <v>0.25726141078838172</v>
      </c>
      <c r="M36" s="31">
        <v>0.21853388658367912</v>
      </c>
      <c r="N36" s="31">
        <v>0.532258064516129</v>
      </c>
      <c r="O36" s="31">
        <v>0.38607594936708861</v>
      </c>
      <c r="P36" s="31">
        <v>0.43867924528301888</v>
      </c>
    </row>
    <row r="37" spans="1:16" x14ac:dyDescent="0.4">
      <c r="A37" s="33">
        <v>34</v>
      </c>
      <c r="B37" s="30">
        <v>0</v>
      </c>
      <c r="C37" s="30">
        <v>0</v>
      </c>
      <c r="D37" s="35">
        <v>2</v>
      </c>
      <c r="E37" s="31">
        <v>0.33333333333333331</v>
      </c>
      <c r="F37" s="31">
        <v>0.33333333333333331</v>
      </c>
      <c r="G37" s="31">
        <v>0.29387755102040819</v>
      </c>
      <c r="H37" s="31">
        <v>0.16462585034013605</v>
      </c>
      <c r="I37" s="32">
        <v>8915.7407407407409</v>
      </c>
      <c r="J37" s="32">
        <v>-7905.7851239669426</v>
      </c>
      <c r="K37" s="31">
        <v>0.10784313725490197</v>
      </c>
      <c r="L37" s="31">
        <v>0.25714285714285712</v>
      </c>
      <c r="M37" s="31">
        <v>0.22040816326530613</v>
      </c>
      <c r="N37" s="31">
        <v>0.53439153439153442</v>
      </c>
      <c r="O37" s="31">
        <v>0.3888888888888889</v>
      </c>
      <c r="P37" s="31">
        <v>0.43518518518518517</v>
      </c>
    </row>
    <row r="38" spans="1:16" x14ac:dyDescent="0.4">
      <c r="A38" s="33">
        <v>35</v>
      </c>
      <c r="B38" s="30">
        <v>-7.1054273576010019E-15</v>
      </c>
      <c r="C38" s="30">
        <v>-6.7670736739057167E-17</v>
      </c>
      <c r="D38" s="35">
        <v>2</v>
      </c>
      <c r="E38" s="31">
        <v>0.33333333333333331</v>
      </c>
      <c r="F38" s="31">
        <v>0.33333333333333331</v>
      </c>
      <c r="G38" s="31">
        <v>0.29396325459317585</v>
      </c>
      <c r="H38" s="31">
        <v>0.16404199475065617</v>
      </c>
      <c r="I38" s="32">
        <v>9079.4642857142862</v>
      </c>
      <c r="J38" s="32">
        <v>-8168</v>
      </c>
      <c r="K38" s="31">
        <v>0.11428571428571428</v>
      </c>
      <c r="L38" s="31">
        <v>0.25459317585301838</v>
      </c>
      <c r="M38" s="31">
        <v>0.21916010498687663</v>
      </c>
      <c r="N38" s="31">
        <v>0.54639175257731953</v>
      </c>
      <c r="O38" s="31">
        <v>0.38323353293413176</v>
      </c>
      <c r="P38" s="31">
        <v>0.4375</v>
      </c>
    </row>
    <row r="39" spans="1:16" x14ac:dyDescent="0.4">
      <c r="A39" s="33">
        <v>36</v>
      </c>
      <c r="B39" s="30">
        <v>-7.1054273576010019E-15</v>
      </c>
      <c r="C39" s="30">
        <v>-6.5790994051861125E-17</v>
      </c>
      <c r="D39" s="35">
        <v>2</v>
      </c>
      <c r="E39" s="31">
        <v>0.33333333333333331</v>
      </c>
      <c r="F39" s="31">
        <v>0.33333333333333331</v>
      </c>
      <c r="G39" s="31">
        <v>0.29457364341085274</v>
      </c>
      <c r="H39" s="31">
        <v>0.16408268733850129</v>
      </c>
      <c r="I39" s="32">
        <v>9183.3333333333339</v>
      </c>
      <c r="J39" s="32">
        <v>-8228.3464566929142</v>
      </c>
      <c r="K39" s="31">
        <v>0.12037037037037036</v>
      </c>
      <c r="L39" s="31">
        <v>0.25322997416020671</v>
      </c>
      <c r="M39" s="31">
        <v>0.22222222222222221</v>
      </c>
      <c r="N39" s="31">
        <v>0.55102040816326525</v>
      </c>
      <c r="O39" s="31">
        <v>0.38372093023255816</v>
      </c>
      <c r="P39" s="31">
        <v>0.43859649122807015</v>
      </c>
    </row>
    <row r="40" spans="1:16" x14ac:dyDescent="0.4">
      <c r="A40" s="33">
        <v>37</v>
      </c>
      <c r="B40" s="30">
        <v>-9.7699626167013776E-15</v>
      </c>
      <c r="C40" s="30">
        <v>-8.8017681231543943E-17</v>
      </c>
      <c r="D40" s="35">
        <v>2</v>
      </c>
      <c r="E40" s="31">
        <v>0.33333333333333331</v>
      </c>
      <c r="F40" s="31">
        <v>0.33333333333333331</v>
      </c>
      <c r="G40" s="31">
        <v>0.29448621553884713</v>
      </c>
      <c r="H40" s="31">
        <v>0.16541353383458646</v>
      </c>
      <c r="I40" s="32">
        <v>9271.0638297872338</v>
      </c>
      <c r="J40" s="32">
        <v>-8228.0303030303039</v>
      </c>
      <c r="K40" s="31">
        <v>0.12612612612612611</v>
      </c>
      <c r="L40" s="31">
        <v>0.25438596491228072</v>
      </c>
      <c r="M40" s="31">
        <v>0.22431077694235588</v>
      </c>
      <c r="N40" s="31">
        <v>0.55172413793103448</v>
      </c>
      <c r="O40" s="31">
        <v>0.37988826815642457</v>
      </c>
      <c r="P40" s="31">
        <v>0.43404255319148938</v>
      </c>
    </row>
    <row r="41" spans="1:16" x14ac:dyDescent="0.4">
      <c r="A41" s="33">
        <v>38</v>
      </c>
      <c r="B41" s="30">
        <v>-7.1054273576010019E-15</v>
      </c>
      <c r="C41" s="30">
        <v>-6.232831015439475E-17</v>
      </c>
      <c r="D41" s="35">
        <v>2</v>
      </c>
      <c r="E41" s="31">
        <v>0.33333333333333331</v>
      </c>
      <c r="F41" s="31">
        <v>0.33333333333333331</v>
      </c>
      <c r="G41" s="31">
        <v>0.29397293972939731</v>
      </c>
      <c r="H41" s="31">
        <v>0.16482164821648215</v>
      </c>
      <c r="I41" s="32">
        <v>9357.3221757322171</v>
      </c>
      <c r="J41" s="32">
        <v>-8252.2388059701498</v>
      </c>
      <c r="K41" s="31">
        <v>0.13157894736842105</v>
      </c>
      <c r="L41" s="31">
        <v>0.25584255842558423</v>
      </c>
      <c r="M41" s="31">
        <v>0.22509225092250923</v>
      </c>
      <c r="N41" s="31">
        <v>0.54807692307692313</v>
      </c>
      <c r="O41" s="31">
        <v>0.37704918032786883</v>
      </c>
      <c r="P41" s="31">
        <v>0.43514644351464438</v>
      </c>
    </row>
    <row r="42" spans="1:16" x14ac:dyDescent="0.4">
      <c r="A42" s="33">
        <v>39</v>
      </c>
      <c r="B42" s="30">
        <v>-7.1054273576010019E-15</v>
      </c>
      <c r="C42" s="30">
        <v>-6.0730148355564125E-17</v>
      </c>
      <c r="D42" s="35">
        <v>2</v>
      </c>
      <c r="E42" s="31">
        <v>0.33333333333333331</v>
      </c>
      <c r="F42" s="31">
        <v>0.33333333333333331</v>
      </c>
      <c r="G42" s="31">
        <v>0.29376498800959233</v>
      </c>
      <c r="H42" s="31">
        <v>0.16426858513189449</v>
      </c>
      <c r="I42" s="32">
        <v>9308.1632653061224</v>
      </c>
      <c r="J42" s="32">
        <v>-8192.7007299270081</v>
      </c>
      <c r="K42" s="31">
        <v>0.12820512820512819</v>
      </c>
      <c r="L42" s="31">
        <v>0.25659472422062352</v>
      </c>
      <c r="M42" s="31">
        <v>0.22182254196642687</v>
      </c>
      <c r="N42" s="31">
        <v>0.54672897196261683</v>
      </c>
      <c r="O42" s="31">
        <v>0.38378378378378381</v>
      </c>
      <c r="P42" s="31">
        <v>0.43673469387755104</v>
      </c>
    </row>
    <row r="43" spans="1:16" x14ac:dyDescent="0.4">
      <c r="A43" s="33">
        <v>40</v>
      </c>
      <c r="B43" s="30">
        <v>-7.1054273576010019E-15</v>
      </c>
      <c r="C43" s="30">
        <v>-5.9211894646675015E-17</v>
      </c>
      <c r="D43" s="35">
        <v>2</v>
      </c>
      <c r="E43" s="31">
        <v>0.33333333333333331</v>
      </c>
      <c r="F43" s="31">
        <v>0.33333333333333331</v>
      </c>
      <c r="G43" s="31">
        <v>0.2938443670150987</v>
      </c>
      <c r="H43" s="31">
        <v>0.16144018583042974</v>
      </c>
      <c r="I43" s="32">
        <v>9191.6996047430839</v>
      </c>
      <c r="J43" s="32">
        <v>-8187.7697841726622</v>
      </c>
      <c r="K43" s="31">
        <v>0.125</v>
      </c>
      <c r="L43" s="31">
        <v>0.25783972125435539</v>
      </c>
      <c r="M43" s="31">
        <v>0.21718931475029035</v>
      </c>
      <c r="N43" s="31">
        <v>0.5495495495495496</v>
      </c>
      <c r="O43" s="31">
        <v>0.38502673796791442</v>
      </c>
      <c r="P43" s="31">
        <v>0.44664031620553357</v>
      </c>
    </row>
    <row r="44" spans="1:16" x14ac:dyDescent="0.4">
      <c r="A44" s="33">
        <v>41</v>
      </c>
      <c r="B44" s="30">
        <v>-7.1054273576010019E-15</v>
      </c>
      <c r="C44" s="30">
        <v>-5.7767702094317094E-17</v>
      </c>
      <c r="D44" s="35">
        <v>2</v>
      </c>
      <c r="E44" s="31">
        <v>0.33333333333333331</v>
      </c>
      <c r="F44" s="31">
        <v>0.33333333333333331</v>
      </c>
      <c r="G44" s="31">
        <v>0.29139072847682118</v>
      </c>
      <c r="H44" s="31">
        <v>0.16114790286975716</v>
      </c>
      <c r="I44" s="32">
        <v>9129.924242424242</v>
      </c>
      <c r="J44" s="32">
        <v>-8144.5205479452052</v>
      </c>
      <c r="K44" s="31">
        <v>0.12195121951219512</v>
      </c>
      <c r="L44" s="31">
        <v>0.26158940397350994</v>
      </c>
      <c r="M44" s="31">
        <v>0.2108167770419426</v>
      </c>
      <c r="N44" s="31">
        <v>0.54430379746835444</v>
      </c>
      <c r="O44" s="31">
        <v>0.38743455497382201</v>
      </c>
      <c r="P44" s="31">
        <v>0.44318181818181818</v>
      </c>
    </row>
    <row r="45" spans="1:16" x14ac:dyDescent="0.4">
      <c r="A45" s="33">
        <v>42</v>
      </c>
      <c r="B45" s="30">
        <v>-7.1054273576010019E-15</v>
      </c>
      <c r="C45" s="30">
        <v>-5.6392280615880964E-17</v>
      </c>
      <c r="D45" s="35">
        <v>2</v>
      </c>
      <c r="E45" s="31">
        <v>0.33333333333333331</v>
      </c>
      <c r="F45" s="31">
        <v>0.33333333333333331</v>
      </c>
      <c r="G45" s="31">
        <v>0.29018338727076592</v>
      </c>
      <c r="H45" s="31">
        <v>0.16073354908306364</v>
      </c>
      <c r="I45" s="32">
        <v>9076.208178438661</v>
      </c>
      <c r="J45" s="32">
        <v>-8082.5503355704695</v>
      </c>
      <c r="K45" s="31">
        <v>0.11904761904761904</v>
      </c>
      <c r="L45" s="31">
        <v>0.26321467098166129</v>
      </c>
      <c r="M45" s="31">
        <v>0.20819848975188782</v>
      </c>
      <c r="N45" s="31">
        <v>0.53688524590163933</v>
      </c>
      <c r="O45" s="31">
        <v>0.38860103626943004</v>
      </c>
      <c r="P45" s="31">
        <v>0.44237918215613381</v>
      </c>
    </row>
    <row r="46" spans="1:16" x14ac:dyDescent="0.4">
      <c r="A46" s="33">
        <v>43</v>
      </c>
      <c r="B46" s="30">
        <v>-7.1054273576010019E-15</v>
      </c>
      <c r="C46" s="30">
        <v>-5.508083222946513E-17</v>
      </c>
      <c r="D46" s="35">
        <v>2</v>
      </c>
      <c r="E46" s="31">
        <v>0.33333333333333331</v>
      </c>
      <c r="F46" s="31">
        <v>0.33333333333333331</v>
      </c>
      <c r="G46" s="31">
        <v>0.28888888888888886</v>
      </c>
      <c r="H46" s="31">
        <v>0.15978835978835979</v>
      </c>
      <c r="I46" s="32">
        <v>9013.9194139194133</v>
      </c>
      <c r="J46" s="32">
        <v>-8054.3046357615895</v>
      </c>
      <c r="K46" s="31">
        <v>0.11627906976744186</v>
      </c>
      <c r="L46" s="31">
        <v>0.26560846560846563</v>
      </c>
      <c r="M46" s="31">
        <v>0.20846560846560847</v>
      </c>
      <c r="N46" s="31">
        <v>0.53784860557768921</v>
      </c>
      <c r="O46" s="31">
        <v>0.38071065989847713</v>
      </c>
      <c r="P46" s="31">
        <v>0.4432234432234432</v>
      </c>
    </row>
    <row r="47" spans="1:16" x14ac:dyDescent="0.4">
      <c r="A47" s="33">
        <v>44</v>
      </c>
      <c r="B47" s="30">
        <v>0</v>
      </c>
      <c r="C47" s="30">
        <v>0</v>
      </c>
      <c r="D47" s="35">
        <v>2</v>
      </c>
      <c r="E47" s="31">
        <v>0.33333333333333331</v>
      </c>
      <c r="F47" s="31">
        <v>0.33333333333333331</v>
      </c>
      <c r="G47" s="31">
        <v>0.28944618599791011</v>
      </c>
      <c r="H47" s="31">
        <v>0.15882967607105539</v>
      </c>
      <c r="I47" s="32">
        <v>9067.8700361010833</v>
      </c>
      <c r="J47" s="32">
        <v>-8080.2631578947367</v>
      </c>
      <c r="K47" s="31">
        <v>0.12121212121212122</v>
      </c>
      <c r="L47" s="31">
        <v>0.26854754440961337</v>
      </c>
      <c r="M47" s="31">
        <v>0.20794148380355276</v>
      </c>
      <c r="N47" s="31">
        <v>0.53696498054474706</v>
      </c>
      <c r="O47" s="31">
        <v>0.38190954773869346</v>
      </c>
      <c r="P47" s="31">
        <v>0.44765342960288806</v>
      </c>
    </row>
    <row r="48" spans="1:16" x14ac:dyDescent="0.4">
      <c r="A48" s="33">
        <v>45</v>
      </c>
      <c r="B48" s="30">
        <v>0</v>
      </c>
      <c r="C48" s="30">
        <v>0</v>
      </c>
      <c r="D48" s="35">
        <v>2</v>
      </c>
      <c r="E48" s="31">
        <v>0.33333333333333331</v>
      </c>
      <c r="F48" s="31">
        <v>0.33333333333333331</v>
      </c>
      <c r="G48" s="31">
        <v>0.29041916167664672</v>
      </c>
      <c r="H48" s="31">
        <v>0.16067864271457086</v>
      </c>
      <c r="I48" s="32">
        <v>9138.8316151202744</v>
      </c>
      <c r="J48" s="32">
        <v>-8149.6894409937886</v>
      </c>
      <c r="K48" s="31">
        <v>0.11851851851851852</v>
      </c>
      <c r="L48" s="31">
        <v>0.27145708582834333</v>
      </c>
      <c r="M48" s="31">
        <v>0.20658682634730538</v>
      </c>
      <c r="N48" s="31">
        <v>0.53308823529411764</v>
      </c>
      <c r="O48" s="31">
        <v>0.39130434782608697</v>
      </c>
      <c r="P48" s="31">
        <v>0.44329896907216493</v>
      </c>
    </row>
    <row r="49" spans="1:16" x14ac:dyDescent="0.4">
      <c r="A49" s="33">
        <v>46</v>
      </c>
      <c r="B49" s="30">
        <v>1.7763568394002505E-15</v>
      </c>
      <c r="C49" s="30">
        <v>1.2872151010146743E-17</v>
      </c>
      <c r="D49" s="35">
        <v>2</v>
      </c>
      <c r="E49" s="31">
        <v>0.33333333333333331</v>
      </c>
      <c r="F49" s="31">
        <v>0.33333333333333331</v>
      </c>
      <c r="G49" s="31">
        <v>0.29117647058823531</v>
      </c>
      <c r="H49" s="31">
        <v>0.15980392156862744</v>
      </c>
      <c r="I49" s="32">
        <v>9087.878787878788</v>
      </c>
      <c r="J49" s="32">
        <v>-8172.3926380368102</v>
      </c>
      <c r="K49" s="31">
        <v>0.11594202898550725</v>
      </c>
      <c r="L49" s="31">
        <v>0.27156862745098037</v>
      </c>
      <c r="M49" s="31">
        <v>0.20588235294117646</v>
      </c>
      <c r="N49" s="31">
        <v>0.53790613718411551</v>
      </c>
      <c r="O49" s="31">
        <v>0.39047619047619048</v>
      </c>
      <c r="P49" s="31">
        <v>0.44781144781144783</v>
      </c>
    </row>
    <row r="50" spans="1:16" x14ac:dyDescent="0.4">
      <c r="A50" s="33">
        <v>47</v>
      </c>
      <c r="B50" s="30">
        <v>0</v>
      </c>
      <c r="C50" s="30">
        <v>0</v>
      </c>
      <c r="D50" s="35">
        <v>2</v>
      </c>
      <c r="E50" s="31">
        <v>0.33333333333333331</v>
      </c>
      <c r="F50" s="31">
        <v>0.33333333333333331</v>
      </c>
      <c r="G50" s="31">
        <v>0.29178743961352654</v>
      </c>
      <c r="H50" s="31">
        <v>0.16135265700483092</v>
      </c>
      <c r="I50" s="32">
        <v>9239.7350993377477</v>
      </c>
      <c r="J50" s="32">
        <v>-8427.5449101796403</v>
      </c>
      <c r="K50" s="31">
        <v>0.12056737588652482</v>
      </c>
      <c r="L50" s="31">
        <v>0.27053140096618356</v>
      </c>
      <c r="M50" s="31">
        <v>0.2038647342995169</v>
      </c>
      <c r="N50" s="31">
        <v>0.53928571428571426</v>
      </c>
      <c r="O50" s="31">
        <v>0.39336492890995262</v>
      </c>
      <c r="P50" s="31">
        <v>0.44370860927152317</v>
      </c>
    </row>
    <row r="51" spans="1:16" x14ac:dyDescent="0.4">
      <c r="A51" s="33">
        <v>48</v>
      </c>
      <c r="B51" s="30">
        <v>0</v>
      </c>
      <c r="C51" s="30">
        <v>0</v>
      </c>
      <c r="D51" s="35">
        <v>2</v>
      </c>
      <c r="E51" s="31">
        <v>0.33333333333333331</v>
      </c>
      <c r="F51" s="31">
        <v>0.33333333333333331</v>
      </c>
      <c r="G51" s="31">
        <v>0.29201877934272302</v>
      </c>
      <c r="H51" s="31">
        <v>0.16244131455399061</v>
      </c>
      <c r="I51" s="32">
        <v>9197.4276527331185</v>
      </c>
      <c r="J51" s="32">
        <v>-8475.7225433526019</v>
      </c>
      <c r="K51" s="31">
        <v>0.125</v>
      </c>
      <c r="L51" s="31">
        <v>0.26854460093896715</v>
      </c>
      <c r="M51" s="31">
        <v>0.20375586854460093</v>
      </c>
      <c r="N51" s="31">
        <v>0.53846153846153844</v>
      </c>
      <c r="O51" s="31">
        <v>0.4009216589861751</v>
      </c>
      <c r="P51" s="31">
        <v>0.44051446945337619</v>
      </c>
    </row>
    <row r="52" spans="1:16" x14ac:dyDescent="0.4">
      <c r="A52" s="33">
        <v>49</v>
      </c>
      <c r="B52" s="30">
        <v>0</v>
      </c>
      <c r="C52" s="30">
        <v>0</v>
      </c>
      <c r="D52" s="35">
        <v>2</v>
      </c>
      <c r="E52" s="31">
        <v>0.33333333333333331</v>
      </c>
      <c r="F52" s="31">
        <v>0.33333333333333331</v>
      </c>
      <c r="G52" s="31">
        <v>0.29166666666666669</v>
      </c>
      <c r="H52" s="31">
        <v>0.16111111111111112</v>
      </c>
      <c r="I52" s="32">
        <v>9298.4126984126979</v>
      </c>
      <c r="J52" s="32">
        <v>-8702.8735632183907</v>
      </c>
      <c r="K52" s="31">
        <v>0.12925170068027211</v>
      </c>
      <c r="L52" s="31">
        <v>0.26666666666666666</v>
      </c>
      <c r="M52" s="31">
        <v>0.20370370370370369</v>
      </c>
      <c r="N52" s="31">
        <v>0.53819444444444442</v>
      </c>
      <c r="O52" s="31">
        <v>0.40454545454545454</v>
      </c>
      <c r="P52" s="31">
        <v>0.44444444444444442</v>
      </c>
    </row>
    <row r="53" spans="1:16" x14ac:dyDescent="0.4">
      <c r="A53" s="33">
        <v>50</v>
      </c>
      <c r="B53" s="30">
        <v>0</v>
      </c>
      <c r="C53" s="30">
        <v>0</v>
      </c>
      <c r="D53" s="35">
        <v>2</v>
      </c>
      <c r="E53" s="31">
        <v>0.33333333333333331</v>
      </c>
      <c r="F53" s="31">
        <v>0.33333333333333331</v>
      </c>
      <c r="G53" s="31">
        <v>0.28973660308810173</v>
      </c>
      <c r="H53" s="31">
        <v>0.15894641235240689</v>
      </c>
      <c r="I53" s="32">
        <v>9396.8652037617558</v>
      </c>
      <c r="J53" s="32">
        <v>-8668</v>
      </c>
      <c r="K53" s="31">
        <v>0.13333333333333333</v>
      </c>
      <c r="L53" s="31">
        <v>0.26521344232515892</v>
      </c>
      <c r="M53" s="31">
        <v>0.20435967302452315</v>
      </c>
      <c r="N53" s="31">
        <v>0.53767123287671237</v>
      </c>
      <c r="O53" s="31">
        <v>0.4</v>
      </c>
      <c r="P53" s="31">
        <v>0.44827586206896552</v>
      </c>
    </row>
    <row r="54" spans="1:16" x14ac:dyDescent="0.4">
      <c r="A54" s="33">
        <v>51</v>
      </c>
      <c r="B54" s="30">
        <v>7.1054273576010019E-15</v>
      </c>
      <c r="C54" s="30">
        <v>4.644070168366668E-17</v>
      </c>
      <c r="D54" s="35">
        <v>2</v>
      </c>
      <c r="E54" s="31">
        <v>0.33333333333333331</v>
      </c>
      <c r="F54" s="31">
        <v>0.33333333333333331</v>
      </c>
      <c r="G54" s="31">
        <v>0.28966131907308379</v>
      </c>
      <c r="H54" s="31">
        <v>0.15953654188948307</v>
      </c>
      <c r="I54" s="32">
        <v>9377.2307692307695</v>
      </c>
      <c r="J54" s="32">
        <v>-8697.206703910615</v>
      </c>
      <c r="K54" s="31">
        <v>0.13071895424836602</v>
      </c>
      <c r="L54" s="31">
        <v>0.26292335115864529</v>
      </c>
      <c r="M54" s="31">
        <v>0.20409982174688057</v>
      </c>
      <c r="N54" s="31">
        <v>0.53898305084745768</v>
      </c>
      <c r="O54" s="31">
        <v>0.39737991266375544</v>
      </c>
      <c r="P54" s="31">
        <v>0.44615384615384618</v>
      </c>
    </row>
    <row r="55" spans="1:16" x14ac:dyDescent="0.4">
      <c r="A55" s="33">
        <v>52</v>
      </c>
      <c r="B55" s="30">
        <v>7.1054273576010019E-15</v>
      </c>
      <c r="C55" s="30">
        <v>4.5547611266673087E-17</v>
      </c>
      <c r="D55" s="35">
        <v>2</v>
      </c>
      <c r="E55" s="31">
        <v>0.33333333333333331</v>
      </c>
      <c r="F55" s="31">
        <v>0.33333333333333331</v>
      </c>
      <c r="G55" s="31">
        <v>0.28981723237597912</v>
      </c>
      <c r="H55" s="31">
        <v>0.16187989556135771</v>
      </c>
      <c r="I55" s="32">
        <v>9381.3813813813813</v>
      </c>
      <c r="J55" s="32">
        <v>-8608.6021505376339</v>
      </c>
      <c r="K55" s="31">
        <v>0.12820512820512819</v>
      </c>
      <c r="L55" s="31">
        <v>0.26370757180156656</v>
      </c>
      <c r="M55" s="31">
        <v>0.20452567449956485</v>
      </c>
      <c r="N55" s="31">
        <v>0.53465346534653468</v>
      </c>
      <c r="O55" s="31">
        <v>0.4</v>
      </c>
      <c r="P55" s="31">
        <v>0.43843843843843844</v>
      </c>
    </row>
    <row r="56" spans="1:16" x14ac:dyDescent="0.4">
      <c r="A56" s="33">
        <v>53</v>
      </c>
      <c r="B56" s="30">
        <v>7.1054273576010019E-15</v>
      </c>
      <c r="C56" s="30">
        <v>4.4688222374849071E-17</v>
      </c>
      <c r="D56" s="35">
        <v>2</v>
      </c>
      <c r="E56" s="31">
        <v>0.33333333333333331</v>
      </c>
      <c r="F56" s="31">
        <v>0.33333333333333331</v>
      </c>
      <c r="G56" s="31">
        <v>0.29092451229855809</v>
      </c>
      <c r="H56" s="31">
        <v>0.15945716709075489</v>
      </c>
      <c r="I56" s="32">
        <v>9373.4693877551017</v>
      </c>
      <c r="J56" s="32">
        <v>-8621.8085106382987</v>
      </c>
      <c r="K56" s="31">
        <v>0.13207547169811321</v>
      </c>
      <c r="L56" s="31">
        <v>0.26208651399491095</v>
      </c>
      <c r="M56" s="31">
        <v>0.20780322307039864</v>
      </c>
      <c r="N56" s="31">
        <v>0.53398058252427183</v>
      </c>
      <c r="O56" s="31">
        <v>0.40816326530612246</v>
      </c>
      <c r="P56" s="31">
        <v>0.44897959183673469</v>
      </c>
    </row>
    <row r="57" spans="1:16" x14ac:dyDescent="0.4">
      <c r="A57" s="33">
        <v>54</v>
      </c>
      <c r="B57" s="30">
        <v>0</v>
      </c>
      <c r="C57" s="30">
        <v>0</v>
      </c>
      <c r="D57" s="35">
        <v>2</v>
      </c>
      <c r="E57" s="31">
        <v>0.33333333333333331</v>
      </c>
      <c r="F57" s="31">
        <v>0.33333333333333331</v>
      </c>
      <c r="G57" s="31">
        <v>0.29114971050454924</v>
      </c>
      <c r="H57" s="31">
        <v>0.15880893300248139</v>
      </c>
      <c r="I57" s="32">
        <v>9388.068181818182</v>
      </c>
      <c r="J57" s="32">
        <v>-8569.7916666666661</v>
      </c>
      <c r="K57" s="31">
        <v>0.13580246913580246</v>
      </c>
      <c r="L57" s="31">
        <v>0.26302729528535979</v>
      </c>
      <c r="M57" s="31">
        <v>0.20678246484698098</v>
      </c>
      <c r="N57" s="31">
        <v>0.54088050314465408</v>
      </c>
      <c r="O57" s="31">
        <v>0.40400000000000003</v>
      </c>
      <c r="P57" s="31">
        <v>0.45170454545454547</v>
      </c>
    </row>
    <row r="58" spans="1:16" x14ac:dyDescent="0.4">
      <c r="A58" s="33">
        <v>55</v>
      </c>
      <c r="B58" s="30">
        <v>-3.5527136788005009E-15</v>
      </c>
      <c r="C58" s="30">
        <v>-2.1531598053336369E-17</v>
      </c>
      <c r="D58" s="35">
        <v>2</v>
      </c>
      <c r="E58" s="31">
        <v>0.33333333333333331</v>
      </c>
      <c r="F58" s="31">
        <v>0.33333333333333331</v>
      </c>
      <c r="G58" s="31">
        <v>0.29146537842190018</v>
      </c>
      <c r="H58" s="31">
        <v>0.1570048309178744</v>
      </c>
      <c r="I58" s="32">
        <v>9318.7845303867398</v>
      </c>
      <c r="J58" s="32">
        <v>-8560.5128205128203</v>
      </c>
      <c r="K58" s="31">
        <v>0.13333333333333333</v>
      </c>
      <c r="L58" s="31">
        <v>0.26489533011272143</v>
      </c>
      <c r="M58" s="31">
        <v>0.20611916264090177</v>
      </c>
      <c r="N58" s="31">
        <v>0.54103343465045595</v>
      </c>
      <c r="O58" s="31">
        <v>0.40625</v>
      </c>
      <c r="P58" s="31">
        <v>0.4585635359116022</v>
      </c>
    </row>
    <row r="59" spans="1:16" x14ac:dyDescent="0.4">
      <c r="A59" s="33">
        <v>56</v>
      </c>
      <c r="B59" s="30">
        <v>-3.5527136788005009E-15</v>
      </c>
      <c r="C59" s="30">
        <v>-2.1147105230955362E-17</v>
      </c>
      <c r="D59" s="35">
        <v>2</v>
      </c>
      <c r="E59" s="31">
        <v>0.33333333333333331</v>
      </c>
      <c r="F59" s="31">
        <v>0.33333333333333331</v>
      </c>
      <c r="G59" s="31">
        <v>0.29067930489731436</v>
      </c>
      <c r="H59" s="31">
        <v>0.15639810426540285</v>
      </c>
      <c r="I59" s="32">
        <v>9227.717391304348</v>
      </c>
      <c r="J59" s="32">
        <v>-8477.2727272727279</v>
      </c>
      <c r="K59" s="31">
        <v>0.13095238095238096</v>
      </c>
      <c r="L59" s="31">
        <v>0.26145339652448657</v>
      </c>
      <c r="M59" s="31">
        <v>0.20695102685624012</v>
      </c>
      <c r="N59" s="31">
        <v>0.54380664652567978</v>
      </c>
      <c r="O59" s="31">
        <v>0.40458015267175573</v>
      </c>
      <c r="P59" s="31">
        <v>0.45923913043478259</v>
      </c>
    </row>
    <row r="60" spans="1:16" x14ac:dyDescent="0.4">
      <c r="A60" s="33">
        <v>57</v>
      </c>
      <c r="B60" s="30">
        <v>-7.1054273576010019E-15</v>
      </c>
      <c r="C60" s="30">
        <v>-4.15522067695965E-17</v>
      </c>
      <c r="D60" s="35">
        <v>2</v>
      </c>
      <c r="E60" s="31">
        <v>0.33333333333333331</v>
      </c>
      <c r="F60" s="31">
        <v>0.33333333333333331</v>
      </c>
      <c r="G60" s="31">
        <v>0.29166666666666669</v>
      </c>
      <c r="H60" s="31">
        <v>0.1566358024691358</v>
      </c>
      <c r="I60" s="32">
        <v>9156.0846560846567</v>
      </c>
      <c r="J60" s="32">
        <v>-8377.8325123152717</v>
      </c>
      <c r="K60" s="31">
        <v>0.13450292397660818</v>
      </c>
      <c r="L60" s="31">
        <v>0.26157407407407407</v>
      </c>
      <c r="M60" s="31">
        <v>0.20679012345679013</v>
      </c>
      <c r="N60" s="31">
        <v>0.54572271386430682</v>
      </c>
      <c r="O60" s="31">
        <v>0.40671641791044777</v>
      </c>
      <c r="P60" s="31">
        <v>0.46031746031746029</v>
      </c>
    </row>
    <row r="61" spans="1:16" x14ac:dyDescent="0.4">
      <c r="A61" s="33">
        <v>58</v>
      </c>
      <c r="B61" s="30">
        <v>-7.1054273576010019E-15</v>
      </c>
      <c r="C61" s="30">
        <v>-4.083578941150001E-17</v>
      </c>
      <c r="D61" s="35">
        <v>2</v>
      </c>
      <c r="E61" s="31">
        <v>0.33333333333333331</v>
      </c>
      <c r="F61" s="31">
        <v>0.33333333333333331</v>
      </c>
      <c r="G61" s="31">
        <v>0.29233105542900534</v>
      </c>
      <c r="H61" s="31">
        <v>0.15793470007593013</v>
      </c>
      <c r="I61" s="32">
        <v>9135.3246753246749</v>
      </c>
      <c r="J61" s="32">
        <v>-8342.3076923076915</v>
      </c>
      <c r="K61" s="31">
        <v>0.13218390804597702</v>
      </c>
      <c r="L61" s="31">
        <v>0.26044039483675019</v>
      </c>
      <c r="M61" s="31">
        <v>0.2072892938496583</v>
      </c>
      <c r="N61" s="31">
        <v>0.54810495626822153</v>
      </c>
      <c r="O61" s="31">
        <v>0.40293040293040294</v>
      </c>
      <c r="P61" s="31">
        <v>0.45714285714285713</v>
      </c>
    </row>
    <row r="62" spans="1:16" x14ac:dyDescent="0.4">
      <c r="A62" s="33">
        <v>59</v>
      </c>
      <c r="B62" s="30">
        <v>0</v>
      </c>
      <c r="C62" s="30">
        <v>0</v>
      </c>
      <c r="D62" s="35">
        <v>2</v>
      </c>
      <c r="E62" s="31">
        <v>0.33333333333333331</v>
      </c>
      <c r="F62" s="31">
        <v>0.33333333333333331</v>
      </c>
      <c r="G62" s="31">
        <v>0.29213483146067415</v>
      </c>
      <c r="H62" s="31">
        <v>0.15580524344569288</v>
      </c>
      <c r="I62" s="32">
        <v>9192.8205128205136</v>
      </c>
      <c r="J62" s="32">
        <v>-8342.3076923076915</v>
      </c>
      <c r="K62" s="31">
        <v>0.13559322033898305</v>
      </c>
      <c r="L62" s="31">
        <v>0.25842696629213485</v>
      </c>
      <c r="M62" s="31">
        <v>0.20599250936329588</v>
      </c>
      <c r="N62" s="31">
        <v>0.55072463768115942</v>
      </c>
      <c r="O62" s="31">
        <v>0.40363636363636363</v>
      </c>
      <c r="P62" s="31">
        <v>0.46410256410256412</v>
      </c>
    </row>
    <row r="63" spans="1:16" x14ac:dyDescent="0.4">
      <c r="A63" s="33">
        <v>60</v>
      </c>
      <c r="B63" s="30">
        <v>7.1054273576010019E-15</v>
      </c>
      <c r="C63" s="30">
        <v>3.9474596431116678E-17</v>
      </c>
      <c r="D63" s="35">
        <v>2</v>
      </c>
      <c r="E63" s="31">
        <v>0.33333333333333331</v>
      </c>
      <c r="F63" s="31">
        <v>0.33333333333333331</v>
      </c>
      <c r="G63" s="31">
        <v>0.29259259259259257</v>
      </c>
      <c r="H63" s="31">
        <v>0.15555555555555556</v>
      </c>
      <c r="I63" s="32">
        <v>9196.4556962025308</v>
      </c>
      <c r="J63" s="32">
        <v>-8385.2380952380954</v>
      </c>
      <c r="K63" s="31">
        <v>0.1388888888888889</v>
      </c>
      <c r="L63" s="31">
        <v>0.25851851851851854</v>
      </c>
      <c r="M63" s="31">
        <v>0.20518518518518519</v>
      </c>
      <c r="N63" s="31">
        <v>0.55300859598853869</v>
      </c>
      <c r="O63" s="31">
        <v>0.40433212996389889</v>
      </c>
      <c r="P63" s="31">
        <v>0.46582278481012657</v>
      </c>
    </row>
    <row r="64" spans="1:16" x14ac:dyDescent="0.4">
      <c r="A64" s="33">
        <v>61</v>
      </c>
      <c r="B64" s="30">
        <v>0</v>
      </c>
      <c r="C64" s="30">
        <v>0</v>
      </c>
      <c r="D64" s="35">
        <v>2</v>
      </c>
      <c r="E64" s="31">
        <v>0.33333333333333331</v>
      </c>
      <c r="F64" s="31">
        <v>0.33333333333333331</v>
      </c>
      <c r="G64" s="31">
        <v>0.29257641921397382</v>
      </c>
      <c r="H64" s="31">
        <v>0.15574963609898107</v>
      </c>
      <c r="I64" s="32">
        <v>9158.9552238805973</v>
      </c>
      <c r="J64" s="32">
        <v>-8352.336448598131</v>
      </c>
      <c r="K64" s="31">
        <v>0.13661202185792351</v>
      </c>
      <c r="L64" s="31">
        <v>0.2590975254730713</v>
      </c>
      <c r="M64" s="31">
        <v>0.20596797671033479</v>
      </c>
      <c r="N64" s="31">
        <v>0.5533707865168539</v>
      </c>
      <c r="O64" s="31">
        <v>0.40636042402826855</v>
      </c>
      <c r="P64" s="31">
        <v>0.46517412935323382</v>
      </c>
    </row>
    <row r="65" spans="1:16" x14ac:dyDescent="0.4">
      <c r="A65" s="33">
        <v>62</v>
      </c>
      <c r="B65" s="30">
        <v>-1.3322676295501878E-15</v>
      </c>
      <c r="C65" s="30">
        <v>-7.162729191130042E-18</v>
      </c>
      <c r="D65" s="35">
        <v>2</v>
      </c>
      <c r="E65" s="31">
        <v>0.33333333333333331</v>
      </c>
      <c r="F65" s="31">
        <v>0.33333333333333331</v>
      </c>
      <c r="G65" s="31">
        <v>0.29219858156028367</v>
      </c>
      <c r="H65" s="31">
        <v>0.15602836879432624</v>
      </c>
      <c r="I65" s="32">
        <v>9115.2912621359228</v>
      </c>
      <c r="J65" s="32">
        <v>-8351.363636363636</v>
      </c>
      <c r="K65" s="31">
        <v>0.13978494623655913</v>
      </c>
      <c r="L65" s="31">
        <v>0.25815602836879431</v>
      </c>
      <c r="M65" s="31">
        <v>0.20496453900709219</v>
      </c>
      <c r="N65" s="31">
        <v>0.5494505494505495</v>
      </c>
      <c r="O65" s="31">
        <v>0.41176470588235292</v>
      </c>
      <c r="P65" s="31">
        <v>0.46359223300970875</v>
      </c>
    </row>
    <row r="66" spans="1:16" x14ac:dyDescent="0.4">
      <c r="A66" s="33">
        <v>63</v>
      </c>
      <c r="B66" s="30">
        <v>-7.1054273576010019E-15</v>
      </c>
      <c r="C66" s="30">
        <v>-3.7594853743920643E-17</v>
      </c>
      <c r="D66" s="35">
        <v>2</v>
      </c>
      <c r="E66" s="31">
        <v>0.33333333333333331</v>
      </c>
      <c r="F66" s="31">
        <v>0.33333333333333331</v>
      </c>
      <c r="G66" s="31">
        <v>0.2914923291492329</v>
      </c>
      <c r="H66" s="31">
        <v>0.15550906555090654</v>
      </c>
      <c r="I66" s="32">
        <v>9079.6650717703342</v>
      </c>
      <c r="J66" s="32">
        <v>-8364.1255605381175</v>
      </c>
      <c r="K66" s="31">
        <v>0.13756613756613756</v>
      </c>
      <c r="L66" s="31">
        <v>0.25801952580195259</v>
      </c>
      <c r="M66" s="31">
        <v>0.20571827057182707</v>
      </c>
      <c r="N66" s="31">
        <v>0.54594594594594592</v>
      </c>
      <c r="O66" s="31">
        <v>0.4033898305084746</v>
      </c>
      <c r="P66" s="31">
        <v>0.46411483253588515</v>
      </c>
    </row>
    <row r="67" spans="1:16" x14ac:dyDescent="0.4">
      <c r="A67" s="33">
        <v>64</v>
      </c>
      <c r="B67" s="30">
        <v>-7.1054273576010019E-15</v>
      </c>
      <c r="C67" s="30">
        <v>-3.7007434154171883E-17</v>
      </c>
      <c r="D67" s="35">
        <v>2</v>
      </c>
      <c r="E67" s="31">
        <v>0.33333333333333331</v>
      </c>
      <c r="F67" s="31">
        <v>0.33333333333333331</v>
      </c>
      <c r="G67" s="31">
        <v>0.29192546583850931</v>
      </c>
      <c r="H67" s="31">
        <v>0.15527950310559005</v>
      </c>
      <c r="I67" s="32">
        <v>9123.4042553191484</v>
      </c>
      <c r="J67" s="32">
        <v>-8378.2222222222226</v>
      </c>
      <c r="K67" s="31">
        <v>0.140625</v>
      </c>
      <c r="L67" s="31">
        <v>0.25672877846790892</v>
      </c>
      <c r="M67" s="31">
        <v>0.20565907522429261</v>
      </c>
      <c r="N67" s="31">
        <v>0.54569892473118276</v>
      </c>
      <c r="O67" s="31">
        <v>0.40604026845637586</v>
      </c>
      <c r="P67" s="31">
        <v>0.4657210401891253</v>
      </c>
    </row>
    <row r="68" spans="1:16" x14ac:dyDescent="0.4">
      <c r="A68" s="33">
        <v>65</v>
      </c>
      <c r="B68" s="30">
        <v>-7.1054273576010019E-15</v>
      </c>
      <c r="C68" s="30">
        <v>-3.6438089013338471E-17</v>
      </c>
      <c r="D68" s="35">
        <v>2</v>
      </c>
      <c r="E68" s="31">
        <v>0.33333333333333331</v>
      </c>
      <c r="F68" s="31">
        <v>0.33333333333333331</v>
      </c>
      <c r="G68" s="31">
        <v>0.29284750337381915</v>
      </c>
      <c r="H68" s="31">
        <v>0.15519568151147098</v>
      </c>
      <c r="I68" s="32">
        <v>9105.0691244239624</v>
      </c>
      <c r="J68" s="32">
        <v>-8374.347826086956</v>
      </c>
      <c r="K68" s="31">
        <v>0.13846153846153847</v>
      </c>
      <c r="L68" s="31">
        <v>0.25573549257759787</v>
      </c>
      <c r="M68" s="31">
        <v>0.20445344129554655</v>
      </c>
      <c r="N68" s="31">
        <v>0.54881266490765168</v>
      </c>
      <c r="O68" s="31">
        <v>0.40924092409240925</v>
      </c>
      <c r="P68" s="31">
        <v>0.46774193548387094</v>
      </c>
    </row>
    <row r="69" spans="1:16" x14ac:dyDescent="0.4">
      <c r="A69" s="33">
        <v>66</v>
      </c>
      <c r="B69" s="30">
        <v>-1.4210854715202004E-14</v>
      </c>
      <c r="C69" s="30">
        <v>-7.1771993511121237E-17</v>
      </c>
      <c r="D69" s="35">
        <v>2</v>
      </c>
      <c r="E69" s="31">
        <v>0.33333333333333331</v>
      </c>
      <c r="F69" s="31">
        <v>0.33333333333333331</v>
      </c>
      <c r="G69" s="31">
        <v>0.29158383035122598</v>
      </c>
      <c r="H69" s="31">
        <v>0.15506958250497019</v>
      </c>
      <c r="I69" s="32">
        <v>9107.5</v>
      </c>
      <c r="J69" s="32">
        <v>-8351.2820512820508</v>
      </c>
      <c r="K69" s="31">
        <v>0.14141414141414141</v>
      </c>
      <c r="L69" s="31">
        <v>0.25646123260437376</v>
      </c>
      <c r="M69" s="31">
        <v>0.20344599072233266</v>
      </c>
      <c r="N69" s="31">
        <v>0.5452196382428941</v>
      </c>
      <c r="O69" s="31">
        <v>0.40716612377850164</v>
      </c>
      <c r="P69" s="31">
        <v>0.46590909090909088</v>
      </c>
    </row>
    <row r="70" spans="1:16" x14ac:dyDescent="0.4">
      <c r="A70" s="33">
        <v>67</v>
      </c>
      <c r="B70" s="30">
        <v>-1.4210854715202004E-14</v>
      </c>
      <c r="C70" s="30">
        <v>-7.0700769727373151E-17</v>
      </c>
      <c r="D70" s="35">
        <v>2</v>
      </c>
      <c r="E70" s="31">
        <v>0.33333333333333331</v>
      </c>
      <c r="F70" s="31">
        <v>0.33333333333333331</v>
      </c>
      <c r="G70" s="31">
        <v>0.29207596594629992</v>
      </c>
      <c r="H70" s="31">
        <v>0.15651604453176163</v>
      </c>
      <c r="I70" s="32">
        <v>9063.9013452914805</v>
      </c>
      <c r="J70" s="32">
        <v>-8307.1129707112977</v>
      </c>
      <c r="K70" s="31">
        <v>0.13930348258706468</v>
      </c>
      <c r="L70" s="31">
        <v>0.25540275049115913</v>
      </c>
      <c r="M70" s="31">
        <v>0.20301244269810084</v>
      </c>
      <c r="N70" s="31">
        <v>0.5461538461538461</v>
      </c>
      <c r="O70" s="31">
        <v>0.41290322580645161</v>
      </c>
      <c r="P70" s="31">
        <v>0.46188340807174888</v>
      </c>
    </row>
    <row r="71" spans="1:16" x14ac:dyDescent="0.4">
      <c r="A71" s="33">
        <v>68</v>
      </c>
      <c r="B71" s="30">
        <v>-1.4210854715202004E-14</v>
      </c>
      <c r="C71" s="30">
        <v>-6.9661052525500017E-17</v>
      </c>
      <c r="D71" s="35">
        <v>2</v>
      </c>
      <c r="E71" s="31">
        <v>0.33333333333333331</v>
      </c>
      <c r="F71" s="31">
        <v>0.33333333333333331</v>
      </c>
      <c r="G71" s="31">
        <v>0.29271437782076082</v>
      </c>
      <c r="H71" s="31">
        <v>0.1579626047711154</v>
      </c>
      <c r="I71" s="32">
        <v>8977.9735682819392</v>
      </c>
      <c r="J71" s="32">
        <v>-8223.2653061224482</v>
      </c>
      <c r="K71" s="31">
        <v>0.13725490196078433</v>
      </c>
      <c r="L71" s="31">
        <v>0.25402965828497742</v>
      </c>
      <c r="M71" s="31">
        <v>0.20438426821405545</v>
      </c>
      <c r="N71" s="31">
        <v>0.54822335025380708</v>
      </c>
      <c r="O71" s="31">
        <v>0.41009463722397477</v>
      </c>
      <c r="P71" s="31">
        <v>0.45814977973568283</v>
      </c>
    </row>
    <row r="72" spans="1:16" x14ac:dyDescent="0.4">
      <c r="A72" s="33">
        <v>69</v>
      </c>
      <c r="B72" s="30">
        <v>-9.7699626167013776E-15</v>
      </c>
      <c r="C72" s="30">
        <v>-4.7197887037204723E-17</v>
      </c>
      <c r="D72" s="35">
        <v>2</v>
      </c>
      <c r="E72" s="31">
        <v>0.33333333333333331</v>
      </c>
      <c r="F72" s="31">
        <v>0.33333333333333331</v>
      </c>
      <c r="G72" s="31">
        <v>0.29285262492093611</v>
      </c>
      <c r="H72" s="31">
        <v>0.15812776723592664</v>
      </c>
      <c r="I72" s="32">
        <v>8979.6976241900647</v>
      </c>
      <c r="J72" s="32">
        <v>-8179.2</v>
      </c>
      <c r="K72" s="31">
        <v>0.13526570048309178</v>
      </c>
      <c r="L72" s="31">
        <v>0.25363693864642634</v>
      </c>
      <c r="M72" s="31">
        <v>0.2049335863377609</v>
      </c>
      <c r="N72" s="31">
        <v>0.54862842892768082</v>
      </c>
      <c r="O72" s="31">
        <v>0.41358024691358025</v>
      </c>
      <c r="P72" s="31">
        <v>0.45788336933045354</v>
      </c>
    </row>
    <row r="73" spans="1:16" x14ac:dyDescent="0.4">
      <c r="A73" s="33">
        <v>70</v>
      </c>
      <c r="B73" s="30">
        <v>-7.1054273576010019E-15</v>
      </c>
      <c r="C73" s="30">
        <v>-3.3835368369528583E-17</v>
      </c>
      <c r="D73" s="35">
        <v>2</v>
      </c>
      <c r="E73" s="31">
        <v>0.33333333333333331</v>
      </c>
      <c r="F73" s="31">
        <v>0.33333333333333331</v>
      </c>
      <c r="G73" s="31">
        <v>0.29268292682926828</v>
      </c>
      <c r="H73" s="31">
        <v>0.15822388993120701</v>
      </c>
      <c r="I73" s="32">
        <v>8994.0170940170938</v>
      </c>
      <c r="J73" s="32">
        <v>-8167.588932806324</v>
      </c>
      <c r="K73" s="31">
        <v>0.1380952380952381</v>
      </c>
      <c r="L73" s="31">
        <v>0.25453408380237647</v>
      </c>
      <c r="M73" s="31">
        <v>0.20450281425891181</v>
      </c>
      <c r="N73" s="31">
        <v>0.54545454545454541</v>
      </c>
      <c r="O73" s="31">
        <v>0.41590214067278286</v>
      </c>
      <c r="P73" s="31">
        <v>0.45726495726495725</v>
      </c>
    </row>
    <row r="74" spans="1:16" x14ac:dyDescent="0.4">
      <c r="A74" s="33">
        <v>71</v>
      </c>
      <c r="B74" s="30">
        <v>-7.1054273576010019E-15</v>
      </c>
      <c r="C74" s="30">
        <v>-3.3358813885450714E-17</v>
      </c>
      <c r="D74" s="35">
        <v>2</v>
      </c>
      <c r="E74" s="31">
        <v>0.33333333333333331</v>
      </c>
      <c r="F74" s="31">
        <v>0.33333333333333331</v>
      </c>
      <c r="G74" s="31">
        <v>0.29274292742927427</v>
      </c>
      <c r="H74" s="31">
        <v>0.15990159901599016</v>
      </c>
      <c r="I74" s="32">
        <v>9051.6806722689071</v>
      </c>
      <c r="J74" s="32">
        <v>-8191.5384615384619</v>
      </c>
      <c r="K74" s="31">
        <v>0.13615023474178403</v>
      </c>
      <c r="L74" s="31">
        <v>0.25215252152521528</v>
      </c>
      <c r="M74" s="31">
        <v>0.20418204182041821</v>
      </c>
      <c r="N74" s="31">
        <v>0.54878048780487809</v>
      </c>
      <c r="O74" s="31">
        <v>0.41566265060240964</v>
      </c>
      <c r="P74" s="31">
        <v>0.45168067226890757</v>
      </c>
    </row>
    <row r="75" spans="1:16" x14ac:dyDescent="0.4">
      <c r="A75" s="33">
        <v>72</v>
      </c>
      <c r="B75" s="30">
        <v>-1.4210854715202004E-14</v>
      </c>
      <c r="C75" s="30">
        <v>-6.5790994051861125E-17</v>
      </c>
      <c r="D75" s="35">
        <v>2</v>
      </c>
      <c r="E75" s="31">
        <v>0.33333333333333331</v>
      </c>
      <c r="F75" s="31">
        <v>0.33333333333333331</v>
      </c>
      <c r="G75" s="31">
        <v>0.29333333333333333</v>
      </c>
      <c r="H75" s="31">
        <v>0.16</v>
      </c>
      <c r="I75" s="32">
        <v>9044.628099173553</v>
      </c>
      <c r="J75" s="32">
        <v>-8172.348484848485</v>
      </c>
      <c r="K75" s="31">
        <v>0.1388888888888889</v>
      </c>
      <c r="L75" s="31">
        <v>0.2503030303030303</v>
      </c>
      <c r="M75" s="31">
        <v>0.20545454545454545</v>
      </c>
      <c r="N75" s="31">
        <v>0.55205811138014527</v>
      </c>
      <c r="O75" s="31">
        <v>0.41887905604719766</v>
      </c>
      <c r="P75" s="31">
        <v>0.4524793388429752</v>
      </c>
    </row>
    <row r="76" spans="1:16" x14ac:dyDescent="0.4">
      <c r="A76" s="33">
        <v>73</v>
      </c>
      <c r="B76" s="30">
        <v>-2.1316282072803006E-14</v>
      </c>
      <c r="C76" s="30">
        <v>-9.733462133700002E-17</v>
      </c>
      <c r="D76" s="35">
        <v>2</v>
      </c>
      <c r="E76" s="31">
        <v>0.33333333333333331</v>
      </c>
      <c r="F76" s="31">
        <v>0.33333333333333331</v>
      </c>
      <c r="G76" s="31">
        <v>0.29345238095238096</v>
      </c>
      <c r="H76" s="31">
        <v>0.16011904761904761</v>
      </c>
      <c r="I76" s="32">
        <v>9082.3529411764703</v>
      </c>
      <c r="J76" s="32">
        <v>-8219.7026022304835</v>
      </c>
      <c r="K76" s="31">
        <v>0.14155251141552511</v>
      </c>
      <c r="L76" s="31">
        <v>0.24821428571428572</v>
      </c>
      <c r="M76" s="31">
        <v>0.20535714285714285</v>
      </c>
      <c r="N76" s="31">
        <v>0.55635491606714627</v>
      </c>
      <c r="O76" s="31">
        <v>0.41739130434782606</v>
      </c>
      <c r="P76" s="31">
        <v>0.45233265720081134</v>
      </c>
    </row>
    <row r="77" spans="1:16" x14ac:dyDescent="0.4">
      <c r="A77" s="33">
        <v>74</v>
      </c>
      <c r="B77" s="30">
        <v>-2.1316282072803006E-14</v>
      </c>
      <c r="C77" s="30">
        <v>-9.601928861622976E-17</v>
      </c>
      <c r="D77" s="35">
        <v>2</v>
      </c>
      <c r="E77" s="31">
        <v>0.33333333333333331</v>
      </c>
      <c r="F77" s="31">
        <v>0.33333333333333331</v>
      </c>
      <c r="G77" s="31">
        <v>0.2929824561403509</v>
      </c>
      <c r="H77" s="31">
        <v>0.16081871345029239</v>
      </c>
      <c r="I77" s="32">
        <v>9093.2135728542908</v>
      </c>
      <c r="J77" s="32">
        <v>-8290.545454545454</v>
      </c>
      <c r="K77" s="31">
        <v>0.13963963963963963</v>
      </c>
      <c r="L77" s="31">
        <v>0.24970760233918129</v>
      </c>
      <c r="M77" s="31">
        <v>0.20292397660818715</v>
      </c>
      <c r="N77" s="31">
        <v>0.55737704918032782</v>
      </c>
      <c r="O77" s="31">
        <v>0.41498559077809799</v>
      </c>
      <c r="P77" s="31">
        <v>0.44910179640718562</v>
      </c>
    </row>
    <row r="78" spans="1:16" x14ac:dyDescent="0.4">
      <c r="A78" s="33">
        <v>75</v>
      </c>
      <c r="B78" s="30">
        <v>-2.1316282072803006E-14</v>
      </c>
      <c r="C78" s="30">
        <v>-9.4739031434680031E-17</v>
      </c>
      <c r="D78" s="35">
        <v>2</v>
      </c>
      <c r="E78" s="31">
        <v>0.33333333333333331</v>
      </c>
      <c r="F78" s="31">
        <v>0.33333333333333331</v>
      </c>
      <c r="G78" s="31">
        <v>0.29310344827586204</v>
      </c>
      <c r="H78" s="31">
        <v>0.16034482758620688</v>
      </c>
      <c r="I78" s="32">
        <v>9095.0980392156871</v>
      </c>
      <c r="J78" s="32">
        <v>-8303.5842293906808</v>
      </c>
      <c r="K78" s="31">
        <v>0.13777777777777778</v>
      </c>
      <c r="L78" s="31">
        <v>0.24770114942528734</v>
      </c>
      <c r="M78" s="31">
        <v>0.2045977011494253</v>
      </c>
      <c r="N78" s="31">
        <v>0.55684454756380508</v>
      </c>
      <c r="O78" s="31">
        <v>0.41853932584269665</v>
      </c>
      <c r="P78" s="31">
        <v>0.45098039215686275</v>
      </c>
    </row>
    <row r="79" spans="1:16" x14ac:dyDescent="0.4">
      <c r="A79" s="33">
        <v>76</v>
      </c>
      <c r="B79" s="30">
        <v>-2.1316282072803006E-14</v>
      </c>
      <c r="C79" s="30">
        <v>-9.3492465231592125E-17</v>
      </c>
      <c r="D79" s="35">
        <v>2</v>
      </c>
      <c r="E79" s="31">
        <v>0.33333333333333331</v>
      </c>
      <c r="F79" s="31">
        <v>0.33333333333333331</v>
      </c>
      <c r="G79" s="31">
        <v>0.29371816638370118</v>
      </c>
      <c r="H79" s="31">
        <v>0.16072439162422184</v>
      </c>
      <c r="I79" s="32">
        <v>9029.2870905587661</v>
      </c>
      <c r="J79" s="32">
        <v>-8251.4084507042262</v>
      </c>
      <c r="K79" s="31">
        <v>0.13596491228070176</v>
      </c>
      <c r="L79" s="31">
        <v>0.24674589700056593</v>
      </c>
      <c r="M79" s="31">
        <v>0.20543293718166383</v>
      </c>
      <c r="N79" s="31">
        <v>0.55504587155963303</v>
      </c>
      <c r="O79" s="31">
        <v>0.41873278236914602</v>
      </c>
      <c r="P79" s="31">
        <v>0.45086705202312138</v>
      </c>
    </row>
    <row r="80" spans="1:16" x14ac:dyDescent="0.4">
      <c r="A80" s="33">
        <v>77</v>
      </c>
      <c r="B80" s="30">
        <v>-2.1316282072803006E-14</v>
      </c>
      <c r="C80" s="30">
        <v>-9.2278277371441589E-17</v>
      </c>
      <c r="D80" s="35">
        <v>2</v>
      </c>
      <c r="E80" s="31">
        <v>0.33333333333333331</v>
      </c>
      <c r="F80" s="31">
        <v>0.33333333333333331</v>
      </c>
      <c r="G80" s="31">
        <v>0.29398538504777966</v>
      </c>
      <c r="H80" s="31">
        <v>0.16020236087689713</v>
      </c>
      <c r="I80" s="32">
        <v>9134.7992351816447</v>
      </c>
      <c r="J80" s="32">
        <v>-8249.4736842105267</v>
      </c>
      <c r="K80" s="31">
        <v>0.13852813852813853</v>
      </c>
      <c r="L80" s="31">
        <v>0.24845418774592468</v>
      </c>
      <c r="M80" s="31">
        <v>0.20517144463181564</v>
      </c>
      <c r="N80" s="31">
        <v>0.55429864253393668</v>
      </c>
      <c r="O80" s="31">
        <v>0.41643835616438357</v>
      </c>
      <c r="P80" s="31">
        <v>0.45315487571701724</v>
      </c>
    </row>
    <row r="81" spans="1:16" x14ac:dyDescent="0.4">
      <c r="A81" s="33">
        <v>78</v>
      </c>
      <c r="B81" s="30">
        <v>-2.1316282072803006E-14</v>
      </c>
      <c r="C81" s="30">
        <v>-9.1095222533346175E-17</v>
      </c>
      <c r="D81" s="35">
        <v>2</v>
      </c>
      <c r="E81" s="31">
        <v>0.33333333333333331</v>
      </c>
      <c r="F81" s="31">
        <v>0.33333333333333331</v>
      </c>
      <c r="G81" s="31">
        <v>0.29311294765840218</v>
      </c>
      <c r="H81" s="31">
        <v>0.15977961432506887</v>
      </c>
      <c r="I81" s="32">
        <v>9084.5864661654141</v>
      </c>
      <c r="J81" s="32">
        <v>-8194.4827586206902</v>
      </c>
      <c r="K81" s="31">
        <v>0.13675213675213677</v>
      </c>
      <c r="L81" s="31">
        <v>0.24407713498622591</v>
      </c>
      <c r="M81" s="31">
        <v>0.20440771349862258</v>
      </c>
      <c r="N81" s="31">
        <v>0.55304740406320541</v>
      </c>
      <c r="O81" s="31">
        <v>0.42318059299191374</v>
      </c>
      <c r="P81" s="31">
        <v>0.45300751879699247</v>
      </c>
    </row>
    <row r="82" spans="1:16" x14ac:dyDescent="0.4">
      <c r="A82" s="33">
        <v>79</v>
      </c>
      <c r="B82" s="30">
        <v>-2.1316282072803006E-14</v>
      </c>
      <c r="C82" s="30">
        <v>-8.9942118450645592E-17</v>
      </c>
      <c r="D82" s="35">
        <v>2</v>
      </c>
      <c r="E82" s="31">
        <v>0.33333333333333331</v>
      </c>
      <c r="F82" s="31">
        <v>0.33333333333333331</v>
      </c>
      <c r="G82" s="31">
        <v>0.29261672095548319</v>
      </c>
      <c r="H82" s="31">
        <v>0.15960912052117263</v>
      </c>
      <c r="I82" s="32">
        <v>9051.0204081632655</v>
      </c>
      <c r="J82" s="32">
        <v>-8162.925170068027</v>
      </c>
      <c r="K82" s="31">
        <v>0.13502109704641349</v>
      </c>
      <c r="L82" s="31">
        <v>0.24321389793702497</v>
      </c>
      <c r="M82" s="31">
        <v>0.20358306188925082</v>
      </c>
      <c r="N82" s="31">
        <v>0.5513392857142857</v>
      </c>
      <c r="O82" s="31">
        <v>0.42133333333333334</v>
      </c>
      <c r="P82" s="31">
        <v>0.45269016697588127</v>
      </c>
    </row>
    <row r="83" spans="1:16" x14ac:dyDescent="0.4">
      <c r="A83" s="33">
        <v>80</v>
      </c>
      <c r="B83" s="30">
        <v>-2.1316282072803006E-14</v>
      </c>
      <c r="C83" s="30">
        <v>-8.8817841970012528E-17</v>
      </c>
      <c r="D83" s="35">
        <v>2</v>
      </c>
      <c r="E83" s="31">
        <v>0.33333333333333331</v>
      </c>
      <c r="F83" s="31">
        <v>0.33333333333333331</v>
      </c>
      <c r="G83" s="31">
        <v>0.2924731182795699</v>
      </c>
      <c r="H83" s="31">
        <v>0.1596774193548387</v>
      </c>
      <c r="I83" s="32">
        <v>9055.5147058823532</v>
      </c>
      <c r="J83" s="32">
        <v>-8201.6835016835012</v>
      </c>
      <c r="K83" s="31">
        <v>0.13333333333333333</v>
      </c>
      <c r="L83" s="31">
        <v>0.24301075268817204</v>
      </c>
      <c r="M83" s="31">
        <v>0.20322580645161289</v>
      </c>
      <c r="N83" s="31">
        <v>0.55088495575221241</v>
      </c>
      <c r="O83" s="31">
        <v>0.42063492063492064</v>
      </c>
      <c r="P83" s="31">
        <v>0.45220588235294118</v>
      </c>
    </row>
    <row r="84" spans="1:16" x14ac:dyDescent="0.4">
      <c r="A84" s="33">
        <v>81</v>
      </c>
      <c r="B84" s="30">
        <v>-2.1316282072803006E-14</v>
      </c>
      <c r="C84" s="30">
        <v>-8.77213254024815E-17</v>
      </c>
      <c r="D84" s="35">
        <v>2</v>
      </c>
      <c r="E84" s="31">
        <v>0.33333333333333331</v>
      </c>
      <c r="F84" s="31">
        <v>0.33333333333333331</v>
      </c>
      <c r="G84" s="31">
        <v>0.29193205944798301</v>
      </c>
      <c r="H84" s="31">
        <v>0.15976645435244161</v>
      </c>
      <c r="I84" s="32">
        <v>9034.7272727272721</v>
      </c>
      <c r="J84" s="32">
        <v>-8183.0564784053158</v>
      </c>
      <c r="K84" s="31">
        <v>0.13168724279835392</v>
      </c>
      <c r="L84" s="31">
        <v>0.24309978768577495</v>
      </c>
      <c r="M84" s="31">
        <v>0.20276008492569003</v>
      </c>
      <c r="N84" s="31">
        <v>0.55240174672489084</v>
      </c>
      <c r="O84" s="31">
        <v>0.41884816753926701</v>
      </c>
      <c r="P84" s="31">
        <v>0.45090909090909093</v>
      </c>
    </row>
    <row r="85" spans="1:16" x14ac:dyDescent="0.4">
      <c r="A85" s="33">
        <v>82</v>
      </c>
      <c r="B85" s="30">
        <v>-2.3092638912203256E-14</v>
      </c>
      <c r="C85" s="30">
        <v>-9.3872515903265274E-17</v>
      </c>
      <c r="D85" s="35">
        <v>2</v>
      </c>
      <c r="E85" s="31">
        <v>0.33333333333333331</v>
      </c>
      <c r="F85" s="31">
        <v>0.33333333333333331</v>
      </c>
      <c r="G85" s="31">
        <v>0.29251700680272108</v>
      </c>
      <c r="H85" s="31">
        <v>0.16012558869701726</v>
      </c>
      <c r="I85" s="32">
        <v>9079.7853309481216</v>
      </c>
      <c r="J85" s="32">
        <v>-8237.254901960785</v>
      </c>
      <c r="K85" s="31">
        <v>0.13008130081300814</v>
      </c>
      <c r="L85" s="31">
        <v>0.24594453165881738</v>
      </c>
      <c r="M85" s="31">
        <v>0.20198848770277342</v>
      </c>
      <c r="N85" s="31">
        <v>0.55531914893617018</v>
      </c>
      <c r="O85" s="31">
        <v>0.41450777202072536</v>
      </c>
      <c r="P85" s="31">
        <v>0.45080500894454384</v>
      </c>
    </row>
    <row r="86" spans="1:16" x14ac:dyDescent="0.4">
      <c r="A86" s="33">
        <v>83</v>
      </c>
      <c r="B86" s="30">
        <v>-2.6645352591003757E-14</v>
      </c>
      <c r="C86" s="30">
        <v>-1.0700944815664159E-16</v>
      </c>
      <c r="D86" s="35">
        <v>2</v>
      </c>
      <c r="E86" s="31">
        <v>0.33333333333333331</v>
      </c>
      <c r="F86" s="31">
        <v>0.33333333333333331</v>
      </c>
      <c r="G86" s="31">
        <v>0.29166666666666669</v>
      </c>
      <c r="H86" s="31">
        <v>0.15792181069958847</v>
      </c>
      <c r="I86" s="32">
        <v>9035.4497354497362</v>
      </c>
      <c r="J86" s="32">
        <v>-8249.511400651465</v>
      </c>
      <c r="K86" s="31">
        <v>0.12851405622489959</v>
      </c>
      <c r="L86" s="31">
        <v>0.24537037037037038</v>
      </c>
      <c r="M86" s="31">
        <v>0.20421810699588477</v>
      </c>
      <c r="N86" s="31">
        <v>0.55136268343815509</v>
      </c>
      <c r="O86" s="31">
        <v>0.41561712846347609</v>
      </c>
      <c r="P86" s="31">
        <v>0.4567901234567901</v>
      </c>
    </row>
    <row r="87" spans="1:16" x14ac:dyDescent="0.4">
      <c r="A87" s="33">
        <v>84</v>
      </c>
      <c r="B87" s="30">
        <v>-2.8421709430404007E-14</v>
      </c>
      <c r="C87" s="30">
        <v>-1.1278456123176193E-16</v>
      </c>
      <c r="D87" s="35">
        <v>2</v>
      </c>
      <c r="E87" s="31">
        <v>0.33333333333333331</v>
      </c>
      <c r="F87" s="31">
        <v>0.33333333333333331</v>
      </c>
      <c r="G87" s="31">
        <v>0.29211195928753181</v>
      </c>
      <c r="H87" s="31">
        <v>0.15725190839694655</v>
      </c>
      <c r="I87" s="32">
        <v>9029.7909407665502</v>
      </c>
      <c r="J87" s="32">
        <v>-8260.8414239482208</v>
      </c>
      <c r="K87" s="31">
        <v>0.13095238095238096</v>
      </c>
      <c r="L87" s="31">
        <v>0.24681933842239187</v>
      </c>
      <c r="M87" s="31">
        <v>0.20356234096692111</v>
      </c>
      <c r="N87" s="31">
        <v>0.5525773195876289</v>
      </c>
      <c r="O87" s="31">
        <v>0.41499999999999998</v>
      </c>
      <c r="P87" s="31">
        <v>0.45993031358885017</v>
      </c>
    </row>
    <row r="88" spans="1:16" x14ac:dyDescent="0.4">
      <c r="A88" s="33">
        <v>85</v>
      </c>
      <c r="B88" s="30">
        <v>-2.8421709430404007E-14</v>
      </c>
      <c r="C88" s="30">
        <v>-1.1145768404080003E-16</v>
      </c>
      <c r="D88" s="35">
        <v>2</v>
      </c>
      <c r="E88" s="31">
        <v>0.33333333333333331</v>
      </c>
      <c r="F88" s="31">
        <v>0.33333333333333331</v>
      </c>
      <c r="G88" s="31">
        <v>0.29235382308845576</v>
      </c>
      <c r="H88" s="31">
        <v>0.15642178910544727</v>
      </c>
      <c r="I88" s="32">
        <v>8994.8717948717949</v>
      </c>
      <c r="J88" s="32">
        <v>-8231.3099041533551</v>
      </c>
      <c r="K88" s="31">
        <v>0.13333333333333333</v>
      </c>
      <c r="L88" s="31">
        <v>0.24737631184407796</v>
      </c>
      <c r="M88" s="31">
        <v>0.20389805097451275</v>
      </c>
      <c r="N88" s="31">
        <v>0.55353535353535355</v>
      </c>
      <c r="O88" s="31">
        <v>0.41176470588235292</v>
      </c>
      <c r="P88" s="31">
        <v>0.46324786324786327</v>
      </c>
    </row>
    <row r="89" spans="1:16" x14ac:dyDescent="0.4">
      <c r="A89" s="33">
        <v>86</v>
      </c>
      <c r="B89" s="30">
        <v>-3.5527136788005009E-14</v>
      </c>
      <c r="C89" s="30">
        <v>-1.3770208057366282E-16</v>
      </c>
      <c r="D89" s="35">
        <v>2</v>
      </c>
      <c r="E89" s="31">
        <v>0.33333333333333331</v>
      </c>
      <c r="F89" s="31">
        <v>0.33333333333333331</v>
      </c>
      <c r="G89" s="31">
        <v>0.2910521140609636</v>
      </c>
      <c r="H89" s="31">
        <v>0.15535889872173059</v>
      </c>
      <c r="I89" s="32">
        <v>9005.0675675675684</v>
      </c>
      <c r="J89" s="32">
        <v>-8253.481012658227</v>
      </c>
      <c r="K89" s="31">
        <v>0.13565891472868216</v>
      </c>
      <c r="L89" s="31">
        <v>0.24680432645034414</v>
      </c>
      <c r="M89" s="31">
        <v>0.20452310717797442</v>
      </c>
      <c r="N89" s="31">
        <v>0.55179282868525892</v>
      </c>
      <c r="O89" s="31">
        <v>0.40865384615384615</v>
      </c>
      <c r="P89" s="31">
        <v>0.46452702702702703</v>
      </c>
    </row>
    <row r="90" spans="1:16" x14ac:dyDescent="0.4">
      <c r="A90" s="33">
        <v>87</v>
      </c>
      <c r="B90" s="30">
        <v>-3.3750779948604759E-14</v>
      </c>
      <c r="C90" s="30">
        <v>-1.2931333313641671E-16</v>
      </c>
      <c r="D90" s="35">
        <v>2</v>
      </c>
      <c r="E90" s="31">
        <v>0.33333333333333331</v>
      </c>
      <c r="F90" s="31">
        <v>0.33333333333333331</v>
      </c>
      <c r="G90" s="31">
        <v>0.29057337220602525</v>
      </c>
      <c r="H90" s="31">
        <v>0.15500485908649175</v>
      </c>
      <c r="I90" s="32">
        <v>8974.7491638795982</v>
      </c>
      <c r="J90" s="32">
        <v>-8221.3166144200623</v>
      </c>
      <c r="K90" s="31">
        <v>0.13409961685823754</v>
      </c>
      <c r="L90" s="31">
        <v>0.24538386783284744</v>
      </c>
      <c r="M90" s="31">
        <v>0.20408163265306123</v>
      </c>
      <c r="N90" s="31">
        <v>0.55247524752475252</v>
      </c>
      <c r="O90" s="31">
        <v>0.40952380952380951</v>
      </c>
      <c r="P90" s="31">
        <v>0.46488294314381273</v>
      </c>
    </row>
    <row r="91" spans="1:16" x14ac:dyDescent="0.4">
      <c r="A91" s="33">
        <v>88</v>
      </c>
      <c r="B91" s="30">
        <v>-3.1974423109204508E-14</v>
      </c>
      <c r="C91" s="30">
        <v>-1.2111523905001707E-16</v>
      </c>
      <c r="D91" s="35">
        <v>2</v>
      </c>
      <c r="E91" s="31">
        <v>0.33333333333333331</v>
      </c>
      <c r="F91" s="31">
        <v>0.33333333333333331</v>
      </c>
      <c r="G91" s="31">
        <v>0.29106628242074928</v>
      </c>
      <c r="H91" s="31">
        <v>0.15609990393852066</v>
      </c>
      <c r="I91" s="32">
        <v>8927.5577557755769</v>
      </c>
      <c r="J91" s="32">
        <v>-8153.8461538461543</v>
      </c>
      <c r="K91" s="31">
        <v>0.13257575757575757</v>
      </c>
      <c r="L91" s="31">
        <v>0.24399615754082613</v>
      </c>
      <c r="M91" s="31">
        <v>0.20268972142170991</v>
      </c>
      <c r="N91" s="31">
        <v>0.55314960629921262</v>
      </c>
      <c r="O91" s="31">
        <v>0.41232227488151657</v>
      </c>
      <c r="P91" s="31">
        <v>0.46204620462046203</v>
      </c>
    </row>
    <row r="92" spans="1:16" x14ac:dyDescent="0.4">
      <c r="A92" s="33">
        <v>89</v>
      </c>
      <c r="B92" s="30">
        <v>-3.5527136788005009E-14</v>
      </c>
      <c r="C92" s="30">
        <v>-1.3306043740825847E-16</v>
      </c>
      <c r="D92" s="35">
        <v>2</v>
      </c>
      <c r="E92" s="31">
        <v>0.33333333333333331</v>
      </c>
      <c r="F92" s="31">
        <v>0.33333333333333331</v>
      </c>
      <c r="G92" s="31">
        <v>0.29101283880171186</v>
      </c>
      <c r="H92" s="31">
        <v>0.15596766524013314</v>
      </c>
      <c r="I92" s="32">
        <v>8888.8888888888887</v>
      </c>
      <c r="J92" s="32">
        <v>-8103.0487804878048</v>
      </c>
      <c r="K92" s="31">
        <v>0.13108614232209737</v>
      </c>
      <c r="L92" s="31">
        <v>0.24298621017593913</v>
      </c>
      <c r="M92" s="31">
        <v>0.20494531621493106</v>
      </c>
      <c r="N92" s="31">
        <v>0.55185909980430525</v>
      </c>
      <c r="O92" s="31">
        <v>0.41531322505800466</v>
      </c>
      <c r="P92" s="31">
        <v>0.46241830065359479</v>
      </c>
    </row>
    <row r="93" spans="1:16" x14ac:dyDescent="0.4">
      <c r="A93" s="33">
        <v>90</v>
      </c>
      <c r="B93" s="30">
        <v>-3.6415315207705135E-14</v>
      </c>
      <c r="C93" s="30">
        <v>-1.3487153780631531E-16</v>
      </c>
      <c r="D93" s="35">
        <v>2</v>
      </c>
      <c r="E93" s="31">
        <v>0.33333333333333331</v>
      </c>
      <c r="F93" s="31">
        <v>0.33333333333333331</v>
      </c>
      <c r="G93" s="31">
        <v>0.29061032863849767</v>
      </c>
      <c r="H93" s="31">
        <v>0.15446009389671361</v>
      </c>
      <c r="I93" s="32">
        <v>8876.5751211631668</v>
      </c>
      <c r="J93" s="32">
        <v>-8101.8237082066871</v>
      </c>
      <c r="K93" s="31">
        <v>0.12962962962962962</v>
      </c>
      <c r="L93" s="31">
        <v>0.24178403755868544</v>
      </c>
      <c r="M93" s="31">
        <v>0.2051643192488263</v>
      </c>
      <c r="N93" s="31">
        <v>0.55145631067961165</v>
      </c>
      <c r="O93" s="31">
        <v>0.41647597254004576</v>
      </c>
      <c r="P93" s="31">
        <v>0.46688206785137321</v>
      </c>
    </row>
    <row r="94" spans="1:16" x14ac:dyDescent="0.4">
      <c r="A94" s="33">
        <v>91</v>
      </c>
      <c r="B94" s="30">
        <v>-3.5527136788005009E-14</v>
      </c>
      <c r="C94" s="30">
        <v>-1.3013603219049455E-16</v>
      </c>
      <c r="D94" s="35">
        <v>2</v>
      </c>
      <c r="E94" s="31">
        <v>0.33333333333333331</v>
      </c>
      <c r="F94" s="31">
        <v>0.33333333333333331</v>
      </c>
      <c r="G94" s="31">
        <v>0.29096834264432031</v>
      </c>
      <c r="H94" s="31">
        <v>0.15549348230912477</v>
      </c>
      <c r="I94" s="32">
        <v>8832.7999999999993</v>
      </c>
      <c r="J94" s="32">
        <v>-8058.0838323353291</v>
      </c>
      <c r="K94" s="31">
        <v>0.12820512820512819</v>
      </c>
      <c r="L94" s="31">
        <v>0.24255121042830541</v>
      </c>
      <c r="M94" s="31">
        <v>0.20577281191806332</v>
      </c>
      <c r="N94" s="31">
        <v>0.55086372360844527</v>
      </c>
      <c r="O94" s="31">
        <v>0.41402714932126694</v>
      </c>
      <c r="P94" s="31">
        <v>0.46239999999999998</v>
      </c>
    </row>
    <row r="95" spans="1:16" x14ac:dyDescent="0.4">
      <c r="A95" s="33">
        <v>92</v>
      </c>
      <c r="B95" s="30">
        <v>-3.5527136788005009E-14</v>
      </c>
      <c r="C95" s="30">
        <v>-1.2872151010146743E-16</v>
      </c>
      <c r="D95" s="35">
        <v>2</v>
      </c>
      <c r="E95" s="31">
        <v>0.33333333333333331</v>
      </c>
      <c r="F95" s="31">
        <v>0.33333333333333331</v>
      </c>
      <c r="G95" s="31">
        <v>0.29103448275862071</v>
      </c>
      <c r="H95" s="31">
        <v>0.15494252873563219</v>
      </c>
      <c r="I95" s="32">
        <v>8842.022116903634</v>
      </c>
      <c r="J95" s="32">
        <v>-8044.5103857566764</v>
      </c>
      <c r="K95" s="31">
        <v>0.12681159420289856</v>
      </c>
      <c r="L95" s="31">
        <v>0.24229885057471265</v>
      </c>
      <c r="M95" s="31">
        <v>0.20689655172413793</v>
      </c>
      <c r="N95" s="31">
        <v>0.5540796963946869</v>
      </c>
      <c r="O95" s="31">
        <v>0.41111111111111109</v>
      </c>
      <c r="P95" s="31">
        <v>0.46445497630331756</v>
      </c>
    </row>
    <row r="96" spans="1:16" x14ac:dyDescent="0.4">
      <c r="A96" s="33">
        <v>93</v>
      </c>
      <c r="B96" s="30">
        <v>-3.5527136788005009E-14</v>
      </c>
      <c r="C96" s="30">
        <v>-1.2733740784231185E-16</v>
      </c>
      <c r="D96" s="35">
        <v>2</v>
      </c>
      <c r="E96" s="31">
        <v>0.33333333333333331</v>
      </c>
      <c r="F96" s="31">
        <v>0.33333333333333331</v>
      </c>
      <c r="G96" s="31">
        <v>0.29098360655737704</v>
      </c>
      <c r="H96" s="31">
        <v>0.15482695810564662</v>
      </c>
      <c r="I96" s="32">
        <v>8868.2316118935832</v>
      </c>
      <c r="J96" s="32">
        <v>-8043.2352941176468</v>
      </c>
      <c r="K96" s="31">
        <v>0.12544802867383512</v>
      </c>
      <c r="L96" s="31">
        <v>0.24134790528233152</v>
      </c>
      <c r="M96" s="31">
        <v>0.20719489981785064</v>
      </c>
      <c r="N96" s="31">
        <v>0.55471698113207546</v>
      </c>
      <c r="O96" s="31">
        <v>0.40879120879120878</v>
      </c>
      <c r="P96" s="31">
        <v>0.46478873239436619</v>
      </c>
    </row>
    <row r="97" spans="1:16" x14ac:dyDescent="0.4">
      <c r="A97" s="33">
        <v>94</v>
      </c>
      <c r="B97" s="30">
        <v>-3.5527136788005009E-14</v>
      </c>
      <c r="C97" s="30">
        <v>-1.2598275456739366E-16</v>
      </c>
      <c r="D97" s="35">
        <v>2</v>
      </c>
      <c r="E97" s="31">
        <v>0.33333333333333331</v>
      </c>
      <c r="F97" s="31">
        <v>0.33333333333333331</v>
      </c>
      <c r="G97" s="31">
        <v>0.29104813315339634</v>
      </c>
      <c r="H97" s="31">
        <v>0.15519568151147098</v>
      </c>
      <c r="I97" s="32">
        <v>8862.287480680061</v>
      </c>
      <c r="J97" s="32">
        <v>-8035.072463768116</v>
      </c>
      <c r="K97" s="31">
        <v>0.12411347517730496</v>
      </c>
      <c r="L97" s="31">
        <v>0.24381466486729644</v>
      </c>
      <c r="M97" s="31">
        <v>0.20647773279352227</v>
      </c>
      <c r="N97" s="31">
        <v>0.55535055350553508</v>
      </c>
      <c r="O97" s="31">
        <v>0.40522875816993464</v>
      </c>
      <c r="P97" s="31">
        <v>0.46367851622874806</v>
      </c>
    </row>
    <row r="98" spans="1:16" x14ac:dyDescent="0.4">
      <c r="A98" s="33">
        <v>95</v>
      </c>
      <c r="B98" s="30">
        <v>-3.1974423109204508E-14</v>
      </c>
      <c r="C98" s="30">
        <v>-1.1219095827791056E-16</v>
      </c>
      <c r="D98" s="35">
        <v>2</v>
      </c>
      <c r="E98" s="31">
        <v>0.33333333333333331</v>
      </c>
      <c r="F98" s="31">
        <v>0.33333333333333331</v>
      </c>
      <c r="G98" s="31">
        <v>0.29105473965287049</v>
      </c>
      <c r="H98" s="31">
        <v>0.155318202047174</v>
      </c>
      <c r="I98" s="32">
        <v>8857.1865443425067</v>
      </c>
      <c r="J98" s="32">
        <v>-8057.5931232091689</v>
      </c>
      <c r="K98" s="31">
        <v>0.12280701754385964</v>
      </c>
      <c r="L98" s="31">
        <v>0.24521584334668448</v>
      </c>
      <c r="M98" s="31">
        <v>0.20605251446372941</v>
      </c>
      <c r="N98" s="31">
        <v>0.55535390199637025</v>
      </c>
      <c r="O98" s="31">
        <v>0.40604751619870411</v>
      </c>
      <c r="P98" s="31">
        <v>0.46330275229357798</v>
      </c>
    </row>
    <row r="99" spans="1:16" x14ac:dyDescent="0.4">
      <c r="A99" s="33">
        <v>96</v>
      </c>
      <c r="B99" s="30">
        <v>-2.1316282072803006E-14</v>
      </c>
      <c r="C99" s="30">
        <v>-7.4014868308343765E-17</v>
      </c>
      <c r="D99" s="35">
        <v>2</v>
      </c>
      <c r="E99" s="31">
        <v>0.33333333333333331</v>
      </c>
      <c r="F99" s="31">
        <v>0.33333333333333331</v>
      </c>
      <c r="G99" s="31">
        <v>0.29094922737306844</v>
      </c>
      <c r="H99" s="31">
        <v>0.1545253863134658</v>
      </c>
      <c r="I99" s="32">
        <v>8866.0091047040969</v>
      </c>
      <c r="J99" s="32">
        <v>-8057.4285714285716</v>
      </c>
      <c r="K99" s="31">
        <v>0.12152777777777778</v>
      </c>
      <c r="L99" s="31">
        <v>0.24459161147902869</v>
      </c>
      <c r="M99" s="31">
        <v>0.20662251655629138</v>
      </c>
      <c r="N99" s="31">
        <v>0.55595667870036103</v>
      </c>
      <c r="O99" s="31">
        <v>0.40384615384615385</v>
      </c>
      <c r="P99" s="31">
        <v>0.46585735963581182</v>
      </c>
    </row>
    <row r="100" spans="1:16" x14ac:dyDescent="0.4">
      <c r="A100" s="33">
        <v>97</v>
      </c>
      <c r="B100" s="30">
        <v>-2.1316282072803006E-14</v>
      </c>
      <c r="C100" s="30">
        <v>-7.3251828428876306E-17</v>
      </c>
      <c r="D100" s="35">
        <v>2</v>
      </c>
      <c r="E100" s="31">
        <v>0.33333333333333331</v>
      </c>
      <c r="F100" s="31">
        <v>0.33333333333333331</v>
      </c>
      <c r="G100" s="31">
        <v>0.29040735873850199</v>
      </c>
      <c r="H100" s="31">
        <v>0.15418309242225142</v>
      </c>
      <c r="I100" s="32">
        <v>8842.5339366515836</v>
      </c>
      <c r="J100" s="32">
        <v>-8045.454545454545</v>
      </c>
      <c r="K100" s="31">
        <v>0.12027491408934708</v>
      </c>
      <c r="L100" s="31">
        <v>0.24310118265440211</v>
      </c>
      <c r="M100" s="31">
        <v>0.20893561103810776</v>
      </c>
      <c r="N100" s="31">
        <v>0.55495495495495495</v>
      </c>
      <c r="O100" s="31">
        <v>0.40461215932914046</v>
      </c>
      <c r="P100" s="31">
        <v>0.4660633484162896</v>
      </c>
    </row>
    <row r="101" spans="1:16" x14ac:dyDescent="0.4">
      <c r="A101" s="33">
        <v>98</v>
      </c>
      <c r="B101" s="30">
        <v>-2.4868995751603507E-14</v>
      </c>
      <c r="C101" s="30">
        <v>-8.4588420923821446E-17</v>
      </c>
      <c r="D101" s="35">
        <v>2</v>
      </c>
      <c r="E101" s="31">
        <v>0.33333333333333331</v>
      </c>
      <c r="F101" s="31">
        <v>0.33333333333333331</v>
      </c>
      <c r="G101" s="31">
        <v>0.2907986111111111</v>
      </c>
      <c r="H101" s="31">
        <v>0.1545138888888889</v>
      </c>
      <c r="I101" s="32">
        <v>8820</v>
      </c>
      <c r="J101" s="32">
        <v>-8007.303370786517</v>
      </c>
      <c r="K101" s="31">
        <v>0.11904761904761904</v>
      </c>
      <c r="L101" s="31">
        <v>0.24175347222222221</v>
      </c>
      <c r="M101" s="31">
        <v>0.21006944444444445</v>
      </c>
      <c r="N101" s="31">
        <v>0.55475763016157986</v>
      </c>
      <c r="O101" s="31">
        <v>0.40909090909090912</v>
      </c>
      <c r="P101" s="31">
        <v>0.46567164179104475</v>
      </c>
    </row>
    <row r="102" spans="1:16" x14ac:dyDescent="0.4">
      <c r="A102" s="33">
        <v>99</v>
      </c>
      <c r="B102" s="30">
        <v>-2.8421709430404007E-14</v>
      </c>
      <c r="C102" s="30">
        <v>-9.5695991348161637E-17</v>
      </c>
      <c r="D102" s="35">
        <v>2</v>
      </c>
      <c r="E102" s="31">
        <v>0.33333333333333331</v>
      </c>
      <c r="F102" s="31">
        <v>0.33333333333333331</v>
      </c>
      <c r="G102" s="31">
        <v>0.29081632653061223</v>
      </c>
      <c r="H102" s="31">
        <v>0.15476190476190477</v>
      </c>
      <c r="I102" s="32">
        <v>8763.1578947368416</v>
      </c>
      <c r="J102" s="32">
        <v>-7911.8131868131868</v>
      </c>
      <c r="K102" s="31">
        <v>0.12121212121212122</v>
      </c>
      <c r="L102" s="31">
        <v>0.23809523809523808</v>
      </c>
      <c r="M102" s="31">
        <v>0.21258503401360543</v>
      </c>
      <c r="N102" s="31">
        <v>0.5535714285714286</v>
      </c>
      <c r="O102" s="31">
        <v>0.41</v>
      </c>
      <c r="P102" s="31">
        <v>0.46491228070175439</v>
      </c>
    </row>
    <row r="103" spans="1:16" x14ac:dyDescent="0.4">
      <c r="A103" s="33">
        <v>100</v>
      </c>
      <c r="B103" s="30">
        <v>-2.8421709430404007E-14</v>
      </c>
      <c r="C103" s="30">
        <v>-9.4739031434680031E-17</v>
      </c>
      <c r="D103" s="35">
        <v>2</v>
      </c>
      <c r="E103" s="31">
        <v>0.33333333333333331</v>
      </c>
      <c r="F103" s="31">
        <v>0.33333333333333331</v>
      </c>
      <c r="G103" s="31">
        <v>0.29071729957805909</v>
      </c>
      <c r="H103" s="31">
        <v>0.15443037974683543</v>
      </c>
      <c r="I103" s="32">
        <v>8786.2119013062402</v>
      </c>
      <c r="J103" s="32">
        <v>-7933.333333333333</v>
      </c>
      <c r="K103" s="31">
        <v>0.12</v>
      </c>
      <c r="L103" s="31">
        <v>0.23797468354430379</v>
      </c>
      <c r="M103" s="31">
        <v>0.21265822784810126</v>
      </c>
      <c r="N103" s="31">
        <v>0.55319148936170215</v>
      </c>
      <c r="O103" s="31">
        <v>0.4107142857142857</v>
      </c>
      <c r="P103" s="31">
        <v>0.46589259796806964</v>
      </c>
    </row>
    <row r="104" spans="1:16" x14ac:dyDescent="0.4">
      <c r="A104" s="33">
        <v>101</v>
      </c>
      <c r="B104" s="30">
        <v>-2.8421709430404007E-14</v>
      </c>
      <c r="C104" s="30">
        <v>-9.3801021222455471E-17</v>
      </c>
      <c r="D104" s="35">
        <v>2</v>
      </c>
      <c r="E104" s="31">
        <v>0.33333333333333331</v>
      </c>
      <c r="F104" s="31">
        <v>0.33333333333333331</v>
      </c>
      <c r="G104" s="31">
        <v>0.28989139515455303</v>
      </c>
      <c r="H104" s="31">
        <v>0.15371762740183792</v>
      </c>
      <c r="I104" s="32">
        <v>8793.9481268011532</v>
      </c>
      <c r="J104" s="32">
        <v>-7904.347826086957</v>
      </c>
      <c r="K104" s="31">
        <v>0.11881188118811881</v>
      </c>
      <c r="L104" s="31">
        <v>0.23767752715121135</v>
      </c>
      <c r="M104" s="31">
        <v>0.21261487050960734</v>
      </c>
      <c r="N104" s="31">
        <v>0.55184534270650265</v>
      </c>
      <c r="O104" s="31">
        <v>0.41060903732809428</v>
      </c>
      <c r="P104" s="31">
        <v>0.4668587896253602</v>
      </c>
    </row>
    <row r="105" spans="1:16" x14ac:dyDescent="0.4">
      <c r="A105" s="33">
        <v>102</v>
      </c>
      <c r="B105" s="30">
        <v>-2.8421709430404007E-14</v>
      </c>
      <c r="C105" s="30">
        <v>-9.288140336733336E-17</v>
      </c>
      <c r="D105" s="35">
        <v>2</v>
      </c>
      <c r="E105" s="31">
        <v>0.33333333333333331</v>
      </c>
      <c r="F105" s="31">
        <v>0.33333333333333331</v>
      </c>
      <c r="G105" s="31">
        <v>0.28976572133168926</v>
      </c>
      <c r="H105" s="31">
        <v>0.15413070283600494</v>
      </c>
      <c r="I105" s="32">
        <v>8833.7588652482264</v>
      </c>
      <c r="J105" s="32">
        <v>-7957.333333333333</v>
      </c>
      <c r="K105" s="31">
        <v>0.11764705882352941</v>
      </c>
      <c r="L105" s="31">
        <v>0.23879983559391699</v>
      </c>
      <c r="M105" s="31">
        <v>0.21167283189478012</v>
      </c>
      <c r="N105" s="31">
        <v>0.55421686746987953</v>
      </c>
      <c r="O105" s="31">
        <v>0.4116504854368932</v>
      </c>
      <c r="P105" s="31">
        <v>0.46524822695035462</v>
      </c>
    </row>
    <row r="106" spans="1:16" x14ac:dyDescent="0.4">
      <c r="A106" s="33">
        <v>103</v>
      </c>
      <c r="B106" s="30">
        <v>-2.1316282072803006E-14</v>
      </c>
      <c r="C106" s="30">
        <v>-6.8984731627194187E-17</v>
      </c>
      <c r="D106" s="35">
        <v>2</v>
      </c>
      <c r="E106" s="31">
        <v>0.33333333333333331</v>
      </c>
      <c r="F106" s="31">
        <v>0.33333333333333331</v>
      </c>
      <c r="G106" s="31">
        <v>0.2893772893772894</v>
      </c>
      <c r="H106" s="31">
        <v>0.15425315425315425</v>
      </c>
      <c r="I106" s="32">
        <v>8818.706047819971</v>
      </c>
      <c r="J106" s="32">
        <v>-7955.9366754617413</v>
      </c>
      <c r="K106" s="31">
        <v>0.11974110032362459</v>
      </c>
      <c r="L106" s="31">
        <v>0.23768823768823769</v>
      </c>
      <c r="M106" s="31">
        <v>0.21326821326821327</v>
      </c>
      <c r="N106" s="31">
        <v>0.55136986301369861</v>
      </c>
      <c r="O106" s="31">
        <v>0.41412213740458015</v>
      </c>
      <c r="P106" s="31">
        <v>0.46413502109704641</v>
      </c>
    </row>
    <row r="107" spans="1:16" x14ac:dyDescent="0.4">
      <c r="A107" s="33">
        <v>104</v>
      </c>
      <c r="B107" s="30">
        <v>-2.1316282072803006E-14</v>
      </c>
      <c r="C107" s="30">
        <v>-6.8321416900009637E-17</v>
      </c>
      <c r="D107" s="35">
        <v>2</v>
      </c>
      <c r="E107" s="31">
        <v>0.33333333333333331</v>
      </c>
      <c r="F107" s="31">
        <v>0.33333333333333331</v>
      </c>
      <c r="G107" s="31">
        <v>0.28950542822677927</v>
      </c>
      <c r="H107" s="31">
        <v>0.15560916767189384</v>
      </c>
      <c r="I107" s="32">
        <v>8829.1666666666661</v>
      </c>
      <c r="J107" s="32">
        <v>-7995.3488372093025</v>
      </c>
      <c r="K107" s="31">
        <v>0.11858974358974358</v>
      </c>
      <c r="L107" s="31">
        <v>0.2372336147969441</v>
      </c>
      <c r="M107" s="31">
        <v>0.21431443506232409</v>
      </c>
      <c r="N107" s="31">
        <v>0.55084745762711862</v>
      </c>
      <c r="O107" s="31">
        <v>0.41463414634146339</v>
      </c>
      <c r="P107" s="31">
        <v>0.4597222222222222</v>
      </c>
    </row>
    <row r="108" spans="1:16" x14ac:dyDescent="0.4">
      <c r="A108" s="33">
        <v>105</v>
      </c>
      <c r="B108" s="30">
        <v>-1.9539925233402755E-14</v>
      </c>
      <c r="C108" s="30">
        <v>-6.2031508677469065E-17</v>
      </c>
      <c r="D108" s="35">
        <v>2</v>
      </c>
      <c r="E108" s="31">
        <v>0.33333333333333331</v>
      </c>
      <c r="F108" s="31">
        <v>0.33333333333333331</v>
      </c>
      <c r="G108" s="31">
        <v>0.28942115768463073</v>
      </c>
      <c r="H108" s="31">
        <v>0.15568862275449102</v>
      </c>
      <c r="I108" s="32">
        <v>8802.8965517241377</v>
      </c>
      <c r="J108" s="32">
        <v>-7982.5641025641025</v>
      </c>
      <c r="K108" s="31">
        <v>0.11746031746031746</v>
      </c>
      <c r="L108" s="31">
        <v>0.23632734530938124</v>
      </c>
      <c r="M108" s="31">
        <v>0.21437125748502994</v>
      </c>
      <c r="N108" s="31">
        <v>0.55067567567567566</v>
      </c>
      <c r="O108" s="31">
        <v>0.41527001862197394</v>
      </c>
      <c r="P108" s="31">
        <v>0.4593103448275862</v>
      </c>
    </row>
    <row r="109" spans="1:16" x14ac:dyDescent="0.4">
      <c r="A109" s="33">
        <v>106</v>
      </c>
      <c r="B109" s="30">
        <v>-1.7763568394002505E-14</v>
      </c>
      <c r="C109" s="30">
        <v>-5.5860277968561335E-17</v>
      </c>
      <c r="D109" s="35">
        <v>2</v>
      </c>
      <c r="E109" s="31">
        <v>0.33333333333333331</v>
      </c>
      <c r="F109" s="31">
        <v>0.33333333333333331</v>
      </c>
      <c r="G109" s="31">
        <v>0.28978622327790976</v>
      </c>
      <c r="H109" s="31">
        <v>0.15597783056215361</v>
      </c>
      <c r="I109" s="32">
        <v>8790.0273224043722</v>
      </c>
      <c r="J109" s="32">
        <v>-7979.1878172588831</v>
      </c>
      <c r="K109" s="31">
        <v>0.11635220125786164</v>
      </c>
      <c r="L109" s="31">
        <v>0.23634204275534443</v>
      </c>
      <c r="M109" s="31">
        <v>0.21496437054631828</v>
      </c>
      <c r="N109" s="31">
        <v>0.5510887772194305</v>
      </c>
      <c r="O109" s="31">
        <v>0.4143646408839779</v>
      </c>
      <c r="P109" s="31">
        <v>0.45901639344262296</v>
      </c>
    </row>
    <row r="110" spans="1:16" x14ac:dyDescent="0.4">
      <c r="A110" s="33">
        <v>107</v>
      </c>
      <c r="B110" s="30">
        <v>-1.7763568394002505E-14</v>
      </c>
      <c r="C110" s="30">
        <v>-5.5338219295957958E-17</v>
      </c>
      <c r="D110" s="35">
        <v>2</v>
      </c>
      <c r="E110" s="31">
        <v>0.33333333333333331</v>
      </c>
      <c r="F110" s="31">
        <v>0.33333333333333331</v>
      </c>
      <c r="G110" s="31">
        <v>0.29009433962264153</v>
      </c>
      <c r="H110" s="31">
        <v>0.15566037735849056</v>
      </c>
      <c r="I110" s="32">
        <v>8779.9457994579952</v>
      </c>
      <c r="J110" s="32">
        <v>-7982.3232323232323</v>
      </c>
      <c r="K110" s="31">
        <v>0.11526479750778816</v>
      </c>
      <c r="L110" s="31">
        <v>0.23624213836477986</v>
      </c>
      <c r="M110" s="31">
        <v>0.21383647798742139</v>
      </c>
      <c r="N110" s="31">
        <v>0.55241264559068215</v>
      </c>
      <c r="O110" s="31">
        <v>0.41360294117647056</v>
      </c>
      <c r="P110" s="31">
        <v>0.46070460704607047</v>
      </c>
    </row>
    <row r="111" spans="1:16" x14ac:dyDescent="0.4">
      <c r="A111" s="33">
        <v>108</v>
      </c>
      <c r="B111" s="30">
        <v>-1.4210854715202004E-14</v>
      </c>
      <c r="C111" s="30">
        <v>-4.386066270124075E-17</v>
      </c>
      <c r="D111" s="35">
        <v>2</v>
      </c>
      <c r="E111" s="31">
        <v>0.33333333333333331</v>
      </c>
      <c r="F111" s="31">
        <v>0.33333333333333331</v>
      </c>
      <c r="G111" s="31">
        <v>0.29000780640124901</v>
      </c>
      <c r="H111" s="31">
        <v>0.15495706479313037</v>
      </c>
      <c r="I111" s="32">
        <v>8794.0780619111702</v>
      </c>
      <c r="J111" s="32">
        <v>-7975.3148614609572</v>
      </c>
      <c r="K111" s="31">
        <v>0.11419753086419752</v>
      </c>
      <c r="L111" s="31">
        <v>0.23653395784543327</v>
      </c>
      <c r="M111" s="31">
        <v>0.21350507416081185</v>
      </c>
      <c r="N111" s="31">
        <v>0.55115511551155116</v>
      </c>
      <c r="O111" s="31">
        <v>0.41316270566727603</v>
      </c>
      <c r="P111" s="31">
        <v>0.46298788694481829</v>
      </c>
    </row>
    <row r="112" spans="1:16" x14ac:dyDescent="0.4">
      <c r="A112" s="33">
        <v>109</v>
      </c>
      <c r="B112" s="30">
        <v>-1.4210854715202004E-14</v>
      </c>
      <c r="C112" s="30">
        <v>-4.3458271300311938E-17</v>
      </c>
      <c r="D112" s="35">
        <v>2</v>
      </c>
      <c r="E112" s="31">
        <v>0.33333333333333331</v>
      </c>
      <c r="F112" s="31">
        <v>0.33333333333333331</v>
      </c>
      <c r="G112" s="31">
        <v>0.28997289972899731</v>
      </c>
      <c r="H112" s="31">
        <v>0.15447154471544716</v>
      </c>
      <c r="I112" s="32">
        <v>8801.6021361815747</v>
      </c>
      <c r="J112" s="32">
        <v>-7981.4536340852128</v>
      </c>
      <c r="K112" s="31">
        <v>0.11314984709480122</v>
      </c>
      <c r="L112" s="31">
        <v>0.23770809136662796</v>
      </c>
      <c r="M112" s="31">
        <v>0.21331784746418891</v>
      </c>
      <c r="N112" s="31">
        <v>0.55048859934853422</v>
      </c>
      <c r="O112" s="31">
        <v>0.41379310344827586</v>
      </c>
      <c r="P112" s="31">
        <v>0.46461949265687585</v>
      </c>
    </row>
    <row r="113" spans="1:16" x14ac:dyDescent="0.4">
      <c r="A113" s="33">
        <v>110</v>
      </c>
      <c r="B113" s="30">
        <v>-1.0658141036401503E-14</v>
      </c>
      <c r="C113" s="30">
        <v>-3.2297397080004552E-17</v>
      </c>
      <c r="D113" s="35">
        <v>2</v>
      </c>
      <c r="E113" s="31">
        <v>0.33333333333333331</v>
      </c>
      <c r="F113" s="31">
        <v>0.33333333333333331</v>
      </c>
      <c r="G113" s="31">
        <v>0.28998849252013809</v>
      </c>
      <c r="H113" s="31">
        <v>0.15420023014959724</v>
      </c>
      <c r="I113" s="32">
        <v>8813.0952380952385</v>
      </c>
      <c r="J113" s="32">
        <v>-7993.0348258706472</v>
      </c>
      <c r="K113" s="31">
        <v>0.11212121212121212</v>
      </c>
      <c r="L113" s="31">
        <v>0.23858841580360568</v>
      </c>
      <c r="M113" s="31">
        <v>0.21212121212121213</v>
      </c>
      <c r="N113" s="31">
        <v>0.55144694533762062</v>
      </c>
      <c r="O113" s="31">
        <v>0.41410488245931282</v>
      </c>
      <c r="P113" s="31">
        <v>0.46560846560846558</v>
      </c>
    </row>
    <row r="114" spans="1:16" x14ac:dyDescent="0.4">
      <c r="A114" s="33">
        <v>111</v>
      </c>
      <c r="B114" s="30">
        <v>-1.0658141036401503E-14</v>
      </c>
      <c r="C114" s="30">
        <v>-3.2006429538743251E-17</v>
      </c>
      <c r="D114" s="35">
        <v>2</v>
      </c>
      <c r="E114" s="31">
        <v>0.33333333333333331</v>
      </c>
      <c r="F114" s="31">
        <v>0.33333333333333331</v>
      </c>
      <c r="G114" s="31">
        <v>0.29033485540334858</v>
      </c>
      <c r="H114" s="31">
        <v>0.15334855403348555</v>
      </c>
      <c r="I114" s="32">
        <v>8811.4023591087807</v>
      </c>
      <c r="J114" s="32">
        <v>-7978.1637717121585</v>
      </c>
      <c r="K114" s="31">
        <v>0.1111111111111111</v>
      </c>
      <c r="L114" s="31">
        <v>0.2378234398782344</v>
      </c>
      <c r="M114" s="31">
        <v>0.21080669710806696</v>
      </c>
      <c r="N114" s="31">
        <v>0.55200000000000005</v>
      </c>
      <c r="O114" s="31">
        <v>0.41516245487364623</v>
      </c>
      <c r="P114" s="31">
        <v>0.4692005242463958</v>
      </c>
    </row>
    <row r="115" spans="1:16" x14ac:dyDescent="0.4">
      <c r="A115" s="33">
        <v>112</v>
      </c>
      <c r="B115" s="30">
        <v>-1.4210854715202004E-14</v>
      </c>
      <c r="C115" s="30">
        <v>-4.2294210461910723E-17</v>
      </c>
      <c r="D115" s="35">
        <v>2</v>
      </c>
      <c r="E115" s="31">
        <v>0.33333333333333331</v>
      </c>
      <c r="F115" s="31">
        <v>0.33333333333333331</v>
      </c>
      <c r="G115" s="31">
        <v>0.29062736205593348</v>
      </c>
      <c r="H115" s="31">
        <v>0.15343915343915343</v>
      </c>
      <c r="I115" s="32">
        <v>8780.2340702210658</v>
      </c>
      <c r="J115" s="32">
        <v>-7946.5517241379312</v>
      </c>
      <c r="K115" s="31">
        <v>0.1130952380952381</v>
      </c>
      <c r="L115" s="31">
        <v>0.23696145124716553</v>
      </c>
      <c r="M115" s="31">
        <v>0.21050642479213907</v>
      </c>
      <c r="N115" s="31">
        <v>0.55183413078149923</v>
      </c>
      <c r="O115" s="31">
        <v>0.414721723518851</v>
      </c>
      <c r="P115" s="31">
        <v>0.46944083224967492</v>
      </c>
    </row>
    <row r="116" spans="1:16" x14ac:dyDescent="0.4">
      <c r="A116" s="33">
        <v>113</v>
      </c>
      <c r="B116" s="30">
        <v>-2.1316282072803006E-14</v>
      </c>
      <c r="C116" s="30">
        <v>-6.2879888120362847E-17</v>
      </c>
      <c r="D116" s="35">
        <v>2</v>
      </c>
      <c r="E116" s="31">
        <v>0.33333333333333331</v>
      </c>
      <c r="F116" s="31">
        <v>0.33333333333333331</v>
      </c>
      <c r="G116" s="31">
        <v>0.29063670411985021</v>
      </c>
      <c r="H116" s="31">
        <v>0.15243445692883895</v>
      </c>
      <c r="I116" s="32">
        <v>8800.6443298969079</v>
      </c>
      <c r="J116" s="32">
        <v>-7956.5110565110563</v>
      </c>
      <c r="K116" s="31">
        <v>0.11209439528023599</v>
      </c>
      <c r="L116" s="31">
        <v>0.23782771535580524</v>
      </c>
      <c r="M116" s="31">
        <v>0.21011235955056179</v>
      </c>
      <c r="N116" s="31">
        <v>0.55118110236220474</v>
      </c>
      <c r="O116" s="31">
        <v>0.41532976827094475</v>
      </c>
      <c r="P116" s="31">
        <v>0.47293814432989689</v>
      </c>
    </row>
    <row r="117" spans="1:16" x14ac:dyDescent="0.4">
      <c r="A117" s="33">
        <v>114</v>
      </c>
      <c r="B117" s="30">
        <v>-1.7763568394002505E-14</v>
      </c>
      <c r="C117" s="30">
        <v>-5.1940258461995625E-17</v>
      </c>
      <c r="D117" s="35">
        <v>2</v>
      </c>
      <c r="E117" s="31">
        <v>0.33333333333333331</v>
      </c>
      <c r="F117" s="31">
        <v>0.33333333333333331</v>
      </c>
      <c r="G117" s="31">
        <v>0.29059829059829062</v>
      </c>
      <c r="H117" s="31">
        <v>0.15273132664437011</v>
      </c>
      <c r="I117" s="32">
        <v>8796.675191815857</v>
      </c>
      <c r="J117" s="32">
        <v>-7951.3381995133823</v>
      </c>
      <c r="K117" s="31">
        <v>0.11403508771929824</v>
      </c>
      <c r="L117" s="31">
        <v>0.23782980304719434</v>
      </c>
      <c r="M117" s="31">
        <v>0.21070234113712374</v>
      </c>
      <c r="N117" s="31">
        <v>0.55156249999999996</v>
      </c>
      <c r="O117" s="31">
        <v>0.41622574955908287</v>
      </c>
      <c r="P117" s="31">
        <v>0.47186700767263429</v>
      </c>
    </row>
    <row r="118" spans="1:16" x14ac:dyDescent="0.4">
      <c r="A118" s="33">
        <v>115</v>
      </c>
      <c r="B118" s="30">
        <v>-2.1316282072803006E-14</v>
      </c>
      <c r="C118" s="30">
        <v>-6.1786324848704365E-17</v>
      </c>
      <c r="D118" s="35">
        <v>2</v>
      </c>
      <c r="E118" s="31">
        <v>0.33333333333333331</v>
      </c>
      <c r="F118" s="31">
        <v>0.33333333333333331</v>
      </c>
      <c r="G118" s="31">
        <v>0.29060773480662982</v>
      </c>
      <c r="H118" s="31">
        <v>0.15248618784530388</v>
      </c>
      <c r="I118" s="32">
        <v>8826.3624841571618</v>
      </c>
      <c r="J118" s="32">
        <v>-7973.913043478261</v>
      </c>
      <c r="K118" s="31">
        <v>0.11304347826086956</v>
      </c>
      <c r="L118" s="31">
        <v>0.23756906077348067</v>
      </c>
      <c r="M118" s="31">
        <v>0.21031307550644568</v>
      </c>
      <c r="N118" s="31">
        <v>0.55348837209302326</v>
      </c>
      <c r="O118" s="31">
        <v>0.41330998248686512</v>
      </c>
      <c r="P118" s="31">
        <v>0.47275031685678076</v>
      </c>
    </row>
    <row r="119" spans="1:16" x14ac:dyDescent="0.4">
      <c r="A119" s="33">
        <v>116</v>
      </c>
      <c r="B119" s="30">
        <v>-2.1316282072803006E-14</v>
      </c>
      <c r="C119" s="30">
        <v>-6.1253684117250015E-17</v>
      </c>
      <c r="D119" s="35">
        <v>2</v>
      </c>
      <c r="E119" s="31">
        <v>0.33333333333333331</v>
      </c>
      <c r="F119" s="31">
        <v>0.33333333333333331</v>
      </c>
      <c r="G119" s="31">
        <v>0.29066374908825676</v>
      </c>
      <c r="H119" s="31">
        <v>0.15207877461706784</v>
      </c>
      <c r="I119" s="32">
        <v>8817.3149309912169</v>
      </c>
      <c r="J119" s="32">
        <v>-7958.9928057553952</v>
      </c>
      <c r="K119" s="31">
        <v>0.11206896551724138</v>
      </c>
      <c r="L119" s="31">
        <v>0.2388767323121809</v>
      </c>
      <c r="M119" s="31">
        <v>0.20933625091174327</v>
      </c>
      <c r="N119" s="31">
        <v>0.55419847328244276</v>
      </c>
      <c r="O119" s="31">
        <v>0.41463414634146339</v>
      </c>
      <c r="P119" s="31">
        <v>0.47427854454203261</v>
      </c>
    </row>
    <row r="120" spans="1:16" x14ac:dyDescent="0.4">
      <c r="A120" s="33">
        <v>117</v>
      </c>
      <c r="B120" s="30">
        <v>-2.1316282072803006E-14</v>
      </c>
      <c r="C120" s="30">
        <v>-6.0730148355564125E-17</v>
      </c>
      <c r="D120" s="35">
        <v>2</v>
      </c>
      <c r="E120" s="31">
        <v>0.33333333333333331</v>
      </c>
      <c r="F120" s="31">
        <v>0.33333333333333331</v>
      </c>
      <c r="G120" s="31">
        <v>0.29103398409255243</v>
      </c>
      <c r="H120" s="31">
        <v>0.15184381778741865</v>
      </c>
      <c r="I120" s="32">
        <v>8816.0248447204976</v>
      </c>
      <c r="J120" s="32">
        <v>-7928.8095238095239</v>
      </c>
      <c r="K120" s="31">
        <v>0.11396011396011396</v>
      </c>
      <c r="L120" s="31">
        <v>0.23933477946493131</v>
      </c>
      <c r="M120" s="31">
        <v>0.20824295010845986</v>
      </c>
      <c r="N120" s="31">
        <v>0.55438066465256797</v>
      </c>
      <c r="O120" s="31">
        <v>0.41666666666666669</v>
      </c>
      <c r="P120" s="31">
        <v>0.47577639751552797</v>
      </c>
    </row>
    <row r="121" spans="1:16" x14ac:dyDescent="0.4">
      <c r="A121" s="33">
        <v>118</v>
      </c>
      <c r="B121" s="30">
        <v>-1.4210854715202004E-14</v>
      </c>
      <c r="C121" s="30">
        <v>-4.0143657387576282E-17</v>
      </c>
      <c r="D121" s="35">
        <v>2</v>
      </c>
      <c r="E121" s="31">
        <v>0.33333333333333331</v>
      </c>
      <c r="F121" s="31">
        <v>0.33333333333333331</v>
      </c>
      <c r="G121" s="31">
        <v>0.2907268170426065</v>
      </c>
      <c r="H121" s="31">
        <v>0.15216612960973863</v>
      </c>
      <c r="I121" s="32">
        <v>8866.3793103448279</v>
      </c>
      <c r="J121" s="32">
        <v>-8041.6470588235297</v>
      </c>
      <c r="K121" s="31">
        <v>0.11581920903954802</v>
      </c>
      <c r="L121" s="31">
        <v>0.24024346580737557</v>
      </c>
      <c r="M121" s="31">
        <v>0.20658789831722163</v>
      </c>
      <c r="N121" s="31">
        <v>0.5529061102831595</v>
      </c>
      <c r="O121" s="31">
        <v>0.41594454072790293</v>
      </c>
      <c r="P121" s="31">
        <v>0.47413793103448276</v>
      </c>
    </row>
    <row r="122" spans="1:16" x14ac:dyDescent="0.4">
      <c r="A122" s="33">
        <v>119</v>
      </c>
      <c r="B122" s="30">
        <v>-1.2434497875801753E-14</v>
      </c>
      <c r="C122" s="30">
        <v>-3.4830526262750009E-17</v>
      </c>
      <c r="D122" s="35">
        <v>2</v>
      </c>
      <c r="E122" s="31">
        <v>0.33333333333333331</v>
      </c>
      <c r="F122" s="31">
        <v>0.33333333333333331</v>
      </c>
      <c r="G122" s="31">
        <v>0.29064389896833864</v>
      </c>
      <c r="H122" s="31">
        <v>0.15225898256848097</v>
      </c>
      <c r="I122" s="32">
        <v>8863.8922888616889</v>
      </c>
      <c r="J122" s="32">
        <v>-8038.0841121495323</v>
      </c>
      <c r="K122" s="31">
        <v>0.11484593837535013</v>
      </c>
      <c r="L122" s="31">
        <v>0.24083955887584491</v>
      </c>
      <c r="M122" s="31">
        <v>0.20597652081109924</v>
      </c>
      <c r="N122" s="31">
        <v>0.5553914327917282</v>
      </c>
      <c r="O122" s="31">
        <v>0.41450777202072536</v>
      </c>
      <c r="P122" s="31">
        <v>0.47368421052631576</v>
      </c>
    </row>
    <row r="123" spans="1:16" x14ac:dyDescent="0.4">
      <c r="A123" s="33">
        <v>120</v>
      </c>
      <c r="B123" s="30">
        <v>-1.0658141036401503E-14</v>
      </c>
      <c r="C123" s="30">
        <v>-2.9605947323337507E-17</v>
      </c>
      <c r="D123" s="35">
        <v>2</v>
      </c>
      <c r="E123" s="31">
        <v>0.33333333333333331</v>
      </c>
      <c r="F123" s="31">
        <v>0.33333333333333331</v>
      </c>
      <c r="G123" s="31">
        <v>0.2909155178508307</v>
      </c>
      <c r="H123" s="31">
        <v>0.15164369034994699</v>
      </c>
      <c r="I123" s="32">
        <v>8863.6695018226001</v>
      </c>
      <c r="J123" s="32">
        <v>-8031.4685314685312</v>
      </c>
      <c r="K123" s="31">
        <v>0.11388888888888889</v>
      </c>
      <c r="L123" s="31">
        <v>0.24107458465889006</v>
      </c>
      <c r="M123" s="31">
        <v>0.20572640509013787</v>
      </c>
      <c r="N123" s="31">
        <v>0.55865102639296182</v>
      </c>
      <c r="O123" s="31">
        <v>0.41408934707903783</v>
      </c>
      <c r="P123" s="31">
        <v>0.47630619684082626</v>
      </c>
    </row>
    <row r="124" spans="1:16" x14ac:dyDescent="0.4">
      <c r="A124" s="33">
        <v>121</v>
      </c>
      <c r="B124" s="30">
        <v>-1.0658141036401503E-14</v>
      </c>
      <c r="C124" s="30">
        <v>-2.9361270072731413E-17</v>
      </c>
      <c r="D124" s="35">
        <v>2</v>
      </c>
      <c r="E124" s="31">
        <v>0.33333333333333331</v>
      </c>
      <c r="F124" s="31">
        <v>0.33333333333333331</v>
      </c>
      <c r="G124" s="31">
        <v>0.29022082018927448</v>
      </c>
      <c r="H124" s="31">
        <v>0.15141955835962145</v>
      </c>
      <c r="I124" s="32">
        <v>8881.2801932367147</v>
      </c>
      <c r="J124" s="32">
        <v>-8037.9629629629626</v>
      </c>
      <c r="K124" s="31">
        <v>0.11294765840220386</v>
      </c>
      <c r="L124" s="31">
        <v>0.24079915878023134</v>
      </c>
      <c r="M124" s="31">
        <v>0.20539782684893096</v>
      </c>
      <c r="N124" s="31">
        <v>0.55895196506550215</v>
      </c>
      <c r="O124" s="31">
        <v>0.41467576791808874</v>
      </c>
      <c r="P124" s="31">
        <v>0.47584541062801933</v>
      </c>
    </row>
    <row r="125" spans="1:16" x14ac:dyDescent="0.4">
      <c r="A125" s="33">
        <v>122</v>
      </c>
      <c r="B125" s="30">
        <v>-2.6645352591003757E-15</v>
      </c>
      <c r="C125" s="30">
        <v>-7.2801509811485679E-18</v>
      </c>
      <c r="D125" s="35">
        <v>2</v>
      </c>
      <c r="E125" s="31">
        <v>0.33333333333333331</v>
      </c>
      <c r="F125" s="31">
        <v>0.33333333333333331</v>
      </c>
      <c r="G125" s="31">
        <v>0.28971962616822428</v>
      </c>
      <c r="H125" s="31">
        <v>0.15160955347871236</v>
      </c>
      <c r="I125" s="32">
        <v>8880.1672640382312</v>
      </c>
      <c r="J125" s="32">
        <v>-8021.4611872146115</v>
      </c>
      <c r="K125" s="31">
        <v>0.11202185792349727</v>
      </c>
      <c r="L125" s="31">
        <v>0.2416060920733818</v>
      </c>
      <c r="M125" s="31">
        <v>0.20560747663551401</v>
      </c>
      <c r="N125" s="31">
        <v>0.55873925501432664</v>
      </c>
      <c r="O125" s="31">
        <v>0.41414141414141414</v>
      </c>
      <c r="P125" s="31">
        <v>0.47431302270011949</v>
      </c>
    </row>
    <row r="126" spans="1:16" x14ac:dyDescent="0.4">
      <c r="A126" s="33">
        <v>123</v>
      </c>
      <c r="B126" s="30">
        <v>-3.5527136788005009E-15</v>
      </c>
      <c r="C126" s="30">
        <v>-9.627950349052848E-18</v>
      </c>
      <c r="D126" s="35">
        <v>2</v>
      </c>
      <c r="E126" s="31">
        <v>0.33333333333333331</v>
      </c>
      <c r="F126" s="31">
        <v>0.33333333333333331</v>
      </c>
      <c r="G126" s="31">
        <v>0.29007895640233439</v>
      </c>
      <c r="H126" s="31">
        <v>0.15173360796429797</v>
      </c>
      <c r="I126" s="32">
        <v>8871.3609467455626</v>
      </c>
      <c r="J126" s="32">
        <v>-7997.7375565610864</v>
      </c>
      <c r="K126" s="31">
        <v>0.1111111111111111</v>
      </c>
      <c r="L126" s="31">
        <v>0.24133196017851014</v>
      </c>
      <c r="M126" s="31">
        <v>0.20425677995193958</v>
      </c>
      <c r="N126" s="31">
        <v>0.5604551920341394</v>
      </c>
      <c r="O126" s="31">
        <v>0.41344537815126048</v>
      </c>
      <c r="P126" s="31">
        <v>0.47455621301775147</v>
      </c>
    </row>
    <row r="127" spans="1:16" x14ac:dyDescent="0.4">
      <c r="A127" s="33">
        <v>124</v>
      </c>
      <c r="B127" s="30">
        <v>-3.5527136788005009E-15</v>
      </c>
      <c r="C127" s="30">
        <v>-9.5503055881733904E-18</v>
      </c>
      <c r="D127" s="35">
        <v>2</v>
      </c>
      <c r="E127" s="31">
        <v>0.33333333333333331</v>
      </c>
      <c r="F127" s="31">
        <v>0.33333333333333331</v>
      </c>
      <c r="G127" s="31">
        <v>0.28984029901461095</v>
      </c>
      <c r="H127" s="31">
        <v>0.15188583078491336</v>
      </c>
      <c r="I127" s="32">
        <v>8859.5545134818294</v>
      </c>
      <c r="J127" s="32">
        <v>-7969.3512304250562</v>
      </c>
      <c r="K127" s="31">
        <v>0.11021505376344086</v>
      </c>
      <c r="L127" s="31">
        <v>0.23989126741420319</v>
      </c>
      <c r="M127" s="31">
        <v>0.20591233435270132</v>
      </c>
      <c r="N127" s="31">
        <v>0.56232294617563738</v>
      </c>
      <c r="O127" s="31">
        <v>0.41254125412541254</v>
      </c>
      <c r="P127" s="31">
        <v>0.47362250879249707</v>
      </c>
    </row>
    <row r="128" spans="1:16" x14ac:dyDescent="0.4">
      <c r="A128" s="33">
        <v>125</v>
      </c>
      <c r="B128" s="30">
        <v>1.7763568394002505E-15</v>
      </c>
      <c r="C128" s="30">
        <v>4.7369515717340011E-18</v>
      </c>
      <c r="D128" s="35">
        <v>2</v>
      </c>
      <c r="E128" s="31">
        <v>0.33333333333333331</v>
      </c>
      <c r="F128" s="31">
        <v>0.33333333333333331</v>
      </c>
      <c r="G128" s="31">
        <v>0.28951803168183349</v>
      </c>
      <c r="H128" s="31">
        <v>0.15133131108864173</v>
      </c>
      <c r="I128" s="32">
        <v>8855.762514551805</v>
      </c>
      <c r="J128" s="32">
        <v>-7946.9933184855236</v>
      </c>
      <c r="K128" s="31">
        <v>0.10933333333333334</v>
      </c>
      <c r="L128" s="31">
        <v>0.24064711830131447</v>
      </c>
      <c r="M128" s="31">
        <v>0.20492079541624536</v>
      </c>
      <c r="N128" s="31">
        <v>0.56302521008403361</v>
      </c>
      <c r="O128" s="31">
        <v>0.41282894736842107</v>
      </c>
      <c r="P128" s="31">
        <v>0.47497089639115253</v>
      </c>
    </row>
    <row r="129" spans="1:16" x14ac:dyDescent="0.4">
      <c r="A129" s="33">
        <v>126</v>
      </c>
      <c r="B129" s="30">
        <v>3.5527136788005009E-15</v>
      </c>
      <c r="C129" s="30">
        <v>9.3987134359801607E-18</v>
      </c>
      <c r="D129" s="35">
        <v>2</v>
      </c>
      <c r="E129" s="31">
        <v>0.33333333333333331</v>
      </c>
      <c r="F129" s="31">
        <v>0.33333333333333331</v>
      </c>
      <c r="G129" s="31">
        <v>0.28966666666666668</v>
      </c>
      <c r="H129" s="31">
        <v>0.15166666666666667</v>
      </c>
      <c r="I129" s="32">
        <v>8800.6904487917145</v>
      </c>
      <c r="J129" s="32">
        <v>-7906.8131868131868</v>
      </c>
      <c r="K129" s="31">
        <v>0.10846560846560846</v>
      </c>
      <c r="L129" s="31">
        <v>0.24033333333333334</v>
      </c>
      <c r="M129" s="31">
        <v>0.20533333333333334</v>
      </c>
      <c r="N129" s="31">
        <v>0.56033287101248264</v>
      </c>
      <c r="O129" s="31">
        <v>0.41233766233766234</v>
      </c>
      <c r="P129" s="31">
        <v>0.47410817031070196</v>
      </c>
    </row>
    <row r="130" spans="1:16" x14ac:dyDescent="0.4">
      <c r="A130" s="33">
        <v>127</v>
      </c>
      <c r="B130" s="30">
        <v>0</v>
      </c>
      <c r="C130" s="30">
        <v>0</v>
      </c>
      <c r="D130" s="35">
        <v>2</v>
      </c>
      <c r="E130" s="31">
        <v>0.33333333333333331</v>
      </c>
      <c r="F130" s="31">
        <v>0.33333333333333331</v>
      </c>
      <c r="G130" s="31">
        <v>0.28975382568196939</v>
      </c>
      <c r="H130" s="31">
        <v>0.15169660678642716</v>
      </c>
      <c r="I130" s="32">
        <v>8826.4064293915035</v>
      </c>
      <c r="J130" s="32">
        <v>-7959.6491228070172</v>
      </c>
      <c r="K130" s="31">
        <v>0.11023622047244094</v>
      </c>
      <c r="L130" s="31">
        <v>0.2405189620758483</v>
      </c>
      <c r="M130" s="31">
        <v>0.20525615435795078</v>
      </c>
      <c r="N130" s="31">
        <v>0.56016597510373445</v>
      </c>
      <c r="O130" s="31">
        <v>0.41329011345218802</v>
      </c>
      <c r="P130" s="31">
        <v>0.47416762342135477</v>
      </c>
    </row>
    <row r="131" spans="1:16" x14ac:dyDescent="0.4">
      <c r="A131" s="33">
        <v>128</v>
      </c>
      <c r="B131" s="30">
        <v>3.5527136788005009E-15</v>
      </c>
      <c r="C131" s="30">
        <v>9.2518585385429707E-18</v>
      </c>
      <c r="D131" s="35">
        <v>2</v>
      </c>
      <c r="E131" s="31">
        <v>0.33333333333333331</v>
      </c>
      <c r="F131" s="31">
        <v>0.33333333333333331</v>
      </c>
      <c r="G131" s="31">
        <v>0.28961209730440501</v>
      </c>
      <c r="H131" s="31">
        <v>0.15154503616042078</v>
      </c>
      <c r="I131" s="32">
        <v>8821.2258796821789</v>
      </c>
      <c r="J131" s="32">
        <v>-7999.3492407809108</v>
      </c>
      <c r="K131" s="31">
        <v>0.109375</v>
      </c>
      <c r="L131" s="31">
        <v>0.24128862590401051</v>
      </c>
      <c r="M131" s="31">
        <v>0.20512820512820512</v>
      </c>
      <c r="N131" s="31">
        <v>0.55722070844686644</v>
      </c>
      <c r="O131" s="31">
        <v>0.41666666666666669</v>
      </c>
      <c r="P131" s="31">
        <v>0.47446083995459704</v>
      </c>
    </row>
    <row r="132" spans="1:16" x14ac:dyDescent="0.4">
      <c r="A132" s="33">
        <v>129</v>
      </c>
      <c r="B132" s="30">
        <v>2.6645352591003757E-15</v>
      </c>
      <c r="C132" s="30">
        <v>6.8851040286831412E-18</v>
      </c>
      <c r="D132" s="35">
        <v>2</v>
      </c>
      <c r="E132" s="31">
        <v>0.33333333333333331</v>
      </c>
      <c r="F132" s="31">
        <v>0.33333333333333331</v>
      </c>
      <c r="G132" s="31">
        <v>0.28934506353861195</v>
      </c>
      <c r="H132" s="31">
        <v>0.15118931247963507</v>
      </c>
      <c r="I132" s="32">
        <v>8820.27027027027</v>
      </c>
      <c r="J132" s="32">
        <v>-7993.1034482758623</v>
      </c>
      <c r="K132" s="31">
        <v>0.10852713178294573</v>
      </c>
      <c r="L132" s="31">
        <v>0.24209840338872596</v>
      </c>
      <c r="M132" s="31">
        <v>0.20495275333985011</v>
      </c>
      <c r="N132" s="31">
        <v>0.55854643337819654</v>
      </c>
      <c r="O132" s="31">
        <v>0.4149443561208267</v>
      </c>
      <c r="P132" s="31">
        <v>0.4752252252252252</v>
      </c>
    </row>
    <row r="133" spans="1:16" x14ac:dyDescent="0.4">
      <c r="A133" s="33">
        <v>130</v>
      </c>
      <c r="B133" s="30">
        <v>3.5527136788005009E-15</v>
      </c>
      <c r="C133" s="30">
        <v>9.1095222533346178E-18</v>
      </c>
      <c r="D133" s="35">
        <v>2</v>
      </c>
      <c r="E133" s="31">
        <v>0.33333333333333331</v>
      </c>
      <c r="F133" s="31">
        <v>0.33333333333333331</v>
      </c>
      <c r="G133" s="31">
        <v>0.28968638861946333</v>
      </c>
      <c r="H133" s="31">
        <v>0.1513094083414161</v>
      </c>
      <c r="I133" s="32">
        <v>8812.8348214285706</v>
      </c>
      <c r="J133" s="32">
        <v>-7995.0854700854698</v>
      </c>
      <c r="K133" s="31">
        <v>0.1076923076923077</v>
      </c>
      <c r="L133" s="31">
        <v>0.24151309408341415</v>
      </c>
      <c r="M133" s="31">
        <v>0.2046556741028128</v>
      </c>
      <c r="N133" s="31">
        <v>0.55957161981258363</v>
      </c>
      <c r="O133" s="31">
        <v>0.41706161137440756</v>
      </c>
      <c r="P133" s="31">
        <v>0.47544642857142855</v>
      </c>
    </row>
    <row r="134" spans="1:16" x14ac:dyDescent="0.4">
      <c r="A134" s="33">
        <v>131</v>
      </c>
      <c r="B134" s="30">
        <v>2.2204460492503131E-15</v>
      </c>
      <c r="C134" s="30">
        <v>5.6499899472018141E-18</v>
      </c>
      <c r="D134" s="35">
        <v>2</v>
      </c>
      <c r="E134" s="31">
        <v>0.33333333333333331</v>
      </c>
      <c r="F134" s="31">
        <v>0.33333333333333331</v>
      </c>
      <c r="G134" s="31">
        <v>0.2896174863387978</v>
      </c>
      <c r="H134" s="31">
        <v>0.15139826422372227</v>
      </c>
      <c r="I134" s="32">
        <v>8789.5671476137632</v>
      </c>
      <c r="J134" s="32">
        <v>-7967.7282377919319</v>
      </c>
      <c r="K134" s="31">
        <v>0.10687022900763359</v>
      </c>
      <c r="L134" s="31">
        <v>0.24075859852137577</v>
      </c>
      <c r="M134" s="31">
        <v>0.20540019286403086</v>
      </c>
      <c r="N134" s="31">
        <v>0.55941255006675572</v>
      </c>
      <c r="O134" s="31">
        <v>0.41627543035993742</v>
      </c>
      <c r="P134" s="31">
        <v>0.47502774694783573</v>
      </c>
    </row>
    <row r="135" spans="1:16" x14ac:dyDescent="0.4">
      <c r="A135" s="33">
        <v>132</v>
      </c>
      <c r="B135" s="30">
        <v>3.5527136788005009E-15</v>
      </c>
      <c r="C135" s="30">
        <v>8.9714991888901546E-18</v>
      </c>
      <c r="D135" s="35">
        <v>2</v>
      </c>
      <c r="E135" s="31">
        <v>0.33333333333333331</v>
      </c>
      <c r="F135" s="31">
        <v>0.33333333333333331</v>
      </c>
      <c r="G135" s="31">
        <v>0.29003502069404646</v>
      </c>
      <c r="H135" s="31">
        <v>0.15186246418338109</v>
      </c>
      <c r="I135" s="32">
        <v>8783.9736553238199</v>
      </c>
      <c r="J135" s="32">
        <v>-7981.5513626834381</v>
      </c>
      <c r="K135" s="31">
        <v>0.10606060606060606</v>
      </c>
      <c r="L135" s="31">
        <v>0.24036930913721744</v>
      </c>
      <c r="M135" s="31">
        <v>0.20566698503661254</v>
      </c>
      <c r="N135" s="31">
        <v>0.56026490066225165</v>
      </c>
      <c r="O135" s="31">
        <v>0.41640866873065013</v>
      </c>
      <c r="P135" s="31">
        <v>0.47420417124039516</v>
      </c>
    </row>
    <row r="136" spans="1:16" x14ac:dyDescent="0.4">
      <c r="A136" s="33">
        <v>133</v>
      </c>
      <c r="B136" s="30">
        <v>0</v>
      </c>
      <c r="C136" s="30">
        <v>0</v>
      </c>
      <c r="D136" s="35">
        <v>2</v>
      </c>
      <c r="E136" s="31">
        <v>0.33333333333333331</v>
      </c>
      <c r="F136" s="31">
        <v>0.33333333333333331</v>
      </c>
      <c r="G136" s="31">
        <v>0.28926660371419577</v>
      </c>
      <c r="H136" s="31">
        <v>0.15108593012275731</v>
      </c>
      <c r="I136" s="32">
        <v>8743.0903155603919</v>
      </c>
      <c r="J136" s="32">
        <v>-7946.25</v>
      </c>
      <c r="K136" s="31">
        <v>0.10526315789473684</v>
      </c>
      <c r="L136" s="31">
        <v>0.23858986465218759</v>
      </c>
      <c r="M136" s="31">
        <v>0.2071136292099465</v>
      </c>
      <c r="N136" s="31">
        <v>0.55936675461741425</v>
      </c>
      <c r="O136" s="31">
        <v>0.41337386018237082</v>
      </c>
      <c r="P136" s="31">
        <v>0.47551686615886835</v>
      </c>
    </row>
    <row r="137" spans="1:16" x14ac:dyDescent="0.4">
      <c r="A137" s="33">
        <v>134</v>
      </c>
      <c r="B137" s="30">
        <v>7.1054273576010019E-15</v>
      </c>
      <c r="C137" s="30">
        <v>1.7675192431843288E-17</v>
      </c>
      <c r="D137" s="35">
        <v>2</v>
      </c>
      <c r="E137" s="31">
        <v>0.33333333333333331</v>
      </c>
      <c r="F137" s="31">
        <v>0.33333333333333331</v>
      </c>
      <c r="G137" s="31">
        <v>0.28874337386966009</v>
      </c>
      <c r="H137" s="31">
        <v>0.15123168069847209</v>
      </c>
      <c r="I137" s="32">
        <v>8753.563714902808</v>
      </c>
      <c r="J137" s="32">
        <v>-7948.6597938144332</v>
      </c>
      <c r="K137" s="31">
        <v>0.1044776119402985</v>
      </c>
      <c r="L137" s="31">
        <v>0.24041159962581851</v>
      </c>
      <c r="M137" s="31">
        <v>0.205799812909261</v>
      </c>
      <c r="N137" s="31">
        <v>0.55771725032425423</v>
      </c>
      <c r="O137" s="31">
        <v>0.41363636363636364</v>
      </c>
      <c r="P137" s="31">
        <v>0.47408207343412528</v>
      </c>
    </row>
    <row r="138" spans="1:16" x14ac:dyDescent="0.4">
      <c r="A138" s="33">
        <v>135</v>
      </c>
      <c r="B138" s="30">
        <v>7.1054273576010019E-15</v>
      </c>
      <c r="C138" s="30">
        <v>1.7544265080496301E-17</v>
      </c>
      <c r="D138" s="35">
        <v>2</v>
      </c>
      <c r="E138" s="31">
        <v>0.33333333333333331</v>
      </c>
      <c r="F138" s="31">
        <v>0.33333333333333331</v>
      </c>
      <c r="G138" s="31">
        <v>0.28872366790582404</v>
      </c>
      <c r="H138" s="31">
        <v>0.15055762081784388</v>
      </c>
      <c r="I138" s="32">
        <v>8763.9484978540768</v>
      </c>
      <c r="J138" s="32">
        <v>-7937.6543209876545</v>
      </c>
      <c r="K138" s="31">
        <v>0.1037037037037037</v>
      </c>
      <c r="L138" s="31">
        <v>0.24070631970260223</v>
      </c>
      <c r="M138" s="31">
        <v>0.2057001239157373</v>
      </c>
      <c r="N138" s="31">
        <v>0.55855855855855852</v>
      </c>
      <c r="O138" s="31">
        <v>0.41114457831325302</v>
      </c>
      <c r="P138" s="31">
        <v>0.47639484978540775</v>
      </c>
    </row>
    <row r="139" spans="1:16" x14ac:dyDescent="0.4">
      <c r="A139" s="33">
        <v>136</v>
      </c>
      <c r="B139" s="30">
        <v>7.1054273576010019E-15</v>
      </c>
      <c r="C139" s="30">
        <v>1.7415263131375004E-17</v>
      </c>
      <c r="D139" s="35">
        <v>2</v>
      </c>
      <c r="E139" s="31">
        <v>0.33333333333333331</v>
      </c>
      <c r="F139" s="31">
        <v>0.33333333333333331</v>
      </c>
      <c r="G139" s="31">
        <v>0.28856179086169886</v>
      </c>
      <c r="H139" s="31">
        <v>0.1505673106409077</v>
      </c>
      <c r="I139" s="32">
        <v>8749.7343251859729</v>
      </c>
      <c r="J139" s="32">
        <v>-7931.7718940936866</v>
      </c>
      <c r="K139" s="31">
        <v>0.1053921568627451</v>
      </c>
      <c r="L139" s="31">
        <v>0.24011039558417663</v>
      </c>
      <c r="M139" s="31">
        <v>0.20637841153020545</v>
      </c>
      <c r="N139" s="31">
        <v>0.55810983397190295</v>
      </c>
      <c r="O139" s="31">
        <v>0.41456166419019319</v>
      </c>
      <c r="P139" s="31">
        <v>0.47608926673751328</v>
      </c>
    </row>
    <row r="140" spans="1:16" x14ac:dyDescent="0.4">
      <c r="A140" s="33">
        <v>137</v>
      </c>
      <c r="B140" s="30">
        <v>7.1054273576010019E-15</v>
      </c>
      <c r="C140" s="30">
        <v>1.7288144422386866E-17</v>
      </c>
      <c r="D140" s="35">
        <v>2</v>
      </c>
      <c r="E140" s="31">
        <v>0.33333333333333331</v>
      </c>
      <c r="F140" s="31">
        <v>0.33333333333333331</v>
      </c>
      <c r="G140" s="31">
        <v>0.28854357099329675</v>
      </c>
      <c r="H140" s="31">
        <v>0.15082266910420475</v>
      </c>
      <c r="I140" s="32">
        <v>8740.2323125659987</v>
      </c>
      <c r="J140" s="32">
        <v>-7907.878787878788</v>
      </c>
      <c r="K140" s="31">
        <v>0.10462287104622871</v>
      </c>
      <c r="L140" s="31">
        <v>0.24040219378427788</v>
      </c>
      <c r="M140" s="31">
        <v>0.2068860450944546</v>
      </c>
      <c r="N140" s="31">
        <v>0.5564005069708492</v>
      </c>
      <c r="O140" s="31">
        <v>0.41384388807069217</v>
      </c>
      <c r="P140" s="31">
        <v>0.4751847940865892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819</vt:i4>
      </vt:variant>
    </vt:vector>
  </HeadingPairs>
  <TitlesOfParts>
    <vt:vector size="863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てんちゃん</vt:lpstr>
      <vt:lpstr>いちかわ</vt:lpstr>
      <vt:lpstr>いちかわ2</vt:lpstr>
      <vt:lpstr>てんちゃん2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たかの!アガリ数</vt:lpstr>
      <vt:lpstr>ただ!アガリ数</vt:lpstr>
      <vt:lpstr>てんちゃん!アガリ数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いちかわ!アガリ率</vt:lpstr>
      <vt:lpstr>だいち!アガリ率</vt:lpstr>
      <vt:lpstr>たかの!アガリ率</vt:lpstr>
      <vt:lpstr>ただ!アガリ率</vt:lpstr>
      <vt:lpstr>てんちゃん!アガリ率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いちかわ!ダマアガリ数</vt:lpstr>
      <vt:lpstr>だいち!ダマアガリ数</vt:lpstr>
      <vt:lpstr>たかの!ダマアガリ数</vt:lpstr>
      <vt:lpstr>ただ!ダマアガリ数</vt:lpstr>
      <vt:lpstr>てんちゃん!ダマアガリ数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いちかわ!ダマアガリ率</vt:lpstr>
      <vt:lpstr>だいち!ダマアガリ率</vt:lpstr>
      <vt:lpstr>たかの!ダマアガリ率</vt:lpstr>
      <vt:lpstr>ただ!ダマアガリ率</vt:lpstr>
      <vt:lpstr>てんちゃん!ダマアガリ率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いちかわ!チョンボ数</vt:lpstr>
      <vt:lpstr>だいち!チョンボ数</vt:lpstr>
      <vt:lpstr>たかの!チョンボ数</vt:lpstr>
      <vt:lpstr>ただ!チョンボ数</vt:lpstr>
      <vt:lpstr>てんちゃん!チョンボ数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いちかわ!チョンボ率</vt:lpstr>
      <vt:lpstr>だいち!チョンボ率</vt:lpstr>
      <vt:lpstr>たかの!チョンボ率</vt:lpstr>
      <vt:lpstr>ただ!チョンボ率</vt:lpstr>
      <vt:lpstr>てんちゃん!チョンボ率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いちかわ!ツモ数</vt:lpstr>
      <vt:lpstr>だいち!ツモ数</vt:lpstr>
      <vt:lpstr>たかの!ツモ数</vt:lpstr>
      <vt:lpstr>ただ!ツモ数</vt:lpstr>
      <vt:lpstr>てんちゃん!ツモ数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いちかわ!ツモ率</vt:lpstr>
      <vt:lpstr>だいち!ツモ率</vt:lpstr>
      <vt:lpstr>たかの!ツモ率</vt:lpstr>
      <vt:lpstr>ただ!ツモ率</vt:lpstr>
      <vt:lpstr>てんちゃん!ツモ率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いちかわ!トップ数</vt:lpstr>
      <vt:lpstr>だいち!トップ数</vt:lpstr>
      <vt:lpstr>たかの!トップ数</vt:lpstr>
      <vt:lpstr>ただ!トップ数</vt:lpstr>
      <vt:lpstr>てんちゃん!トップ数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いちかわ!トップ率</vt:lpstr>
      <vt:lpstr>だいち!トップ率</vt:lpstr>
      <vt:lpstr>たかの!トップ率</vt:lpstr>
      <vt:lpstr>ただ!トップ率</vt:lpstr>
      <vt:lpstr>てんちゃん!トップ率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いちかわ!バランス</vt:lpstr>
      <vt:lpstr>だいち!バランス</vt:lpstr>
      <vt:lpstr>たかの!バランス</vt:lpstr>
      <vt:lpstr>ただ!バランス</vt:lpstr>
      <vt:lpstr>てんちゃん!バランス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たかの!ふっとび数</vt:lpstr>
      <vt:lpstr>ただ!ふっとび数</vt:lpstr>
      <vt:lpstr>てんちゃん!ふっとび数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いちかわ!ふっとび率</vt:lpstr>
      <vt:lpstr>だいち!ふっとび率</vt:lpstr>
      <vt:lpstr>たかの!ふっとび率</vt:lpstr>
      <vt:lpstr>ただ!ふっとび率</vt:lpstr>
      <vt:lpstr>てんちゃん!ふっとび率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いちかわ!ラス数</vt:lpstr>
      <vt:lpstr>だいち!ラス数</vt:lpstr>
      <vt:lpstr>たかの!ラス数</vt:lpstr>
      <vt:lpstr>ただ!ラス数</vt:lpstr>
      <vt:lpstr>てんちゃん!ラス数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いちかわ!ラス率</vt:lpstr>
      <vt:lpstr>だいち!ラス率</vt:lpstr>
      <vt:lpstr>たかの!ラス率</vt:lpstr>
      <vt:lpstr>ただ!ラス率</vt:lpstr>
      <vt:lpstr>てんちゃん!ラス率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いちかわ!リーチアガリ数</vt:lpstr>
      <vt:lpstr>だいち!リーチアガリ数</vt:lpstr>
      <vt:lpstr>たかの!リーチアガリ数</vt:lpstr>
      <vt:lpstr>ただ!リーチアガリ数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たかの!リーチアガリ率</vt:lpstr>
      <vt:lpstr>ただ!リーチアガリ率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いちかわ!リーチ数</vt:lpstr>
      <vt:lpstr>だいち!リーチ数</vt:lpstr>
      <vt:lpstr>たかの!リーチ数</vt:lpstr>
      <vt:lpstr>ただ!リーチ数</vt:lpstr>
      <vt:lpstr>てんちゃん!リーチ数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いちかわ!リーチ成功数</vt:lpstr>
      <vt:lpstr>だいち!リーチ成功数</vt:lpstr>
      <vt:lpstr>たかの!リーチ成功数</vt:lpstr>
      <vt:lpstr>ただ!リーチ成功数</vt:lpstr>
      <vt:lpstr>てんちゃん!リーチ成功数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いちかわ!リーチ成功率</vt:lpstr>
      <vt:lpstr>だいち!リーチ成功率</vt:lpstr>
      <vt:lpstr>たかの!リーチ成功率</vt:lpstr>
      <vt:lpstr>ただ!リーチ成功率</vt:lpstr>
      <vt:lpstr>てんちゃん!リーチ成功率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いちかわ!リーチ率</vt:lpstr>
      <vt:lpstr>だいち!リーチ率</vt:lpstr>
      <vt:lpstr>たかの!リーチ率</vt:lpstr>
      <vt:lpstr>ただ!リーチ率</vt:lpstr>
      <vt:lpstr>てんちゃん!リーチ率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いちかわ!レーティング</vt:lpstr>
      <vt:lpstr>だいち!レーティング</vt:lpstr>
      <vt:lpstr>たかの!レーティング</vt:lpstr>
      <vt:lpstr>ただ!レーティング</vt:lpstr>
      <vt:lpstr>てんちゃん!レーティング</vt:lpstr>
      <vt:lpstr>ともき!レーティング</vt:lpstr>
      <vt:lpstr>のり!レーティング</vt:lpstr>
      <vt:lpstr>ぱぱ!レーティング</vt:lpstr>
      <vt:lpstr>まっつん!レーティング</vt:lpstr>
      <vt:lpstr>りくと!レーティング</vt:lpstr>
      <vt:lpstr>れんたろう!レーティング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たかの!ロン数</vt:lpstr>
      <vt:lpstr>ただ!ロン数</vt:lpstr>
      <vt:lpstr>てんちゃん!ロン数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いちかわ!ロン率</vt:lpstr>
      <vt:lpstr>だいち!ロン率</vt:lpstr>
      <vt:lpstr>たかの!ロン率</vt:lpstr>
      <vt:lpstr>ただ!ロン率</vt:lpstr>
      <vt:lpstr>てんちゃん!ロン率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いちかわ!一位スコア</vt:lpstr>
      <vt:lpstr>だいち!一位スコア</vt:lpstr>
      <vt:lpstr>たかの!一位スコア</vt:lpstr>
      <vt:lpstr>ただ!一位スコア</vt:lpstr>
      <vt:lpstr>てんちゃん!一位スコア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いちかわ!一位通算スコア</vt:lpstr>
      <vt:lpstr>だいち!一位通算スコア</vt:lpstr>
      <vt:lpstr>たかの!一位通算スコア</vt:lpstr>
      <vt:lpstr>ただ!一位通算スコア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いちかわ!一翻数</vt:lpstr>
      <vt:lpstr>だいち!一翻数</vt:lpstr>
      <vt:lpstr>たかの!一翻数</vt:lpstr>
      <vt:lpstr>ただ!一翻数</vt:lpstr>
      <vt:lpstr>てんちゃん!一翻数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いちかわ!一翻率</vt:lpstr>
      <vt:lpstr>だいち!一翻率</vt:lpstr>
      <vt:lpstr>たかの!一翻率</vt:lpstr>
      <vt:lpstr>ただ!一翻率</vt:lpstr>
      <vt:lpstr>てんちゃん!一翻率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たかの!現行連続アガリ</vt:lpstr>
      <vt:lpstr>ただ!現行連続アガリ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たかの!現行連続無放銃</vt:lpstr>
      <vt:lpstr>ただ!現行連続無放銃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いちかわ!最高点</vt:lpstr>
      <vt:lpstr>だいち!最高点</vt:lpstr>
      <vt:lpstr>たかの!最高点</vt:lpstr>
      <vt:lpstr>ただ!最高点</vt:lpstr>
      <vt:lpstr>てんちゃん!最高点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いちかわ!最大ドラ数</vt:lpstr>
      <vt:lpstr>だいち!最大ドラ数</vt:lpstr>
      <vt:lpstr>たかの!最大ドラ数</vt:lpstr>
      <vt:lpstr>ただ!最大ドラ数</vt:lpstr>
      <vt:lpstr>てんちゃん!最大ドラ数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いちかわ!最大点数</vt:lpstr>
      <vt:lpstr>だいち!最大点数</vt:lpstr>
      <vt:lpstr>たかの!最大点数</vt:lpstr>
      <vt:lpstr>ただ!最大点数</vt:lpstr>
      <vt:lpstr>てんちゃん!最大点数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いちかわ!三位スコア</vt:lpstr>
      <vt:lpstr>だいち!三位スコア</vt:lpstr>
      <vt:lpstr>たかの!三位スコア</vt:lpstr>
      <vt:lpstr>ただ!三位スコア</vt:lpstr>
      <vt:lpstr>てんちゃん!三位スコア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いちかわ!三位通算スコア</vt:lpstr>
      <vt:lpstr>だいち!三位通算スコア</vt:lpstr>
      <vt:lpstr>たかの!三位通算スコア</vt:lpstr>
      <vt:lpstr>ただ!三位通算スコア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たかの!総局数</vt:lpstr>
      <vt:lpstr>ただ!総局数</vt:lpstr>
      <vt:lpstr>てんちゃん!総局数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いちかわ!対戦数</vt:lpstr>
      <vt:lpstr>だいち!対戦数</vt:lpstr>
      <vt:lpstr>たかの!対戦数</vt:lpstr>
      <vt:lpstr>ただ!対戦数</vt:lpstr>
      <vt:lpstr>てんちゃん!対戦数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いちかわ!通算アガリ点</vt:lpstr>
      <vt:lpstr>だいち!通算アガリ点</vt:lpstr>
      <vt:lpstr>たかの!通算アガリ点</vt:lpstr>
      <vt:lpstr>ただ!通算アガリ点</vt:lpstr>
      <vt:lpstr>てんちゃん!通算アガリ点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いちかわ!通算スコア</vt:lpstr>
      <vt:lpstr>だいち!通算スコア</vt:lpstr>
      <vt:lpstr>たかの!通算スコア</vt:lpstr>
      <vt:lpstr>ただ!通算スコア</vt:lpstr>
      <vt:lpstr>てんちゃん!通算スコア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たかの!通算副露アガリ点</vt:lpstr>
      <vt:lpstr>ただ!通算副露アガリ点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たかの!通算放銃点</vt:lpstr>
      <vt:lpstr>ただ!通算放銃点</vt:lpstr>
      <vt:lpstr>てんちゃん!通算放銃点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たかの!通算門前アガリ点</vt:lpstr>
      <vt:lpstr>ただ!通算門前アガリ点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いちかわ!二位スコア</vt:lpstr>
      <vt:lpstr>だいち!二位スコア</vt:lpstr>
      <vt:lpstr>たかの!二位スコア</vt:lpstr>
      <vt:lpstr>ただ!二位スコア</vt:lpstr>
      <vt:lpstr>てんちゃん!二位スコア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たかの!二位数</vt:lpstr>
      <vt:lpstr>ただ!二位数</vt:lpstr>
      <vt:lpstr>てんちゃん!二位数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いちかわ!二位通算スコア</vt:lpstr>
      <vt:lpstr>だいち!二位通算スコア</vt:lpstr>
      <vt:lpstr>たかの!二位通算スコア</vt:lpstr>
      <vt:lpstr>ただ!二位通算スコア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たかの!二位率</vt:lpstr>
      <vt:lpstr>ただ!二位率</vt:lpstr>
      <vt:lpstr>てんちゃん!二位率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いちかわ!副露アガリ数</vt:lpstr>
      <vt:lpstr>だいち!副露アガリ数</vt:lpstr>
      <vt:lpstr>たかの!副露アガリ数</vt:lpstr>
      <vt:lpstr>ただ!副露アガリ数</vt:lpstr>
      <vt:lpstr>てんちゃん!副露アガリ数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いちかわ!副露アガリ点</vt:lpstr>
      <vt:lpstr>だいち!副露アガリ点</vt:lpstr>
      <vt:lpstr>たかの!副露アガリ点</vt:lpstr>
      <vt:lpstr>ただ!副露アガリ点</vt:lpstr>
      <vt:lpstr>てんちゃん!副露アガリ点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いちかわ!副露アガリ率</vt:lpstr>
      <vt:lpstr>だいち!副露アガリ率</vt:lpstr>
      <vt:lpstr>たかの!副露アガリ率</vt:lpstr>
      <vt:lpstr>ただ!副露アガリ率</vt:lpstr>
      <vt:lpstr>てんちゃん!副露アガリ率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いちかわ!副露数</vt:lpstr>
      <vt:lpstr>だいち!副露数</vt:lpstr>
      <vt:lpstr>たかの!副露数</vt:lpstr>
      <vt:lpstr>ただ!副露数</vt:lpstr>
      <vt:lpstr>てんちゃん!副露数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いちかわ!副露成功数</vt:lpstr>
      <vt:lpstr>だいち!副露成功数</vt:lpstr>
      <vt:lpstr>たかの!副露成功数</vt:lpstr>
      <vt:lpstr>ただ!副露成功数</vt:lpstr>
      <vt:lpstr>てんちゃん!副露成功数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いちかわ!副露成功率</vt:lpstr>
      <vt:lpstr>だいち!副露成功率</vt:lpstr>
      <vt:lpstr>たかの!副露成功率</vt:lpstr>
      <vt:lpstr>ただ!副露成功率</vt:lpstr>
      <vt:lpstr>てんちゃん!副露成功率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いちかわ!副露率</vt:lpstr>
      <vt:lpstr>だいち!副露率</vt:lpstr>
      <vt:lpstr>たかの!副露率</vt:lpstr>
      <vt:lpstr>ただ!副露率</vt:lpstr>
      <vt:lpstr>てんちゃん!副露率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いちかわ!平均アガリ点</vt:lpstr>
      <vt:lpstr>だいち!平均アガリ点</vt:lpstr>
      <vt:lpstr>たかの!平均アガリ点</vt:lpstr>
      <vt:lpstr>ただ!平均アガリ点</vt:lpstr>
      <vt:lpstr>てんちゃん!平均アガリ点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いちかわ!平均スコア</vt:lpstr>
      <vt:lpstr>だいち!平均スコア</vt:lpstr>
      <vt:lpstr>たかの!平均スコア</vt:lpstr>
      <vt:lpstr>ただ!平均スコア</vt:lpstr>
      <vt:lpstr>てんちゃん!平均スコア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いちかわ!平均順位</vt:lpstr>
      <vt:lpstr>だいち!平均順位</vt:lpstr>
      <vt:lpstr>たかの!平均順位</vt:lpstr>
      <vt:lpstr>ただ!平均順位</vt:lpstr>
      <vt:lpstr>てんちゃん!平均順位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いちかわ!平均放銃点</vt:lpstr>
      <vt:lpstr>だいち!平均放銃点</vt:lpstr>
      <vt:lpstr>たかの!平均放銃点</vt:lpstr>
      <vt:lpstr>ただ!平均放銃点</vt:lpstr>
      <vt:lpstr>てんちゃん!平均放銃点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いちかわ!放銃数</vt:lpstr>
      <vt:lpstr>だいち!放銃数</vt:lpstr>
      <vt:lpstr>たかの!放銃数</vt:lpstr>
      <vt:lpstr>ただ!放銃数</vt:lpstr>
      <vt:lpstr>てんちゃん!放銃数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いちかわ!放銃率</vt:lpstr>
      <vt:lpstr>だいち!放銃率</vt:lpstr>
      <vt:lpstr>たかの!放銃率</vt:lpstr>
      <vt:lpstr>ただ!放銃率</vt:lpstr>
      <vt:lpstr>てんちゃん!放銃率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いちかわ!名前</vt:lpstr>
      <vt:lpstr>だいち!名前</vt:lpstr>
      <vt:lpstr>たかの!名前</vt:lpstr>
      <vt:lpstr>ただ!名前</vt:lpstr>
      <vt:lpstr>てんちゃん!名前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いちかわ!門前アガリ点</vt:lpstr>
      <vt:lpstr>だいち!門前アガリ点</vt:lpstr>
      <vt:lpstr>たかの!門前アガリ点</vt:lpstr>
      <vt:lpstr>ただ!門前アガリ点</vt:lpstr>
      <vt:lpstr>てんちゃん!門前アガリ点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いちかわ!連続アガリ</vt:lpstr>
      <vt:lpstr>だいち!連続アガリ</vt:lpstr>
      <vt:lpstr>たかの!連続アガリ</vt:lpstr>
      <vt:lpstr>ただ!連続アガリ</vt:lpstr>
      <vt:lpstr>てんちゃん!連続アガリ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いちかわ!連続無放銃</vt:lpstr>
      <vt:lpstr>だいち!連続無放銃</vt:lpstr>
      <vt:lpstr>たかの!連続無放銃</vt:lpstr>
      <vt:lpstr>ただ!連続無放銃</vt:lpstr>
      <vt:lpstr>てんちゃん!連続無放銃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2020-10-13T13:49:51Z</dcterms:modified>
</cp:coreProperties>
</file>