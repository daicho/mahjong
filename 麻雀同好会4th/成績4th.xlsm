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1B8D7577-7F1B-480C-A90C-DE9F1F1AF05A}" xr6:coauthVersionLast="44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70" r:id="rId6"/>
    <sheet name="れんたろう" sheetId="6272" r:id="rId7"/>
    <sheet name="ともき" sheetId="6274" r:id="rId8"/>
    <sheet name="だいち" sheetId="6276" r:id="rId9"/>
    <sheet name="りくと" sheetId="6278" r:id="rId10"/>
    <sheet name="まっつん" sheetId="6280" r:id="rId11"/>
    <sheet name="たかの" sheetId="6282" r:id="rId12"/>
    <sheet name="のり" sheetId="6284" r:id="rId13"/>
    <sheet name="ただ" sheetId="6286" r:id="rId14"/>
    <sheet name="ぱぱ" sheetId="6288" r:id="rId15"/>
    <sheet name="てんちゃん" sheetId="6290" r:id="rId16"/>
    <sheet name="いちかわ" sheetId="6292" r:id="rId17"/>
    <sheet name="いちかわ2" sheetId="6293" state="hidden" r:id="rId18"/>
    <sheet name="てんちゃん2" sheetId="6291" state="hidden" r:id="rId19"/>
    <sheet name="ぱぱ2" sheetId="6289" state="hidden" r:id="rId20"/>
    <sheet name="ただ2" sheetId="6287" state="hidden" r:id="rId21"/>
    <sheet name="のり2" sheetId="6285" state="hidden" r:id="rId22"/>
    <sheet name="たかの2" sheetId="6283" state="hidden" r:id="rId23"/>
    <sheet name="まっつん2" sheetId="6281" state="hidden" r:id="rId24"/>
    <sheet name="りくと2" sheetId="6279" state="hidden" r:id="rId25"/>
    <sheet name="だいち2" sheetId="6277" state="hidden" r:id="rId26"/>
    <sheet name="ともき2" sheetId="6275" state="hidden" r:id="rId27"/>
    <sheet name="れんたろう2" sheetId="6273" state="hidden" r:id="rId28"/>
    <sheet name="全体2" sheetId="6271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92" l="1"/>
  <c r="O15" i="6292"/>
  <c r="C34" i="6292"/>
  <c r="B29" i="6292"/>
  <c r="C20" i="6292"/>
  <c r="B19" i="6292"/>
  <c r="H51" i="6292" s="1"/>
  <c r="B18" i="6292"/>
  <c r="B28" i="6292" s="1"/>
  <c r="B17" i="6292"/>
  <c r="C17" i="6292" s="1"/>
  <c r="C16" i="6292"/>
  <c r="C15" i="6292"/>
  <c r="C14" i="6292"/>
  <c r="O12" i="6292"/>
  <c r="B12" i="6292"/>
  <c r="O11" i="6292"/>
  <c r="B11" i="6292"/>
  <c r="O10" i="6292"/>
  <c r="B10" i="6292"/>
  <c r="C9" i="6292"/>
  <c r="C8" i="6292"/>
  <c r="O7" i="6292"/>
  <c r="C7" i="6292"/>
  <c r="O6" i="6292"/>
  <c r="B6" i="6292"/>
  <c r="O5" i="6292"/>
  <c r="B5" i="6292"/>
  <c r="O4" i="6292"/>
  <c r="O3" i="6292"/>
  <c r="O2" i="6292"/>
  <c r="O18" i="6282"/>
  <c r="O21" i="6272"/>
  <c r="O20" i="6270"/>
  <c r="B13" i="6292" l="1"/>
  <c r="H8" i="6292"/>
  <c r="H15" i="6292"/>
  <c r="C18" i="6292"/>
  <c r="H3" i="6292"/>
  <c r="H11" i="6292"/>
  <c r="H20" i="6292"/>
  <c r="C21" i="6292"/>
  <c r="H26" i="6292"/>
  <c r="B26" i="6292"/>
  <c r="H30" i="6292"/>
  <c r="C36" i="6292"/>
  <c r="C40" i="6292"/>
  <c r="C44" i="6292"/>
  <c r="C48" i="6292"/>
  <c r="H14" i="6292"/>
  <c r="H19" i="6292"/>
  <c r="B27" i="6292"/>
  <c r="C19" i="6292"/>
  <c r="H24" i="6292"/>
  <c r="C24" i="6292"/>
  <c r="H13" i="6292"/>
  <c r="H31" i="6292"/>
  <c r="H37" i="6292"/>
  <c r="H41" i="6292"/>
  <c r="H45" i="6292"/>
  <c r="H49" i="6292"/>
  <c r="H5" i="6292"/>
  <c r="H17" i="6292"/>
  <c r="H2" i="6292"/>
  <c r="H9" i="6292"/>
  <c r="H10" i="6292"/>
  <c r="H7" i="6292"/>
  <c r="H22" i="6292"/>
  <c r="C22" i="6292"/>
  <c r="C25" i="6292"/>
  <c r="H34" i="6292"/>
  <c r="C38" i="6292"/>
  <c r="C42" i="6292"/>
  <c r="C46" i="6292"/>
  <c r="H4" i="6292"/>
  <c r="H6" i="6292"/>
  <c r="H16" i="6292"/>
  <c r="H18" i="6292"/>
  <c r="H21" i="6292"/>
  <c r="C23" i="6292"/>
  <c r="H27" i="6292"/>
  <c r="H39" i="6292"/>
  <c r="H43" i="6292"/>
  <c r="H47" i="6292"/>
  <c r="H52" i="6292"/>
  <c r="H23" i="6292"/>
  <c r="H25" i="6292"/>
  <c r="H12" i="6292"/>
  <c r="H28" i="6292"/>
  <c r="H29" i="6292"/>
  <c r="H32" i="6292"/>
  <c r="H35" i="6292"/>
  <c r="C37" i="6292"/>
  <c r="C39" i="6292"/>
  <c r="C41" i="6292"/>
  <c r="C43" i="6292"/>
  <c r="C45" i="6292"/>
  <c r="C47" i="6292"/>
  <c r="H50" i="6292"/>
  <c r="H33" i="6292"/>
  <c r="H36" i="6292"/>
  <c r="H38" i="6292"/>
  <c r="H40" i="6292"/>
  <c r="H42" i="6292"/>
  <c r="H44" i="6292"/>
  <c r="H46" i="6292"/>
  <c r="H48" i="6292"/>
  <c r="O18" i="6290" l="1"/>
  <c r="O15" i="6280"/>
  <c r="O16" i="6290"/>
  <c r="O16" i="6278"/>
  <c r="O15" i="6290"/>
  <c r="O17" i="6290"/>
  <c r="C34" i="6290"/>
  <c r="B29" i="6290"/>
  <c r="C20" i="6290"/>
  <c r="B19" i="6290"/>
  <c r="H5" i="6290" s="1"/>
  <c r="B18" i="6290"/>
  <c r="C18" i="6290" s="1"/>
  <c r="B17" i="6290"/>
  <c r="C17" i="6290" s="1"/>
  <c r="C16" i="6290"/>
  <c r="C15" i="6290"/>
  <c r="C14" i="6290"/>
  <c r="O12" i="6290"/>
  <c r="B12" i="6290"/>
  <c r="O11" i="6290"/>
  <c r="B11" i="6290"/>
  <c r="O10" i="6290"/>
  <c r="B10" i="6290"/>
  <c r="C9" i="6290"/>
  <c r="C8" i="6290"/>
  <c r="O7" i="6290"/>
  <c r="C7" i="6290"/>
  <c r="O6" i="6290"/>
  <c r="B6" i="6290"/>
  <c r="O5" i="6290"/>
  <c r="B5" i="6290"/>
  <c r="O4" i="6290"/>
  <c r="O3" i="6290"/>
  <c r="O2" i="6290"/>
  <c r="O17" i="6286"/>
  <c r="O15" i="6276"/>
  <c r="O15" i="6270"/>
  <c r="B13" i="6290" l="1"/>
  <c r="B28" i="6290"/>
  <c r="B26" i="6290"/>
  <c r="H52" i="6290"/>
  <c r="H3" i="6290"/>
  <c r="H12" i="6290"/>
  <c r="H14" i="6290"/>
  <c r="H18" i="6290"/>
  <c r="B27" i="6290"/>
  <c r="C23" i="6290"/>
  <c r="H37" i="6290"/>
  <c r="H13" i="6290"/>
  <c r="C24" i="6290"/>
  <c r="H39" i="6290"/>
  <c r="H47" i="6290"/>
  <c r="H9" i="6290"/>
  <c r="H11" i="6290"/>
  <c r="C22" i="6290"/>
  <c r="H43" i="6290"/>
  <c r="H6" i="6290"/>
  <c r="H16" i="6290"/>
  <c r="C19" i="6290"/>
  <c r="H45" i="6290"/>
  <c r="H8" i="6290"/>
  <c r="H2" i="6290"/>
  <c r="H7" i="6290"/>
  <c r="H10" i="6290"/>
  <c r="H4" i="6290"/>
  <c r="H15" i="6290"/>
  <c r="H17" i="6290"/>
  <c r="H19" i="6290"/>
  <c r="C21" i="6290"/>
  <c r="C25" i="6290"/>
  <c r="H31" i="6290"/>
  <c r="H41" i="6290"/>
  <c r="H49" i="6290"/>
  <c r="H21" i="6290"/>
  <c r="H23" i="6290"/>
  <c r="H25" i="6290"/>
  <c r="H27" i="6290"/>
  <c r="H29" i="6290"/>
  <c r="H32" i="6290"/>
  <c r="H35" i="6290"/>
  <c r="C37" i="6290"/>
  <c r="C39" i="6290"/>
  <c r="C41" i="6290"/>
  <c r="C43" i="6290"/>
  <c r="C45" i="6290"/>
  <c r="C47" i="6290"/>
  <c r="H50" i="6290"/>
  <c r="H33" i="6290"/>
  <c r="H36" i="6290"/>
  <c r="H38" i="6290"/>
  <c r="H40" i="6290"/>
  <c r="H42" i="6290"/>
  <c r="H44" i="6290"/>
  <c r="H46" i="6290"/>
  <c r="H48" i="6290"/>
  <c r="H51" i="6290"/>
  <c r="H20" i="6290"/>
  <c r="H22" i="6290"/>
  <c r="H24" i="6290"/>
  <c r="H26" i="6290"/>
  <c r="H28" i="6290"/>
  <c r="H30" i="6290"/>
  <c r="H34" i="6290"/>
  <c r="C36" i="6290"/>
  <c r="C38" i="6290"/>
  <c r="C40" i="6290"/>
  <c r="C42" i="6290"/>
  <c r="C44" i="6290"/>
  <c r="C46" i="6290"/>
  <c r="C48" i="6290"/>
  <c r="O15" i="6282" l="1"/>
  <c r="O20" i="6286"/>
  <c r="O19" i="6272" l="1"/>
  <c r="O17" i="6284"/>
  <c r="O15" i="6288" l="1"/>
  <c r="O16" i="6288"/>
  <c r="C34" i="6288"/>
  <c r="B29" i="6288"/>
  <c r="C20" i="6288"/>
  <c r="B19" i="6288"/>
  <c r="H52" i="6288" s="1"/>
  <c r="B18" i="6288"/>
  <c r="B28" i="6288" s="1"/>
  <c r="B17" i="6288"/>
  <c r="C17" i="6288" s="1"/>
  <c r="C16" i="6288"/>
  <c r="C15" i="6288"/>
  <c r="C14" i="6288"/>
  <c r="O12" i="6288"/>
  <c r="B12" i="6288"/>
  <c r="O11" i="6288"/>
  <c r="B11" i="6288"/>
  <c r="O10" i="6288"/>
  <c r="B10" i="6288"/>
  <c r="C9" i="6288"/>
  <c r="C8" i="6288"/>
  <c r="O7" i="6288"/>
  <c r="C7" i="6288"/>
  <c r="O6" i="6288"/>
  <c r="B6" i="6288"/>
  <c r="O5" i="6288"/>
  <c r="B5" i="6288"/>
  <c r="O4" i="6288"/>
  <c r="O3" i="6288"/>
  <c r="O2" i="6288"/>
  <c r="O22" i="6276"/>
  <c r="O16" i="6272"/>
  <c r="O18" i="6270"/>
  <c r="C18" i="6288" l="1"/>
  <c r="B13" i="6288"/>
  <c r="C19" i="6288"/>
  <c r="H15" i="6288"/>
  <c r="H8" i="6288"/>
  <c r="H4" i="6288"/>
  <c r="H17" i="6288"/>
  <c r="H23" i="6288"/>
  <c r="H25" i="6288"/>
  <c r="H28" i="6288"/>
  <c r="H29" i="6288"/>
  <c r="H32" i="6288"/>
  <c r="H35" i="6288"/>
  <c r="C37" i="6288"/>
  <c r="C39" i="6288"/>
  <c r="C41" i="6288"/>
  <c r="C43" i="6288"/>
  <c r="C45" i="6288"/>
  <c r="H50" i="6288"/>
  <c r="C21" i="6288"/>
  <c r="C25" i="6288"/>
  <c r="H36" i="6288"/>
  <c r="H40" i="6288"/>
  <c r="H44" i="6288"/>
  <c r="H48" i="6288"/>
  <c r="H10" i="6288"/>
  <c r="H5" i="6288"/>
  <c r="H22" i="6288"/>
  <c r="H24" i="6288"/>
  <c r="H26" i="6288"/>
  <c r="H27" i="6288"/>
  <c r="H14" i="6288"/>
  <c r="H30" i="6288"/>
  <c r="H34" i="6288"/>
  <c r="C36" i="6288"/>
  <c r="C38" i="6288"/>
  <c r="C40" i="6288"/>
  <c r="C42" i="6288"/>
  <c r="C44" i="6288"/>
  <c r="C46" i="6288"/>
  <c r="C48" i="6288"/>
  <c r="H7" i="6288"/>
  <c r="H11" i="6288"/>
  <c r="H13" i="6288"/>
  <c r="C47" i="6288"/>
  <c r="H3" i="6288"/>
  <c r="H16" i="6288"/>
  <c r="H19" i="6288"/>
  <c r="H12" i="6288"/>
  <c r="C23" i="6288"/>
  <c r="B27" i="6288"/>
  <c r="H33" i="6288"/>
  <c r="H38" i="6288"/>
  <c r="H42" i="6288"/>
  <c r="H46" i="6288"/>
  <c r="H51" i="6288"/>
  <c r="H2" i="6288"/>
  <c r="H6" i="6288"/>
  <c r="H9" i="6288"/>
  <c r="H18" i="6288"/>
  <c r="H20" i="6288"/>
  <c r="H21" i="6288"/>
  <c r="C22" i="6288"/>
  <c r="C24" i="6288"/>
  <c r="B26" i="6288"/>
  <c r="H31" i="6288"/>
  <c r="H37" i="6288"/>
  <c r="H39" i="6288"/>
  <c r="H41" i="6288"/>
  <c r="H43" i="6288"/>
  <c r="H45" i="6288"/>
  <c r="H47" i="6288"/>
  <c r="H49" i="6288"/>
  <c r="O17" i="6278" l="1"/>
  <c r="O16" i="6286"/>
  <c r="O16" i="6274"/>
  <c r="O20" i="6282"/>
  <c r="O21" i="6286" l="1"/>
  <c r="O15" i="6274"/>
  <c r="O18" i="6286"/>
  <c r="O17" i="6272"/>
  <c r="O16" i="6280" l="1"/>
  <c r="O17" i="6274"/>
  <c r="O21" i="6276"/>
  <c r="O19" i="6280"/>
  <c r="O19" i="6270"/>
  <c r="O19" i="6286"/>
  <c r="O15" i="6286"/>
  <c r="C34" i="6286"/>
  <c r="B29" i="6286"/>
  <c r="C20" i="6286"/>
  <c r="B19" i="6286"/>
  <c r="H52" i="6286" s="1"/>
  <c r="B18" i="6286"/>
  <c r="B28" i="6286" s="1"/>
  <c r="B17" i="6286"/>
  <c r="C17" i="6286" s="1"/>
  <c r="C16" i="6286"/>
  <c r="C15" i="6286"/>
  <c r="C14" i="6286"/>
  <c r="O12" i="6286"/>
  <c r="B12" i="6286"/>
  <c r="O11" i="6286"/>
  <c r="B11" i="6286"/>
  <c r="O10" i="6286"/>
  <c r="B10" i="6286"/>
  <c r="C9" i="6286"/>
  <c r="C8" i="6286"/>
  <c r="O7" i="6286"/>
  <c r="C7" i="6286"/>
  <c r="O6" i="6286"/>
  <c r="B6" i="6286"/>
  <c r="O5" i="6286"/>
  <c r="B5" i="6286"/>
  <c r="O4" i="6286"/>
  <c r="O3" i="6286"/>
  <c r="O2" i="6286"/>
  <c r="B13" i="6286" l="1"/>
  <c r="C18" i="6286"/>
  <c r="H6" i="6286"/>
  <c r="H11" i="6286"/>
  <c r="H20" i="6286"/>
  <c r="H23" i="6286"/>
  <c r="H9" i="6286"/>
  <c r="H12" i="6286"/>
  <c r="H17" i="6286"/>
  <c r="H22" i="6286"/>
  <c r="H24" i="6286"/>
  <c r="H27" i="6286"/>
  <c r="C36" i="6286"/>
  <c r="C44" i="6286"/>
  <c r="C21" i="6286"/>
  <c r="C25" i="6286"/>
  <c r="H31" i="6286"/>
  <c r="C38" i="6286"/>
  <c r="C46" i="6286"/>
  <c r="H7" i="6286"/>
  <c r="H19" i="6286"/>
  <c r="H21" i="6286"/>
  <c r="H14" i="6286"/>
  <c r="C19" i="6286"/>
  <c r="H15" i="6286"/>
  <c r="H28" i="6286"/>
  <c r="H34" i="6286"/>
  <c r="C40" i="6286"/>
  <c r="C48" i="6286"/>
  <c r="H5" i="6286"/>
  <c r="H2" i="6286"/>
  <c r="H10" i="6286"/>
  <c r="H3" i="6286"/>
  <c r="H16" i="6286"/>
  <c r="C23" i="6286"/>
  <c r="H8" i="6286"/>
  <c r="C42" i="6286"/>
  <c r="H4" i="6286"/>
  <c r="H25" i="6286"/>
  <c r="H26" i="6286"/>
  <c r="H13" i="6286"/>
  <c r="H29" i="6286"/>
  <c r="H30" i="6286"/>
  <c r="H32" i="6286"/>
  <c r="H35" i="6286"/>
  <c r="C37" i="6286"/>
  <c r="C39" i="6286"/>
  <c r="C41" i="6286"/>
  <c r="C43" i="6286"/>
  <c r="C45" i="6286"/>
  <c r="C47" i="6286"/>
  <c r="H50" i="6286"/>
  <c r="B27" i="6286"/>
  <c r="H33" i="6286"/>
  <c r="H36" i="6286"/>
  <c r="H38" i="6286"/>
  <c r="H40" i="6286"/>
  <c r="H42" i="6286"/>
  <c r="H44" i="6286"/>
  <c r="H46" i="6286"/>
  <c r="H48" i="6286"/>
  <c r="H51" i="6286"/>
  <c r="C22" i="6286"/>
  <c r="C24" i="6286"/>
  <c r="B26" i="6286"/>
  <c r="H18" i="6286"/>
  <c r="H37" i="6286"/>
  <c r="H39" i="6286"/>
  <c r="H41" i="6286"/>
  <c r="H43" i="6286"/>
  <c r="H45" i="6286"/>
  <c r="H47" i="6286"/>
  <c r="H49" i="6286"/>
  <c r="O18" i="6276" l="1"/>
  <c r="O22" i="6282"/>
  <c r="O22" i="6272"/>
  <c r="O19" i="6282"/>
  <c r="O20" i="6276" l="1"/>
  <c r="O19" i="6278"/>
  <c r="O23" i="6272"/>
  <c r="O18" i="6272"/>
  <c r="O15" i="6278"/>
  <c r="O20" i="6280"/>
  <c r="O16" i="6284" l="1"/>
  <c r="O19" i="6284"/>
  <c r="O22" i="6280"/>
  <c r="O21" i="6280"/>
  <c r="O16" i="6276"/>
  <c r="O19" i="6276"/>
  <c r="O17" i="6282"/>
  <c r="O15" i="6284"/>
  <c r="O18" i="6284"/>
  <c r="C34" i="6284"/>
  <c r="B29" i="6284"/>
  <c r="C20" i="6284"/>
  <c r="B19" i="6284"/>
  <c r="H52" i="6284" s="1"/>
  <c r="B18" i="6284"/>
  <c r="B28" i="6284" s="1"/>
  <c r="B17" i="6284"/>
  <c r="C17" i="6284" s="1"/>
  <c r="C16" i="6284"/>
  <c r="C15" i="6284"/>
  <c r="C14" i="6284"/>
  <c r="O12" i="6284"/>
  <c r="B12" i="6284"/>
  <c r="O11" i="6284"/>
  <c r="B11" i="6284"/>
  <c r="O10" i="6284"/>
  <c r="B10" i="6284"/>
  <c r="C9" i="6284"/>
  <c r="C8" i="6284"/>
  <c r="O7" i="6284"/>
  <c r="C7" i="6284"/>
  <c r="O6" i="6284"/>
  <c r="B6" i="6284"/>
  <c r="O5" i="6284"/>
  <c r="B5" i="6284"/>
  <c r="O4" i="6284"/>
  <c r="O3" i="6284"/>
  <c r="H9" i="6284"/>
  <c r="O2" i="6284"/>
  <c r="O20" i="6278"/>
  <c r="O22" i="6270"/>
  <c r="O21" i="6282"/>
  <c r="O16" i="6282"/>
  <c r="C34" i="6282"/>
  <c r="B29" i="6282"/>
  <c r="C20" i="6282"/>
  <c r="B19" i="6282"/>
  <c r="H52" i="6282" s="1"/>
  <c r="B18" i="6282"/>
  <c r="B28" i="6282" s="1"/>
  <c r="B17" i="6282"/>
  <c r="C17" i="6282" s="1"/>
  <c r="C16" i="6282"/>
  <c r="C15" i="6282"/>
  <c r="C14" i="6282"/>
  <c r="O12" i="6282"/>
  <c r="B12" i="6282"/>
  <c r="O11" i="6282"/>
  <c r="B11" i="6282"/>
  <c r="O10" i="6282"/>
  <c r="B10" i="6282"/>
  <c r="C9" i="6282"/>
  <c r="C8" i="6282"/>
  <c r="O7" i="6282"/>
  <c r="C7" i="6282"/>
  <c r="O6" i="6282"/>
  <c r="B6" i="6282"/>
  <c r="O5" i="6282"/>
  <c r="B5" i="6282"/>
  <c r="O4" i="6282"/>
  <c r="O3" i="6282"/>
  <c r="O2" i="6282"/>
  <c r="O18" i="6280"/>
  <c r="O17" i="6280"/>
  <c r="C34" i="6280"/>
  <c r="B29" i="6280"/>
  <c r="C20" i="6280"/>
  <c r="B19" i="6280"/>
  <c r="H52" i="6280" s="1"/>
  <c r="B18" i="6280"/>
  <c r="B28" i="6280" s="1"/>
  <c r="B17" i="6280"/>
  <c r="C17" i="6280" s="1"/>
  <c r="C16" i="6280"/>
  <c r="C15" i="6280"/>
  <c r="C14" i="6280"/>
  <c r="O12" i="6280"/>
  <c r="B12" i="6280"/>
  <c r="O11" i="6280"/>
  <c r="B11" i="6280"/>
  <c r="O10" i="6280"/>
  <c r="B10" i="6280"/>
  <c r="C9" i="6280"/>
  <c r="C8" i="6280"/>
  <c r="O7" i="6280"/>
  <c r="C7" i="6280"/>
  <c r="O6" i="6280"/>
  <c r="B6" i="6280"/>
  <c r="O5" i="6280"/>
  <c r="B5" i="6280"/>
  <c r="O4" i="6280"/>
  <c r="O3" i="6280"/>
  <c r="O2" i="6280"/>
  <c r="O17" i="6270"/>
  <c r="O21" i="6278"/>
  <c r="O18" i="6278"/>
  <c r="C34" i="6278"/>
  <c r="B29" i="6278"/>
  <c r="C20" i="6278"/>
  <c r="B19" i="6278"/>
  <c r="H52" i="6278" s="1"/>
  <c r="B18" i="6278"/>
  <c r="B28" i="6278" s="1"/>
  <c r="B17" i="6278"/>
  <c r="C17" i="6278" s="1"/>
  <c r="C16" i="6278"/>
  <c r="C15" i="6278"/>
  <c r="C14" i="6278"/>
  <c r="O12" i="6278"/>
  <c r="B12" i="6278"/>
  <c r="O11" i="6278"/>
  <c r="B11" i="6278"/>
  <c r="O10" i="6278"/>
  <c r="B10" i="6278"/>
  <c r="C9" i="6278"/>
  <c r="C8" i="6278"/>
  <c r="O7" i="6278"/>
  <c r="C7" i="6278"/>
  <c r="O6" i="6278"/>
  <c r="B6" i="6278"/>
  <c r="O5" i="6278"/>
  <c r="B5" i="6278"/>
  <c r="O4" i="6278"/>
  <c r="O3" i="6278"/>
  <c r="O2" i="6278"/>
  <c r="O24" i="6270"/>
  <c r="O21" i="6270"/>
  <c r="O17" i="6276"/>
  <c r="O23" i="6276"/>
  <c r="C34" i="6276"/>
  <c r="B29" i="6276"/>
  <c r="C20" i="6276"/>
  <c r="B19" i="6276"/>
  <c r="H52" i="6276" s="1"/>
  <c r="B18" i="6276"/>
  <c r="B28" i="6276" s="1"/>
  <c r="B17" i="6276"/>
  <c r="C17" i="6276" s="1"/>
  <c r="C16" i="6276"/>
  <c r="C15" i="6276"/>
  <c r="C14" i="6276"/>
  <c r="O12" i="6276"/>
  <c r="B12" i="6276"/>
  <c r="O11" i="6276"/>
  <c r="B11" i="6276"/>
  <c r="O10" i="6276"/>
  <c r="B10" i="6276"/>
  <c r="C9" i="6276"/>
  <c r="C8" i="6276"/>
  <c r="O7" i="6276"/>
  <c r="C7" i="6276"/>
  <c r="O6" i="6276"/>
  <c r="B6" i="6276"/>
  <c r="O5" i="6276"/>
  <c r="B5" i="6276"/>
  <c r="O4" i="6276"/>
  <c r="O3" i="6276"/>
  <c r="O2" i="6276"/>
  <c r="O18" i="6274"/>
  <c r="O19" i="6274"/>
  <c r="C34" i="6274"/>
  <c r="B29" i="6274"/>
  <c r="C20" i="6274"/>
  <c r="B19" i="6274"/>
  <c r="H5" i="6274" s="1"/>
  <c r="B18" i="6274"/>
  <c r="C18" i="6274" s="1"/>
  <c r="B17" i="6274"/>
  <c r="C17" i="6274" s="1"/>
  <c r="C16" i="6274"/>
  <c r="C15" i="6274"/>
  <c r="C14" i="6274"/>
  <c r="O12" i="6274"/>
  <c r="B12" i="6274"/>
  <c r="O11" i="6274"/>
  <c r="B11" i="6274"/>
  <c r="O10" i="6274"/>
  <c r="B10" i="6274"/>
  <c r="C9" i="6274"/>
  <c r="C8" i="6274"/>
  <c r="O7" i="6274"/>
  <c r="C7" i="6274"/>
  <c r="O6" i="6274"/>
  <c r="B6" i="6274"/>
  <c r="O5" i="6274"/>
  <c r="B5" i="6274"/>
  <c r="O4" i="6274"/>
  <c r="O3" i="6274"/>
  <c r="O2" i="6274"/>
  <c r="O23" i="6270"/>
  <c r="O20" i="6272"/>
  <c r="O15" i="6272"/>
  <c r="C34" i="6272"/>
  <c r="B29" i="6272"/>
  <c r="C20" i="6272"/>
  <c r="B19" i="6272"/>
  <c r="H51" i="6272" s="1"/>
  <c r="B18" i="6272"/>
  <c r="B28" i="6272" s="1"/>
  <c r="B17" i="6272"/>
  <c r="C17" i="6272" s="1"/>
  <c r="C16" i="6272"/>
  <c r="C15" i="6272"/>
  <c r="C14" i="6272"/>
  <c r="O12" i="6272"/>
  <c r="B12" i="6272"/>
  <c r="O11" i="6272"/>
  <c r="B11" i="6272"/>
  <c r="O10" i="6272"/>
  <c r="B10" i="6272"/>
  <c r="C9" i="6272"/>
  <c r="C8" i="6272"/>
  <c r="O7" i="6272"/>
  <c r="C7" i="6272"/>
  <c r="O6" i="6272"/>
  <c r="B6" i="6272"/>
  <c r="O5" i="6272"/>
  <c r="B5" i="6272"/>
  <c r="O4" i="6272"/>
  <c r="O3" i="6272"/>
  <c r="O2" i="6272"/>
  <c r="O25" i="6270"/>
  <c r="O16" i="6270"/>
  <c r="C34" i="6270"/>
  <c r="B29" i="6270"/>
  <c r="C20" i="6270"/>
  <c r="B19" i="6270"/>
  <c r="H52" i="6270" s="1"/>
  <c r="B18" i="6270"/>
  <c r="B28" i="6270" s="1"/>
  <c r="B17" i="6270"/>
  <c r="C17" i="6270" s="1"/>
  <c r="C16" i="6270"/>
  <c r="C15" i="6270"/>
  <c r="C14" i="6270"/>
  <c r="O12" i="6270"/>
  <c r="B12" i="6270"/>
  <c r="O11" i="6270"/>
  <c r="B11" i="6270"/>
  <c r="O10" i="6270"/>
  <c r="B10" i="6270"/>
  <c r="C9" i="6270"/>
  <c r="C8" i="6270"/>
  <c r="O7" i="6270"/>
  <c r="C7" i="6270"/>
  <c r="O6" i="6270"/>
  <c r="B6" i="6270"/>
  <c r="O5" i="6270"/>
  <c r="B5" i="6270"/>
  <c r="O4" i="6270"/>
  <c r="O3" i="6270"/>
  <c r="O2" i="6270"/>
  <c r="B13" i="6282" l="1"/>
  <c r="H10" i="6274"/>
  <c r="H11" i="6274"/>
  <c r="H16" i="6274"/>
  <c r="C18" i="6284"/>
  <c r="B13" i="6284"/>
  <c r="B13" i="6274"/>
  <c r="H13" i="6278"/>
  <c r="H9" i="6278"/>
  <c r="H6" i="6278"/>
  <c r="H7" i="6278"/>
  <c r="H11" i="6278"/>
  <c r="H20" i="6278"/>
  <c r="C18" i="6280"/>
  <c r="C18" i="6272"/>
  <c r="C18" i="6278"/>
  <c r="H5" i="6278"/>
  <c r="H2" i="6278"/>
  <c r="H10" i="6278"/>
  <c r="H3" i="6278"/>
  <c r="H24" i="6278"/>
  <c r="C19" i="6278"/>
  <c r="B13" i="6280"/>
  <c r="H8" i="6272"/>
  <c r="H10" i="6272"/>
  <c r="H7" i="6272"/>
  <c r="H25" i="6272"/>
  <c r="C25" i="6272"/>
  <c r="H36" i="6272"/>
  <c r="H40" i="6272"/>
  <c r="H19" i="6272"/>
  <c r="H22" i="6272"/>
  <c r="H17" i="6272"/>
  <c r="H9" i="6272"/>
  <c r="H24" i="6272"/>
  <c r="H18" i="6272"/>
  <c r="C22" i="6272"/>
  <c r="C36" i="6272"/>
  <c r="C44" i="6272"/>
  <c r="H43" i="6272"/>
  <c r="H14" i="6272"/>
  <c r="C19" i="6272"/>
  <c r="H6" i="6272"/>
  <c r="H16" i="6272"/>
  <c r="H15" i="6272"/>
  <c r="C24" i="6272"/>
  <c r="H35" i="6272"/>
  <c r="H38" i="6272"/>
  <c r="H48" i="6272"/>
  <c r="H19" i="6274"/>
  <c r="B27" i="6274"/>
  <c r="H41" i="6274"/>
  <c r="H6" i="6274"/>
  <c r="H18" i="6274"/>
  <c r="C24" i="6274"/>
  <c r="H49" i="6274"/>
  <c r="H9" i="6274"/>
  <c r="H20" i="6274"/>
  <c r="C19" i="6274"/>
  <c r="C23" i="6274"/>
  <c r="H31" i="6274"/>
  <c r="H40" i="6274"/>
  <c r="H48" i="6274"/>
  <c r="H7" i="6274"/>
  <c r="H15" i="6274"/>
  <c r="C25" i="6274"/>
  <c r="H36" i="6274"/>
  <c r="H44" i="6274"/>
  <c r="H3" i="6274"/>
  <c r="H2" i="6274"/>
  <c r="H14" i="6274"/>
  <c r="H4" i="6274"/>
  <c r="H17" i="6274"/>
  <c r="H12" i="6274"/>
  <c r="H21" i="6274"/>
  <c r="C21" i="6274"/>
  <c r="H37" i="6274"/>
  <c r="H45" i="6274"/>
  <c r="H7" i="6280"/>
  <c r="H26" i="6280"/>
  <c r="C19" i="6280"/>
  <c r="H10" i="6280"/>
  <c r="H12" i="6280"/>
  <c r="H8" i="6284"/>
  <c r="C19" i="6284"/>
  <c r="H5" i="6284"/>
  <c r="H16" i="6284"/>
  <c r="H6" i="6282"/>
  <c r="C19" i="6282"/>
  <c r="H11" i="6282"/>
  <c r="H15" i="6282"/>
  <c r="H20" i="6284"/>
  <c r="H23" i="6284"/>
  <c r="H10" i="6284"/>
  <c r="H29" i="6284"/>
  <c r="H35" i="6284"/>
  <c r="C37" i="6284"/>
  <c r="C39" i="6284"/>
  <c r="C43" i="6284"/>
  <c r="C45" i="6284"/>
  <c r="C47" i="6284"/>
  <c r="H7" i="6284"/>
  <c r="H19" i="6284"/>
  <c r="C23" i="6284"/>
  <c r="B27" i="6284"/>
  <c r="H33" i="6284"/>
  <c r="H36" i="6284"/>
  <c r="H40" i="6284"/>
  <c r="H44" i="6284"/>
  <c r="H46" i="6284"/>
  <c r="H51" i="6284"/>
  <c r="H2" i="6284"/>
  <c r="H3" i="6284"/>
  <c r="H15" i="6284"/>
  <c r="H6" i="6284"/>
  <c r="H22" i="6284"/>
  <c r="H24" i="6284"/>
  <c r="H26" i="6284"/>
  <c r="H27" i="6284"/>
  <c r="H11" i="6284"/>
  <c r="H30" i="6284"/>
  <c r="H34" i="6284"/>
  <c r="C36" i="6284"/>
  <c r="C38" i="6284"/>
  <c r="C40" i="6284"/>
  <c r="C42" i="6284"/>
  <c r="C44" i="6284"/>
  <c r="C46" i="6284"/>
  <c r="C48" i="6284"/>
  <c r="H4" i="6284"/>
  <c r="H25" i="6284"/>
  <c r="H28" i="6284"/>
  <c r="H32" i="6284"/>
  <c r="C41" i="6284"/>
  <c r="H50" i="6284"/>
  <c r="H13" i="6284"/>
  <c r="H18" i="6284"/>
  <c r="C21" i="6284"/>
  <c r="C25" i="6284"/>
  <c r="H38" i="6284"/>
  <c r="H42" i="6284"/>
  <c r="H48" i="6284"/>
  <c r="H12" i="6284"/>
  <c r="H17" i="6284"/>
  <c r="H14" i="6284"/>
  <c r="H21" i="6284"/>
  <c r="C22" i="6284"/>
  <c r="C24" i="6284"/>
  <c r="B26" i="6284"/>
  <c r="H31" i="6284"/>
  <c r="H37" i="6284"/>
  <c r="H39" i="6284"/>
  <c r="H41" i="6284"/>
  <c r="H43" i="6284"/>
  <c r="H45" i="6284"/>
  <c r="H47" i="6284"/>
  <c r="H49" i="6284"/>
  <c r="C18" i="6282"/>
  <c r="H20" i="6282"/>
  <c r="H18" i="6282"/>
  <c r="H27" i="6282"/>
  <c r="H16" i="6282"/>
  <c r="H30" i="6282"/>
  <c r="C37" i="6282"/>
  <c r="C41" i="6282"/>
  <c r="C47" i="6282"/>
  <c r="H7" i="6282"/>
  <c r="H24" i="6282"/>
  <c r="H25" i="6282"/>
  <c r="C21" i="6282"/>
  <c r="C23" i="6282"/>
  <c r="B27" i="6282"/>
  <c r="H34" i="6282"/>
  <c r="H37" i="6282"/>
  <c r="H41" i="6282"/>
  <c r="H42" i="6282"/>
  <c r="H44" i="6282"/>
  <c r="H46" i="6282"/>
  <c r="H51" i="6282"/>
  <c r="H5" i="6282"/>
  <c r="H3" i="6282"/>
  <c r="H13" i="6282"/>
  <c r="H2" i="6282"/>
  <c r="H12" i="6282"/>
  <c r="H9" i="6282"/>
  <c r="H19" i="6282"/>
  <c r="H29" i="6282"/>
  <c r="H10" i="6282"/>
  <c r="H31" i="6282"/>
  <c r="H35" i="6282"/>
  <c r="C36" i="6282"/>
  <c r="C38" i="6282"/>
  <c r="C40" i="6282"/>
  <c r="C42" i="6282"/>
  <c r="C44" i="6282"/>
  <c r="C46" i="6282"/>
  <c r="C48" i="6282"/>
  <c r="H4" i="6282"/>
  <c r="H28" i="6282"/>
  <c r="H22" i="6282"/>
  <c r="H33" i="6282"/>
  <c r="H36" i="6282"/>
  <c r="C39" i="6282"/>
  <c r="C43" i="6282"/>
  <c r="C45" i="6282"/>
  <c r="H50" i="6282"/>
  <c r="H14" i="6282"/>
  <c r="C25" i="6282"/>
  <c r="H39" i="6282"/>
  <c r="H48" i="6282"/>
  <c r="H8" i="6282"/>
  <c r="H21" i="6282"/>
  <c r="H17" i="6282"/>
  <c r="H26" i="6282"/>
  <c r="C22" i="6282"/>
  <c r="C24" i="6282"/>
  <c r="B26" i="6282"/>
  <c r="H32" i="6282"/>
  <c r="H38" i="6282"/>
  <c r="H40" i="6282"/>
  <c r="H23" i="6282"/>
  <c r="H43" i="6282"/>
  <c r="H45" i="6282"/>
  <c r="H47" i="6282"/>
  <c r="H49" i="6282"/>
  <c r="C18" i="6270"/>
  <c r="H14" i="6280"/>
  <c r="H30" i="6280"/>
  <c r="H33" i="6280"/>
  <c r="C37" i="6280"/>
  <c r="C43" i="6280"/>
  <c r="H51" i="6280"/>
  <c r="H6" i="6280"/>
  <c r="H25" i="6280"/>
  <c r="H27" i="6280"/>
  <c r="H15" i="6280"/>
  <c r="C21" i="6280"/>
  <c r="C23" i="6280"/>
  <c r="C25" i="6280"/>
  <c r="B27" i="6280"/>
  <c r="H35" i="6280"/>
  <c r="H37" i="6280"/>
  <c r="H39" i="6280"/>
  <c r="H41" i="6280"/>
  <c r="H43" i="6280"/>
  <c r="H45" i="6280"/>
  <c r="H47" i="6280"/>
  <c r="H49" i="6280"/>
  <c r="H24" i="6280"/>
  <c r="H18" i="6280"/>
  <c r="H34" i="6280"/>
  <c r="C41" i="6280"/>
  <c r="C47" i="6280"/>
  <c r="H4" i="6280"/>
  <c r="H3" i="6280"/>
  <c r="H11" i="6280"/>
  <c r="H2" i="6280"/>
  <c r="H17" i="6280"/>
  <c r="H13" i="6280"/>
  <c r="H22" i="6280"/>
  <c r="H31" i="6280"/>
  <c r="H8" i="6280"/>
  <c r="H16" i="6280"/>
  <c r="H23" i="6280"/>
  <c r="C36" i="6280"/>
  <c r="C38" i="6280"/>
  <c r="C40" i="6280"/>
  <c r="C42" i="6280"/>
  <c r="C44" i="6280"/>
  <c r="C46" i="6280"/>
  <c r="C48" i="6280"/>
  <c r="H5" i="6280"/>
  <c r="H29" i="6280"/>
  <c r="H32" i="6280"/>
  <c r="H36" i="6280"/>
  <c r="C39" i="6280"/>
  <c r="C45" i="6280"/>
  <c r="H9" i="6280"/>
  <c r="H20" i="6280"/>
  <c r="H21" i="6280"/>
  <c r="H28" i="6280"/>
  <c r="C22" i="6280"/>
  <c r="C24" i="6280"/>
  <c r="B26" i="6280"/>
  <c r="H19" i="6280"/>
  <c r="H38" i="6280"/>
  <c r="H40" i="6280"/>
  <c r="H42" i="6280"/>
  <c r="H44" i="6280"/>
  <c r="H46" i="6280"/>
  <c r="H48" i="6280"/>
  <c r="H50" i="6280"/>
  <c r="B13" i="6278"/>
  <c r="H26" i="6278"/>
  <c r="H28" i="6278"/>
  <c r="H12" i="6278"/>
  <c r="H30" i="6278"/>
  <c r="H31" i="6278"/>
  <c r="H32" i="6278"/>
  <c r="H35" i="6278"/>
  <c r="C37" i="6278"/>
  <c r="C39" i="6278"/>
  <c r="C41" i="6278"/>
  <c r="C43" i="6278"/>
  <c r="C45" i="6278"/>
  <c r="C47" i="6278"/>
  <c r="H50" i="6278"/>
  <c r="H16" i="6278"/>
  <c r="H22" i="6278"/>
  <c r="H14" i="6278"/>
  <c r="C21" i="6278"/>
  <c r="C23" i="6278"/>
  <c r="C25" i="6278"/>
  <c r="B27" i="6278"/>
  <c r="H33" i="6278"/>
  <c r="H36" i="6278"/>
  <c r="H38" i="6278"/>
  <c r="H40" i="6278"/>
  <c r="H42" i="6278"/>
  <c r="H44" i="6278"/>
  <c r="H46" i="6278"/>
  <c r="H48" i="6278"/>
  <c r="H51" i="6278"/>
  <c r="H15" i="6278"/>
  <c r="H27" i="6278"/>
  <c r="H29" i="6278"/>
  <c r="H17" i="6278"/>
  <c r="H8" i="6278"/>
  <c r="H18" i="6278"/>
  <c r="H34" i="6278"/>
  <c r="C36" i="6278"/>
  <c r="C38" i="6278"/>
  <c r="C40" i="6278"/>
  <c r="C42" i="6278"/>
  <c r="C44" i="6278"/>
  <c r="C46" i="6278"/>
  <c r="C48" i="6278"/>
  <c r="H4" i="6278"/>
  <c r="H21" i="6278"/>
  <c r="H23" i="6278"/>
  <c r="H25" i="6278"/>
  <c r="C22" i="6278"/>
  <c r="C24" i="6278"/>
  <c r="B26" i="6278"/>
  <c r="H19" i="6278"/>
  <c r="H37" i="6278"/>
  <c r="H39" i="6278"/>
  <c r="H41" i="6278"/>
  <c r="H43" i="6278"/>
  <c r="H45" i="6278"/>
  <c r="H47" i="6278"/>
  <c r="H49" i="6278"/>
  <c r="B13" i="6276"/>
  <c r="C18" i="6276"/>
  <c r="C19" i="6276"/>
  <c r="H13" i="6276"/>
  <c r="H10" i="6276"/>
  <c r="H6" i="6276"/>
  <c r="H29" i="6276"/>
  <c r="H17" i="6276"/>
  <c r="H25" i="6276"/>
  <c r="H34" i="6276"/>
  <c r="H21" i="6276"/>
  <c r="C37" i="6276"/>
  <c r="C39" i="6276"/>
  <c r="C41" i="6276"/>
  <c r="C43" i="6276"/>
  <c r="C45" i="6276"/>
  <c r="H51" i="6276"/>
  <c r="H7" i="6276"/>
  <c r="H22" i="6276"/>
  <c r="H30" i="6276"/>
  <c r="H14" i="6276"/>
  <c r="C21" i="6276"/>
  <c r="C23" i="6276"/>
  <c r="C25" i="6276"/>
  <c r="B27" i="6276"/>
  <c r="H36" i="6276"/>
  <c r="H38" i="6276"/>
  <c r="H40" i="6276"/>
  <c r="H42" i="6276"/>
  <c r="H44" i="6276"/>
  <c r="H46" i="6276"/>
  <c r="H47" i="6276"/>
  <c r="H49" i="6276"/>
  <c r="H16" i="6276"/>
  <c r="H32" i="6276"/>
  <c r="H12" i="6276"/>
  <c r="H35" i="6276"/>
  <c r="H37" i="6276"/>
  <c r="C47" i="6276"/>
  <c r="H4" i="6276"/>
  <c r="H2" i="6276"/>
  <c r="H11" i="6276"/>
  <c r="H3" i="6276"/>
  <c r="H18" i="6276"/>
  <c r="H15" i="6276"/>
  <c r="H33" i="6276"/>
  <c r="H26" i="6276"/>
  <c r="H9" i="6276"/>
  <c r="H19" i="6276"/>
  <c r="H27" i="6276"/>
  <c r="C36" i="6276"/>
  <c r="C38" i="6276"/>
  <c r="C40" i="6276"/>
  <c r="C42" i="6276"/>
  <c r="C44" i="6276"/>
  <c r="C46" i="6276"/>
  <c r="C48" i="6276"/>
  <c r="H5" i="6276"/>
  <c r="H8" i="6276"/>
  <c r="H23" i="6276"/>
  <c r="H24" i="6276"/>
  <c r="H31" i="6276"/>
  <c r="C22" i="6276"/>
  <c r="C24" i="6276"/>
  <c r="B26" i="6276"/>
  <c r="H20" i="6276"/>
  <c r="H39" i="6276"/>
  <c r="H41" i="6276"/>
  <c r="H43" i="6276"/>
  <c r="H45" i="6276"/>
  <c r="H28" i="6276"/>
  <c r="H48" i="6276"/>
  <c r="H50" i="6276"/>
  <c r="B13" i="6270"/>
  <c r="H33" i="6274"/>
  <c r="H38" i="6274"/>
  <c r="H42" i="6274"/>
  <c r="H46" i="6274"/>
  <c r="H51" i="6274"/>
  <c r="C22" i="6274"/>
  <c r="B26" i="6274"/>
  <c r="H39" i="6274"/>
  <c r="H43" i="6274"/>
  <c r="H47" i="6274"/>
  <c r="H52" i="6274"/>
  <c r="B28" i="6274"/>
  <c r="H23" i="6274"/>
  <c r="H24" i="6274"/>
  <c r="H26" i="6274"/>
  <c r="H28" i="6274"/>
  <c r="H29" i="6274"/>
  <c r="H32" i="6274"/>
  <c r="H35" i="6274"/>
  <c r="C37" i="6274"/>
  <c r="C39" i="6274"/>
  <c r="C41" i="6274"/>
  <c r="C43" i="6274"/>
  <c r="C45" i="6274"/>
  <c r="C47" i="6274"/>
  <c r="H50" i="6274"/>
  <c r="H22" i="6274"/>
  <c r="H13" i="6274"/>
  <c r="H25" i="6274"/>
  <c r="H27" i="6274"/>
  <c r="H8" i="6274"/>
  <c r="H30" i="6274"/>
  <c r="H34" i="6274"/>
  <c r="C36" i="6274"/>
  <c r="C38" i="6274"/>
  <c r="C40" i="6274"/>
  <c r="C42" i="6274"/>
  <c r="C44" i="6274"/>
  <c r="C46" i="6274"/>
  <c r="C48" i="6274"/>
  <c r="B13" i="6272"/>
  <c r="C21" i="6272"/>
  <c r="H30" i="6272"/>
  <c r="B26" i="6272"/>
  <c r="H21" i="6272"/>
  <c r="H23" i="6272"/>
  <c r="C38" i="6272"/>
  <c r="H42" i="6272"/>
  <c r="H45" i="6272"/>
  <c r="C46" i="6272"/>
  <c r="H50" i="6272"/>
  <c r="H41" i="6272"/>
  <c r="C42" i="6272"/>
  <c r="H46" i="6272"/>
  <c r="H49" i="6272"/>
  <c r="H5" i="6272"/>
  <c r="H4" i="6272"/>
  <c r="H2" i="6272"/>
  <c r="H11" i="6272"/>
  <c r="H3" i="6272"/>
  <c r="H20" i="6272"/>
  <c r="H26" i="6272"/>
  <c r="H27" i="6272"/>
  <c r="C23" i="6272"/>
  <c r="H31" i="6272"/>
  <c r="H13" i="6272"/>
  <c r="H39" i="6272"/>
  <c r="C40" i="6272"/>
  <c r="H44" i="6272"/>
  <c r="H47" i="6272"/>
  <c r="C48" i="6272"/>
  <c r="H52" i="6272"/>
  <c r="B27" i="6272"/>
  <c r="H28" i="6272"/>
  <c r="H29" i="6272"/>
  <c r="H12" i="6272"/>
  <c r="H32" i="6272"/>
  <c r="H33" i="6272"/>
  <c r="H34" i="6272"/>
  <c r="H37" i="6272"/>
  <c r="C37" i="6272"/>
  <c r="C39" i="6272"/>
  <c r="C41" i="6272"/>
  <c r="C43" i="6272"/>
  <c r="C45" i="6272"/>
  <c r="C47" i="6272"/>
  <c r="H6" i="6270"/>
  <c r="H10" i="6270"/>
  <c r="H13" i="6270"/>
  <c r="C19" i="6270"/>
  <c r="H25" i="6270"/>
  <c r="H29" i="6270"/>
  <c r="H12" i="6270"/>
  <c r="H30" i="6270"/>
  <c r="H37" i="6270"/>
  <c r="H27" i="6270"/>
  <c r="H39" i="6270"/>
  <c r="C37" i="6270"/>
  <c r="C39" i="6270"/>
  <c r="C41" i="6270"/>
  <c r="C43" i="6270"/>
  <c r="C45" i="6270"/>
  <c r="C47" i="6270"/>
  <c r="H51" i="6270"/>
  <c r="H7" i="6270"/>
  <c r="H23" i="6270"/>
  <c r="H34" i="6270"/>
  <c r="H15" i="6270"/>
  <c r="C21" i="6270"/>
  <c r="C23" i="6270"/>
  <c r="C25" i="6270"/>
  <c r="B27" i="6270"/>
  <c r="H38" i="6270"/>
  <c r="H31" i="6270"/>
  <c r="H41" i="6270"/>
  <c r="H43" i="6270"/>
  <c r="H44" i="6270"/>
  <c r="H46" i="6270"/>
  <c r="H47" i="6270"/>
  <c r="H49" i="6270"/>
  <c r="H19" i="6270"/>
  <c r="H16" i="6270"/>
  <c r="H14" i="6270"/>
  <c r="H24" i="6270"/>
  <c r="H26" i="6270"/>
  <c r="H9" i="6270"/>
  <c r="H18" i="6270"/>
  <c r="H28" i="6270"/>
  <c r="C36" i="6270"/>
  <c r="C38" i="6270"/>
  <c r="C40" i="6270"/>
  <c r="C42" i="6270"/>
  <c r="C44" i="6270"/>
  <c r="C46" i="6270"/>
  <c r="C48" i="6270"/>
  <c r="H5" i="6270"/>
  <c r="H17" i="6270"/>
  <c r="H36" i="6270"/>
  <c r="H4" i="6270"/>
  <c r="H2" i="6270"/>
  <c r="H11" i="6270"/>
  <c r="H3" i="6270"/>
  <c r="H8" i="6270"/>
  <c r="H21" i="6270"/>
  <c r="H22" i="6270"/>
  <c r="H35" i="6270"/>
  <c r="C22" i="6270"/>
  <c r="C24" i="6270"/>
  <c r="B26" i="6270"/>
  <c r="H20" i="6270"/>
  <c r="H40" i="6270"/>
  <c r="H42" i="6270"/>
  <c r="H32" i="6270"/>
  <c r="H45" i="6270"/>
  <c r="H33" i="6270"/>
  <c r="H48" i="6270"/>
  <c r="H50" i="6270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<sst xmlns="http://schemas.openxmlformats.org/spreadsheetml/2006/main" count="3215" uniqueCount="245">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</sst>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全体!$K$2:$K$386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xVal>
          <c:yVal>
            <c:numRef>
              <c:f>全体!$L$2:$L$386</c:f>
              <c:numCache>
                <c:formatCode>\+0.0;\-0.0;\±0</c:formatCode>
                <c:ptCount val="38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79-40CB-BE6A-85B89ED3F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-13.333333333333334</c:v>
                </c:pt>
                <c:pt idx="1">
                  <c:v>0</c:v>
                </c:pt>
                <c:pt idx="2">
                  <c:v>-14.005602240896359</c:v>
                </c:pt>
                <c:pt idx="3">
                  <c:v>18.518518518518519</c:v>
                </c:pt>
                <c:pt idx="4">
                  <c:v>-46.666666666666664</c:v>
                </c:pt>
                <c:pt idx="5">
                  <c:v>61.728395061728392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16-4780-8927-5CA3086D1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64</c:v>
                </c:pt>
                <c:pt idx="1">
                  <c:v>156</c:v>
                </c:pt>
                <c:pt idx="2">
                  <c:v>154</c:v>
                </c:pt>
                <c:pt idx="3">
                  <c:v>159</c:v>
                </c:pt>
                <c:pt idx="4">
                  <c:v>129</c:v>
                </c:pt>
                <c:pt idx="5">
                  <c:v>93</c:v>
                </c:pt>
                <c:pt idx="6">
                  <c:v>51</c:v>
                </c:pt>
                <c:pt idx="7">
                  <c:v>24</c:v>
                </c:pt>
                <c:pt idx="8">
                  <c:v>15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7-4BD5-9199-D69F3D0A0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4-4EBA-9D45-131263654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-968.18181818181813</c:v>
                </c:pt>
                <c:pt idx="1">
                  <c:v>-1648.5294117647059</c:v>
                </c:pt>
                <c:pt idx="2">
                  <c:v>250.79365079365078</c:v>
                </c:pt>
                <c:pt idx="3">
                  <c:v>-1039.655172413793</c:v>
                </c:pt>
                <c:pt idx="4">
                  <c:v>1273.6842105263158</c:v>
                </c:pt>
                <c:pt idx="5">
                  <c:v>2834.8837209302324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3-4CC4-BB0B-8A3A0490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16</c:v>
                </c:pt>
                <c:pt idx="3">
                  <c:v>37</c:v>
                </c:pt>
                <c:pt idx="4">
                  <c:v>29</c:v>
                </c:pt>
                <c:pt idx="5">
                  <c:v>19</c:v>
                </c:pt>
                <c:pt idx="6">
                  <c:v>12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F-4D1B-8C2A-ED297CBB7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1-4674-90DA-56F4CC3F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B-4F6A-BBBA-B78CBCA84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A-42AD-B7B5-21BC21A92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だいち!$L$2:$L$96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6-4435-A565-7FCDB04DA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1636.5591397849462</c:v>
                </c:pt>
                <c:pt idx="1">
                  <c:v>2560.2150537634407</c:v>
                </c:pt>
                <c:pt idx="2">
                  <c:v>1579.5454545454545</c:v>
                </c:pt>
                <c:pt idx="3">
                  <c:v>1074.6835443037974</c:v>
                </c:pt>
                <c:pt idx="4">
                  <c:v>-1030.6666666666667</c:v>
                </c:pt>
                <c:pt idx="5">
                  <c:v>2368.3333333333335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83-49FB-8BA7-4BDE95E17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33</c:v>
                </c:pt>
                <c:pt idx="2">
                  <c:v>42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2-4E04-BFDE-54E228D24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E-431C-9BF9-5BF1639BA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-3848.7179487179487</c:v>
                </c:pt>
                <c:pt idx="1">
                  <c:v>2179.4871794871797</c:v>
                </c:pt>
                <c:pt idx="2">
                  <c:v>-1486.1111111111111</c:v>
                </c:pt>
                <c:pt idx="3">
                  <c:v>-1487.0967741935483</c:v>
                </c:pt>
                <c:pt idx="4">
                  <c:v>3596.2962962962961</c:v>
                </c:pt>
                <c:pt idx="5">
                  <c:v>-3930.4347826086955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3-4081-9074-C1EC9EEA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14</c:v>
                </c:pt>
                <c:pt idx="4">
                  <c:v>8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9-48D4-9092-A4D896BF0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A8D-AF1C-AEE314839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-57.377049180327866</c:v>
                </c:pt>
                <c:pt idx="1">
                  <c:v>-318.03278688524591</c:v>
                </c:pt>
                <c:pt idx="2">
                  <c:v>-1090</c:v>
                </c:pt>
                <c:pt idx="3">
                  <c:v>1647.3684210526317</c:v>
                </c:pt>
                <c:pt idx="4">
                  <c:v>-1290.1960784313726</c:v>
                </c:pt>
                <c:pt idx="5">
                  <c:v>-1578.0487804878048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6-4F0B-91CD-051FD7452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33</c:v>
                </c:pt>
                <c:pt idx="3">
                  <c:v>22</c:v>
                </c:pt>
                <c:pt idx="4">
                  <c:v>16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2E1-BCCF-A0FBBAE18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1-444C-8522-A276EB351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-968.29268292682923</c:v>
                </c:pt>
                <c:pt idx="1">
                  <c:v>-1477.5</c:v>
                </c:pt>
                <c:pt idx="2">
                  <c:v>2538.8888888888887</c:v>
                </c:pt>
                <c:pt idx="3">
                  <c:v>-1112.121212121212</c:v>
                </c:pt>
                <c:pt idx="4">
                  <c:v>1657.1428571428571</c:v>
                </c:pt>
                <c:pt idx="5">
                  <c:v>673.07692307692309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D-4A4A-BDB6-705668CB8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27</c:v>
                </c:pt>
                <c:pt idx="2">
                  <c:v>19</c:v>
                </c:pt>
                <c:pt idx="3">
                  <c:v>13</c:v>
                </c:pt>
                <c:pt idx="4">
                  <c:v>19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4-4F27-9BB4-8A4D2182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D-4D5E-B3E1-8670A1612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9-48F9-BBD3-6D6D88CA6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A-499E-AB0E-D3CAC1A76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1-4474-A356-882F8D62D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9-4A47-A328-768204292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3-4F5B-B2CE-E4EF226D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C9-48B0-88F0-40DCA19C7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6-4A6F-BD33-AC186A3A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4-4E85-9C09-F1CD1950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B-42D3-B4A0-8689639B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1-45CD-A31D-519BDD066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1-4DD7-ABBF-11C1C44C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F-4724-B729-CB927442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-3766.6666666666665</c:v>
                </c:pt>
                <c:pt idx="1">
                  <c:v>800</c:v>
                </c:pt>
                <c:pt idx="2">
                  <c:v>6333.333333333333</c:v>
                </c:pt>
                <c:pt idx="3">
                  <c:v>-5133.333333333333</c:v>
                </c:pt>
                <c:pt idx="4">
                  <c:v>-6666.666666666667</c:v>
                </c:pt>
                <c:pt idx="5">
                  <c:v>5066.666666666667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B-421E-92E6-97E395035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8-4B9C-BCB8-0560255D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いちかわ2!$C$3:$C$6</c:f>
              <c:numCache>
                <c:formatCode>\+0.0;\-0.0;\±0</c:formatCode>
                <c:ptCount val="4"/>
                <c:pt idx="1">
                  <c:v>-18.399999999999999</c:v>
                </c:pt>
                <c:pt idx="2">
                  <c:v>-1.8999999999999995</c:v>
                </c:pt>
                <c:pt idx="3">
                  <c:v>-3.3666666666666658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518585385429707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いちかわ2!$D$3:$D$6</c:f>
              <c:numCache>
                <c:formatCode>0.00\ "位"</c:formatCode>
                <c:ptCount val="4"/>
                <c:pt idx="1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いちかわ2!$E$3:$E$6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いちかわ2!$F$3:$F$6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いちかわ2!$G$3:$G$6</c:f>
              <c:numCache>
                <c:formatCode>0.0%</c:formatCode>
                <c:ptCount val="4"/>
                <c:pt idx="1">
                  <c:v>0.125</c:v>
                </c:pt>
                <c:pt idx="2">
                  <c:v>0.22222222222222221</c:v>
                </c:pt>
                <c:pt idx="3">
                  <c:v>0.20689655172413793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61209730440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いちかわ2!$H$3:$H$6</c:f>
              <c:numCache>
                <c:formatCode>0.0%</c:formatCode>
                <c:ptCount val="4"/>
                <c:pt idx="1">
                  <c:v>0.25</c:v>
                </c:pt>
                <c:pt idx="2">
                  <c:v>0.16666666666666666</c:v>
                </c:pt>
                <c:pt idx="3">
                  <c:v>0.2413793103448276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54503616042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いちかわ2!$I$3:$I$6</c:f>
              <c:numCache>
                <c:formatCode>0</c:formatCode>
                <c:ptCount val="4"/>
                <c:pt idx="1">
                  <c:v>18000</c:v>
                </c:pt>
                <c:pt idx="2">
                  <c:v>10150</c:v>
                </c:pt>
                <c:pt idx="3">
                  <c:v>9433.3333333333339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21.2258796821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いちかわ2!$J$3:$J$6</c:f>
              <c:numCache>
                <c:formatCode>0</c:formatCode>
                <c:ptCount val="4"/>
                <c:pt idx="1">
                  <c:v>-5950</c:v>
                </c:pt>
                <c:pt idx="2">
                  <c:v>-6633.333333333333</c:v>
                </c:pt>
                <c:pt idx="3">
                  <c:v>-4914.2857142857147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99.3492407809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9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いちかわ2!$L$3:$L$6</c:f>
              <c:numCache>
                <c:formatCode>0.0%</c:formatCode>
                <c:ptCount val="4"/>
                <c:pt idx="1">
                  <c:v>0.25</c:v>
                </c:pt>
                <c:pt idx="2">
                  <c:v>0.22222222222222221</c:v>
                </c:pt>
                <c:pt idx="3">
                  <c:v>0.17241379310344829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288625904010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いちかわ2!$M$3:$M$6</c:f>
              <c:numCache>
                <c:formatCode>0.0%</c:formatCode>
                <c:ptCount val="4"/>
                <c:pt idx="1">
                  <c:v>0</c:v>
                </c:pt>
                <c:pt idx="2">
                  <c:v>0.1111111111111111</c:v>
                </c:pt>
                <c:pt idx="3">
                  <c:v>0.10344827586206896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12820512820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いちかわ2!$N$3:$N$6</c:f>
              <c:numCache>
                <c:formatCode>0.0%</c:formatCode>
                <c:ptCount val="4"/>
                <c:pt idx="1">
                  <c:v>0.5</c:v>
                </c:pt>
                <c:pt idx="2">
                  <c:v>0.75</c:v>
                </c:pt>
                <c:pt idx="3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220708446866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いちかわ2!$O$3:$O$6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いちかわ2!$P$3:$P$6</c:f>
              <c:numCache>
                <c:formatCode>0.0%</c:formatCode>
                <c:ptCount val="4"/>
                <c:pt idx="1">
                  <c:v>1</c:v>
                </c:pt>
                <c:pt idx="2">
                  <c:v>0.75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46083995459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42B5B6-D6D2-44F7-B5D9-D2409530A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52E0D5-0680-467C-91A8-94CB8B45C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52F57F-E187-4B0A-8AFB-B4C282605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46EE24-EC9B-4A2E-A79B-670372D70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1C154C-9F6E-4CD2-9DA2-301239DF0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B382C0-3608-495C-A980-6EBE07314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3457A3-C0BE-4904-AEFB-3A2B20D01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72ABD1-B48D-4944-A599-536480816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1118A0-0AF0-470C-BF85-52BABB554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9FE302-0389-4234-AB84-CE16A8A7A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A237CB-4EA0-4A02-8751-685B5C98C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DB3FDB-0664-46C0-A230-00A95F13A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241D34-CDD3-49F2-B2FA-32B18FC70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55A31E-43AF-4F52-B637-62CE4E86FC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3C4161-B329-4695-9266-ED38626C5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4104D1-FD3E-4895-AB01-EDC0D2AC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AEDB91-9316-4FC0-8B0F-16DF9A47A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8EE2BFA-9A2B-46D1-AAF9-A21695180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ACDB65-2688-48E7-B098-5F83E17D0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9E33A3-8E93-48E9-91EA-978680117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54CB05-A6EE-4244-BA9D-82A6FA90A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29255E-F6F6-462B-96F8-5C8744D16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8301EE-A090-48C7-8981-10D91AE24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080AFF-60E8-420B-8657-2D9C64787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870D12-77D3-4531-8D1E-2EBFDE905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7B6BF3-5AEF-4EB0-8ECA-D09599639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359151-7C16-4766-96C7-DD255E7FA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308BDF-7B73-456D-AF59-E1CDCADFE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22FB4E-A780-449E-8E2E-54AAFBC6D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808FB7-23CF-4440-8993-0548928E6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90B077-5010-4A10-AC5D-A1B36D06C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C12068-769A-4121-9399-41F85AA9F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FD6654-B3B8-4AF7-87F2-925DED3C2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534039-9800-4358-8030-01331B7F7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73E8C6-299F-4B46-95BB-B41CCB638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2EC3EA-68C4-467A-AD4C-0959BEF19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8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">
      <c r="A8" s="2" t="s">
        <v>210</v>
      </c>
      <c r="B8" s="3">
        <v>44017.977951388886</v>
      </c>
      <c r="C8" s="2" t="s">
        <v>127</v>
      </c>
    </row>
    <row r="9" spans="1:12" x14ac:dyDescent="0.4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">
      <c r="A16" s="2" t="s">
        <v>219</v>
      </c>
      <c r="B16" s="3">
        <v>44017.977951388886</v>
      </c>
      <c r="C16" s="2" t="s">
        <v>127</v>
      </c>
    </row>
    <row r="17" spans="1:8" x14ac:dyDescent="0.4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">
      <c r="A22" s="2" t="s">
        <v>225</v>
      </c>
      <c r="B22" s="3">
        <v>44017.977951388886</v>
      </c>
      <c r="C22" s="2" t="s">
        <v>127</v>
      </c>
    </row>
    <row r="23" spans="1:8" x14ac:dyDescent="0.4">
      <c r="A23" s="2" t="s">
        <v>226</v>
      </c>
      <c r="B23" s="3">
        <v>44017.977951388886</v>
      </c>
      <c r="C23" s="2" t="s">
        <v>127</v>
      </c>
    </row>
    <row r="24" spans="1:8" x14ac:dyDescent="0.4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">
      <c r="A30" s="2" t="s">
        <v>233</v>
      </c>
      <c r="B30" s="3">
        <v>44018.651041666664</v>
      </c>
      <c r="C30" s="2" t="s">
        <v>127</v>
      </c>
    </row>
    <row r="31" spans="1:8" x14ac:dyDescent="0.4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">
      <c r="A32" s="2" t="s">
        <v>235</v>
      </c>
      <c r="B32" s="3">
        <v>44035.941701388889</v>
      </c>
      <c r="C32" s="2" t="s">
        <v>127</v>
      </c>
      <c r="D32" s="2" t="s">
        <v>191</v>
      </c>
    </row>
    <row r="33" spans="1:7" x14ac:dyDescent="0.4">
      <c r="A33" s="2" t="s">
        <v>237</v>
      </c>
      <c r="B33" s="3">
        <v>44035.941701388889</v>
      </c>
      <c r="C33" s="2" t="s">
        <v>127</v>
      </c>
    </row>
    <row r="34" spans="1:7" x14ac:dyDescent="0.4">
      <c r="A34" s="2" t="s">
        <v>238</v>
      </c>
      <c r="B34" s="3">
        <v>44035.941701388889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">
      <c r="A35" s="2" t="s">
        <v>239</v>
      </c>
      <c r="B35" s="3">
        <v>44035.941701388889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">
      <c r="A36" s="2" t="s">
        <v>241</v>
      </c>
      <c r="B36" s="3">
        <v>44035.941701388889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">
      <c r="A37" s="2" t="s">
        <v>242</v>
      </c>
      <c r="B37" s="3">
        <v>44036.072974537034</v>
      </c>
      <c r="C37" s="2" t="s">
        <v>127</v>
      </c>
      <c r="D37" s="2" t="s">
        <v>191</v>
      </c>
      <c r="E37" s="2" t="s">
        <v>195</v>
      </c>
      <c r="F37" s="2" t="s">
        <v>197</v>
      </c>
    </row>
    <row r="38" spans="1:7" x14ac:dyDescent="0.4">
      <c r="A38" s="2" t="s">
        <v>244</v>
      </c>
      <c r="B38" s="3">
        <v>44039.99627314815</v>
      </c>
      <c r="C38" s="2" t="s">
        <v>127</v>
      </c>
      <c r="D38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384</v>
      </c>
    </row>
    <row r="2" spans="1:2" x14ac:dyDescent="0.4">
      <c r="A2" t="s">
        <v>164</v>
      </c>
      <c r="B2">
        <v>69</v>
      </c>
    </row>
    <row r="3" spans="1:2" x14ac:dyDescent="0.4">
      <c r="A3" t="s">
        <v>189</v>
      </c>
      <c r="B3">
        <v>9</v>
      </c>
    </row>
    <row r="4" spans="1:2" x14ac:dyDescent="0.4">
      <c r="A4" t="s">
        <v>126</v>
      </c>
      <c r="B4">
        <v>94</v>
      </c>
    </row>
    <row r="5" spans="1:2" x14ac:dyDescent="0.4">
      <c r="A5" t="s">
        <v>194</v>
      </c>
      <c r="B5">
        <v>40</v>
      </c>
    </row>
    <row r="6" spans="1:2" x14ac:dyDescent="0.4">
      <c r="A6" t="s">
        <v>192</v>
      </c>
      <c r="B6">
        <v>62</v>
      </c>
    </row>
    <row r="7" spans="1:2" x14ac:dyDescent="0.4">
      <c r="A7" t="s">
        <v>193</v>
      </c>
      <c r="B7">
        <v>41</v>
      </c>
    </row>
    <row r="8" spans="1:2" x14ac:dyDescent="0.4">
      <c r="A8" t="s">
        <v>196</v>
      </c>
      <c r="B8">
        <v>10</v>
      </c>
    </row>
    <row r="9" spans="1:2" x14ac:dyDescent="0.4">
      <c r="A9" t="s">
        <v>205</v>
      </c>
      <c r="B9">
        <v>42</v>
      </c>
    </row>
    <row r="10" spans="1:2" x14ac:dyDescent="0.4">
      <c r="A10" t="s">
        <v>212</v>
      </c>
      <c r="B10">
        <v>9</v>
      </c>
    </row>
    <row r="11" spans="1:2" x14ac:dyDescent="0.4">
      <c r="A11" t="s">
        <v>240</v>
      </c>
      <c r="B11">
        <v>5</v>
      </c>
    </row>
    <row r="12" spans="1:2" x14ac:dyDescent="0.4">
      <c r="A12" t="s">
        <v>243</v>
      </c>
      <c r="B1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236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">
      <c r="A2" s="38" t="s">
        <v>149</v>
      </c>
      <c r="B2" s="139">
        <v>0.66516514422414352</v>
      </c>
      <c r="C2" s="140"/>
      <c r="D2" s="145"/>
      <c r="E2" s="146"/>
      <c r="F2" s="145"/>
      <c r="G2" s="146"/>
      <c r="H2" s="139">
        <v>-0.25318192533546668</v>
      </c>
      <c r="I2" s="140"/>
      <c r="J2" s="139">
        <v>0.90878587843221303</v>
      </c>
      <c r="K2" s="140"/>
      <c r="L2" s="139">
        <v>0.77084104321392122</v>
      </c>
      <c r="M2" s="140"/>
      <c r="N2" s="139">
        <v>0.67621498846387773</v>
      </c>
      <c r="O2" s="140"/>
      <c r="P2" s="139">
        <v>0.23898712650276974</v>
      </c>
      <c r="Q2" s="140"/>
      <c r="R2" s="139">
        <v>0.17457405768053119</v>
      </c>
      <c r="S2" s="140"/>
      <c r="T2" s="139">
        <v>0.51182013206212706</v>
      </c>
      <c r="U2" s="140"/>
      <c r="V2" s="139">
        <v>-0.10537331870169168</v>
      </c>
      <c r="W2" s="140"/>
      <c r="X2" s="139">
        <v>0.31406344249973867</v>
      </c>
      <c r="Y2" s="140"/>
      <c r="Z2" s="139">
        <v>0.15738448114807305</v>
      </c>
      <c r="AA2" s="140"/>
      <c r="AB2" s="139">
        <v>-0.19673172532432406</v>
      </c>
      <c r="AC2" s="140"/>
      <c r="AD2" s="139">
        <v>0.13692181570810286</v>
      </c>
      <c r="AE2" s="140"/>
      <c r="AF2" s="139">
        <v>0.19622918832517211</v>
      </c>
      <c r="AG2" s="140"/>
      <c r="AH2" s="139">
        <v>0.28879858089451266</v>
      </c>
      <c r="AI2" s="140"/>
      <c r="AJ2" s="139">
        <v>6.8862655982914411E-2</v>
      </c>
      <c r="AK2" s="140"/>
    </row>
    <row r="3" spans="1:37" x14ac:dyDescent="0.4">
      <c r="A3" s="40">
        <v>1</v>
      </c>
      <c r="B3" s="43" t="s">
        <v>139</v>
      </c>
      <c r="C3" s="117">
        <v>128</v>
      </c>
      <c r="D3" s="41" t="s">
        <v>126</v>
      </c>
      <c r="E3" s="42">
        <v>770.10000000000025</v>
      </c>
      <c r="F3" s="43" t="s">
        <v>126</v>
      </c>
      <c r="G3" s="62">
        <v>8.192553191489365</v>
      </c>
      <c r="H3" s="43" t="s">
        <v>196</v>
      </c>
      <c r="I3" s="62">
        <v>5.644444444444443</v>
      </c>
      <c r="J3" s="43" t="s">
        <v>126</v>
      </c>
      <c r="K3" s="44">
        <v>1.7765957446808511</v>
      </c>
      <c r="L3" s="43" t="s">
        <v>126</v>
      </c>
      <c r="M3" s="45">
        <v>0.44680851063829785</v>
      </c>
      <c r="N3" s="43" t="s">
        <v>196</v>
      </c>
      <c r="O3" s="45">
        <v>0.2</v>
      </c>
      <c r="P3" s="43" t="s">
        <v>193</v>
      </c>
      <c r="Q3" s="46">
        <v>0.330188679245283</v>
      </c>
      <c r="R3" s="43" t="s">
        <v>196</v>
      </c>
      <c r="S3" s="46">
        <v>7.407407407407407E-2</v>
      </c>
      <c r="T3" s="43" t="s">
        <v>164</v>
      </c>
      <c r="U3" s="47">
        <v>10237.333333333334</v>
      </c>
      <c r="V3" s="43" t="s">
        <v>196</v>
      </c>
      <c r="W3" s="47">
        <v>-3916.6666666666665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0.34905660377358488</v>
      </c>
      <c r="AD3" s="43" t="s">
        <v>243</v>
      </c>
      <c r="AE3" s="46">
        <v>0.8</v>
      </c>
      <c r="AF3" s="43" t="s">
        <v>194</v>
      </c>
      <c r="AG3" s="46">
        <v>0.57446808510638303</v>
      </c>
      <c r="AH3" s="43" t="s">
        <v>243</v>
      </c>
      <c r="AI3" s="46">
        <v>0.66666666666666663</v>
      </c>
      <c r="AJ3" s="43" t="s">
        <v>164</v>
      </c>
      <c r="AK3" s="57">
        <v>116000</v>
      </c>
    </row>
    <row r="4" spans="1:37" x14ac:dyDescent="0.4">
      <c r="A4" s="48">
        <v>2</v>
      </c>
      <c r="B4" s="51" t="s">
        <v>126</v>
      </c>
      <c r="C4" s="118">
        <v>94</v>
      </c>
      <c r="D4" s="49" t="s">
        <v>193</v>
      </c>
      <c r="E4" s="50">
        <v>63.3</v>
      </c>
      <c r="F4" s="51" t="s">
        <v>193</v>
      </c>
      <c r="G4" s="63">
        <v>1.5439024390243903</v>
      </c>
      <c r="H4" s="51" t="s">
        <v>194</v>
      </c>
      <c r="I4" s="63">
        <v>3.3130952380952365</v>
      </c>
      <c r="J4" s="51" t="s">
        <v>193</v>
      </c>
      <c r="K4" s="52">
        <v>1.9512195121951219</v>
      </c>
      <c r="L4" s="51" t="s">
        <v>164</v>
      </c>
      <c r="M4" s="53">
        <v>0.36231884057971014</v>
      </c>
      <c r="N4" s="51" t="s">
        <v>126</v>
      </c>
      <c r="O4" s="53">
        <v>0.22340425531914893</v>
      </c>
      <c r="P4" s="51" t="s">
        <v>205</v>
      </c>
      <c r="Q4" s="54">
        <v>0.31578947368421051</v>
      </c>
      <c r="R4" s="51" t="s">
        <v>192</v>
      </c>
      <c r="S4" s="54">
        <v>0.11706349206349206</v>
      </c>
      <c r="T4" s="51" t="s">
        <v>126</v>
      </c>
      <c r="U4" s="55">
        <v>9801.7543859649122</v>
      </c>
      <c r="V4" s="51" t="s">
        <v>243</v>
      </c>
      <c r="W4" s="55">
        <v>-4914.2857142857147</v>
      </c>
      <c r="X4" s="51" t="s">
        <v>212</v>
      </c>
      <c r="Y4" s="53">
        <v>0</v>
      </c>
      <c r="Z4" s="51" t="s">
        <v>164</v>
      </c>
      <c r="AA4" s="54">
        <v>0.30072463768115942</v>
      </c>
      <c r="AB4" s="51" t="s">
        <v>205</v>
      </c>
      <c r="AC4" s="54">
        <v>0.26934984520123839</v>
      </c>
      <c r="AD4" s="51" t="s">
        <v>212</v>
      </c>
      <c r="AE4" s="54">
        <v>0.70833333333333337</v>
      </c>
      <c r="AF4" s="51" t="s">
        <v>212</v>
      </c>
      <c r="AG4" s="54">
        <v>0.5714285714285714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">
      <c r="A5" s="48">
        <v>3</v>
      </c>
      <c r="B5" s="51" t="s">
        <v>164</v>
      </c>
      <c r="C5" s="118">
        <v>69</v>
      </c>
      <c r="D5" s="49" t="s">
        <v>139</v>
      </c>
      <c r="E5" s="50">
        <v>3.5527136788005009E-15</v>
      </c>
      <c r="F5" s="51" t="s">
        <v>139</v>
      </c>
      <c r="G5" s="63">
        <v>9.2518585385429707E-18</v>
      </c>
      <c r="H5" s="51" t="s">
        <v>212</v>
      </c>
      <c r="I5" s="63">
        <v>2.1361111111111115</v>
      </c>
      <c r="J5" s="51" t="s">
        <v>196</v>
      </c>
      <c r="K5" s="52">
        <v>2</v>
      </c>
      <c r="L5" s="51" t="s">
        <v>193</v>
      </c>
      <c r="M5" s="53">
        <v>0.34146341463414637</v>
      </c>
      <c r="N5" s="51" t="s">
        <v>193</v>
      </c>
      <c r="O5" s="53">
        <v>0.29268292682926828</v>
      </c>
      <c r="P5" s="51" t="s">
        <v>212</v>
      </c>
      <c r="Q5" s="54">
        <v>0.3108108108108108</v>
      </c>
      <c r="R5" s="51" t="s">
        <v>126</v>
      </c>
      <c r="S5" s="54">
        <v>0.13648648648648648</v>
      </c>
      <c r="T5" s="51" t="s">
        <v>243</v>
      </c>
      <c r="U5" s="55">
        <v>9433.3333333333339</v>
      </c>
      <c r="V5" s="51" t="s">
        <v>194</v>
      </c>
      <c r="W5" s="55">
        <v>-7176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0.23809523809523808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">
      <c r="A6" s="48">
        <v>4</v>
      </c>
      <c r="B6" s="51" t="s">
        <v>192</v>
      </c>
      <c r="C6" s="118">
        <v>62</v>
      </c>
      <c r="D6" s="49" t="s">
        <v>243</v>
      </c>
      <c r="E6" s="50">
        <v>-10.099999999999998</v>
      </c>
      <c r="F6" s="51" t="s">
        <v>164</v>
      </c>
      <c r="G6" s="63">
        <v>-0.2550724637681166</v>
      </c>
      <c r="H6" s="51" t="s">
        <v>192</v>
      </c>
      <c r="I6" s="63">
        <v>0.30611365369946714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0.30810810810810813</v>
      </c>
      <c r="R6" s="51" t="s">
        <v>193</v>
      </c>
      <c r="S6" s="54">
        <v>0.14150943396226415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6.3829787234042548E-2</v>
      </c>
      <c r="Z6" s="51" t="s">
        <v>240</v>
      </c>
      <c r="AA6" s="54">
        <v>0.26829268292682928</v>
      </c>
      <c r="AB6" s="51" t="s">
        <v>139</v>
      </c>
      <c r="AC6" s="54">
        <v>0.20512820512820512</v>
      </c>
      <c r="AD6" s="51" t="s">
        <v>196</v>
      </c>
      <c r="AE6" s="54">
        <v>0.61904761904761907</v>
      </c>
      <c r="AF6" s="51" t="s">
        <v>126</v>
      </c>
      <c r="AG6" s="54">
        <v>0.48717948717948717</v>
      </c>
      <c r="AH6" s="51" t="s">
        <v>194</v>
      </c>
      <c r="AI6" s="54">
        <v>0.51724137931034486</v>
      </c>
      <c r="AJ6" s="51" t="s">
        <v>193</v>
      </c>
      <c r="AK6" s="58">
        <v>106500</v>
      </c>
    </row>
    <row r="7" spans="1:37" x14ac:dyDescent="0.4">
      <c r="A7" s="48">
        <v>5</v>
      </c>
      <c r="B7" s="51" t="s">
        <v>205</v>
      </c>
      <c r="C7" s="118">
        <v>42</v>
      </c>
      <c r="D7" s="49" t="s">
        <v>196</v>
      </c>
      <c r="E7" s="50">
        <v>-13.400000000000013</v>
      </c>
      <c r="F7" s="51" t="s">
        <v>196</v>
      </c>
      <c r="G7" s="63">
        <v>-1.3400000000000012</v>
      </c>
      <c r="H7" s="51" t="s">
        <v>164</v>
      </c>
      <c r="I7" s="63">
        <v>0.13492307692308478</v>
      </c>
      <c r="J7" s="51" t="s">
        <v>243</v>
      </c>
      <c r="K7" s="52">
        <v>2</v>
      </c>
      <c r="L7" s="51" t="s">
        <v>243</v>
      </c>
      <c r="M7" s="53">
        <v>0.33333333333333331</v>
      </c>
      <c r="N7" s="51" t="s">
        <v>212</v>
      </c>
      <c r="O7" s="53">
        <v>0.33333333333333331</v>
      </c>
      <c r="P7" s="51" t="s">
        <v>139</v>
      </c>
      <c r="Q7" s="54">
        <v>0.28961209730440501</v>
      </c>
      <c r="R7" s="51" t="s">
        <v>240</v>
      </c>
      <c r="S7" s="54">
        <v>0.14634146341463414</v>
      </c>
      <c r="T7" s="51" t="s">
        <v>139</v>
      </c>
      <c r="U7" s="55">
        <v>8821.2258796821789</v>
      </c>
      <c r="V7" s="51" t="s">
        <v>164</v>
      </c>
      <c r="W7" s="55">
        <v>-7610</v>
      </c>
      <c r="X7" s="51" t="s">
        <v>192</v>
      </c>
      <c r="Y7" s="53">
        <v>8.0645161290322578E-2</v>
      </c>
      <c r="Z7" s="51" t="s">
        <v>196</v>
      </c>
      <c r="AA7" s="54">
        <v>0.25925925925925924</v>
      </c>
      <c r="AB7" s="51" t="s">
        <v>164</v>
      </c>
      <c r="AC7" s="54">
        <v>0.19927536231884058</v>
      </c>
      <c r="AD7" s="51" t="s">
        <v>126</v>
      </c>
      <c r="AE7" s="54">
        <v>0.59459459459459463</v>
      </c>
      <c r="AF7" s="51" t="s">
        <v>193</v>
      </c>
      <c r="AG7" s="54">
        <v>0.44144144144144143</v>
      </c>
      <c r="AH7" s="51" t="s">
        <v>126</v>
      </c>
      <c r="AI7" s="54">
        <v>0.50438596491228072</v>
      </c>
      <c r="AJ7" s="51" t="s">
        <v>194</v>
      </c>
      <c r="AK7" s="58">
        <v>104100</v>
      </c>
    </row>
    <row r="8" spans="1:37" x14ac:dyDescent="0.4">
      <c r="A8" s="48">
        <v>6</v>
      </c>
      <c r="B8" s="51" t="s">
        <v>193</v>
      </c>
      <c r="C8" s="118">
        <v>41</v>
      </c>
      <c r="D8" s="49" t="s">
        <v>164</v>
      </c>
      <c r="E8" s="50">
        <v>-17.600000000000044</v>
      </c>
      <c r="F8" s="51" t="s">
        <v>192</v>
      </c>
      <c r="G8" s="63">
        <v>-1.3467741935483863</v>
      </c>
      <c r="H8" s="51" t="s">
        <v>139</v>
      </c>
      <c r="I8" s="63">
        <v>0</v>
      </c>
      <c r="J8" s="51" t="s">
        <v>164</v>
      </c>
      <c r="K8" s="52">
        <v>2.0144927536231885</v>
      </c>
      <c r="L8" s="51" t="s">
        <v>192</v>
      </c>
      <c r="M8" s="53">
        <v>0.32258064516129031</v>
      </c>
      <c r="N8" s="51" t="s">
        <v>243</v>
      </c>
      <c r="O8" s="53">
        <v>0.33333333333333331</v>
      </c>
      <c r="P8" s="51" t="s">
        <v>194</v>
      </c>
      <c r="Q8" s="54">
        <v>0.28431372549019607</v>
      </c>
      <c r="R8" s="51" t="s">
        <v>139</v>
      </c>
      <c r="S8" s="54">
        <v>0.15154503616042078</v>
      </c>
      <c r="T8" s="51" t="s">
        <v>192</v>
      </c>
      <c r="U8" s="55">
        <v>8257.246376811594</v>
      </c>
      <c r="V8" s="51" t="s">
        <v>139</v>
      </c>
      <c r="W8" s="55">
        <v>-7999.3492407809108</v>
      </c>
      <c r="X8" s="51" t="s">
        <v>139</v>
      </c>
      <c r="Y8" s="53">
        <v>0.109375</v>
      </c>
      <c r="Z8" s="51" t="s">
        <v>126</v>
      </c>
      <c r="AA8" s="54">
        <v>0.25</v>
      </c>
      <c r="AB8" s="51" t="s">
        <v>126</v>
      </c>
      <c r="AC8" s="54">
        <v>0.1581081081081081</v>
      </c>
      <c r="AD8" s="51" t="s">
        <v>193</v>
      </c>
      <c r="AE8" s="54">
        <v>0.58823529411764708</v>
      </c>
      <c r="AF8" s="51" t="s">
        <v>139</v>
      </c>
      <c r="AG8" s="54">
        <v>0.41666666666666669</v>
      </c>
      <c r="AH8" s="51" t="s">
        <v>139</v>
      </c>
      <c r="AI8" s="54">
        <v>0.47446083995459704</v>
      </c>
      <c r="AJ8" s="51" t="s">
        <v>126</v>
      </c>
      <c r="AK8" s="58">
        <v>102700</v>
      </c>
    </row>
    <row r="9" spans="1:37" x14ac:dyDescent="0.4">
      <c r="A9" s="48">
        <v>7</v>
      </c>
      <c r="B9" s="51" t="s">
        <v>194</v>
      </c>
      <c r="C9" s="118">
        <v>40</v>
      </c>
      <c r="D9" s="49" t="s">
        <v>212</v>
      </c>
      <c r="E9" s="50">
        <v>-41.599999999999994</v>
      </c>
      <c r="F9" s="51" t="s">
        <v>243</v>
      </c>
      <c r="G9" s="63">
        <v>-3.3666666666666658</v>
      </c>
      <c r="H9" s="51" t="s">
        <v>126</v>
      </c>
      <c r="I9" s="63">
        <v>-0.28486943164363038</v>
      </c>
      <c r="J9" s="51" t="s">
        <v>192</v>
      </c>
      <c r="K9" s="52">
        <v>2.0483870967741935</v>
      </c>
      <c r="L9" s="51" t="s">
        <v>205</v>
      </c>
      <c r="M9" s="53">
        <v>0.2857142857142857</v>
      </c>
      <c r="N9" s="51" t="s">
        <v>192</v>
      </c>
      <c r="O9" s="53">
        <v>0.37096774193548387</v>
      </c>
      <c r="P9" s="51" t="s">
        <v>192</v>
      </c>
      <c r="Q9" s="54">
        <v>0.27380952380952384</v>
      </c>
      <c r="R9" s="51" t="s">
        <v>194</v>
      </c>
      <c r="S9" s="54">
        <v>0.16339869281045752</v>
      </c>
      <c r="T9" s="51" t="s">
        <v>205</v>
      </c>
      <c r="U9" s="55">
        <v>8118.6274509803925</v>
      </c>
      <c r="V9" s="51" t="s">
        <v>193</v>
      </c>
      <c r="W9" s="55">
        <v>-8168.8888888888887</v>
      </c>
      <c r="X9" s="51" t="s">
        <v>189</v>
      </c>
      <c r="Y9" s="53">
        <v>0.1111111111111111</v>
      </c>
      <c r="Z9" s="51" t="s">
        <v>194</v>
      </c>
      <c r="AA9" s="54">
        <v>0.24183006535947713</v>
      </c>
      <c r="AB9" s="51" t="s">
        <v>194</v>
      </c>
      <c r="AC9" s="54">
        <v>0.15359477124183007</v>
      </c>
      <c r="AD9" s="51" t="s">
        <v>139</v>
      </c>
      <c r="AE9" s="54">
        <v>0.55722070844686644</v>
      </c>
      <c r="AF9" s="51" t="s">
        <v>192</v>
      </c>
      <c r="AG9" s="54">
        <v>0.40833333333333333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">
      <c r="A10" s="48">
        <v>8</v>
      </c>
      <c r="B10" s="51" t="s">
        <v>196</v>
      </c>
      <c r="C10" s="118">
        <v>10</v>
      </c>
      <c r="D10" s="49" t="s">
        <v>192</v>
      </c>
      <c r="E10" s="50">
        <v>-83.499999999999957</v>
      </c>
      <c r="F10" s="51" t="s">
        <v>205</v>
      </c>
      <c r="G10" s="63">
        <v>-4.6000000000000005</v>
      </c>
      <c r="H10" s="51" t="s">
        <v>193</v>
      </c>
      <c r="I10" s="63">
        <v>-0.3100793650793629</v>
      </c>
      <c r="J10" s="51" t="s">
        <v>205</v>
      </c>
      <c r="K10" s="52">
        <v>2.0952380952380953</v>
      </c>
      <c r="L10" s="51" t="s">
        <v>189</v>
      </c>
      <c r="M10" s="53">
        <v>0.22222222222222221</v>
      </c>
      <c r="N10" s="51" t="s">
        <v>164</v>
      </c>
      <c r="O10" s="53">
        <v>0.37681159420289856</v>
      </c>
      <c r="P10" s="51" t="s">
        <v>164</v>
      </c>
      <c r="Q10" s="54">
        <v>0.27173913043478259</v>
      </c>
      <c r="R10" s="51" t="s">
        <v>205</v>
      </c>
      <c r="S10" s="54">
        <v>0.17337461300309598</v>
      </c>
      <c r="T10" s="51" t="s">
        <v>194</v>
      </c>
      <c r="U10" s="55">
        <v>7955.1724137931033</v>
      </c>
      <c r="V10" s="51" t="s">
        <v>126</v>
      </c>
      <c r="W10" s="55">
        <v>-8287.1287128712866</v>
      </c>
      <c r="X10" s="51" t="s">
        <v>205</v>
      </c>
      <c r="Y10" s="53">
        <v>0.11904761904761904</v>
      </c>
      <c r="Z10" s="51" t="s">
        <v>139</v>
      </c>
      <c r="AA10" s="54">
        <v>0.24128862590401051</v>
      </c>
      <c r="AB10" s="51" t="s">
        <v>196</v>
      </c>
      <c r="AC10" s="54">
        <v>0.13580246913580246</v>
      </c>
      <c r="AD10" s="51" t="s">
        <v>194</v>
      </c>
      <c r="AE10" s="54">
        <v>0.54054054054054057</v>
      </c>
      <c r="AF10" s="51" t="s">
        <v>196</v>
      </c>
      <c r="AG10" s="54">
        <v>0.36363636363636365</v>
      </c>
      <c r="AH10" s="51" t="s">
        <v>205</v>
      </c>
      <c r="AI10" s="54">
        <v>0.46078431372549017</v>
      </c>
      <c r="AJ10" s="51" t="s">
        <v>205</v>
      </c>
      <c r="AK10" s="58">
        <v>93200</v>
      </c>
    </row>
    <row r="11" spans="1:37" x14ac:dyDescent="0.4">
      <c r="A11" s="48">
        <v>9</v>
      </c>
      <c r="B11" s="51" t="s">
        <v>189</v>
      </c>
      <c r="C11" s="118">
        <v>9</v>
      </c>
      <c r="D11" s="49" t="s">
        <v>189</v>
      </c>
      <c r="E11" s="50">
        <v>-105.5</v>
      </c>
      <c r="F11" s="51" t="s">
        <v>212</v>
      </c>
      <c r="G11" s="63">
        <v>-4.6222222222222218</v>
      </c>
      <c r="H11" s="51" t="s">
        <v>205</v>
      </c>
      <c r="I11" s="63">
        <v>-1.1235119047619051</v>
      </c>
      <c r="J11" s="51" t="s">
        <v>212</v>
      </c>
      <c r="K11" s="52">
        <v>2.1111111111111112</v>
      </c>
      <c r="L11" s="51" t="s">
        <v>212</v>
      </c>
      <c r="M11" s="53">
        <v>0.22222222222222221</v>
      </c>
      <c r="N11" s="51" t="s">
        <v>205</v>
      </c>
      <c r="O11" s="53">
        <v>0.38095238095238093</v>
      </c>
      <c r="P11" s="51" t="s">
        <v>196</v>
      </c>
      <c r="Q11" s="54">
        <v>0.23456790123456789</v>
      </c>
      <c r="R11" s="51" t="s">
        <v>164</v>
      </c>
      <c r="S11" s="54">
        <v>0.18115942028985507</v>
      </c>
      <c r="T11" s="51" t="s">
        <v>196</v>
      </c>
      <c r="U11" s="55">
        <v>7736.8421052631575</v>
      </c>
      <c r="V11" s="51" t="s">
        <v>192</v>
      </c>
      <c r="W11" s="55">
        <v>-8298.3050847457635</v>
      </c>
      <c r="X11" s="51" t="s">
        <v>194</v>
      </c>
      <c r="Y11" s="53">
        <v>0.15</v>
      </c>
      <c r="Z11" s="51" t="s">
        <v>192</v>
      </c>
      <c r="AA11" s="54">
        <v>0.2361111111111111</v>
      </c>
      <c r="AB11" s="51" t="s">
        <v>240</v>
      </c>
      <c r="AC11" s="54">
        <v>0.12195121951219512</v>
      </c>
      <c r="AD11" s="51" t="s">
        <v>192</v>
      </c>
      <c r="AE11" s="54">
        <v>0.52941176470588236</v>
      </c>
      <c r="AF11" s="51" t="s">
        <v>164</v>
      </c>
      <c r="AG11" s="54">
        <v>0.33636363636363636</v>
      </c>
      <c r="AH11" s="51" t="s">
        <v>164</v>
      </c>
      <c r="AI11" s="54">
        <v>0.45333333333333331</v>
      </c>
      <c r="AJ11" s="51" t="s">
        <v>196</v>
      </c>
      <c r="AK11" s="58">
        <v>89000</v>
      </c>
    </row>
    <row r="12" spans="1:37" x14ac:dyDescent="0.4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194</v>
      </c>
      <c r="G12" s="63">
        <v>-6.3699999999999957</v>
      </c>
      <c r="H12" s="51" t="s">
        <v>243</v>
      </c>
      <c r="I12" s="63">
        <v>-3.3666666666666658</v>
      </c>
      <c r="J12" s="51" t="s">
        <v>189</v>
      </c>
      <c r="K12" s="52">
        <v>2.2222222222222223</v>
      </c>
      <c r="L12" s="51" t="s">
        <v>194</v>
      </c>
      <c r="M12" s="53">
        <v>0.2</v>
      </c>
      <c r="N12" s="51" t="s">
        <v>240</v>
      </c>
      <c r="O12" s="53">
        <v>0.4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212</v>
      </c>
      <c r="W12" s="55">
        <v>-8671.4285714285706</v>
      </c>
      <c r="X12" s="51" t="s">
        <v>164</v>
      </c>
      <c r="Y12" s="53">
        <v>0.15942028985507245</v>
      </c>
      <c r="Z12" s="51" t="s">
        <v>205</v>
      </c>
      <c r="AA12" s="54">
        <v>0.17647058823529413</v>
      </c>
      <c r="AB12" s="51" t="s">
        <v>243</v>
      </c>
      <c r="AC12" s="54">
        <v>0.10344827586206896</v>
      </c>
      <c r="AD12" s="51" t="s">
        <v>164</v>
      </c>
      <c r="AE12" s="54">
        <v>0.48192771084337349</v>
      </c>
      <c r="AF12" s="51" t="s">
        <v>243</v>
      </c>
      <c r="AG12" s="54">
        <v>0.33333333333333331</v>
      </c>
      <c r="AH12" s="51" t="s">
        <v>193</v>
      </c>
      <c r="AI12" s="54">
        <v>0.44761904761904764</v>
      </c>
      <c r="AJ12" s="51" t="s">
        <v>189</v>
      </c>
      <c r="AK12" s="58">
        <v>66700</v>
      </c>
    </row>
    <row r="13" spans="1:37" x14ac:dyDescent="0.4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189</v>
      </c>
      <c r="G13" s="63">
        <v>-11.722222222222221</v>
      </c>
      <c r="H13" s="51" t="s">
        <v>189</v>
      </c>
      <c r="I13" s="63">
        <v>-3.6805555555555549</v>
      </c>
      <c r="J13" s="51" t="s">
        <v>194</v>
      </c>
      <c r="K13" s="52">
        <v>2.25</v>
      </c>
      <c r="L13" s="51" t="s">
        <v>196</v>
      </c>
      <c r="M13" s="53">
        <v>0.2</v>
      </c>
      <c r="N13" s="51" t="s">
        <v>189</v>
      </c>
      <c r="O13" s="53">
        <v>0.44444444444444442</v>
      </c>
      <c r="P13" s="51" t="s">
        <v>243</v>
      </c>
      <c r="Q13" s="54">
        <v>0.20689655172413793</v>
      </c>
      <c r="R13" s="51" t="s">
        <v>189</v>
      </c>
      <c r="S13" s="54">
        <v>0.22972972972972974</v>
      </c>
      <c r="T13" s="51" t="s">
        <v>193</v>
      </c>
      <c r="U13" s="55">
        <v>7329.5238095238092</v>
      </c>
      <c r="V13" s="51" t="s">
        <v>240</v>
      </c>
      <c r="W13" s="55">
        <v>-8866.6666666666661</v>
      </c>
      <c r="X13" s="51" t="s">
        <v>193</v>
      </c>
      <c r="Y13" s="53">
        <v>0.17073170731707318</v>
      </c>
      <c r="Z13" s="51" t="s">
        <v>243</v>
      </c>
      <c r="AA13" s="54">
        <v>0.17241379310344829</v>
      </c>
      <c r="AB13" s="51" t="s">
        <v>212</v>
      </c>
      <c r="AC13" s="54">
        <v>9.45945945945946E-2</v>
      </c>
      <c r="AD13" s="51" t="s">
        <v>189</v>
      </c>
      <c r="AE13" s="54">
        <v>0.47619047619047616</v>
      </c>
      <c r="AF13" s="51" t="s">
        <v>205</v>
      </c>
      <c r="AG13" s="54">
        <v>0.32183908045977011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  <row r="14" spans="1:37" x14ac:dyDescent="0.4">
      <c r="A14" s="48">
        <v>12</v>
      </c>
      <c r="B14" s="51" t="s">
        <v>243</v>
      </c>
      <c r="C14" s="118">
        <v>3</v>
      </c>
      <c r="D14" s="49" t="s">
        <v>194</v>
      </c>
      <c r="E14" s="50">
        <v>-254.79999999999984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240</v>
      </c>
      <c r="K14" s="52">
        <v>2.4</v>
      </c>
      <c r="L14" s="51" t="s">
        <v>240</v>
      </c>
      <c r="M14" s="53">
        <v>0</v>
      </c>
      <c r="N14" s="51" t="s">
        <v>194</v>
      </c>
      <c r="O14" s="53">
        <v>0.45</v>
      </c>
      <c r="P14" s="51" t="s">
        <v>240</v>
      </c>
      <c r="Q14" s="54">
        <v>0.17073170731707318</v>
      </c>
      <c r="R14" s="51" t="s">
        <v>243</v>
      </c>
      <c r="S14" s="54">
        <v>0.2413793103448276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0.16037735849056603</v>
      </c>
      <c r="AB14" s="51" t="s">
        <v>189</v>
      </c>
      <c r="AC14" s="54">
        <v>8.1081081081081086E-2</v>
      </c>
      <c r="AD14" s="51" t="s">
        <v>240</v>
      </c>
      <c r="AE14" s="54">
        <v>0.45454545454545453</v>
      </c>
      <c r="AF14" s="51" t="s">
        <v>240</v>
      </c>
      <c r="AG14" s="54">
        <v>0.2</v>
      </c>
      <c r="AH14" s="51" t="s">
        <v>192</v>
      </c>
      <c r="AI14" s="54">
        <v>0.42753623188405798</v>
      </c>
      <c r="AJ14" s="51" t="s">
        <v>243</v>
      </c>
      <c r="AK14" s="58">
        <v>39600</v>
      </c>
    </row>
  </sheetData>
  <sortState xmlns:xlrd2="http://schemas.microsoft.com/office/spreadsheetml/2017/richdata2" ref="AJ3:AK44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B6DA-D98C-49CF-A07C-F09F114691DB}">
  <sheetPr codeName="Sheet4"/>
  <dimension ref="A1:Q386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384</v>
      </c>
      <c r="C2" s="132"/>
      <c r="E2" s="28" t="s">
        <v>66</v>
      </c>
      <c r="F2" s="25" t="s">
        <v>22</v>
      </c>
      <c r="G2" s="13">
        <v>634</v>
      </c>
      <c r="H2" s="91">
        <f>IF(B$19=0,0,G2/B$19)</f>
        <v>0.71963677639046542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-13.333333333333334</v>
      </c>
      <c r="P2" s="80">
        <v>375</v>
      </c>
      <c r="Q2" s="67">
        <v>-5000</v>
      </c>
    </row>
    <row r="3" spans="1:17" x14ac:dyDescent="0.4">
      <c r="A3" s="21" t="s">
        <v>8</v>
      </c>
      <c r="B3" s="133">
        <v>3042</v>
      </c>
      <c r="C3" s="134"/>
      <c r="E3" s="29" t="s">
        <v>72</v>
      </c>
      <c r="F3" s="26" t="s">
        <v>27</v>
      </c>
      <c r="G3" s="14">
        <v>495</v>
      </c>
      <c r="H3" s="92">
        <f>IF(B$19=0,0,G3/B$19)</f>
        <v>0.56186152099886488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378</v>
      </c>
      <c r="Q3" s="68">
        <v>0</v>
      </c>
    </row>
    <row r="4" spans="1:17" x14ac:dyDescent="0.4">
      <c r="A4" s="21" t="s">
        <v>6</v>
      </c>
      <c r="B4" s="135">
        <v>3.5527136788005009E-15</v>
      </c>
      <c r="C4" s="136"/>
      <c r="E4" s="29" t="s">
        <v>64</v>
      </c>
      <c r="F4" s="26" t="s">
        <v>20</v>
      </c>
      <c r="G4" s="14">
        <v>396</v>
      </c>
      <c r="H4" s="92">
        <f>IF(B$19=0,0,G4/B$19)</f>
        <v>0.44948921679909193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-14.005602240896359</v>
      </c>
      <c r="P4" s="81">
        <v>357</v>
      </c>
      <c r="Q4" s="68">
        <v>-5000</v>
      </c>
    </row>
    <row r="5" spans="1:17" x14ac:dyDescent="0.4">
      <c r="A5" s="21" t="s">
        <v>7</v>
      </c>
      <c r="B5" s="123">
        <f>IF(B$2=0,0,B$4/B$2)</f>
        <v>9.2518585385429707E-18</v>
      </c>
      <c r="C5" s="124"/>
      <c r="E5" s="29" t="s">
        <v>160</v>
      </c>
      <c r="F5" s="26" t="s">
        <v>161</v>
      </c>
      <c r="G5" s="14">
        <v>379</v>
      </c>
      <c r="H5" s="92">
        <f>IF(B$19=0,0,G5/B$19)</f>
        <v>0.43019296254256528</v>
      </c>
      <c r="I5" s="60">
        <v>8</v>
      </c>
      <c r="K5" s="7">
        <v>3</v>
      </c>
      <c r="L5" s="65">
        <v>7.1054273576010019E-15</v>
      </c>
      <c r="N5" s="78" t="s">
        <v>131</v>
      </c>
      <c r="O5" s="84">
        <f t="shared" si="0"/>
        <v>18.518518518518519</v>
      </c>
      <c r="P5" s="81">
        <v>324</v>
      </c>
      <c r="Q5" s="68">
        <v>6000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283</v>
      </c>
      <c r="H6" s="92">
        <f>IF(B$19=0,0,G6/B$19)</f>
        <v>0.32122587968217936</v>
      </c>
      <c r="I6" s="60">
        <v>7</v>
      </c>
      <c r="K6" s="7">
        <v>4</v>
      </c>
      <c r="L6" s="65">
        <v>-55.499999999999993</v>
      </c>
      <c r="N6" s="78" t="s">
        <v>132</v>
      </c>
      <c r="O6" s="84">
        <f t="shared" si="0"/>
        <v>-46.666666666666664</v>
      </c>
      <c r="P6" s="81">
        <v>300</v>
      </c>
      <c r="Q6" s="68">
        <v>-14000</v>
      </c>
    </row>
    <row r="7" spans="1:17" x14ac:dyDescent="0.4">
      <c r="A7" s="21" t="s">
        <v>2</v>
      </c>
      <c r="B7" s="14">
        <v>128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229</v>
      </c>
      <c r="H7" s="92">
        <f>IF(B$19=0,0,G7/B$19)</f>
        <v>0.25993189557321228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61.728395061728392</v>
      </c>
      <c r="P7" s="82">
        <v>243</v>
      </c>
      <c r="Q7" s="69">
        <v>15000</v>
      </c>
    </row>
    <row r="8" spans="1:17" x14ac:dyDescent="0.4">
      <c r="A8" s="21" t="s">
        <v>3</v>
      </c>
      <c r="B8" s="14">
        <v>128</v>
      </c>
      <c r="C8" s="8">
        <f t="shared" si="1"/>
        <v>0.33333333333333331</v>
      </c>
      <c r="E8" s="29" t="s">
        <v>69</v>
      </c>
      <c r="F8" s="26" t="s">
        <v>24</v>
      </c>
      <c r="G8" s="14">
        <v>127</v>
      </c>
      <c r="H8" s="92">
        <f>IF(B$19=0,0,G8/B$19)</f>
        <v>0.14415437003405221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128</v>
      </c>
      <c r="C9" s="9">
        <f t="shared" si="1"/>
        <v>0.33333333333333331</v>
      </c>
      <c r="E9" s="29" t="s">
        <v>89</v>
      </c>
      <c r="F9" s="26" t="s">
        <v>44</v>
      </c>
      <c r="G9" s="14">
        <v>126</v>
      </c>
      <c r="H9" s="92">
        <f>IF(B$19=0,0,G9/B$19)</f>
        <v>0.14301929625425652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38.600000000000009</v>
      </c>
      <c r="C10" s="114">
        <v>4940.8000000000011</v>
      </c>
      <c r="E10" s="29" t="s">
        <v>65</v>
      </c>
      <c r="F10" s="26" t="s">
        <v>21</v>
      </c>
      <c r="G10" s="14">
        <v>85</v>
      </c>
      <c r="H10" s="92">
        <f>IF(B$19=0,0,G10/B$19)</f>
        <v>9.6481271282633368E-2</v>
      </c>
      <c r="I10" s="60">
        <v>8</v>
      </c>
      <c r="K10" s="7">
        <v>8</v>
      </c>
      <c r="L10" s="65">
        <v>-81.5</v>
      </c>
      <c r="N10" s="77" t="s">
        <v>152</v>
      </c>
      <c r="O10" s="86">
        <f>IF(P10=0,0,Q10/P10)</f>
        <v>-5.6039062499999961</v>
      </c>
      <c r="P10" s="80">
        <v>128</v>
      </c>
      <c r="Q10" s="71">
        <v>-717.2999999999995</v>
      </c>
    </row>
    <row r="11" spans="1:17" x14ac:dyDescent="0.4">
      <c r="A11" s="22" t="s">
        <v>186</v>
      </c>
      <c r="B11" s="113">
        <f>IF(B8=0,0,C11/B8)</f>
        <v>-2.5265625000000007</v>
      </c>
      <c r="C11" s="114">
        <v>-323.40000000000009</v>
      </c>
      <c r="E11" s="29" t="s">
        <v>70</v>
      </c>
      <c r="F11" s="26" t="s">
        <v>25</v>
      </c>
      <c r="G11" s="14">
        <v>75</v>
      </c>
      <c r="H11" s="92">
        <f>IF(B$19=0,0,G11/B$19)</f>
        <v>8.5130533484676502E-2</v>
      </c>
      <c r="I11" s="60">
        <v>7</v>
      </c>
      <c r="K11" s="7">
        <v>9</v>
      </c>
      <c r="L11" s="65">
        <v>0</v>
      </c>
      <c r="N11" s="78" t="s">
        <v>153</v>
      </c>
      <c r="O11" s="87">
        <f>IF(P11=0,0,Q11/P11)</f>
        <v>2.1164062499999998</v>
      </c>
      <c r="P11" s="81">
        <v>128</v>
      </c>
      <c r="Q11" s="72">
        <v>270.89999999999998</v>
      </c>
    </row>
    <row r="12" spans="1:17" x14ac:dyDescent="0.4">
      <c r="A12" s="22" t="s">
        <v>187</v>
      </c>
      <c r="B12" s="113">
        <f>IF(B9=0,0,C12/B9)</f>
        <v>-36.07343749999999</v>
      </c>
      <c r="C12" s="114">
        <v>-4617.3999999999987</v>
      </c>
      <c r="E12" s="29" t="s">
        <v>86</v>
      </c>
      <c r="F12" s="26" t="s">
        <v>41</v>
      </c>
      <c r="G12" s="14">
        <v>52</v>
      </c>
      <c r="H12" s="92">
        <f>IF(B$19=0,0,G12/B$19)</f>
        <v>5.9023836549375708E-2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3.4874999999999972</v>
      </c>
      <c r="P12" s="82">
        <v>128</v>
      </c>
      <c r="Q12" s="73">
        <v>446.39999999999964</v>
      </c>
    </row>
    <row r="13" spans="1:17" x14ac:dyDescent="0.4">
      <c r="A13" s="22" t="s">
        <v>188</v>
      </c>
      <c r="B13" s="123">
        <f>AVERAGE(B10:B12)</f>
        <v>0</v>
      </c>
      <c r="C13" s="124"/>
      <c r="E13" s="29" t="s">
        <v>71</v>
      </c>
      <c r="F13" s="26" t="s">
        <v>26</v>
      </c>
      <c r="G13" s="14">
        <v>51</v>
      </c>
      <c r="H13" s="92">
        <f>IF(B$19=0,0,G13/B$19)</f>
        <v>5.7888762769580021E-2</v>
      </c>
      <c r="I13" s="60">
        <v>8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42</v>
      </c>
      <c r="C14" s="11">
        <f t="shared" si="1"/>
        <v>0.109375</v>
      </c>
      <c r="E14" s="29" t="s">
        <v>83</v>
      </c>
      <c r="F14" s="26" t="s">
        <v>38</v>
      </c>
      <c r="G14" s="14">
        <v>41</v>
      </c>
      <c r="H14" s="92">
        <f>IF(B$19=0,0,G14/B$19)</f>
        <v>4.6538024971623154E-2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734</v>
      </c>
      <c r="C15" s="12">
        <f>IF(B$3=0,0,B15/B$3)</f>
        <v>0.24128862590401051</v>
      </c>
      <c r="E15" s="29" t="s">
        <v>78</v>
      </c>
      <c r="F15" s="26" t="s">
        <v>33</v>
      </c>
      <c r="G15" s="14">
        <v>36</v>
      </c>
      <c r="H15" s="92">
        <f>IF(B$19=0,0,G15/B$19)</f>
        <v>4.0862656072644721E-2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">
      <c r="A16" s="21" t="s">
        <v>118</v>
      </c>
      <c r="B16" s="14">
        <v>624</v>
      </c>
      <c r="C16" s="8">
        <f>IF(B$3=0,0,B16/B$3)</f>
        <v>0.20512820512820512</v>
      </c>
      <c r="E16" s="29" t="s">
        <v>81</v>
      </c>
      <c r="F16" s="26" t="s">
        <v>36</v>
      </c>
      <c r="G16" s="14">
        <v>27</v>
      </c>
      <c r="H16" s="92">
        <f>IF(B$19=0,0,G16/B$19)</f>
        <v>3.0646992054483541E-2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">
      <c r="A17" s="20" t="s">
        <v>123</v>
      </c>
      <c r="B17" s="13">
        <f>B23</f>
        <v>409</v>
      </c>
      <c r="C17" s="6">
        <f>IF(B$15=0,0,B17/B$15)</f>
        <v>0.55722070844686644</v>
      </c>
      <c r="E17" s="29" t="s">
        <v>79</v>
      </c>
      <c r="F17" s="26" t="s">
        <v>34</v>
      </c>
      <c r="G17" s="14">
        <v>21</v>
      </c>
      <c r="H17" s="92">
        <f>IF(B$19=0,0,G17/B$19)</f>
        <v>2.383654937570942E-2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9.5550000000000033</v>
      </c>
      <c r="P17" s="81">
        <v>80</v>
      </c>
      <c r="Q17" s="72">
        <v>764.40000000000032</v>
      </c>
    </row>
    <row r="18" spans="1:17" x14ac:dyDescent="0.4">
      <c r="A18" s="20" t="s">
        <v>124</v>
      </c>
      <c r="B18" s="13">
        <f>B24</f>
        <v>260</v>
      </c>
      <c r="C18" s="6">
        <f>IF(B$16=0,0,B18/B$16)</f>
        <v>0.41666666666666669</v>
      </c>
      <c r="E18" s="29" t="s">
        <v>91</v>
      </c>
      <c r="F18" s="26" t="s">
        <v>46</v>
      </c>
      <c r="G18" s="14">
        <v>18</v>
      </c>
      <c r="H18" s="92">
        <f>IF(B$19=0,0,G18/B$19)</f>
        <v>2.043132803632236E-2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">
      <c r="A19" s="20" t="s">
        <v>10</v>
      </c>
      <c r="B19" s="13">
        <f>B22+B21</f>
        <v>881</v>
      </c>
      <c r="C19" s="6">
        <f>IF(B$3=0,0,B19/B$3)</f>
        <v>0.28961209730440501</v>
      </c>
      <c r="E19" s="29" t="s">
        <v>156</v>
      </c>
      <c r="F19" s="26" t="s">
        <v>157</v>
      </c>
      <c r="G19" s="14">
        <v>14</v>
      </c>
      <c r="H19" s="92">
        <f>IF(B$19=0,0,G19/B$19)</f>
        <v>1.5891032917139614E-2</v>
      </c>
      <c r="I19" s="60">
        <v>3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">
      <c r="A20" s="21" t="s">
        <v>13</v>
      </c>
      <c r="B20" s="14">
        <v>461</v>
      </c>
      <c r="C20" s="8">
        <f>IF(B$3=0,0,B20/B$3)</f>
        <v>0.15154503616042078</v>
      </c>
      <c r="E20" s="29" t="s">
        <v>92</v>
      </c>
      <c r="F20" s="26" t="s">
        <v>47</v>
      </c>
      <c r="G20" s="14">
        <v>10</v>
      </c>
      <c r="H20" s="92">
        <f>IF(B$19=0,0,G20/B$19)</f>
        <v>1.1350737797956867E-2</v>
      </c>
      <c r="I20" s="60">
        <v>5</v>
      </c>
      <c r="K20" s="7">
        <v>18</v>
      </c>
      <c r="L20" s="65">
        <v>-7.1054273576010019E-15</v>
      </c>
      <c r="N20" s="78" t="s">
        <v>243</v>
      </c>
      <c r="O20" s="87">
        <f>IF(P20=0,0,Q20/P20)</f>
        <v>5.0499999999999989</v>
      </c>
      <c r="P20" s="81">
        <v>6</v>
      </c>
      <c r="Q20" s="72">
        <v>30.299999999999994</v>
      </c>
    </row>
    <row r="21" spans="1:17" x14ac:dyDescent="0.4">
      <c r="A21" s="21" t="s">
        <v>12</v>
      </c>
      <c r="B21" s="14">
        <v>418</v>
      </c>
      <c r="C21" s="8">
        <f>IF(B$19=0,0,B21/B$19)</f>
        <v>0.47446083995459704</v>
      </c>
      <c r="E21" s="29" t="s">
        <v>75</v>
      </c>
      <c r="F21" s="26" t="s">
        <v>30</v>
      </c>
      <c r="G21" s="14">
        <v>6</v>
      </c>
      <c r="H21" s="92">
        <f>IF(B$19=0,0,G21/B$19)</f>
        <v>6.8104426787741201E-3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2.0201612903225832</v>
      </c>
      <c r="P21" s="81">
        <v>124</v>
      </c>
      <c r="Q21" s="72">
        <v>250.50000000000034</v>
      </c>
    </row>
    <row r="22" spans="1:17" x14ac:dyDescent="0.4">
      <c r="A22" s="21" t="s">
        <v>11</v>
      </c>
      <c r="B22" s="14">
        <v>463</v>
      </c>
      <c r="C22" s="8">
        <f>IF(B$19=0,0,B22/B$19)</f>
        <v>0.52553916004540291</v>
      </c>
      <c r="E22" s="29" t="s">
        <v>77</v>
      </c>
      <c r="F22" s="26" t="s">
        <v>32</v>
      </c>
      <c r="G22" s="14">
        <v>6</v>
      </c>
      <c r="H22" s="92">
        <f>IF(B$19=0,0,G22/B$19)</f>
        <v>6.8104426787741201E-3</v>
      </c>
      <c r="I22" s="60">
        <v>5</v>
      </c>
      <c r="K22" s="7">
        <v>20</v>
      </c>
      <c r="L22" s="65">
        <v>-28.600000000000009</v>
      </c>
      <c r="N22" s="78" t="s">
        <v>196</v>
      </c>
      <c r="O22" s="87">
        <f>IF(P22=0,0,Q22/P22)</f>
        <v>2.009999999999998</v>
      </c>
      <c r="P22" s="81">
        <v>20</v>
      </c>
      <c r="Q22" s="72">
        <v>40.19999999999996</v>
      </c>
    </row>
    <row r="23" spans="1:17" x14ac:dyDescent="0.4">
      <c r="A23" s="21" t="s">
        <v>184</v>
      </c>
      <c r="B23" s="14">
        <v>409</v>
      </c>
      <c r="C23" s="8">
        <f>IF(B$19=0,0,B23/B$19)</f>
        <v>0.46424517593643588</v>
      </c>
      <c r="E23" s="29" t="s">
        <v>73</v>
      </c>
      <c r="F23" s="26" t="s">
        <v>28</v>
      </c>
      <c r="G23" s="14">
        <v>3</v>
      </c>
      <c r="H23" s="92">
        <f>IF(B$19=0,0,G23/B$19)</f>
        <v>3.4052213393870601E-3</v>
      </c>
      <c r="I23" s="60">
        <v>4</v>
      </c>
      <c r="K23" s="7">
        <v>21</v>
      </c>
      <c r="L23" s="65">
        <v>-7.1054273576010019E-15</v>
      </c>
      <c r="N23" s="78" t="s">
        <v>164</v>
      </c>
      <c r="O23" s="87">
        <f>IF(P23=0,0,Q23/P23)</f>
        <v>0.38260869565217115</v>
      </c>
      <c r="P23" s="81">
        <v>138</v>
      </c>
      <c r="Q23" s="72">
        <v>52.799999999999621</v>
      </c>
    </row>
    <row r="24" spans="1:17" x14ac:dyDescent="0.4">
      <c r="A24" s="21" t="s">
        <v>182</v>
      </c>
      <c r="B24" s="14">
        <v>260</v>
      </c>
      <c r="C24" s="8">
        <f>IF(B$19=0,0,B24/B$19)</f>
        <v>0.29511918274687854</v>
      </c>
      <c r="E24" s="29" t="s">
        <v>85</v>
      </c>
      <c r="F24" s="26" t="s">
        <v>40</v>
      </c>
      <c r="G24" s="14">
        <v>3</v>
      </c>
      <c r="H24" s="92">
        <f>IF(B$19=0,0,G24/B$19)</f>
        <v>3.4052213393870601E-3</v>
      </c>
      <c r="I24" s="60">
        <v>3</v>
      </c>
      <c r="K24" s="7">
        <v>22</v>
      </c>
      <c r="L24" s="65">
        <v>-7.5000000000000071</v>
      </c>
      <c r="N24" s="78" t="s">
        <v>193</v>
      </c>
      <c r="O24" s="87">
        <f>IF(P24=0,0,Q24/P24)</f>
        <v>-2.3158536585365836</v>
      </c>
      <c r="P24" s="81">
        <v>82</v>
      </c>
      <c r="Q24" s="72">
        <v>-189.89999999999986</v>
      </c>
    </row>
    <row r="25" spans="1:17" x14ac:dyDescent="0.4">
      <c r="A25" s="21" t="s">
        <v>183</v>
      </c>
      <c r="B25" s="14">
        <v>212</v>
      </c>
      <c r="C25" s="8">
        <f>IF(B$19=0,0,B25/B$19)</f>
        <v>0.24063564131668558</v>
      </c>
      <c r="E25" s="29" t="s">
        <v>74</v>
      </c>
      <c r="F25" s="26" t="s">
        <v>29</v>
      </c>
      <c r="G25" s="14">
        <v>2</v>
      </c>
      <c r="H25" s="92">
        <f>IF(B$19=0,0,G25/B$19)</f>
        <v>2.2701475595913734E-3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-12.288829787234031</v>
      </c>
      <c r="P25" s="81">
        <v>188</v>
      </c>
      <c r="Q25" s="72">
        <v>-2310.2999999999979</v>
      </c>
    </row>
    <row r="26" spans="1:17" x14ac:dyDescent="0.4">
      <c r="A26" s="21" t="s">
        <v>5</v>
      </c>
      <c r="B26" s="18">
        <f>IF(B$19=0,0,C26/B$19)</f>
        <v>8821.2258796821789</v>
      </c>
      <c r="C26" s="10">
        <v>7771500</v>
      </c>
      <c r="E26" s="29" t="s">
        <v>87</v>
      </c>
      <c r="F26" s="26" t="s">
        <v>42</v>
      </c>
      <c r="G26" s="14">
        <v>2</v>
      </c>
      <c r="H26" s="92">
        <f>IF(B$19=0,0,G26/B$19)</f>
        <v>2.2701475595913734E-3</v>
      </c>
      <c r="I26" s="60">
        <v>3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9400.9661835748793</v>
      </c>
      <c r="C27" s="100">
        <v>5838000</v>
      </c>
      <c r="E27" s="29" t="s">
        <v>93</v>
      </c>
      <c r="F27" s="26" t="s">
        <v>48</v>
      </c>
      <c r="G27" s="14">
        <v>2</v>
      </c>
      <c r="H27" s="92">
        <f>IF(B$19=0,0,G27/B$19)</f>
        <v>2.2701475595913734E-3</v>
      </c>
      <c r="I27" s="60">
        <v>2</v>
      </c>
      <c r="K27" s="7">
        <v>25</v>
      </c>
      <c r="L27" s="65">
        <v>-20.900000000000006</v>
      </c>
    </row>
    <row r="28" spans="1:17" x14ac:dyDescent="0.4">
      <c r="A28" s="22" t="s">
        <v>167</v>
      </c>
      <c r="B28" s="99">
        <f>IF(B$18=0,0,C28/B$18)</f>
        <v>7436.5384615384619</v>
      </c>
      <c r="C28" s="100">
        <v>1933500</v>
      </c>
      <c r="E28" s="29" t="s">
        <v>95</v>
      </c>
      <c r="F28" s="26" t="s">
        <v>50</v>
      </c>
      <c r="G28" s="14">
        <v>2</v>
      </c>
      <c r="H28" s="92">
        <f>IF(B$19=0,0,G28/B$19)</f>
        <v>2.2701475595913734E-3</v>
      </c>
      <c r="I28" s="60">
        <v>3</v>
      </c>
      <c r="K28" s="7">
        <v>26</v>
      </c>
      <c r="L28" s="65">
        <v>-21.400000000000006</v>
      </c>
    </row>
    <row r="29" spans="1:17" x14ac:dyDescent="0.4">
      <c r="A29" s="22" t="s">
        <v>165</v>
      </c>
      <c r="B29" s="99">
        <f>IF(B$20=0,0,C29/B$20)</f>
        <v>-7999.3492407809108</v>
      </c>
      <c r="C29" s="100">
        <v>-3687700</v>
      </c>
      <c r="E29" s="29" t="s">
        <v>84</v>
      </c>
      <c r="F29" s="26" t="s">
        <v>39</v>
      </c>
      <c r="G29" s="14">
        <v>1</v>
      </c>
      <c r="H29" s="92">
        <f>IF(B$19=0,0,G29/B$19)</f>
        <v>1.1350737797956867E-3</v>
      </c>
      <c r="I29" s="60">
        <v>2</v>
      </c>
      <c r="K29" s="7">
        <v>27</v>
      </c>
      <c r="L29" s="65">
        <v>-7.1054273576010019E-15</v>
      </c>
    </row>
    <row r="30" spans="1:17" x14ac:dyDescent="0.4">
      <c r="A30" s="21" t="s">
        <v>158</v>
      </c>
      <c r="B30" s="14">
        <v>9</v>
      </c>
      <c r="C30" s="94">
        <v>0</v>
      </c>
      <c r="E30" s="29" t="s">
        <v>88</v>
      </c>
      <c r="F30" s="26" t="s">
        <v>43</v>
      </c>
      <c r="G30" s="14">
        <v>1</v>
      </c>
      <c r="H30" s="92">
        <f>IF(B$19=0,0,G30/B$19)</f>
        <v>1.1350737797956867E-3</v>
      </c>
      <c r="I30" s="60">
        <v>2</v>
      </c>
      <c r="K30" s="7">
        <v>28</v>
      </c>
      <c r="L30" s="65">
        <v>3.9999999999999929</v>
      </c>
    </row>
    <row r="31" spans="1:17" x14ac:dyDescent="0.4">
      <c r="A31" s="21" t="s">
        <v>159</v>
      </c>
      <c r="B31" s="14">
        <v>38</v>
      </c>
      <c r="C31" s="94">
        <v>4</v>
      </c>
      <c r="E31" s="29" t="s">
        <v>97</v>
      </c>
      <c r="F31" s="26" t="s">
        <v>52</v>
      </c>
      <c r="G31" s="14">
        <v>1</v>
      </c>
      <c r="H31" s="92">
        <f>IF(B$19=0,0,G31/B$19)</f>
        <v>1.1350737797956867E-3</v>
      </c>
      <c r="I31" s="60">
        <v>2</v>
      </c>
      <c r="K31" s="7">
        <v>29</v>
      </c>
      <c r="L31" s="65">
        <v>29.999999999999993</v>
      </c>
    </row>
    <row r="32" spans="1:17" x14ac:dyDescent="0.4">
      <c r="A32" s="56" t="s">
        <v>136</v>
      </c>
      <c r="B32" s="125">
        <v>10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1.1350737797956867E-3</v>
      </c>
      <c r="I32" s="60">
        <v>2</v>
      </c>
      <c r="K32" s="7">
        <v>30</v>
      </c>
      <c r="L32" s="65">
        <v>-7.1054273576010019E-15</v>
      </c>
    </row>
    <row r="33" spans="1:12" x14ac:dyDescent="0.4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1.1350737797956867E-3</v>
      </c>
      <c r="I33" s="60">
        <v>2</v>
      </c>
      <c r="K33" s="7">
        <v>31</v>
      </c>
      <c r="L33" s="65">
        <v>-22.500000000000007</v>
      </c>
    </row>
    <row r="34" spans="1:12" x14ac:dyDescent="0.4">
      <c r="A34" s="23" t="s">
        <v>137</v>
      </c>
      <c r="B34" s="31">
        <v>8</v>
      </c>
      <c r="C34" s="11">
        <f>IF(B$3=0,0,B34/B$3)</f>
        <v>2.6298487836949377E-3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">
      <c r="A36" s="56" t="s">
        <v>172</v>
      </c>
      <c r="B36" s="121">
        <v>64</v>
      </c>
      <c r="C36" s="102">
        <f t="shared" ref="C36:C48" si="2">IF(B$19=0,0,B36/B$19)</f>
        <v>7.2644721906923948E-2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">
      <c r="A37" s="21" t="s">
        <v>168</v>
      </c>
      <c r="B37" s="14">
        <v>156</v>
      </c>
      <c r="C37" s="8">
        <f t="shared" si="2"/>
        <v>0.17707150964812712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">
      <c r="A38" s="21" t="s">
        <v>169</v>
      </c>
      <c r="B38" s="122">
        <v>154</v>
      </c>
      <c r="C38" s="8">
        <f t="shared" si="2"/>
        <v>0.17480136208853575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">
      <c r="A39" s="21" t="s">
        <v>170</v>
      </c>
      <c r="B39" s="122">
        <v>159</v>
      </c>
      <c r="C39" s="8">
        <f t="shared" si="2"/>
        <v>0.18047673098751418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">
      <c r="A40" s="21" t="s">
        <v>171</v>
      </c>
      <c r="B40" s="122">
        <v>129</v>
      </c>
      <c r="C40" s="8">
        <f t="shared" si="2"/>
        <v>0.14642451759364358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">
      <c r="A41" s="21" t="s">
        <v>173</v>
      </c>
      <c r="B41" s="122">
        <v>93</v>
      </c>
      <c r="C41" s="8">
        <f t="shared" si="2"/>
        <v>0.10556186152099886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">
      <c r="A42" s="21" t="s">
        <v>174</v>
      </c>
      <c r="B42" s="122">
        <v>51</v>
      </c>
      <c r="C42" s="8">
        <f t="shared" si="2"/>
        <v>5.7888762769580021E-2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">
      <c r="A43" s="21" t="s">
        <v>175</v>
      </c>
      <c r="B43" s="122">
        <v>24</v>
      </c>
      <c r="C43" s="8">
        <f t="shared" si="2"/>
        <v>2.7241770715096481E-2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">
      <c r="A44" s="21" t="s">
        <v>176</v>
      </c>
      <c r="B44" s="122">
        <v>15</v>
      </c>
      <c r="C44" s="8">
        <f t="shared" si="2"/>
        <v>1.70261066969353E-2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">
      <c r="A45" s="21" t="s">
        <v>177</v>
      </c>
      <c r="B45" s="122">
        <v>10</v>
      </c>
      <c r="C45" s="8">
        <f t="shared" si="2"/>
        <v>1.1350737797956867E-2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">
      <c r="A46" s="21" t="s">
        <v>178</v>
      </c>
      <c r="B46" s="122">
        <v>4</v>
      </c>
      <c r="C46" s="8">
        <f t="shared" si="2"/>
        <v>4.5402951191827468E-3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">
      <c r="A47" s="21" t="s">
        <v>179</v>
      </c>
      <c r="B47" s="122">
        <v>5</v>
      </c>
      <c r="C47" s="8">
        <f t="shared" si="2"/>
        <v>5.6753688989784334E-3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">
      <c r="A48" s="23" t="s">
        <v>180</v>
      </c>
      <c r="B48" s="101">
        <v>17</v>
      </c>
      <c r="C48" s="11">
        <f t="shared" si="2"/>
        <v>1.9296254256526674E-2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">
      <c r="K53" s="7">
        <v>51</v>
      </c>
      <c r="L53" s="65">
        <v>3.5527136788005009E-15</v>
      </c>
    </row>
    <row r="54" spans="5:12" x14ac:dyDescent="0.4">
      <c r="K54" s="7">
        <v>52</v>
      </c>
      <c r="L54" s="65">
        <v>68.2</v>
      </c>
    </row>
    <row r="55" spans="5:12" x14ac:dyDescent="0.4">
      <c r="K55" s="7">
        <v>53</v>
      </c>
      <c r="L55" s="65">
        <v>44.7</v>
      </c>
    </row>
    <row r="56" spans="5:12" x14ac:dyDescent="0.4">
      <c r="K56" s="7">
        <v>54</v>
      </c>
      <c r="L56" s="65">
        <v>0</v>
      </c>
    </row>
    <row r="57" spans="5:12" x14ac:dyDescent="0.4">
      <c r="K57" s="7">
        <v>55</v>
      </c>
      <c r="L57" s="65">
        <v>-1</v>
      </c>
    </row>
    <row r="58" spans="5:12" x14ac:dyDescent="0.4">
      <c r="K58" s="7">
        <v>56</v>
      </c>
      <c r="L58" s="65">
        <v>27</v>
      </c>
    </row>
    <row r="59" spans="5:12" x14ac:dyDescent="0.4">
      <c r="K59" s="7">
        <v>57</v>
      </c>
      <c r="L59" s="65">
        <v>0</v>
      </c>
    </row>
    <row r="60" spans="5:12" x14ac:dyDescent="0.4">
      <c r="K60" s="7">
        <v>58</v>
      </c>
      <c r="L60" s="65">
        <v>-32.299999999999997</v>
      </c>
    </row>
    <row r="61" spans="5:12" x14ac:dyDescent="0.4">
      <c r="K61" s="7">
        <v>59</v>
      </c>
      <c r="L61" s="65">
        <v>-52.199999999999996</v>
      </c>
    </row>
    <row r="62" spans="5:12" x14ac:dyDescent="0.4">
      <c r="K62" s="7">
        <v>60</v>
      </c>
      <c r="L62" s="65">
        <v>7.1054273576010019E-15</v>
      </c>
    </row>
    <row r="63" spans="5:12" x14ac:dyDescent="0.4">
      <c r="K63" s="7">
        <v>61</v>
      </c>
      <c r="L63" s="65">
        <v>43.500000000000007</v>
      </c>
    </row>
    <row r="64" spans="5:12" x14ac:dyDescent="0.4">
      <c r="K64" s="7">
        <v>62</v>
      </c>
      <c r="L64" s="65">
        <v>7.8000000000000043</v>
      </c>
    </row>
    <row r="65" spans="11:12" x14ac:dyDescent="0.4">
      <c r="K65" s="7">
        <v>63</v>
      </c>
      <c r="L65" s="65">
        <v>4.4408920985006262E-15</v>
      </c>
    </row>
    <row r="66" spans="11:12" x14ac:dyDescent="0.4">
      <c r="K66" s="7">
        <v>64</v>
      </c>
      <c r="L66" s="65">
        <v>-52.79999999999999</v>
      </c>
    </row>
    <row r="67" spans="11:12" x14ac:dyDescent="0.4">
      <c r="K67" s="7">
        <v>65</v>
      </c>
      <c r="L67" s="65">
        <v>7.5000000000000071</v>
      </c>
    </row>
    <row r="68" spans="11:12" x14ac:dyDescent="0.4">
      <c r="K68" s="7">
        <v>66</v>
      </c>
      <c r="L68" s="65">
        <v>7.1054273576010019E-15</v>
      </c>
    </row>
    <row r="69" spans="11:12" x14ac:dyDescent="0.4">
      <c r="K69" s="7">
        <v>67</v>
      </c>
      <c r="L69" s="65">
        <v>-14.799999999999994</v>
      </c>
    </row>
    <row r="70" spans="11:12" x14ac:dyDescent="0.4">
      <c r="K70" s="7">
        <v>68</v>
      </c>
      <c r="L70" s="65">
        <v>-49.5</v>
      </c>
    </row>
    <row r="71" spans="11:12" x14ac:dyDescent="0.4">
      <c r="K71" s="7">
        <v>69</v>
      </c>
      <c r="L71" s="65">
        <v>0</v>
      </c>
    </row>
    <row r="72" spans="11:12" x14ac:dyDescent="0.4">
      <c r="K72" s="7">
        <v>70</v>
      </c>
      <c r="L72" s="65">
        <v>6.4</v>
      </c>
    </row>
    <row r="73" spans="11:12" x14ac:dyDescent="0.4">
      <c r="K73" s="7">
        <v>71</v>
      </c>
      <c r="L73" s="65">
        <v>-24.6</v>
      </c>
    </row>
    <row r="74" spans="11:12" x14ac:dyDescent="0.4">
      <c r="K74" s="7">
        <v>72</v>
      </c>
      <c r="L74" s="65">
        <v>0</v>
      </c>
    </row>
    <row r="75" spans="11:12" x14ac:dyDescent="0.4">
      <c r="K75" s="7">
        <v>73</v>
      </c>
      <c r="L75" s="65">
        <v>-49.4</v>
      </c>
    </row>
    <row r="76" spans="11:12" x14ac:dyDescent="0.4">
      <c r="K76" s="7">
        <v>74</v>
      </c>
      <c r="L76" s="65">
        <v>-37.200000000000003</v>
      </c>
    </row>
    <row r="77" spans="11:12" x14ac:dyDescent="0.4">
      <c r="K77" s="7">
        <v>75</v>
      </c>
      <c r="L77" s="65">
        <v>0</v>
      </c>
    </row>
    <row r="78" spans="11:12" x14ac:dyDescent="0.4">
      <c r="K78" s="7">
        <v>76</v>
      </c>
      <c r="L78" s="65">
        <v>-14.6</v>
      </c>
    </row>
    <row r="79" spans="11:12" x14ac:dyDescent="0.4">
      <c r="K79" s="7">
        <v>77</v>
      </c>
      <c r="L79" s="65">
        <v>-63.5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30</v>
      </c>
    </row>
    <row r="82" spans="11:12" x14ac:dyDescent="0.4">
      <c r="K82" s="7">
        <v>80</v>
      </c>
      <c r="L82" s="65">
        <v>21.6</v>
      </c>
    </row>
    <row r="83" spans="11:12" x14ac:dyDescent="0.4">
      <c r="K83" s="7">
        <v>81</v>
      </c>
      <c r="L83" s="65">
        <v>0</v>
      </c>
    </row>
    <row r="84" spans="11:12" x14ac:dyDescent="0.4">
      <c r="K84" s="7">
        <v>82</v>
      </c>
      <c r="L84" s="65">
        <v>1.5</v>
      </c>
    </row>
    <row r="85" spans="11:12" x14ac:dyDescent="0.4">
      <c r="K85" s="7">
        <v>83</v>
      </c>
      <c r="L85" s="65">
        <v>50.1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26</v>
      </c>
    </row>
    <row r="88" spans="11:12" x14ac:dyDescent="0.4">
      <c r="K88" s="7">
        <v>86</v>
      </c>
      <c r="L88" s="65">
        <v>-5.6999999999999993</v>
      </c>
    </row>
    <row r="89" spans="11:12" x14ac:dyDescent="0.4">
      <c r="K89" s="7">
        <v>87</v>
      </c>
      <c r="L89" s="65">
        <v>8.8817841970012523E-16</v>
      </c>
    </row>
    <row r="90" spans="11:12" x14ac:dyDescent="0.4">
      <c r="K90" s="7">
        <v>88</v>
      </c>
      <c r="L90" s="65">
        <v>-45.2</v>
      </c>
    </row>
    <row r="91" spans="11:12" x14ac:dyDescent="0.4">
      <c r="K91" s="7">
        <v>89</v>
      </c>
      <c r="L91" s="65">
        <v>-3.5</v>
      </c>
    </row>
    <row r="92" spans="11:12" x14ac:dyDescent="0.4">
      <c r="K92" s="7">
        <v>90</v>
      </c>
      <c r="L92" s="65">
        <v>0</v>
      </c>
    </row>
    <row r="93" spans="11:12" x14ac:dyDescent="0.4">
      <c r="K93" s="7">
        <v>91</v>
      </c>
      <c r="L93" s="65">
        <v>-10.7</v>
      </c>
    </row>
    <row r="94" spans="11:12" x14ac:dyDescent="0.4">
      <c r="K94" s="7">
        <v>92</v>
      </c>
      <c r="L94" s="65">
        <v>-34</v>
      </c>
    </row>
    <row r="95" spans="11:12" x14ac:dyDescent="0.4">
      <c r="K95" s="7">
        <v>93</v>
      </c>
      <c r="L95" s="65">
        <v>0</v>
      </c>
    </row>
    <row r="96" spans="11:12" x14ac:dyDescent="0.4">
      <c r="K96" s="7">
        <v>94</v>
      </c>
      <c r="L96" s="65">
        <v>-0.9</v>
      </c>
    </row>
    <row r="97" spans="11:12" x14ac:dyDescent="0.4">
      <c r="K97" s="7">
        <v>95</v>
      </c>
      <c r="L97" s="65">
        <v>15.200000000000001</v>
      </c>
    </row>
    <row r="98" spans="11:12" x14ac:dyDescent="0.4">
      <c r="K98" s="7">
        <v>96</v>
      </c>
      <c r="L98" s="65">
        <v>1.7763568394002505E-15</v>
      </c>
    </row>
    <row r="99" spans="11:12" x14ac:dyDescent="0.4">
      <c r="K99" s="7">
        <v>97</v>
      </c>
      <c r="L99" s="65">
        <v>-12.599999999999998</v>
      </c>
    </row>
    <row r="100" spans="11:12" x14ac:dyDescent="0.4">
      <c r="K100" s="7">
        <v>98</v>
      </c>
      <c r="L100" s="65">
        <v>-57.8</v>
      </c>
    </row>
    <row r="101" spans="11:12" x14ac:dyDescent="0.4">
      <c r="K101" s="7">
        <v>99</v>
      </c>
      <c r="L101" s="65">
        <v>0</v>
      </c>
    </row>
    <row r="102" spans="11:12" x14ac:dyDescent="0.4">
      <c r="K102" s="7">
        <v>100</v>
      </c>
      <c r="L102" s="65">
        <v>-4</v>
      </c>
    </row>
    <row r="103" spans="11:12" x14ac:dyDescent="0.4">
      <c r="K103" s="7">
        <v>101</v>
      </c>
      <c r="L103" s="65">
        <v>47.3</v>
      </c>
    </row>
    <row r="104" spans="11:12" x14ac:dyDescent="0.4">
      <c r="K104" s="7">
        <v>102</v>
      </c>
      <c r="L104" s="65">
        <v>0</v>
      </c>
    </row>
    <row r="105" spans="11:12" x14ac:dyDescent="0.4">
      <c r="K105" s="7">
        <v>103</v>
      </c>
      <c r="L105" s="65">
        <v>-57.1</v>
      </c>
    </row>
    <row r="106" spans="11:12" x14ac:dyDescent="0.4">
      <c r="K106" s="7">
        <v>104</v>
      </c>
      <c r="L106" s="65">
        <v>-52.800000000000004</v>
      </c>
    </row>
    <row r="107" spans="11:12" x14ac:dyDescent="0.4">
      <c r="K107" s="7">
        <v>105</v>
      </c>
      <c r="L107" s="65">
        <v>-7.1054273576010019E-15</v>
      </c>
    </row>
    <row r="108" spans="11:12" x14ac:dyDescent="0.4">
      <c r="K108" s="7">
        <v>106</v>
      </c>
      <c r="L108" s="65">
        <v>-20.000000000000007</v>
      </c>
    </row>
    <row r="109" spans="11:12" x14ac:dyDescent="0.4">
      <c r="K109" s="7">
        <v>107</v>
      </c>
      <c r="L109" s="65">
        <v>52.999999999999993</v>
      </c>
    </row>
    <row r="110" spans="11:12" x14ac:dyDescent="0.4">
      <c r="K110" s="7">
        <v>108</v>
      </c>
      <c r="L110" s="65">
        <v>-7.1054273576010019E-15</v>
      </c>
    </row>
    <row r="111" spans="11:12" x14ac:dyDescent="0.4">
      <c r="K111" s="7">
        <v>109</v>
      </c>
      <c r="L111" s="65">
        <v>54.399999999999991</v>
      </c>
    </row>
    <row r="112" spans="11:12" x14ac:dyDescent="0.4">
      <c r="K112" s="7">
        <v>110</v>
      </c>
      <c r="L112" s="65">
        <v>4.2999999999999901</v>
      </c>
    </row>
    <row r="113" spans="11:12" x14ac:dyDescent="0.4">
      <c r="K113" s="7">
        <v>111</v>
      </c>
      <c r="L113" s="65">
        <v>-9.7699626167013776E-15</v>
      </c>
    </row>
    <row r="114" spans="11:12" x14ac:dyDescent="0.4">
      <c r="K114" s="7">
        <v>112</v>
      </c>
      <c r="L114" s="65">
        <v>-48.20000000000001</v>
      </c>
    </row>
    <row r="115" spans="11:12" x14ac:dyDescent="0.4">
      <c r="K115" s="7">
        <v>113</v>
      </c>
      <c r="L115" s="65">
        <v>11.499999999999993</v>
      </c>
    </row>
    <row r="116" spans="11:12" x14ac:dyDescent="0.4">
      <c r="K116" s="7">
        <v>114</v>
      </c>
      <c r="L116" s="65">
        <v>-7.1054273576010019E-15</v>
      </c>
    </row>
    <row r="117" spans="11:12" x14ac:dyDescent="0.4">
      <c r="K117" s="7">
        <v>115</v>
      </c>
      <c r="L117" s="65">
        <v>22.299999999999994</v>
      </c>
    </row>
    <row r="118" spans="11:12" x14ac:dyDescent="0.4">
      <c r="K118" s="7">
        <v>116</v>
      </c>
      <c r="L118" s="65">
        <v>27.299999999999994</v>
      </c>
    </row>
    <row r="119" spans="11:12" x14ac:dyDescent="0.4">
      <c r="K119" s="7">
        <v>117</v>
      </c>
      <c r="L119" s="65">
        <v>-7.1054273576010019E-15</v>
      </c>
    </row>
    <row r="120" spans="11:12" x14ac:dyDescent="0.4">
      <c r="K120" s="7">
        <v>118</v>
      </c>
      <c r="L120" s="65">
        <v>-9.5000000000000071</v>
      </c>
    </row>
    <row r="121" spans="11:12" x14ac:dyDescent="0.4">
      <c r="K121" s="7">
        <v>119</v>
      </c>
      <c r="L121" s="65">
        <v>22.099999999999994</v>
      </c>
    </row>
    <row r="122" spans="11:12" x14ac:dyDescent="0.4">
      <c r="K122" s="7">
        <v>120</v>
      </c>
      <c r="L122" s="65">
        <v>-7.1054273576010019E-15</v>
      </c>
    </row>
    <row r="123" spans="11:12" x14ac:dyDescent="0.4">
      <c r="K123" s="7">
        <v>121</v>
      </c>
      <c r="L123" s="65">
        <v>-36.400000000000006</v>
      </c>
    </row>
    <row r="124" spans="11:12" x14ac:dyDescent="0.4">
      <c r="K124" s="7">
        <v>122</v>
      </c>
      <c r="L124" s="65">
        <v>-61.600000000000009</v>
      </c>
    </row>
    <row r="125" spans="11:12" x14ac:dyDescent="0.4">
      <c r="K125" s="7">
        <v>123</v>
      </c>
      <c r="L125" s="65">
        <v>-7.1054273576010019E-15</v>
      </c>
    </row>
    <row r="126" spans="11:12" x14ac:dyDescent="0.4">
      <c r="K126" s="7">
        <v>124</v>
      </c>
      <c r="L126" s="65">
        <v>-2.3000000000000069</v>
      </c>
    </row>
    <row r="127" spans="11:12" x14ac:dyDescent="0.4">
      <c r="K127" s="7">
        <v>125</v>
      </c>
      <c r="L127" s="65">
        <v>-24.800000000000008</v>
      </c>
    </row>
    <row r="128" spans="11:12" x14ac:dyDescent="0.4">
      <c r="K128" s="7">
        <v>126</v>
      </c>
      <c r="L128" s="65">
        <v>-7.1054273576010019E-15</v>
      </c>
    </row>
    <row r="129" spans="11:12" x14ac:dyDescent="0.4">
      <c r="K129" s="7">
        <v>127</v>
      </c>
      <c r="L129" s="65">
        <v>-27.500000000000007</v>
      </c>
    </row>
    <row r="130" spans="11:12" x14ac:dyDescent="0.4">
      <c r="K130" s="7">
        <v>128</v>
      </c>
      <c r="L130" s="65">
        <v>-22.000000000000007</v>
      </c>
    </row>
    <row r="131" spans="11:12" x14ac:dyDescent="0.4">
      <c r="K131" s="7">
        <v>129</v>
      </c>
      <c r="L131" s="65">
        <v>-7.1054273576010019E-15</v>
      </c>
    </row>
    <row r="132" spans="11:12" x14ac:dyDescent="0.4">
      <c r="K132" s="7">
        <v>130</v>
      </c>
      <c r="L132" s="65">
        <v>70</v>
      </c>
    </row>
    <row r="133" spans="11:12" x14ac:dyDescent="0.4">
      <c r="K133" s="7">
        <v>131</v>
      </c>
      <c r="L133" s="65">
        <v>46.5</v>
      </c>
    </row>
    <row r="134" spans="11:12" x14ac:dyDescent="0.4">
      <c r="K134" s="7">
        <v>132</v>
      </c>
      <c r="L134" s="65">
        <v>0</v>
      </c>
    </row>
    <row r="135" spans="11:12" x14ac:dyDescent="0.4">
      <c r="K135" s="7">
        <v>133</v>
      </c>
      <c r="L135" s="65">
        <v>-5.4</v>
      </c>
    </row>
    <row r="136" spans="11:12" x14ac:dyDescent="0.4">
      <c r="K136" s="7">
        <v>134</v>
      </c>
      <c r="L136" s="65">
        <v>31.9</v>
      </c>
    </row>
    <row r="137" spans="11:12" x14ac:dyDescent="0.4">
      <c r="K137" s="7">
        <v>135</v>
      </c>
      <c r="L137" s="65">
        <v>0</v>
      </c>
    </row>
    <row r="138" spans="11:12" x14ac:dyDescent="0.4">
      <c r="K138" s="7">
        <v>136</v>
      </c>
      <c r="L138" s="65">
        <v>1.3</v>
      </c>
    </row>
    <row r="139" spans="11:12" x14ac:dyDescent="0.4">
      <c r="K139" s="7">
        <v>137</v>
      </c>
      <c r="L139" s="65">
        <v>-13.799999999999999</v>
      </c>
    </row>
    <row r="140" spans="11:12" x14ac:dyDescent="0.4">
      <c r="K140" s="7">
        <v>138</v>
      </c>
      <c r="L140" s="65">
        <v>1.7763568394002505E-15</v>
      </c>
    </row>
    <row r="141" spans="11:12" x14ac:dyDescent="0.4">
      <c r="K141" s="7">
        <v>139</v>
      </c>
      <c r="L141" s="65">
        <v>87.3</v>
      </c>
    </row>
    <row r="142" spans="11:12" x14ac:dyDescent="0.4">
      <c r="K142" s="7">
        <v>140</v>
      </c>
      <c r="L142" s="65">
        <v>65</v>
      </c>
    </row>
    <row r="143" spans="11:12" x14ac:dyDescent="0.4">
      <c r="K143" s="7">
        <v>141</v>
      </c>
      <c r="L143" s="65">
        <v>0</v>
      </c>
    </row>
    <row r="144" spans="11:12" x14ac:dyDescent="0.4">
      <c r="K144" s="7">
        <v>142</v>
      </c>
      <c r="L144" s="65">
        <v>6.3</v>
      </c>
    </row>
    <row r="145" spans="11:12" x14ac:dyDescent="0.4">
      <c r="K145" s="7">
        <v>143</v>
      </c>
      <c r="L145" s="65">
        <v>52.9</v>
      </c>
    </row>
    <row r="146" spans="11:12" x14ac:dyDescent="0.4">
      <c r="K146" s="7">
        <v>144</v>
      </c>
      <c r="L146" s="65">
        <v>0</v>
      </c>
    </row>
    <row r="147" spans="11:12" x14ac:dyDescent="0.4">
      <c r="K147" s="7">
        <v>145</v>
      </c>
      <c r="L147" s="65">
        <v>-72.7</v>
      </c>
    </row>
    <row r="148" spans="11:12" x14ac:dyDescent="0.4">
      <c r="K148" s="7">
        <v>146</v>
      </c>
      <c r="L148" s="65">
        <v>-49.5</v>
      </c>
    </row>
    <row r="149" spans="11:12" x14ac:dyDescent="0.4">
      <c r="K149" s="7">
        <v>147</v>
      </c>
      <c r="L149" s="65">
        <v>0</v>
      </c>
    </row>
    <row r="150" spans="11:12" x14ac:dyDescent="0.4">
      <c r="K150" s="7">
        <v>148</v>
      </c>
      <c r="L150" s="65">
        <v>8.6</v>
      </c>
    </row>
    <row r="151" spans="11:12" x14ac:dyDescent="0.4">
      <c r="K151" s="7">
        <v>149</v>
      </c>
      <c r="L151" s="65">
        <v>46.6</v>
      </c>
    </row>
    <row r="152" spans="11:12" x14ac:dyDescent="0.4">
      <c r="K152" s="7">
        <v>150</v>
      </c>
      <c r="L152" s="65">
        <v>0</v>
      </c>
    </row>
    <row r="153" spans="11:12" x14ac:dyDescent="0.4">
      <c r="K153" s="7">
        <v>151</v>
      </c>
      <c r="L153" s="65">
        <v>-40.799999999999997</v>
      </c>
    </row>
    <row r="154" spans="11:12" x14ac:dyDescent="0.4">
      <c r="K154" s="7">
        <v>152</v>
      </c>
      <c r="L154" s="65">
        <v>-33.599999999999994</v>
      </c>
    </row>
    <row r="155" spans="11:12" x14ac:dyDescent="0.4">
      <c r="K155" s="7">
        <v>153</v>
      </c>
      <c r="L155" s="65">
        <v>7.1054273576010019E-15</v>
      </c>
    </row>
    <row r="156" spans="11:12" x14ac:dyDescent="0.4">
      <c r="K156" s="7">
        <v>154</v>
      </c>
      <c r="L156" s="65">
        <v>-33.399999999999991</v>
      </c>
    </row>
    <row r="157" spans="11:12" x14ac:dyDescent="0.4">
      <c r="K157" s="7">
        <v>155</v>
      </c>
      <c r="L157" s="65">
        <v>-41.599999999999994</v>
      </c>
    </row>
    <row r="158" spans="11:12" x14ac:dyDescent="0.4">
      <c r="K158" s="7">
        <v>156</v>
      </c>
      <c r="L158" s="65">
        <v>7.1054273576010019E-15</v>
      </c>
    </row>
    <row r="159" spans="11:12" x14ac:dyDescent="0.4">
      <c r="K159" s="7">
        <v>157</v>
      </c>
      <c r="L159" s="65">
        <v>-33.399999999999991</v>
      </c>
    </row>
    <row r="160" spans="11:12" x14ac:dyDescent="0.4">
      <c r="K160" s="7">
        <v>158</v>
      </c>
      <c r="L160" s="65">
        <v>57.600000000000009</v>
      </c>
    </row>
    <row r="161" spans="11:12" x14ac:dyDescent="0.4">
      <c r="K161" s="7">
        <v>159</v>
      </c>
      <c r="L161" s="65">
        <v>7.1054273576010019E-15</v>
      </c>
    </row>
    <row r="162" spans="11:12" x14ac:dyDescent="0.4">
      <c r="K162" s="7">
        <v>160</v>
      </c>
      <c r="L162" s="65">
        <v>6.8000000000000069</v>
      </c>
    </row>
    <row r="163" spans="11:12" x14ac:dyDescent="0.4">
      <c r="K163" s="7">
        <v>161</v>
      </c>
      <c r="L163" s="65">
        <v>48.1</v>
      </c>
    </row>
    <row r="164" spans="11:12" x14ac:dyDescent="0.4">
      <c r="K164" s="7">
        <v>162</v>
      </c>
      <c r="L164" s="65">
        <v>0</v>
      </c>
    </row>
    <row r="165" spans="11:12" x14ac:dyDescent="0.4">
      <c r="K165" s="7">
        <v>163</v>
      </c>
      <c r="L165" s="65">
        <v>64</v>
      </c>
    </row>
    <row r="166" spans="11:12" x14ac:dyDescent="0.4">
      <c r="K166" s="7">
        <v>164</v>
      </c>
      <c r="L166" s="65">
        <v>26.799999999999997</v>
      </c>
    </row>
    <row r="167" spans="11:12" x14ac:dyDescent="0.4">
      <c r="K167" s="7">
        <v>165</v>
      </c>
      <c r="L167" s="65">
        <v>-3.5527136788005009E-15</v>
      </c>
    </row>
    <row r="168" spans="11:12" x14ac:dyDescent="0.4">
      <c r="K168" s="7">
        <v>166</v>
      </c>
      <c r="L168" s="65">
        <v>-25.800000000000004</v>
      </c>
    </row>
    <row r="169" spans="11:12" x14ac:dyDescent="0.4">
      <c r="K169" s="7">
        <v>167</v>
      </c>
      <c r="L169" s="65">
        <v>-19.100000000000005</v>
      </c>
    </row>
    <row r="170" spans="11:12" x14ac:dyDescent="0.4">
      <c r="K170" s="7">
        <v>168</v>
      </c>
      <c r="L170" s="65">
        <v>-3.5527136788005009E-15</v>
      </c>
    </row>
    <row r="171" spans="11:12" x14ac:dyDescent="0.4">
      <c r="K171" s="7">
        <v>169</v>
      </c>
      <c r="L171" s="65">
        <v>3.1999999999999966</v>
      </c>
    </row>
    <row r="172" spans="11:12" x14ac:dyDescent="0.4">
      <c r="K172" s="7">
        <v>170</v>
      </c>
      <c r="L172" s="65">
        <v>-44.400000000000006</v>
      </c>
    </row>
    <row r="173" spans="11:12" x14ac:dyDescent="0.4">
      <c r="K173" s="7">
        <v>171</v>
      </c>
      <c r="L173" s="65">
        <v>-7.1054273576010019E-15</v>
      </c>
    </row>
    <row r="174" spans="11:12" x14ac:dyDescent="0.4">
      <c r="K174" s="7">
        <v>172</v>
      </c>
      <c r="L174" s="65">
        <v>-26.300000000000008</v>
      </c>
    </row>
    <row r="175" spans="11:12" x14ac:dyDescent="0.4">
      <c r="K175" s="7">
        <v>173</v>
      </c>
      <c r="L175" s="65">
        <v>-25.500000000000007</v>
      </c>
    </row>
    <row r="176" spans="11:12" x14ac:dyDescent="0.4">
      <c r="K176" s="7">
        <v>174</v>
      </c>
      <c r="L176" s="65">
        <v>-7.1054273576010019E-15</v>
      </c>
    </row>
    <row r="177" spans="11:12" x14ac:dyDescent="0.4">
      <c r="K177" s="7">
        <v>175</v>
      </c>
      <c r="L177" s="65">
        <v>54.699999999999996</v>
      </c>
    </row>
    <row r="178" spans="11:12" x14ac:dyDescent="0.4">
      <c r="K178" s="7">
        <v>176</v>
      </c>
      <c r="L178" s="65">
        <v>50.3</v>
      </c>
    </row>
    <row r="179" spans="11:12" x14ac:dyDescent="0.4">
      <c r="K179" s="7">
        <v>177</v>
      </c>
      <c r="L179" s="65">
        <v>0</v>
      </c>
    </row>
    <row r="180" spans="11:12" x14ac:dyDescent="0.4">
      <c r="K180" s="7">
        <v>178</v>
      </c>
      <c r="L180" s="65">
        <v>8.6</v>
      </c>
    </row>
    <row r="181" spans="11:12" x14ac:dyDescent="0.4">
      <c r="K181" s="7">
        <v>179</v>
      </c>
      <c r="L181" s="65">
        <v>47.300000000000004</v>
      </c>
    </row>
    <row r="182" spans="11:12" x14ac:dyDescent="0.4">
      <c r="K182" s="7">
        <v>180</v>
      </c>
      <c r="L182" s="65">
        <v>7.1054273576010019E-15</v>
      </c>
    </row>
    <row r="183" spans="11:12" x14ac:dyDescent="0.4">
      <c r="K183" s="7">
        <v>181</v>
      </c>
      <c r="L183" s="65">
        <v>-11.799999999999994</v>
      </c>
    </row>
    <row r="184" spans="11:12" x14ac:dyDescent="0.4">
      <c r="K184" s="7">
        <v>182</v>
      </c>
      <c r="L184" s="65">
        <v>-44.8</v>
      </c>
    </row>
    <row r="185" spans="11:12" x14ac:dyDescent="0.4">
      <c r="K185" s="7">
        <v>183</v>
      </c>
      <c r="L185" s="65">
        <v>0</v>
      </c>
    </row>
    <row r="186" spans="11:12" x14ac:dyDescent="0.4">
      <c r="K186" s="7">
        <v>184</v>
      </c>
      <c r="L186" s="65">
        <v>-45.6</v>
      </c>
    </row>
    <row r="187" spans="11:12" x14ac:dyDescent="0.4">
      <c r="K187" s="7">
        <v>185</v>
      </c>
      <c r="L187" s="65">
        <v>3.8999999999999986</v>
      </c>
    </row>
    <row r="188" spans="11:12" x14ac:dyDescent="0.4">
      <c r="K188" s="7">
        <v>186</v>
      </c>
      <c r="L188" s="65">
        <v>-1.3322676295501878E-15</v>
      </c>
    </row>
    <row r="189" spans="11:12" x14ac:dyDescent="0.4">
      <c r="K189" s="7">
        <v>187</v>
      </c>
      <c r="L189" s="65">
        <v>45.3</v>
      </c>
    </row>
    <row r="190" spans="11:12" x14ac:dyDescent="0.4">
      <c r="K190" s="7">
        <v>188</v>
      </c>
      <c r="L190" s="65">
        <v>40.599999999999994</v>
      </c>
    </row>
    <row r="191" spans="11:12" x14ac:dyDescent="0.4">
      <c r="K191" s="7">
        <v>189</v>
      </c>
      <c r="L191" s="65">
        <v>-7.1054273576010019E-15</v>
      </c>
    </row>
    <row r="192" spans="11:12" x14ac:dyDescent="0.4">
      <c r="K192" s="7">
        <v>190</v>
      </c>
      <c r="L192" s="65">
        <v>-54.400000000000006</v>
      </c>
    </row>
    <row r="193" spans="11:12" x14ac:dyDescent="0.4">
      <c r="K193" s="7">
        <v>191</v>
      </c>
      <c r="L193" s="65">
        <v>16.599999999999994</v>
      </c>
    </row>
    <row r="194" spans="11:12" x14ac:dyDescent="0.4">
      <c r="K194" s="7">
        <v>192</v>
      </c>
      <c r="L194" s="65">
        <v>-7.1054273576010019E-15</v>
      </c>
    </row>
    <row r="195" spans="11:12" x14ac:dyDescent="0.4">
      <c r="K195" s="7">
        <v>193</v>
      </c>
      <c r="L195" s="65">
        <v>-23.700000000000006</v>
      </c>
    </row>
    <row r="196" spans="11:12" x14ac:dyDescent="0.4">
      <c r="K196" s="7">
        <v>194</v>
      </c>
      <c r="L196" s="65">
        <v>-22.300000000000008</v>
      </c>
    </row>
    <row r="197" spans="11:12" x14ac:dyDescent="0.4">
      <c r="K197" s="7">
        <v>195</v>
      </c>
      <c r="L197" s="65">
        <v>-7.1054273576010019E-15</v>
      </c>
    </row>
    <row r="198" spans="11:12" x14ac:dyDescent="0.4">
      <c r="K198" s="7">
        <v>196</v>
      </c>
      <c r="L198" s="65">
        <v>-50.400000000000006</v>
      </c>
    </row>
    <row r="199" spans="11:12" x14ac:dyDescent="0.4">
      <c r="K199" s="7">
        <v>197</v>
      </c>
      <c r="L199" s="65">
        <v>-79.100000000000009</v>
      </c>
    </row>
    <row r="200" spans="11:12" x14ac:dyDescent="0.4">
      <c r="K200" s="7">
        <v>198</v>
      </c>
      <c r="L200" s="65">
        <v>-1.4210854715202004E-14</v>
      </c>
    </row>
    <row r="201" spans="11:12" x14ac:dyDescent="0.4">
      <c r="K201" s="7">
        <v>199</v>
      </c>
      <c r="L201" s="65">
        <v>29.399999999999984</v>
      </c>
    </row>
    <row r="202" spans="11:12" x14ac:dyDescent="0.4">
      <c r="K202" s="7">
        <v>200</v>
      </c>
      <c r="L202" s="65">
        <v>-6.5000000000000142</v>
      </c>
    </row>
    <row r="203" spans="11:12" x14ac:dyDescent="0.4">
      <c r="K203" s="7">
        <v>201</v>
      </c>
      <c r="L203" s="65">
        <v>-1.4210854715202004E-14</v>
      </c>
    </row>
    <row r="204" spans="11:12" x14ac:dyDescent="0.4">
      <c r="K204" s="7">
        <v>202</v>
      </c>
      <c r="L204" s="65">
        <v>12.499999999999986</v>
      </c>
    </row>
    <row r="205" spans="11:12" x14ac:dyDescent="0.4">
      <c r="K205" s="7">
        <v>203</v>
      </c>
      <c r="L205" s="65">
        <v>13.199999999999985</v>
      </c>
    </row>
    <row r="206" spans="11:12" x14ac:dyDescent="0.4">
      <c r="K206" s="7">
        <v>204</v>
      </c>
      <c r="L206" s="65">
        <v>-1.4210854715202004E-14</v>
      </c>
    </row>
    <row r="207" spans="11:12" x14ac:dyDescent="0.4">
      <c r="K207" s="7">
        <v>205</v>
      </c>
      <c r="L207" s="65">
        <v>40.099999999999987</v>
      </c>
    </row>
    <row r="208" spans="11:12" x14ac:dyDescent="0.4">
      <c r="K208" s="7">
        <v>206</v>
      </c>
      <c r="L208" s="65">
        <v>4.7999999999999901</v>
      </c>
    </row>
    <row r="209" spans="11:12" x14ac:dyDescent="0.4">
      <c r="K209" s="7">
        <v>207</v>
      </c>
      <c r="L209" s="65">
        <v>-9.7699626167013776E-15</v>
      </c>
    </row>
    <row r="210" spans="11:12" x14ac:dyDescent="0.4">
      <c r="K210" s="7">
        <v>208</v>
      </c>
      <c r="L210" s="65">
        <v>5.4999999999999902</v>
      </c>
    </row>
    <row r="211" spans="11:12" x14ac:dyDescent="0.4">
      <c r="K211" s="7">
        <v>209</v>
      </c>
      <c r="L211" s="65">
        <v>-45.100000000000009</v>
      </c>
    </row>
    <row r="212" spans="11:12" x14ac:dyDescent="0.4">
      <c r="K212" s="7">
        <v>210</v>
      </c>
      <c r="L212" s="65">
        <v>-7.1054273576010019E-15</v>
      </c>
    </row>
    <row r="213" spans="11:12" x14ac:dyDescent="0.4">
      <c r="K213" s="7">
        <v>211</v>
      </c>
      <c r="L213" s="65">
        <v>-25.900000000000006</v>
      </c>
    </row>
    <row r="214" spans="11:12" x14ac:dyDescent="0.4">
      <c r="K214" s="7">
        <v>212</v>
      </c>
      <c r="L214" s="65">
        <v>-21.000000000000007</v>
      </c>
    </row>
    <row r="215" spans="11:12" x14ac:dyDescent="0.4">
      <c r="K215" s="7">
        <v>213</v>
      </c>
      <c r="L215" s="65">
        <v>-7.1054273576010019E-15</v>
      </c>
    </row>
    <row r="216" spans="11:12" x14ac:dyDescent="0.4">
      <c r="K216" s="7">
        <v>214</v>
      </c>
      <c r="L216" s="65">
        <v>73.699999999999989</v>
      </c>
    </row>
    <row r="217" spans="11:12" x14ac:dyDescent="0.4">
      <c r="K217" s="7">
        <v>215</v>
      </c>
      <c r="L217" s="65">
        <v>51.199999999999989</v>
      </c>
    </row>
    <row r="218" spans="11:12" x14ac:dyDescent="0.4">
      <c r="K218" s="7">
        <v>216</v>
      </c>
      <c r="L218" s="65">
        <v>-1.4210854715202004E-14</v>
      </c>
    </row>
    <row r="219" spans="11:12" x14ac:dyDescent="0.4">
      <c r="K219" s="7">
        <v>217</v>
      </c>
      <c r="L219" s="65">
        <v>-65.200000000000017</v>
      </c>
    </row>
    <row r="220" spans="11:12" x14ac:dyDescent="0.4">
      <c r="K220" s="7">
        <v>218</v>
      </c>
      <c r="L220" s="65">
        <v>-45.800000000000018</v>
      </c>
    </row>
    <row r="221" spans="11:12" x14ac:dyDescent="0.4">
      <c r="K221" s="7">
        <v>219</v>
      </c>
      <c r="L221" s="65">
        <v>-2.1316282072803006E-14</v>
      </c>
    </row>
    <row r="222" spans="11:12" x14ac:dyDescent="0.4">
      <c r="K222" s="7">
        <v>220</v>
      </c>
      <c r="L222" s="65">
        <v>6.4999999999999787</v>
      </c>
    </row>
    <row r="223" spans="11:12" x14ac:dyDescent="0.4">
      <c r="K223" s="7">
        <v>221</v>
      </c>
      <c r="L223" s="65">
        <v>-32.500000000000021</v>
      </c>
    </row>
    <row r="224" spans="11:12" x14ac:dyDescent="0.4">
      <c r="K224" s="7">
        <v>222</v>
      </c>
      <c r="L224" s="65">
        <v>-2.1316282072803006E-14</v>
      </c>
    </row>
    <row r="225" spans="11:12" x14ac:dyDescent="0.4">
      <c r="K225" s="7">
        <v>223</v>
      </c>
      <c r="L225" s="65">
        <v>-23.300000000000022</v>
      </c>
    </row>
    <row r="226" spans="11:12" x14ac:dyDescent="0.4">
      <c r="K226" s="7">
        <v>224</v>
      </c>
      <c r="L226" s="65">
        <v>-57.90000000000002</v>
      </c>
    </row>
    <row r="227" spans="11:12" x14ac:dyDescent="0.4">
      <c r="K227" s="7">
        <v>225</v>
      </c>
      <c r="L227" s="65">
        <v>-2.1316282072803006E-14</v>
      </c>
    </row>
    <row r="228" spans="11:12" x14ac:dyDescent="0.4">
      <c r="K228" s="7">
        <v>226</v>
      </c>
      <c r="L228" s="65">
        <v>-39.100000000000023</v>
      </c>
    </row>
    <row r="229" spans="11:12" x14ac:dyDescent="0.4">
      <c r="K229" s="7">
        <v>227</v>
      </c>
      <c r="L229" s="65">
        <v>-25.300000000000022</v>
      </c>
    </row>
    <row r="230" spans="11:12" x14ac:dyDescent="0.4">
      <c r="K230" s="7">
        <v>228</v>
      </c>
      <c r="L230" s="65">
        <v>-2.1316282072803006E-14</v>
      </c>
    </row>
    <row r="231" spans="11:12" x14ac:dyDescent="0.4">
      <c r="K231" s="7">
        <v>229</v>
      </c>
      <c r="L231" s="65">
        <v>-6.3000000000000211</v>
      </c>
    </row>
    <row r="232" spans="11:12" x14ac:dyDescent="0.4">
      <c r="K232" s="7">
        <v>230</v>
      </c>
      <c r="L232" s="65">
        <v>45.59999999999998</v>
      </c>
    </row>
    <row r="233" spans="11:12" x14ac:dyDescent="0.4">
      <c r="K233" s="7">
        <v>231</v>
      </c>
      <c r="L233" s="65">
        <v>-2.1316282072803006E-14</v>
      </c>
    </row>
    <row r="234" spans="11:12" x14ac:dyDescent="0.4">
      <c r="K234" s="7">
        <v>232</v>
      </c>
      <c r="L234" s="65">
        <v>28.499999999999979</v>
      </c>
    </row>
    <row r="235" spans="11:12" x14ac:dyDescent="0.4">
      <c r="K235" s="7">
        <v>233</v>
      </c>
      <c r="L235" s="65">
        <v>8.2999999999999794</v>
      </c>
    </row>
    <row r="236" spans="11:12" x14ac:dyDescent="0.4">
      <c r="K236" s="7">
        <v>234</v>
      </c>
      <c r="L236" s="65">
        <v>-2.1316282072803006E-14</v>
      </c>
    </row>
    <row r="237" spans="11:12" x14ac:dyDescent="0.4">
      <c r="K237" s="7">
        <v>235</v>
      </c>
      <c r="L237" s="65">
        <v>-25.700000000000021</v>
      </c>
    </row>
    <row r="238" spans="11:12" x14ac:dyDescent="0.4">
      <c r="K238" s="7">
        <v>236</v>
      </c>
      <c r="L238" s="65">
        <v>-18.600000000000023</v>
      </c>
    </row>
    <row r="239" spans="11:12" x14ac:dyDescent="0.4">
      <c r="K239" s="7">
        <v>237</v>
      </c>
      <c r="L239" s="65">
        <v>-2.1316282072803006E-14</v>
      </c>
    </row>
    <row r="240" spans="11:12" x14ac:dyDescent="0.4">
      <c r="K240" s="7">
        <v>238</v>
      </c>
      <c r="L240" s="65">
        <v>-1.4000000000000212</v>
      </c>
    </row>
    <row r="241" spans="11:12" x14ac:dyDescent="0.4">
      <c r="K241" s="7">
        <v>239</v>
      </c>
      <c r="L241" s="65">
        <v>21.799999999999979</v>
      </c>
    </row>
    <row r="242" spans="11:12" x14ac:dyDescent="0.4">
      <c r="K242" s="7">
        <v>240</v>
      </c>
      <c r="L242" s="65">
        <v>-2.1316282072803006E-14</v>
      </c>
    </row>
    <row r="243" spans="11:12" x14ac:dyDescent="0.4">
      <c r="K243" s="7">
        <v>241</v>
      </c>
      <c r="L243" s="65">
        <v>-33.000000000000021</v>
      </c>
    </row>
    <row r="244" spans="11:12" x14ac:dyDescent="0.4">
      <c r="K244" s="7">
        <v>242</v>
      </c>
      <c r="L244" s="65">
        <v>-40.90000000000002</v>
      </c>
    </row>
    <row r="245" spans="11:12" x14ac:dyDescent="0.4">
      <c r="K245" s="7">
        <v>243</v>
      </c>
      <c r="L245" s="65">
        <v>-2.1316282072803006E-14</v>
      </c>
    </row>
    <row r="246" spans="11:12" x14ac:dyDescent="0.4">
      <c r="K246" s="7">
        <v>244</v>
      </c>
      <c r="L246" s="65">
        <v>-3.4000000000000212</v>
      </c>
    </row>
    <row r="247" spans="11:12" x14ac:dyDescent="0.4">
      <c r="K247" s="7">
        <v>245</v>
      </c>
      <c r="L247" s="65">
        <v>14.499999999999977</v>
      </c>
    </row>
    <row r="248" spans="11:12" x14ac:dyDescent="0.4">
      <c r="K248" s="7">
        <v>246</v>
      </c>
      <c r="L248" s="65">
        <v>-2.3092638912203256E-14</v>
      </c>
    </row>
    <row r="249" spans="11:12" x14ac:dyDescent="0.4">
      <c r="K249" s="7">
        <v>247</v>
      </c>
      <c r="L249" s="65">
        <v>-29.800000000000026</v>
      </c>
    </row>
    <row r="250" spans="11:12" x14ac:dyDescent="0.4">
      <c r="K250" s="7">
        <v>248</v>
      </c>
      <c r="L250" s="65">
        <v>4.099999999999973</v>
      </c>
    </row>
    <row r="251" spans="11:12" x14ac:dyDescent="0.4">
      <c r="K251" s="7">
        <v>249</v>
      </c>
      <c r="L251" s="65">
        <v>-2.6645352591003757E-14</v>
      </c>
    </row>
    <row r="252" spans="11:12" x14ac:dyDescent="0.4">
      <c r="K252" s="7">
        <v>250</v>
      </c>
      <c r="L252" s="65">
        <v>13.499999999999973</v>
      </c>
    </row>
    <row r="253" spans="11:12" x14ac:dyDescent="0.4">
      <c r="K253" s="7">
        <v>251</v>
      </c>
      <c r="L253" s="65">
        <v>-34.500000000000028</v>
      </c>
    </row>
    <row r="254" spans="11:12" x14ac:dyDescent="0.4">
      <c r="K254" s="7">
        <v>252</v>
      </c>
      <c r="L254" s="65">
        <v>-2.8421709430404007E-14</v>
      </c>
    </row>
    <row r="255" spans="11:12" x14ac:dyDescent="0.4">
      <c r="K255" s="7">
        <v>253</v>
      </c>
      <c r="L255" s="65">
        <v>-46.300000000000026</v>
      </c>
    </row>
    <row r="256" spans="11:12" x14ac:dyDescent="0.4">
      <c r="K256" s="7">
        <v>254</v>
      </c>
      <c r="L256" s="65">
        <v>-43.500000000000028</v>
      </c>
    </row>
    <row r="257" spans="11:12" x14ac:dyDescent="0.4">
      <c r="K257" s="7">
        <v>255</v>
      </c>
      <c r="L257" s="65">
        <v>-2.8421709430404007E-14</v>
      </c>
    </row>
    <row r="258" spans="11:12" x14ac:dyDescent="0.4">
      <c r="K258" s="7">
        <v>256</v>
      </c>
      <c r="L258" s="65">
        <v>-23.60000000000003</v>
      </c>
    </row>
    <row r="259" spans="11:12" x14ac:dyDescent="0.4">
      <c r="K259" s="7">
        <v>257</v>
      </c>
      <c r="L259" s="65">
        <v>45.499999999999964</v>
      </c>
    </row>
    <row r="260" spans="11:12" x14ac:dyDescent="0.4">
      <c r="K260" s="7">
        <v>258</v>
      </c>
      <c r="L260" s="65">
        <v>-3.5527136788005009E-14</v>
      </c>
    </row>
    <row r="261" spans="11:12" x14ac:dyDescent="0.4">
      <c r="K261" s="7">
        <v>259</v>
      </c>
      <c r="L261" s="65">
        <v>3.3999999999999644</v>
      </c>
    </row>
    <row r="262" spans="11:12" x14ac:dyDescent="0.4">
      <c r="K262" s="7">
        <v>260</v>
      </c>
      <c r="L262" s="65">
        <v>-15.300000000000034</v>
      </c>
    </row>
    <row r="263" spans="11:12" x14ac:dyDescent="0.4">
      <c r="K263" s="7">
        <v>261</v>
      </c>
      <c r="L263" s="65">
        <v>-3.3750779948604759E-14</v>
      </c>
    </row>
    <row r="264" spans="11:12" x14ac:dyDescent="0.4">
      <c r="K264" s="7">
        <v>262</v>
      </c>
      <c r="L264" s="65">
        <v>-20.700000000000031</v>
      </c>
    </row>
    <row r="265" spans="11:12" x14ac:dyDescent="0.4">
      <c r="K265" s="7">
        <v>263</v>
      </c>
      <c r="L265" s="65">
        <v>-19.500000000000032</v>
      </c>
    </row>
    <row r="266" spans="11:12" x14ac:dyDescent="0.4">
      <c r="K266" s="7">
        <v>264</v>
      </c>
      <c r="L266" s="65">
        <v>-3.1974423109204508E-14</v>
      </c>
    </row>
    <row r="267" spans="11:12" x14ac:dyDescent="0.4">
      <c r="K267" s="7">
        <v>265</v>
      </c>
      <c r="L267" s="65">
        <v>-8.9000000000000323</v>
      </c>
    </row>
    <row r="268" spans="11:12" x14ac:dyDescent="0.4">
      <c r="K268" s="7">
        <v>266</v>
      </c>
      <c r="L268" s="65">
        <v>27.099999999999966</v>
      </c>
    </row>
    <row r="269" spans="11:12" x14ac:dyDescent="0.4">
      <c r="K269" s="7">
        <v>267</v>
      </c>
      <c r="L269" s="65">
        <v>-3.5527136788005009E-14</v>
      </c>
    </row>
    <row r="270" spans="11:12" x14ac:dyDescent="0.4">
      <c r="K270" s="7">
        <v>268</v>
      </c>
      <c r="L270" s="65">
        <v>-15.700000000000035</v>
      </c>
    </row>
    <row r="271" spans="11:12" x14ac:dyDescent="0.4">
      <c r="K271" s="7">
        <v>269</v>
      </c>
      <c r="L271" s="65">
        <v>4.6999999999999638</v>
      </c>
    </row>
    <row r="272" spans="11:12" x14ac:dyDescent="0.4">
      <c r="K272" s="7">
        <v>270</v>
      </c>
      <c r="L272" s="65">
        <v>-3.6415315207705135E-14</v>
      </c>
    </row>
    <row r="273" spans="11:12" x14ac:dyDescent="0.4">
      <c r="K273" s="7">
        <v>271</v>
      </c>
      <c r="L273" s="65">
        <v>-16.000000000000036</v>
      </c>
    </row>
    <row r="274" spans="11:12" x14ac:dyDescent="0.4">
      <c r="K274" s="7">
        <v>272</v>
      </c>
      <c r="L274" s="65">
        <v>1.4999999999999645</v>
      </c>
    </row>
    <row r="275" spans="11:12" x14ac:dyDescent="0.4">
      <c r="K275" s="7">
        <v>273</v>
      </c>
      <c r="L275" s="65">
        <v>-3.5527136788005009E-14</v>
      </c>
    </row>
    <row r="276" spans="11:12" x14ac:dyDescent="0.4">
      <c r="K276" s="7">
        <v>274</v>
      </c>
      <c r="L276" s="65">
        <v>-34.800000000000033</v>
      </c>
    </row>
    <row r="277" spans="11:12" x14ac:dyDescent="0.4">
      <c r="K277" s="7">
        <v>275</v>
      </c>
      <c r="L277" s="65">
        <v>-50.800000000000033</v>
      </c>
    </row>
    <row r="278" spans="11:12" x14ac:dyDescent="0.4">
      <c r="K278" s="7">
        <v>276</v>
      </c>
      <c r="L278" s="65">
        <v>-3.5527136788005009E-14</v>
      </c>
    </row>
    <row r="279" spans="11:12" x14ac:dyDescent="0.4">
      <c r="K279" s="7">
        <v>277</v>
      </c>
      <c r="L279" s="65">
        <v>33.199999999999967</v>
      </c>
    </row>
    <row r="280" spans="11:12" x14ac:dyDescent="0.4">
      <c r="K280" s="7">
        <v>278</v>
      </c>
      <c r="L280" s="65">
        <v>41.599999999999966</v>
      </c>
    </row>
    <row r="281" spans="11:12" x14ac:dyDescent="0.4">
      <c r="K281" s="7">
        <v>279</v>
      </c>
      <c r="L281" s="65">
        <v>-3.5527136788005009E-14</v>
      </c>
    </row>
    <row r="282" spans="11:12" x14ac:dyDescent="0.4">
      <c r="K282" s="7">
        <v>280</v>
      </c>
      <c r="L282" s="65">
        <v>11.899999999999965</v>
      </c>
    </row>
    <row r="283" spans="11:12" x14ac:dyDescent="0.4">
      <c r="K283" s="7">
        <v>281</v>
      </c>
      <c r="L283" s="65">
        <v>36.199999999999967</v>
      </c>
    </row>
    <row r="284" spans="11:12" x14ac:dyDescent="0.4">
      <c r="K284" s="7">
        <v>282</v>
      </c>
      <c r="L284" s="65">
        <v>-3.5527136788005009E-14</v>
      </c>
    </row>
    <row r="285" spans="11:12" x14ac:dyDescent="0.4">
      <c r="K285" s="7">
        <v>283</v>
      </c>
      <c r="L285" s="65">
        <v>6.1999999999999647</v>
      </c>
    </row>
    <row r="286" spans="11:12" x14ac:dyDescent="0.4">
      <c r="K286" s="7">
        <v>284</v>
      </c>
      <c r="L286" s="65">
        <v>-28.100000000000033</v>
      </c>
    </row>
    <row r="287" spans="11:12" x14ac:dyDescent="0.4">
      <c r="K287" s="7">
        <v>285</v>
      </c>
      <c r="L287" s="65">
        <v>-3.1974423109204508E-14</v>
      </c>
    </row>
    <row r="288" spans="11:12" x14ac:dyDescent="0.4">
      <c r="K288" s="7">
        <v>286</v>
      </c>
      <c r="L288" s="65">
        <v>-40.800000000000026</v>
      </c>
    </row>
    <row r="289" spans="11:12" x14ac:dyDescent="0.4">
      <c r="K289" s="7">
        <v>287</v>
      </c>
      <c r="L289" s="65">
        <v>-33.700000000000024</v>
      </c>
    </row>
    <row r="290" spans="11:12" x14ac:dyDescent="0.4">
      <c r="K290" s="7">
        <v>288</v>
      </c>
      <c r="L290" s="65">
        <v>-2.1316282072803006E-14</v>
      </c>
    </row>
    <row r="291" spans="11:12" x14ac:dyDescent="0.4">
      <c r="K291" s="7">
        <v>289</v>
      </c>
      <c r="L291" s="65">
        <v>0.99999999999997868</v>
      </c>
    </row>
    <row r="292" spans="11:12" x14ac:dyDescent="0.4">
      <c r="K292" s="7">
        <v>290</v>
      </c>
      <c r="L292" s="65">
        <v>-24.40000000000002</v>
      </c>
    </row>
    <row r="293" spans="11:12" x14ac:dyDescent="0.4">
      <c r="K293" s="7">
        <v>291</v>
      </c>
      <c r="L293" s="65">
        <v>-2.1316282072803006E-14</v>
      </c>
    </row>
    <row r="294" spans="11:12" x14ac:dyDescent="0.4">
      <c r="K294" s="7">
        <v>292</v>
      </c>
      <c r="L294" s="65">
        <v>-0.10000000000002132</v>
      </c>
    </row>
    <row r="295" spans="11:12" x14ac:dyDescent="0.4">
      <c r="K295" s="7">
        <v>293</v>
      </c>
      <c r="L295" s="65">
        <v>-19.400000000000023</v>
      </c>
    </row>
    <row r="296" spans="11:12" x14ac:dyDescent="0.4">
      <c r="K296" s="7">
        <v>294</v>
      </c>
      <c r="L296" s="65">
        <v>-2.4868995751603507E-14</v>
      </c>
    </row>
    <row r="297" spans="11:12" x14ac:dyDescent="0.4">
      <c r="K297" s="7">
        <v>295</v>
      </c>
      <c r="L297" s="65">
        <v>60.499999999999972</v>
      </c>
    </row>
    <row r="298" spans="11:12" x14ac:dyDescent="0.4">
      <c r="K298" s="7">
        <v>296</v>
      </c>
      <c r="L298" s="65">
        <v>54.699999999999974</v>
      </c>
    </row>
    <row r="299" spans="11:12" x14ac:dyDescent="0.4">
      <c r="K299" s="7">
        <v>297</v>
      </c>
      <c r="L299" s="65">
        <v>-2.8421709430404007E-14</v>
      </c>
    </row>
    <row r="300" spans="11:12" x14ac:dyDescent="0.4">
      <c r="K300" s="7">
        <v>298</v>
      </c>
      <c r="L300" s="65">
        <v>20.199999999999971</v>
      </c>
    </row>
    <row r="301" spans="11:12" x14ac:dyDescent="0.4">
      <c r="K301" s="7">
        <v>299</v>
      </c>
      <c r="L301" s="65">
        <v>18.199999999999971</v>
      </c>
    </row>
    <row r="302" spans="11:12" x14ac:dyDescent="0.4">
      <c r="K302" s="7">
        <v>300</v>
      </c>
      <c r="L302" s="65">
        <v>-2.8421709430404007E-14</v>
      </c>
    </row>
    <row r="303" spans="11:12" x14ac:dyDescent="0.4">
      <c r="K303" s="7">
        <v>301</v>
      </c>
      <c r="L303" s="65">
        <v>-27.500000000000028</v>
      </c>
    </row>
    <row r="304" spans="11:12" x14ac:dyDescent="0.4">
      <c r="K304" s="7">
        <v>302</v>
      </c>
      <c r="L304" s="65">
        <v>-19.10000000000003</v>
      </c>
    </row>
    <row r="305" spans="11:12" x14ac:dyDescent="0.4">
      <c r="K305" s="7">
        <v>303</v>
      </c>
      <c r="L305" s="65">
        <v>-2.8421709430404007E-14</v>
      </c>
    </row>
    <row r="306" spans="11:12" x14ac:dyDescent="0.4">
      <c r="K306" s="7">
        <v>304</v>
      </c>
      <c r="L306" s="65">
        <v>29.499999999999972</v>
      </c>
    </row>
    <row r="307" spans="11:12" x14ac:dyDescent="0.4">
      <c r="K307" s="7">
        <v>305</v>
      </c>
      <c r="L307" s="65">
        <v>30.799999999999972</v>
      </c>
    </row>
    <row r="308" spans="11:12" x14ac:dyDescent="0.4">
      <c r="K308" s="7">
        <v>306</v>
      </c>
      <c r="L308" s="65">
        <v>-2.8421709430404007E-14</v>
      </c>
    </row>
    <row r="309" spans="11:12" x14ac:dyDescent="0.4">
      <c r="K309" s="7">
        <v>307</v>
      </c>
      <c r="L309" s="65">
        <v>14.099999999999971</v>
      </c>
    </row>
    <row r="310" spans="11:12" x14ac:dyDescent="0.4">
      <c r="K310" s="7">
        <v>308</v>
      </c>
      <c r="L310" s="65">
        <v>50.299999999999976</v>
      </c>
    </row>
    <row r="311" spans="11:12" x14ac:dyDescent="0.4">
      <c r="K311" s="7">
        <v>309</v>
      </c>
      <c r="L311" s="65">
        <v>-2.1316282072803006E-14</v>
      </c>
    </row>
    <row r="312" spans="11:12" x14ac:dyDescent="0.4">
      <c r="K312" s="7">
        <v>310</v>
      </c>
      <c r="L312" s="65">
        <v>8.399999999999979</v>
      </c>
    </row>
    <row r="313" spans="11:12" x14ac:dyDescent="0.4">
      <c r="K313" s="7">
        <v>311</v>
      </c>
      <c r="L313" s="65">
        <v>42.499999999999979</v>
      </c>
    </row>
    <row r="314" spans="11:12" x14ac:dyDescent="0.4">
      <c r="K314" s="7">
        <v>312</v>
      </c>
      <c r="L314" s="65">
        <v>-2.1316282072803006E-14</v>
      </c>
    </row>
    <row r="315" spans="11:12" x14ac:dyDescent="0.4">
      <c r="K315" s="7">
        <v>313</v>
      </c>
      <c r="L315" s="65">
        <v>-19.200000000000021</v>
      </c>
    </row>
    <row r="316" spans="11:12" x14ac:dyDescent="0.4">
      <c r="K316" s="7">
        <v>314</v>
      </c>
      <c r="L316" s="65">
        <v>-15.80000000000002</v>
      </c>
    </row>
    <row r="317" spans="11:12" x14ac:dyDescent="0.4">
      <c r="K317" s="7">
        <v>315</v>
      </c>
      <c r="L317" s="65">
        <v>-1.9539925233402755E-14</v>
      </c>
    </row>
    <row r="318" spans="11:12" x14ac:dyDescent="0.4">
      <c r="K318" s="7">
        <v>316</v>
      </c>
      <c r="L318" s="65">
        <v>7.0999999999999801</v>
      </c>
    </row>
    <row r="319" spans="11:12" x14ac:dyDescent="0.4">
      <c r="K319" s="7">
        <v>317</v>
      </c>
      <c r="L319" s="65">
        <v>28.199999999999982</v>
      </c>
    </row>
    <row r="320" spans="11:12" x14ac:dyDescent="0.4">
      <c r="K320" s="7">
        <v>318</v>
      </c>
      <c r="L320" s="65">
        <v>-1.7763568394002505E-14</v>
      </c>
    </row>
    <row r="321" spans="11:12" x14ac:dyDescent="0.4">
      <c r="K321" s="7">
        <v>319</v>
      </c>
      <c r="L321" s="65">
        <v>-20.400000000000016</v>
      </c>
    </row>
    <row r="322" spans="11:12" x14ac:dyDescent="0.4">
      <c r="K322" s="7">
        <v>320</v>
      </c>
      <c r="L322" s="65">
        <v>-16.300000000000018</v>
      </c>
    </row>
    <row r="323" spans="11:12" x14ac:dyDescent="0.4">
      <c r="K323" s="7">
        <v>321</v>
      </c>
      <c r="L323" s="65">
        <v>-1.7763568394002505E-14</v>
      </c>
    </row>
    <row r="324" spans="11:12" x14ac:dyDescent="0.4">
      <c r="K324" s="7">
        <v>322</v>
      </c>
      <c r="L324" s="65">
        <v>4.7999999999999821</v>
      </c>
    </row>
    <row r="325" spans="11:12" x14ac:dyDescent="0.4">
      <c r="K325" s="7">
        <v>323</v>
      </c>
      <c r="L325" s="65">
        <v>-28.500000000000014</v>
      </c>
    </row>
    <row r="326" spans="11:12" x14ac:dyDescent="0.4">
      <c r="K326" s="7">
        <v>324</v>
      </c>
      <c r="L326" s="65">
        <v>-1.4210854715202004E-14</v>
      </c>
    </row>
    <row r="327" spans="11:12" x14ac:dyDescent="0.4">
      <c r="K327" s="7">
        <v>325</v>
      </c>
      <c r="L327" s="65">
        <v>29.499999999999986</v>
      </c>
    </row>
    <row r="328" spans="11:12" x14ac:dyDescent="0.4">
      <c r="K328" s="7">
        <v>326</v>
      </c>
      <c r="L328" s="65">
        <v>23.099999999999987</v>
      </c>
    </row>
    <row r="329" spans="11:12" x14ac:dyDescent="0.4">
      <c r="K329" s="7">
        <v>327</v>
      </c>
      <c r="L329" s="65">
        <v>-1.4210854715202004E-14</v>
      </c>
    </row>
    <row r="330" spans="11:12" x14ac:dyDescent="0.4">
      <c r="K330" s="7">
        <v>328</v>
      </c>
      <c r="L330" s="65">
        <v>-6.7000000000000144</v>
      </c>
    </row>
    <row r="331" spans="11:12" x14ac:dyDescent="0.4">
      <c r="K331" s="7">
        <v>329</v>
      </c>
      <c r="L331" s="65">
        <v>23.899999999999988</v>
      </c>
    </row>
    <row r="332" spans="11:12" x14ac:dyDescent="0.4">
      <c r="K332" s="7">
        <v>330</v>
      </c>
      <c r="L332" s="65">
        <v>-1.0658141036401503E-14</v>
      </c>
    </row>
    <row r="333" spans="11:12" x14ac:dyDescent="0.4">
      <c r="K333" s="7">
        <v>331</v>
      </c>
      <c r="L333" s="65">
        <v>-20.900000000000009</v>
      </c>
    </row>
    <row r="334" spans="11:12" x14ac:dyDescent="0.4">
      <c r="K334" s="7">
        <v>332</v>
      </c>
      <c r="L334" s="65">
        <v>3.4999999999999893</v>
      </c>
    </row>
    <row r="335" spans="11:12" x14ac:dyDescent="0.4">
      <c r="K335" s="7">
        <v>333</v>
      </c>
      <c r="L335" s="65">
        <v>-1.0658141036401503E-14</v>
      </c>
    </row>
    <row r="336" spans="11:12" x14ac:dyDescent="0.4">
      <c r="K336" s="7">
        <v>334</v>
      </c>
      <c r="L336" s="65">
        <v>-46.800000000000011</v>
      </c>
    </row>
    <row r="337" spans="11:12" x14ac:dyDescent="0.4">
      <c r="K337" s="7">
        <v>335</v>
      </c>
      <c r="L337" s="65">
        <v>-44.900000000000013</v>
      </c>
    </row>
    <row r="338" spans="11:12" x14ac:dyDescent="0.4">
      <c r="K338" s="7">
        <v>336</v>
      </c>
      <c r="L338" s="65">
        <v>-1.4210854715202004E-14</v>
      </c>
    </row>
    <row r="339" spans="11:12" x14ac:dyDescent="0.4">
      <c r="K339" s="7">
        <v>337</v>
      </c>
      <c r="L339" s="65">
        <v>32.399999999999984</v>
      </c>
    </row>
    <row r="340" spans="11:12" x14ac:dyDescent="0.4">
      <c r="K340" s="7">
        <v>338</v>
      </c>
      <c r="L340" s="65">
        <v>32.199999999999982</v>
      </c>
    </row>
    <row r="341" spans="11:12" x14ac:dyDescent="0.4">
      <c r="K341" s="7">
        <v>339</v>
      </c>
      <c r="L341" s="65">
        <v>-2.1316282072803006E-14</v>
      </c>
    </row>
    <row r="342" spans="11:12" x14ac:dyDescent="0.4">
      <c r="K342" s="7">
        <v>340</v>
      </c>
      <c r="L342" s="65">
        <v>36.59999999999998</v>
      </c>
    </row>
    <row r="343" spans="11:12" x14ac:dyDescent="0.4">
      <c r="K343" s="7">
        <v>341</v>
      </c>
      <c r="L343" s="65">
        <v>-10.200000000000017</v>
      </c>
    </row>
    <row r="344" spans="11:12" x14ac:dyDescent="0.4">
      <c r="K344" s="7">
        <v>342</v>
      </c>
      <c r="L344" s="65">
        <v>-1.7763568394002505E-14</v>
      </c>
    </row>
    <row r="345" spans="11:12" x14ac:dyDescent="0.4">
      <c r="K345" s="7">
        <v>343</v>
      </c>
      <c r="L345" s="65">
        <v>-40.100000000000023</v>
      </c>
    </row>
    <row r="346" spans="11:12" x14ac:dyDescent="0.4">
      <c r="K346" s="7">
        <v>344</v>
      </c>
      <c r="L346" s="65">
        <v>-33.000000000000021</v>
      </c>
    </row>
    <row r="347" spans="11:12" x14ac:dyDescent="0.4">
      <c r="K347" s="7">
        <v>345</v>
      </c>
      <c r="L347" s="65">
        <v>-2.1316282072803006E-14</v>
      </c>
    </row>
    <row r="348" spans="11:12" x14ac:dyDescent="0.4">
      <c r="K348" s="7">
        <v>346</v>
      </c>
      <c r="L348" s="65">
        <v>-28.500000000000021</v>
      </c>
    </row>
    <row r="349" spans="11:12" x14ac:dyDescent="0.4">
      <c r="K349" s="7">
        <v>347</v>
      </c>
      <c r="L349" s="65">
        <v>-35.700000000000024</v>
      </c>
    </row>
    <row r="350" spans="11:12" x14ac:dyDescent="0.4">
      <c r="K350" s="7">
        <v>348</v>
      </c>
      <c r="L350" s="65">
        <v>-2.1316282072803006E-14</v>
      </c>
    </row>
    <row r="351" spans="11:12" x14ac:dyDescent="0.4">
      <c r="K351" s="7">
        <v>349</v>
      </c>
      <c r="L351" s="65">
        <v>51.09999999999998</v>
      </c>
    </row>
    <row r="352" spans="11:12" x14ac:dyDescent="0.4">
      <c r="K352" s="7">
        <v>350</v>
      </c>
      <c r="L352" s="65">
        <v>48.699999999999982</v>
      </c>
    </row>
    <row r="353" spans="11:12" x14ac:dyDescent="0.4">
      <c r="K353" s="7">
        <v>351</v>
      </c>
      <c r="L353" s="65">
        <v>-2.1316282072803006E-14</v>
      </c>
    </row>
    <row r="354" spans="11:12" x14ac:dyDescent="0.4">
      <c r="K354" s="7">
        <v>352</v>
      </c>
      <c r="L354" s="65">
        <v>-54.500000000000021</v>
      </c>
    </row>
    <row r="355" spans="11:12" x14ac:dyDescent="0.4">
      <c r="K355" s="7">
        <v>353</v>
      </c>
      <c r="L355" s="65">
        <v>27.899999999999984</v>
      </c>
    </row>
    <row r="356" spans="11:12" x14ac:dyDescent="0.4">
      <c r="K356" s="7">
        <v>354</v>
      </c>
      <c r="L356" s="65">
        <v>-1.4210854715202004E-14</v>
      </c>
    </row>
    <row r="357" spans="11:12" x14ac:dyDescent="0.4">
      <c r="K357" s="7">
        <v>355</v>
      </c>
      <c r="L357" s="65">
        <v>26.599999999999987</v>
      </c>
    </row>
    <row r="358" spans="11:12" x14ac:dyDescent="0.4">
      <c r="K358" s="7">
        <v>356</v>
      </c>
      <c r="L358" s="65">
        <v>5.8999999999999879</v>
      </c>
    </row>
    <row r="359" spans="11:12" x14ac:dyDescent="0.4">
      <c r="K359" s="7">
        <v>357</v>
      </c>
      <c r="L359" s="65">
        <v>-1.2434497875801753E-14</v>
      </c>
    </row>
    <row r="360" spans="11:12" x14ac:dyDescent="0.4">
      <c r="K360" s="7">
        <v>358</v>
      </c>
      <c r="L360" s="65">
        <v>-38.900000000000013</v>
      </c>
    </row>
    <row r="361" spans="11:12" x14ac:dyDescent="0.4">
      <c r="K361" s="7">
        <v>359</v>
      </c>
      <c r="L361" s="65">
        <v>-30.600000000000012</v>
      </c>
    </row>
    <row r="362" spans="11:12" x14ac:dyDescent="0.4">
      <c r="K362" s="7">
        <v>360</v>
      </c>
      <c r="L362" s="65">
        <v>-1.0658141036401503E-14</v>
      </c>
    </row>
    <row r="363" spans="11:12" x14ac:dyDescent="0.4">
      <c r="K363" s="7">
        <v>361</v>
      </c>
      <c r="L363" s="65">
        <v>-25.70000000000001</v>
      </c>
    </row>
    <row r="364" spans="11:12" x14ac:dyDescent="0.4">
      <c r="K364" s="7">
        <v>362</v>
      </c>
      <c r="L364" s="65">
        <v>-18.70000000000001</v>
      </c>
    </row>
    <row r="365" spans="11:12" x14ac:dyDescent="0.4">
      <c r="K365" s="7">
        <v>363</v>
      </c>
      <c r="L365" s="65">
        <v>-1.0658141036401503E-14</v>
      </c>
    </row>
    <row r="366" spans="11:12" x14ac:dyDescent="0.4">
      <c r="K366" s="7">
        <v>364</v>
      </c>
      <c r="L366" s="65">
        <v>-42.400000000000006</v>
      </c>
    </row>
    <row r="367" spans="11:12" x14ac:dyDescent="0.4">
      <c r="K367" s="7">
        <v>365</v>
      </c>
      <c r="L367" s="65">
        <v>5.2999999999999972</v>
      </c>
    </row>
    <row r="368" spans="11:12" x14ac:dyDescent="0.4">
      <c r="K368" s="7">
        <v>366</v>
      </c>
      <c r="L368" s="65">
        <v>-2.6645352591003757E-15</v>
      </c>
    </row>
    <row r="369" spans="11:12" x14ac:dyDescent="0.4">
      <c r="K369" s="7">
        <v>367</v>
      </c>
      <c r="L369" s="65">
        <v>1.1999999999999973</v>
      </c>
    </row>
    <row r="370" spans="11:12" x14ac:dyDescent="0.4">
      <c r="K370" s="7">
        <v>368</v>
      </c>
      <c r="L370" s="65">
        <v>18.399999999999995</v>
      </c>
    </row>
    <row r="371" spans="11:12" x14ac:dyDescent="0.4">
      <c r="K371" s="7">
        <v>369</v>
      </c>
      <c r="L371" s="65">
        <v>-3.5527136788005009E-15</v>
      </c>
    </row>
    <row r="372" spans="11:12" x14ac:dyDescent="0.4">
      <c r="K372" s="7">
        <v>370</v>
      </c>
      <c r="L372" s="65">
        <v>14.599999999999996</v>
      </c>
    </row>
    <row r="373" spans="11:12" x14ac:dyDescent="0.4">
      <c r="K373" s="7">
        <v>371</v>
      </c>
      <c r="L373" s="65">
        <v>15.199999999999996</v>
      </c>
    </row>
    <row r="374" spans="11:12" x14ac:dyDescent="0.4">
      <c r="K374" s="7">
        <v>372</v>
      </c>
      <c r="L374" s="65">
        <v>-3.5527136788005009E-15</v>
      </c>
    </row>
    <row r="375" spans="11:12" x14ac:dyDescent="0.4">
      <c r="K375" s="7">
        <v>373</v>
      </c>
      <c r="L375" s="65">
        <v>-35</v>
      </c>
    </row>
    <row r="376" spans="11:12" x14ac:dyDescent="0.4">
      <c r="K376" s="7">
        <v>374</v>
      </c>
      <c r="L376" s="65">
        <v>-8.3999999999999986</v>
      </c>
    </row>
    <row r="377" spans="11:12" x14ac:dyDescent="0.4">
      <c r="K377" s="7">
        <v>375</v>
      </c>
      <c r="L377" s="65">
        <v>1.7763568394002505E-15</v>
      </c>
    </row>
    <row r="378" spans="11:12" x14ac:dyDescent="0.4">
      <c r="K378" s="7">
        <v>376</v>
      </c>
      <c r="L378" s="65">
        <v>23.200000000000003</v>
      </c>
    </row>
    <row r="379" spans="11:12" x14ac:dyDescent="0.4">
      <c r="K379" s="7">
        <v>377</v>
      </c>
      <c r="L379" s="65">
        <v>16.900000000000002</v>
      </c>
    </row>
    <row r="380" spans="11:12" x14ac:dyDescent="0.4">
      <c r="K380" s="7">
        <v>378</v>
      </c>
      <c r="L380" s="65">
        <v>3.5527136788005009E-15</v>
      </c>
    </row>
    <row r="381" spans="11:12" x14ac:dyDescent="0.4">
      <c r="K381" s="7">
        <v>379</v>
      </c>
      <c r="L381" s="65">
        <v>-4.9999999999999964</v>
      </c>
    </row>
    <row r="382" spans="11:12" x14ac:dyDescent="0.4">
      <c r="K382" s="7">
        <v>380</v>
      </c>
      <c r="L382" s="65">
        <v>-51</v>
      </c>
    </row>
    <row r="383" spans="11:12" x14ac:dyDescent="0.4">
      <c r="K383" s="7">
        <v>381</v>
      </c>
      <c r="L383" s="65">
        <v>0</v>
      </c>
    </row>
    <row r="384" spans="11:12" x14ac:dyDescent="0.4">
      <c r="K384" s="7">
        <v>382</v>
      </c>
      <c r="L384" s="65">
        <v>56.6</v>
      </c>
    </row>
    <row r="385" spans="11:12" x14ac:dyDescent="0.4">
      <c r="K385" s="7">
        <v>383</v>
      </c>
      <c r="L385" s="65">
        <v>20.800000000000004</v>
      </c>
    </row>
    <row r="386" spans="11:12" x14ac:dyDescent="0.4">
      <c r="K386" s="7">
        <v>384</v>
      </c>
      <c r="L386" s="65">
        <v>3.5527136788005009E-15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64370-F01B-455F-8A0D-00CE0CEBA866}">
  <sheetPr codeName="Sheet7"/>
  <dimension ref="A1:Q7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69</v>
      </c>
      <c r="C2" s="132"/>
      <c r="E2" s="28" t="s">
        <v>66</v>
      </c>
      <c r="F2" s="25" t="s">
        <v>22</v>
      </c>
      <c r="G2" s="13">
        <v>134</v>
      </c>
      <c r="H2" s="91">
        <f>IF(B$19=0,0,G2/B$19)</f>
        <v>0.89333333333333331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-968.18181818181813</v>
      </c>
      <c r="P2" s="80">
        <v>66</v>
      </c>
      <c r="Q2" s="67">
        <v>-63900</v>
      </c>
    </row>
    <row r="3" spans="1:17" x14ac:dyDescent="0.4">
      <c r="A3" s="21" t="s">
        <v>8</v>
      </c>
      <c r="B3" s="133">
        <v>552</v>
      </c>
      <c r="C3" s="134"/>
      <c r="E3" s="29" t="s">
        <v>72</v>
      </c>
      <c r="F3" s="26" t="s">
        <v>27</v>
      </c>
      <c r="G3" s="14">
        <v>81</v>
      </c>
      <c r="H3" s="92">
        <f>IF(B$19=0,0,G3/B$19)</f>
        <v>0.54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-1648.5294117647059</v>
      </c>
      <c r="P3" s="81">
        <v>68</v>
      </c>
      <c r="Q3" s="68">
        <v>-112100</v>
      </c>
    </row>
    <row r="4" spans="1:17" x14ac:dyDescent="0.4">
      <c r="A4" s="21" t="s">
        <v>6</v>
      </c>
      <c r="B4" s="135">
        <v>-17.600000000000044</v>
      </c>
      <c r="C4" s="136"/>
      <c r="E4" s="29" t="s">
        <v>64</v>
      </c>
      <c r="F4" s="26" t="s">
        <v>20</v>
      </c>
      <c r="G4" s="14">
        <v>79</v>
      </c>
      <c r="H4" s="92">
        <f>IF(B$19=0,0,G4/B$19)</f>
        <v>0.52666666666666662</v>
      </c>
      <c r="I4" s="60">
        <v>6</v>
      </c>
      <c r="K4" s="7">
        <v>2</v>
      </c>
      <c r="L4" s="65">
        <v>32.9</v>
      </c>
      <c r="N4" s="78" t="s">
        <v>130</v>
      </c>
      <c r="O4" s="84">
        <f t="shared" si="0"/>
        <v>250.79365079365078</v>
      </c>
      <c r="P4" s="81">
        <v>63</v>
      </c>
      <c r="Q4" s="68">
        <v>15800</v>
      </c>
    </row>
    <row r="5" spans="1:17" x14ac:dyDescent="0.4">
      <c r="A5" s="21" t="s">
        <v>7</v>
      </c>
      <c r="B5" s="123">
        <f>IF(B$2=0,0,B$4/B$2)</f>
        <v>-0.2550724637681166</v>
      </c>
      <c r="C5" s="124"/>
      <c r="E5" s="29" t="s">
        <v>160</v>
      </c>
      <c r="F5" s="26" t="s">
        <v>161</v>
      </c>
      <c r="G5" s="14">
        <v>68</v>
      </c>
      <c r="H5" s="92">
        <f>IF(B$19=0,0,G5/B$19)</f>
        <v>0.45333333333333331</v>
      </c>
      <c r="I5" s="60">
        <v>6</v>
      </c>
      <c r="K5" s="7">
        <v>3</v>
      </c>
      <c r="L5" s="65">
        <v>61.5</v>
      </c>
      <c r="N5" s="78" t="s">
        <v>131</v>
      </c>
      <c r="O5" s="84">
        <f t="shared" si="0"/>
        <v>-1039.655172413793</v>
      </c>
      <c r="P5" s="81">
        <v>58</v>
      </c>
      <c r="Q5" s="68">
        <v>-60300</v>
      </c>
    </row>
    <row r="6" spans="1:17" x14ac:dyDescent="0.4">
      <c r="A6" s="21" t="s">
        <v>1</v>
      </c>
      <c r="B6" s="137">
        <f>IF(B$2=0,0,(B$7*1+B$8*2+B$9*3)/B$2)</f>
        <v>2.0144927536231885</v>
      </c>
      <c r="C6" s="138"/>
      <c r="E6" s="29" t="s">
        <v>68</v>
      </c>
      <c r="F6" s="26" t="s">
        <v>12</v>
      </c>
      <c r="G6" s="14">
        <v>48</v>
      </c>
      <c r="H6" s="92">
        <f>IF(B$19=0,0,G6/B$19)</f>
        <v>0.32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1273.6842105263158</v>
      </c>
      <c r="P6" s="81">
        <v>57</v>
      </c>
      <c r="Q6" s="68">
        <v>72600</v>
      </c>
    </row>
    <row r="7" spans="1:17" x14ac:dyDescent="0.4">
      <c r="A7" s="21" t="s">
        <v>2</v>
      </c>
      <c r="B7" s="14">
        <v>25</v>
      </c>
      <c r="C7" s="8">
        <f t="shared" ref="C7:C14" si="1">IF(B$2=0,0,B7/B$2)</f>
        <v>0.36231884057971014</v>
      </c>
      <c r="E7" s="29" t="s">
        <v>67</v>
      </c>
      <c r="F7" s="26" t="s">
        <v>23</v>
      </c>
      <c r="G7" s="14">
        <v>35</v>
      </c>
      <c r="H7" s="92">
        <f>IF(B$19=0,0,G7/B$19)</f>
        <v>0.23333333333333334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2834.8837209302324</v>
      </c>
      <c r="P7" s="82">
        <v>43</v>
      </c>
      <c r="Q7" s="69">
        <v>121900</v>
      </c>
    </row>
    <row r="8" spans="1:17" x14ac:dyDescent="0.4">
      <c r="A8" s="21" t="s">
        <v>3</v>
      </c>
      <c r="B8" s="14">
        <v>18</v>
      </c>
      <c r="C8" s="8">
        <f t="shared" si="1"/>
        <v>0.2608695652173913</v>
      </c>
      <c r="E8" s="29" t="s">
        <v>89</v>
      </c>
      <c r="F8" s="26" t="s">
        <v>44</v>
      </c>
      <c r="G8" s="14">
        <v>23</v>
      </c>
      <c r="H8" s="92">
        <f>IF(B$19=0,0,G8/B$19)</f>
        <v>0.15333333333333332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">
      <c r="A9" s="22" t="s">
        <v>4</v>
      </c>
      <c r="B9" s="15">
        <v>26</v>
      </c>
      <c r="C9" s="9">
        <f t="shared" si="1"/>
        <v>0.37681159420289856</v>
      </c>
      <c r="E9" s="29" t="s">
        <v>69</v>
      </c>
      <c r="F9" s="26" t="s">
        <v>24</v>
      </c>
      <c r="G9" s="14">
        <v>20</v>
      </c>
      <c r="H9" s="92">
        <f>IF(B$19=0,0,G9/B$19)</f>
        <v>0.13333333333333333</v>
      </c>
      <c r="I9" s="60">
        <v>7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39.324000000000012</v>
      </c>
      <c r="C10" s="114">
        <v>983.10000000000025</v>
      </c>
      <c r="E10" s="29" t="s">
        <v>65</v>
      </c>
      <c r="F10" s="26" t="s">
        <v>21</v>
      </c>
      <c r="G10" s="14">
        <v>19</v>
      </c>
      <c r="H10" s="92">
        <f>IF(B$19=0,0,G10/B$19)</f>
        <v>0.12666666666666668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-7.1208333333333345</v>
      </c>
      <c r="P10" s="80">
        <v>24</v>
      </c>
      <c r="Q10" s="71">
        <v>-170.90000000000003</v>
      </c>
    </row>
    <row r="11" spans="1:17" x14ac:dyDescent="0.4">
      <c r="A11" s="22" t="s">
        <v>186</v>
      </c>
      <c r="B11" s="113">
        <f>IF(B8=0,0,C11/B8)</f>
        <v>-1.4000000000000001</v>
      </c>
      <c r="C11" s="114">
        <v>-25.200000000000003</v>
      </c>
      <c r="E11" s="29" t="s">
        <v>70</v>
      </c>
      <c r="F11" s="26" t="s">
        <v>25</v>
      </c>
      <c r="G11" s="14">
        <v>18</v>
      </c>
      <c r="H11" s="92">
        <f>IF(B$19=0,0,G11/B$19)</f>
        <v>0.12</v>
      </c>
      <c r="I11" s="60">
        <v>4</v>
      </c>
      <c r="K11" s="7">
        <v>9</v>
      </c>
      <c r="L11" s="65">
        <v>33.5</v>
      </c>
      <c r="N11" s="78" t="s">
        <v>153</v>
      </c>
      <c r="O11" s="87">
        <f>IF(P11=0,0,Q11/P11)</f>
        <v>12.009090909090911</v>
      </c>
      <c r="P11" s="81">
        <v>22</v>
      </c>
      <c r="Q11" s="72">
        <v>264.20000000000005</v>
      </c>
    </row>
    <row r="12" spans="1:17" x14ac:dyDescent="0.4">
      <c r="A12" s="22" t="s">
        <v>187</v>
      </c>
      <c r="B12" s="113">
        <f>IF(B9=0,0,C12/B9)</f>
        <v>-37.519230769230759</v>
      </c>
      <c r="C12" s="114">
        <v>-975.49999999999977</v>
      </c>
      <c r="E12" s="29" t="s">
        <v>86</v>
      </c>
      <c r="F12" s="26" t="s">
        <v>41</v>
      </c>
      <c r="G12" s="14">
        <v>12</v>
      </c>
      <c r="H12" s="92">
        <f>IF(B$19=0,0,G12/B$19)</f>
        <v>0.08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-4.8217391304347812</v>
      </c>
      <c r="P12" s="82">
        <v>23</v>
      </c>
      <c r="Q12" s="73">
        <v>-110.89999999999998</v>
      </c>
    </row>
    <row r="13" spans="1:17" x14ac:dyDescent="0.4">
      <c r="A13" s="22" t="s">
        <v>188</v>
      </c>
      <c r="B13" s="123">
        <f>AVERAGE(B10:B12)</f>
        <v>0.13492307692308478</v>
      </c>
      <c r="C13" s="124"/>
      <c r="E13" s="29" t="s">
        <v>91</v>
      </c>
      <c r="F13" s="26" t="s">
        <v>46</v>
      </c>
      <c r="G13" s="14">
        <v>10</v>
      </c>
      <c r="H13" s="92">
        <f>IF(B$19=0,0,G13/B$19)</f>
        <v>6.6666666666666666E-2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</v>
      </c>
      <c r="C14" s="11">
        <f t="shared" si="1"/>
        <v>0.15942028985507245</v>
      </c>
      <c r="E14" s="29" t="s">
        <v>71</v>
      </c>
      <c r="F14" s="26" t="s">
        <v>26</v>
      </c>
      <c r="G14" s="14">
        <v>9</v>
      </c>
      <c r="H14" s="92">
        <f>IF(B$19=0,0,G14/B$19)</f>
        <v>0.06</v>
      </c>
      <c r="I14" s="60">
        <v>5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166</v>
      </c>
      <c r="C15" s="12">
        <f>IF(B$3=0,0,B15/B$3)</f>
        <v>0.30072463768115942</v>
      </c>
      <c r="E15" s="29" t="s">
        <v>81</v>
      </c>
      <c r="F15" s="26" t="s">
        <v>36</v>
      </c>
      <c r="G15" s="14">
        <v>7</v>
      </c>
      <c r="H15" s="92">
        <f>IF(B$19=0,0,G15/B$19)</f>
        <v>4.6666666666666669E-2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">
      <c r="A16" s="21" t="s">
        <v>118</v>
      </c>
      <c r="B16" s="14">
        <v>110</v>
      </c>
      <c r="C16" s="8">
        <f>IF(B$3=0,0,B16/B$3)</f>
        <v>0.19927536231884058</v>
      </c>
      <c r="E16" s="29" t="s">
        <v>78</v>
      </c>
      <c r="F16" s="26" t="s">
        <v>33</v>
      </c>
      <c r="G16" s="14">
        <v>5</v>
      </c>
      <c r="H16" s="92">
        <f>IF(B$19=0,0,G16/B$19)</f>
        <v>3.3333333333333333E-2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">
      <c r="A17" s="20" t="s">
        <v>123</v>
      </c>
      <c r="B17" s="13">
        <f>B23</f>
        <v>80</v>
      </c>
      <c r="C17" s="6">
        <f>IF(B$15=0,0,B17/B$15)</f>
        <v>0.48192771084337349</v>
      </c>
      <c r="E17" s="29" t="s">
        <v>83</v>
      </c>
      <c r="F17" s="26" t="s">
        <v>38</v>
      </c>
      <c r="G17" s="14">
        <v>5</v>
      </c>
      <c r="H17" s="92">
        <f>IF(B$19=0,0,G17/B$19)</f>
        <v>3.3333333333333333E-2</v>
      </c>
      <c r="I17" s="60">
        <v>7</v>
      </c>
      <c r="K17" s="7">
        <v>15</v>
      </c>
      <c r="L17" s="65">
        <v>-33.1</v>
      </c>
      <c r="N17" s="78" t="s">
        <v>205</v>
      </c>
      <c r="O17" s="87">
        <f>IF(P17=0,0,Q17/P17)</f>
        <v>5.4470588235294111</v>
      </c>
      <c r="P17" s="81">
        <v>17</v>
      </c>
      <c r="Q17" s="72">
        <v>92.6</v>
      </c>
    </row>
    <row r="18" spans="1:17" x14ac:dyDescent="0.4">
      <c r="A18" s="20" t="s">
        <v>124</v>
      </c>
      <c r="B18" s="13">
        <f>B24</f>
        <v>37</v>
      </c>
      <c r="C18" s="6">
        <f>IF(B$16=0,0,B18/B$16)</f>
        <v>0.33636363636363636</v>
      </c>
      <c r="E18" s="29" t="s">
        <v>79</v>
      </c>
      <c r="F18" s="26" t="s">
        <v>34</v>
      </c>
      <c r="G18" s="14">
        <v>4</v>
      </c>
      <c r="H18" s="92">
        <f>IF(B$19=0,0,G18/B$19)</f>
        <v>2.6666666666666668E-2</v>
      </c>
      <c r="I18" s="60">
        <v>4</v>
      </c>
      <c r="K18" s="7">
        <v>16</v>
      </c>
      <c r="L18" s="65">
        <v>-10.8</v>
      </c>
      <c r="N18" s="78" t="s">
        <v>192</v>
      </c>
      <c r="O18" s="87">
        <f>IF(P18=0,0,Q18/P18)</f>
        <v>2.3038461538461537</v>
      </c>
      <c r="P18" s="81">
        <v>26</v>
      </c>
      <c r="Q18" s="72">
        <v>59.899999999999991</v>
      </c>
    </row>
    <row r="19" spans="1:17" x14ac:dyDescent="0.4">
      <c r="A19" s="20" t="s">
        <v>10</v>
      </c>
      <c r="B19" s="13">
        <f>B22+B21</f>
        <v>150</v>
      </c>
      <c r="C19" s="6">
        <f>IF(B$3=0,0,B19/B$3)</f>
        <v>0.27173913043478259</v>
      </c>
      <c r="E19" s="29" t="s">
        <v>156</v>
      </c>
      <c r="F19" s="26" t="s">
        <v>157</v>
      </c>
      <c r="G19" s="14">
        <v>3</v>
      </c>
      <c r="H19" s="92">
        <f>IF(B$19=0,0,G19/B$19)</f>
        <v>0.02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>IF(P19=0,0,Q19/P19)</f>
        <v>-0.73999999999999344</v>
      </c>
      <c r="P19" s="81">
        <v>5</v>
      </c>
      <c r="Q19" s="72">
        <v>-3.6999999999999673</v>
      </c>
    </row>
    <row r="20" spans="1:17" x14ac:dyDescent="0.4">
      <c r="A20" s="21" t="s">
        <v>13</v>
      </c>
      <c r="B20" s="14">
        <v>100</v>
      </c>
      <c r="C20" s="8">
        <f>IF(B$3=0,0,B20/B$3)</f>
        <v>0.18115942028985507</v>
      </c>
      <c r="E20" s="29" t="s">
        <v>75</v>
      </c>
      <c r="F20" s="26" t="s">
        <v>30</v>
      </c>
      <c r="G20" s="14">
        <v>2</v>
      </c>
      <c r="H20" s="92">
        <f>IF(B$19=0,0,G20/B$19)</f>
        <v>1.3333333333333334E-2</v>
      </c>
      <c r="I20" s="60">
        <v>1</v>
      </c>
      <c r="K20" s="7">
        <v>18</v>
      </c>
      <c r="L20" s="65">
        <v>-69.300000000000011</v>
      </c>
      <c r="N20" s="78" t="s">
        <v>126</v>
      </c>
      <c r="O20" s="87">
        <f>IF(P20=0,0,Q20/P20)</f>
        <v>-1.0079999999999953</v>
      </c>
      <c r="P20" s="81">
        <v>50</v>
      </c>
      <c r="Q20" s="72">
        <v>-50.399999999999764</v>
      </c>
    </row>
    <row r="21" spans="1:17" x14ac:dyDescent="0.4">
      <c r="A21" s="21" t="s">
        <v>12</v>
      </c>
      <c r="B21" s="14">
        <v>68</v>
      </c>
      <c r="C21" s="8">
        <f>IF(B$19=0,0,B21/B$19)</f>
        <v>0.45333333333333331</v>
      </c>
      <c r="E21" s="29" t="s">
        <v>92</v>
      </c>
      <c r="F21" s="26" t="s">
        <v>47</v>
      </c>
      <c r="G21" s="14">
        <v>2</v>
      </c>
      <c r="H21" s="92">
        <f>IF(B$19=0,0,G21/B$19)</f>
        <v>1.3333333333333334E-2</v>
      </c>
      <c r="I21" s="60">
        <v>2</v>
      </c>
      <c r="K21" s="7">
        <v>19</v>
      </c>
      <c r="L21" s="65">
        <v>-44.500000000000014</v>
      </c>
      <c r="N21" s="78" t="s">
        <v>243</v>
      </c>
      <c r="O21" s="87">
        <f>IF(P21=0,0,Q21/P21)</f>
        <v>-6.9333333333333336</v>
      </c>
      <c r="P21" s="81">
        <v>3</v>
      </c>
      <c r="Q21" s="72">
        <v>-20.8</v>
      </c>
    </row>
    <row r="22" spans="1:17" x14ac:dyDescent="0.4">
      <c r="A22" s="21" t="s">
        <v>11</v>
      </c>
      <c r="B22" s="14">
        <v>82</v>
      </c>
      <c r="C22" s="8">
        <f>IF(B$19=0,0,B22/B$19)</f>
        <v>0.54666666666666663</v>
      </c>
      <c r="E22" s="29" t="s">
        <v>74</v>
      </c>
      <c r="F22" s="26" t="s">
        <v>29</v>
      </c>
      <c r="G22" s="14">
        <v>1</v>
      </c>
      <c r="H22" s="92">
        <f>IF(B$19=0,0,G22/B$19)</f>
        <v>6.6666666666666671E-3</v>
      </c>
      <c r="I22" s="60">
        <v>2</v>
      </c>
      <c r="K22" s="7">
        <v>20</v>
      </c>
      <c r="L22" s="65">
        <v>-72.000000000000014</v>
      </c>
      <c r="N22" s="78" t="s">
        <v>193</v>
      </c>
      <c r="O22" s="87">
        <f>IF(P22=0,0,Q22/P22)</f>
        <v>-8.5357142857142847</v>
      </c>
      <c r="P22" s="81">
        <v>14</v>
      </c>
      <c r="Q22" s="72">
        <v>-119.49999999999999</v>
      </c>
    </row>
    <row r="23" spans="1:17" x14ac:dyDescent="0.4">
      <c r="A23" s="21" t="s">
        <v>184</v>
      </c>
      <c r="B23" s="14">
        <v>80</v>
      </c>
      <c r="C23" s="8">
        <f>IF(B$19=0,0,B23/B$19)</f>
        <v>0.53333333333333333</v>
      </c>
      <c r="E23" s="29" t="s">
        <v>97</v>
      </c>
      <c r="F23" s="26" t="s">
        <v>52</v>
      </c>
      <c r="G23" s="14">
        <v>1</v>
      </c>
      <c r="H23" s="92">
        <f>IF(B$19=0,0,G23/B$19)</f>
        <v>6.6666666666666671E-3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>IF(P23=0,0,Q23/P23)</f>
        <v>-19.970000000000006</v>
      </c>
      <c r="P23" s="81">
        <v>10</v>
      </c>
      <c r="Q23" s="72">
        <v>-199.70000000000005</v>
      </c>
    </row>
    <row r="24" spans="1:17" x14ac:dyDescent="0.4">
      <c r="A24" s="21" t="s">
        <v>182</v>
      </c>
      <c r="B24" s="14">
        <v>37</v>
      </c>
      <c r="C24" s="8">
        <f>IF(B$19=0,0,B24/B$19)</f>
        <v>0.24666666666666667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">
      <c r="A25" s="21" t="s">
        <v>183</v>
      </c>
      <c r="B25" s="14">
        <v>33</v>
      </c>
      <c r="C25" s="8">
        <f>IF(B$19=0,0,B25/B$19)</f>
        <v>0.22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">
      <c r="A26" s="21" t="s">
        <v>5</v>
      </c>
      <c r="B26" s="18">
        <f>IF(B$19=0,0,C26/B$19)</f>
        <v>10237.333333333334</v>
      </c>
      <c r="C26" s="10">
        <v>1535600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">
      <c r="A27" s="22" t="s">
        <v>166</v>
      </c>
      <c r="B27" s="99">
        <f>IF($B$19-B$18=0,0,C27/($B$19-B$18))</f>
        <v>10723.008849557522</v>
      </c>
      <c r="C27" s="100">
        <v>1211700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">
      <c r="A28" s="22" t="s">
        <v>167</v>
      </c>
      <c r="B28" s="99">
        <f>IF(B$18=0,0,C28/B$18)</f>
        <v>8754.0540540540533</v>
      </c>
      <c r="C28" s="100">
        <v>323900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">
      <c r="A29" s="22" t="s">
        <v>165</v>
      </c>
      <c r="B29" s="99">
        <f>IF(B$20=0,0,C29/B$20)</f>
        <v>-7610</v>
      </c>
      <c r="C29" s="100">
        <v>-761000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">
      <c r="A31" s="21" t="s">
        <v>159</v>
      </c>
      <c r="B31" s="14">
        <v>25</v>
      </c>
      <c r="C31" s="94">
        <v>19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">
      <c r="A34" s="23" t="s">
        <v>137</v>
      </c>
      <c r="B34" s="31">
        <v>5</v>
      </c>
      <c r="C34" s="11">
        <f>IF(B$3=0,0,B34/B$3)</f>
        <v>9.057971014492754E-3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">
      <c r="A36" s="56" t="s">
        <v>172</v>
      </c>
      <c r="B36" s="121">
        <v>5</v>
      </c>
      <c r="C36" s="102">
        <f t="shared" ref="C36:C48" si="2">IF(B$19=0,0,B36/B$19)</f>
        <v>3.3333333333333333E-2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-68.100000000000023</v>
      </c>
    </row>
    <row r="37" spans="1:12" x14ac:dyDescent="0.4">
      <c r="A37" s="21" t="s">
        <v>168</v>
      </c>
      <c r="B37" s="14">
        <v>16</v>
      </c>
      <c r="C37" s="8">
        <f t="shared" si="2"/>
        <v>0.10666666666666667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">
      <c r="A38" s="21" t="s">
        <v>169</v>
      </c>
      <c r="B38" s="122">
        <v>16</v>
      </c>
      <c r="C38" s="8">
        <f t="shared" si="2"/>
        <v>0.10666666666666667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">
      <c r="A39" s="21" t="s">
        <v>170</v>
      </c>
      <c r="B39" s="122">
        <v>37</v>
      </c>
      <c r="C39" s="8">
        <f t="shared" si="2"/>
        <v>0.24666666666666667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">
      <c r="A40" s="21" t="s">
        <v>171</v>
      </c>
      <c r="B40" s="122">
        <v>29</v>
      </c>
      <c r="C40" s="8">
        <f t="shared" si="2"/>
        <v>0.19333333333333333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">
      <c r="A41" s="21" t="s">
        <v>173</v>
      </c>
      <c r="B41" s="122">
        <v>19</v>
      </c>
      <c r="C41" s="8">
        <f t="shared" si="2"/>
        <v>0.12666666666666668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">
      <c r="A42" s="21" t="s">
        <v>174</v>
      </c>
      <c r="B42" s="122">
        <v>12</v>
      </c>
      <c r="C42" s="8">
        <f t="shared" si="2"/>
        <v>0.08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">
      <c r="A43" s="21" t="s">
        <v>175</v>
      </c>
      <c r="B43" s="122">
        <v>6</v>
      </c>
      <c r="C43" s="8">
        <f t="shared" si="2"/>
        <v>0.04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">
      <c r="A44" s="21" t="s">
        <v>176</v>
      </c>
      <c r="B44" s="122">
        <v>4</v>
      </c>
      <c r="C44" s="8">
        <f t="shared" si="2"/>
        <v>2.6666666666666668E-2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">
      <c r="A47" s="21" t="s">
        <v>179</v>
      </c>
      <c r="B47" s="122">
        <v>3</v>
      </c>
      <c r="C47" s="8">
        <f t="shared" si="2"/>
        <v>0.02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">
      <c r="A48" s="23" t="s">
        <v>180</v>
      </c>
      <c r="B48" s="101">
        <v>3</v>
      </c>
      <c r="C48" s="11">
        <f t="shared" si="2"/>
        <v>0.02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">
      <c r="K53" s="7">
        <v>51</v>
      </c>
      <c r="L53" s="65">
        <v>-114.20000000000006</v>
      </c>
    </row>
    <row r="54" spans="5:12" x14ac:dyDescent="0.4">
      <c r="K54" s="7">
        <v>52</v>
      </c>
      <c r="L54" s="65">
        <v>-89.900000000000063</v>
      </c>
    </row>
    <row r="55" spans="5:12" x14ac:dyDescent="0.4">
      <c r="K55" s="7">
        <v>53</v>
      </c>
      <c r="L55" s="65">
        <v>-61.800000000000061</v>
      </c>
    </row>
    <row r="56" spans="5:12" x14ac:dyDescent="0.4">
      <c r="K56" s="7">
        <v>54</v>
      </c>
      <c r="L56" s="65">
        <v>-63.800000000000061</v>
      </c>
    </row>
    <row r="57" spans="5:12" x14ac:dyDescent="0.4">
      <c r="K57" s="7">
        <v>55</v>
      </c>
      <c r="L57" s="65">
        <v>-114.10000000000005</v>
      </c>
    </row>
    <row r="58" spans="5:12" x14ac:dyDescent="0.4">
      <c r="K58" s="7">
        <v>56</v>
      </c>
      <c r="L58" s="65">
        <v>-110.70000000000005</v>
      </c>
    </row>
    <row r="59" spans="5:12" x14ac:dyDescent="0.4">
      <c r="K59" s="7">
        <v>57</v>
      </c>
      <c r="L59" s="65">
        <v>-89.600000000000051</v>
      </c>
    </row>
    <row r="60" spans="5:12" x14ac:dyDescent="0.4">
      <c r="K60" s="7">
        <v>58</v>
      </c>
      <c r="L60" s="65">
        <v>-110.00000000000006</v>
      </c>
    </row>
    <row r="61" spans="5:12" x14ac:dyDescent="0.4">
      <c r="K61" s="7">
        <v>59</v>
      </c>
      <c r="L61" s="65">
        <v>-105.20000000000006</v>
      </c>
    </row>
    <row r="62" spans="5:12" x14ac:dyDescent="0.4">
      <c r="K62" s="7">
        <v>60</v>
      </c>
      <c r="L62" s="65">
        <v>-152.00000000000006</v>
      </c>
    </row>
    <row r="63" spans="5:12" x14ac:dyDescent="0.4">
      <c r="K63" s="7">
        <v>61</v>
      </c>
      <c r="L63" s="65">
        <v>-119.60000000000005</v>
      </c>
    </row>
    <row r="64" spans="5:12" x14ac:dyDescent="0.4">
      <c r="K64" s="7">
        <v>62</v>
      </c>
      <c r="L64" s="65">
        <v>-112.60000000000005</v>
      </c>
    </row>
    <row r="65" spans="11:12" x14ac:dyDescent="0.4">
      <c r="K65" s="7">
        <v>63</v>
      </c>
      <c r="L65" s="65">
        <v>-64.900000000000048</v>
      </c>
    </row>
    <row r="66" spans="11:12" x14ac:dyDescent="0.4">
      <c r="K66" s="7">
        <v>64</v>
      </c>
      <c r="L66" s="65">
        <v>-63.700000000000045</v>
      </c>
    </row>
    <row r="67" spans="11:12" x14ac:dyDescent="0.4">
      <c r="K67" s="7">
        <v>65</v>
      </c>
      <c r="L67" s="65">
        <v>-78.900000000000048</v>
      </c>
    </row>
    <row r="68" spans="11:12" x14ac:dyDescent="0.4">
      <c r="K68" s="7">
        <v>66</v>
      </c>
      <c r="L68" s="65">
        <v>-52.300000000000047</v>
      </c>
    </row>
    <row r="69" spans="11:12" x14ac:dyDescent="0.4">
      <c r="K69" s="7">
        <v>67</v>
      </c>
      <c r="L69" s="65">
        <v>-69.200000000000045</v>
      </c>
    </row>
    <row r="70" spans="11:12" x14ac:dyDescent="0.4">
      <c r="K70" s="7">
        <v>68</v>
      </c>
      <c r="L70" s="65">
        <v>-74.200000000000045</v>
      </c>
    </row>
    <row r="71" spans="11:12" x14ac:dyDescent="0.4">
      <c r="K71" s="7">
        <v>69</v>
      </c>
      <c r="L71" s="65">
        <v>-17.600000000000044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B38-C1D0-4A94-93EA-7B48D9DF104F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11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11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5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9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3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11</v>
      </c>
    </row>
    <row r="27" spans="1:17" x14ac:dyDescent="0.4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A968-96A7-495E-9005-5543E86F3064}">
  <sheetPr codeName="Sheet11"/>
  <dimension ref="A1:Q96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94</v>
      </c>
      <c r="C2" s="132"/>
      <c r="E2" s="28" t="s">
        <v>66</v>
      </c>
      <c r="F2" s="25" t="s">
        <v>22</v>
      </c>
      <c r="G2" s="13">
        <v>154</v>
      </c>
      <c r="H2" s="91">
        <f>IF(B$19=0,0,G2/B$19)</f>
        <v>0.67543859649122806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1636.5591397849462</v>
      </c>
      <c r="P2" s="80">
        <v>93</v>
      </c>
      <c r="Q2" s="67">
        <v>152200</v>
      </c>
    </row>
    <row r="3" spans="1:17" x14ac:dyDescent="0.4">
      <c r="A3" s="21" t="s">
        <v>8</v>
      </c>
      <c r="B3" s="133">
        <v>740</v>
      </c>
      <c r="C3" s="134"/>
      <c r="E3" s="29" t="s">
        <v>72</v>
      </c>
      <c r="F3" s="26" t="s">
        <v>27</v>
      </c>
      <c r="G3" s="14">
        <v>114</v>
      </c>
      <c r="H3" s="92">
        <f>IF(B$19=0,0,G3/B$19)</f>
        <v>0.5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2560.2150537634407</v>
      </c>
      <c r="P3" s="81">
        <v>93</v>
      </c>
      <c r="Q3" s="68">
        <v>238100</v>
      </c>
    </row>
    <row r="4" spans="1:17" x14ac:dyDescent="0.4">
      <c r="A4" s="21" t="s">
        <v>6</v>
      </c>
      <c r="B4" s="135">
        <v>770.10000000000025</v>
      </c>
      <c r="C4" s="136"/>
      <c r="E4" s="29" t="s">
        <v>64</v>
      </c>
      <c r="F4" s="26" t="s">
        <v>20</v>
      </c>
      <c r="G4" s="14">
        <v>99</v>
      </c>
      <c r="H4" s="92">
        <f>IF(B$19=0,0,G4/B$19)</f>
        <v>0.43421052631578949</v>
      </c>
      <c r="I4" s="60">
        <v>10</v>
      </c>
      <c r="K4" s="7">
        <v>2</v>
      </c>
      <c r="L4" s="65">
        <v>99.6</v>
      </c>
      <c r="N4" s="78" t="s">
        <v>130</v>
      </c>
      <c r="O4" s="84">
        <f t="shared" si="0"/>
        <v>1579.5454545454545</v>
      </c>
      <c r="P4" s="81">
        <v>88</v>
      </c>
      <c r="Q4" s="68">
        <v>139000</v>
      </c>
    </row>
    <row r="5" spans="1:17" x14ac:dyDescent="0.4">
      <c r="A5" s="21" t="s">
        <v>7</v>
      </c>
      <c r="B5" s="123">
        <f>IF(B$2=0,0,B$4/B$2)</f>
        <v>8.192553191489365</v>
      </c>
      <c r="C5" s="124"/>
      <c r="E5" s="29" t="s">
        <v>160</v>
      </c>
      <c r="F5" s="26" t="s">
        <v>161</v>
      </c>
      <c r="G5" s="14">
        <v>98</v>
      </c>
      <c r="H5" s="92">
        <f>IF(B$19=0,0,G5/B$19)</f>
        <v>0.42982456140350878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1074.6835443037974</v>
      </c>
      <c r="P5" s="81">
        <v>79</v>
      </c>
      <c r="Q5" s="68">
        <v>84900</v>
      </c>
    </row>
    <row r="6" spans="1:17" x14ac:dyDescent="0.4">
      <c r="A6" s="21" t="s">
        <v>1</v>
      </c>
      <c r="B6" s="137">
        <f>IF(B$2=0,0,(B$7*1+B$8*2+B$9*3)/B$2)</f>
        <v>1.7765957446808511</v>
      </c>
      <c r="C6" s="138"/>
      <c r="E6" s="29" t="s">
        <v>68</v>
      </c>
      <c r="F6" s="26" t="s">
        <v>12</v>
      </c>
      <c r="G6" s="14">
        <v>88</v>
      </c>
      <c r="H6" s="92">
        <f>IF(B$19=0,0,G6/B$19)</f>
        <v>0.38596491228070173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-1030.6666666666667</v>
      </c>
      <c r="P6" s="81">
        <v>75</v>
      </c>
      <c r="Q6" s="68">
        <v>-77300</v>
      </c>
    </row>
    <row r="7" spans="1:17" x14ac:dyDescent="0.4">
      <c r="A7" s="21" t="s">
        <v>2</v>
      </c>
      <c r="B7" s="14">
        <v>42</v>
      </c>
      <c r="C7" s="8">
        <f t="shared" ref="C7:C14" si="1">IF(B$2=0,0,B7/B$2)</f>
        <v>0.44680851063829785</v>
      </c>
      <c r="E7" s="29" t="s">
        <v>67</v>
      </c>
      <c r="F7" s="26" t="s">
        <v>23</v>
      </c>
      <c r="G7" s="14">
        <v>64</v>
      </c>
      <c r="H7" s="92">
        <f>IF(B$19=0,0,G7/B$19)</f>
        <v>0.2807017543859649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2368.3333333333335</v>
      </c>
      <c r="P7" s="82">
        <v>60</v>
      </c>
      <c r="Q7" s="69">
        <v>142100</v>
      </c>
    </row>
    <row r="8" spans="1:17" x14ac:dyDescent="0.4">
      <c r="A8" s="21" t="s">
        <v>3</v>
      </c>
      <c r="B8" s="14">
        <v>31</v>
      </c>
      <c r="C8" s="8">
        <f t="shared" si="1"/>
        <v>0.32978723404255317</v>
      </c>
      <c r="E8" s="29" t="s">
        <v>69</v>
      </c>
      <c r="F8" s="26" t="s">
        <v>24</v>
      </c>
      <c r="G8" s="14">
        <v>44</v>
      </c>
      <c r="H8" s="92">
        <f>IF(B$19=0,0,G8/B$19)</f>
        <v>0.19298245614035087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">
      <c r="A9" s="22" t="s">
        <v>4</v>
      </c>
      <c r="B9" s="15">
        <v>21</v>
      </c>
      <c r="C9" s="9">
        <f t="shared" si="1"/>
        <v>0.22340425531914893</v>
      </c>
      <c r="E9" s="29" t="s">
        <v>89</v>
      </c>
      <c r="F9" s="26" t="s">
        <v>44</v>
      </c>
      <c r="G9" s="14">
        <v>39</v>
      </c>
      <c r="H9" s="92">
        <f>IF(B$19=0,0,G9/B$19)</f>
        <v>0.17105263157894737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37.854761904761894</v>
      </c>
      <c r="C10" s="114">
        <v>1589.8999999999996</v>
      </c>
      <c r="E10" s="29" t="s">
        <v>65</v>
      </c>
      <c r="F10" s="26" t="s">
        <v>21</v>
      </c>
      <c r="G10" s="14">
        <v>24</v>
      </c>
      <c r="H10" s="92">
        <f>IF(B$19=0,0,G10/B$19)</f>
        <v>0.10526315789473684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2.5</v>
      </c>
      <c r="P10" s="80">
        <v>29</v>
      </c>
      <c r="Q10" s="71">
        <v>72.5</v>
      </c>
    </row>
    <row r="11" spans="1:17" x14ac:dyDescent="0.4">
      <c r="A11" s="22" t="s">
        <v>186</v>
      </c>
      <c r="B11" s="113">
        <f>IF(B8=0,0,C11/B8)</f>
        <v>-0.69032258064516128</v>
      </c>
      <c r="C11" s="114">
        <v>-21.4</v>
      </c>
      <c r="E11" s="29" t="s">
        <v>70</v>
      </c>
      <c r="F11" s="26" t="s">
        <v>25</v>
      </c>
      <c r="G11" s="14">
        <v>19</v>
      </c>
      <c r="H11" s="92">
        <f>IF(B$19=0,0,G11/B$19)</f>
        <v>8.3333333333333329E-2</v>
      </c>
      <c r="I11" s="60">
        <v>8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">
      <c r="A12" s="22" t="s">
        <v>187</v>
      </c>
      <c r="B12" s="113">
        <f>IF(B9=0,0,C12/B9)</f>
        <v>-38.019047619047626</v>
      </c>
      <c r="C12" s="114">
        <v>-798.40000000000009</v>
      </c>
      <c r="E12" s="29" t="s">
        <v>86</v>
      </c>
      <c r="F12" s="26" t="s">
        <v>41</v>
      </c>
      <c r="G12" s="14">
        <v>18</v>
      </c>
      <c r="H12" s="92">
        <f>IF(B$19=0,0,G12/B$19)</f>
        <v>7.8947368421052627E-2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13.132352941176475</v>
      </c>
      <c r="P12" s="82">
        <v>34</v>
      </c>
      <c r="Q12" s="73">
        <v>446.50000000000011</v>
      </c>
    </row>
    <row r="13" spans="1:17" x14ac:dyDescent="0.4">
      <c r="A13" s="22" t="s">
        <v>188</v>
      </c>
      <c r="B13" s="123">
        <f>AVERAGE(B10:B12)</f>
        <v>-0.28486943164363038</v>
      </c>
      <c r="C13" s="124"/>
      <c r="E13" s="29" t="s">
        <v>71</v>
      </c>
      <c r="F13" s="26" t="s">
        <v>26</v>
      </c>
      <c r="G13" s="14">
        <v>15</v>
      </c>
      <c r="H13" s="92">
        <f>IF(B$19=0,0,G13/B$19)</f>
        <v>6.5789473684210523E-2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6.3829787234042548E-2</v>
      </c>
      <c r="E14" s="29" t="s">
        <v>78</v>
      </c>
      <c r="F14" s="26" t="s">
        <v>33</v>
      </c>
      <c r="G14" s="14">
        <v>12</v>
      </c>
      <c r="H14" s="92">
        <f>IF(B$19=0,0,G14/B$19)</f>
        <v>5.2631578947368418E-2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185</v>
      </c>
      <c r="C15" s="12">
        <f>IF(B$3=0,0,B15/B$3)</f>
        <v>0.25</v>
      </c>
      <c r="E15" s="29" t="s">
        <v>83</v>
      </c>
      <c r="F15" s="26" t="s">
        <v>38</v>
      </c>
      <c r="G15" s="14">
        <v>11</v>
      </c>
      <c r="H15" s="92">
        <f>IF(B$19=0,0,G15/B$19)</f>
        <v>4.8245614035087717E-2</v>
      </c>
      <c r="I15" s="60">
        <v>5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">
      <c r="A16" s="21" t="s">
        <v>118</v>
      </c>
      <c r="B16" s="14">
        <v>117</v>
      </c>
      <c r="C16" s="8">
        <f>IF(B$3=0,0,B16/B$3)</f>
        <v>0.1581081081081081</v>
      </c>
      <c r="E16" s="29" t="s">
        <v>156</v>
      </c>
      <c r="F16" s="26" t="s">
        <v>157</v>
      </c>
      <c r="G16" s="14">
        <v>10</v>
      </c>
      <c r="H16" s="92">
        <f>IF(B$19=0,0,G16/B$19)</f>
        <v>4.3859649122807015E-2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37.733333333333334</v>
      </c>
      <c r="P16" s="81">
        <v>3</v>
      </c>
      <c r="Q16" s="72">
        <v>113.2</v>
      </c>
    </row>
    <row r="17" spans="1:17" x14ac:dyDescent="0.4">
      <c r="A17" s="20" t="s">
        <v>123</v>
      </c>
      <c r="B17" s="13">
        <f>B23</f>
        <v>110</v>
      </c>
      <c r="C17" s="6">
        <f>IF(B$15=0,0,B17/B$15)</f>
        <v>0.59459459459459463</v>
      </c>
      <c r="E17" s="29" t="s">
        <v>79</v>
      </c>
      <c r="F17" s="26" t="s">
        <v>34</v>
      </c>
      <c r="G17" s="14">
        <v>6</v>
      </c>
      <c r="H17" s="92">
        <f>IF(B$19=0,0,G17/B$19)</f>
        <v>2.6315789473684209E-2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">
      <c r="A18" s="20" t="s">
        <v>124</v>
      </c>
      <c r="B18" s="13">
        <f>B24</f>
        <v>57</v>
      </c>
      <c r="C18" s="6">
        <f>IF(B$16=0,0,B18/B$16)</f>
        <v>0.48717948717948717</v>
      </c>
      <c r="E18" s="29" t="s">
        <v>81</v>
      </c>
      <c r="F18" s="26" t="s">
        <v>36</v>
      </c>
      <c r="G18" s="14">
        <v>6</v>
      </c>
      <c r="H18" s="92">
        <f>IF(B$19=0,0,G18/B$19)</f>
        <v>2.6315789473684209E-2</v>
      </c>
      <c r="I18" s="60">
        <v>5</v>
      </c>
      <c r="K18" s="7">
        <v>16</v>
      </c>
      <c r="L18" s="65">
        <v>273.8</v>
      </c>
      <c r="N18" s="78" t="s">
        <v>193</v>
      </c>
      <c r="O18" s="87">
        <f>IF(P18=0,0,Q18/P18)</f>
        <v>18.461111111111112</v>
      </c>
      <c r="P18" s="81">
        <v>18</v>
      </c>
      <c r="Q18" s="72">
        <v>332.3</v>
      </c>
    </row>
    <row r="19" spans="1:17" x14ac:dyDescent="0.4">
      <c r="A19" s="20" t="s">
        <v>10</v>
      </c>
      <c r="B19" s="13">
        <f>B22+B21</f>
        <v>228</v>
      </c>
      <c r="C19" s="6">
        <f>IF(B$3=0,0,B19/B$3)</f>
        <v>0.30810810810810813</v>
      </c>
      <c r="E19" s="29" t="s">
        <v>91</v>
      </c>
      <c r="F19" s="26" t="s">
        <v>46</v>
      </c>
      <c r="G19" s="14">
        <v>3</v>
      </c>
      <c r="H19" s="92">
        <f>IF(B$19=0,0,G19/B$19)</f>
        <v>1.3157894736842105E-2</v>
      </c>
      <c r="I19" s="60">
        <v>4</v>
      </c>
      <c r="K19" s="7">
        <v>17</v>
      </c>
      <c r="L19" s="65">
        <v>242.8</v>
      </c>
      <c r="N19" s="78" t="s">
        <v>192</v>
      </c>
      <c r="O19" s="87">
        <f>IF(P19=0,0,Q19/P19)</f>
        <v>17.920000000000005</v>
      </c>
      <c r="P19" s="81">
        <v>35</v>
      </c>
      <c r="Q19" s="72">
        <v>627.20000000000016</v>
      </c>
    </row>
    <row r="20" spans="1:17" x14ac:dyDescent="0.4">
      <c r="A20" s="21" t="s">
        <v>13</v>
      </c>
      <c r="B20" s="14">
        <v>101</v>
      </c>
      <c r="C20" s="8">
        <f>IF(B$3=0,0,B20/B$3)</f>
        <v>0.13648648648648648</v>
      </c>
      <c r="E20" s="29" t="s">
        <v>92</v>
      </c>
      <c r="F20" s="26" t="s">
        <v>47</v>
      </c>
      <c r="G20" s="14">
        <v>3</v>
      </c>
      <c r="H20" s="92">
        <f>IF(B$19=0,0,G20/B$19)</f>
        <v>1.3157894736842105E-2</v>
      </c>
      <c r="I20" s="60">
        <v>3</v>
      </c>
      <c r="K20" s="7">
        <v>18</v>
      </c>
      <c r="L20" s="65">
        <v>280</v>
      </c>
      <c r="N20" s="78" t="s">
        <v>194</v>
      </c>
      <c r="O20" s="87">
        <f>IF(P20=0,0,Q20/P20)</f>
        <v>17.357692307692307</v>
      </c>
      <c r="P20" s="81">
        <v>26</v>
      </c>
      <c r="Q20" s="72">
        <v>451.3</v>
      </c>
    </row>
    <row r="21" spans="1:17" x14ac:dyDescent="0.4">
      <c r="A21" s="21" t="s">
        <v>12</v>
      </c>
      <c r="B21" s="14">
        <v>115</v>
      </c>
      <c r="C21" s="8">
        <f>IF(B$19=0,0,B21/B$19)</f>
        <v>0.50438596491228072</v>
      </c>
      <c r="E21" s="29" t="s">
        <v>93</v>
      </c>
      <c r="F21" s="26" t="s">
        <v>48</v>
      </c>
      <c r="G21" s="14">
        <v>2</v>
      </c>
      <c r="H21" s="92">
        <f>IF(B$19=0,0,G21/B$19)</f>
        <v>8.771929824561403E-3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">
      <c r="A22" s="21" t="s">
        <v>11</v>
      </c>
      <c r="B22" s="14">
        <v>113</v>
      </c>
      <c r="C22" s="8">
        <f>IF(B$19=0,0,B22/B$19)</f>
        <v>0.49561403508771928</v>
      </c>
      <c r="E22" s="29" t="s">
        <v>73</v>
      </c>
      <c r="F22" s="26" t="s">
        <v>28</v>
      </c>
      <c r="G22" s="14">
        <v>1</v>
      </c>
      <c r="H22" s="92">
        <f>IF(B$19=0,0,G22/B$19)</f>
        <v>4.3859649122807015E-3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">
      <c r="A23" s="21" t="s">
        <v>184</v>
      </c>
      <c r="B23" s="14">
        <v>110</v>
      </c>
      <c r="C23" s="8">
        <f>IF(B$19=0,0,B23/B$19)</f>
        <v>0.48245614035087719</v>
      </c>
      <c r="E23" s="29" t="s">
        <v>75</v>
      </c>
      <c r="F23" s="26" t="s">
        <v>30</v>
      </c>
      <c r="G23" s="14">
        <v>1</v>
      </c>
      <c r="H23" s="92">
        <f>IF(B$19=0,0,G23/B$19)</f>
        <v>4.3859649122807015E-3</v>
      </c>
      <c r="I23" s="60">
        <v>6</v>
      </c>
      <c r="K23" s="7">
        <v>21</v>
      </c>
      <c r="L23" s="65">
        <v>286.3</v>
      </c>
      <c r="N23" s="78" t="s">
        <v>164</v>
      </c>
      <c r="O23" s="87">
        <f>IF(P23=0,0,Q23/P23)</f>
        <v>1.0079999999999969</v>
      </c>
      <c r="P23" s="81">
        <v>50</v>
      </c>
      <c r="Q23" s="72">
        <v>50.399999999999842</v>
      </c>
    </row>
    <row r="24" spans="1:17" x14ac:dyDescent="0.4">
      <c r="A24" s="21" t="s">
        <v>182</v>
      </c>
      <c r="B24" s="14">
        <v>57</v>
      </c>
      <c r="C24" s="8">
        <f>IF(B$19=0,0,B24/B$19)</f>
        <v>0.25</v>
      </c>
      <c r="E24" s="29" t="s">
        <v>77</v>
      </c>
      <c r="F24" s="26" t="s">
        <v>32</v>
      </c>
      <c r="G24" s="14">
        <v>1</v>
      </c>
      <c r="H24" s="92">
        <f>IF(B$19=0,0,G24/B$19)</f>
        <v>4.3859649122807015E-3</v>
      </c>
      <c r="I24" s="60">
        <v>6</v>
      </c>
      <c r="K24" s="7">
        <v>22</v>
      </c>
      <c r="L24" s="65">
        <v>344.1</v>
      </c>
    </row>
    <row r="25" spans="1:17" x14ac:dyDescent="0.4">
      <c r="A25" s="21" t="s">
        <v>183</v>
      </c>
      <c r="B25" s="14">
        <v>61</v>
      </c>
      <c r="C25" s="8">
        <f>IF(B$19=0,0,B25/B$19)</f>
        <v>0.26754385964912281</v>
      </c>
      <c r="E25" s="29" t="s">
        <v>84</v>
      </c>
      <c r="F25" s="26" t="s">
        <v>39</v>
      </c>
      <c r="G25" s="14">
        <v>1</v>
      </c>
      <c r="H25" s="92">
        <f>IF(B$19=0,0,G25/B$19)</f>
        <v>4.3859649122807015E-3</v>
      </c>
      <c r="I25" s="60">
        <v>1</v>
      </c>
      <c r="K25" s="7">
        <v>23</v>
      </c>
      <c r="L25" s="65">
        <v>396.90000000000003</v>
      </c>
    </row>
    <row r="26" spans="1:17" x14ac:dyDescent="0.4">
      <c r="A26" s="21" t="s">
        <v>5</v>
      </c>
      <c r="B26" s="18">
        <f>IF(B$19=0,0,C26/B$19)</f>
        <v>9801.7543859649122</v>
      </c>
      <c r="C26" s="10">
        <v>2234800</v>
      </c>
      <c r="E26" s="29" t="s">
        <v>87</v>
      </c>
      <c r="F26" s="26" t="s">
        <v>42</v>
      </c>
      <c r="G26" s="14">
        <v>1</v>
      </c>
      <c r="H26" s="92">
        <f>IF(B$19=0,0,G26/B$19)</f>
        <v>4.3859649122807015E-3</v>
      </c>
      <c r="I26" s="60">
        <v>2</v>
      </c>
      <c r="K26" s="7">
        <v>24</v>
      </c>
      <c r="L26" s="65">
        <v>469.90000000000003</v>
      </c>
    </row>
    <row r="27" spans="1:17" x14ac:dyDescent="0.4">
      <c r="A27" s="22" t="s">
        <v>166</v>
      </c>
      <c r="B27" s="99">
        <f>IF($B$19-B$18=0,0,C27/($B$19-B$18))</f>
        <v>10176.023391812865</v>
      </c>
      <c r="C27" s="100">
        <v>1740100</v>
      </c>
      <c r="E27" s="29" t="s">
        <v>95</v>
      </c>
      <c r="F27" s="26" t="s">
        <v>50</v>
      </c>
      <c r="G27" s="14">
        <v>1</v>
      </c>
      <c r="H27" s="92">
        <f>IF(B$19=0,0,G27/B$19)</f>
        <v>4.3859649122807015E-3</v>
      </c>
      <c r="I27" s="60">
        <v>2</v>
      </c>
      <c r="K27" s="7">
        <v>25</v>
      </c>
      <c r="L27" s="65">
        <v>465.6</v>
      </c>
    </row>
    <row r="28" spans="1:17" x14ac:dyDescent="0.4">
      <c r="A28" s="22" t="s">
        <v>167</v>
      </c>
      <c r="B28" s="99">
        <f>IF(B$18=0,0,C28/B$18)</f>
        <v>8678.9473684210534</v>
      </c>
      <c r="C28" s="100">
        <v>494700</v>
      </c>
      <c r="E28" s="29" t="s">
        <v>106</v>
      </c>
      <c r="F28" s="26" t="s">
        <v>113</v>
      </c>
      <c r="G28" s="14">
        <v>1</v>
      </c>
      <c r="H28" s="92">
        <f>IF(B$19=0,0,G28/B$19)</f>
        <v>4.3859649122807015E-3</v>
      </c>
      <c r="I28" s="60">
        <v>1</v>
      </c>
      <c r="K28" s="7">
        <v>26</v>
      </c>
      <c r="L28" s="65">
        <v>525.30000000000007</v>
      </c>
    </row>
    <row r="29" spans="1:17" x14ac:dyDescent="0.4">
      <c r="A29" s="22" t="s">
        <v>165</v>
      </c>
      <c r="B29" s="99">
        <f>IF(B$20=0,0,C29/B$20)</f>
        <v>-8287.1287128712866</v>
      </c>
      <c r="C29" s="100">
        <v>-837000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">
      <c r="A31" s="21" t="s">
        <v>159</v>
      </c>
      <c r="B31" s="14">
        <v>45</v>
      </c>
      <c r="C31" s="94">
        <v>12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">
      <c r="A36" s="56" t="s">
        <v>172</v>
      </c>
      <c r="B36" s="121">
        <v>13</v>
      </c>
      <c r="C36" s="102">
        <f t="shared" ref="C36:C48" si="2">IF(B$19=0,0,B36/B$19)</f>
        <v>5.701754385964912E-2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">
      <c r="A37" s="21" t="s">
        <v>168</v>
      </c>
      <c r="B37" s="14">
        <v>33</v>
      </c>
      <c r="C37" s="8">
        <f t="shared" si="2"/>
        <v>0.14473684210526316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">
      <c r="A38" s="21" t="s">
        <v>169</v>
      </c>
      <c r="B38" s="122">
        <v>42</v>
      </c>
      <c r="C38" s="8">
        <f t="shared" si="2"/>
        <v>0.18421052631578946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">
      <c r="A39" s="21" t="s">
        <v>170</v>
      </c>
      <c r="B39" s="122">
        <v>40</v>
      </c>
      <c r="C39" s="8">
        <f t="shared" si="2"/>
        <v>0.17543859649122806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">
      <c r="A40" s="21" t="s">
        <v>171</v>
      </c>
      <c r="B40" s="122">
        <v>37</v>
      </c>
      <c r="C40" s="8">
        <f t="shared" si="2"/>
        <v>0.16228070175438597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">
      <c r="A41" s="21" t="s">
        <v>173</v>
      </c>
      <c r="B41" s="122">
        <v>21</v>
      </c>
      <c r="C41" s="8">
        <f t="shared" si="2"/>
        <v>9.2105263157894732E-2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">
      <c r="A42" s="21" t="s">
        <v>174</v>
      </c>
      <c r="B42" s="122">
        <v>14</v>
      </c>
      <c r="C42" s="8">
        <f t="shared" si="2"/>
        <v>6.1403508771929821E-2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">
      <c r="A43" s="21" t="s">
        <v>175</v>
      </c>
      <c r="B43" s="122">
        <v>9</v>
      </c>
      <c r="C43" s="8">
        <f t="shared" si="2"/>
        <v>3.9473684210526314E-2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">
      <c r="A44" s="21" t="s">
        <v>176</v>
      </c>
      <c r="B44" s="122">
        <v>6</v>
      </c>
      <c r="C44" s="8">
        <f t="shared" si="2"/>
        <v>2.6315789473684209E-2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">
      <c r="A45" s="21" t="s">
        <v>177</v>
      </c>
      <c r="B45" s="122">
        <v>4</v>
      </c>
      <c r="C45" s="8">
        <f t="shared" si="2"/>
        <v>1.7543859649122806E-2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">
      <c r="A46" s="21" t="s">
        <v>178</v>
      </c>
      <c r="B46" s="122">
        <v>1</v>
      </c>
      <c r="C46" s="8">
        <f t="shared" si="2"/>
        <v>4.3859649122807015E-3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">
      <c r="A47" s="21" t="s">
        <v>179</v>
      </c>
      <c r="B47" s="122">
        <v>1</v>
      </c>
      <c r="C47" s="8">
        <f t="shared" si="2"/>
        <v>4.3859649122807015E-3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">
      <c r="A48" s="23" t="s">
        <v>180</v>
      </c>
      <c r="B48" s="101">
        <v>7</v>
      </c>
      <c r="C48" s="11">
        <f t="shared" si="2"/>
        <v>3.0701754385964911E-2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">
      <c r="K53" s="7">
        <v>51</v>
      </c>
      <c r="L53" s="65">
        <v>639.30000000000007</v>
      </c>
    </row>
    <row r="54" spans="5:12" x14ac:dyDescent="0.4">
      <c r="K54" s="7">
        <v>52</v>
      </c>
      <c r="L54" s="65">
        <v>644.20000000000005</v>
      </c>
    </row>
    <row r="55" spans="5:12" x14ac:dyDescent="0.4">
      <c r="K55" s="7">
        <v>53</v>
      </c>
      <c r="L55" s="65">
        <v>605.20000000000005</v>
      </c>
    </row>
    <row r="56" spans="5:12" x14ac:dyDescent="0.4">
      <c r="K56" s="7">
        <v>54</v>
      </c>
      <c r="L56" s="65">
        <v>598.90000000000009</v>
      </c>
    </row>
    <row r="57" spans="5:12" x14ac:dyDescent="0.4">
      <c r="K57" s="7">
        <v>55</v>
      </c>
      <c r="L57" s="65">
        <v>627.40000000000009</v>
      </c>
    </row>
    <row r="58" spans="5:12" x14ac:dyDescent="0.4">
      <c r="K58" s="7">
        <v>56</v>
      </c>
      <c r="L58" s="65">
        <v>646.00000000000011</v>
      </c>
    </row>
    <row r="59" spans="5:12" x14ac:dyDescent="0.4">
      <c r="K59" s="7">
        <v>57</v>
      </c>
      <c r="L59" s="65">
        <v>644.60000000000014</v>
      </c>
    </row>
    <row r="60" spans="5:12" x14ac:dyDescent="0.4">
      <c r="K60" s="7">
        <v>58</v>
      </c>
      <c r="L60" s="65">
        <v>636.70000000000016</v>
      </c>
    </row>
    <row r="61" spans="5:12" x14ac:dyDescent="0.4">
      <c r="K61" s="7">
        <v>59</v>
      </c>
      <c r="L61" s="65">
        <v>633.30000000000018</v>
      </c>
    </row>
    <row r="62" spans="5:12" x14ac:dyDescent="0.4">
      <c r="K62" s="7">
        <v>60</v>
      </c>
      <c r="L62" s="65">
        <v>629.20000000000016</v>
      </c>
    </row>
    <row r="63" spans="5:12" x14ac:dyDescent="0.4">
      <c r="K63" s="7">
        <v>61</v>
      </c>
      <c r="L63" s="65">
        <v>581.20000000000016</v>
      </c>
    </row>
    <row r="64" spans="5:12" x14ac:dyDescent="0.4">
      <c r="K64" s="7">
        <v>62</v>
      </c>
      <c r="L64" s="65">
        <v>534.9000000000002</v>
      </c>
    </row>
    <row r="65" spans="11:12" x14ac:dyDescent="0.4">
      <c r="K65" s="7">
        <v>63</v>
      </c>
      <c r="L65" s="65">
        <v>511.30000000000018</v>
      </c>
    </row>
    <row r="66" spans="11:12" x14ac:dyDescent="0.4">
      <c r="K66" s="7">
        <v>64</v>
      </c>
      <c r="L66" s="65">
        <v>512.50000000000023</v>
      </c>
    </row>
    <row r="67" spans="11:12" x14ac:dyDescent="0.4">
      <c r="K67" s="7">
        <v>65</v>
      </c>
      <c r="L67" s="65">
        <v>548.50000000000023</v>
      </c>
    </row>
    <row r="68" spans="11:12" x14ac:dyDescent="0.4">
      <c r="K68" s="7">
        <v>66</v>
      </c>
      <c r="L68" s="65">
        <v>568.9000000000002</v>
      </c>
    </row>
    <row r="69" spans="11:12" x14ac:dyDescent="0.4">
      <c r="K69" s="7">
        <v>67</v>
      </c>
      <c r="L69" s="65">
        <v>586.4000000000002</v>
      </c>
    </row>
    <row r="70" spans="11:12" x14ac:dyDescent="0.4">
      <c r="K70" s="7">
        <v>68</v>
      </c>
      <c r="L70" s="65">
        <v>619.60000000000025</v>
      </c>
    </row>
    <row r="71" spans="11:12" x14ac:dyDescent="0.4">
      <c r="K71" s="7">
        <v>69</v>
      </c>
      <c r="L71" s="65">
        <v>631.50000000000023</v>
      </c>
    </row>
    <row r="72" spans="11:12" x14ac:dyDescent="0.4">
      <c r="K72" s="7">
        <v>70</v>
      </c>
      <c r="L72" s="65">
        <v>597.20000000000027</v>
      </c>
    </row>
    <row r="73" spans="11:12" x14ac:dyDescent="0.4">
      <c r="K73" s="7">
        <v>71</v>
      </c>
      <c r="L73" s="65">
        <v>616.60000000000025</v>
      </c>
    </row>
    <row r="74" spans="11:12" x14ac:dyDescent="0.4">
      <c r="K74" s="7">
        <v>72</v>
      </c>
      <c r="L74" s="65">
        <v>677.10000000000025</v>
      </c>
    </row>
    <row r="75" spans="11:12" x14ac:dyDescent="0.4">
      <c r="K75" s="7">
        <v>73</v>
      </c>
      <c r="L75" s="65">
        <v>658.9000000000002</v>
      </c>
    </row>
    <row r="76" spans="11:12" x14ac:dyDescent="0.4">
      <c r="K76" s="7">
        <v>74</v>
      </c>
      <c r="L76" s="65">
        <v>678.00000000000023</v>
      </c>
    </row>
    <row r="77" spans="11:12" x14ac:dyDescent="0.4">
      <c r="K77" s="7">
        <v>75</v>
      </c>
      <c r="L77" s="65">
        <v>707.50000000000023</v>
      </c>
    </row>
    <row r="78" spans="11:12" x14ac:dyDescent="0.4">
      <c r="K78" s="7">
        <v>76</v>
      </c>
      <c r="L78" s="65">
        <v>741.60000000000025</v>
      </c>
    </row>
    <row r="79" spans="11:12" x14ac:dyDescent="0.4">
      <c r="K79" s="7">
        <v>77</v>
      </c>
      <c r="L79" s="65">
        <v>757.4000000000002</v>
      </c>
    </row>
    <row r="80" spans="11:12" x14ac:dyDescent="0.4">
      <c r="K80" s="7">
        <v>78</v>
      </c>
      <c r="L80" s="65">
        <v>729.20000000000016</v>
      </c>
    </row>
    <row r="81" spans="11:12" x14ac:dyDescent="0.4">
      <c r="K81" s="7">
        <v>79</v>
      </c>
      <c r="L81" s="65">
        <v>745.50000000000011</v>
      </c>
    </row>
    <row r="82" spans="11:12" x14ac:dyDescent="0.4">
      <c r="K82" s="7">
        <v>80</v>
      </c>
      <c r="L82" s="65">
        <v>712.20000000000016</v>
      </c>
    </row>
    <row r="83" spans="11:12" x14ac:dyDescent="0.4">
      <c r="K83" s="7">
        <v>81</v>
      </c>
      <c r="L83" s="65">
        <v>689.10000000000014</v>
      </c>
    </row>
    <row r="84" spans="11:12" x14ac:dyDescent="0.4">
      <c r="K84" s="7">
        <v>82</v>
      </c>
      <c r="L84" s="65">
        <v>719.70000000000016</v>
      </c>
    </row>
    <row r="85" spans="11:12" x14ac:dyDescent="0.4">
      <c r="K85" s="7">
        <v>83</v>
      </c>
      <c r="L85" s="65">
        <v>716.20000000000016</v>
      </c>
    </row>
    <row r="86" spans="11:12" x14ac:dyDescent="0.4">
      <c r="K86" s="7">
        <v>84</v>
      </c>
      <c r="L86" s="65">
        <v>718.10000000000014</v>
      </c>
    </row>
    <row r="87" spans="11:12" x14ac:dyDescent="0.4">
      <c r="K87" s="7">
        <v>85</v>
      </c>
      <c r="L87" s="65">
        <v>685.90000000000009</v>
      </c>
    </row>
    <row r="88" spans="11:12" x14ac:dyDescent="0.4">
      <c r="K88" s="7">
        <v>86</v>
      </c>
      <c r="L88" s="65">
        <v>722.50000000000011</v>
      </c>
    </row>
    <row r="89" spans="11:12" x14ac:dyDescent="0.4">
      <c r="K89" s="7">
        <v>87</v>
      </c>
      <c r="L89" s="65">
        <v>755.50000000000011</v>
      </c>
    </row>
    <row r="90" spans="11:12" x14ac:dyDescent="0.4">
      <c r="K90" s="7">
        <v>88</v>
      </c>
      <c r="L90" s="65">
        <v>791.20000000000016</v>
      </c>
    </row>
    <row r="91" spans="11:12" x14ac:dyDescent="0.4">
      <c r="K91" s="7">
        <v>89</v>
      </c>
      <c r="L91" s="65">
        <v>842.30000000000018</v>
      </c>
    </row>
    <row r="92" spans="11:12" x14ac:dyDescent="0.4">
      <c r="K92" s="7">
        <v>90</v>
      </c>
      <c r="L92" s="65">
        <v>787.80000000000018</v>
      </c>
    </row>
    <row r="93" spans="11:12" x14ac:dyDescent="0.4">
      <c r="K93" s="7">
        <v>91</v>
      </c>
      <c r="L93" s="65">
        <v>781.9000000000002</v>
      </c>
    </row>
    <row r="94" spans="11:12" x14ac:dyDescent="0.4">
      <c r="K94" s="7">
        <v>92</v>
      </c>
      <c r="L94" s="65">
        <v>743.00000000000023</v>
      </c>
    </row>
    <row r="95" spans="11:12" x14ac:dyDescent="0.4">
      <c r="K95" s="7">
        <v>93</v>
      </c>
      <c r="L95" s="65">
        <v>761.70000000000027</v>
      </c>
    </row>
    <row r="96" spans="11:12" x14ac:dyDescent="0.4">
      <c r="K96" s="7">
        <v>94</v>
      </c>
      <c r="L96" s="65">
        <v>770.10000000000025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199D3-2528-4887-9975-CBA273C10209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40</v>
      </c>
      <c r="C2" s="132"/>
      <c r="E2" s="28" t="s">
        <v>66</v>
      </c>
      <c r="F2" s="25" t="s">
        <v>22</v>
      </c>
      <c r="G2" s="13">
        <v>62</v>
      </c>
      <c r="H2" s="91">
        <f>IF(B$19=0,0,G2/B$19)</f>
        <v>0.71264367816091956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-3848.7179487179487</v>
      </c>
      <c r="P2" s="80">
        <v>39</v>
      </c>
      <c r="Q2" s="67">
        <v>-150100</v>
      </c>
    </row>
    <row r="3" spans="1:17" x14ac:dyDescent="0.4">
      <c r="A3" s="21" t="s">
        <v>8</v>
      </c>
      <c r="B3" s="133">
        <v>306</v>
      </c>
      <c r="C3" s="134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2179.4871794871797</v>
      </c>
      <c r="P3" s="81">
        <v>39</v>
      </c>
      <c r="Q3" s="68">
        <v>85000</v>
      </c>
    </row>
    <row r="4" spans="1:17" x14ac:dyDescent="0.4">
      <c r="A4" s="21" t="s">
        <v>6</v>
      </c>
      <c r="B4" s="135">
        <v>-254.79999999999984</v>
      </c>
      <c r="C4" s="136"/>
      <c r="E4" s="29" t="s">
        <v>160</v>
      </c>
      <c r="F4" s="26" t="s">
        <v>161</v>
      </c>
      <c r="G4" s="14">
        <v>43</v>
      </c>
      <c r="H4" s="92">
        <f>IF(B$19=0,0,G4/B$19)</f>
        <v>0.4942528735632184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-1486.1111111111111</v>
      </c>
      <c r="P4" s="81">
        <v>36</v>
      </c>
      <c r="Q4" s="68">
        <v>-53500</v>
      </c>
    </row>
    <row r="5" spans="1:17" x14ac:dyDescent="0.4">
      <c r="A5" s="21" t="s">
        <v>7</v>
      </c>
      <c r="B5" s="123">
        <f>IF(B$2=0,0,B$4/B$2)</f>
        <v>-6.3699999999999957</v>
      </c>
      <c r="C5" s="124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-1487.0967741935483</v>
      </c>
      <c r="P5" s="81">
        <v>31</v>
      </c>
      <c r="Q5" s="68">
        <v>-46100</v>
      </c>
    </row>
    <row r="6" spans="1:17" x14ac:dyDescent="0.4">
      <c r="A6" s="21" t="s">
        <v>1</v>
      </c>
      <c r="B6" s="137">
        <f>IF(B$2=0,0,(B$7*1+B$8*2+B$9*3)/B$2)</f>
        <v>2.25</v>
      </c>
      <c r="C6" s="138"/>
      <c r="E6" s="29" t="s">
        <v>68</v>
      </c>
      <c r="F6" s="26" t="s">
        <v>12</v>
      </c>
      <c r="G6" s="14">
        <v>29</v>
      </c>
      <c r="H6" s="92">
        <f>IF(B$19=0,0,G6/B$19)</f>
        <v>0.33333333333333331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3596.2962962962961</v>
      </c>
      <c r="P6" s="81">
        <v>27</v>
      </c>
      <c r="Q6" s="68">
        <v>97100</v>
      </c>
    </row>
    <row r="7" spans="1:17" x14ac:dyDescent="0.4">
      <c r="A7" s="21" t="s">
        <v>2</v>
      </c>
      <c r="B7" s="14">
        <v>8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20</v>
      </c>
      <c r="H7" s="92">
        <f>IF(B$19=0,0,G7/B$19)</f>
        <v>0.22988505747126436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-3930.4347826086955</v>
      </c>
      <c r="P7" s="82">
        <v>23</v>
      </c>
      <c r="Q7" s="69">
        <v>-90400</v>
      </c>
    </row>
    <row r="8" spans="1:17" x14ac:dyDescent="0.4">
      <c r="A8" s="21" t="s">
        <v>3</v>
      </c>
      <c r="B8" s="14">
        <v>14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0.12643678160919541</v>
      </c>
      <c r="I8" s="60">
        <v>8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">
      <c r="A9" s="22" t="s">
        <v>4</v>
      </c>
      <c r="B9" s="15">
        <v>18</v>
      </c>
      <c r="C9" s="9">
        <f t="shared" si="1"/>
        <v>0.45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10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43.625</v>
      </c>
      <c r="C10" s="114">
        <v>349</v>
      </c>
      <c r="E10" s="29" t="s">
        <v>70</v>
      </c>
      <c r="F10" s="26" t="s">
        <v>25</v>
      </c>
      <c r="G10" s="14">
        <v>9</v>
      </c>
      <c r="H10" s="92">
        <f>IF(B$19=0,0,G10/B$19)</f>
        <v>0.10344827586206896</v>
      </c>
      <c r="I10" s="60">
        <v>6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">
      <c r="A11" s="22" t="s">
        <v>186</v>
      </c>
      <c r="B11" s="113">
        <f>IF(B8=0,0,C11/B8)</f>
        <v>-0.6357142857142859</v>
      </c>
      <c r="C11" s="114">
        <v>-8.9000000000000021</v>
      </c>
      <c r="E11" s="29" t="s">
        <v>65</v>
      </c>
      <c r="F11" s="26" t="s">
        <v>21</v>
      </c>
      <c r="G11" s="14">
        <v>6</v>
      </c>
      <c r="H11" s="92">
        <f>IF(B$19=0,0,G11/B$19)</f>
        <v>6.8965517241379309E-2</v>
      </c>
      <c r="I11" s="60">
        <v>11</v>
      </c>
      <c r="K11" s="7">
        <v>9</v>
      </c>
      <c r="L11" s="65">
        <v>-172.39999999999998</v>
      </c>
      <c r="N11" s="78" t="s">
        <v>153</v>
      </c>
      <c r="O11" s="87">
        <f>IF(P11=0,0,Q11/P11)</f>
        <v>-6.4066666666666672</v>
      </c>
      <c r="P11" s="81">
        <v>15</v>
      </c>
      <c r="Q11" s="72">
        <v>-96.100000000000009</v>
      </c>
    </row>
    <row r="12" spans="1:17" x14ac:dyDescent="0.4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86</v>
      </c>
      <c r="F12" s="26" t="s">
        <v>41</v>
      </c>
      <c r="G12" s="14">
        <v>6</v>
      </c>
      <c r="H12" s="92">
        <f>IF(B$19=0,0,G12/B$19)</f>
        <v>6.8965517241379309E-2</v>
      </c>
      <c r="I12" s="60">
        <v>5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">
      <c r="A13" s="22" t="s">
        <v>188</v>
      </c>
      <c r="B13" s="123">
        <f>AVERAGE(B10:B12)</f>
        <v>3.3130952380952365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4.5977011494252873E-2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0.15</v>
      </c>
      <c r="E14" s="29" t="s">
        <v>78</v>
      </c>
      <c r="F14" s="26" t="s">
        <v>33</v>
      </c>
      <c r="G14" s="14">
        <v>4</v>
      </c>
      <c r="H14" s="92">
        <f>IF(B$19=0,0,G14/B$19)</f>
        <v>4.5977011494252873E-2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74</v>
      </c>
      <c r="C15" s="12">
        <f>IF(B$3=0,0,B15/B$3)</f>
        <v>0.24183006535947713</v>
      </c>
      <c r="E15" s="29" t="s">
        <v>81</v>
      </c>
      <c r="F15" s="26" t="s">
        <v>36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19.970000000000006</v>
      </c>
      <c r="P15" s="80">
        <v>10</v>
      </c>
      <c r="Q15" s="71">
        <v>199.70000000000005</v>
      </c>
    </row>
    <row r="16" spans="1:17" x14ac:dyDescent="0.4">
      <c r="A16" s="21" t="s">
        <v>118</v>
      </c>
      <c r="B16" s="14">
        <v>47</v>
      </c>
      <c r="C16" s="8">
        <f>IF(B$3=0,0,B16/B$3)</f>
        <v>0.15359477124183007</v>
      </c>
      <c r="E16" s="29" t="s">
        <v>73</v>
      </c>
      <c r="F16" s="26" t="s">
        <v>28</v>
      </c>
      <c r="G16" s="14">
        <v>1</v>
      </c>
      <c r="H16" s="92">
        <f>IF(B$19=0,0,G16/B$19)</f>
        <v>1.1494252873563218E-2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>IF(P16=0,0,Q16/P16)</f>
        <v>12.500000000000002</v>
      </c>
      <c r="P16" s="81">
        <v>2</v>
      </c>
      <c r="Q16" s="72">
        <v>25.000000000000004</v>
      </c>
    </row>
    <row r="17" spans="1:17" x14ac:dyDescent="0.4">
      <c r="A17" s="20" t="s">
        <v>123</v>
      </c>
      <c r="B17" s="13">
        <f>B23</f>
        <v>40</v>
      </c>
      <c r="C17" s="6">
        <f>IF(B$15=0,0,B17/B$15)</f>
        <v>0.54054054054054057</v>
      </c>
      <c r="E17" s="29" t="s">
        <v>87</v>
      </c>
      <c r="F17" s="26" t="s">
        <v>42</v>
      </c>
      <c r="G17" s="14">
        <v>1</v>
      </c>
      <c r="H17" s="92">
        <f>IF(B$19=0,0,G17/B$19)</f>
        <v>1.1494252873563218E-2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>IF(P17=0,0,Q17/P17)</f>
        <v>-0.79166666666666596</v>
      </c>
      <c r="P17" s="81">
        <v>12</v>
      </c>
      <c r="Q17" s="72">
        <v>-9.4999999999999911</v>
      </c>
    </row>
    <row r="18" spans="1:17" x14ac:dyDescent="0.4">
      <c r="A18" s="20" t="s">
        <v>124</v>
      </c>
      <c r="B18" s="13">
        <f>B24</f>
        <v>27</v>
      </c>
      <c r="C18" s="6">
        <f>IF(B$16=0,0,B18/B$16)</f>
        <v>0.57446808510638303</v>
      </c>
      <c r="E18" s="29" t="s">
        <v>91</v>
      </c>
      <c r="F18" s="26" t="s">
        <v>46</v>
      </c>
      <c r="G18" s="14">
        <v>1</v>
      </c>
      <c r="H18" s="92">
        <f>IF(B$19=0,0,G18/B$19)</f>
        <v>1.1494252873563218E-2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>IF(P18=0,0,Q18/P18)</f>
        <v>-4.0250000000000004</v>
      </c>
      <c r="P18" s="81">
        <v>16</v>
      </c>
      <c r="Q18" s="72">
        <v>-64.400000000000006</v>
      </c>
    </row>
    <row r="19" spans="1:17" x14ac:dyDescent="0.4">
      <c r="A19" s="20" t="s">
        <v>10</v>
      </c>
      <c r="B19" s="13">
        <f>B22+B21</f>
        <v>87</v>
      </c>
      <c r="C19" s="6">
        <f>IF(B$3=0,0,B19/B$3)</f>
        <v>0.28431372549019607</v>
      </c>
      <c r="E19" s="29" t="s">
        <v>92</v>
      </c>
      <c r="F19" s="26" t="s">
        <v>47</v>
      </c>
      <c r="G19" s="14">
        <v>1</v>
      </c>
      <c r="H19" s="92">
        <f>IF(B$19=0,0,G19/B$19)</f>
        <v>1.1494252873563218E-2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-17.357692307692307</v>
      </c>
      <c r="P19" s="81">
        <v>26</v>
      </c>
      <c r="Q19" s="72">
        <v>-451.3</v>
      </c>
    </row>
    <row r="20" spans="1:17" x14ac:dyDescent="0.4">
      <c r="A20" s="21" t="s">
        <v>13</v>
      </c>
      <c r="B20" s="14">
        <v>50</v>
      </c>
      <c r="C20" s="8">
        <f>IF(B$3=0,0,B20/B$3)</f>
        <v>0.16339869281045752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-154.09999999999997</v>
      </c>
      <c r="N20" s="78" t="s">
        <v>196</v>
      </c>
      <c r="O20" s="87">
        <f>IF(P20=0,0,Q20/P20)</f>
        <v>-20.5</v>
      </c>
      <c r="P20" s="81">
        <v>1</v>
      </c>
      <c r="Q20" s="72">
        <v>-20.5</v>
      </c>
    </row>
    <row r="21" spans="1:17" x14ac:dyDescent="0.4">
      <c r="A21" s="21" t="s">
        <v>12</v>
      </c>
      <c r="B21" s="14">
        <v>45</v>
      </c>
      <c r="C21" s="8">
        <f>IF(B$19=0,0,B21/B$19)</f>
        <v>0.51724137931034486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7</v>
      </c>
      <c r="K21" s="7">
        <v>19</v>
      </c>
      <c r="L21" s="65">
        <v>-167.29999999999995</v>
      </c>
      <c r="N21" s="78" t="s">
        <v>193</v>
      </c>
      <c r="O21" s="87">
        <f>IF(P21=0,0,Q21/P21)</f>
        <v>-34.107692307692304</v>
      </c>
      <c r="P21" s="81">
        <v>13</v>
      </c>
      <c r="Q21" s="72">
        <v>-443.4</v>
      </c>
    </row>
    <row r="22" spans="1:17" x14ac:dyDescent="0.4">
      <c r="A22" s="21" t="s">
        <v>11</v>
      </c>
      <c r="B22" s="14">
        <v>42</v>
      </c>
      <c r="C22" s="8">
        <f>IF(B$19=0,0,B22/B$19)</f>
        <v>0.48275862068965519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">
      <c r="A23" s="21" t="s">
        <v>184</v>
      </c>
      <c r="B23" s="14">
        <v>40</v>
      </c>
      <c r="C23" s="8">
        <f>IF(B$19=0,0,B23/B$19)</f>
        <v>0.45977011494252873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">
      <c r="A24" s="21" t="s">
        <v>182</v>
      </c>
      <c r="B24" s="14">
        <v>27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">
      <c r="A25" s="21" t="s">
        <v>183</v>
      </c>
      <c r="B25" s="14">
        <v>20</v>
      </c>
      <c r="C25" s="8">
        <f>IF(B$19=0,0,B25/B$19)</f>
        <v>0.22988505747126436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">
      <c r="A26" s="21" t="s">
        <v>5</v>
      </c>
      <c r="B26" s="18">
        <f>IF(B$19=0,0,C26/B$19)</f>
        <v>7955.1724137931033</v>
      </c>
      <c r="C26" s="10">
        <v>692100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">
      <c r="A27" s="22" t="s">
        <v>166</v>
      </c>
      <c r="B27" s="99">
        <f>IF($B$19-B$18=0,0,C27/($B$19-B$18))</f>
        <v>9218.3333333333339</v>
      </c>
      <c r="C27" s="100">
        <v>553100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">
      <c r="A29" s="22" t="s">
        <v>165</v>
      </c>
      <c r="B29" s="99">
        <f>IF(B$20=0,0,C29/B$20)</f>
        <v>-7176</v>
      </c>
      <c r="C29" s="100">
        <v>-358800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">
      <c r="A31" s="21" t="s">
        <v>159</v>
      </c>
      <c r="B31" s="14">
        <v>26</v>
      </c>
      <c r="C31" s="94">
        <v>9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">
      <c r="A34" s="23" t="s">
        <v>137</v>
      </c>
      <c r="B34" s="31">
        <v>1</v>
      </c>
      <c r="C34" s="11">
        <f>IF(B$3=0,0,B34/B$3)</f>
        <v>3.2679738562091504E-3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-277.49999999999994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">
      <c r="A36" s="56" t="s">
        <v>172</v>
      </c>
      <c r="B36" s="121">
        <v>10</v>
      </c>
      <c r="C36" s="102">
        <f t="shared" ref="C36:C48" si="2">IF(B$19=0,0,B36/B$19)</f>
        <v>0.11494252873563218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">
      <c r="A37" s="21" t="s">
        <v>168</v>
      </c>
      <c r="B37" s="14">
        <v>16</v>
      </c>
      <c r="C37" s="8">
        <f t="shared" si="2"/>
        <v>0.18390804597701149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">
      <c r="A38" s="21" t="s">
        <v>169</v>
      </c>
      <c r="B38" s="122">
        <v>17</v>
      </c>
      <c r="C38" s="8">
        <f t="shared" si="2"/>
        <v>0.19540229885057472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">
      <c r="A39" s="21" t="s">
        <v>170</v>
      </c>
      <c r="B39" s="122">
        <v>14</v>
      </c>
      <c r="C39" s="8">
        <f t="shared" si="2"/>
        <v>0.16091954022988506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">
      <c r="A40" s="21" t="s">
        <v>171</v>
      </c>
      <c r="B40" s="122">
        <v>8</v>
      </c>
      <c r="C40" s="8">
        <f t="shared" si="2"/>
        <v>9.1954022988505746E-2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">
      <c r="A41" s="21" t="s">
        <v>173</v>
      </c>
      <c r="B41" s="122">
        <v>13</v>
      </c>
      <c r="C41" s="8">
        <f t="shared" si="2"/>
        <v>0.14942528735632185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">
      <c r="A42" s="21" t="s">
        <v>174</v>
      </c>
      <c r="B42" s="122">
        <v>4</v>
      </c>
      <c r="C42" s="8">
        <f t="shared" si="2"/>
        <v>4.5977011494252873E-2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">
      <c r="A43" s="21" t="s">
        <v>175</v>
      </c>
      <c r="B43" s="122">
        <v>2</v>
      </c>
      <c r="C43" s="8">
        <f t="shared" si="2"/>
        <v>2.2988505747126436E-2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1</v>
      </c>
      <c r="C44" s="8">
        <f t="shared" si="2"/>
        <v>1.1494252873563218E-2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1.1494252873563218E-2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1.1494252873563218E-2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F7DA-64BC-4486-8C6E-E2E19ED22927}">
  <sheetPr codeName="Sheet15"/>
  <dimension ref="A1:Q64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62</v>
      </c>
      <c r="C2" s="132"/>
      <c r="E2" s="28" t="s">
        <v>72</v>
      </c>
      <c r="F2" s="25" t="s">
        <v>27</v>
      </c>
      <c r="G2" s="13">
        <v>92</v>
      </c>
      <c r="H2" s="91">
        <f>IF(B$19=0,0,G2/B$19)</f>
        <v>0.66666666666666663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-57.377049180327866</v>
      </c>
      <c r="P2" s="80">
        <v>61</v>
      </c>
      <c r="Q2" s="67">
        <v>-3500</v>
      </c>
    </row>
    <row r="3" spans="1:17" x14ac:dyDescent="0.4">
      <c r="A3" s="21" t="s">
        <v>8</v>
      </c>
      <c r="B3" s="133">
        <v>504</v>
      </c>
      <c r="C3" s="134"/>
      <c r="E3" s="29" t="s">
        <v>66</v>
      </c>
      <c r="F3" s="26" t="s">
        <v>22</v>
      </c>
      <c r="G3" s="14">
        <v>89</v>
      </c>
      <c r="H3" s="92">
        <f>IF(B$19=0,0,G3/B$19)</f>
        <v>0.64492753623188404</v>
      </c>
      <c r="I3" s="60">
        <v>8</v>
      </c>
      <c r="K3" s="7">
        <v>1</v>
      </c>
      <c r="L3" s="65">
        <v>-0.5</v>
      </c>
      <c r="N3" s="78" t="s">
        <v>129</v>
      </c>
      <c r="O3" s="84">
        <f t="shared" si="0"/>
        <v>-318.03278688524591</v>
      </c>
      <c r="P3" s="81">
        <v>61</v>
      </c>
      <c r="Q3" s="68">
        <v>-19400</v>
      </c>
    </row>
    <row r="4" spans="1:17" x14ac:dyDescent="0.4">
      <c r="A4" s="21" t="s">
        <v>6</v>
      </c>
      <c r="B4" s="135">
        <v>-83.499999999999957</v>
      </c>
      <c r="C4" s="136"/>
      <c r="E4" s="29" t="s">
        <v>64</v>
      </c>
      <c r="F4" s="26" t="s">
        <v>20</v>
      </c>
      <c r="G4" s="14">
        <v>60</v>
      </c>
      <c r="H4" s="92">
        <f>IF(B$19=0,0,G4/B$19)</f>
        <v>0.43478260869565216</v>
      </c>
      <c r="I4" s="60">
        <v>9</v>
      </c>
      <c r="K4" s="7">
        <v>2</v>
      </c>
      <c r="L4" s="65">
        <v>-62.8</v>
      </c>
      <c r="N4" s="78" t="s">
        <v>130</v>
      </c>
      <c r="O4" s="84">
        <f t="shared" si="0"/>
        <v>-1090</v>
      </c>
      <c r="P4" s="81">
        <v>60</v>
      </c>
      <c r="Q4" s="68">
        <v>-65400</v>
      </c>
    </row>
    <row r="5" spans="1:17" x14ac:dyDescent="0.4">
      <c r="A5" s="21" t="s">
        <v>7</v>
      </c>
      <c r="B5" s="123">
        <f>IF(B$2=0,0,B$4/B$2)</f>
        <v>-1.3467741935483863</v>
      </c>
      <c r="C5" s="124"/>
      <c r="E5" s="29" t="s">
        <v>160</v>
      </c>
      <c r="F5" s="26" t="s">
        <v>161</v>
      </c>
      <c r="G5" s="14">
        <v>54</v>
      </c>
      <c r="H5" s="92">
        <f>IF(B$19=0,0,G5/B$19)</f>
        <v>0.39130434782608697</v>
      </c>
      <c r="I5" s="60">
        <v>11</v>
      </c>
      <c r="K5" s="7">
        <v>3</v>
      </c>
      <c r="L5" s="65">
        <v>-48.5</v>
      </c>
      <c r="N5" s="78" t="s">
        <v>131</v>
      </c>
      <c r="O5" s="84">
        <f t="shared" si="0"/>
        <v>1647.3684210526317</v>
      </c>
      <c r="P5" s="81">
        <v>57</v>
      </c>
      <c r="Q5" s="68">
        <v>93900</v>
      </c>
    </row>
    <row r="6" spans="1:17" x14ac:dyDescent="0.4">
      <c r="A6" s="21" t="s">
        <v>1</v>
      </c>
      <c r="B6" s="137">
        <f>IF(B$2=0,0,(B$7*1+B$8*2+B$9*3)/B$2)</f>
        <v>2.0483870967741935</v>
      </c>
      <c r="C6" s="138"/>
      <c r="E6" s="29" t="s">
        <v>67</v>
      </c>
      <c r="F6" s="26" t="s">
        <v>23</v>
      </c>
      <c r="G6" s="14">
        <v>40</v>
      </c>
      <c r="H6" s="92">
        <f>IF(B$19=0,0,G6/B$19)</f>
        <v>0.28985507246376813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-1290.1960784313726</v>
      </c>
      <c r="P6" s="81">
        <v>51</v>
      </c>
      <c r="Q6" s="68">
        <v>-65800</v>
      </c>
    </row>
    <row r="7" spans="1:17" x14ac:dyDescent="0.4">
      <c r="A7" s="21" t="s">
        <v>2</v>
      </c>
      <c r="B7" s="14">
        <v>20</v>
      </c>
      <c r="C7" s="8">
        <f t="shared" ref="C7:C14" si="1">IF(B$2=0,0,B7/B$2)</f>
        <v>0.32258064516129031</v>
      </c>
      <c r="E7" s="29" t="s">
        <v>68</v>
      </c>
      <c r="F7" s="26" t="s">
        <v>12</v>
      </c>
      <c r="G7" s="14">
        <v>35</v>
      </c>
      <c r="H7" s="92">
        <f>IF(B$19=0,0,G7/B$19)</f>
        <v>0.25362318840579712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-1578.0487804878048</v>
      </c>
      <c r="P7" s="82">
        <v>41</v>
      </c>
      <c r="Q7" s="69">
        <v>-64700</v>
      </c>
    </row>
    <row r="8" spans="1:17" x14ac:dyDescent="0.4">
      <c r="A8" s="21" t="s">
        <v>3</v>
      </c>
      <c r="B8" s="14">
        <v>19</v>
      </c>
      <c r="C8" s="8">
        <f t="shared" si="1"/>
        <v>0.30645161290322581</v>
      </c>
      <c r="E8" s="29" t="s">
        <v>89</v>
      </c>
      <c r="F8" s="26" t="s">
        <v>44</v>
      </c>
      <c r="G8" s="14">
        <v>18</v>
      </c>
      <c r="H8" s="92">
        <f>IF(B$19=0,0,G8/B$19)</f>
        <v>0.13043478260869565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">
      <c r="A9" s="22" t="s">
        <v>4</v>
      </c>
      <c r="B9" s="15">
        <v>23</v>
      </c>
      <c r="C9" s="9">
        <f t="shared" si="1"/>
        <v>0.37096774193548387</v>
      </c>
      <c r="E9" s="29" t="s">
        <v>69</v>
      </c>
      <c r="F9" s="26" t="s">
        <v>24</v>
      </c>
      <c r="G9" s="14">
        <v>14</v>
      </c>
      <c r="H9" s="92">
        <f>IF(B$19=0,0,G9/B$19)</f>
        <v>0.10144927536231885</v>
      </c>
      <c r="I9" s="60">
        <v>11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39.295000000000002</v>
      </c>
      <c r="C10" s="114">
        <v>785.90000000000009</v>
      </c>
      <c r="E10" s="29" t="s">
        <v>65</v>
      </c>
      <c r="F10" s="26" t="s">
        <v>21</v>
      </c>
      <c r="G10" s="14">
        <v>9</v>
      </c>
      <c r="H10" s="92">
        <f>IF(B$19=0,0,G10/B$19)</f>
        <v>6.5217391304347824E-2</v>
      </c>
      <c r="I10" s="60">
        <v>12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5.7971014492753624E-2</v>
      </c>
      <c r="I11" s="60">
        <v>9</v>
      </c>
      <c r="K11" s="7">
        <v>9</v>
      </c>
      <c r="L11" s="65">
        <v>-20.3</v>
      </c>
      <c r="N11" s="78" t="s">
        <v>153</v>
      </c>
      <c r="O11" s="87">
        <f>IF(P11=0,0,Q11/P11)</f>
        <v>0.99047619047619107</v>
      </c>
      <c r="P11" s="81">
        <v>21</v>
      </c>
      <c r="Q11" s="72">
        <v>20.800000000000011</v>
      </c>
    </row>
    <row r="12" spans="1:17" x14ac:dyDescent="0.4">
      <c r="A12" s="22" t="s">
        <v>187</v>
      </c>
      <c r="B12" s="113">
        <f>IF(B9=0,0,C12/B9)</f>
        <v>-35.060869565217388</v>
      </c>
      <c r="C12" s="114">
        <v>-806.39999999999986</v>
      </c>
      <c r="E12" s="29" t="s">
        <v>71</v>
      </c>
      <c r="F12" s="26" t="s">
        <v>26</v>
      </c>
      <c r="G12" s="14">
        <v>8</v>
      </c>
      <c r="H12" s="92">
        <f>IF(B$19=0,0,G12/B$19)</f>
        <v>5.7971014492753624E-2</v>
      </c>
      <c r="I12" s="60">
        <v>7</v>
      </c>
      <c r="K12" s="7">
        <v>10</v>
      </c>
      <c r="L12" s="65">
        <v>-14.9</v>
      </c>
      <c r="N12" s="79" t="s">
        <v>154</v>
      </c>
      <c r="O12" s="88">
        <f>IF(P12=0,0,Q12/P12)</f>
        <v>5.2350000000000012</v>
      </c>
      <c r="P12" s="82">
        <v>20</v>
      </c>
      <c r="Q12" s="73">
        <v>104.70000000000002</v>
      </c>
    </row>
    <row r="13" spans="1:17" x14ac:dyDescent="0.4">
      <c r="A13" s="22" t="s">
        <v>188</v>
      </c>
      <c r="B13" s="123">
        <f>AVERAGE(B10:B12)</f>
        <v>0.30611365369946714</v>
      </c>
      <c r="C13" s="124"/>
      <c r="E13" s="29" t="s">
        <v>83</v>
      </c>
      <c r="F13" s="26" t="s">
        <v>38</v>
      </c>
      <c r="G13" s="14">
        <v>8</v>
      </c>
      <c r="H13" s="92">
        <f>IF(B$19=0,0,G13/B$19)</f>
        <v>5.7971014492753624E-2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8.0645161290322578E-2</v>
      </c>
      <c r="E14" s="29" t="s">
        <v>79</v>
      </c>
      <c r="F14" s="26" t="s">
        <v>34</v>
      </c>
      <c r="G14" s="14">
        <v>6</v>
      </c>
      <c r="H14" s="92">
        <f>IF(B$19=0,0,G14/B$19)</f>
        <v>4.3478260869565216E-2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119</v>
      </c>
      <c r="C15" s="12">
        <f>IF(B$3=0,0,B15/B$3)</f>
        <v>0.2361111111111111</v>
      </c>
      <c r="E15" s="29" t="s">
        <v>78</v>
      </c>
      <c r="F15" s="26" t="s">
        <v>33</v>
      </c>
      <c r="G15" s="14">
        <v>5</v>
      </c>
      <c r="H15" s="92">
        <f>IF(B$19=0,0,G15/B$19)</f>
        <v>3.6231884057971016E-2</v>
      </c>
      <c r="I15" s="60">
        <v>7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">
      <c r="A16" s="21" t="s">
        <v>118</v>
      </c>
      <c r="B16" s="14">
        <v>120</v>
      </c>
      <c r="C16" s="8">
        <f>IF(B$3=0,0,B16/B$3)</f>
        <v>0.23809523809523808</v>
      </c>
      <c r="E16" s="29" t="s">
        <v>91</v>
      </c>
      <c r="F16" s="26" t="s">
        <v>46</v>
      </c>
      <c r="G16" s="14">
        <v>4</v>
      </c>
      <c r="H16" s="92">
        <f>IF(B$19=0,0,G16/B$19)</f>
        <v>2.8985507246376812E-2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">
      <c r="A17" s="20" t="s">
        <v>123</v>
      </c>
      <c r="B17" s="13">
        <f>B23</f>
        <v>63</v>
      </c>
      <c r="C17" s="6">
        <f>IF(B$15=0,0,B17/B$15)</f>
        <v>0.52941176470588236</v>
      </c>
      <c r="E17" s="29" t="s">
        <v>81</v>
      </c>
      <c r="F17" s="26" t="s">
        <v>36</v>
      </c>
      <c r="G17" s="14">
        <v>3</v>
      </c>
      <c r="H17" s="92">
        <f>IF(B$19=0,0,G17/B$19)</f>
        <v>2.1739130434782608E-2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13.673913043478265</v>
      </c>
      <c r="P17" s="81">
        <v>23</v>
      </c>
      <c r="Q17" s="72">
        <v>314.50000000000011</v>
      </c>
    </row>
    <row r="18" spans="1:17" x14ac:dyDescent="0.4">
      <c r="A18" s="20" t="s">
        <v>124</v>
      </c>
      <c r="B18" s="13">
        <f>B24</f>
        <v>49</v>
      </c>
      <c r="C18" s="6">
        <f>IF(B$16=0,0,B18/B$16)</f>
        <v>0.40833333333333333</v>
      </c>
      <c r="E18" s="29" t="s">
        <v>86</v>
      </c>
      <c r="F18" s="26" t="s">
        <v>41</v>
      </c>
      <c r="G18" s="14">
        <v>3</v>
      </c>
      <c r="H18" s="92">
        <f>IF(B$19=0,0,G18/B$19)</f>
        <v>2.1739130434782608E-2</v>
      </c>
      <c r="I18" s="60">
        <v>10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">
      <c r="A19" s="20" t="s">
        <v>10</v>
      </c>
      <c r="B19" s="13">
        <f>B22+B21</f>
        <v>138</v>
      </c>
      <c r="C19" s="6">
        <f>IF(B$3=0,0,B19/B$3)</f>
        <v>0.27380952380952384</v>
      </c>
      <c r="E19" s="29" t="s">
        <v>92</v>
      </c>
      <c r="F19" s="26" t="s">
        <v>47</v>
      </c>
      <c r="G19" s="14">
        <v>3</v>
      </c>
      <c r="H19" s="92">
        <f>IF(B$19=0,0,G19/B$19)</f>
        <v>2.1739130434782608E-2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">
      <c r="A20" s="21" t="s">
        <v>13</v>
      </c>
      <c r="B20" s="14">
        <v>59</v>
      </c>
      <c r="C20" s="8">
        <f>IF(B$3=0,0,B20/B$3)</f>
        <v>0.11706349206349206</v>
      </c>
      <c r="E20" s="29" t="s">
        <v>75</v>
      </c>
      <c r="F20" s="26" t="s">
        <v>30</v>
      </c>
      <c r="G20" s="14">
        <v>1</v>
      </c>
      <c r="H20" s="92">
        <f>IF(B$19=0,0,G20/B$19)</f>
        <v>7.246376811594203E-3</v>
      </c>
      <c r="I20" s="60">
        <v>4</v>
      </c>
      <c r="K20" s="7">
        <v>18</v>
      </c>
      <c r="L20" s="65">
        <v>-201.89999999999998</v>
      </c>
      <c r="N20" s="78" t="s">
        <v>164</v>
      </c>
      <c r="O20" s="87">
        <f>IF(P20=0,0,Q20/P20)</f>
        <v>-2.3038461538461528</v>
      </c>
      <c r="P20" s="81">
        <v>26</v>
      </c>
      <c r="Q20" s="72">
        <v>-59.899999999999977</v>
      </c>
    </row>
    <row r="21" spans="1:17" x14ac:dyDescent="0.4">
      <c r="A21" s="21" t="s">
        <v>12</v>
      </c>
      <c r="B21" s="14">
        <v>59</v>
      </c>
      <c r="C21" s="8">
        <f>IF(B$19=0,0,B21/B$19)</f>
        <v>0.42753623188405798</v>
      </c>
      <c r="E21" s="29" t="s">
        <v>77</v>
      </c>
      <c r="F21" s="26" t="s">
        <v>32</v>
      </c>
      <c r="G21" s="14">
        <v>1</v>
      </c>
      <c r="H21" s="92">
        <f>IF(B$19=0,0,G21/B$19)</f>
        <v>7.246376811594203E-3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">
      <c r="A22" s="21" t="s">
        <v>11</v>
      </c>
      <c r="B22" s="14">
        <v>79</v>
      </c>
      <c r="C22" s="8">
        <f>IF(B$19=0,0,B22/B$19)</f>
        <v>0.57246376811594202</v>
      </c>
      <c r="E22" s="29" t="s">
        <v>85</v>
      </c>
      <c r="F22" s="26" t="s">
        <v>40</v>
      </c>
      <c r="G22" s="14">
        <v>1</v>
      </c>
      <c r="H22" s="92">
        <f>IF(B$19=0,0,G22/B$19)</f>
        <v>7.246376811594203E-3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>IF(P22=0,0,Q22/P22)</f>
        <v>-17.920000000000005</v>
      </c>
      <c r="P22" s="81">
        <v>35</v>
      </c>
      <c r="Q22" s="72">
        <v>-627.20000000000016</v>
      </c>
    </row>
    <row r="23" spans="1:17" x14ac:dyDescent="0.4">
      <c r="A23" s="21" t="s">
        <v>184</v>
      </c>
      <c r="B23" s="14">
        <v>63</v>
      </c>
      <c r="C23" s="8">
        <f>IF(B$19=0,0,B23/B$19)</f>
        <v>0.45652173913043476</v>
      </c>
      <c r="E23" s="29" t="s">
        <v>95</v>
      </c>
      <c r="F23" s="26" t="s">
        <v>50</v>
      </c>
      <c r="G23" s="14">
        <v>1</v>
      </c>
      <c r="H23" s="92">
        <f>IF(B$19=0,0,G23/B$19)</f>
        <v>7.246376811594203E-3</v>
      </c>
      <c r="I23" s="60">
        <v>1</v>
      </c>
      <c r="K23" s="7">
        <v>21</v>
      </c>
      <c r="L23" s="65">
        <v>-76.699999999999989</v>
      </c>
    </row>
    <row r="24" spans="1:17" x14ac:dyDescent="0.4">
      <c r="A24" s="21" t="s">
        <v>182</v>
      </c>
      <c r="B24" s="14">
        <v>49</v>
      </c>
      <c r="C24" s="8">
        <f>IF(B$19=0,0,B24/B$19)</f>
        <v>0.35507246376811596</v>
      </c>
      <c r="E24" s="29" t="s">
        <v>156</v>
      </c>
      <c r="F24" s="26" t="s">
        <v>157</v>
      </c>
      <c r="G24" s="14">
        <v>1</v>
      </c>
      <c r="H24" s="92">
        <f>IF(B$19=0,0,G24/B$19)</f>
        <v>7.246376811594203E-3</v>
      </c>
      <c r="I24" s="60">
        <v>4</v>
      </c>
      <c r="K24" s="7">
        <v>22</v>
      </c>
      <c r="L24" s="65">
        <v>-46.699999999999989</v>
      </c>
    </row>
    <row r="25" spans="1:17" x14ac:dyDescent="0.4">
      <c r="A25" s="21" t="s">
        <v>183</v>
      </c>
      <c r="B25" s="14">
        <v>26</v>
      </c>
      <c r="C25" s="8">
        <f>IF(B$19=0,0,B25/B$19)</f>
        <v>0.18840579710144928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">
      <c r="A26" s="21" t="s">
        <v>5</v>
      </c>
      <c r="B26" s="18">
        <f>IF(B$19=0,0,C26/B$19)</f>
        <v>8257.246376811594</v>
      </c>
      <c r="C26" s="10">
        <v>1139500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">
      <c r="A27" s="22" t="s">
        <v>166</v>
      </c>
      <c r="B27" s="99">
        <f>IF($B$19-B$18=0,0,C27/($B$19-B$18))</f>
        <v>8732.5842696629206</v>
      </c>
      <c r="C27" s="100">
        <v>777200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">
      <c r="A28" s="22" t="s">
        <v>167</v>
      </c>
      <c r="B28" s="99">
        <f>IF(B$18=0,0,C28/B$18)</f>
        <v>7393.8775510204077</v>
      </c>
      <c r="C28" s="100">
        <v>362300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">
      <c r="A29" s="22" t="s">
        <v>165</v>
      </c>
      <c r="B29" s="99">
        <f>IF(B$20=0,0,C29/B$20)</f>
        <v>-8298.3050847457635</v>
      </c>
      <c r="C29" s="100">
        <v>-489600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-58.099999999999987</v>
      </c>
    </row>
    <row r="30" spans="1:17" x14ac:dyDescent="0.4">
      <c r="A30" s="21" t="s">
        <v>158</v>
      </c>
      <c r="B30" s="14">
        <v>6</v>
      </c>
      <c r="C30" s="94">
        <v>0</v>
      </c>
      <c r="E30" s="29" t="s">
        <v>84</v>
      </c>
      <c r="F30" s="26" t="s">
        <v>39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-115.69999999999999</v>
      </c>
    </row>
    <row r="31" spans="1:17" x14ac:dyDescent="0.4">
      <c r="A31" s="21" t="s">
        <v>159</v>
      </c>
      <c r="B31" s="14">
        <v>39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-163.79999999999998</v>
      </c>
    </row>
    <row r="32" spans="1:17" x14ac:dyDescent="0.4">
      <c r="A32" s="56" t="s">
        <v>136</v>
      </c>
      <c r="B32" s="125">
        <v>5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-201</v>
      </c>
    </row>
    <row r="33" spans="1:12" x14ac:dyDescent="0.4">
      <c r="A33" s="24" t="s">
        <v>181</v>
      </c>
      <c r="B33" s="127">
        <v>107400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-181.9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-137.5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-142.19999999999999</v>
      </c>
    </row>
    <row r="36" spans="1:12" x14ac:dyDescent="0.4">
      <c r="A36" s="56" t="s">
        <v>172</v>
      </c>
      <c r="B36" s="121">
        <v>11</v>
      </c>
      <c r="C36" s="102">
        <f t="shared" ref="C36:C48" si="2">IF(B$19=0,0,B36/B$19)</f>
        <v>7.9710144927536225E-2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">
      <c r="A37" s="21" t="s">
        <v>168</v>
      </c>
      <c r="B37" s="14">
        <v>25</v>
      </c>
      <c r="C37" s="8">
        <f t="shared" si="2"/>
        <v>0.18115942028985507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">
      <c r="A38" s="21" t="s">
        <v>169</v>
      </c>
      <c r="B38" s="122">
        <v>33</v>
      </c>
      <c r="C38" s="8">
        <f t="shared" si="2"/>
        <v>0.2391304347826087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">
      <c r="A39" s="21" t="s">
        <v>170</v>
      </c>
      <c r="B39" s="122">
        <v>22</v>
      </c>
      <c r="C39" s="8">
        <f t="shared" si="2"/>
        <v>0.15942028985507245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">
      <c r="A40" s="21" t="s">
        <v>171</v>
      </c>
      <c r="B40" s="122">
        <v>16</v>
      </c>
      <c r="C40" s="8">
        <f t="shared" si="2"/>
        <v>0.11594202898550725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">
      <c r="A41" s="21" t="s">
        <v>173</v>
      </c>
      <c r="B41" s="122">
        <v>9</v>
      </c>
      <c r="C41" s="8">
        <f t="shared" si="2"/>
        <v>6.5217391304347824E-2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">
      <c r="A42" s="21" t="s">
        <v>174</v>
      </c>
      <c r="B42" s="122">
        <v>9</v>
      </c>
      <c r="C42" s="8">
        <f t="shared" si="2"/>
        <v>6.5217391304347824E-2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">
      <c r="A43" s="21" t="s">
        <v>175</v>
      </c>
      <c r="B43" s="122">
        <v>3</v>
      </c>
      <c r="C43" s="8">
        <f t="shared" si="2"/>
        <v>2.1739130434782608E-2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">
      <c r="A44" s="21" t="s">
        <v>176</v>
      </c>
      <c r="B44" s="122">
        <v>2</v>
      </c>
      <c r="C44" s="8">
        <f t="shared" si="2"/>
        <v>1.4492753623188406E-2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">
      <c r="A45" s="21" t="s">
        <v>177</v>
      </c>
      <c r="B45" s="122">
        <v>3</v>
      </c>
      <c r="C45" s="8">
        <f t="shared" si="2"/>
        <v>2.1739130434782608E-2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">
      <c r="A46" s="21" t="s">
        <v>178</v>
      </c>
      <c r="B46" s="122">
        <v>1</v>
      </c>
      <c r="C46" s="8">
        <f t="shared" si="2"/>
        <v>7.246376811594203E-3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">
      <c r="A48" s="23" t="s">
        <v>180</v>
      </c>
      <c r="B48" s="101">
        <v>4</v>
      </c>
      <c r="C48" s="11">
        <f t="shared" si="2"/>
        <v>2.8985507246376812E-2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">
      <c r="K53" s="7">
        <v>51</v>
      </c>
      <c r="L53" s="65">
        <v>-66.299999999999983</v>
      </c>
    </row>
    <row r="54" spans="5:12" x14ac:dyDescent="0.4">
      <c r="K54" s="7">
        <v>52</v>
      </c>
      <c r="L54" s="65">
        <v>-46.09999999999998</v>
      </c>
    </row>
    <row r="55" spans="5:12" x14ac:dyDescent="0.4">
      <c r="K55" s="7">
        <v>53</v>
      </c>
      <c r="L55" s="65">
        <v>-73.59999999999998</v>
      </c>
    </row>
    <row r="56" spans="5:12" x14ac:dyDescent="0.4">
      <c r="K56" s="7">
        <v>54</v>
      </c>
      <c r="L56" s="65">
        <v>-104.39999999999998</v>
      </c>
    </row>
    <row r="57" spans="5:12" x14ac:dyDescent="0.4">
      <c r="K57" s="7">
        <v>55</v>
      </c>
      <c r="L57" s="65">
        <v>-68.199999999999974</v>
      </c>
    </row>
    <row r="58" spans="5:12" x14ac:dyDescent="0.4">
      <c r="K58" s="7">
        <v>56</v>
      </c>
      <c r="L58" s="65">
        <v>-92.099999999999966</v>
      </c>
    </row>
    <row r="59" spans="5:12" x14ac:dyDescent="0.4">
      <c r="K59" s="7">
        <v>57</v>
      </c>
      <c r="L59" s="65">
        <v>-112.99999999999997</v>
      </c>
    </row>
    <row r="60" spans="5:12" x14ac:dyDescent="0.4">
      <c r="K60" s="7">
        <v>58</v>
      </c>
      <c r="L60" s="65">
        <v>-30.599999999999966</v>
      </c>
    </row>
    <row r="61" spans="5:12" x14ac:dyDescent="0.4">
      <c r="K61" s="7">
        <v>59</v>
      </c>
      <c r="L61" s="65">
        <v>-56.299999999999969</v>
      </c>
    </row>
    <row r="62" spans="5:12" x14ac:dyDescent="0.4">
      <c r="K62" s="7">
        <v>60</v>
      </c>
      <c r="L62" s="65">
        <v>-98.69999999999996</v>
      </c>
    </row>
    <row r="63" spans="5:12" x14ac:dyDescent="0.4">
      <c r="K63" s="7">
        <v>61</v>
      </c>
      <c r="L63" s="65">
        <v>-47.69999999999996</v>
      </c>
    </row>
    <row r="64" spans="5:12" x14ac:dyDescent="0.4">
      <c r="K64" s="7">
        <v>62</v>
      </c>
      <c r="L64" s="65">
        <v>-83.499999999999957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FEFE-2D30-43BE-BD28-6AD3565E82ED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41</v>
      </c>
      <c r="C2" s="132"/>
      <c r="E2" s="28" t="s">
        <v>72</v>
      </c>
      <c r="F2" s="25" t="s">
        <v>27</v>
      </c>
      <c r="G2" s="13">
        <v>73</v>
      </c>
      <c r="H2" s="91">
        <f>IF(B$19=0,0,G2/B$19)</f>
        <v>0.69523809523809521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-968.29268292682923</v>
      </c>
      <c r="P2" s="80">
        <v>41</v>
      </c>
      <c r="Q2" s="67">
        <v>-39700</v>
      </c>
    </row>
    <row r="3" spans="1:17" x14ac:dyDescent="0.4">
      <c r="A3" s="21" t="s">
        <v>8</v>
      </c>
      <c r="B3" s="133">
        <v>318</v>
      </c>
      <c r="C3" s="134"/>
      <c r="E3" s="29" t="s">
        <v>66</v>
      </c>
      <c r="F3" s="26" t="s">
        <v>22</v>
      </c>
      <c r="G3" s="14">
        <v>68</v>
      </c>
      <c r="H3" s="92">
        <f>IF(B$19=0,0,G3/B$19)</f>
        <v>0.64761904761904765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-1477.5</v>
      </c>
      <c r="P3" s="81">
        <v>40</v>
      </c>
      <c r="Q3" s="68">
        <v>-59100</v>
      </c>
    </row>
    <row r="4" spans="1:17" x14ac:dyDescent="0.4">
      <c r="A4" s="21" t="s">
        <v>6</v>
      </c>
      <c r="B4" s="135">
        <v>63.3</v>
      </c>
      <c r="C4" s="136"/>
      <c r="E4" s="29" t="s">
        <v>160</v>
      </c>
      <c r="F4" s="26" t="s">
        <v>161</v>
      </c>
      <c r="G4" s="14">
        <v>34</v>
      </c>
      <c r="H4" s="92">
        <f>IF(B$19=0,0,G4/B$19)</f>
        <v>0.32380952380952382</v>
      </c>
      <c r="I4" s="60">
        <v>12</v>
      </c>
      <c r="K4" s="7">
        <v>2</v>
      </c>
      <c r="L4" s="65">
        <v>137.5</v>
      </c>
      <c r="N4" s="78" t="s">
        <v>130</v>
      </c>
      <c r="O4" s="84">
        <f t="shared" si="0"/>
        <v>2538.8888888888887</v>
      </c>
      <c r="P4" s="81">
        <v>36</v>
      </c>
      <c r="Q4" s="68">
        <v>91400</v>
      </c>
    </row>
    <row r="5" spans="1:17" x14ac:dyDescent="0.4">
      <c r="A5" s="21" t="s">
        <v>7</v>
      </c>
      <c r="B5" s="123">
        <f>IF(B$2=0,0,B$4/B$2)</f>
        <v>1.5439024390243903</v>
      </c>
      <c r="C5" s="124"/>
      <c r="E5" s="29" t="s">
        <v>64</v>
      </c>
      <c r="F5" s="26" t="s">
        <v>20</v>
      </c>
      <c r="G5" s="14">
        <v>29</v>
      </c>
      <c r="H5" s="92">
        <f>IF(B$19=0,0,G5/B$19)</f>
        <v>0.27619047619047621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-1112.121212121212</v>
      </c>
      <c r="P5" s="81">
        <v>33</v>
      </c>
      <c r="Q5" s="68">
        <v>-36700</v>
      </c>
    </row>
    <row r="6" spans="1:17" x14ac:dyDescent="0.4">
      <c r="A6" s="21" t="s">
        <v>1</v>
      </c>
      <c r="B6" s="137">
        <f>IF(B$2=0,0,(B$7*1+B$8*2+B$9*3)/B$2)</f>
        <v>1.9512195121951219</v>
      </c>
      <c r="C6" s="138"/>
      <c r="E6" s="29" t="s">
        <v>68</v>
      </c>
      <c r="F6" s="26" t="s">
        <v>12</v>
      </c>
      <c r="G6" s="14">
        <v>25</v>
      </c>
      <c r="H6" s="92">
        <f>IF(B$19=0,0,G6/B$19)</f>
        <v>0.23809523809523808</v>
      </c>
      <c r="I6" s="60">
        <v>12</v>
      </c>
      <c r="K6" s="7">
        <v>4</v>
      </c>
      <c r="L6" s="65">
        <v>112.4</v>
      </c>
      <c r="N6" s="78" t="s">
        <v>132</v>
      </c>
      <c r="O6" s="84">
        <f t="shared" si="0"/>
        <v>1657.1428571428571</v>
      </c>
      <c r="P6" s="81">
        <v>28</v>
      </c>
      <c r="Q6" s="68">
        <v>46400</v>
      </c>
    </row>
    <row r="7" spans="1:17" x14ac:dyDescent="0.4">
      <c r="A7" s="21" t="s">
        <v>2</v>
      </c>
      <c r="B7" s="14">
        <v>14</v>
      </c>
      <c r="C7" s="8">
        <f t="shared" ref="C7:C14" si="1">IF(B$2=0,0,B7/B$2)</f>
        <v>0.34146341463414637</v>
      </c>
      <c r="E7" s="29" t="s">
        <v>67</v>
      </c>
      <c r="F7" s="26" t="s">
        <v>23</v>
      </c>
      <c r="G7" s="14">
        <v>22</v>
      </c>
      <c r="H7" s="92">
        <f>IF(B$19=0,0,G7/B$19)</f>
        <v>0.20952380952380953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673.07692307692309</v>
      </c>
      <c r="P7" s="82">
        <v>26</v>
      </c>
      <c r="Q7" s="69">
        <v>17500</v>
      </c>
    </row>
    <row r="8" spans="1:17" x14ac:dyDescent="0.4">
      <c r="A8" s="21" t="s">
        <v>3</v>
      </c>
      <c r="B8" s="14">
        <v>15</v>
      </c>
      <c r="C8" s="8">
        <f t="shared" si="1"/>
        <v>0.36585365853658536</v>
      </c>
      <c r="E8" s="29" t="s">
        <v>69</v>
      </c>
      <c r="F8" s="26" t="s">
        <v>24</v>
      </c>
      <c r="G8" s="14">
        <v>15</v>
      </c>
      <c r="H8" s="92">
        <f>IF(B$19=0,0,G8/B$19)</f>
        <v>0.14285714285714285</v>
      </c>
      <c r="I8" s="60">
        <v>5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">
      <c r="A9" s="22" t="s">
        <v>4</v>
      </c>
      <c r="B9" s="15">
        <v>12</v>
      </c>
      <c r="C9" s="9">
        <f t="shared" si="1"/>
        <v>0.29268292682926828</v>
      </c>
      <c r="E9" s="29" t="s">
        <v>83</v>
      </c>
      <c r="F9" s="26" t="s">
        <v>38</v>
      </c>
      <c r="G9" s="14">
        <v>11</v>
      </c>
      <c r="H9" s="92">
        <f>IF(B$19=0,0,G9/B$19)</f>
        <v>0.10476190476190476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37.621428571428574</v>
      </c>
      <c r="C10" s="114">
        <v>526.70000000000005</v>
      </c>
      <c r="E10" s="29" t="s">
        <v>89</v>
      </c>
      <c r="F10" s="26" t="s">
        <v>44</v>
      </c>
      <c r="G10" s="14">
        <v>11</v>
      </c>
      <c r="H10" s="92">
        <f>IF(B$19=0,0,G10/B$19)</f>
        <v>0.10476190476190476</v>
      </c>
      <c r="I10" s="60">
        <v>10</v>
      </c>
      <c r="K10" s="7">
        <v>8</v>
      </c>
      <c r="L10" s="65">
        <v>96.800000000000011</v>
      </c>
      <c r="N10" s="77" t="s">
        <v>152</v>
      </c>
      <c r="O10" s="86">
        <f>IF(P10=0,0,Q10/P10)</f>
        <v>-5.2749999999999986</v>
      </c>
      <c r="P10" s="80">
        <v>12</v>
      </c>
      <c r="Q10" s="71">
        <v>-63.299999999999983</v>
      </c>
    </row>
    <row r="11" spans="1:17" x14ac:dyDescent="0.4">
      <c r="A11" s="22" t="s">
        <v>186</v>
      </c>
      <c r="B11" s="113">
        <f>IF(B8=0,0,C11/B8)</f>
        <v>-0.2600000000000004</v>
      </c>
      <c r="C11" s="114">
        <v>-3.9000000000000057</v>
      </c>
      <c r="E11" s="29" t="s">
        <v>65</v>
      </c>
      <c r="F11" s="26" t="s">
        <v>21</v>
      </c>
      <c r="G11" s="14">
        <v>9</v>
      </c>
      <c r="H11" s="92">
        <f>IF(B$19=0,0,G11/B$19)</f>
        <v>8.5714285714285715E-2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-1.4714285714285718</v>
      </c>
      <c r="P11" s="81">
        <v>14</v>
      </c>
      <c r="Q11" s="72">
        <v>-20.600000000000005</v>
      </c>
    </row>
    <row r="12" spans="1:17" x14ac:dyDescent="0.4">
      <c r="A12" s="22" t="s">
        <v>187</v>
      </c>
      <c r="B12" s="113">
        <f>IF(B9=0,0,C12/B9)</f>
        <v>-38.291666666666664</v>
      </c>
      <c r="C12" s="114">
        <v>-459.5</v>
      </c>
      <c r="E12" s="29" t="s">
        <v>81</v>
      </c>
      <c r="F12" s="26" t="s">
        <v>36</v>
      </c>
      <c r="G12" s="14">
        <v>6</v>
      </c>
      <c r="H12" s="92">
        <f>IF(B$19=0,0,G12/B$19)</f>
        <v>5.7142857142857141E-2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9.8133333333333308</v>
      </c>
      <c r="P12" s="82">
        <v>15</v>
      </c>
      <c r="Q12" s="73">
        <v>147.19999999999996</v>
      </c>
    </row>
    <row r="13" spans="1:17" x14ac:dyDescent="0.4">
      <c r="A13" s="22" t="s">
        <v>188</v>
      </c>
      <c r="B13" s="123">
        <f>AVERAGE(B10:B12)</f>
        <v>-0.3100793650793629</v>
      </c>
      <c r="C13" s="124"/>
      <c r="E13" s="29" t="s">
        <v>70</v>
      </c>
      <c r="F13" s="26" t="s">
        <v>25</v>
      </c>
      <c r="G13" s="14">
        <v>4</v>
      </c>
      <c r="H13" s="92">
        <f>IF(B$19=0,0,G13/B$19)</f>
        <v>3.8095238095238099E-2</v>
      </c>
      <c r="I13" s="60">
        <v>10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7</v>
      </c>
      <c r="C14" s="11">
        <f t="shared" si="1"/>
        <v>0.17073170731707318</v>
      </c>
      <c r="E14" s="29" t="s">
        <v>78</v>
      </c>
      <c r="F14" s="26" t="s">
        <v>33</v>
      </c>
      <c r="G14" s="14">
        <v>4</v>
      </c>
      <c r="H14" s="92">
        <f>IF(B$19=0,0,G14/B$19)</f>
        <v>3.8095238095238099E-2</v>
      </c>
      <c r="I14" s="60">
        <v>6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51</v>
      </c>
      <c r="C15" s="12">
        <f>IF(B$3=0,0,B15/B$3)</f>
        <v>0.16037735849056603</v>
      </c>
      <c r="E15" s="29" t="s">
        <v>71</v>
      </c>
      <c r="F15" s="26" t="s">
        <v>26</v>
      </c>
      <c r="G15" s="14">
        <v>3</v>
      </c>
      <c r="H15" s="92">
        <f>IF(B$19=0,0,G15/B$19)</f>
        <v>2.8571428571428571E-2</v>
      </c>
      <c r="I15" s="60">
        <v>10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">
      <c r="A16" s="21" t="s">
        <v>118</v>
      </c>
      <c r="B16" s="14">
        <v>111</v>
      </c>
      <c r="C16" s="8">
        <f>IF(B$3=0,0,B16/B$3)</f>
        <v>0.34905660377358488</v>
      </c>
      <c r="E16" s="29" t="s">
        <v>86</v>
      </c>
      <c r="F16" s="26" t="s">
        <v>41</v>
      </c>
      <c r="G16" s="14">
        <v>3</v>
      </c>
      <c r="H16" s="92">
        <f>IF(B$19=0,0,G16/B$19)</f>
        <v>2.8571428571428571E-2</v>
      </c>
      <c r="I16" s="60">
        <v>9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">
      <c r="A17" s="20" t="s">
        <v>123</v>
      </c>
      <c r="B17" s="13">
        <f>B23</f>
        <v>30</v>
      </c>
      <c r="C17" s="6">
        <f>IF(B$15=0,0,B17/B$15)</f>
        <v>0.58823529411764708</v>
      </c>
      <c r="E17" s="29" t="s">
        <v>77</v>
      </c>
      <c r="F17" s="26" t="s">
        <v>32</v>
      </c>
      <c r="G17" s="14">
        <v>2</v>
      </c>
      <c r="H17" s="92">
        <f>IF(B$19=0,0,G17/B$19)</f>
        <v>1.9047619047619049E-2</v>
      </c>
      <c r="I17" s="60">
        <v>3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">
      <c r="A18" s="20" t="s">
        <v>124</v>
      </c>
      <c r="B18" s="13">
        <f>B24</f>
        <v>49</v>
      </c>
      <c r="C18" s="6">
        <f>IF(B$16=0,0,B18/B$16)</f>
        <v>0.44144144144144143</v>
      </c>
      <c r="E18" s="29" t="s">
        <v>79</v>
      </c>
      <c r="F18" s="26" t="s">
        <v>34</v>
      </c>
      <c r="G18" s="14">
        <v>2</v>
      </c>
      <c r="H18" s="92">
        <f>IF(B$19=0,0,G18/B$19)</f>
        <v>1.9047619047619049E-2</v>
      </c>
      <c r="I18" s="60">
        <v>7</v>
      </c>
      <c r="K18" s="7">
        <v>16</v>
      </c>
      <c r="L18" s="65">
        <v>119.3</v>
      </c>
      <c r="N18" s="78" t="s">
        <v>243</v>
      </c>
      <c r="O18" s="87">
        <f>IF(P18=0,0,Q18/P18)</f>
        <v>17.033333333333331</v>
      </c>
      <c r="P18" s="81">
        <v>3</v>
      </c>
      <c r="Q18" s="72">
        <v>51.099999999999994</v>
      </c>
    </row>
    <row r="19" spans="1:17" x14ac:dyDescent="0.4">
      <c r="A19" s="20" t="s">
        <v>10</v>
      </c>
      <c r="B19" s="13">
        <f>B22+B21</f>
        <v>105</v>
      </c>
      <c r="C19" s="6">
        <f>IF(B$3=0,0,B19/B$3)</f>
        <v>0.330188679245283</v>
      </c>
      <c r="E19" s="29" t="s">
        <v>85</v>
      </c>
      <c r="F19" s="26" t="s">
        <v>40</v>
      </c>
      <c r="G19" s="14">
        <v>2</v>
      </c>
      <c r="H19" s="92">
        <f>IF(B$19=0,0,G19/B$19)</f>
        <v>1.9047619047619049E-2</v>
      </c>
      <c r="I19" s="60">
        <v>1</v>
      </c>
      <c r="K19" s="7">
        <v>17</v>
      </c>
      <c r="L19" s="65">
        <v>71.699999999999989</v>
      </c>
      <c r="N19" s="78" t="s">
        <v>164</v>
      </c>
      <c r="O19" s="87">
        <f>IF(P19=0,0,Q19/P19)</f>
        <v>8.5357142857142829</v>
      </c>
      <c r="P19" s="81">
        <v>14</v>
      </c>
      <c r="Q19" s="72">
        <v>119.49999999999997</v>
      </c>
    </row>
    <row r="20" spans="1:17" x14ac:dyDescent="0.4">
      <c r="A20" s="21" t="s">
        <v>13</v>
      </c>
      <c r="B20" s="14">
        <v>45</v>
      </c>
      <c r="C20" s="8">
        <f>IF(B$3=0,0,B20/B$3)</f>
        <v>0.14150943396226415</v>
      </c>
      <c r="E20" s="29" t="s">
        <v>74</v>
      </c>
      <c r="F20" s="26" t="s">
        <v>29</v>
      </c>
      <c r="G20" s="14">
        <v>1</v>
      </c>
      <c r="H20" s="92">
        <f>IF(B$19=0,0,G20/B$19)</f>
        <v>9.5238095238095247E-3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">
      <c r="A21" s="21" t="s">
        <v>12</v>
      </c>
      <c r="B21" s="14">
        <v>47</v>
      </c>
      <c r="C21" s="8">
        <f>IF(B$19=0,0,B21/B$19)</f>
        <v>0.44761904761904764</v>
      </c>
      <c r="E21" s="29" t="s">
        <v>75</v>
      </c>
      <c r="F21" s="26" t="s">
        <v>30</v>
      </c>
      <c r="G21" s="14">
        <v>1</v>
      </c>
      <c r="H21" s="92">
        <f>IF(B$19=0,0,G21/B$19)</f>
        <v>9.5238095238095247E-3</v>
      </c>
      <c r="I21" s="60">
        <v>3</v>
      </c>
      <c r="K21" s="7">
        <v>19</v>
      </c>
      <c r="L21" s="65">
        <v>100.1</v>
      </c>
      <c r="N21" s="78" t="s">
        <v>192</v>
      </c>
      <c r="O21" s="87">
        <f>IF(P21=0,0,Q21/P21)</f>
        <v>-13.673913043478265</v>
      </c>
      <c r="P21" s="81">
        <v>23</v>
      </c>
      <c r="Q21" s="72">
        <v>-314.50000000000011</v>
      </c>
    </row>
    <row r="22" spans="1:17" x14ac:dyDescent="0.4">
      <c r="A22" s="21" t="s">
        <v>11</v>
      </c>
      <c r="B22" s="14">
        <v>58</v>
      </c>
      <c r="C22" s="8">
        <f>IF(B$19=0,0,B22/B$19)</f>
        <v>0.55238095238095242</v>
      </c>
      <c r="E22" s="29" t="s">
        <v>88</v>
      </c>
      <c r="F22" s="26" t="s">
        <v>43</v>
      </c>
      <c r="G22" s="14">
        <v>1</v>
      </c>
      <c r="H22" s="92">
        <f>IF(B$19=0,0,G22/B$19)</f>
        <v>9.5238095238095247E-3</v>
      </c>
      <c r="I22" s="60">
        <v>1</v>
      </c>
      <c r="K22" s="7">
        <v>20</v>
      </c>
      <c r="L22" s="65">
        <v>52.8</v>
      </c>
      <c r="N22" s="78" t="s">
        <v>126</v>
      </c>
      <c r="O22" s="87">
        <f>IF(P22=0,0,Q22/P22)</f>
        <v>-18.461111111111112</v>
      </c>
      <c r="P22" s="81">
        <v>18</v>
      </c>
      <c r="Q22" s="72">
        <v>-332.3</v>
      </c>
    </row>
    <row r="23" spans="1:17" x14ac:dyDescent="0.4">
      <c r="A23" s="21" t="s">
        <v>184</v>
      </c>
      <c r="B23" s="14">
        <v>30</v>
      </c>
      <c r="C23" s="8">
        <f>IF(B$19=0,0,B23/B$19)</f>
        <v>0.2857142857142857</v>
      </c>
      <c r="E23" s="29" t="s">
        <v>102</v>
      </c>
      <c r="F23" s="26" t="s">
        <v>57</v>
      </c>
      <c r="G23" s="14">
        <v>1</v>
      </c>
      <c r="H23" s="92">
        <f>IF(B$19=0,0,G23/B$19)</f>
        <v>9.5238095238095247E-3</v>
      </c>
      <c r="I23" s="60">
        <v>1</v>
      </c>
      <c r="K23" s="7">
        <v>21</v>
      </c>
      <c r="L23" s="65">
        <v>41</v>
      </c>
    </row>
    <row r="24" spans="1:17" x14ac:dyDescent="0.4">
      <c r="A24" s="21" t="s">
        <v>182</v>
      </c>
      <c r="B24" s="14">
        <v>49</v>
      </c>
      <c r="C24" s="8">
        <f>IF(B$19=0,0,B24/B$19)</f>
        <v>0.46666666666666667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">
      <c r="A25" s="21" t="s">
        <v>183</v>
      </c>
      <c r="B25" s="14">
        <v>26</v>
      </c>
      <c r="C25" s="8">
        <f>IF(B$19=0,0,B25/B$19)</f>
        <v>0.24761904761904763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">
      <c r="A26" s="21" t="s">
        <v>5</v>
      </c>
      <c r="B26" s="18">
        <f>IF(B$19=0,0,C26/B$19)</f>
        <v>7329.5238095238092</v>
      </c>
      <c r="C26" s="10">
        <v>769600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">
      <c r="A27" s="22" t="s">
        <v>166</v>
      </c>
      <c r="B27" s="99">
        <f>IF($B$19-B$18=0,0,C27/($B$19-B$18))</f>
        <v>8576.7857142857138</v>
      </c>
      <c r="C27" s="100">
        <v>480300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">
      <c r="A28" s="22" t="s">
        <v>167</v>
      </c>
      <c r="B28" s="99">
        <f>IF(B$18=0,0,C28/B$18)</f>
        <v>5904.0816326530612</v>
      </c>
      <c r="C28" s="100">
        <v>289300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">
      <c r="A29" s="22" t="s">
        <v>165</v>
      </c>
      <c r="B29" s="99">
        <f>IF(B$20=0,0,C29/B$20)</f>
        <v>-8168.8888888888887</v>
      </c>
      <c r="C29" s="100">
        <v>-367600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">
      <c r="A31" s="21" t="s">
        <v>159</v>
      </c>
      <c r="B31" s="14">
        <v>27</v>
      </c>
      <c r="C31" s="94">
        <v>4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84.500000000000014</v>
      </c>
    </row>
    <row r="36" spans="1:12" x14ac:dyDescent="0.4">
      <c r="A36" s="56" t="s">
        <v>172</v>
      </c>
      <c r="B36" s="121">
        <v>11</v>
      </c>
      <c r="C36" s="102">
        <f t="shared" ref="C36:C48" si="2">IF(B$19=0,0,B36/B$19)</f>
        <v>0.10476190476190476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">
      <c r="A37" s="21" t="s">
        <v>168</v>
      </c>
      <c r="B37" s="14">
        <v>27</v>
      </c>
      <c r="C37" s="8">
        <f t="shared" si="2"/>
        <v>0.25714285714285712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">
      <c r="A38" s="21" t="s">
        <v>169</v>
      </c>
      <c r="B38" s="122">
        <v>19</v>
      </c>
      <c r="C38" s="8">
        <f t="shared" si="2"/>
        <v>0.18095238095238095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">
      <c r="A39" s="21" t="s">
        <v>170</v>
      </c>
      <c r="B39" s="122">
        <v>13</v>
      </c>
      <c r="C39" s="8">
        <f t="shared" si="2"/>
        <v>0.12380952380952381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">
      <c r="A40" s="21" t="s">
        <v>171</v>
      </c>
      <c r="B40" s="122">
        <v>19</v>
      </c>
      <c r="C40" s="8">
        <f t="shared" si="2"/>
        <v>0.18095238095238095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106.9</v>
      </c>
    </row>
    <row r="41" spans="1:12" x14ac:dyDescent="0.4">
      <c r="A41" s="21" t="s">
        <v>173</v>
      </c>
      <c r="B41" s="122">
        <v>8</v>
      </c>
      <c r="C41" s="8">
        <f t="shared" si="2"/>
        <v>7.6190476190476197E-2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130.1</v>
      </c>
    </row>
    <row r="42" spans="1:12" x14ac:dyDescent="0.4">
      <c r="A42" s="21" t="s">
        <v>174</v>
      </c>
      <c r="B42" s="122">
        <v>5</v>
      </c>
      <c r="C42" s="8">
        <f t="shared" si="2"/>
        <v>4.7619047619047616E-2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84.1</v>
      </c>
    </row>
    <row r="43" spans="1:12" x14ac:dyDescent="0.4">
      <c r="A43" s="21" t="s">
        <v>175</v>
      </c>
      <c r="B43" s="122">
        <v>1</v>
      </c>
      <c r="C43" s="8">
        <f t="shared" si="2"/>
        <v>9.5238095238095247E-3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63.3</v>
      </c>
    </row>
    <row r="44" spans="1:12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9.5238095238095247E-3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9.5238095238095247E-3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43727-2FB5-478F-BC08-2DD351CB4BE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10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10</v>
      </c>
      <c r="Q2" s="67">
        <v>33700</v>
      </c>
    </row>
    <row r="3" spans="1:17" x14ac:dyDescent="0.4">
      <c r="A3" s="21" t="s">
        <v>8</v>
      </c>
      <c r="B3" s="133">
        <v>81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-740</v>
      </c>
      <c r="P3" s="81">
        <v>10</v>
      </c>
      <c r="Q3" s="68">
        <v>-7400</v>
      </c>
    </row>
    <row r="4" spans="1:17" x14ac:dyDescent="0.4">
      <c r="A4" s="21" t="s">
        <v>6</v>
      </c>
      <c r="B4" s="135">
        <v>-13.400000000000013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-3850</v>
      </c>
      <c r="P4" s="81">
        <v>10</v>
      </c>
      <c r="Q4" s="68">
        <v>-38500</v>
      </c>
    </row>
    <row r="5" spans="1:17" x14ac:dyDescent="0.4">
      <c r="A5" s="21" t="s">
        <v>7</v>
      </c>
      <c r="B5" s="123">
        <f>IF(B$2=0,0,B$4/B$2)</f>
        <v>-1.3400000000000012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-5450</v>
      </c>
      <c r="P5" s="81">
        <v>8</v>
      </c>
      <c r="Q5" s="68">
        <v>-43600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5142.8571428571431</v>
      </c>
      <c r="P6" s="81">
        <v>7</v>
      </c>
      <c r="Q6" s="68">
        <v>36000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100</v>
      </c>
      <c r="P7" s="82">
        <v>4</v>
      </c>
      <c r="Q7" s="69">
        <v>400</v>
      </c>
    </row>
    <row r="8" spans="1:17" x14ac:dyDescent="0.4">
      <c r="A8" s="21" t="s">
        <v>3</v>
      </c>
      <c r="B8" s="14">
        <v>6</v>
      </c>
      <c r="C8" s="8">
        <f t="shared" si="1"/>
        <v>0.6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2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2</v>
      </c>
      <c r="K10" s="7">
        <v>8</v>
      </c>
      <c r="L10" s="65">
        <v>7.4999999999999858</v>
      </c>
      <c r="N10" s="77" t="s">
        <v>152</v>
      </c>
      <c r="O10" s="86">
        <f>IF(P10=0,0,Q10/P10)</f>
        <v>-0.97999999999999976</v>
      </c>
      <c r="P10" s="80">
        <v>5</v>
      </c>
      <c r="Q10" s="71">
        <v>-4.8999999999999986</v>
      </c>
    </row>
    <row r="11" spans="1:17" x14ac:dyDescent="0.4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">
      <c r="A12" s="22" t="s">
        <v>187</v>
      </c>
      <c r="B12" s="113">
        <f>IF(B9=0,0,C12/B9)</f>
        <v>-23.9</v>
      </c>
      <c r="C12" s="114">
        <v>-47.8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12</v>
      </c>
      <c r="K12" s="7">
        <v>10</v>
      </c>
      <c r="L12" s="65">
        <v>-13.400000000000013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">
      <c r="A13" s="22" t="s">
        <v>188</v>
      </c>
      <c r="B13" s="123">
        <f>AVERAGE(B10:B12)</f>
        <v>5.644444444444443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21</v>
      </c>
      <c r="C15" s="12">
        <f>IF(B$3=0,0,B15/B$3)</f>
        <v>0.25925925925925924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">
      <c r="A16" s="21" t="s">
        <v>118</v>
      </c>
      <c r="B16" s="14">
        <v>11</v>
      </c>
      <c r="C16" s="8">
        <f>IF(B$3=0,0,B16/B$3)</f>
        <v>0.13580246913580246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192</v>
      </c>
      <c r="O16" s="87">
        <f>IF(P16=0,0,Q16/P16)</f>
        <v>14.162500000000003</v>
      </c>
      <c r="P16" s="81">
        <v>8</v>
      </c>
      <c r="Q16" s="72">
        <v>113.30000000000003</v>
      </c>
    </row>
    <row r="17" spans="1:17" x14ac:dyDescent="0.4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164</v>
      </c>
      <c r="O17" s="87">
        <f>IF(P17=0,0,Q17/P17)</f>
        <v>0.7399999999999991</v>
      </c>
      <c r="P17" s="81">
        <v>5</v>
      </c>
      <c r="Q17" s="72">
        <v>3.6999999999999957</v>
      </c>
    </row>
    <row r="18" spans="1:17" x14ac:dyDescent="0.4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">
      <c r="A19" s="20" t="s">
        <v>10</v>
      </c>
      <c r="B19" s="13">
        <f>B22+B21</f>
        <v>19</v>
      </c>
      <c r="C19" s="6">
        <f>IF(B$3=0,0,B19/B$3)</f>
        <v>0.23456790123456789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-37.733333333333334</v>
      </c>
      <c r="P19" s="81">
        <v>3</v>
      </c>
      <c r="Q19" s="72">
        <v>-113.2</v>
      </c>
    </row>
    <row r="20" spans="1:17" x14ac:dyDescent="0.4">
      <c r="A20" s="21" t="s">
        <v>13</v>
      </c>
      <c r="B20" s="14">
        <v>6</v>
      </c>
      <c r="C20" s="8">
        <f>IF(B$3=0,0,B20/B$3)</f>
        <v>7.407407407407407E-2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-3916.6666666666665</v>
      </c>
      <c r="C29" s="100">
        <v>-23500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29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35FB-400A-4FB4-B03D-520B43E5D4E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42</v>
      </c>
      <c r="C2" s="132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">
      <c r="A3" s="21" t="s">
        <v>8</v>
      </c>
      <c r="B3" s="133">
        <v>323</v>
      </c>
      <c r="C3" s="134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">
      <c r="A4" s="21" t="s">
        <v>6</v>
      </c>
      <c r="B4" s="135">
        <v>-193.20000000000002</v>
      </c>
      <c r="C4" s="136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">
      <c r="A5" s="21" t="s">
        <v>7</v>
      </c>
      <c r="B5" s="123">
        <f>IF(B$2=0,0,B$4/B$2)</f>
        <v>-4.6000000000000005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">
      <c r="A6" s="21" t="s">
        <v>1</v>
      </c>
      <c r="B6" s="137">
        <f>IF(B$2=0,0,(B$7*1+B$8*2+B$9*3)/B$2)</f>
        <v>2.0952380952380953</v>
      </c>
      <c r="C6" s="138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7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6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">
      <c r="A13" s="22" t="s">
        <v>188</v>
      </c>
      <c r="B13" s="123">
        <f>AVERAGE(B10:B12)</f>
        <v>-1.1235119047619051</v>
      </c>
      <c r="C13" s="124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7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>IF(P15=0,0,Q15/P15)</f>
        <v>0.84166666666666501</v>
      </c>
      <c r="P15" s="80">
        <v>12</v>
      </c>
      <c r="Q15" s="71">
        <v>10.09999999999998</v>
      </c>
    </row>
    <row r="16" spans="1:17" x14ac:dyDescent="0.4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0.79166666666666663</v>
      </c>
      <c r="P16" s="81">
        <v>12</v>
      </c>
      <c r="Q16" s="72">
        <v>9.5</v>
      </c>
    </row>
    <row r="17" spans="1:17" x14ac:dyDescent="0.4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>IF(P17=0,0,Q17/P17)</f>
        <v>-4.8999999999999986</v>
      </c>
      <c r="P17" s="81">
        <v>2</v>
      </c>
      <c r="Q17" s="72">
        <v>-9.7999999999999972</v>
      </c>
    </row>
    <row r="18" spans="1:17" x14ac:dyDescent="0.4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>IF(P18=0,0,Q18/P18)</f>
        <v>-5.4470588235294146</v>
      </c>
      <c r="P18" s="81">
        <v>17</v>
      </c>
      <c r="Q18" s="72">
        <v>-92.600000000000051</v>
      </c>
    </row>
    <row r="19" spans="1:17" x14ac:dyDescent="0.4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>IF(P19=0,0,Q19/P19)</f>
        <v>-8.2694444444444475</v>
      </c>
      <c r="P19" s="81">
        <v>36</v>
      </c>
      <c r="Q19" s="72">
        <v>-297.7000000000001</v>
      </c>
    </row>
    <row r="20" spans="1:17" x14ac:dyDescent="0.4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>IF(P20=0,0,Q20/P20)</f>
        <v>-35.35</v>
      </c>
      <c r="P20" s="81">
        <v>4</v>
      </c>
      <c r="Q20" s="72">
        <v>-141.4</v>
      </c>
    </row>
    <row r="21" spans="1:17" x14ac:dyDescent="0.4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>IF(P21=0,0,Q21/P21)</f>
        <v>-57.7</v>
      </c>
      <c r="P21" s="81">
        <v>1</v>
      </c>
      <c r="Q21" s="72">
        <v>-57.7</v>
      </c>
    </row>
    <row r="22" spans="1:17" x14ac:dyDescent="0.4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">
      <c r="A32" s="56" t="s">
        <v>136</v>
      </c>
      <c r="B32" s="125">
        <v>10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-199.60000000000002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">
      <c r="A36" s="56" t="s">
        <v>172</v>
      </c>
      <c r="B36" s="121">
        <v>8</v>
      </c>
      <c r="C36" s="102">
        <f t="shared" ref="C36:C48" si="2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">
      <c r="A37" s="21" t="s">
        <v>168</v>
      </c>
      <c r="B37" s="14">
        <v>25</v>
      </c>
      <c r="C37" s="8">
        <f t="shared" si="2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">
      <c r="A38" s="21" t="s">
        <v>169</v>
      </c>
      <c r="B38" s="122">
        <v>15</v>
      </c>
      <c r="C38" s="8">
        <f t="shared" si="2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">
      <c r="A39" s="21" t="s">
        <v>170</v>
      </c>
      <c r="B39" s="122">
        <v>19</v>
      </c>
      <c r="C39" s="8">
        <f t="shared" si="2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">
      <c r="A40" s="21" t="s">
        <v>171</v>
      </c>
      <c r="B40" s="122">
        <v>13</v>
      </c>
      <c r="C40" s="8">
        <f t="shared" si="2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">
      <c r="A41" s="21" t="s">
        <v>173</v>
      </c>
      <c r="B41" s="122">
        <v>9</v>
      </c>
      <c r="C41" s="8">
        <f t="shared" si="2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">
      <c r="A42" s="21" t="s">
        <v>174</v>
      </c>
      <c r="B42" s="122">
        <v>4</v>
      </c>
      <c r="C42" s="8">
        <f t="shared" si="2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">
      <c r="A43" s="21" t="s">
        <v>175</v>
      </c>
      <c r="B43" s="122">
        <v>3</v>
      </c>
      <c r="C43" s="8">
        <f t="shared" si="2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">
      <c r="A44" s="21" t="s">
        <v>176</v>
      </c>
      <c r="B44" s="122">
        <v>1</v>
      </c>
      <c r="C44" s="8">
        <f t="shared" si="2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">
      <c r="A45" s="21" t="s">
        <v>177</v>
      </c>
      <c r="B45" s="122">
        <v>1</v>
      </c>
      <c r="C45" s="8">
        <f t="shared" si="2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2</v>
      </c>
      <c r="C46" s="8">
        <f t="shared" si="2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1</v>
      </c>
      <c r="C47" s="8">
        <f t="shared" si="2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20C7-83A6-482B-A0A2-B57AD32A8FF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212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7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8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3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11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350EE-865E-423D-BC94-814264AB61E6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240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">
      <c r="A3" s="21" t="s">
        <v>8</v>
      </c>
      <c r="B3" s="133">
        <v>41</v>
      </c>
      <c r="C3" s="134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-3700</v>
      </c>
      <c r="P3" s="81">
        <v>5</v>
      </c>
      <c r="Q3" s="68">
        <v>-18500</v>
      </c>
    </row>
    <row r="4" spans="1:17" x14ac:dyDescent="0.4">
      <c r="A4" s="21" t="s">
        <v>6</v>
      </c>
      <c r="B4" s="135">
        <v>-113.70000000000002</v>
      </c>
      <c r="C4" s="136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">
      <c r="A5" s="21" t="s">
        <v>7</v>
      </c>
      <c r="B5" s="123">
        <f>IF(B$2=0,0,B$4/B$2)</f>
        <v>-22.740000000000002</v>
      </c>
      <c r="C5" s="124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10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">
      <c r="A6" s="21" t="s">
        <v>1</v>
      </c>
      <c r="B6" s="137">
        <f>IF(B$2=0,0,(B$7*1+B$8*2+B$9*3)/B$2)</f>
        <v>2.4</v>
      </c>
      <c r="C6" s="138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12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2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11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">
      <c r="A13" s="22" t="s">
        <v>188</v>
      </c>
      <c r="B13" s="123">
        <f>AVERAGE(B10:B12)</f>
        <v>-17.566666666666666</v>
      </c>
      <c r="C13" s="124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11</v>
      </c>
    </row>
    <row r="26" spans="1:17" x14ac:dyDescent="0.4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2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45200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FBDB6-E087-4048-8F21-F4E6C520E9F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243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</v>
      </c>
      <c r="C2" s="132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-3766.6666666666665</v>
      </c>
      <c r="P2" s="80">
        <v>3</v>
      </c>
      <c r="Q2" s="67">
        <v>-11300</v>
      </c>
    </row>
    <row r="3" spans="1:17" x14ac:dyDescent="0.4">
      <c r="A3" s="21" t="s">
        <v>8</v>
      </c>
      <c r="B3" s="133">
        <v>29</v>
      </c>
      <c r="C3" s="134"/>
      <c r="E3" s="29" t="s">
        <v>68</v>
      </c>
      <c r="F3" s="26" t="s">
        <v>12</v>
      </c>
      <c r="G3" s="14">
        <v>4</v>
      </c>
      <c r="H3" s="92">
        <f>IF(B$19=0,0,G3/B$19)</f>
        <v>0.66666666666666663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">
      <c r="A4" s="21" t="s">
        <v>6</v>
      </c>
      <c r="B4" s="135">
        <v>-10.099999999999998</v>
      </c>
      <c r="C4" s="136"/>
      <c r="E4" s="29" t="s">
        <v>160</v>
      </c>
      <c r="F4" s="26" t="s">
        <v>161</v>
      </c>
      <c r="G4" s="14">
        <v>3</v>
      </c>
      <c r="H4" s="92">
        <f>IF(B$19=0,0,G4/B$19)</f>
        <v>0.5</v>
      </c>
      <c r="I4" s="60">
        <v>2</v>
      </c>
      <c r="K4" s="7">
        <v>2</v>
      </c>
      <c r="L4" s="65">
        <v>-3.7999999999999989</v>
      </c>
      <c r="N4" s="78" t="s">
        <v>130</v>
      </c>
      <c r="O4" s="84">
        <f t="shared" si="0"/>
        <v>6333.333333333333</v>
      </c>
      <c r="P4" s="81">
        <v>3</v>
      </c>
      <c r="Q4" s="68">
        <v>19000</v>
      </c>
    </row>
    <row r="5" spans="1:17" x14ac:dyDescent="0.4">
      <c r="A5" s="21" t="s">
        <v>7</v>
      </c>
      <c r="B5" s="123">
        <f>IF(B$2=0,0,B$4/B$2)</f>
        <v>-3.3666666666666658</v>
      </c>
      <c r="C5" s="124"/>
      <c r="E5" s="29" t="s">
        <v>67</v>
      </c>
      <c r="F5" s="26" t="s">
        <v>23</v>
      </c>
      <c r="G5" s="14">
        <v>2</v>
      </c>
      <c r="H5" s="92">
        <f>IF(B$19=0,0,G5/B$19)</f>
        <v>0.33333333333333331</v>
      </c>
      <c r="I5" s="60">
        <v>2</v>
      </c>
      <c r="K5" s="7">
        <v>3</v>
      </c>
      <c r="L5" s="65">
        <v>-10.099999999999998</v>
      </c>
      <c r="N5" s="78" t="s">
        <v>131</v>
      </c>
      <c r="O5" s="84">
        <f t="shared" si="0"/>
        <v>-5133.333333333333</v>
      </c>
      <c r="P5" s="81">
        <v>3</v>
      </c>
      <c r="Q5" s="68">
        <v>-15400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69</v>
      </c>
      <c r="F6" s="26" t="s">
        <v>24</v>
      </c>
      <c r="G6" s="14">
        <v>2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-6666.666666666667</v>
      </c>
      <c r="P6" s="81">
        <v>3</v>
      </c>
      <c r="Q6" s="68">
        <v>-20000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72</v>
      </c>
      <c r="F7" s="26" t="s">
        <v>27</v>
      </c>
      <c r="G7" s="14">
        <v>2</v>
      </c>
      <c r="H7" s="92">
        <f>IF(B$19=0,0,G7/B$19)</f>
        <v>0.33333333333333331</v>
      </c>
      <c r="I7" s="60">
        <v>12</v>
      </c>
      <c r="N7" s="79" t="s">
        <v>133</v>
      </c>
      <c r="O7" s="85">
        <f t="shared" si="0"/>
        <v>5066.666666666667</v>
      </c>
      <c r="P7" s="82">
        <v>3</v>
      </c>
      <c r="Q7" s="69">
        <v>15200</v>
      </c>
    </row>
    <row r="8" spans="1:17" x14ac:dyDescent="0.4">
      <c r="A8" s="21" t="s">
        <v>3</v>
      </c>
      <c r="B8" s="14">
        <v>1</v>
      </c>
      <c r="C8" s="8">
        <f t="shared" si="1"/>
        <v>0.33333333333333331</v>
      </c>
      <c r="E8" s="29" t="s">
        <v>65</v>
      </c>
      <c r="F8" s="26" t="s">
        <v>21</v>
      </c>
      <c r="G8" s="14">
        <v>1</v>
      </c>
      <c r="H8" s="92">
        <f>IF(B$19=0,0,G8/B$19)</f>
        <v>0.16666666666666666</v>
      </c>
      <c r="I8" s="60">
        <v>2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1</v>
      </c>
      <c r="H9" s="92">
        <f>IF(B$19=0,0,G9/B$19)</f>
        <v>0.16666666666666666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14.6</v>
      </c>
      <c r="C10" s="114">
        <v>14.6</v>
      </c>
      <c r="E10" s="29" t="s">
        <v>70</v>
      </c>
      <c r="F10" s="26" t="s">
        <v>25</v>
      </c>
      <c r="G10" s="14">
        <v>1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14.6</v>
      </c>
      <c r="P10" s="80">
        <v>1</v>
      </c>
      <c r="Q10" s="71">
        <v>14.6</v>
      </c>
    </row>
    <row r="11" spans="1:17" x14ac:dyDescent="0.4">
      <c r="A11" s="22" t="s">
        <v>186</v>
      </c>
      <c r="B11" s="113">
        <f>IF(B8=0,0,C11/B8)</f>
        <v>-6.3</v>
      </c>
      <c r="C11" s="114">
        <v>-6.3</v>
      </c>
      <c r="E11" s="29" t="s">
        <v>71</v>
      </c>
      <c r="F11" s="26" t="s">
        <v>26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-6.3</v>
      </c>
      <c r="P11" s="81">
        <v>1</v>
      </c>
      <c r="Q11" s="72">
        <v>-6.3</v>
      </c>
    </row>
    <row r="12" spans="1:17" x14ac:dyDescent="0.4">
      <c r="A12" s="22" t="s">
        <v>187</v>
      </c>
      <c r="B12" s="113">
        <f>IF(B9=0,0,C12/B9)</f>
        <v>-18.399999999999999</v>
      </c>
      <c r="C12" s="114">
        <v>-18.399999999999999</v>
      </c>
      <c r="E12" s="29" t="s">
        <v>86</v>
      </c>
      <c r="F12" s="26" t="s">
        <v>41</v>
      </c>
      <c r="G12" s="14">
        <v>1</v>
      </c>
      <c r="H12" s="92">
        <f>IF(B$19=0,0,G12/B$19)</f>
        <v>0.16666666666666666</v>
      </c>
      <c r="I12" s="60">
        <v>1</v>
      </c>
      <c r="N12" s="79" t="s">
        <v>154</v>
      </c>
      <c r="O12" s="88">
        <f>IF(P12=0,0,Q12/P12)</f>
        <v>-18.399999999999999</v>
      </c>
      <c r="P12" s="82">
        <v>1</v>
      </c>
      <c r="Q12" s="73">
        <v>-18.399999999999999</v>
      </c>
    </row>
    <row r="13" spans="1:17" x14ac:dyDescent="0.4">
      <c r="A13" s="22" t="s">
        <v>188</v>
      </c>
      <c r="B13" s="123">
        <f>AVERAGE(B10:B12)</f>
        <v>-3.3666666666666658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0.16666666666666666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0.17241379310344829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4</v>
      </c>
      <c r="N15" s="77" t="s">
        <v>164</v>
      </c>
      <c r="O15" s="86">
        <f>IF(P15=0,0,Q15/P15)</f>
        <v>6.9333333333333336</v>
      </c>
      <c r="P15" s="80">
        <v>3</v>
      </c>
      <c r="Q15" s="71">
        <v>20.8</v>
      </c>
    </row>
    <row r="16" spans="1:17" x14ac:dyDescent="0.4">
      <c r="A16" s="21" t="s">
        <v>118</v>
      </c>
      <c r="B16" s="14">
        <v>3</v>
      </c>
      <c r="C16" s="8">
        <f>IF(B$3=0,0,B16/B$3)</f>
        <v>0.10344827586206896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-17.033333333333331</v>
      </c>
      <c r="P16" s="81">
        <v>3</v>
      </c>
      <c r="Q16" s="72">
        <v>-51.099999999999994</v>
      </c>
    </row>
    <row r="17" spans="1:9" x14ac:dyDescent="0.4">
      <c r="A17" s="20" t="s">
        <v>123</v>
      </c>
      <c r="B17" s="13">
        <f>B23</f>
        <v>4</v>
      </c>
      <c r="C17" s="6">
        <f>IF(B$15=0,0,B17/B$15)</f>
        <v>0.8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0.33333333333333331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7</v>
      </c>
    </row>
    <row r="19" spans="1:9" x14ac:dyDescent="0.4">
      <c r="A19" s="20" t="s">
        <v>10</v>
      </c>
      <c r="B19" s="13">
        <f>B22+B21</f>
        <v>6</v>
      </c>
      <c r="C19" s="6">
        <f>IF(B$3=0,0,B19/B$3)</f>
        <v>0.20689655172413793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</row>
    <row r="20" spans="1:9" x14ac:dyDescent="0.4">
      <c r="A20" s="21" t="s">
        <v>13</v>
      </c>
      <c r="B20" s="14">
        <v>7</v>
      </c>
      <c r="C20" s="8">
        <f>IF(B$3=0,0,B20/B$3)</f>
        <v>0.2413793103448276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9" x14ac:dyDescent="0.4">
      <c r="A21" s="21" t="s">
        <v>12</v>
      </c>
      <c r="B21" s="14">
        <v>4</v>
      </c>
      <c r="C21" s="8">
        <f>IF(B$19=0,0,B21/B$19)</f>
        <v>0.66666666666666663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2</v>
      </c>
      <c r="C22" s="8">
        <f>IF(B$19=0,0,B22/B$19)</f>
        <v>0.33333333333333331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">
      <c r="A23" s="21" t="s">
        <v>184</v>
      </c>
      <c r="B23" s="14">
        <v>4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1</v>
      </c>
      <c r="C24" s="8">
        <f>IF(B$19=0,0,B24/B$19)</f>
        <v>0.16666666666666666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">
      <c r="A25" s="21" t="s">
        <v>183</v>
      </c>
      <c r="B25" s="14">
        <v>1</v>
      </c>
      <c r="C25" s="8">
        <f>IF(B$19=0,0,B25/B$19)</f>
        <v>0.16666666666666666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9433.3333333333339</v>
      </c>
      <c r="C26" s="10">
        <v>56600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">
      <c r="A28" s="22" t="s">
        <v>167</v>
      </c>
      <c r="B28" s="99">
        <f>IF(B$18=0,0,C28/B$18)</f>
        <v>1000</v>
      </c>
      <c r="C28" s="100">
        <v>1000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">
      <c r="A29" s="22" t="s">
        <v>165</v>
      </c>
      <c r="B29" s="99">
        <f>IF(B$20=0,0,C29/B$20)</f>
        <v>-4914.2857142857147</v>
      </c>
      <c r="C29" s="100">
        <v>-34400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39600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1</v>
      </c>
      <c r="C36" s="102">
        <f t="shared" ref="C36:C48" si="2">IF(B$19=0,0,B36/B$19)</f>
        <v>0.16666666666666666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1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3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C8F3E-F617-4DFD-8C13-FE5643C31AF2}">
  <sheetPr codeName="Sheet28"/>
  <dimension ref="A1:Q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">
      <c r="A5" s="35">
        <v>2</v>
      </c>
      <c r="B5" s="32">
        <v>-3.7999999999999989</v>
      </c>
      <c r="C5" s="32">
        <v>-1.8999999999999995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10150</v>
      </c>
      <c r="J5" s="34">
        <v>-6633.333333333333</v>
      </c>
      <c r="K5" s="33">
        <v>0</v>
      </c>
      <c r="L5" s="33">
        <v>0.22222222222222221</v>
      </c>
      <c r="M5" s="33">
        <v>0.1111111111111111</v>
      </c>
      <c r="N5" s="33">
        <v>0.75</v>
      </c>
      <c r="O5" s="33">
        <v>0.5</v>
      </c>
      <c r="P5" s="33">
        <v>0.75</v>
      </c>
    </row>
    <row r="6" spans="1:17" x14ac:dyDescent="0.4">
      <c r="A6" s="35">
        <v>3</v>
      </c>
      <c r="B6" s="32">
        <v>-10.099999999999998</v>
      </c>
      <c r="C6" s="32">
        <v>-3.3666666666666658</v>
      </c>
      <c r="D6" s="37">
        <v>2</v>
      </c>
      <c r="E6" s="33">
        <v>0.33333333333333331</v>
      </c>
      <c r="F6" s="33">
        <v>0.33333333333333331</v>
      </c>
      <c r="G6" s="33">
        <v>0.20689655172413793</v>
      </c>
      <c r="H6" s="33">
        <v>0.2413793103448276</v>
      </c>
      <c r="I6" s="34">
        <v>9433.3333333333339</v>
      </c>
      <c r="J6" s="34">
        <v>-4914.2857142857147</v>
      </c>
      <c r="K6" s="33">
        <v>0</v>
      </c>
      <c r="L6" s="33">
        <v>0.17241379310344829</v>
      </c>
      <c r="M6" s="33">
        <v>0.10344827586206896</v>
      </c>
      <c r="N6" s="33">
        <v>0.8</v>
      </c>
      <c r="O6" s="33">
        <v>0.33333333333333331</v>
      </c>
      <c r="P6" s="33">
        <v>0.66666666666666663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1CC70-FFF1-4828-845F-D8E724F86B9A}">
  <sheetPr codeName="Sheet26"/>
  <dimension ref="A1:Q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F8784-A84D-46EC-B3C7-6C609DC20476}">
  <sheetPr codeName="Sheet24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AA8A5-B3F4-4BC9-AD7A-56857C4814F5}">
  <sheetPr codeName="Sheet22"/>
  <dimension ref="A1:Q4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4CD6B-EBCE-4909-BB61-E64658F75E9D}">
  <sheetPr codeName="Sheet20"/>
  <dimension ref="A1:Q1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  <row r="13" spans="1:17" x14ac:dyDescent="0.4">
      <c r="A13" s="35">
        <v>10</v>
      </c>
      <c r="B13" s="32">
        <v>-13.400000000000013</v>
      </c>
      <c r="C13" s="32">
        <v>-1.3400000000000012</v>
      </c>
      <c r="D13" s="37">
        <v>2</v>
      </c>
      <c r="E13" s="33">
        <v>0.2</v>
      </c>
      <c r="F13" s="33">
        <v>0.2</v>
      </c>
      <c r="G13" s="33">
        <v>0.23456790123456789</v>
      </c>
      <c r="H13" s="33">
        <v>7.407407407407407E-2</v>
      </c>
      <c r="I13" s="34">
        <v>7736.8421052631575</v>
      </c>
      <c r="J13" s="34">
        <v>-3916.6666666666665</v>
      </c>
      <c r="K13" s="33">
        <v>0</v>
      </c>
      <c r="L13" s="33">
        <v>0.25925925925925924</v>
      </c>
      <c r="M13" s="33">
        <v>0.13580246913580246</v>
      </c>
      <c r="N13" s="33">
        <v>0.61904761904761907</v>
      </c>
      <c r="O13" s="33">
        <v>0.36363636363636365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9AFEE-60B0-46DE-965D-AC9CEDFF59AB}">
  <sheetPr codeName="Sheet18"/>
  <dimension ref="A1:Q44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">
      <c r="A41" s="35">
        <v>38</v>
      </c>
      <c r="B41" s="32">
        <v>106.9</v>
      </c>
      <c r="C41" s="32">
        <v>2.8131578947368423</v>
      </c>
      <c r="D41" s="37">
        <v>1.9473684210526316</v>
      </c>
      <c r="E41" s="33">
        <v>0.34210526315789475</v>
      </c>
      <c r="F41" s="33">
        <v>0.28947368421052633</v>
      </c>
      <c r="G41" s="33">
        <v>0.32423208191126279</v>
      </c>
      <c r="H41" s="33">
        <v>0.13993174061433447</v>
      </c>
      <c r="I41" s="34">
        <v>7632.6315789473683</v>
      </c>
      <c r="J41" s="34">
        <v>-7334.1463414634145</v>
      </c>
      <c r="K41" s="33">
        <v>0.15789473684210525</v>
      </c>
      <c r="L41" s="33">
        <v>0.15017064846416384</v>
      </c>
      <c r="M41" s="33">
        <v>0.34812286689419797</v>
      </c>
      <c r="N41" s="33">
        <v>0.65909090909090906</v>
      </c>
      <c r="O41" s="33">
        <v>0.42156862745098039</v>
      </c>
      <c r="P41" s="33">
        <v>0.43157894736842106</v>
      </c>
    </row>
    <row r="42" spans="1:16" x14ac:dyDescent="0.4">
      <c r="A42" s="35">
        <v>39</v>
      </c>
      <c r="B42" s="32">
        <v>130.1</v>
      </c>
      <c r="C42" s="32">
        <v>3.3358974358974356</v>
      </c>
      <c r="D42" s="37">
        <v>1.9230769230769231</v>
      </c>
      <c r="E42" s="33">
        <v>0.35897435897435898</v>
      </c>
      <c r="F42" s="33">
        <v>0.28205128205128205</v>
      </c>
      <c r="G42" s="33">
        <v>0.32894736842105265</v>
      </c>
      <c r="H42" s="33">
        <v>0.13486842105263158</v>
      </c>
      <c r="I42" s="34">
        <v>7380</v>
      </c>
      <c r="J42" s="34">
        <v>-7334.1463414634145</v>
      </c>
      <c r="K42" s="33">
        <v>0.15384615384615385</v>
      </c>
      <c r="L42" s="33">
        <v>0.15460526315789475</v>
      </c>
      <c r="M42" s="33">
        <v>0.35197368421052633</v>
      </c>
      <c r="N42" s="33">
        <v>0.61702127659574468</v>
      </c>
      <c r="O42" s="33">
        <v>0.42990654205607476</v>
      </c>
      <c r="P42" s="33">
        <v>0.43</v>
      </c>
    </row>
    <row r="43" spans="1:16" x14ac:dyDescent="0.4">
      <c r="A43" s="35">
        <v>40</v>
      </c>
      <c r="B43" s="32">
        <v>84.1</v>
      </c>
      <c r="C43" s="32">
        <v>2.1025</v>
      </c>
      <c r="D43" s="37">
        <v>1.95</v>
      </c>
      <c r="E43" s="33">
        <v>0.35</v>
      </c>
      <c r="F43" s="33">
        <v>0.3</v>
      </c>
      <c r="G43" s="33">
        <v>0.32679738562091504</v>
      </c>
      <c r="H43" s="33">
        <v>0.13725490196078433</v>
      </c>
      <c r="I43" s="34">
        <v>7380</v>
      </c>
      <c r="J43" s="34">
        <v>-7921.4285714285716</v>
      </c>
      <c r="K43" s="33">
        <v>0.17499999999999999</v>
      </c>
      <c r="L43" s="33">
        <v>0.15686274509803921</v>
      </c>
      <c r="M43" s="33">
        <v>0.34967320261437906</v>
      </c>
      <c r="N43" s="33">
        <v>0.60416666666666663</v>
      </c>
      <c r="O43" s="33">
        <v>0.42990654205607476</v>
      </c>
      <c r="P43" s="33">
        <v>0.43</v>
      </c>
    </row>
    <row r="44" spans="1:16" x14ac:dyDescent="0.4">
      <c r="A44" s="35">
        <v>41</v>
      </c>
      <c r="B44" s="32">
        <v>63.3</v>
      </c>
      <c r="C44" s="32">
        <v>1.5439024390243903</v>
      </c>
      <c r="D44" s="37">
        <v>1.9512195121951219</v>
      </c>
      <c r="E44" s="33">
        <v>0.34146341463414637</v>
      </c>
      <c r="F44" s="33">
        <v>0.29268292682926828</v>
      </c>
      <c r="G44" s="33">
        <v>0.330188679245283</v>
      </c>
      <c r="H44" s="33">
        <v>0.14150943396226415</v>
      </c>
      <c r="I44" s="34">
        <v>7329.5238095238092</v>
      </c>
      <c r="J44" s="34">
        <v>-8168.8888888888887</v>
      </c>
      <c r="K44" s="33">
        <v>0.17073170731707318</v>
      </c>
      <c r="L44" s="33">
        <v>0.16037735849056603</v>
      </c>
      <c r="M44" s="33">
        <v>0.34905660377358488</v>
      </c>
      <c r="N44" s="33">
        <v>0.58823529411764708</v>
      </c>
      <c r="O44" s="33">
        <v>0.44144144144144143</v>
      </c>
      <c r="P44" s="33">
        <v>0.44761904761904764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C4EFF-6C7C-4CB7-A63E-B682E7C7D245}">
  <sheetPr codeName="Sheet16"/>
  <dimension ref="A1:Q6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  <row r="64" spans="1:16" x14ac:dyDescent="0.4">
      <c r="A64" s="35">
        <v>61</v>
      </c>
      <c r="B64" s="32">
        <v>-47.69999999999996</v>
      </c>
      <c r="C64" s="32">
        <v>-0.78196721311475348</v>
      </c>
      <c r="D64" s="37">
        <v>2.0327868852459017</v>
      </c>
      <c r="E64" s="33">
        <v>0.32786885245901637</v>
      </c>
      <c r="F64" s="33">
        <v>0.36065573770491804</v>
      </c>
      <c r="G64" s="33">
        <v>0.27845528455284552</v>
      </c>
      <c r="H64" s="33">
        <v>0.11585365853658537</v>
      </c>
      <c r="I64" s="34">
        <v>8259.1240875912408</v>
      </c>
      <c r="J64" s="34">
        <v>-8182.4561403508769</v>
      </c>
      <c r="K64" s="33">
        <v>8.1967213114754092E-2</v>
      </c>
      <c r="L64" s="33">
        <v>0.23577235772357724</v>
      </c>
      <c r="M64" s="33">
        <v>0.241869918699187</v>
      </c>
      <c r="N64" s="33">
        <v>0.5431034482758621</v>
      </c>
      <c r="O64" s="33">
        <v>0.40336134453781514</v>
      </c>
      <c r="P64" s="33">
        <v>0.43065693430656932</v>
      </c>
    </row>
    <row r="65" spans="1:16" x14ac:dyDescent="0.4">
      <c r="A65" s="35">
        <v>62</v>
      </c>
      <c r="B65" s="32">
        <v>-83.499999999999957</v>
      </c>
      <c r="C65" s="32">
        <v>-1.3467741935483863</v>
      </c>
      <c r="D65" s="37">
        <v>2.0483870967741935</v>
      </c>
      <c r="E65" s="33">
        <v>0.32258064516129031</v>
      </c>
      <c r="F65" s="33">
        <v>0.37096774193548387</v>
      </c>
      <c r="G65" s="33">
        <v>0.27380952380952384</v>
      </c>
      <c r="H65" s="33">
        <v>0.11706349206349206</v>
      </c>
      <c r="I65" s="34">
        <v>8257.246376811594</v>
      </c>
      <c r="J65" s="34">
        <v>-8298.3050847457635</v>
      </c>
      <c r="K65" s="33">
        <v>8.0645161290322578E-2</v>
      </c>
      <c r="L65" s="33">
        <v>0.2361111111111111</v>
      </c>
      <c r="M65" s="33">
        <v>0.23809523809523808</v>
      </c>
      <c r="N65" s="33">
        <v>0.52941176470588236</v>
      </c>
      <c r="O65" s="33">
        <v>0.40833333333333333</v>
      </c>
      <c r="P65" s="33">
        <v>0.42753623188405798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D3927-BB64-429B-B591-116CD0A61842}">
  <sheetPr codeName="Sheet14"/>
  <dimension ref="A1:Q4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B4D4C-D511-43AE-A006-A004282D6E1C}">
  <sheetPr codeName="Sheet12"/>
  <dimension ref="A1:Q9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  <row r="97" spans="1:16" x14ac:dyDescent="0.4">
      <c r="A97" s="35">
        <v>94</v>
      </c>
      <c r="B97" s="32">
        <v>770.10000000000025</v>
      </c>
      <c r="C97" s="32">
        <v>8.192553191489365</v>
      </c>
      <c r="D97" s="37">
        <v>1.7765957446808511</v>
      </c>
      <c r="E97" s="33">
        <v>0.44680851063829785</v>
      </c>
      <c r="F97" s="33">
        <v>0.22340425531914893</v>
      </c>
      <c r="G97" s="33">
        <v>0.30810810810810813</v>
      </c>
      <c r="H97" s="33">
        <v>0.13648648648648648</v>
      </c>
      <c r="I97" s="34">
        <v>9801.7543859649122</v>
      </c>
      <c r="J97" s="34">
        <v>-8287.1287128712866</v>
      </c>
      <c r="K97" s="33">
        <v>6.3829787234042548E-2</v>
      </c>
      <c r="L97" s="33">
        <v>0.25</v>
      </c>
      <c r="M97" s="33">
        <v>0.1581081081081081</v>
      </c>
      <c r="N97" s="33">
        <v>0.59459459459459463</v>
      </c>
      <c r="O97" s="33">
        <v>0.48717948717948717</v>
      </c>
      <c r="P97" s="33">
        <v>0.50438596491228072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C7E6-425B-4B6A-B202-8E10487CBF47}">
  <sheetPr codeName="Sheet10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90B56-8C2A-4304-9FED-62EC693E056F}">
  <sheetPr codeName="Sheet8"/>
  <dimension ref="A1:Q7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">
      <c r="A68" s="35">
        <v>65</v>
      </c>
      <c r="B68" s="32">
        <v>-78.900000000000048</v>
      </c>
      <c r="C68" s="32">
        <v>-1.2138461538461547</v>
      </c>
      <c r="D68" s="37">
        <v>2.0307692307692307</v>
      </c>
      <c r="E68" s="33">
        <v>0.35384615384615387</v>
      </c>
      <c r="F68" s="33">
        <v>0.38461538461538464</v>
      </c>
      <c r="G68" s="33">
        <v>0.26974951830443161</v>
      </c>
      <c r="H68" s="33">
        <v>0.18689788053949905</v>
      </c>
      <c r="I68" s="34">
        <v>10369.285714285714</v>
      </c>
      <c r="J68" s="34">
        <v>-7651.5463917525776</v>
      </c>
      <c r="K68" s="33">
        <v>0.16923076923076924</v>
      </c>
      <c r="L68" s="33">
        <v>0.29672447013487474</v>
      </c>
      <c r="M68" s="33">
        <v>0.20231213872832371</v>
      </c>
      <c r="N68" s="33">
        <v>0.47402597402597402</v>
      </c>
      <c r="O68" s="33">
        <v>0.34285714285714286</v>
      </c>
      <c r="P68" s="33">
        <v>0.45</v>
      </c>
    </row>
    <row r="69" spans="1:16" x14ac:dyDescent="0.4">
      <c r="A69" s="35">
        <v>66</v>
      </c>
      <c r="B69" s="32">
        <v>-52.300000000000047</v>
      </c>
      <c r="C69" s="32">
        <v>-0.79242424242424314</v>
      </c>
      <c r="D69" s="37">
        <v>2.0151515151515151</v>
      </c>
      <c r="E69" s="33">
        <v>0.36363636363636365</v>
      </c>
      <c r="F69" s="33">
        <v>0.37878787878787878</v>
      </c>
      <c r="G69" s="33">
        <v>0.27134724857685011</v>
      </c>
      <c r="H69" s="33">
        <v>0.1859582542694497</v>
      </c>
      <c r="I69" s="34">
        <v>10347.552447552447</v>
      </c>
      <c r="J69" s="34">
        <v>-7613.2653061224491</v>
      </c>
      <c r="K69" s="33">
        <v>0.16666666666666666</v>
      </c>
      <c r="L69" s="33">
        <v>0.29981024667931688</v>
      </c>
      <c r="M69" s="33">
        <v>0.20113851992409867</v>
      </c>
      <c r="N69" s="33">
        <v>0.48101265822784811</v>
      </c>
      <c r="O69" s="33">
        <v>0.33962264150943394</v>
      </c>
      <c r="P69" s="33">
        <v>0.46153846153846156</v>
      </c>
    </row>
    <row r="70" spans="1:16" x14ac:dyDescent="0.4">
      <c r="A70" s="35">
        <v>67</v>
      </c>
      <c r="B70" s="32">
        <v>-69.200000000000045</v>
      </c>
      <c r="C70" s="32">
        <v>-1.0328358208955231</v>
      </c>
      <c r="D70" s="37">
        <v>2.0298507462686568</v>
      </c>
      <c r="E70" s="33">
        <v>0.35820895522388058</v>
      </c>
      <c r="F70" s="33">
        <v>0.38805970149253732</v>
      </c>
      <c r="G70" s="33">
        <v>0.27137546468401486</v>
      </c>
      <c r="H70" s="33">
        <v>0.18587360594795538</v>
      </c>
      <c r="I70" s="34">
        <v>10215.753424657534</v>
      </c>
      <c r="J70" s="34">
        <v>-7610</v>
      </c>
      <c r="K70" s="33">
        <v>0.16417910447761194</v>
      </c>
      <c r="L70" s="33">
        <v>0.2992565055762082</v>
      </c>
      <c r="M70" s="33">
        <v>0.20074349442379183</v>
      </c>
      <c r="N70" s="33">
        <v>0.47826086956521741</v>
      </c>
      <c r="O70" s="33">
        <v>0.33333333333333331</v>
      </c>
      <c r="P70" s="33">
        <v>0.4589041095890411</v>
      </c>
    </row>
    <row r="71" spans="1:16" x14ac:dyDescent="0.4">
      <c r="A71" s="35">
        <v>68</v>
      </c>
      <c r="B71" s="32">
        <v>-74.200000000000045</v>
      </c>
      <c r="C71" s="32">
        <v>-1.0911764705882359</v>
      </c>
      <c r="D71" s="37">
        <v>2.0294117647058822</v>
      </c>
      <c r="E71" s="33">
        <v>0.35294117647058826</v>
      </c>
      <c r="F71" s="33">
        <v>0.38235294117647056</v>
      </c>
      <c r="G71" s="33">
        <v>0.27037037037037037</v>
      </c>
      <c r="H71" s="33">
        <v>0.18518518518518517</v>
      </c>
      <c r="I71" s="34">
        <v>10215.753424657534</v>
      </c>
      <c r="J71" s="34">
        <v>-7610</v>
      </c>
      <c r="K71" s="33">
        <v>0.16176470588235295</v>
      </c>
      <c r="L71" s="33">
        <v>0.29814814814814816</v>
      </c>
      <c r="M71" s="33">
        <v>0.2</v>
      </c>
      <c r="N71" s="33">
        <v>0.47826086956521741</v>
      </c>
      <c r="O71" s="33">
        <v>0.33333333333333331</v>
      </c>
      <c r="P71" s="33">
        <v>0.4589041095890411</v>
      </c>
    </row>
    <row r="72" spans="1:16" x14ac:dyDescent="0.4">
      <c r="A72" s="35">
        <v>69</v>
      </c>
      <c r="B72" s="32">
        <v>-17.600000000000044</v>
      </c>
      <c r="C72" s="32">
        <v>-0.2550724637681166</v>
      </c>
      <c r="D72" s="37">
        <v>2.0144927536231885</v>
      </c>
      <c r="E72" s="33">
        <v>0.36231884057971014</v>
      </c>
      <c r="F72" s="33">
        <v>0.37681159420289856</v>
      </c>
      <c r="G72" s="33">
        <v>0.27173913043478259</v>
      </c>
      <c r="H72" s="33">
        <v>0.18115942028985507</v>
      </c>
      <c r="I72" s="34">
        <v>10237.333333333334</v>
      </c>
      <c r="J72" s="34">
        <v>-7610</v>
      </c>
      <c r="K72" s="33">
        <v>0.15942028985507245</v>
      </c>
      <c r="L72" s="33">
        <v>0.30072463768115942</v>
      </c>
      <c r="M72" s="33">
        <v>0.19927536231884058</v>
      </c>
      <c r="N72" s="33">
        <v>0.48192771084337349</v>
      </c>
      <c r="O72" s="33">
        <v>0.33636363636363636</v>
      </c>
      <c r="P72" s="33">
        <v>0.45333333333333331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0EBEB-CC5A-44F5-A948-24EAD3F47E5A}">
  <sheetPr codeName="Sheet6"/>
  <dimension ref="A1:Q131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">
      <c r="A127" s="35">
        <v>124</v>
      </c>
      <c r="B127" s="32">
        <v>-3.5527136788005009E-15</v>
      </c>
      <c r="C127" s="32">
        <v>-9.5503055881733904E-18</v>
      </c>
      <c r="D127" s="37">
        <v>2</v>
      </c>
      <c r="E127" s="33">
        <v>0.33333333333333331</v>
      </c>
      <c r="F127" s="33">
        <v>0.33333333333333331</v>
      </c>
      <c r="G127" s="33">
        <v>0.28984029901461095</v>
      </c>
      <c r="H127" s="33">
        <v>0.15188583078491336</v>
      </c>
      <c r="I127" s="34">
        <v>8859.5545134818294</v>
      </c>
      <c r="J127" s="34">
        <v>-7969.3512304250562</v>
      </c>
      <c r="K127" s="33">
        <v>0.11021505376344086</v>
      </c>
      <c r="L127" s="33">
        <v>0.23989126741420319</v>
      </c>
      <c r="M127" s="33">
        <v>0.20591233435270132</v>
      </c>
      <c r="N127" s="33">
        <v>0.56232294617563738</v>
      </c>
      <c r="O127" s="33">
        <v>0.41254125412541254</v>
      </c>
      <c r="P127" s="33">
        <v>0.47362250879249707</v>
      </c>
    </row>
    <row r="128" spans="1:16" x14ac:dyDescent="0.4">
      <c r="A128" s="35">
        <v>125</v>
      </c>
      <c r="B128" s="32">
        <v>1.7763568394002505E-15</v>
      </c>
      <c r="C128" s="32">
        <v>4.7369515717340011E-18</v>
      </c>
      <c r="D128" s="37">
        <v>2</v>
      </c>
      <c r="E128" s="33">
        <v>0.33333333333333331</v>
      </c>
      <c r="F128" s="33">
        <v>0.33333333333333331</v>
      </c>
      <c r="G128" s="33">
        <v>0.28951803168183349</v>
      </c>
      <c r="H128" s="33">
        <v>0.15133131108864173</v>
      </c>
      <c r="I128" s="34">
        <v>8855.762514551805</v>
      </c>
      <c r="J128" s="34">
        <v>-7946.9933184855236</v>
      </c>
      <c r="K128" s="33">
        <v>0.10933333333333334</v>
      </c>
      <c r="L128" s="33">
        <v>0.24064711830131447</v>
      </c>
      <c r="M128" s="33">
        <v>0.20492079541624536</v>
      </c>
      <c r="N128" s="33">
        <v>0.56302521008403361</v>
      </c>
      <c r="O128" s="33">
        <v>0.41282894736842107</v>
      </c>
      <c r="P128" s="33">
        <v>0.47497089639115253</v>
      </c>
    </row>
    <row r="129" spans="1:16" x14ac:dyDescent="0.4">
      <c r="A129" s="35">
        <v>126</v>
      </c>
      <c r="B129" s="32">
        <v>3.5527136788005009E-15</v>
      </c>
      <c r="C129" s="32">
        <v>9.3987134359801607E-18</v>
      </c>
      <c r="D129" s="37">
        <v>2</v>
      </c>
      <c r="E129" s="33">
        <v>0.33333333333333331</v>
      </c>
      <c r="F129" s="33">
        <v>0.33333333333333331</v>
      </c>
      <c r="G129" s="33">
        <v>0.28966666666666668</v>
      </c>
      <c r="H129" s="33">
        <v>0.15166666666666667</v>
      </c>
      <c r="I129" s="34">
        <v>8800.6904487917145</v>
      </c>
      <c r="J129" s="34">
        <v>-7906.8131868131868</v>
      </c>
      <c r="K129" s="33">
        <v>0.10846560846560846</v>
      </c>
      <c r="L129" s="33">
        <v>0.24033333333333334</v>
      </c>
      <c r="M129" s="33">
        <v>0.20533333333333334</v>
      </c>
      <c r="N129" s="33">
        <v>0.56033287101248264</v>
      </c>
      <c r="O129" s="33">
        <v>0.41233766233766234</v>
      </c>
      <c r="P129" s="33">
        <v>0.47410817031070196</v>
      </c>
    </row>
    <row r="130" spans="1:16" x14ac:dyDescent="0.4">
      <c r="A130" s="35">
        <v>127</v>
      </c>
      <c r="B130" s="32">
        <v>0</v>
      </c>
      <c r="C130" s="32">
        <v>0</v>
      </c>
      <c r="D130" s="37">
        <v>2</v>
      </c>
      <c r="E130" s="33">
        <v>0.33333333333333331</v>
      </c>
      <c r="F130" s="33">
        <v>0.33333333333333331</v>
      </c>
      <c r="G130" s="33">
        <v>0.28975382568196939</v>
      </c>
      <c r="H130" s="33">
        <v>0.15169660678642716</v>
      </c>
      <c r="I130" s="34">
        <v>8826.4064293915035</v>
      </c>
      <c r="J130" s="34">
        <v>-7959.6491228070172</v>
      </c>
      <c r="K130" s="33">
        <v>0.11023622047244094</v>
      </c>
      <c r="L130" s="33">
        <v>0.2405189620758483</v>
      </c>
      <c r="M130" s="33">
        <v>0.20525615435795078</v>
      </c>
      <c r="N130" s="33">
        <v>0.56016597510373445</v>
      </c>
      <c r="O130" s="33">
        <v>0.41329011345218802</v>
      </c>
      <c r="P130" s="33">
        <v>0.47416762342135477</v>
      </c>
    </row>
    <row r="131" spans="1:16" x14ac:dyDescent="0.4">
      <c r="A131" s="35">
        <v>128</v>
      </c>
      <c r="B131" s="32">
        <v>3.5527136788005009E-15</v>
      </c>
      <c r="C131" s="32">
        <v>9.2518585385429707E-18</v>
      </c>
      <c r="D131" s="37">
        <v>2</v>
      </c>
      <c r="E131" s="33">
        <v>0.33333333333333331</v>
      </c>
      <c r="F131" s="33">
        <v>0.33333333333333331</v>
      </c>
      <c r="G131" s="33">
        <v>0.28961209730440501</v>
      </c>
      <c r="H131" s="33">
        <v>0.15154503616042078</v>
      </c>
      <c r="I131" s="34">
        <v>8821.2258796821789</v>
      </c>
      <c r="J131" s="34">
        <v>-7999.3492407809108</v>
      </c>
      <c r="K131" s="33">
        <v>0.109375</v>
      </c>
      <c r="L131" s="33">
        <v>0.24128862590401051</v>
      </c>
      <c r="M131" s="33">
        <v>0.20512820512820512</v>
      </c>
      <c r="N131" s="33">
        <v>0.55722070844686644</v>
      </c>
      <c r="O131" s="33">
        <v>0.41666666666666669</v>
      </c>
      <c r="P131" s="33">
        <v>0.47446083995459704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2020-07-27T14:56:28Z</dcterms:modified>
</cp:coreProperties>
</file>