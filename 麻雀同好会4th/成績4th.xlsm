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3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4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5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6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7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8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9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0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1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3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4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5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6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"/>
    </mc:Choice>
  </mc:AlternateContent>
  <xr:revisionPtr revIDLastSave="0" documentId="13_ncr:1_{D2C8B27F-74E2-4D8F-92DB-2091368D7582}" xr6:coauthVersionLast="44" xr6:coauthVersionMax="44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118" r:id="rId6"/>
    <sheet name="れんたろう" sheetId="6120" r:id="rId7"/>
    <sheet name="ともき" sheetId="6122" r:id="rId8"/>
    <sheet name="だいち" sheetId="6124" r:id="rId9"/>
    <sheet name="りくと" sheetId="6126" r:id="rId10"/>
    <sheet name="まっつん" sheetId="6128" r:id="rId11"/>
    <sheet name="たかの" sheetId="6130" r:id="rId12"/>
    <sheet name="のり" sheetId="6132" r:id="rId13"/>
    <sheet name="ただ" sheetId="6134" r:id="rId14"/>
    <sheet name="ただ2" sheetId="6135" state="hidden" r:id="rId15"/>
    <sheet name="のり2" sheetId="6133" state="hidden" r:id="rId16"/>
    <sheet name="たかの2" sheetId="6131" state="hidden" r:id="rId17"/>
    <sheet name="まっつん2" sheetId="6129" state="hidden" r:id="rId18"/>
    <sheet name="りくと2" sheetId="6127" state="hidden" r:id="rId19"/>
    <sheet name="だいち2" sheetId="6125" state="hidden" r:id="rId20"/>
    <sheet name="ともき2" sheetId="6123" state="hidden" r:id="rId21"/>
    <sheet name="れんたろう2" sheetId="6121" state="hidden" r:id="rId22"/>
    <sheet name="全体2" sheetId="6119" state="hidden" r:id="rId23"/>
    <sheet name="通算スコア" sheetId="3331" state="hidden" r:id="rId24"/>
    <sheet name="平均スコア" sheetId="3493" state="hidden" r:id="rId25"/>
    <sheet name="平均順位" sheetId="3183" state="hidden" r:id="rId26"/>
    <sheet name="トップ率" sheetId="3185" state="hidden" r:id="rId27"/>
    <sheet name="ラス率" sheetId="4886" state="hidden" r:id="rId28"/>
    <sheet name="アガリ率" sheetId="3189" state="hidden" r:id="rId29"/>
    <sheet name="放銃率" sheetId="3190" state="hidden" r:id="rId30"/>
    <sheet name="平均アガリ点" sheetId="3520" state="hidden" r:id="rId31"/>
    <sheet name="平均放銃点" sheetId="3521" state="hidden" r:id="rId32"/>
    <sheet name="ふっとび率" sheetId="3522" state="hidden" r:id="rId33"/>
    <sheet name="リーチ率" sheetId="3524" state="hidden" r:id="rId34"/>
    <sheet name="副露率" sheetId="3525" state="hidden" r:id="rId35"/>
    <sheet name="リーチ成功率" sheetId="4841" state="hidden" r:id="rId36"/>
    <sheet name="副露成功率" sheetId="3527" state="hidden" r:id="rId37"/>
    <sheet name="ツモ率" sheetId="3528" state="hidden" r:id="rId38"/>
  </sheets>
  <definedNames>
    <definedName name="アガリ数" localSheetId="3">Template1!$B$19</definedName>
    <definedName name="アガリ数" localSheetId="8">だいち!$B$19</definedName>
    <definedName name="アガリ数" localSheetId="11">たかの!$B$19</definedName>
    <definedName name="アガリ数" localSheetId="13">ただ!$B$19</definedName>
    <definedName name="アガリ数" localSheetId="7">ともき!$B$19</definedName>
    <definedName name="アガリ数" localSheetId="12">のり!$B$19</definedName>
    <definedName name="アガリ数" localSheetId="10">まっつん!$B$19</definedName>
    <definedName name="アガリ数" localSheetId="9">りくと!$B$19</definedName>
    <definedName name="アガリ数" localSheetId="6">れんたろう!$B$19</definedName>
    <definedName name="アガリ数" localSheetId="5">全体!$B$19</definedName>
    <definedName name="アガリ数">#REF!</definedName>
    <definedName name="アガリ率" localSheetId="3">Template1!$C$19</definedName>
    <definedName name="アガリ率" localSheetId="8">だいち!$C$19</definedName>
    <definedName name="アガリ率" localSheetId="11">たかの!$C$19</definedName>
    <definedName name="アガリ率" localSheetId="13">ただ!$C$19</definedName>
    <definedName name="アガリ率" localSheetId="7">ともき!$C$19</definedName>
    <definedName name="アガリ率" localSheetId="12">のり!$C$19</definedName>
    <definedName name="アガリ率" localSheetId="10">まっつん!$C$19</definedName>
    <definedName name="アガリ率" localSheetId="9">りくと!$C$19</definedName>
    <definedName name="アガリ率" localSheetId="6">れんたろう!$C$19</definedName>
    <definedName name="アガリ率" localSheetId="5">全体!$C$19</definedName>
    <definedName name="アガリ率">#REF!</definedName>
    <definedName name="ダマアガリ数" localSheetId="3">Template1!$B$25</definedName>
    <definedName name="ダマアガリ数" localSheetId="8">だいち!$B$25</definedName>
    <definedName name="ダマアガリ数" localSheetId="11">たかの!$B$25</definedName>
    <definedName name="ダマアガリ数" localSheetId="13">ただ!$B$25</definedName>
    <definedName name="ダマアガリ数" localSheetId="7">ともき!$B$25</definedName>
    <definedName name="ダマアガリ数" localSheetId="12">のり!$B$25</definedName>
    <definedName name="ダマアガリ数" localSheetId="10">まっつん!$B$25</definedName>
    <definedName name="ダマアガリ数" localSheetId="9">りくと!$B$25</definedName>
    <definedName name="ダマアガリ数" localSheetId="6">れんたろう!$B$25</definedName>
    <definedName name="ダマアガリ数" localSheetId="5">全体!$B$25</definedName>
    <definedName name="ダマアガリ数">#REF!</definedName>
    <definedName name="ダマアガリ点">#REF!</definedName>
    <definedName name="ダマアガリ率" localSheetId="3">Template1!$C$25</definedName>
    <definedName name="ダマアガリ率" localSheetId="8">だいち!$C$25</definedName>
    <definedName name="ダマアガリ率" localSheetId="11">たかの!$C$25</definedName>
    <definedName name="ダマアガリ率" localSheetId="13">ただ!$C$25</definedName>
    <definedName name="ダマアガリ率" localSheetId="7">ともき!$C$25</definedName>
    <definedName name="ダマアガリ率" localSheetId="12">のり!$C$25</definedName>
    <definedName name="ダマアガリ率" localSheetId="10">まっつん!$C$25</definedName>
    <definedName name="ダマアガリ率" localSheetId="9">りくと!$C$25</definedName>
    <definedName name="ダマアガリ率" localSheetId="6">れんたろう!$C$25</definedName>
    <definedName name="ダマアガリ率" localSheetId="5">全体!$C$25</definedName>
    <definedName name="ダマアガリ率">#REF!</definedName>
    <definedName name="チョンボ数" localSheetId="3">Template1!$B$34</definedName>
    <definedName name="チョンボ数" localSheetId="8">だいち!$B$34</definedName>
    <definedName name="チョンボ数" localSheetId="11">たかの!$B$34</definedName>
    <definedName name="チョンボ数" localSheetId="13">ただ!$B$34</definedName>
    <definedName name="チョンボ数" localSheetId="7">ともき!$B$34</definedName>
    <definedName name="チョンボ数" localSheetId="12">のり!$B$34</definedName>
    <definedName name="チョンボ数" localSheetId="10">まっつん!$B$34</definedName>
    <definedName name="チョンボ数" localSheetId="9">りくと!$B$34</definedName>
    <definedName name="チョンボ数" localSheetId="6">れんたろう!$B$34</definedName>
    <definedName name="チョンボ数" localSheetId="5">全体!$B$34</definedName>
    <definedName name="チョンボ数">#REF!</definedName>
    <definedName name="チョンボ率" localSheetId="3">Template1!$C$34</definedName>
    <definedName name="チョンボ率" localSheetId="8">だいち!$C$34</definedName>
    <definedName name="チョンボ率" localSheetId="11">たかの!$C$34</definedName>
    <definedName name="チョンボ率" localSheetId="13">ただ!$C$34</definedName>
    <definedName name="チョンボ率" localSheetId="7">ともき!$C$34</definedName>
    <definedName name="チョンボ率" localSheetId="12">のり!$C$34</definedName>
    <definedName name="チョンボ率" localSheetId="10">まっつん!$C$34</definedName>
    <definedName name="チョンボ率" localSheetId="9">りくと!$C$34</definedName>
    <definedName name="チョンボ率" localSheetId="6">れんたろう!$C$34</definedName>
    <definedName name="チョンボ率" localSheetId="5">全体!$C$34</definedName>
    <definedName name="チョンボ率">#REF!</definedName>
    <definedName name="ツモ数" localSheetId="3">Template1!$B$21</definedName>
    <definedName name="ツモ数" localSheetId="8">だいち!$B$21</definedName>
    <definedName name="ツモ数" localSheetId="11">たかの!$B$21</definedName>
    <definedName name="ツモ数" localSheetId="13">ただ!$B$21</definedName>
    <definedName name="ツモ数" localSheetId="7">ともき!$B$21</definedName>
    <definedName name="ツモ数" localSheetId="12">のり!$B$21</definedName>
    <definedName name="ツモ数" localSheetId="10">まっつん!$B$21</definedName>
    <definedName name="ツモ数" localSheetId="9">りくと!$B$21</definedName>
    <definedName name="ツモ数" localSheetId="6">れんたろう!$B$21</definedName>
    <definedName name="ツモ数" localSheetId="5">全体!$B$21</definedName>
    <definedName name="ツモ数">#REF!</definedName>
    <definedName name="ツモ率" localSheetId="3">Template1!$C$21</definedName>
    <definedName name="ツモ率" localSheetId="8">だいち!$C$21</definedName>
    <definedName name="ツモ率" localSheetId="11">たかの!$C$21</definedName>
    <definedName name="ツモ率" localSheetId="13">ただ!$C$21</definedName>
    <definedName name="ツモ率" localSheetId="7">ともき!$C$21</definedName>
    <definedName name="ツモ率" localSheetId="12">のり!$C$21</definedName>
    <definedName name="ツモ率" localSheetId="10">まっつん!$C$21</definedName>
    <definedName name="ツモ率" localSheetId="9">りくと!$C$21</definedName>
    <definedName name="ツモ率" localSheetId="6">れんたろう!$C$21</definedName>
    <definedName name="ツモ率" localSheetId="5">全体!$C$21</definedName>
    <definedName name="ツモ率">#REF!</definedName>
    <definedName name="トップ数" localSheetId="3">Template1!$B$7</definedName>
    <definedName name="トップ数" localSheetId="8">だいち!$B$7</definedName>
    <definedName name="トップ数" localSheetId="11">たかの!$B$7</definedName>
    <definedName name="トップ数" localSheetId="13">ただ!$B$7</definedName>
    <definedName name="トップ数" localSheetId="7">ともき!$B$7</definedName>
    <definedName name="トップ数" localSheetId="12">のり!$B$7</definedName>
    <definedName name="トップ数" localSheetId="10">まっつん!$B$7</definedName>
    <definedName name="トップ数" localSheetId="9">りくと!$B$7</definedName>
    <definedName name="トップ数" localSheetId="6">れんたろう!$B$7</definedName>
    <definedName name="トップ数" localSheetId="5">全体!$B$7</definedName>
    <definedName name="トップ数">#REF!</definedName>
    <definedName name="トップ率" localSheetId="3">Template1!$C$7</definedName>
    <definedName name="トップ率" localSheetId="8">だいち!$C$7</definedName>
    <definedName name="トップ率" localSheetId="11">たかの!$C$7</definedName>
    <definedName name="トップ率" localSheetId="13">ただ!$C$7</definedName>
    <definedName name="トップ率" localSheetId="7">ともき!$C$7</definedName>
    <definedName name="トップ率" localSheetId="12">のり!$C$7</definedName>
    <definedName name="トップ率" localSheetId="10">まっつん!$C$7</definedName>
    <definedName name="トップ率" localSheetId="9">りくと!$C$7</definedName>
    <definedName name="トップ率" localSheetId="6">れんたろう!$C$7</definedName>
    <definedName name="トップ率" localSheetId="5">全体!$C$7</definedName>
    <definedName name="トップ率">#REF!</definedName>
    <definedName name="バランス" localSheetId="8">だいち!$B$13</definedName>
    <definedName name="バランス" localSheetId="11">たかの!$B$13</definedName>
    <definedName name="バランス" localSheetId="13">ただ!$B$13</definedName>
    <definedName name="バランス" localSheetId="7">ともき!$B$13</definedName>
    <definedName name="バランス" localSheetId="12">のり!$B$13</definedName>
    <definedName name="バランス" localSheetId="10">まっつん!$B$13</definedName>
    <definedName name="バランス" localSheetId="9">りくと!$B$13</definedName>
    <definedName name="バランス" localSheetId="6">れんたろう!$B$13</definedName>
    <definedName name="バランス" localSheetId="5">全体!$B$13</definedName>
    <definedName name="バランス">Template1!$B$13</definedName>
    <definedName name="ふっとばし数">#REF!</definedName>
    <definedName name="ふっとばし率">#REF!</definedName>
    <definedName name="ふっとび数" localSheetId="3">Template1!$B$14</definedName>
    <definedName name="ふっとび数" localSheetId="8">だいち!$B$14</definedName>
    <definedName name="ふっとび数" localSheetId="11">たかの!$B$14</definedName>
    <definedName name="ふっとび数" localSheetId="13">ただ!$B$14</definedName>
    <definedName name="ふっとび数" localSheetId="7">ともき!$B$14</definedName>
    <definedName name="ふっとび数" localSheetId="12">のり!$B$14</definedName>
    <definedName name="ふっとび数" localSheetId="10">まっつん!$B$14</definedName>
    <definedName name="ふっとび数" localSheetId="9">りくと!$B$14</definedName>
    <definedName name="ふっとび数" localSheetId="6">れんたろう!$B$14</definedName>
    <definedName name="ふっとび数" localSheetId="5">全体!$B$14</definedName>
    <definedName name="ふっとび数">#REF!</definedName>
    <definedName name="ふっとび率" localSheetId="3">Template1!$C$14</definedName>
    <definedName name="ふっとび率" localSheetId="8">だいち!$C$14</definedName>
    <definedName name="ふっとび率" localSheetId="11">たかの!$C$14</definedName>
    <definedName name="ふっとび率" localSheetId="13">ただ!$C$14</definedName>
    <definedName name="ふっとび率" localSheetId="7">ともき!$C$14</definedName>
    <definedName name="ふっとび率" localSheetId="12">のり!$C$14</definedName>
    <definedName name="ふっとび率" localSheetId="10">まっつん!$C$14</definedName>
    <definedName name="ふっとび率" localSheetId="9">りくと!$C$14</definedName>
    <definedName name="ふっとび率" localSheetId="6">れんたろう!$C$14</definedName>
    <definedName name="ふっとび率" localSheetId="5">全体!$C$14</definedName>
    <definedName name="ふっとび率">#REF!</definedName>
    <definedName name="ラス数" localSheetId="3">Template1!$B$9</definedName>
    <definedName name="ラス数" localSheetId="8">だいち!$B$9</definedName>
    <definedName name="ラス数" localSheetId="11">たかの!$B$9</definedName>
    <definedName name="ラス数" localSheetId="13">ただ!$B$9</definedName>
    <definedName name="ラス数" localSheetId="7">ともき!$B$9</definedName>
    <definedName name="ラス数" localSheetId="12">のり!$B$9</definedName>
    <definedName name="ラス数" localSheetId="10">まっつん!$B$9</definedName>
    <definedName name="ラス数" localSheetId="9">りくと!$B$9</definedName>
    <definedName name="ラス数" localSheetId="6">れんたろう!$B$9</definedName>
    <definedName name="ラス数" localSheetId="5">全体!$B$9</definedName>
    <definedName name="ラス数">#REF!</definedName>
    <definedName name="ラス率" localSheetId="3">Template1!$C$9</definedName>
    <definedName name="ラス率" localSheetId="8">だいち!$C$9</definedName>
    <definedName name="ラス率" localSheetId="11">たかの!$C$9</definedName>
    <definedName name="ラス率" localSheetId="13">ただ!$C$9</definedName>
    <definedName name="ラス率" localSheetId="7">ともき!$C$9</definedName>
    <definedName name="ラス率" localSheetId="12">のり!$C$9</definedName>
    <definedName name="ラス率" localSheetId="10">まっつん!$C$9</definedName>
    <definedName name="ラス率" localSheetId="9">りくと!$C$9</definedName>
    <definedName name="ラス率" localSheetId="6">れんたろう!$C$9</definedName>
    <definedName name="ラス率" localSheetId="5">全体!$C$9</definedName>
    <definedName name="ラス率">#REF!</definedName>
    <definedName name="リーチアガリ数" localSheetId="3">Template1!$B$23</definedName>
    <definedName name="リーチアガリ数" localSheetId="8">だいち!$B$23</definedName>
    <definedName name="リーチアガリ数" localSheetId="11">たかの!$B$23</definedName>
    <definedName name="リーチアガリ数" localSheetId="13">ただ!$B$23</definedName>
    <definedName name="リーチアガリ数" localSheetId="7">ともき!$B$23</definedName>
    <definedName name="リーチアガリ数" localSheetId="12">のり!$B$23</definedName>
    <definedName name="リーチアガリ数" localSheetId="10">まっつん!$B$23</definedName>
    <definedName name="リーチアガリ数" localSheetId="9">りくと!$B$23</definedName>
    <definedName name="リーチアガリ数" localSheetId="6">れんたろう!$B$23</definedName>
    <definedName name="リーチアガリ数" localSheetId="5">全体!$B$23</definedName>
    <definedName name="リーチアガリ数">#REF!</definedName>
    <definedName name="リーチアガリ率" localSheetId="3">Template1!$C$23</definedName>
    <definedName name="リーチアガリ率" localSheetId="8">だいち!$C$23</definedName>
    <definedName name="リーチアガリ率" localSheetId="11">たかの!$C$23</definedName>
    <definedName name="リーチアガリ率" localSheetId="13">ただ!$C$23</definedName>
    <definedName name="リーチアガリ率" localSheetId="7">ともき!$C$23</definedName>
    <definedName name="リーチアガリ率" localSheetId="12">のり!$C$23</definedName>
    <definedName name="リーチアガリ率" localSheetId="10">まっつん!$C$23</definedName>
    <definedName name="リーチアガリ率" localSheetId="9">りくと!$C$23</definedName>
    <definedName name="リーチアガリ率" localSheetId="6">れんたろう!$C$23</definedName>
    <definedName name="リーチアガリ率" localSheetId="5">全体!$C$23</definedName>
    <definedName name="リーチアガリ率">#REF!</definedName>
    <definedName name="リーチ数" localSheetId="3">Template1!$B$15</definedName>
    <definedName name="リーチ数" localSheetId="8">だいち!$B$15</definedName>
    <definedName name="リーチ数" localSheetId="11">たかの!$B$15</definedName>
    <definedName name="リーチ数" localSheetId="13">ただ!$B$15</definedName>
    <definedName name="リーチ数" localSheetId="7">ともき!$B$15</definedName>
    <definedName name="リーチ数" localSheetId="12">のり!$B$15</definedName>
    <definedName name="リーチ数" localSheetId="10">まっつん!$B$15</definedName>
    <definedName name="リーチ数" localSheetId="9">りくと!$B$15</definedName>
    <definedName name="リーチ数" localSheetId="6">れんたろう!$B$15</definedName>
    <definedName name="リーチ数" localSheetId="5">全体!$B$15</definedName>
    <definedName name="リーチ数">#REF!</definedName>
    <definedName name="リーチ成功数" localSheetId="3">Template1!$B$17</definedName>
    <definedName name="リーチ成功数" localSheetId="8">だいち!$B$17</definedName>
    <definedName name="リーチ成功数" localSheetId="11">たかの!$B$17</definedName>
    <definedName name="リーチ成功数" localSheetId="13">ただ!$B$17</definedName>
    <definedName name="リーチ成功数" localSheetId="7">ともき!$B$17</definedName>
    <definedName name="リーチ成功数" localSheetId="12">のり!$B$17</definedName>
    <definedName name="リーチ成功数" localSheetId="10">まっつん!$B$17</definedName>
    <definedName name="リーチ成功数" localSheetId="9">りくと!$B$17</definedName>
    <definedName name="リーチ成功数" localSheetId="6">れんたろう!$B$17</definedName>
    <definedName name="リーチ成功数" localSheetId="5">全体!$B$17</definedName>
    <definedName name="リーチ成功数">#REF!</definedName>
    <definedName name="リーチ成功率" localSheetId="3">Template1!$C$17</definedName>
    <definedName name="リーチ成功率" localSheetId="8">だいち!$C$17</definedName>
    <definedName name="リーチ成功率" localSheetId="11">たかの!$C$17</definedName>
    <definedName name="リーチ成功率" localSheetId="13">ただ!$C$17</definedName>
    <definedName name="リーチ成功率" localSheetId="7">ともき!$C$17</definedName>
    <definedName name="リーチ成功率" localSheetId="12">のり!$C$17</definedName>
    <definedName name="リーチ成功率" localSheetId="10">まっつん!$C$17</definedName>
    <definedName name="リーチ成功率" localSheetId="9">りくと!$C$17</definedName>
    <definedName name="リーチ成功率" localSheetId="6">れんたろう!$C$17</definedName>
    <definedName name="リーチ成功率" localSheetId="5">全体!$C$17</definedName>
    <definedName name="リーチ成功率">#REF!</definedName>
    <definedName name="リーチ率" localSheetId="3">Template1!$C$15</definedName>
    <definedName name="リーチ率" localSheetId="8">だいち!$C$15</definedName>
    <definedName name="リーチ率" localSheetId="11">たかの!$C$15</definedName>
    <definedName name="リーチ率" localSheetId="13">ただ!$C$15</definedName>
    <definedName name="リーチ率" localSheetId="7">ともき!$C$15</definedName>
    <definedName name="リーチ率" localSheetId="12">のり!$C$15</definedName>
    <definedName name="リーチ率" localSheetId="10">まっつん!$C$15</definedName>
    <definedName name="リーチ率" localSheetId="9">りくと!$C$15</definedName>
    <definedName name="リーチ率" localSheetId="6">れんたろう!$C$15</definedName>
    <definedName name="リーチ率" localSheetId="5">全体!$C$15</definedName>
    <definedName name="リーチ率">#REF!</definedName>
    <definedName name="ロン数" localSheetId="3">Template1!$B$22</definedName>
    <definedName name="ロン数" localSheetId="8">だいち!$B$22</definedName>
    <definedName name="ロン数" localSheetId="11">たかの!$B$22</definedName>
    <definedName name="ロン数" localSheetId="13">ただ!$B$22</definedName>
    <definedName name="ロン数" localSheetId="7">ともき!$B$22</definedName>
    <definedName name="ロン数" localSheetId="12">のり!$B$22</definedName>
    <definedName name="ロン数" localSheetId="10">まっつん!$B$22</definedName>
    <definedName name="ロン数" localSheetId="9">りくと!$B$22</definedName>
    <definedName name="ロン数" localSheetId="6">れんたろう!$B$22</definedName>
    <definedName name="ロン数" localSheetId="5">全体!$B$22</definedName>
    <definedName name="ロン数">#REF!</definedName>
    <definedName name="ロン率" localSheetId="3">Template1!$C$22</definedName>
    <definedName name="ロン率" localSheetId="8">だいち!$C$22</definedName>
    <definedName name="ロン率" localSheetId="11">たかの!$C$22</definedName>
    <definedName name="ロン率" localSheetId="13">ただ!$C$22</definedName>
    <definedName name="ロン率" localSheetId="7">ともき!$C$22</definedName>
    <definedName name="ロン率" localSheetId="12">のり!$C$22</definedName>
    <definedName name="ロン率" localSheetId="10">まっつん!$C$22</definedName>
    <definedName name="ロン率" localSheetId="9">りくと!$C$22</definedName>
    <definedName name="ロン率" localSheetId="6">れんたろう!$C$22</definedName>
    <definedName name="ロン率" localSheetId="5">全体!$C$22</definedName>
    <definedName name="ロン率">#REF!</definedName>
    <definedName name="一位スコア" localSheetId="8">だいち!$B$10</definedName>
    <definedName name="一位スコア" localSheetId="11">たかの!$B$10</definedName>
    <definedName name="一位スコア" localSheetId="13">ただ!$B$10</definedName>
    <definedName name="一位スコア" localSheetId="7">ともき!$B$10</definedName>
    <definedName name="一位スコア" localSheetId="12">のり!$B$10</definedName>
    <definedName name="一位スコア" localSheetId="10">まっつん!$B$10</definedName>
    <definedName name="一位スコア" localSheetId="9">りくと!$B$10</definedName>
    <definedName name="一位スコア" localSheetId="6">れんたろう!$B$10</definedName>
    <definedName name="一位スコア" localSheetId="5">全体!$B$10</definedName>
    <definedName name="一位スコア">Template1!$B$10</definedName>
    <definedName name="一位通算スコア" localSheetId="8">だいち!$C$10</definedName>
    <definedName name="一位通算スコア" localSheetId="11">たかの!$C$10</definedName>
    <definedName name="一位通算スコア" localSheetId="13">ただ!$C$10</definedName>
    <definedName name="一位通算スコア" localSheetId="7">ともき!$C$10</definedName>
    <definedName name="一位通算スコア" localSheetId="12">のり!$C$10</definedName>
    <definedName name="一位通算スコア" localSheetId="10">まっつん!$C$10</definedName>
    <definedName name="一位通算スコア" localSheetId="9">りくと!$C$10</definedName>
    <definedName name="一位通算スコア" localSheetId="6">れんたろう!$C$10</definedName>
    <definedName name="一位通算スコア" localSheetId="5">全体!$C$10</definedName>
    <definedName name="一位通算スコア">Template1!$C$10</definedName>
    <definedName name="一翻数" localSheetId="8">だいち!$B$36</definedName>
    <definedName name="一翻数" localSheetId="11">たかの!$B$36</definedName>
    <definedName name="一翻数" localSheetId="13">ただ!$B$36</definedName>
    <definedName name="一翻数" localSheetId="7">ともき!$B$36</definedName>
    <definedName name="一翻数" localSheetId="12">のり!$B$36</definedName>
    <definedName name="一翻数" localSheetId="10">まっつん!$B$36</definedName>
    <definedName name="一翻数" localSheetId="9">りくと!$B$36</definedName>
    <definedName name="一翻数" localSheetId="6">れんたろう!$B$36</definedName>
    <definedName name="一翻数" localSheetId="5">全体!$B$36</definedName>
    <definedName name="一翻数">Template1!$B$36</definedName>
    <definedName name="一翻率" localSheetId="8">だいち!$C$36</definedName>
    <definedName name="一翻率" localSheetId="11">たかの!$C$36</definedName>
    <definedName name="一翻率" localSheetId="13">ただ!$C$36</definedName>
    <definedName name="一翻率" localSheetId="7">ともき!$C$36</definedName>
    <definedName name="一翻率" localSheetId="12">のり!$C$36</definedName>
    <definedName name="一翻率" localSheetId="10">まっつん!$C$36</definedName>
    <definedName name="一翻率" localSheetId="9">りくと!$C$36</definedName>
    <definedName name="一翻率" localSheetId="6">れんたろう!$C$36</definedName>
    <definedName name="一翻率" localSheetId="5">全体!$C$36</definedName>
    <definedName name="一翻率">Template1!$C$36</definedName>
    <definedName name="逆転数">#REF!</definedName>
    <definedName name="逆転率">#REF!</definedName>
    <definedName name="現行連続アガリ" localSheetId="3">Template1!$C$30</definedName>
    <definedName name="現行連続アガリ" localSheetId="8">だいち!$C$30</definedName>
    <definedName name="現行連続アガリ" localSheetId="11">たかの!$C$30</definedName>
    <definedName name="現行連続アガリ" localSheetId="13">ただ!$C$30</definedName>
    <definedName name="現行連続アガリ" localSheetId="7">ともき!$C$30</definedName>
    <definedName name="現行連続アガリ" localSheetId="12">のり!$C$30</definedName>
    <definedName name="現行連続アガリ" localSheetId="10">まっつん!$C$30</definedName>
    <definedName name="現行連続アガリ" localSheetId="9">りくと!$C$30</definedName>
    <definedName name="現行連続アガリ" localSheetId="6">れんたろう!$C$30</definedName>
    <definedName name="現行連続アガリ" localSheetId="5">全体!$C$30</definedName>
    <definedName name="現行連続アガリ">#REF!</definedName>
    <definedName name="現行連続無放銃" localSheetId="3">Template1!$C$31</definedName>
    <definedName name="現行連続無放銃" localSheetId="8">だいち!$C$31</definedName>
    <definedName name="現行連続無放銃" localSheetId="11">たかの!$C$31</definedName>
    <definedName name="現行連続無放銃" localSheetId="13">ただ!$C$31</definedName>
    <definedName name="現行連続無放銃" localSheetId="7">ともき!$C$31</definedName>
    <definedName name="現行連続無放銃" localSheetId="12">のり!$C$31</definedName>
    <definedName name="現行連続無放銃" localSheetId="10">まっつん!$C$31</definedName>
    <definedName name="現行連続無放銃" localSheetId="9">りくと!$C$31</definedName>
    <definedName name="現行連続無放銃" localSheetId="6">れんたろう!$C$31</definedName>
    <definedName name="現行連続無放銃" localSheetId="5">全体!$C$31</definedName>
    <definedName name="現行連続無放銃">#REF!</definedName>
    <definedName name="最高点" localSheetId="3">Template1!$B$33</definedName>
    <definedName name="最高点" localSheetId="8">だいち!$B$33</definedName>
    <definedName name="最高点" localSheetId="11">たかの!$B$33</definedName>
    <definedName name="最高点" localSheetId="13">ただ!$B$33</definedName>
    <definedName name="最高点" localSheetId="7">ともき!$B$33</definedName>
    <definedName name="最高点" localSheetId="12">のり!$B$33</definedName>
    <definedName name="最高点" localSheetId="10">まっつん!$B$33</definedName>
    <definedName name="最高点" localSheetId="9">りくと!$B$33</definedName>
    <definedName name="最高点" localSheetId="6">れんたろう!$B$33</definedName>
    <definedName name="最高点" localSheetId="5">全体!$B$33</definedName>
    <definedName name="最高点">#REF!</definedName>
    <definedName name="最大ドラ数" localSheetId="3">Template1!$B$32</definedName>
    <definedName name="最大ドラ数" localSheetId="8">だいち!$B$32</definedName>
    <definedName name="最大ドラ数" localSheetId="11">たかの!$B$32</definedName>
    <definedName name="最大ドラ数" localSheetId="13">ただ!$B$32</definedName>
    <definedName name="最大ドラ数" localSheetId="7">ともき!$B$32</definedName>
    <definedName name="最大ドラ数" localSheetId="12">のり!$B$32</definedName>
    <definedName name="最大ドラ数" localSheetId="10">まっつん!$B$32</definedName>
    <definedName name="最大ドラ数" localSheetId="9">りくと!$B$32</definedName>
    <definedName name="最大ドラ数" localSheetId="6">れんたろう!$B$32</definedName>
    <definedName name="最大ドラ数" localSheetId="5">全体!$B$32</definedName>
    <definedName name="最大ドラ数">#REF!</definedName>
    <definedName name="最大点数" localSheetId="3">Template1!$B$33</definedName>
    <definedName name="最大点数" localSheetId="8">だいち!$B$33</definedName>
    <definedName name="最大点数" localSheetId="11">たかの!$B$33</definedName>
    <definedName name="最大点数" localSheetId="13">ただ!$B$33</definedName>
    <definedName name="最大点数" localSheetId="7">ともき!$B$33</definedName>
    <definedName name="最大点数" localSheetId="12">のり!$B$33</definedName>
    <definedName name="最大点数" localSheetId="10">まっつん!$B$33</definedName>
    <definedName name="最大点数" localSheetId="9">りくと!$B$33</definedName>
    <definedName name="最大点数" localSheetId="6">れんたろう!$B$33</definedName>
    <definedName name="最大点数" localSheetId="5">全体!$B$33</definedName>
    <definedName name="最大点数">#REF!</definedName>
    <definedName name="三位スコア" localSheetId="8">だいち!$B$12</definedName>
    <definedName name="三位スコア" localSheetId="11">たかの!$B$12</definedName>
    <definedName name="三位スコア" localSheetId="13">ただ!$B$12</definedName>
    <definedName name="三位スコア" localSheetId="7">ともき!$B$12</definedName>
    <definedName name="三位スコア" localSheetId="12">のり!$B$12</definedName>
    <definedName name="三位スコア" localSheetId="10">まっつん!$B$12</definedName>
    <definedName name="三位スコア" localSheetId="9">りくと!$B$12</definedName>
    <definedName name="三位スコア" localSheetId="6">れんたろう!$B$12</definedName>
    <definedName name="三位スコア" localSheetId="5">全体!$B$12</definedName>
    <definedName name="三位スコア">Template1!$B$12</definedName>
    <definedName name="三位通算スコア" localSheetId="8">だいち!$C$12</definedName>
    <definedName name="三位通算スコア" localSheetId="11">たかの!$C$12</definedName>
    <definedName name="三位通算スコア" localSheetId="13">ただ!$C$12</definedName>
    <definedName name="三位通算スコア" localSheetId="7">ともき!$C$12</definedName>
    <definedName name="三位通算スコア" localSheetId="12">のり!$C$12</definedName>
    <definedName name="三位通算スコア" localSheetId="10">まっつん!$C$12</definedName>
    <definedName name="三位通算スコア" localSheetId="9">りくと!$C$12</definedName>
    <definedName name="三位通算スコア" localSheetId="6">れんたろう!$C$12</definedName>
    <definedName name="三位通算スコア" localSheetId="5">全体!$C$12</definedName>
    <definedName name="三位通算スコア">Template1!$C$12</definedName>
    <definedName name="総局数" localSheetId="3">Template1!$B$3</definedName>
    <definedName name="総局数" localSheetId="8">だいち!$B$3</definedName>
    <definedName name="総局数" localSheetId="11">たかの!$B$3</definedName>
    <definedName name="総局数" localSheetId="13">ただ!$B$3</definedName>
    <definedName name="総局数" localSheetId="7">ともき!$B$3</definedName>
    <definedName name="総局数" localSheetId="12">のり!$B$3</definedName>
    <definedName name="総局数" localSheetId="10">まっつん!$B$3</definedName>
    <definedName name="総局数" localSheetId="9">りくと!$B$3</definedName>
    <definedName name="総局数" localSheetId="6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8">だいち!$B$2</definedName>
    <definedName name="対戦数" localSheetId="11">たかの!$B$2</definedName>
    <definedName name="対戦数" localSheetId="13">ただ!$B$2</definedName>
    <definedName name="対戦数" localSheetId="7">ともき!$B$2</definedName>
    <definedName name="対戦数" localSheetId="12">のり!$B$2</definedName>
    <definedName name="対戦数" localSheetId="10">まっつん!$B$2</definedName>
    <definedName name="対戦数" localSheetId="9">りくと!$B$2</definedName>
    <definedName name="対戦数" localSheetId="6">れんたろう!$B$2</definedName>
    <definedName name="対戦数" localSheetId="5">全体!$B$2</definedName>
    <definedName name="対戦数">#REF!</definedName>
    <definedName name="通算アガリ点" localSheetId="3">Template1!$C$26</definedName>
    <definedName name="通算アガリ点" localSheetId="8">だいち!$C$26</definedName>
    <definedName name="通算アガリ点" localSheetId="11">たかの!$C$26</definedName>
    <definedName name="通算アガリ点" localSheetId="13">ただ!$C$26</definedName>
    <definedName name="通算アガリ点" localSheetId="7">ともき!$C$26</definedName>
    <definedName name="通算アガリ点" localSheetId="12">のり!$C$26</definedName>
    <definedName name="通算アガリ点" localSheetId="10">まっつん!$C$26</definedName>
    <definedName name="通算アガリ点" localSheetId="9">りくと!$C$26</definedName>
    <definedName name="通算アガリ点" localSheetId="6">れんたろう!$C$26</definedName>
    <definedName name="通算アガリ点" localSheetId="5">全体!$C$26</definedName>
    <definedName name="通算アガリ点">#REF!</definedName>
    <definedName name="通算スコア" localSheetId="3">Template1!$B$4</definedName>
    <definedName name="通算スコア" localSheetId="8">だいち!$B$4</definedName>
    <definedName name="通算スコア" localSheetId="11">たかの!$B$4</definedName>
    <definedName name="通算スコア" localSheetId="13">ただ!$B$4</definedName>
    <definedName name="通算スコア" localSheetId="7">ともき!$B$4</definedName>
    <definedName name="通算スコア" localSheetId="12">のり!$B$4</definedName>
    <definedName name="通算スコア" localSheetId="10">まっつん!$B$4</definedName>
    <definedName name="通算スコア" localSheetId="9">りくと!$B$4</definedName>
    <definedName name="通算スコア" localSheetId="6">れんたろう!$B$4</definedName>
    <definedName name="通算スコア" localSheetId="5">全体!$B$4</definedName>
    <definedName name="通算スコア">#REF!</definedName>
    <definedName name="通算副露アガリ点" localSheetId="3">Template1!$C$28</definedName>
    <definedName name="通算副露アガリ点" localSheetId="8">だいち!$C$28</definedName>
    <definedName name="通算副露アガリ点" localSheetId="11">たかの!$C$28</definedName>
    <definedName name="通算副露アガリ点" localSheetId="13">ただ!$C$28</definedName>
    <definedName name="通算副露アガリ点" localSheetId="7">ともき!$C$28</definedName>
    <definedName name="通算副露アガリ点" localSheetId="12">のり!$C$28</definedName>
    <definedName name="通算副露アガリ点" localSheetId="10">まっつん!$C$28</definedName>
    <definedName name="通算副露アガリ点" localSheetId="9">りくと!$C$28</definedName>
    <definedName name="通算副露アガリ点" localSheetId="6">れんたろう!$C$28</definedName>
    <definedName name="通算副露アガリ点" localSheetId="5">全体!$C$28</definedName>
    <definedName name="通算副露アガリ点">#REF!</definedName>
    <definedName name="通算放銃点" localSheetId="3">Template1!$C$29</definedName>
    <definedName name="通算放銃点" localSheetId="8">だいち!$C$29</definedName>
    <definedName name="通算放銃点" localSheetId="11">たかの!$C$29</definedName>
    <definedName name="通算放銃点" localSheetId="13">ただ!$C$29</definedName>
    <definedName name="通算放銃点" localSheetId="7">ともき!$C$29</definedName>
    <definedName name="通算放銃点" localSheetId="12">のり!$C$29</definedName>
    <definedName name="通算放銃点" localSheetId="10">まっつん!$C$29</definedName>
    <definedName name="通算放銃点" localSheetId="9">りくと!$C$29</definedName>
    <definedName name="通算放銃点" localSheetId="6">れんたろう!$C$29</definedName>
    <definedName name="通算放銃点" localSheetId="5">全体!$C$29</definedName>
    <definedName name="通算放銃点">#REF!</definedName>
    <definedName name="通算門前アガリ点" localSheetId="3">Template1!$C$27</definedName>
    <definedName name="通算門前アガリ点" localSheetId="8">だいち!$C$27</definedName>
    <definedName name="通算門前アガリ点" localSheetId="11">たかの!$C$27</definedName>
    <definedName name="通算門前アガリ点" localSheetId="13">ただ!$C$27</definedName>
    <definedName name="通算門前アガリ点" localSheetId="7">ともき!$C$27</definedName>
    <definedName name="通算門前アガリ点" localSheetId="12">のり!$C$27</definedName>
    <definedName name="通算門前アガリ点" localSheetId="10">まっつん!$C$27</definedName>
    <definedName name="通算門前アガリ点" localSheetId="9">りくと!$C$27</definedName>
    <definedName name="通算門前アガリ点" localSheetId="6">れんたろう!$C$27</definedName>
    <definedName name="通算門前アガリ点" localSheetId="5">全体!$C$27</definedName>
    <definedName name="通算門前アガリ点">#REF!</definedName>
    <definedName name="二位スコア" localSheetId="8">だいち!$B$11</definedName>
    <definedName name="二位スコア" localSheetId="11">たかの!$B$11</definedName>
    <definedName name="二位スコア" localSheetId="13">ただ!$B$11</definedName>
    <definedName name="二位スコア" localSheetId="7">ともき!$B$11</definedName>
    <definedName name="二位スコア" localSheetId="12">のり!$B$11</definedName>
    <definedName name="二位スコア" localSheetId="10">まっつん!$B$11</definedName>
    <definedName name="二位スコア" localSheetId="9">りくと!$B$11</definedName>
    <definedName name="二位スコア" localSheetId="6">れんたろう!$B$11</definedName>
    <definedName name="二位スコア" localSheetId="5">全体!$B$11</definedName>
    <definedName name="二位スコア">Template1!$B$11</definedName>
    <definedName name="二位数" localSheetId="3">Template1!$B$8</definedName>
    <definedName name="二位数" localSheetId="8">だいち!$B$8</definedName>
    <definedName name="二位数" localSheetId="11">たかの!$B$8</definedName>
    <definedName name="二位数" localSheetId="13">ただ!$B$8</definedName>
    <definedName name="二位数" localSheetId="7">ともき!$B$8</definedName>
    <definedName name="二位数" localSheetId="12">のり!$B$8</definedName>
    <definedName name="二位数" localSheetId="10">まっつん!$B$8</definedName>
    <definedName name="二位数" localSheetId="9">りくと!$B$8</definedName>
    <definedName name="二位数" localSheetId="6">れんたろう!$B$8</definedName>
    <definedName name="二位数" localSheetId="5">全体!$B$8</definedName>
    <definedName name="二位数">#REF!</definedName>
    <definedName name="二位通算スコア" localSheetId="8">だいち!$C$11</definedName>
    <definedName name="二位通算スコア" localSheetId="11">たかの!$C$11</definedName>
    <definedName name="二位通算スコア" localSheetId="13">ただ!$C$11</definedName>
    <definedName name="二位通算スコア" localSheetId="7">ともき!$C$11</definedName>
    <definedName name="二位通算スコア" localSheetId="12">のり!$C$11</definedName>
    <definedName name="二位通算スコア" localSheetId="10">まっつん!$C$11</definedName>
    <definedName name="二位通算スコア" localSheetId="9">りくと!$C$11</definedName>
    <definedName name="二位通算スコア" localSheetId="6">れんたろう!$C$11</definedName>
    <definedName name="二位通算スコア" localSheetId="5">全体!$C$11</definedName>
    <definedName name="二位通算スコア">Template1!$C$11</definedName>
    <definedName name="二位率" localSheetId="3">Template1!$C$8</definedName>
    <definedName name="二位率" localSheetId="8">だいち!$C$8</definedName>
    <definedName name="二位率" localSheetId="11">たかの!$C$8</definedName>
    <definedName name="二位率" localSheetId="13">ただ!$C$8</definedName>
    <definedName name="二位率" localSheetId="7">ともき!$C$8</definedName>
    <definedName name="二位率" localSheetId="12">のり!$C$8</definedName>
    <definedName name="二位率" localSheetId="10">まっつん!$C$8</definedName>
    <definedName name="二位率" localSheetId="9">りくと!$C$8</definedName>
    <definedName name="二位率" localSheetId="6">れんたろう!$C$8</definedName>
    <definedName name="二位率" localSheetId="5">全体!$C$8</definedName>
    <definedName name="二位率">#REF!</definedName>
    <definedName name="副露アガリ数" localSheetId="3">Template1!$B$24</definedName>
    <definedName name="副露アガリ数" localSheetId="8">だいち!$B$24</definedName>
    <definedName name="副露アガリ数" localSheetId="11">たかの!$B$24</definedName>
    <definedName name="副露アガリ数" localSheetId="13">ただ!$B$24</definedName>
    <definedName name="副露アガリ数" localSheetId="7">ともき!$B$24</definedName>
    <definedName name="副露アガリ数" localSheetId="12">のり!$B$24</definedName>
    <definedName name="副露アガリ数" localSheetId="10">まっつん!$B$24</definedName>
    <definedName name="副露アガリ数" localSheetId="9">りくと!$B$24</definedName>
    <definedName name="副露アガリ数" localSheetId="6">れんたろう!$B$24</definedName>
    <definedName name="副露アガリ数" localSheetId="5">全体!$B$24</definedName>
    <definedName name="副露アガリ数">#REF!</definedName>
    <definedName name="副露アガリ点" localSheetId="3">Template1!$B$28</definedName>
    <definedName name="副露アガリ点" localSheetId="8">だいち!$B$28</definedName>
    <definedName name="副露アガリ点" localSheetId="11">たかの!$B$28</definedName>
    <definedName name="副露アガリ点" localSheetId="13">ただ!$B$28</definedName>
    <definedName name="副露アガリ点" localSheetId="7">ともき!$B$28</definedName>
    <definedName name="副露アガリ点" localSheetId="12">のり!$B$28</definedName>
    <definedName name="副露アガリ点" localSheetId="10">まっつん!$B$28</definedName>
    <definedName name="副露アガリ点" localSheetId="9">りくと!$B$28</definedName>
    <definedName name="副露アガリ点" localSheetId="6">れんたろう!$B$28</definedName>
    <definedName name="副露アガリ点" localSheetId="5">全体!$B$28</definedName>
    <definedName name="副露アガリ点">#REF!</definedName>
    <definedName name="副露アガリ率" localSheetId="3">Template1!$C$24</definedName>
    <definedName name="副露アガリ率" localSheetId="8">だいち!$C$24</definedName>
    <definedName name="副露アガリ率" localSheetId="11">たかの!$C$24</definedName>
    <definedName name="副露アガリ率" localSheetId="13">ただ!$C$24</definedName>
    <definedName name="副露アガリ率" localSheetId="7">ともき!$C$24</definedName>
    <definedName name="副露アガリ率" localSheetId="12">のり!$C$24</definedName>
    <definedName name="副露アガリ率" localSheetId="10">まっつん!$C$24</definedName>
    <definedName name="副露アガリ率" localSheetId="9">りくと!$C$24</definedName>
    <definedName name="副露アガリ率" localSheetId="6">れんたろう!$C$24</definedName>
    <definedName name="副露アガリ率" localSheetId="5">全体!$C$24</definedName>
    <definedName name="副露アガリ率">#REF!</definedName>
    <definedName name="副露数" localSheetId="3">Template1!$B$16</definedName>
    <definedName name="副露数" localSheetId="8">だいち!$B$16</definedName>
    <definedName name="副露数" localSheetId="11">たかの!$B$16</definedName>
    <definedName name="副露数" localSheetId="13">ただ!$B$16</definedName>
    <definedName name="副露数" localSheetId="7">ともき!$B$16</definedName>
    <definedName name="副露数" localSheetId="12">のり!$B$16</definedName>
    <definedName name="副露数" localSheetId="10">まっつん!$B$16</definedName>
    <definedName name="副露数" localSheetId="9">りくと!$B$16</definedName>
    <definedName name="副露数" localSheetId="6">れんたろう!$B$16</definedName>
    <definedName name="副露数" localSheetId="5">全体!$B$16</definedName>
    <definedName name="副露数">#REF!</definedName>
    <definedName name="副露成功数" localSheetId="3">Template1!$B$18</definedName>
    <definedName name="副露成功数" localSheetId="8">だいち!$B$18</definedName>
    <definedName name="副露成功数" localSheetId="11">たかの!$B$18</definedName>
    <definedName name="副露成功数" localSheetId="13">ただ!$B$18</definedName>
    <definedName name="副露成功数" localSheetId="7">ともき!$B$18</definedName>
    <definedName name="副露成功数" localSheetId="12">のり!$B$18</definedName>
    <definedName name="副露成功数" localSheetId="10">まっつん!$B$18</definedName>
    <definedName name="副露成功数" localSheetId="9">りくと!$B$18</definedName>
    <definedName name="副露成功数" localSheetId="6">れんたろう!$B$18</definedName>
    <definedName name="副露成功数" localSheetId="5">全体!$B$18</definedName>
    <definedName name="副露成功数">#REF!</definedName>
    <definedName name="副露成功率" localSheetId="3">Template1!$C$18</definedName>
    <definedName name="副露成功率" localSheetId="8">だいち!$C$18</definedName>
    <definedName name="副露成功率" localSheetId="11">たかの!$C$18</definedName>
    <definedName name="副露成功率" localSheetId="13">ただ!$C$18</definedName>
    <definedName name="副露成功率" localSheetId="7">ともき!$C$18</definedName>
    <definedName name="副露成功率" localSheetId="12">のり!$C$18</definedName>
    <definedName name="副露成功率" localSheetId="10">まっつん!$C$18</definedName>
    <definedName name="副露成功率" localSheetId="9">りくと!$C$18</definedName>
    <definedName name="副露成功率" localSheetId="6">れんたろう!$C$18</definedName>
    <definedName name="副露成功率" localSheetId="5">全体!$C$18</definedName>
    <definedName name="副露成功率">#REF!</definedName>
    <definedName name="副露率" localSheetId="3">Template1!$C$16</definedName>
    <definedName name="副露率" localSheetId="8">だいち!$C$16</definedName>
    <definedName name="副露率" localSheetId="11">たかの!$C$16</definedName>
    <definedName name="副露率" localSheetId="13">ただ!$C$16</definedName>
    <definedName name="副露率" localSheetId="7">ともき!$C$16</definedName>
    <definedName name="副露率" localSheetId="12">のり!$C$16</definedName>
    <definedName name="副露率" localSheetId="10">まっつん!$C$16</definedName>
    <definedName name="副露率" localSheetId="9">りくと!$C$16</definedName>
    <definedName name="副露率" localSheetId="6">れんたろう!$C$16</definedName>
    <definedName name="副露率" localSheetId="5">全体!$C$16</definedName>
    <definedName name="副露率">#REF!</definedName>
    <definedName name="平均アガリ点" localSheetId="3">Template1!$B$26</definedName>
    <definedName name="平均アガリ点" localSheetId="8">だいち!$B$26</definedName>
    <definedName name="平均アガリ点" localSheetId="11">たかの!$B$26</definedName>
    <definedName name="平均アガリ点" localSheetId="13">ただ!$B$26</definedName>
    <definedName name="平均アガリ点" localSheetId="7">ともき!$B$26</definedName>
    <definedName name="平均アガリ点" localSheetId="12">のり!$B$26</definedName>
    <definedName name="平均アガリ点" localSheetId="10">まっつん!$B$26</definedName>
    <definedName name="平均アガリ点" localSheetId="9">りくと!$B$26</definedName>
    <definedName name="平均アガリ点" localSheetId="6">れんたろう!$B$26</definedName>
    <definedName name="平均アガリ点" localSheetId="5">全体!$B$26</definedName>
    <definedName name="平均アガリ点">#REF!</definedName>
    <definedName name="平均スコア" localSheetId="3">Template1!$B$5</definedName>
    <definedName name="平均スコア" localSheetId="8">だいち!$B$5</definedName>
    <definedName name="平均スコア" localSheetId="11">たかの!$B$5</definedName>
    <definedName name="平均スコア" localSheetId="13">ただ!$B$5</definedName>
    <definedName name="平均スコア" localSheetId="7">ともき!$B$5</definedName>
    <definedName name="平均スコア" localSheetId="12">のり!$B$5</definedName>
    <definedName name="平均スコア" localSheetId="10">まっつん!$B$5</definedName>
    <definedName name="平均スコア" localSheetId="9">りくと!$B$5</definedName>
    <definedName name="平均スコア" localSheetId="6">れんたろう!$B$5</definedName>
    <definedName name="平均スコア" localSheetId="5">全体!$B$5</definedName>
    <definedName name="平均スコア">#REF!</definedName>
    <definedName name="平均順位" localSheetId="3">Template1!$B$6</definedName>
    <definedName name="平均順位" localSheetId="8">だいち!$B$6</definedName>
    <definedName name="平均順位" localSheetId="11">たかの!$B$6</definedName>
    <definedName name="平均順位" localSheetId="13">ただ!$B$6</definedName>
    <definedName name="平均順位" localSheetId="7">ともき!$B$6</definedName>
    <definedName name="平均順位" localSheetId="12">のり!$B$6</definedName>
    <definedName name="平均順位" localSheetId="10">まっつん!$B$6</definedName>
    <definedName name="平均順位" localSheetId="9">りくと!$B$6</definedName>
    <definedName name="平均順位" localSheetId="6">れんたろう!$B$6</definedName>
    <definedName name="平均順位" localSheetId="5">全体!$B$6</definedName>
    <definedName name="平均順位">#REF!</definedName>
    <definedName name="平均放銃点" localSheetId="3">Template1!$B$29</definedName>
    <definedName name="平均放銃点" localSheetId="8">だいち!$B$29</definedName>
    <definedName name="平均放銃点" localSheetId="11">たかの!$B$29</definedName>
    <definedName name="平均放銃点" localSheetId="13">ただ!$B$29</definedName>
    <definedName name="平均放銃点" localSheetId="7">ともき!$B$29</definedName>
    <definedName name="平均放銃点" localSheetId="12">のり!$B$29</definedName>
    <definedName name="平均放銃点" localSheetId="10">まっつん!$B$29</definedName>
    <definedName name="平均放銃点" localSheetId="9">りくと!$B$29</definedName>
    <definedName name="平均放銃点" localSheetId="6">れんたろう!$B$29</definedName>
    <definedName name="平均放銃点" localSheetId="5">全体!$B$29</definedName>
    <definedName name="平均放銃点">#REF!</definedName>
    <definedName name="放銃数" localSheetId="3">Template1!$B$20</definedName>
    <definedName name="放銃数" localSheetId="8">だいち!$B$20</definedName>
    <definedName name="放銃数" localSheetId="11">たかの!$B$20</definedName>
    <definedName name="放銃数" localSheetId="13">ただ!$B$20</definedName>
    <definedName name="放銃数" localSheetId="7">ともき!$B$20</definedName>
    <definedName name="放銃数" localSheetId="12">のり!$B$20</definedName>
    <definedName name="放銃数" localSheetId="10">まっつん!$B$20</definedName>
    <definedName name="放銃数" localSheetId="9">りくと!$B$20</definedName>
    <definedName name="放銃数" localSheetId="6">れんたろう!$B$20</definedName>
    <definedName name="放銃数" localSheetId="5">全体!$B$20</definedName>
    <definedName name="放銃数">#REF!</definedName>
    <definedName name="放銃率" localSheetId="3">Template1!$C$20</definedName>
    <definedName name="放銃率" localSheetId="8">だいち!$C$20</definedName>
    <definedName name="放銃率" localSheetId="11">たかの!$C$20</definedName>
    <definedName name="放銃率" localSheetId="13">ただ!$C$20</definedName>
    <definedName name="放銃率" localSheetId="7">ともき!$C$20</definedName>
    <definedName name="放銃率" localSheetId="12">のり!$C$20</definedName>
    <definedName name="放銃率" localSheetId="10">まっつん!$C$20</definedName>
    <definedName name="放銃率" localSheetId="9">りくと!$C$20</definedName>
    <definedName name="放銃率" localSheetId="6">れんたろう!$C$20</definedName>
    <definedName name="放銃率" localSheetId="5">全体!$C$20</definedName>
    <definedName name="放銃率">#REF!</definedName>
    <definedName name="名前" localSheetId="3">Template1!$B$1</definedName>
    <definedName name="名前" localSheetId="8">だいち!$B$1</definedName>
    <definedName name="名前" localSheetId="11">たかの!$B$1</definedName>
    <definedName name="名前" localSheetId="13">ただ!$B$1</definedName>
    <definedName name="名前" localSheetId="7">ともき!$B$1</definedName>
    <definedName name="名前" localSheetId="12">のり!$B$1</definedName>
    <definedName name="名前" localSheetId="10">まっつん!$B$1</definedName>
    <definedName name="名前" localSheetId="9">りくと!$B$1</definedName>
    <definedName name="名前" localSheetId="6">れんたろう!$B$1</definedName>
    <definedName name="名前" localSheetId="5">全体!$B$1</definedName>
    <definedName name="名前">#REF!</definedName>
    <definedName name="門前アガリ点" localSheetId="3">Template1!$B$27</definedName>
    <definedName name="門前アガリ点" localSheetId="8">だいち!$B$27</definedName>
    <definedName name="門前アガリ点" localSheetId="11">たかの!$B$27</definedName>
    <definedName name="門前アガリ点" localSheetId="13">ただ!$B$27</definedName>
    <definedName name="門前アガリ点" localSheetId="7">ともき!$B$27</definedName>
    <definedName name="門前アガリ点" localSheetId="12">のり!$B$27</definedName>
    <definedName name="門前アガリ点" localSheetId="10">まっつん!$B$27</definedName>
    <definedName name="門前アガリ点" localSheetId="9">りくと!$B$27</definedName>
    <definedName name="門前アガリ点" localSheetId="6">れんたろう!$B$27</definedName>
    <definedName name="門前アガリ点" localSheetId="5">全体!$B$27</definedName>
    <definedName name="門前アガリ点">#REF!</definedName>
    <definedName name="連続アガリ" localSheetId="3">Template1!$B$30</definedName>
    <definedName name="連続アガリ" localSheetId="8">だいち!$B$30</definedName>
    <definedName name="連続アガリ" localSheetId="11">たかの!$B$30</definedName>
    <definedName name="連続アガリ" localSheetId="13">ただ!$B$30</definedName>
    <definedName name="連続アガリ" localSheetId="7">ともき!$B$30</definedName>
    <definedName name="連続アガリ" localSheetId="12">のり!$B$30</definedName>
    <definedName name="連続アガリ" localSheetId="10">まっつん!$B$30</definedName>
    <definedName name="連続アガリ" localSheetId="9">りくと!$B$30</definedName>
    <definedName name="連続アガリ" localSheetId="6">れんたろう!$B$30</definedName>
    <definedName name="連続アガリ" localSheetId="5">全体!$B$30</definedName>
    <definedName name="連続アガリ">#REF!</definedName>
    <definedName name="連続無放銃" localSheetId="3">Template1!$B$31</definedName>
    <definedName name="連続無放銃" localSheetId="8">だいち!$B$31</definedName>
    <definedName name="連続無放銃" localSheetId="11">たかの!$B$31</definedName>
    <definedName name="連続無放銃" localSheetId="13">ただ!$B$31</definedName>
    <definedName name="連続無放銃" localSheetId="7">ともき!$B$31</definedName>
    <definedName name="連続無放銃" localSheetId="12">のり!$B$31</definedName>
    <definedName name="連続無放銃" localSheetId="10">まっつん!$B$31</definedName>
    <definedName name="連続無放銃" localSheetId="9">りくと!$B$31</definedName>
    <definedName name="連続無放銃" localSheetId="6">れんたろう!$B$31</definedName>
    <definedName name="連続無放銃" localSheetId="5">全体!$B$31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1" i="6124" l="1"/>
  <c r="O16" i="6128"/>
  <c r="O20" i="6118"/>
  <c r="O16" i="6134"/>
  <c r="O15" i="6134"/>
  <c r="C34" i="6134"/>
  <c r="B29" i="6134"/>
  <c r="C20" i="6134"/>
  <c r="B19" i="6134"/>
  <c r="H50" i="6134" s="1"/>
  <c r="C18" i="6134"/>
  <c r="B18" i="6134"/>
  <c r="B28" i="6134" s="1"/>
  <c r="B17" i="6134"/>
  <c r="C17" i="6134" s="1"/>
  <c r="C16" i="6134"/>
  <c r="C15" i="6134"/>
  <c r="C14" i="6134"/>
  <c r="O12" i="6134"/>
  <c r="B12" i="6134"/>
  <c r="O11" i="6134"/>
  <c r="B11" i="6134"/>
  <c r="O10" i="6134"/>
  <c r="B10" i="6134"/>
  <c r="B13" i="6134" s="1"/>
  <c r="C9" i="6134"/>
  <c r="C8" i="6134"/>
  <c r="O7" i="6134"/>
  <c r="C7" i="6134"/>
  <c r="O6" i="6134"/>
  <c r="B6" i="6134"/>
  <c r="O5" i="6134"/>
  <c r="B5" i="6134"/>
  <c r="O4" i="6134"/>
  <c r="O3" i="6134"/>
  <c r="O2" i="6134"/>
  <c r="H30" i="6134" l="1"/>
  <c r="H2" i="6134"/>
  <c r="H7" i="6134"/>
  <c r="H13" i="6134"/>
  <c r="H33" i="6134"/>
  <c r="C22" i="6134"/>
  <c r="H31" i="6134"/>
  <c r="C21" i="6134"/>
  <c r="H12" i="6134"/>
  <c r="H22" i="6134"/>
  <c r="H15" i="6134"/>
  <c r="C42" i="6134"/>
  <c r="H19" i="6134"/>
  <c r="H17" i="6134"/>
  <c r="H39" i="6134"/>
  <c r="H18" i="6134"/>
  <c r="H41" i="6134"/>
  <c r="H3" i="6134"/>
  <c r="C24" i="6134"/>
  <c r="H16" i="6134"/>
  <c r="H43" i="6134"/>
  <c r="C46" i="6134"/>
  <c r="C25" i="6134"/>
  <c r="C36" i="6134"/>
  <c r="H44" i="6134"/>
  <c r="H4" i="6134"/>
  <c r="H8" i="6134"/>
  <c r="H20" i="6134"/>
  <c r="H37" i="6134"/>
  <c r="H38" i="6134"/>
  <c r="H47" i="6134"/>
  <c r="H26" i="6134"/>
  <c r="B26" i="6134"/>
  <c r="H11" i="6134"/>
  <c r="H5" i="6134"/>
  <c r="H9" i="6134"/>
  <c r="H21" i="6134"/>
  <c r="C38" i="6134"/>
  <c r="H48" i="6134"/>
  <c r="C48" i="6134"/>
  <c r="H25" i="6134"/>
  <c r="H34" i="6134"/>
  <c r="H42" i="6134"/>
  <c r="H49" i="6134"/>
  <c r="B27" i="6134"/>
  <c r="C39" i="6134"/>
  <c r="C44" i="6134"/>
  <c r="H51" i="6134"/>
  <c r="C23" i="6134"/>
  <c r="H28" i="6134"/>
  <c r="H35" i="6134"/>
  <c r="H40" i="6134"/>
  <c r="H45" i="6134"/>
  <c r="H6" i="6134"/>
  <c r="H14" i="6134"/>
  <c r="H10" i="6134"/>
  <c r="C19" i="6134"/>
  <c r="H24" i="6134"/>
  <c r="H29" i="6134"/>
  <c r="H36" i="6134"/>
  <c r="C40" i="6134"/>
  <c r="H46" i="6134"/>
  <c r="H52" i="6134"/>
  <c r="C43" i="6134"/>
  <c r="C47" i="6134"/>
  <c r="H23" i="6134"/>
  <c r="H27" i="6134"/>
  <c r="H32" i="6134"/>
  <c r="C37" i="6134"/>
  <c r="C41" i="6134"/>
  <c r="C45" i="6134"/>
  <c r="O16" i="6124"/>
  <c r="O19" i="6130"/>
  <c r="O19" i="6120"/>
  <c r="O17" i="6130"/>
  <c r="O17" i="6124" l="1"/>
  <c r="O18" i="6126"/>
  <c r="O17" i="6120"/>
  <c r="O16" i="6120"/>
  <c r="O15" i="6126"/>
  <c r="O17" i="6128"/>
  <c r="O16" i="6132" l="1"/>
  <c r="O17" i="6132"/>
  <c r="O19" i="6128"/>
  <c r="O18" i="6128"/>
  <c r="O18" i="6124"/>
  <c r="O19" i="6124"/>
  <c r="O15" i="6130"/>
  <c r="O15" i="6132"/>
  <c r="O18" i="6132"/>
  <c r="C34" i="6132"/>
  <c r="B29" i="6132"/>
  <c r="B28" i="6132"/>
  <c r="C20" i="6132"/>
  <c r="B19" i="6132"/>
  <c r="H9" i="6132" s="1"/>
  <c r="C18" i="6132"/>
  <c r="B18" i="6132"/>
  <c r="B17" i="6132"/>
  <c r="C17" i="6132" s="1"/>
  <c r="C16" i="6132"/>
  <c r="C15" i="6132"/>
  <c r="C14" i="6132"/>
  <c r="O12" i="6132"/>
  <c r="B12" i="6132"/>
  <c r="O11" i="6132"/>
  <c r="B11" i="6132"/>
  <c r="B13" i="6132" s="1"/>
  <c r="O10" i="6132"/>
  <c r="B10" i="6132"/>
  <c r="C9" i="6132"/>
  <c r="C8" i="6132"/>
  <c r="O7" i="6132"/>
  <c r="C7" i="6132"/>
  <c r="O6" i="6132"/>
  <c r="B6" i="6132"/>
  <c r="O5" i="6132"/>
  <c r="B5" i="6132"/>
  <c r="O4" i="6132"/>
  <c r="O3" i="6132"/>
  <c r="O2" i="6132"/>
  <c r="O17" i="6126"/>
  <c r="O17" i="6118"/>
  <c r="O18" i="6130"/>
  <c r="O16" i="6130"/>
  <c r="C34" i="6130"/>
  <c r="B29" i="6130"/>
  <c r="C20" i="6130"/>
  <c r="B19" i="6130"/>
  <c r="H49" i="6130" s="1"/>
  <c r="B18" i="6130"/>
  <c r="B28" i="6130" s="1"/>
  <c r="B17" i="6130"/>
  <c r="C17" i="6130" s="1"/>
  <c r="C16" i="6130"/>
  <c r="C15" i="6130"/>
  <c r="C14" i="6130"/>
  <c r="O12" i="6130"/>
  <c r="B12" i="6130"/>
  <c r="O11" i="6130"/>
  <c r="B11" i="6130"/>
  <c r="O10" i="6130"/>
  <c r="B10" i="6130"/>
  <c r="B13" i="6130" s="1"/>
  <c r="C9" i="6130"/>
  <c r="C8" i="6130"/>
  <c r="O7" i="6130"/>
  <c r="C7" i="6130"/>
  <c r="O6" i="6130"/>
  <c r="B6" i="6130"/>
  <c r="O5" i="6130"/>
  <c r="B5" i="6130"/>
  <c r="O4" i="6130"/>
  <c r="O3" i="6130"/>
  <c r="O2" i="6130"/>
  <c r="O15" i="6128"/>
  <c r="O20" i="6128"/>
  <c r="C34" i="6128"/>
  <c r="B29" i="6128"/>
  <c r="C20" i="6128"/>
  <c r="B19" i="6128"/>
  <c r="H51" i="6128" s="1"/>
  <c r="B18" i="6128"/>
  <c r="C18" i="6128" s="1"/>
  <c r="B17" i="6128"/>
  <c r="C17" i="6128" s="1"/>
  <c r="C16" i="6128"/>
  <c r="C15" i="6128"/>
  <c r="C14" i="6128"/>
  <c r="O12" i="6128"/>
  <c r="B12" i="6128"/>
  <c r="O11" i="6128"/>
  <c r="B11" i="6128"/>
  <c r="O10" i="6128"/>
  <c r="B10" i="6128"/>
  <c r="C9" i="6128"/>
  <c r="C8" i="6128"/>
  <c r="O7" i="6128"/>
  <c r="C7" i="6128"/>
  <c r="O6" i="6128"/>
  <c r="B6" i="6128"/>
  <c r="O5" i="6128"/>
  <c r="B5" i="6128"/>
  <c r="O4" i="6128"/>
  <c r="O3" i="6128"/>
  <c r="O2" i="6128"/>
  <c r="O16" i="6118"/>
  <c r="O19" i="6126"/>
  <c r="O16" i="6126"/>
  <c r="C34" i="6126"/>
  <c r="B29" i="6126"/>
  <c r="C20" i="6126"/>
  <c r="B19" i="6126"/>
  <c r="H50" i="6126" s="1"/>
  <c r="B18" i="6126"/>
  <c r="B28" i="6126" s="1"/>
  <c r="B17" i="6126"/>
  <c r="C17" i="6126" s="1"/>
  <c r="C16" i="6126"/>
  <c r="C15" i="6126"/>
  <c r="C14" i="6126"/>
  <c r="O12" i="6126"/>
  <c r="B12" i="6126"/>
  <c r="O11" i="6126"/>
  <c r="B11" i="6126"/>
  <c r="O10" i="6126"/>
  <c r="B10" i="6126"/>
  <c r="C9" i="6126"/>
  <c r="C8" i="6126"/>
  <c r="O7" i="6126"/>
  <c r="C7" i="6126"/>
  <c r="O6" i="6126"/>
  <c r="B6" i="6126"/>
  <c r="O5" i="6126"/>
  <c r="B5" i="6126"/>
  <c r="O4" i="6126"/>
  <c r="O3" i="6126"/>
  <c r="O2" i="6126"/>
  <c r="O22" i="6118"/>
  <c r="O18" i="6118"/>
  <c r="B28" i="6128" l="1"/>
  <c r="C18" i="6126"/>
  <c r="H5" i="6126"/>
  <c r="H49" i="6126"/>
  <c r="H34" i="6126"/>
  <c r="H3" i="6126"/>
  <c r="H40" i="6126"/>
  <c r="H4" i="6126"/>
  <c r="H18" i="6126"/>
  <c r="C21" i="6126"/>
  <c r="H22" i="6126"/>
  <c r="C24" i="6126"/>
  <c r="H12" i="6126"/>
  <c r="H41" i="6126"/>
  <c r="H9" i="6126"/>
  <c r="C40" i="6126"/>
  <c r="C25" i="6126"/>
  <c r="H14" i="6126"/>
  <c r="H44" i="6126"/>
  <c r="H15" i="6126"/>
  <c r="H33" i="6126"/>
  <c r="H51" i="6126"/>
  <c r="H8" i="6126"/>
  <c r="H52" i="6126"/>
  <c r="H2" i="6126"/>
  <c r="H7" i="6126"/>
  <c r="H10" i="6126"/>
  <c r="H31" i="6126"/>
  <c r="C44" i="6126"/>
  <c r="H26" i="6126"/>
  <c r="H36" i="6126"/>
  <c r="H45" i="6126"/>
  <c r="H17" i="6126"/>
  <c r="C19" i="6126"/>
  <c r="C38" i="6126"/>
  <c r="H46" i="6126"/>
  <c r="B26" i="6126"/>
  <c r="H11" i="6126"/>
  <c r="B27" i="6126"/>
  <c r="H39" i="6126"/>
  <c r="C46" i="6126"/>
  <c r="H16" i="6126"/>
  <c r="C22" i="6126"/>
  <c r="H28" i="6126"/>
  <c r="C36" i="6126"/>
  <c r="H42" i="6126"/>
  <c r="H47" i="6126"/>
  <c r="H6" i="6126"/>
  <c r="H13" i="6126"/>
  <c r="H20" i="6126"/>
  <c r="C23" i="6126"/>
  <c r="H37" i="6126"/>
  <c r="C42" i="6126"/>
  <c r="H48" i="6126"/>
  <c r="H24" i="6126"/>
  <c r="H30" i="6126"/>
  <c r="H38" i="6126"/>
  <c r="H43" i="6126"/>
  <c r="C48" i="6126"/>
  <c r="B13" i="6128"/>
  <c r="C42" i="6128"/>
  <c r="H18" i="6128"/>
  <c r="H25" i="6128"/>
  <c r="C24" i="6128"/>
  <c r="H9" i="6128"/>
  <c r="H15" i="6128"/>
  <c r="H31" i="6128"/>
  <c r="H6" i="6128"/>
  <c r="C43" i="6128"/>
  <c r="H20" i="6128"/>
  <c r="H34" i="6128"/>
  <c r="C22" i="6128"/>
  <c r="H41" i="6128"/>
  <c r="H52" i="6132"/>
  <c r="H35" i="6132"/>
  <c r="H39" i="6132"/>
  <c r="H6" i="6132"/>
  <c r="H10" i="6132"/>
  <c r="C24" i="6132"/>
  <c r="H14" i="6132"/>
  <c r="H8" i="6132"/>
  <c r="H43" i="6132"/>
  <c r="C19" i="6132"/>
  <c r="C39" i="6132"/>
  <c r="H19" i="6132"/>
  <c r="C43" i="6132"/>
  <c r="H3" i="6132"/>
  <c r="H22" i="6132"/>
  <c r="H12" i="6132"/>
  <c r="H15" i="6132"/>
  <c r="H29" i="6132"/>
  <c r="H47" i="6132"/>
  <c r="C47" i="6132"/>
  <c r="H22" i="6130"/>
  <c r="C18" i="6130"/>
  <c r="H13" i="6130"/>
  <c r="H5" i="6130"/>
  <c r="H14" i="6130"/>
  <c r="H5" i="6132"/>
  <c r="H13" i="6132"/>
  <c r="H16" i="6132"/>
  <c r="C21" i="6132"/>
  <c r="C25" i="6132"/>
  <c r="H36" i="6132"/>
  <c r="H40" i="6132"/>
  <c r="H44" i="6132"/>
  <c r="H48" i="6132"/>
  <c r="H23" i="6132"/>
  <c r="H26" i="6132"/>
  <c r="H30" i="6132"/>
  <c r="C36" i="6132"/>
  <c r="C40" i="6132"/>
  <c r="C44" i="6132"/>
  <c r="C48" i="6132"/>
  <c r="H2" i="6132"/>
  <c r="H11" i="6132"/>
  <c r="H17" i="6132"/>
  <c r="H20" i="6132"/>
  <c r="C22" i="6132"/>
  <c r="B26" i="6132"/>
  <c r="H31" i="6132"/>
  <c r="H37" i="6132"/>
  <c r="H41" i="6132"/>
  <c r="H45" i="6132"/>
  <c r="H49" i="6132"/>
  <c r="H27" i="6132"/>
  <c r="C37" i="6132"/>
  <c r="H50" i="6132"/>
  <c r="H18" i="6132"/>
  <c r="C23" i="6132"/>
  <c r="B27" i="6132"/>
  <c r="H33" i="6132"/>
  <c r="H38" i="6132"/>
  <c r="H42" i="6132"/>
  <c r="H46" i="6132"/>
  <c r="H51" i="6132"/>
  <c r="H24" i="6132"/>
  <c r="H32" i="6132"/>
  <c r="C41" i="6132"/>
  <c r="C45" i="6132"/>
  <c r="H4" i="6132"/>
  <c r="H7" i="6132"/>
  <c r="H21" i="6132"/>
  <c r="H25" i="6132"/>
  <c r="H28" i="6132"/>
  <c r="H34" i="6132"/>
  <c r="C38" i="6132"/>
  <c r="C42" i="6132"/>
  <c r="C46" i="6132"/>
  <c r="H35" i="6130"/>
  <c r="H12" i="6130"/>
  <c r="H19" i="6130"/>
  <c r="C22" i="6130"/>
  <c r="H41" i="6130"/>
  <c r="C46" i="6130"/>
  <c r="H36" i="6130"/>
  <c r="H4" i="6130"/>
  <c r="H15" i="6130"/>
  <c r="C23" i="6130"/>
  <c r="H7" i="6130"/>
  <c r="H46" i="6130"/>
  <c r="H37" i="6130"/>
  <c r="C42" i="6130"/>
  <c r="C47" i="6130"/>
  <c r="H25" i="6130"/>
  <c r="H8" i="6130"/>
  <c r="H20" i="6130"/>
  <c r="C19" i="6130"/>
  <c r="C24" i="6130"/>
  <c r="H38" i="6130"/>
  <c r="H42" i="6130"/>
  <c r="H47" i="6130"/>
  <c r="H29" i="6130"/>
  <c r="H48" i="6130"/>
  <c r="H26" i="6130"/>
  <c r="H31" i="6130"/>
  <c r="C38" i="6130"/>
  <c r="H2" i="6130"/>
  <c r="H3" i="6130"/>
  <c r="H17" i="6130"/>
  <c r="C25" i="6130"/>
  <c r="H33" i="6130"/>
  <c r="H39" i="6130"/>
  <c r="H43" i="6130"/>
  <c r="H50" i="6130"/>
  <c r="H16" i="6130"/>
  <c r="H11" i="6130"/>
  <c r="H21" i="6130"/>
  <c r="H23" i="6130"/>
  <c r="B26" i="6130"/>
  <c r="H34" i="6130"/>
  <c r="C39" i="6130"/>
  <c r="H44" i="6130"/>
  <c r="H51" i="6130"/>
  <c r="H6" i="6130"/>
  <c r="H9" i="6130"/>
  <c r="C43" i="6130"/>
  <c r="H18" i="6130"/>
  <c r="C21" i="6130"/>
  <c r="B27" i="6130"/>
  <c r="H40" i="6130"/>
  <c r="H45" i="6130"/>
  <c r="H52" i="6130"/>
  <c r="H10" i="6130"/>
  <c r="H27" i="6130"/>
  <c r="H30" i="6130"/>
  <c r="C36" i="6130"/>
  <c r="C40" i="6130"/>
  <c r="C44" i="6130"/>
  <c r="C48" i="6130"/>
  <c r="H24" i="6130"/>
  <c r="H28" i="6130"/>
  <c r="H32" i="6130"/>
  <c r="C37" i="6130"/>
  <c r="C41" i="6130"/>
  <c r="C45" i="6130"/>
  <c r="B26" i="6128"/>
  <c r="H35" i="6128"/>
  <c r="H45" i="6128"/>
  <c r="H8" i="6128"/>
  <c r="H19" i="6128"/>
  <c r="H12" i="6128"/>
  <c r="C19" i="6128"/>
  <c r="C46" i="6128"/>
  <c r="H7" i="6128"/>
  <c r="C38" i="6128"/>
  <c r="H47" i="6128"/>
  <c r="H14" i="6128"/>
  <c r="H21" i="6128"/>
  <c r="H2" i="6128"/>
  <c r="H29" i="6128"/>
  <c r="H39" i="6128"/>
  <c r="C47" i="6128"/>
  <c r="H16" i="6128"/>
  <c r="H37" i="6128"/>
  <c r="H3" i="6128"/>
  <c r="H17" i="6128"/>
  <c r="H10" i="6128"/>
  <c r="H22" i="6128"/>
  <c r="C39" i="6128"/>
  <c r="H49" i="6128"/>
  <c r="H5" i="6128"/>
  <c r="H26" i="6128"/>
  <c r="H43" i="6128"/>
  <c r="H52" i="6128"/>
  <c r="C21" i="6128"/>
  <c r="C25" i="6128"/>
  <c r="H36" i="6128"/>
  <c r="H40" i="6128"/>
  <c r="H44" i="6128"/>
  <c r="H48" i="6128"/>
  <c r="H4" i="6128"/>
  <c r="H11" i="6128"/>
  <c r="H23" i="6128"/>
  <c r="H27" i="6128"/>
  <c r="H30" i="6128"/>
  <c r="C36" i="6128"/>
  <c r="C40" i="6128"/>
  <c r="C44" i="6128"/>
  <c r="C48" i="6128"/>
  <c r="H24" i="6128"/>
  <c r="H28" i="6128"/>
  <c r="H32" i="6128"/>
  <c r="C37" i="6128"/>
  <c r="C41" i="6128"/>
  <c r="C45" i="6128"/>
  <c r="H50" i="6128"/>
  <c r="H13" i="6128"/>
  <c r="C23" i="6128"/>
  <c r="B27" i="6128"/>
  <c r="H33" i="6128"/>
  <c r="H38" i="6128"/>
  <c r="H42" i="6128"/>
  <c r="H46" i="6128"/>
  <c r="B13" i="6126"/>
  <c r="H19" i="6126"/>
  <c r="H21" i="6126"/>
  <c r="H25" i="6126"/>
  <c r="H29" i="6126"/>
  <c r="H35" i="6126"/>
  <c r="C39" i="6126"/>
  <c r="C43" i="6126"/>
  <c r="C47" i="6126"/>
  <c r="H23" i="6126"/>
  <c r="H27" i="6126"/>
  <c r="H32" i="6126"/>
  <c r="C37" i="6126"/>
  <c r="C41" i="6126"/>
  <c r="C45" i="6126"/>
  <c r="O15" i="6124"/>
  <c r="O20" i="6124"/>
  <c r="C34" i="6124"/>
  <c r="B29" i="6124"/>
  <c r="C20" i="6124"/>
  <c r="B19" i="6124"/>
  <c r="H22" i="6124" s="1"/>
  <c r="B18" i="6124"/>
  <c r="B28" i="6124" s="1"/>
  <c r="B17" i="6124"/>
  <c r="C17" i="6124" s="1"/>
  <c r="C16" i="6124"/>
  <c r="C15" i="6124"/>
  <c r="C14" i="6124"/>
  <c r="O12" i="6124"/>
  <c r="B12" i="6124"/>
  <c r="O11" i="6124"/>
  <c r="B11" i="6124"/>
  <c r="O10" i="6124"/>
  <c r="B10" i="6124"/>
  <c r="C9" i="6124"/>
  <c r="C8" i="6124"/>
  <c r="O7" i="6124"/>
  <c r="C7" i="6124"/>
  <c r="O6" i="6124"/>
  <c r="B6" i="6124"/>
  <c r="O5" i="6124"/>
  <c r="B5" i="6124"/>
  <c r="O4" i="6124"/>
  <c r="O3" i="6124"/>
  <c r="O2" i="6124"/>
  <c r="O15" i="6122"/>
  <c r="O16" i="6122"/>
  <c r="C34" i="6122"/>
  <c r="B29" i="6122"/>
  <c r="B28" i="6122"/>
  <c r="C20" i="6122"/>
  <c r="B19" i="6122"/>
  <c r="H50" i="6122" s="1"/>
  <c r="C18" i="6122"/>
  <c r="B18" i="6122"/>
  <c r="B17" i="6122"/>
  <c r="C17" i="6122" s="1"/>
  <c r="C16" i="6122"/>
  <c r="C15" i="6122"/>
  <c r="C14" i="6122"/>
  <c r="O12" i="6122"/>
  <c r="B12" i="6122"/>
  <c r="B13" i="6122" s="1"/>
  <c r="O11" i="6122"/>
  <c r="B11" i="6122"/>
  <c r="O10" i="6122"/>
  <c r="B10" i="6122"/>
  <c r="C9" i="6122"/>
  <c r="C8" i="6122"/>
  <c r="O7" i="6122"/>
  <c r="C7" i="6122"/>
  <c r="O6" i="6122"/>
  <c r="B6" i="6122"/>
  <c r="O5" i="6122"/>
  <c r="B5" i="6122"/>
  <c r="O4" i="6122"/>
  <c r="O3" i="6122"/>
  <c r="O2" i="6122"/>
  <c r="O19" i="6118"/>
  <c r="O18" i="6120"/>
  <c r="O15" i="6120"/>
  <c r="C34" i="6120"/>
  <c r="B29" i="6120"/>
  <c r="C20" i="6120"/>
  <c r="B19" i="6120"/>
  <c r="H20" i="6120" s="1"/>
  <c r="B18" i="6120"/>
  <c r="C18" i="6120" s="1"/>
  <c r="B17" i="6120"/>
  <c r="C17" i="6120" s="1"/>
  <c r="C16" i="6120"/>
  <c r="C15" i="6120"/>
  <c r="C14" i="6120"/>
  <c r="O12" i="6120"/>
  <c r="B12" i="6120"/>
  <c r="O11" i="6120"/>
  <c r="B11" i="6120"/>
  <c r="O10" i="6120"/>
  <c r="B10" i="6120"/>
  <c r="C9" i="6120"/>
  <c r="C8" i="6120"/>
  <c r="O7" i="6120"/>
  <c r="C7" i="6120"/>
  <c r="O6" i="6120"/>
  <c r="B6" i="6120"/>
  <c r="O5" i="6120"/>
  <c r="B5" i="6120"/>
  <c r="O4" i="6120"/>
  <c r="O3" i="6120"/>
  <c r="O2" i="6120"/>
  <c r="O21" i="6118"/>
  <c r="O15" i="6118"/>
  <c r="C34" i="6118"/>
  <c r="B29" i="6118"/>
  <c r="C20" i="6118"/>
  <c r="B19" i="6118"/>
  <c r="H51" i="6118" s="1"/>
  <c r="B18" i="6118"/>
  <c r="B28" i="6118" s="1"/>
  <c r="B17" i="6118"/>
  <c r="C17" i="6118" s="1"/>
  <c r="C16" i="6118"/>
  <c r="C15" i="6118"/>
  <c r="C14" i="6118"/>
  <c r="O12" i="6118"/>
  <c r="B12" i="6118"/>
  <c r="O11" i="6118"/>
  <c r="B11" i="6118"/>
  <c r="O10" i="6118"/>
  <c r="B10" i="6118"/>
  <c r="C9" i="6118"/>
  <c r="C8" i="6118"/>
  <c r="O7" i="6118"/>
  <c r="C7" i="6118"/>
  <c r="O6" i="6118"/>
  <c r="B6" i="6118"/>
  <c r="O5" i="6118"/>
  <c r="B5" i="6118"/>
  <c r="O4" i="6118"/>
  <c r="O3" i="6118"/>
  <c r="O2" i="6118"/>
  <c r="B28" i="6120" l="1"/>
  <c r="B13" i="6124"/>
  <c r="B13" i="6120"/>
  <c r="H40" i="6120"/>
  <c r="C47" i="6120"/>
  <c r="H12" i="6120"/>
  <c r="H48" i="6120"/>
  <c r="H8" i="6120"/>
  <c r="H16" i="6120"/>
  <c r="H17" i="6120"/>
  <c r="C46" i="6120"/>
  <c r="B26" i="6120"/>
  <c r="H2" i="6120"/>
  <c r="H22" i="6120"/>
  <c r="H23" i="6120"/>
  <c r="H3" i="6120"/>
  <c r="H7" i="6120"/>
  <c r="H10" i="6120"/>
  <c r="H27" i="6120"/>
  <c r="H36" i="6120"/>
  <c r="C21" i="6120"/>
  <c r="C36" i="6120"/>
  <c r="C39" i="6120"/>
  <c r="C48" i="6120"/>
  <c r="H18" i="6120"/>
  <c r="H11" i="6120"/>
  <c r="C22" i="6120"/>
  <c r="C40" i="6120"/>
  <c r="H24" i="6120"/>
  <c r="H26" i="6120"/>
  <c r="H9" i="6120"/>
  <c r="H19" i="6120"/>
  <c r="H42" i="6120"/>
  <c r="H6" i="6120"/>
  <c r="H21" i="6120"/>
  <c r="C25" i="6120"/>
  <c r="H35" i="6120"/>
  <c r="C42" i="6120"/>
  <c r="H4" i="6120"/>
  <c r="H14" i="6120"/>
  <c r="H25" i="6120"/>
  <c r="H13" i="6120"/>
  <c r="H30" i="6120"/>
  <c r="H46" i="6120"/>
  <c r="H5" i="6122"/>
  <c r="H18" i="6122"/>
  <c r="C36" i="6122"/>
  <c r="H42" i="6122"/>
  <c r="H48" i="6122"/>
  <c r="H4" i="6122"/>
  <c r="C22" i="6122"/>
  <c r="C25" i="6122"/>
  <c r="H8" i="6122"/>
  <c r="H12" i="6122"/>
  <c r="H15" i="6122"/>
  <c r="H10" i="6122"/>
  <c r="H13" i="6122"/>
  <c r="H28" i="6124"/>
  <c r="H25" i="6124"/>
  <c r="H7" i="6124"/>
  <c r="C18" i="6124"/>
  <c r="H4" i="6124"/>
  <c r="H36" i="6124"/>
  <c r="H16" i="6124"/>
  <c r="H26" i="6124"/>
  <c r="C40" i="6124"/>
  <c r="H37" i="6124"/>
  <c r="C22" i="6124"/>
  <c r="H42" i="6124"/>
  <c r="H13" i="6124"/>
  <c r="H14" i="6124"/>
  <c r="H8" i="6124"/>
  <c r="H48" i="6124"/>
  <c r="C46" i="6124"/>
  <c r="H32" i="6124"/>
  <c r="H34" i="6124"/>
  <c r="C36" i="6124"/>
  <c r="C42" i="6124"/>
  <c r="C47" i="6124"/>
  <c r="H5" i="6124"/>
  <c r="H10" i="6124"/>
  <c r="H23" i="6124"/>
  <c r="C19" i="6124"/>
  <c r="C24" i="6124"/>
  <c r="H38" i="6124"/>
  <c r="H44" i="6124"/>
  <c r="H49" i="6124"/>
  <c r="H29" i="6124"/>
  <c r="C48" i="6124"/>
  <c r="H18" i="6124"/>
  <c r="C38" i="6124"/>
  <c r="H2" i="6124"/>
  <c r="H3" i="6124"/>
  <c r="C25" i="6124"/>
  <c r="H19" i="6124"/>
  <c r="H40" i="6124"/>
  <c r="H45" i="6124"/>
  <c r="H50" i="6124"/>
  <c r="H11" i="6124"/>
  <c r="H9" i="6124"/>
  <c r="H24" i="6124"/>
  <c r="H15" i="6124"/>
  <c r="H30" i="6124"/>
  <c r="H17" i="6124"/>
  <c r="H21" i="6124"/>
  <c r="C39" i="6124"/>
  <c r="C44" i="6124"/>
  <c r="H6" i="6124"/>
  <c r="H12" i="6124"/>
  <c r="C43" i="6124"/>
  <c r="C21" i="6124"/>
  <c r="B26" i="6124"/>
  <c r="H41" i="6124"/>
  <c r="H46" i="6124"/>
  <c r="H52" i="6124"/>
  <c r="H31" i="6124"/>
  <c r="H33" i="6124"/>
  <c r="H20" i="6124"/>
  <c r="C37" i="6124"/>
  <c r="C41" i="6124"/>
  <c r="C45" i="6124"/>
  <c r="H51" i="6124"/>
  <c r="H27" i="6124"/>
  <c r="C23" i="6124"/>
  <c r="B27" i="6124"/>
  <c r="H35" i="6124"/>
  <c r="H39" i="6124"/>
  <c r="H43" i="6124"/>
  <c r="H47" i="6124"/>
  <c r="H4" i="6118"/>
  <c r="C18" i="6118"/>
  <c r="H23" i="6122"/>
  <c r="H28" i="6122"/>
  <c r="H36" i="6122"/>
  <c r="C43" i="6122"/>
  <c r="H51" i="6122"/>
  <c r="H16" i="6122"/>
  <c r="C19" i="6122"/>
  <c r="C24" i="6122"/>
  <c r="C38" i="6122"/>
  <c r="C44" i="6122"/>
  <c r="H52" i="6122"/>
  <c r="H2" i="6122"/>
  <c r="H6" i="6122"/>
  <c r="H19" i="6122"/>
  <c r="H24" i="6122"/>
  <c r="H29" i="6122"/>
  <c r="H38" i="6122"/>
  <c r="H44" i="6122"/>
  <c r="H30" i="6122"/>
  <c r="C39" i="6122"/>
  <c r="C46" i="6122"/>
  <c r="H17" i="6122"/>
  <c r="H20" i="6122"/>
  <c r="H25" i="6122"/>
  <c r="H33" i="6122"/>
  <c r="C40" i="6122"/>
  <c r="H46" i="6122"/>
  <c r="H7" i="6122"/>
  <c r="H11" i="6122"/>
  <c r="H14" i="6122"/>
  <c r="C21" i="6122"/>
  <c r="B26" i="6122"/>
  <c r="H40" i="6122"/>
  <c r="C47" i="6122"/>
  <c r="H3" i="6122"/>
  <c r="H9" i="6122"/>
  <c r="H21" i="6122"/>
  <c r="H27" i="6122"/>
  <c r="H34" i="6122"/>
  <c r="C42" i="6122"/>
  <c r="C48" i="6122"/>
  <c r="H35" i="6122"/>
  <c r="H39" i="6122"/>
  <c r="H43" i="6122"/>
  <c r="H47" i="6122"/>
  <c r="H22" i="6122"/>
  <c r="H26" i="6122"/>
  <c r="H31" i="6122"/>
  <c r="C37" i="6122"/>
  <c r="C41" i="6122"/>
  <c r="C45" i="6122"/>
  <c r="H49" i="6122"/>
  <c r="C23" i="6122"/>
  <c r="B27" i="6122"/>
  <c r="H32" i="6122"/>
  <c r="H37" i="6122"/>
  <c r="H41" i="6122"/>
  <c r="H45" i="6122"/>
  <c r="B13" i="6118"/>
  <c r="C19" i="6118"/>
  <c r="H19" i="6118"/>
  <c r="H45" i="6118"/>
  <c r="H40" i="6118"/>
  <c r="H10" i="6118"/>
  <c r="H26" i="6118"/>
  <c r="C38" i="6118"/>
  <c r="H36" i="6118"/>
  <c r="H48" i="6118"/>
  <c r="H29" i="6118"/>
  <c r="H6" i="6118"/>
  <c r="H24" i="6118"/>
  <c r="H33" i="6118"/>
  <c r="H12" i="6118"/>
  <c r="C25" i="6118"/>
  <c r="H2" i="6118"/>
  <c r="H3" i="6118"/>
  <c r="H14" i="6118"/>
  <c r="H22" i="6118"/>
  <c r="H49" i="6118"/>
  <c r="C21" i="6118"/>
  <c r="C48" i="6118"/>
  <c r="H13" i="6118"/>
  <c r="H18" i="6118"/>
  <c r="H17" i="6118"/>
  <c r="H9" i="6118"/>
  <c r="B26" i="6118"/>
  <c r="H43" i="6118"/>
  <c r="H15" i="6118"/>
  <c r="H38" i="6118"/>
  <c r="C42" i="6118"/>
  <c r="H50" i="6118"/>
  <c r="H39" i="6118"/>
  <c r="C24" i="6118"/>
  <c r="C44" i="6118"/>
  <c r="H11" i="6118"/>
  <c r="H16" i="6118"/>
  <c r="C46" i="6118"/>
  <c r="H41" i="6118"/>
  <c r="H27" i="6118"/>
  <c r="H31" i="6118"/>
  <c r="H25" i="6118"/>
  <c r="H28" i="6118"/>
  <c r="B27" i="6118"/>
  <c r="H7" i="6118"/>
  <c r="H21" i="6118"/>
  <c r="H30" i="6118"/>
  <c r="C22" i="6118"/>
  <c r="H35" i="6118"/>
  <c r="C36" i="6118"/>
  <c r="H44" i="6118"/>
  <c r="H44" i="6120"/>
  <c r="H50" i="6120"/>
  <c r="H29" i="6120"/>
  <c r="H32" i="6120"/>
  <c r="H38" i="6120"/>
  <c r="C43" i="6120"/>
  <c r="H5" i="6120"/>
  <c r="H15" i="6120"/>
  <c r="C19" i="6120"/>
  <c r="C24" i="6120"/>
  <c r="C38" i="6120"/>
  <c r="C44" i="6120"/>
  <c r="H52" i="6120"/>
  <c r="H37" i="6120"/>
  <c r="H41" i="6120"/>
  <c r="H45" i="6120"/>
  <c r="H49" i="6120"/>
  <c r="H28" i="6120"/>
  <c r="H31" i="6120"/>
  <c r="H33" i="6120"/>
  <c r="C37" i="6120"/>
  <c r="C41" i="6120"/>
  <c r="C45" i="6120"/>
  <c r="H51" i="6120"/>
  <c r="C23" i="6120"/>
  <c r="B27" i="6120"/>
  <c r="H34" i="6120"/>
  <c r="H39" i="6120"/>
  <c r="H43" i="6120"/>
  <c r="H47" i="6120"/>
  <c r="H20" i="6118"/>
  <c r="H42" i="6118"/>
  <c r="H46" i="6118"/>
  <c r="H5" i="6118"/>
  <c r="C23" i="6118"/>
  <c r="H8" i="6118"/>
  <c r="H37" i="6118"/>
  <c r="C40" i="6118"/>
  <c r="H47" i="6118"/>
  <c r="H52" i="6118"/>
  <c r="C39" i="6118"/>
  <c r="C43" i="6118"/>
  <c r="C47" i="6118"/>
  <c r="H32" i="6118"/>
  <c r="H34" i="6118"/>
  <c r="H23" i="6118"/>
  <c r="C37" i="6118"/>
  <c r="C41" i="6118"/>
  <c r="C45" i="6118"/>
  <c r="C34" i="6023" l="1"/>
  <c r="B29" i="6023"/>
  <c r="C20" i="6023"/>
  <c r="C19" i="6023"/>
  <c r="B19" i="6023"/>
  <c r="H52" i="6023" s="1"/>
  <c r="C18" i="6023"/>
  <c r="B18" i="6023"/>
  <c r="B28" i="6023" s="1"/>
  <c r="C17" i="6023"/>
  <c r="B17" i="6023"/>
  <c r="C16" i="6023"/>
  <c r="C15" i="6023"/>
  <c r="C14" i="6023"/>
  <c r="O12" i="6023"/>
  <c r="H12" i="6023"/>
  <c r="B12" i="6023"/>
  <c r="O11" i="6023"/>
  <c r="B11" i="6023"/>
  <c r="O10" i="6023"/>
  <c r="B10" i="6023"/>
  <c r="B13" i="6023" s="1"/>
  <c r="H9" i="6023"/>
  <c r="C9" i="6023"/>
  <c r="C8" i="6023"/>
  <c r="O7" i="6023"/>
  <c r="C7" i="6023"/>
  <c r="O6" i="6023"/>
  <c r="H6" i="6023"/>
  <c r="B6" i="6023"/>
  <c r="O5" i="6023"/>
  <c r="B5" i="6023"/>
  <c r="O4" i="6023"/>
  <c r="O3" i="6023"/>
  <c r="H3" i="6023"/>
  <c r="O2" i="6023"/>
  <c r="H17" i="6023" l="1"/>
  <c r="H20" i="6023"/>
  <c r="H24" i="6023"/>
  <c r="H28" i="6023"/>
  <c r="H31" i="6023"/>
  <c r="C37" i="6023"/>
  <c r="C39" i="6023"/>
  <c r="C43" i="6023"/>
  <c r="C47" i="6023"/>
  <c r="H11" i="6023"/>
  <c r="H14" i="6023"/>
  <c r="C21" i="6023"/>
  <c r="B27" i="6023"/>
  <c r="H32" i="6023"/>
  <c r="H45" i="6023"/>
  <c r="H19" i="6023"/>
  <c r="H21" i="6023"/>
  <c r="H23" i="6023"/>
  <c r="H25" i="6023"/>
  <c r="H27" i="6023"/>
  <c r="H29" i="6023"/>
  <c r="H33" i="6023"/>
  <c r="C36" i="6023"/>
  <c r="C38" i="6023"/>
  <c r="C40" i="6023"/>
  <c r="C42" i="6023"/>
  <c r="C44" i="6023"/>
  <c r="C46" i="6023"/>
  <c r="C48" i="6023"/>
  <c r="H51" i="6023"/>
  <c r="H22" i="6023"/>
  <c r="H26" i="6023"/>
  <c r="H34" i="6023"/>
  <c r="C41" i="6023"/>
  <c r="C45" i="6023"/>
  <c r="H49" i="6023"/>
  <c r="H5" i="6023"/>
  <c r="H16" i="6023"/>
  <c r="C23" i="6023"/>
  <c r="C25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2" i="6023"/>
  <c r="C24" i="6023"/>
  <c r="B26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<sst xmlns="http://schemas.openxmlformats.org/spreadsheetml/2006/main" count="2352" uniqueCount="206">
  <si>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</si>
  <si>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</si>
  <si>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</si>
  <si>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</si>
  <si>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</si>
  <si>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</si>
  <si>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</si>
  <si>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</si>
  <si>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</si>
  <si>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</si>
  <si>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</si>
  <si>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</si>
  <si>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</si>
  <si>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</si>
  <si>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</si>
  <si>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</si>
  <si>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</si>
  <si>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</si>
  <si>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</si>
  <si>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</si>
  <si>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</si>
  <si>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</si>
  <si>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</si>
  <si>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</si>
  <si>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</si>
  <si>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</si>
  <si>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</si>
  <si>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</si>
  <si>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</si>
  <si>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</si>
  <si>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</si>
  <si>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</si>
  <si>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</si>
  <si>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</si>
  <si>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</si>
  <si>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</si>
  <si>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</si>
  <si>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</si>
  <si>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</si>
  <si>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</si>
  <si>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</si>
  <si>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</si>
  <si>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</si>
  <si>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</si>
  <si>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</si>
  <si>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</si>
  <si>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</si>
  <si>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</si>
  <si>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</si>
  <si>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</si>
  <si>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</si>
  <si>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</si>
  <si>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</si>
  <si>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</si>
  <si>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</si>
  <si>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</si>
  <si>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</si>
  <si>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</si>
  <si>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</si>
  <si>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</si>
  <si>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</si>
  <si>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</si>
  <si>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</si>
  <si>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</si>
  <si>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</si>
  <si>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</si>
  <si>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</si>
  <si>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</si>
  <si>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</si>
  <si>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</si>
  <si>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</si>
  <si>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</si>
  <si>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</si>
  <si>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</si>
  <si>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</si>
  <si>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</si>
  <si>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</si>
  <si>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</si>
  <si>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</si>
  <si>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</si>
  <si>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</si>
  <si>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</si>
  <si>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</si>
  <si>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</si>
  <si>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</si>
  <si>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</si>
  <si>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</si>
  <si>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</si>
  <si>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</si>
  <si>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</si>
  <si>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</si>
  <si>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</si>
  <si>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</si>
  <si>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</si>
  <si>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</si>
  <si>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</si>
  <si>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</si>
  <si>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</si>
  <si>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</si>
  <si>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</si>
  <si>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</si>
  <si>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</si>
  <si>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</si>
  <si>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</si>
  <si>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</si>
  <si>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</si>
  <si>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</si>
  <si>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</si>
  <si>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</si>
  <si>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</si>
  <si>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</si>
  <si>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</si>
  <si>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</si>
  <si>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</si>
  <si>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</si>
  <si>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</si>
  <si>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</si>
  <si>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</si>
  <si>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</si>
  <si>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</si>
  <si>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</si>
  <si>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</si>
  <si>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</si>
  <si>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</si>
  <si>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</si>
  <si>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</si>
  <si>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</si>
  <si>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</si>
  <si>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</si>
  <si>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</si>
  <si>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</si>
  <si>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</si>
  <si>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</si>
  <si>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</si>
  <si>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</si>
  <si>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</si>
  <si>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</si>
  <si>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</si>
  <si>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</si>
  <si>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</si>
  <si>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</si>
  <si>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</si>
  <si>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</si>
  <si>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</si>
  <si>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</si>
  <si>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</si>
  <si>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</si>
  <si>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</si>
  <si>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</si>
  <si>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</si>
  <si>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</si>
  <si>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</si>
  <si>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</si>
  <si>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</si>
  <si>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</si>
  <si>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</si>
  <si>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</si>
  <si>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</si>
  <si>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</si>
  <si>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</si>
  <si>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</si>
  <si>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</si>
  <si>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</si>
  <si>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</si>
  <si>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</si>
  <si>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</si>
  <si>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</si>
  <si>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</si>
  <si>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</si>
  <si>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</si>
  <si>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</si>
  <si>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</si>
  <si>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</si>
  <si>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</si>
  <si>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</si>
  <si>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</si>
  <si>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</si>
  <si>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</si>
  <si>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</si>
  <si>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</si>
  <si>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</si>
  <si>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</si>
  <si>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</si>
  <si>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</si>
  <si>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</si>
  <si>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</si>
  <si>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</si>
  <si>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</si>
  <si>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</si>
  <si>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ともき</t>
  </si>
  <si>
    <t>2020-04-04@1.xlsm</t>
  </si>
  <si>
    <t>Sheet2</t>
  </si>
  <si>
    <t>まっつん</t>
  </si>
  <si>
    <t>たかの</t>
  </si>
  <si>
    <t>りくと</t>
  </si>
  <si>
    <t>Sheet3</t>
  </si>
  <si>
    <t>のり</t>
  </si>
  <si>
    <t>Sheet4</t>
  </si>
  <si>
    <t>Sheet5</t>
  </si>
  <si>
    <t>2020-04-05@0.xlsm</t>
  </si>
  <si>
    <t>Sheet6</t>
  </si>
  <si>
    <t>Sheet7</t>
  </si>
  <si>
    <t>Sheet8</t>
  </si>
  <si>
    <t>2020-04-06@0.xlsm</t>
  </si>
  <si>
    <t>2020-04-07@0.xlsm</t>
  </si>
  <si>
    <t>ただ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</si>
</sst>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55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3.xml"/><Relationship Id="rId39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1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hartsheet" Target="chartsheets/sheet2.xml"/><Relationship Id="rId33" Type="http://schemas.openxmlformats.org/officeDocument/2006/relationships/chartsheet" Target="chartsheets/sheet10.xml"/><Relationship Id="rId38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6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1.xml"/><Relationship Id="rId32" Type="http://schemas.openxmlformats.org/officeDocument/2006/relationships/chartsheet" Target="chartsheets/sheet9.xml"/><Relationship Id="rId37" Type="http://schemas.openxmlformats.org/officeDocument/2006/relationships/chartsheet" Target="chartsheets/sheet14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5.xml"/><Relationship Id="rId36" Type="http://schemas.openxmlformats.org/officeDocument/2006/relationships/chartsheet" Target="chartsheets/sheet1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4.xml"/><Relationship Id="rId30" Type="http://schemas.openxmlformats.org/officeDocument/2006/relationships/chartsheet" Target="chartsheets/sheet7.xml"/><Relationship Id="rId35" Type="http://schemas.openxmlformats.org/officeDocument/2006/relationships/chartsheet" Target="chartsheets/sheet12.xml"/><Relationship Id="rId43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全体!$K$2:$K$68</c:f>
              <c:numCache>
                <c:formatCode>General</c:formatCode>
                <c:ptCount val="6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</c:numCache>
            </c:numRef>
          </c:xVal>
          <c:yVal>
            <c:numRef>
              <c:f>全体!$L$2:$L$68</c:f>
              <c:numCache>
                <c:formatCode>\+0.0;\-0.0;\±0</c:formatCode>
                <c:ptCount val="67"/>
                <c:pt idx="0">
                  <c:v>0</c:v>
                </c:pt>
                <c:pt idx="1">
                  <c:v>-2.9</c:v>
                </c:pt>
                <c:pt idx="2">
                  <c:v>-39.199999999999996</c:v>
                </c:pt>
                <c:pt idx="3">
                  <c:v>7.1054273576010019E-15</c:v>
                </c:pt>
                <c:pt idx="4">
                  <c:v>-55.499999999999993</c:v>
                </c:pt>
                <c:pt idx="5">
                  <c:v>-55.999999999999993</c:v>
                </c:pt>
                <c:pt idx="6">
                  <c:v>7.1054273576010019E-15</c:v>
                </c:pt>
                <c:pt idx="7">
                  <c:v>-50.999999999999993</c:v>
                </c:pt>
                <c:pt idx="8">
                  <c:v>-81.5</c:v>
                </c:pt>
                <c:pt idx="9">
                  <c:v>0</c:v>
                </c:pt>
                <c:pt idx="10">
                  <c:v>60.4</c:v>
                </c:pt>
                <c:pt idx="11">
                  <c:v>-1.8999999999999986</c:v>
                </c:pt>
                <c:pt idx="12">
                  <c:v>1.3322676295501878E-15</c:v>
                </c:pt>
                <c:pt idx="13">
                  <c:v>14.300000000000002</c:v>
                </c:pt>
                <c:pt idx="14">
                  <c:v>12.800000000000002</c:v>
                </c:pt>
                <c:pt idx="15">
                  <c:v>1.7763568394002505E-15</c:v>
                </c:pt>
                <c:pt idx="16">
                  <c:v>3.4000000000000017</c:v>
                </c:pt>
                <c:pt idx="17">
                  <c:v>-35.800000000000004</c:v>
                </c:pt>
                <c:pt idx="18">
                  <c:v>-7.1054273576010019E-15</c:v>
                </c:pt>
                <c:pt idx="19">
                  <c:v>-27.100000000000009</c:v>
                </c:pt>
                <c:pt idx="20">
                  <c:v>-28.600000000000009</c:v>
                </c:pt>
                <c:pt idx="21">
                  <c:v>-7.1054273576010019E-15</c:v>
                </c:pt>
                <c:pt idx="22">
                  <c:v>-7.5000000000000071</c:v>
                </c:pt>
                <c:pt idx="23">
                  <c:v>-41.600000000000009</c:v>
                </c:pt>
                <c:pt idx="24">
                  <c:v>-7.1054273576010019E-15</c:v>
                </c:pt>
                <c:pt idx="25">
                  <c:v>-20.900000000000006</c:v>
                </c:pt>
                <c:pt idx="26">
                  <c:v>-21.400000000000006</c:v>
                </c:pt>
                <c:pt idx="27">
                  <c:v>-7.1054273576010019E-15</c:v>
                </c:pt>
                <c:pt idx="28">
                  <c:v>3.9999999999999929</c:v>
                </c:pt>
                <c:pt idx="29">
                  <c:v>29.999999999999993</c:v>
                </c:pt>
                <c:pt idx="30">
                  <c:v>-7.1054273576010019E-15</c:v>
                </c:pt>
                <c:pt idx="31">
                  <c:v>-22.500000000000007</c:v>
                </c:pt>
                <c:pt idx="32">
                  <c:v>-31.900000000000006</c:v>
                </c:pt>
                <c:pt idx="33">
                  <c:v>-7.1054273576010019E-15</c:v>
                </c:pt>
                <c:pt idx="34">
                  <c:v>-35.900000000000006</c:v>
                </c:pt>
                <c:pt idx="35">
                  <c:v>-25.600000000000005</c:v>
                </c:pt>
                <c:pt idx="36">
                  <c:v>-3.5527136788005009E-15</c:v>
                </c:pt>
                <c:pt idx="37">
                  <c:v>-26.700000000000003</c:v>
                </c:pt>
                <c:pt idx="38">
                  <c:v>-18.700000000000003</c:v>
                </c:pt>
                <c:pt idx="39">
                  <c:v>-3.5527136788005009E-15</c:v>
                </c:pt>
                <c:pt idx="40">
                  <c:v>21.499999999999996</c:v>
                </c:pt>
                <c:pt idx="41">
                  <c:v>-5.4000000000000021</c:v>
                </c:pt>
                <c:pt idx="42">
                  <c:v>-1.7763568394002505E-15</c:v>
                </c:pt>
                <c:pt idx="43">
                  <c:v>-46.6</c:v>
                </c:pt>
                <c:pt idx="44">
                  <c:v>31.1</c:v>
                </c:pt>
                <c:pt idx="45">
                  <c:v>0</c:v>
                </c:pt>
                <c:pt idx="46">
                  <c:v>-41.6</c:v>
                </c:pt>
                <c:pt idx="47">
                  <c:v>-27.900000000000002</c:v>
                </c:pt>
                <c:pt idx="48">
                  <c:v>-3.5527136788005009E-15</c:v>
                </c:pt>
                <c:pt idx="49">
                  <c:v>-38.299999999999997</c:v>
                </c:pt>
                <c:pt idx="50">
                  <c:v>-26.999999999999996</c:v>
                </c:pt>
                <c:pt idx="51">
                  <c:v>3.5527136788005009E-15</c:v>
                </c:pt>
                <c:pt idx="52">
                  <c:v>68.2</c:v>
                </c:pt>
                <c:pt idx="53">
                  <c:v>44.7</c:v>
                </c:pt>
                <c:pt idx="54">
                  <c:v>0</c:v>
                </c:pt>
                <c:pt idx="55">
                  <c:v>-1</c:v>
                </c:pt>
                <c:pt idx="56">
                  <c:v>27</c:v>
                </c:pt>
                <c:pt idx="57">
                  <c:v>0</c:v>
                </c:pt>
                <c:pt idx="58">
                  <c:v>-32.299999999999997</c:v>
                </c:pt>
                <c:pt idx="59">
                  <c:v>-52.199999999999996</c:v>
                </c:pt>
                <c:pt idx="60">
                  <c:v>7.1054273576010019E-15</c:v>
                </c:pt>
                <c:pt idx="61">
                  <c:v>43.500000000000007</c:v>
                </c:pt>
                <c:pt idx="62">
                  <c:v>7.8000000000000043</c:v>
                </c:pt>
                <c:pt idx="63">
                  <c:v>4.4408920985006262E-15</c:v>
                </c:pt>
                <c:pt idx="64">
                  <c:v>-52.79999999999999</c:v>
                </c:pt>
                <c:pt idx="65">
                  <c:v>7.5000000000000071</c:v>
                </c:pt>
                <c:pt idx="66">
                  <c:v>7.1054273576010019E-15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BE-4BF1-8580-09984FB4B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-15.151515151515152</c:v>
                </c:pt>
                <c:pt idx="1">
                  <c:v>0</c:v>
                </c:pt>
                <c:pt idx="2">
                  <c:v>15.151515151515152</c:v>
                </c:pt>
                <c:pt idx="3">
                  <c:v>0</c:v>
                </c:pt>
                <c:pt idx="4">
                  <c:v>-98.039215686274517</c:v>
                </c:pt>
                <c:pt idx="5">
                  <c:v>111.11111111111111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42-4AB4-A2F5-04E2088B0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11</c:v>
                </c:pt>
                <c:pt idx="1">
                  <c:v>27</c:v>
                </c:pt>
                <c:pt idx="2">
                  <c:v>28</c:v>
                </c:pt>
                <c:pt idx="3">
                  <c:v>22</c:v>
                </c:pt>
                <c:pt idx="4">
                  <c:v>23</c:v>
                </c:pt>
                <c:pt idx="5">
                  <c:v>11</c:v>
                </c:pt>
                <c:pt idx="6">
                  <c:v>12</c:v>
                </c:pt>
                <c:pt idx="7">
                  <c:v>2</c:v>
                </c:pt>
                <c:pt idx="8">
                  <c:v>1</c:v>
                </c:pt>
                <c:pt idx="9">
                  <c:v>3</c:v>
                </c:pt>
                <c:pt idx="10">
                  <c:v>1</c:v>
                </c:pt>
                <c:pt idx="11">
                  <c:v>1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68-4B72-B0E0-6996C14F90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れんたろう!$L$2:$L$12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-2.9</c:v>
                </c:pt>
                <c:pt idx="2">
                  <c:v>32.9</c:v>
                </c:pt>
                <c:pt idx="3">
                  <c:v>61.5</c:v>
                </c:pt>
                <c:pt idx="4">
                  <c:v>27.4</c:v>
                </c:pt>
                <c:pt idx="5">
                  <c:v>18</c:v>
                </c:pt>
                <c:pt idx="6">
                  <c:v>43.6</c:v>
                </c:pt>
                <c:pt idx="7">
                  <c:v>16.900000000000002</c:v>
                </c:pt>
                <c:pt idx="8">
                  <c:v>-9.9999999999999964</c:v>
                </c:pt>
                <c:pt idx="9">
                  <c:v>33.5</c:v>
                </c:pt>
                <c:pt idx="10">
                  <c:v>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DF-423E-8F23-8A70131640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2180</c:v>
                </c:pt>
                <c:pt idx="2">
                  <c:v>-1290</c:v>
                </c:pt>
                <c:pt idx="3">
                  <c:v>-7760</c:v>
                </c:pt>
                <c:pt idx="4">
                  <c:v>-344.44444444444446</c:v>
                </c:pt>
                <c:pt idx="5">
                  <c:v>6900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EB-469D-A747-AE89DD7BA5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5</c:v>
                </c:pt>
                <c:pt idx="4">
                  <c:v>4</c:v>
                </c:pt>
                <c:pt idx="5">
                  <c:v>1</c:v>
                </c:pt>
                <c:pt idx="6">
                  <c:v>4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F2-493D-AC97-B4B96A291B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ともき!$L$2:$L$4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-36.299999999999997</c:v>
                </c:pt>
                <c:pt idx="2">
                  <c:v>-75.5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90-41C8-B460-29D3F9B4C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-2300</c:v>
                </c:pt>
                <c:pt idx="1">
                  <c:v>1000</c:v>
                </c:pt>
                <c:pt idx="2">
                  <c:v>-14750</c:v>
                </c:pt>
                <c:pt idx="3">
                  <c:v>-1700</c:v>
                </c:pt>
                <c:pt idx="4">
                  <c:v>-3250</c:v>
                </c:pt>
                <c:pt idx="5">
                  <c:v>-6750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02-4305-B55E-7AEB7CABAF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33-4C42-BBF5-18F6AC999D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だいち!$L$2:$L$18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39.200000000000003</c:v>
                </c:pt>
                <c:pt idx="2">
                  <c:v>99.6</c:v>
                </c:pt>
                <c:pt idx="3">
                  <c:v>98.1</c:v>
                </c:pt>
                <c:pt idx="4">
                  <c:v>101.5</c:v>
                </c:pt>
                <c:pt idx="5">
                  <c:v>143.1</c:v>
                </c:pt>
                <c:pt idx="6">
                  <c:v>164.5</c:v>
                </c:pt>
                <c:pt idx="7">
                  <c:v>168.5</c:v>
                </c:pt>
                <c:pt idx="8">
                  <c:v>132.6</c:v>
                </c:pt>
                <c:pt idx="9">
                  <c:v>151.29999999999998</c:v>
                </c:pt>
                <c:pt idx="10">
                  <c:v>229</c:v>
                </c:pt>
                <c:pt idx="11">
                  <c:v>242.7</c:v>
                </c:pt>
                <c:pt idx="12">
                  <c:v>198</c:v>
                </c:pt>
                <c:pt idx="13">
                  <c:v>197</c:v>
                </c:pt>
                <c:pt idx="14">
                  <c:v>249.2</c:v>
                </c:pt>
                <c:pt idx="15">
                  <c:v>213.5</c:v>
                </c:pt>
                <c:pt idx="16">
                  <c:v>273.8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7-4FD8-8F6B-AB9DA4577D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2068.75</c:v>
                </c:pt>
                <c:pt idx="1">
                  <c:v>3831.25</c:v>
                </c:pt>
                <c:pt idx="2">
                  <c:v>2231.25</c:v>
                </c:pt>
                <c:pt idx="3">
                  <c:v>4593.333333333333</c:v>
                </c:pt>
                <c:pt idx="4">
                  <c:v>-1253.8461538461538</c:v>
                </c:pt>
                <c:pt idx="5">
                  <c:v>-1075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2A-4ADF-9198-7FB2288FB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4</c:v>
                </c:pt>
                <c:pt idx="1">
                  <c:v>9</c:v>
                </c:pt>
                <c:pt idx="2">
                  <c:v>8</c:v>
                </c:pt>
                <c:pt idx="3">
                  <c:v>8</c:v>
                </c:pt>
                <c:pt idx="4">
                  <c:v>7</c:v>
                </c:pt>
                <c:pt idx="5">
                  <c:v>5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47-4928-A1D6-A8E5B65FD5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りくと!$L$2:$L$10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-55.5</c:v>
                </c:pt>
                <c:pt idx="2">
                  <c:v>-106.5</c:v>
                </c:pt>
                <c:pt idx="3">
                  <c:v>-108</c:v>
                </c:pt>
                <c:pt idx="4">
                  <c:v>-115.5</c:v>
                </c:pt>
                <c:pt idx="5">
                  <c:v>-116</c:v>
                </c:pt>
                <c:pt idx="6">
                  <c:v>-146</c:v>
                </c:pt>
                <c:pt idx="7">
                  <c:v>-168.5</c:v>
                </c:pt>
                <c:pt idx="8">
                  <c:v>-157.19999999999999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F2-4472-99DD-CB6EA0F132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-5062.5</c:v>
                </c:pt>
                <c:pt idx="1">
                  <c:v>-2512.5</c:v>
                </c:pt>
                <c:pt idx="2">
                  <c:v>-8150</c:v>
                </c:pt>
                <c:pt idx="3">
                  <c:v>3433.3333333333335</c:v>
                </c:pt>
                <c:pt idx="4">
                  <c:v>133.33333333333334</c:v>
                </c:pt>
                <c:pt idx="5">
                  <c:v>-2125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06-431E-A8E5-B0DCE46846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3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01-4714-B0E1-8A170252D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まっつん!$L$2:$L$20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-0.5</c:v>
                </c:pt>
                <c:pt idx="2">
                  <c:v>-62.8</c:v>
                </c:pt>
                <c:pt idx="3">
                  <c:v>-48.5</c:v>
                </c:pt>
                <c:pt idx="4">
                  <c:v>-75.599999999999994</c:v>
                </c:pt>
                <c:pt idx="5">
                  <c:v>-96.5</c:v>
                </c:pt>
                <c:pt idx="6">
                  <c:v>-70.5</c:v>
                </c:pt>
                <c:pt idx="7">
                  <c:v>-38.6</c:v>
                </c:pt>
                <c:pt idx="8">
                  <c:v>-28.3</c:v>
                </c:pt>
                <c:pt idx="9">
                  <c:v>-20.3</c:v>
                </c:pt>
                <c:pt idx="10">
                  <c:v>-14.9</c:v>
                </c:pt>
                <c:pt idx="11">
                  <c:v>-46</c:v>
                </c:pt>
                <c:pt idx="12">
                  <c:v>-87.6</c:v>
                </c:pt>
                <c:pt idx="13">
                  <c:v>-125.89999999999999</c:v>
                </c:pt>
                <c:pt idx="14">
                  <c:v>-149.39999999999998</c:v>
                </c:pt>
                <c:pt idx="15">
                  <c:v>-121.39999999999998</c:v>
                </c:pt>
                <c:pt idx="16">
                  <c:v>-141.29999999999998</c:v>
                </c:pt>
                <c:pt idx="17">
                  <c:v>-149.1</c:v>
                </c:pt>
                <c:pt idx="18">
                  <c:v>-201.89999999999998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F2-4491-9742-69E67F81C2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-277.77777777777777</c:v>
                </c:pt>
                <c:pt idx="1">
                  <c:v>-2744.4444444444443</c:v>
                </c:pt>
                <c:pt idx="2">
                  <c:v>-994.44444444444446</c:v>
                </c:pt>
                <c:pt idx="3">
                  <c:v>-2631.25</c:v>
                </c:pt>
                <c:pt idx="4">
                  <c:v>-1921.4285714285713</c:v>
                </c:pt>
                <c:pt idx="5">
                  <c:v>-580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C4-4E16-BF07-6B6561FE8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9</c:v>
                </c:pt>
                <c:pt idx="3">
                  <c:v>5</c:v>
                </c:pt>
                <c:pt idx="4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16-4C4D-9D82-51339600D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たかの!$L$2:$L$8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56</c:v>
                </c:pt>
                <c:pt idx="2">
                  <c:v>137.5</c:v>
                </c:pt>
                <c:pt idx="3">
                  <c:v>159</c:v>
                </c:pt>
                <c:pt idx="4">
                  <c:v>112.4</c:v>
                </c:pt>
                <c:pt idx="5">
                  <c:v>140.30000000000001</c:v>
                </c:pt>
                <c:pt idx="6">
                  <c:v>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53-47C0-840C-84782FB27C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-933.33333333333337</c:v>
                </c:pt>
                <c:pt idx="1">
                  <c:v>-1866.6666666666667</c:v>
                </c:pt>
                <c:pt idx="2">
                  <c:v>18150</c:v>
                </c:pt>
                <c:pt idx="3">
                  <c:v>1400</c:v>
                </c:pt>
                <c:pt idx="4">
                  <c:v>9333.3333333333339</c:v>
                </c:pt>
                <c:pt idx="5">
                  <c:v>533.33333333333337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42-4E79-8FF5-0E5C22F8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3</c:v>
                </c:pt>
                <c:pt idx="3">
                  <c:v>0</c:v>
                </c:pt>
                <c:pt idx="4">
                  <c:v>6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D6-4F00-97BE-381FF47C99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のり!$L$2:$L$5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-30.5</c:v>
                </c:pt>
                <c:pt idx="2">
                  <c:v>-28.6</c:v>
                </c:pt>
                <c:pt idx="3">
                  <c:v>-41.400000000000006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33-4BC9-A809-F469290FFF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-333.33333333333331</c:v>
                </c:pt>
                <c:pt idx="1">
                  <c:v>800</c:v>
                </c:pt>
                <c:pt idx="2">
                  <c:v>-8766.6666666666661</c:v>
                </c:pt>
                <c:pt idx="3">
                  <c:v>-3000</c:v>
                </c:pt>
                <c:pt idx="4">
                  <c:v>2000</c:v>
                </c:pt>
                <c:pt idx="5">
                  <c:v>-5500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5E-420E-9299-26F004C31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BA-44DC-8401-52932AA8A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ただ!$L$2:$L$5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68.2</c:v>
                </c:pt>
                <c:pt idx="2">
                  <c:v>41.2</c:v>
                </c:pt>
                <c:pt idx="3">
                  <c:v>8.9000000000000057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EC-4C2F-A70A-A1180E8D3F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-2466.6666666666665</c:v>
                </c:pt>
                <c:pt idx="1">
                  <c:v>-2266.6666666666665</c:v>
                </c:pt>
                <c:pt idx="2">
                  <c:v>2733.3333333333335</c:v>
                </c:pt>
                <c:pt idx="3">
                  <c:v>10333.333333333334</c:v>
                </c:pt>
                <c:pt idx="4">
                  <c:v>5666.666666666667</c:v>
                </c:pt>
                <c:pt idx="5">
                  <c:v>1450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C2-40E4-81CE-ADD8727584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67-4176-BC91-4692CB547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まっつん2!$A$1:$B$2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まっつん</c:v>
                  </c:pt>
                  <c:pt idx="1">
                    <c:v>まっつん</c:v>
                  </c:pt>
                </c:lvl>
              </c:multiLvlStrCache>
            </c:multiLvlStrRef>
          </c:xVal>
          <c:yVal>
            <c:numRef>
              <c:f>まっつん2!$A$3:$B$3</c:f>
              <c:numCache>
                <c:formatCode>\+0.0;\-0.0;\±0</c:formatCode>
                <c:ptCount val="2"/>
                <c:pt idx="0" formatCode="0\ &quot;回&quot;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まっつん2!$A$1:$B$2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まっつん</c:v>
                  </c:pt>
                  <c:pt idx="1">
                    <c:v>まっつん</c:v>
                  </c:pt>
                </c:lvl>
              </c:multiLvlStrCache>
            </c:multiLvlStrRef>
          </c:xVal>
          <c:yVal>
            <c:numRef>
              <c:f>まっつん2!$A$4:$B$4</c:f>
              <c:numCache>
                <c:formatCode>\+0.0;\-0.0;\±0</c:formatCode>
                <c:ptCount val="2"/>
                <c:pt idx="0" formatCode="0\ &quot;回&quot;">
                  <c:v>1</c:v>
                </c:pt>
                <c:pt idx="1">
                  <c:v>-0.5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3-4D6C-B5E9-ED87F887247F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multiLvlStrRef>
              <c:f>まっつん2!$A$1:$B$2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まっつん</c:v>
                  </c:pt>
                  <c:pt idx="1">
                    <c:v>まっつん</c:v>
                  </c:pt>
                </c:lvl>
              </c:multiLvlStrCache>
            </c:multiLvlStrRef>
          </c:xVal>
          <c:yVal>
            <c:numRef>
              <c:f>まっつん2!$A$5:$B$5</c:f>
              <c:numCache>
                <c:formatCode>\+0.0;\-0.0;\±0</c:formatCode>
                <c:ptCount val="2"/>
                <c:pt idx="0" formatCode="0\ &quot;回&quot;">
                  <c:v>2</c:v>
                </c:pt>
                <c:pt idx="1">
                  <c:v>-62.8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4C-49ED-9E3F-6453044A4D20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multiLvlStrRef>
              <c:f>まっつん2!$A$1:$B$2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まっつん</c:v>
                  </c:pt>
                  <c:pt idx="1">
                    <c:v>まっつん</c:v>
                  </c:pt>
                </c:lvl>
              </c:multiLvlStrCache>
            </c:multiLvlStrRef>
          </c:xVal>
          <c:yVal>
            <c:numRef>
              <c:f>まっつん2!$A$6:$B$6</c:f>
              <c:numCache>
                <c:formatCode>\+0.0;\-0.0;\±0</c:formatCode>
                <c:ptCount val="2"/>
                <c:pt idx="0" formatCode="0\ &quot;回&quot;">
                  <c:v>3</c:v>
                </c:pt>
                <c:pt idx="1">
                  <c:v>-48.5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89-4F65-B760-C1296C22BF1F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multiLvlStrRef>
              <c:f>まっつん2!$A$1:$B$2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まっつん</c:v>
                  </c:pt>
                  <c:pt idx="1">
                    <c:v>まっつん</c:v>
                  </c:pt>
                </c:lvl>
              </c:multiLvlStrCache>
            </c:multiLvlStrRef>
          </c:xVal>
          <c:yVal>
            <c:numRef>
              <c:f>まっつん2!$A$7:$B$7</c:f>
              <c:numCache>
                <c:formatCode>\+0.0;\-0.0;\±0</c:formatCode>
                <c:ptCount val="2"/>
                <c:pt idx="0" formatCode="0\ &quot;回&quot;">
                  <c:v>4</c:v>
                </c:pt>
                <c:pt idx="1">
                  <c:v>-75.599999999999994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4E-42D1-96E9-B716E78B88B3}"/>
            </c:ext>
          </c:extLst>
        </c:ser>
        <c:ser>
          <c:idx val="5"/>
          <c:order val="5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multiLvlStrRef>
              <c:f>まっつん2!$A$1:$B$2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まっつん</c:v>
                  </c:pt>
                  <c:pt idx="1">
                    <c:v>まっつん</c:v>
                  </c:pt>
                </c:lvl>
              </c:multiLvlStrCache>
            </c:multiLvlStrRef>
          </c:xVal>
          <c:yVal>
            <c:numRef>
              <c:f>まっつん2!$A$8:$B$8</c:f>
              <c:numCache>
                <c:formatCode>\+0.0;\-0.0;\±0</c:formatCode>
                <c:ptCount val="2"/>
                <c:pt idx="0" formatCode="0\ &quot;回&quot;">
                  <c:v>5</c:v>
                </c:pt>
                <c:pt idx="1">
                  <c:v>-96.5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74E-42D1-96E9-B716E78B88B3}"/>
            </c:ext>
          </c:extLst>
        </c:ser>
        <c:ser>
          <c:idx val="6"/>
          <c:order val="6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multiLvlStrRef>
              <c:f>まっつん2!$A$1:$B$2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まっつん</c:v>
                  </c:pt>
                  <c:pt idx="1">
                    <c:v>まっつん</c:v>
                  </c:pt>
                </c:lvl>
              </c:multiLvlStrCache>
            </c:multiLvlStrRef>
          </c:xVal>
          <c:yVal>
            <c:numRef>
              <c:f>まっつん2!$A$9:$B$9</c:f>
              <c:numCache>
                <c:formatCode>\+0.0;\-0.0;\±0</c:formatCode>
                <c:ptCount val="2"/>
                <c:pt idx="0" formatCode="0\ &quot;回&quot;">
                  <c:v>6</c:v>
                </c:pt>
                <c:pt idx="1">
                  <c:v>-70.5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74E-42D1-96E9-B716E78B88B3}"/>
            </c:ext>
          </c:extLst>
        </c:ser>
        <c:ser>
          <c:idx val="7"/>
          <c:order val="7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multiLvlStrRef>
              <c:f>まっつん2!$A$1:$B$2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まっつん</c:v>
                  </c:pt>
                  <c:pt idx="1">
                    <c:v>まっつん</c:v>
                  </c:pt>
                </c:lvl>
              </c:multiLvlStrCache>
            </c:multiLvlStrRef>
          </c:xVal>
          <c:yVal>
            <c:numRef>
              <c:f>まっつん2!$A$10:$B$10</c:f>
              <c:numCache>
                <c:formatCode>\+0.0;\-0.0;\±0</c:formatCode>
                <c:ptCount val="2"/>
                <c:pt idx="0" formatCode="0\ &quot;回&quot;">
                  <c:v>7</c:v>
                </c:pt>
                <c:pt idx="1">
                  <c:v>-38.6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74E-42D1-96E9-B716E78B88B3}"/>
            </c:ext>
          </c:extLst>
        </c:ser>
        <c:ser>
          <c:idx val="8"/>
          <c:order val="8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multiLvlStrRef>
              <c:f>まっつん2!$A$1:$B$2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まっつん</c:v>
                  </c:pt>
                  <c:pt idx="1">
                    <c:v>まっつん</c:v>
                  </c:pt>
                </c:lvl>
              </c:multiLvlStrCache>
            </c:multiLvlStrRef>
          </c:xVal>
          <c:yVal>
            <c:numRef>
              <c:f>まっつん2!$A$11:$B$11</c:f>
              <c:numCache>
                <c:formatCode>\+0.0;\-0.0;\±0</c:formatCode>
                <c:ptCount val="2"/>
                <c:pt idx="0" formatCode="0\ &quot;回&quot;">
                  <c:v>8</c:v>
                </c:pt>
                <c:pt idx="1">
                  <c:v>-28.3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74E-42D1-96E9-B716E78B88B3}"/>
            </c:ext>
          </c:extLst>
        </c:ser>
        <c:ser>
          <c:idx val="9"/>
          <c:order val="9"/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multiLvlStrRef>
              <c:f>まっつん2!$A$1:$B$2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まっつん</c:v>
                  </c:pt>
                  <c:pt idx="1">
                    <c:v>まっつん</c:v>
                  </c:pt>
                </c:lvl>
              </c:multiLvlStrCache>
            </c:multiLvlStrRef>
          </c:xVal>
          <c:yVal>
            <c:numRef>
              <c:f>まっつん2!$A$12:$B$12</c:f>
              <c:numCache>
                <c:formatCode>\+0.0;\-0.0;\±0</c:formatCode>
                <c:ptCount val="2"/>
                <c:pt idx="0" formatCode="0\ &quot;回&quot;">
                  <c:v>9</c:v>
                </c:pt>
                <c:pt idx="1">
                  <c:v>-20.3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74E-42D1-96E9-B716E78B88B3}"/>
            </c:ext>
          </c:extLst>
        </c:ser>
        <c:ser>
          <c:idx val="10"/>
          <c:order val="10"/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multiLvlStrRef>
              <c:f>まっつん2!$A$1:$B$2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まっつん</c:v>
                  </c:pt>
                  <c:pt idx="1">
                    <c:v>まっつん</c:v>
                  </c:pt>
                </c:lvl>
              </c:multiLvlStrCache>
            </c:multiLvlStrRef>
          </c:xVal>
          <c:yVal>
            <c:numRef>
              <c:f>まっつん2!$A$13:$B$13</c:f>
              <c:numCache>
                <c:formatCode>\+0.0;\-0.0;\±0</c:formatCode>
                <c:ptCount val="2"/>
                <c:pt idx="0" formatCode="0\ &quot;回&quot;">
                  <c:v>10</c:v>
                </c:pt>
                <c:pt idx="1">
                  <c:v>-14.9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74E-42D1-96E9-B716E78B88B3}"/>
            </c:ext>
          </c:extLst>
        </c:ser>
        <c:ser>
          <c:idx val="11"/>
          <c:order val="11"/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multiLvlStrRef>
              <c:f>まっつん2!$A$1:$B$2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まっつん</c:v>
                  </c:pt>
                  <c:pt idx="1">
                    <c:v>まっつん</c:v>
                  </c:pt>
                </c:lvl>
              </c:multiLvlStrCache>
            </c:multiLvlStrRef>
          </c:xVal>
          <c:yVal>
            <c:numRef>
              <c:f>まっつん2!$A$14:$B$14</c:f>
              <c:numCache>
                <c:formatCode>\+0.0;\-0.0;\±0</c:formatCode>
                <c:ptCount val="2"/>
                <c:pt idx="0" formatCode="0\ &quot;回&quot;">
                  <c:v>11</c:v>
                </c:pt>
                <c:pt idx="1">
                  <c:v>-46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74E-42D1-96E9-B716E78B88B3}"/>
            </c:ext>
          </c:extLst>
        </c:ser>
        <c:ser>
          <c:idx val="12"/>
          <c:order val="12"/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multiLvlStrRef>
              <c:f>まっつん2!$A$1:$B$2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まっつん</c:v>
                  </c:pt>
                  <c:pt idx="1">
                    <c:v>まっつん</c:v>
                  </c:pt>
                </c:lvl>
              </c:multiLvlStrCache>
            </c:multiLvlStrRef>
          </c:xVal>
          <c:yVal>
            <c:numRef>
              <c:f>まっつん2!$A$15:$B$15</c:f>
              <c:numCache>
                <c:formatCode>\+0.0;\-0.0;\±0</c:formatCode>
                <c:ptCount val="2"/>
                <c:pt idx="0" formatCode="0\ &quot;回&quot;">
                  <c:v>12</c:v>
                </c:pt>
                <c:pt idx="1">
                  <c:v>-87.6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74E-42D1-96E9-B716E78B88B3}"/>
            </c:ext>
          </c:extLst>
        </c:ser>
        <c:ser>
          <c:idx val="13"/>
          <c:order val="13"/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multiLvlStrRef>
              <c:f>まっつん2!$A$1:$B$2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まっつん</c:v>
                  </c:pt>
                  <c:pt idx="1">
                    <c:v>まっつん</c:v>
                  </c:pt>
                </c:lvl>
              </c:multiLvlStrCache>
            </c:multiLvlStrRef>
          </c:xVal>
          <c:yVal>
            <c:numRef>
              <c:f>まっつん2!$A$16:$B$16</c:f>
              <c:numCache>
                <c:formatCode>\+0.0;\-0.0;\±0</c:formatCode>
                <c:ptCount val="2"/>
                <c:pt idx="0" formatCode="0\ &quot;回&quot;">
                  <c:v>13</c:v>
                </c:pt>
                <c:pt idx="1">
                  <c:v>-125.89999999999999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74E-42D1-96E9-B716E78B88B3}"/>
            </c:ext>
          </c:extLst>
        </c:ser>
        <c:ser>
          <c:idx val="14"/>
          <c:order val="14"/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multiLvlStrRef>
              <c:f>まっつん2!$A$1:$B$2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まっつん</c:v>
                  </c:pt>
                  <c:pt idx="1">
                    <c:v>まっつん</c:v>
                  </c:pt>
                </c:lvl>
              </c:multiLvlStrCache>
            </c:multiLvlStrRef>
          </c:xVal>
          <c:yVal>
            <c:numRef>
              <c:f>まっつん2!$A$17:$B$17</c:f>
              <c:numCache>
                <c:formatCode>\+0.0;\-0.0;\±0</c:formatCode>
                <c:ptCount val="2"/>
                <c:pt idx="0" formatCode="0\ &quot;回&quot;">
                  <c:v>14</c:v>
                </c:pt>
                <c:pt idx="1">
                  <c:v>-149.39999999999998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74E-42D1-96E9-B716E78B88B3}"/>
            </c:ext>
          </c:extLst>
        </c:ser>
        <c:ser>
          <c:idx val="15"/>
          <c:order val="15"/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multiLvlStrRef>
              <c:f>まっつん2!$A$1:$B$2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まっつん</c:v>
                  </c:pt>
                  <c:pt idx="1">
                    <c:v>まっつん</c:v>
                  </c:pt>
                </c:lvl>
              </c:multiLvlStrCache>
            </c:multiLvlStrRef>
          </c:xVal>
          <c:yVal>
            <c:numRef>
              <c:f>まっつん2!$A$18:$B$18</c:f>
              <c:numCache>
                <c:formatCode>\+0.0;\-0.0;\±0</c:formatCode>
                <c:ptCount val="2"/>
                <c:pt idx="0" formatCode="0\ &quot;回&quot;">
                  <c:v>15</c:v>
                </c:pt>
                <c:pt idx="1">
                  <c:v>-121.39999999999998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74E-42D1-96E9-B716E78B88B3}"/>
            </c:ext>
          </c:extLst>
        </c:ser>
        <c:ser>
          <c:idx val="16"/>
          <c:order val="16"/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multiLvlStrRef>
              <c:f>まっつん2!$A$1:$B$2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まっつん</c:v>
                  </c:pt>
                  <c:pt idx="1">
                    <c:v>まっつん</c:v>
                  </c:pt>
                </c:lvl>
              </c:multiLvlStrCache>
            </c:multiLvlStrRef>
          </c:xVal>
          <c:yVal>
            <c:numRef>
              <c:f>まっつん2!$A$19:$B$19</c:f>
              <c:numCache>
                <c:formatCode>\+0.0;\-0.0;\±0</c:formatCode>
                <c:ptCount val="2"/>
                <c:pt idx="0" formatCode="0\ &quot;回&quot;">
                  <c:v>16</c:v>
                </c:pt>
                <c:pt idx="1">
                  <c:v>-141.29999999999998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74E-42D1-96E9-B716E78B88B3}"/>
            </c:ext>
          </c:extLst>
        </c:ser>
        <c:ser>
          <c:idx val="17"/>
          <c:order val="17"/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multiLvlStrRef>
              <c:f>まっつん2!$A$1:$B$2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まっつん</c:v>
                  </c:pt>
                  <c:pt idx="1">
                    <c:v>まっつん</c:v>
                  </c:pt>
                </c:lvl>
              </c:multiLvlStrCache>
            </c:multiLvlStrRef>
          </c:xVal>
          <c:yVal>
            <c:numRef>
              <c:f>まっつん2!$A$20:$B$20</c:f>
              <c:numCache>
                <c:formatCode>\+0.0;\-0.0;\±0</c:formatCode>
                <c:ptCount val="2"/>
                <c:pt idx="0" formatCode="0\ &quot;回&quot;">
                  <c:v>17</c:v>
                </c:pt>
                <c:pt idx="1">
                  <c:v>-149.1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74E-42D1-96E9-B716E78B88B3}"/>
            </c:ext>
          </c:extLst>
        </c:ser>
        <c:ser>
          <c:idx val="18"/>
          <c:order val="18"/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multiLvlStrRef>
              <c:f>まっつん2!$A$1:$B$2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まっつん</c:v>
                  </c:pt>
                  <c:pt idx="1">
                    <c:v>まっつん</c:v>
                  </c:pt>
                </c:lvl>
              </c:multiLvlStrCache>
            </c:multiLvlStrRef>
          </c:xVal>
          <c:yVal>
            <c:numRef>
              <c:f>まっつん2!$A$21:$B$21</c:f>
              <c:numCache>
                <c:formatCode>\+0.0;\-0.0;\±0</c:formatCode>
                <c:ptCount val="2"/>
                <c:pt idx="0" formatCode="0\ &quot;回&quot;">
                  <c:v>18</c:v>
                </c:pt>
                <c:pt idx="1">
                  <c:v>-201.89999999999998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74E-42D1-96E9-B716E78B88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7.1054273576010019E-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まっつん2!$C$3:$C$21</c:f>
              <c:numCache>
                <c:formatCode>\+0.0;\-0.0;\±0</c:formatCode>
                <c:ptCount val="19"/>
                <c:pt idx="1">
                  <c:v>-0.5</c:v>
                </c:pt>
                <c:pt idx="2">
                  <c:v>-31.4</c:v>
                </c:pt>
                <c:pt idx="3">
                  <c:v>-16.166666666666668</c:v>
                </c:pt>
                <c:pt idx="4">
                  <c:v>-18.899999999999999</c:v>
                </c:pt>
                <c:pt idx="5">
                  <c:v>-19.3</c:v>
                </c:pt>
                <c:pt idx="6">
                  <c:v>-11.75</c:v>
                </c:pt>
                <c:pt idx="7">
                  <c:v>-5.5142857142857142</c:v>
                </c:pt>
                <c:pt idx="8">
                  <c:v>-3.5375000000000001</c:v>
                </c:pt>
                <c:pt idx="9">
                  <c:v>-2.2555555555555555</c:v>
                </c:pt>
                <c:pt idx="10">
                  <c:v>-1.49</c:v>
                </c:pt>
                <c:pt idx="11">
                  <c:v>-4.1818181818181817</c:v>
                </c:pt>
                <c:pt idx="12">
                  <c:v>-7.3</c:v>
                </c:pt>
                <c:pt idx="13">
                  <c:v>-9.684615384615384</c:v>
                </c:pt>
                <c:pt idx="14">
                  <c:v>-10.671428571428569</c:v>
                </c:pt>
                <c:pt idx="15">
                  <c:v>-8.0933333333333319</c:v>
                </c:pt>
                <c:pt idx="16">
                  <c:v>-8.8312499999999989</c:v>
                </c:pt>
                <c:pt idx="17">
                  <c:v>-8.7705882352941167</c:v>
                </c:pt>
                <c:pt idx="18">
                  <c:v>-11.216666666666665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0765799026668185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まっつん2!$D$3:$D$21</c:f>
              <c:numCache>
                <c:formatCode>0.00\ "位"</c:formatCode>
                <c:ptCount val="19"/>
                <c:pt idx="1">
                  <c:v>2</c:v>
                </c:pt>
                <c:pt idx="2">
                  <c:v>2.5</c:v>
                </c:pt>
                <c:pt idx="3">
                  <c:v>2</c:v>
                </c:pt>
                <c:pt idx="4">
                  <c:v>2.25</c:v>
                </c:pt>
                <c:pt idx="5">
                  <c:v>2.4</c:v>
                </c:pt>
                <c:pt idx="6">
                  <c:v>2.1666666666666665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2.0833333333333335</c:v>
                </c:pt>
                <c:pt idx="13">
                  <c:v>2.1538461538461537</c:v>
                </c:pt>
                <c:pt idx="14">
                  <c:v>2.1428571428571428</c:v>
                </c:pt>
                <c:pt idx="15">
                  <c:v>2.0666666666666669</c:v>
                </c:pt>
                <c:pt idx="16">
                  <c:v>2.0625</c:v>
                </c:pt>
                <c:pt idx="17">
                  <c:v>2.0588235294117645</c:v>
                </c:pt>
                <c:pt idx="18">
                  <c:v>2.1111111111111112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まっつん2!$E$3:$E$21</c:f>
              <c:numCache>
                <c:formatCode>0.0%</c:formatCode>
                <c:ptCount val="19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0.26666666666666666</c:v>
                </c:pt>
                <c:pt idx="16">
                  <c:v>0.25</c:v>
                </c:pt>
                <c:pt idx="17">
                  <c:v>0.23529411764705882</c:v>
                </c:pt>
                <c:pt idx="18">
                  <c:v>0.22222222222222221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まっつん2!$F$3:$F$21</c:f>
              <c:numCache>
                <c:formatCode>0.0%</c:formatCode>
                <c:ptCount val="19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0.6</c:v>
                </c:pt>
                <c:pt idx="6">
                  <c:v>0.5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0.33333333333333331</c:v>
                </c:pt>
                <c:pt idx="13">
                  <c:v>0.38461538461538464</c:v>
                </c:pt>
                <c:pt idx="14">
                  <c:v>0.35714285714285715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まっつん2!$G$3:$G$21</c:f>
              <c:numCache>
                <c:formatCode>0.0%</c:formatCode>
                <c:ptCount val="19"/>
                <c:pt idx="1">
                  <c:v>0.5</c:v>
                </c:pt>
                <c:pt idx="2">
                  <c:v>0.2</c:v>
                </c:pt>
                <c:pt idx="3">
                  <c:v>0.25</c:v>
                </c:pt>
                <c:pt idx="4">
                  <c:v>0.22727272727272727</c:v>
                </c:pt>
                <c:pt idx="5">
                  <c:v>0.20689655172413793</c:v>
                </c:pt>
                <c:pt idx="6">
                  <c:v>0.25</c:v>
                </c:pt>
                <c:pt idx="7">
                  <c:v>0.28888888888888886</c:v>
                </c:pt>
                <c:pt idx="8">
                  <c:v>0.2857142857142857</c:v>
                </c:pt>
                <c:pt idx="9">
                  <c:v>0.27692307692307694</c:v>
                </c:pt>
                <c:pt idx="10">
                  <c:v>0.30263157894736842</c:v>
                </c:pt>
                <c:pt idx="11">
                  <c:v>0.28915662650602408</c:v>
                </c:pt>
                <c:pt idx="12">
                  <c:v>0.26881720430107525</c:v>
                </c:pt>
                <c:pt idx="13">
                  <c:v>0.25252525252525254</c:v>
                </c:pt>
                <c:pt idx="14">
                  <c:v>0.24299065420560748</c:v>
                </c:pt>
                <c:pt idx="15">
                  <c:v>0.25663716814159293</c:v>
                </c:pt>
                <c:pt idx="16">
                  <c:v>0.24193548387096775</c:v>
                </c:pt>
                <c:pt idx="17">
                  <c:v>0.23846153846153847</c:v>
                </c:pt>
                <c:pt idx="18">
                  <c:v>0.22794117647058823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899408284023668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まっつん2!$H$3:$H$21</c:f>
              <c:numCache>
                <c:formatCode>0.0%</c:formatCode>
                <c:ptCount val="19"/>
                <c:pt idx="1">
                  <c:v>0</c:v>
                </c:pt>
                <c:pt idx="2">
                  <c:v>0.2</c:v>
                </c:pt>
                <c:pt idx="3">
                  <c:v>0.25</c:v>
                </c:pt>
                <c:pt idx="4">
                  <c:v>0.22727272727272727</c:v>
                </c:pt>
                <c:pt idx="5">
                  <c:v>0.20689655172413793</c:v>
                </c:pt>
                <c:pt idx="6">
                  <c:v>0.19444444444444445</c:v>
                </c:pt>
                <c:pt idx="7">
                  <c:v>0.15555555555555556</c:v>
                </c:pt>
                <c:pt idx="8">
                  <c:v>0.14285714285714285</c:v>
                </c:pt>
                <c:pt idx="9">
                  <c:v>0.12307692307692308</c:v>
                </c:pt>
                <c:pt idx="10">
                  <c:v>0.11842105263157894</c:v>
                </c:pt>
                <c:pt idx="11">
                  <c:v>0.10843373493975904</c:v>
                </c:pt>
                <c:pt idx="12">
                  <c:v>0.13978494623655913</c:v>
                </c:pt>
                <c:pt idx="13">
                  <c:v>0.15151515151515152</c:v>
                </c:pt>
                <c:pt idx="14">
                  <c:v>0.14953271028037382</c:v>
                </c:pt>
                <c:pt idx="15">
                  <c:v>0.1415929203539823</c:v>
                </c:pt>
                <c:pt idx="16">
                  <c:v>0.15322580645161291</c:v>
                </c:pt>
                <c:pt idx="17">
                  <c:v>0.14615384615384616</c:v>
                </c:pt>
                <c:pt idx="18">
                  <c:v>0.15441176470588236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96252465483234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まっつん2!$I$3:$I$21</c:f>
              <c:numCache>
                <c:formatCode>0</c:formatCode>
                <c:ptCount val="19"/>
                <c:pt idx="1">
                  <c:v>14000</c:v>
                </c:pt>
                <c:pt idx="2">
                  <c:v>14000</c:v>
                </c:pt>
                <c:pt idx="3">
                  <c:v>12000</c:v>
                </c:pt>
                <c:pt idx="4">
                  <c:v>10160</c:v>
                </c:pt>
                <c:pt idx="5">
                  <c:v>8900</c:v>
                </c:pt>
                <c:pt idx="6">
                  <c:v>8566.6666666666661</c:v>
                </c:pt>
                <c:pt idx="7">
                  <c:v>8769.2307692307695</c:v>
                </c:pt>
                <c:pt idx="8">
                  <c:v>9431.25</c:v>
                </c:pt>
                <c:pt idx="9">
                  <c:v>9316.6666666666661</c:v>
                </c:pt>
                <c:pt idx="10">
                  <c:v>8526.0869565217399</c:v>
                </c:pt>
                <c:pt idx="11">
                  <c:v>8225</c:v>
                </c:pt>
                <c:pt idx="12">
                  <c:v>7960</c:v>
                </c:pt>
                <c:pt idx="13">
                  <c:v>7960</c:v>
                </c:pt>
                <c:pt idx="14">
                  <c:v>7753.8461538461543</c:v>
                </c:pt>
                <c:pt idx="15">
                  <c:v>7813.7931034482763</c:v>
                </c:pt>
                <c:pt idx="16">
                  <c:v>7683.333333333333</c:v>
                </c:pt>
                <c:pt idx="17">
                  <c:v>7564.5161290322585</c:v>
                </c:pt>
                <c:pt idx="18">
                  <c:v>7564.5161290322585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858.503401360543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まっつん2!$J$3:$J$21</c:f>
              <c:numCache>
                <c:formatCode>0</c:formatCode>
                <c:ptCount val="19"/>
                <c:pt idx="1">
                  <c:v>0</c:v>
                </c:pt>
                <c:pt idx="2">
                  <c:v>-17950</c:v>
                </c:pt>
                <c:pt idx="3">
                  <c:v>-11775</c:v>
                </c:pt>
                <c:pt idx="4">
                  <c:v>-9940</c:v>
                </c:pt>
                <c:pt idx="5">
                  <c:v>-9150</c:v>
                </c:pt>
                <c:pt idx="6">
                  <c:v>-8585.7142857142862</c:v>
                </c:pt>
                <c:pt idx="7">
                  <c:v>-8585.7142857142862</c:v>
                </c:pt>
                <c:pt idx="8">
                  <c:v>-8475</c:v>
                </c:pt>
                <c:pt idx="9">
                  <c:v>-8475</c:v>
                </c:pt>
                <c:pt idx="10">
                  <c:v>-11088.888888888889</c:v>
                </c:pt>
                <c:pt idx="11">
                  <c:v>-11088.888888888889</c:v>
                </c:pt>
                <c:pt idx="12">
                  <c:v>-9323.0769230769238</c:v>
                </c:pt>
                <c:pt idx="13">
                  <c:v>-8700</c:v>
                </c:pt>
                <c:pt idx="14">
                  <c:v>-8881.25</c:v>
                </c:pt>
                <c:pt idx="15">
                  <c:v>-8881.25</c:v>
                </c:pt>
                <c:pt idx="16">
                  <c:v>-8157.894736842105</c:v>
                </c:pt>
                <c:pt idx="17">
                  <c:v>-8157.894736842105</c:v>
                </c:pt>
                <c:pt idx="18">
                  <c:v>-8300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543.023255813953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まっつん2!$K$3:$K$21</c:f>
              <c:numCache>
                <c:formatCode>0.0%</c:formatCode>
                <c:ptCount val="19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0.1111111111111111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7.575757575757576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まっつん2!$L$3:$L$21</c:f>
              <c:numCache>
                <c:formatCode>0.0%</c:formatCode>
                <c:ptCount val="19"/>
                <c:pt idx="1">
                  <c:v>0.5</c:v>
                </c:pt>
                <c:pt idx="2">
                  <c:v>0.5</c:v>
                </c:pt>
                <c:pt idx="3">
                  <c:v>0.375</c:v>
                </c:pt>
                <c:pt idx="4">
                  <c:v>0.40909090909090912</c:v>
                </c:pt>
                <c:pt idx="5">
                  <c:v>0.34482758620689657</c:v>
                </c:pt>
                <c:pt idx="6">
                  <c:v>0.3888888888888889</c:v>
                </c:pt>
                <c:pt idx="7">
                  <c:v>0.35555555555555557</c:v>
                </c:pt>
                <c:pt idx="8">
                  <c:v>0.32142857142857145</c:v>
                </c:pt>
                <c:pt idx="9">
                  <c:v>0.30769230769230771</c:v>
                </c:pt>
                <c:pt idx="10">
                  <c:v>0.31578947368421051</c:v>
                </c:pt>
                <c:pt idx="11">
                  <c:v>0.3253012048192771</c:v>
                </c:pt>
                <c:pt idx="12">
                  <c:v>0.30107526881720431</c:v>
                </c:pt>
                <c:pt idx="13">
                  <c:v>0.30303030303030304</c:v>
                </c:pt>
                <c:pt idx="14">
                  <c:v>0.29906542056074764</c:v>
                </c:pt>
                <c:pt idx="15">
                  <c:v>0.29203539823008851</c:v>
                </c:pt>
                <c:pt idx="16">
                  <c:v>0.2661290322580645</c:v>
                </c:pt>
                <c:pt idx="17">
                  <c:v>0.26923076923076922</c:v>
                </c:pt>
                <c:pt idx="18">
                  <c:v>0.26470588235294118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642998027613412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まっつん2!$M$3:$M$21</c:f>
              <c:numCache>
                <c:formatCode>0.0%</c:formatCode>
                <c:ptCount val="19"/>
                <c:pt idx="1">
                  <c:v>0</c:v>
                </c:pt>
                <c:pt idx="2">
                  <c:v>0</c:v>
                </c:pt>
                <c:pt idx="3">
                  <c:v>6.25E-2</c:v>
                </c:pt>
                <c:pt idx="4">
                  <c:v>4.5454545454545456E-2</c:v>
                </c:pt>
                <c:pt idx="5">
                  <c:v>3.4482758620689655E-2</c:v>
                </c:pt>
                <c:pt idx="6">
                  <c:v>2.7777777777777776E-2</c:v>
                </c:pt>
                <c:pt idx="7">
                  <c:v>8.8888888888888892E-2</c:v>
                </c:pt>
                <c:pt idx="8">
                  <c:v>0.14285714285714285</c:v>
                </c:pt>
                <c:pt idx="9">
                  <c:v>0.15384615384615385</c:v>
                </c:pt>
                <c:pt idx="10">
                  <c:v>0.17105263157894737</c:v>
                </c:pt>
                <c:pt idx="11">
                  <c:v>0.18072289156626506</c:v>
                </c:pt>
                <c:pt idx="12">
                  <c:v>0.19354838709677419</c:v>
                </c:pt>
                <c:pt idx="13">
                  <c:v>0.19191919191919191</c:v>
                </c:pt>
                <c:pt idx="14">
                  <c:v>0.18691588785046728</c:v>
                </c:pt>
                <c:pt idx="15">
                  <c:v>0.21238938053097345</c:v>
                </c:pt>
                <c:pt idx="16">
                  <c:v>0.22580645161290322</c:v>
                </c:pt>
                <c:pt idx="17">
                  <c:v>0.23076923076923078</c:v>
                </c:pt>
                <c:pt idx="18">
                  <c:v>0.22794117647058823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972386587771203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まっつん2!$N$3:$N$21</c:f>
              <c:numCache>
                <c:formatCode>0.0%</c:formatCode>
                <c:ptCount val="19"/>
                <c:pt idx="1">
                  <c:v>1</c:v>
                </c:pt>
                <c:pt idx="2">
                  <c:v>0.4</c:v>
                </c:pt>
                <c:pt idx="3">
                  <c:v>0.5</c:v>
                </c:pt>
                <c:pt idx="4">
                  <c:v>0.44444444444444442</c:v>
                </c:pt>
                <c:pt idx="5">
                  <c:v>0.4</c:v>
                </c:pt>
                <c:pt idx="6">
                  <c:v>0.5</c:v>
                </c:pt>
                <c:pt idx="7">
                  <c:v>0.5625</c:v>
                </c:pt>
                <c:pt idx="8">
                  <c:v>0.55555555555555558</c:v>
                </c:pt>
                <c:pt idx="9">
                  <c:v>0.55000000000000004</c:v>
                </c:pt>
                <c:pt idx="10">
                  <c:v>0.54166666666666663</c:v>
                </c:pt>
                <c:pt idx="11">
                  <c:v>0.51851851851851849</c:v>
                </c:pt>
                <c:pt idx="12">
                  <c:v>0.5</c:v>
                </c:pt>
                <c:pt idx="13">
                  <c:v>0.46666666666666667</c:v>
                </c:pt>
                <c:pt idx="14">
                  <c:v>0.46875</c:v>
                </c:pt>
                <c:pt idx="15">
                  <c:v>0.48484848484848486</c:v>
                </c:pt>
                <c:pt idx="16">
                  <c:v>0.48484848484848486</c:v>
                </c:pt>
                <c:pt idx="17">
                  <c:v>0.48571428571428571</c:v>
                </c:pt>
                <c:pt idx="18">
                  <c:v>0.47222222222222221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14925373134328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まっつん2!$O$3:$O$21</c:f>
              <c:numCache>
                <c:formatCode>0.0%</c:formatCode>
                <c:ptCount val="1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0.25</c:v>
                </c:pt>
                <c:pt idx="8">
                  <c:v>0.375</c:v>
                </c:pt>
                <c:pt idx="9">
                  <c:v>0.4</c:v>
                </c:pt>
                <c:pt idx="10">
                  <c:v>0.53846153846153844</c:v>
                </c:pt>
                <c:pt idx="11">
                  <c:v>0.46666666666666667</c:v>
                </c:pt>
                <c:pt idx="12">
                  <c:v>0.3888888888888889</c:v>
                </c:pt>
                <c:pt idx="13">
                  <c:v>0.36842105263157893</c:v>
                </c:pt>
                <c:pt idx="14">
                  <c:v>0.35</c:v>
                </c:pt>
                <c:pt idx="15">
                  <c:v>0.375</c:v>
                </c:pt>
                <c:pt idx="16">
                  <c:v>0.35714285714285715</c:v>
                </c:pt>
                <c:pt idx="17">
                  <c:v>0.33333333333333331</c:v>
                </c:pt>
                <c:pt idx="18">
                  <c:v>0.32258064516129031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まっつん2!$P$3:$P$21</c:f>
              <c:numCache>
                <c:formatCode>0.0%</c:formatCode>
                <c:ptCount val="19"/>
                <c:pt idx="1">
                  <c:v>0</c:v>
                </c:pt>
                <c:pt idx="2">
                  <c:v>0</c:v>
                </c:pt>
                <c:pt idx="3">
                  <c:v>0.5</c:v>
                </c:pt>
                <c:pt idx="4">
                  <c:v>0.6</c:v>
                </c:pt>
                <c:pt idx="5">
                  <c:v>0.5</c:v>
                </c:pt>
                <c:pt idx="6">
                  <c:v>0.44444444444444442</c:v>
                </c:pt>
                <c:pt idx="7">
                  <c:v>0.38461538461538464</c:v>
                </c:pt>
                <c:pt idx="8">
                  <c:v>0.375</c:v>
                </c:pt>
                <c:pt idx="9">
                  <c:v>0.3888888888888889</c:v>
                </c:pt>
                <c:pt idx="10">
                  <c:v>0.30434782608695654</c:v>
                </c:pt>
                <c:pt idx="11">
                  <c:v>0.29166666666666669</c:v>
                </c:pt>
                <c:pt idx="12">
                  <c:v>0.32</c:v>
                </c:pt>
                <c:pt idx="13">
                  <c:v>0.32</c:v>
                </c:pt>
                <c:pt idx="14">
                  <c:v>0.30769230769230771</c:v>
                </c:pt>
                <c:pt idx="15">
                  <c:v>0.31034482758620691</c:v>
                </c:pt>
                <c:pt idx="16">
                  <c:v>0.3</c:v>
                </c:pt>
                <c:pt idx="17">
                  <c:v>0.32258064516129031</c:v>
                </c:pt>
                <c:pt idx="18">
                  <c:v>0.32258064516129031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49659863945578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J5"/>
  <sheetViews>
    <sheetView workbookViewId="0"/>
  </sheetViews>
  <sheetFormatPr defaultColWidth="9" defaultRowHeight="18" x14ac:dyDescent="0.45"/>
  <cols>
    <col min="1" max="1" width="19.19921875" style="2" customWidth="1"/>
    <col min="2" max="2" width="19.19921875" style="3" customWidth="1"/>
    <col min="3" max="16384" width="9" style="2"/>
  </cols>
  <sheetData>
    <row r="1" spans="1:10" x14ac:dyDescent="0.45">
      <c r="A1" s="1">
        <v>32874</v>
      </c>
      <c r="B1" s="1">
        <v>2958465</v>
      </c>
    </row>
    <row r="2" spans="1:10" x14ac:dyDescent="0.45">
      <c r="A2" s="2" t="s">
        <v>190</v>
      </c>
      <c r="B2" s="3">
        <v>43926.037199074075</v>
      </c>
      <c r="C2" s="2" t="s">
        <v>127</v>
      </c>
      <c r="D2" s="2" t="s">
        <v>191</v>
      </c>
      <c r="E2" s="2" t="s">
        <v>195</v>
      </c>
      <c r="F2" s="2" t="s">
        <v>197</v>
      </c>
      <c r="G2" s="2" t="s">
        <v>198</v>
      </c>
    </row>
    <row r="3" spans="1:10" x14ac:dyDescent="0.45">
      <c r="A3" s="2" t="s">
        <v>199</v>
      </c>
      <c r="B3" s="3">
        <v>43926.858425925922</v>
      </c>
      <c r="C3" s="2" t="s">
        <v>127</v>
      </c>
      <c r="D3" s="2" t="s">
        <v>191</v>
      </c>
      <c r="E3" s="2" t="s">
        <v>195</v>
      </c>
      <c r="F3" s="2" t="s">
        <v>197</v>
      </c>
      <c r="G3" s="2" t="s">
        <v>198</v>
      </c>
      <c r="H3" s="2" t="s">
        <v>200</v>
      </c>
      <c r="I3" s="2" t="s">
        <v>201</v>
      </c>
      <c r="J3" s="2" t="s">
        <v>202</v>
      </c>
    </row>
    <row r="4" spans="1:10" x14ac:dyDescent="0.45">
      <c r="A4" s="2" t="s">
        <v>203</v>
      </c>
      <c r="B4" s="3">
        <v>43927.722013888888</v>
      </c>
      <c r="C4" s="2" t="s">
        <v>127</v>
      </c>
      <c r="D4" s="2" t="s">
        <v>191</v>
      </c>
      <c r="E4" s="2" t="s">
        <v>195</v>
      </c>
      <c r="F4" s="2" t="s">
        <v>197</v>
      </c>
    </row>
    <row r="5" spans="1:10" x14ac:dyDescent="0.45">
      <c r="A5" s="2" t="s">
        <v>204</v>
      </c>
      <c r="B5" s="3">
        <v>43928.734444444446</v>
      </c>
      <c r="C5" s="2" t="s">
        <v>127</v>
      </c>
      <c r="D5" s="2" t="s">
        <v>191</v>
      </c>
      <c r="E5" s="2" t="s">
        <v>195</v>
      </c>
      <c r="F5" s="2" t="s">
        <v>197</v>
      </c>
      <c r="G5" s="2" t="s">
        <v>198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6" x14ac:dyDescent="0.45">
      <c r="A1" s="36"/>
      <c r="B1" s="36"/>
      <c r="C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6" x14ac:dyDescent="0.45">
      <c r="A3" s="35">
        <v>0</v>
      </c>
      <c r="B3" s="32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9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139</v>
      </c>
      <c r="B1">
        <v>66</v>
      </c>
    </row>
    <row r="2" spans="1:2" x14ac:dyDescent="0.45">
      <c r="A2" t="s">
        <v>164</v>
      </c>
      <c r="B2">
        <v>10</v>
      </c>
    </row>
    <row r="3" spans="1:2" x14ac:dyDescent="0.45">
      <c r="A3" t="s">
        <v>189</v>
      </c>
      <c r="B3">
        <v>2</v>
      </c>
    </row>
    <row r="4" spans="1:2" x14ac:dyDescent="0.45">
      <c r="A4" t="s">
        <v>126</v>
      </c>
      <c r="B4">
        <v>16</v>
      </c>
    </row>
    <row r="5" spans="1:2" x14ac:dyDescent="0.45">
      <c r="A5" t="s">
        <v>194</v>
      </c>
      <c r="B5">
        <v>8</v>
      </c>
    </row>
    <row r="6" spans="1:2" x14ac:dyDescent="0.45">
      <c r="A6" t="s">
        <v>192</v>
      </c>
      <c r="B6">
        <v>18</v>
      </c>
    </row>
    <row r="7" spans="1:2" x14ac:dyDescent="0.45">
      <c r="A7" t="s">
        <v>193</v>
      </c>
      <c r="B7">
        <v>6</v>
      </c>
    </row>
    <row r="8" spans="1:2" x14ac:dyDescent="0.45">
      <c r="A8" t="s">
        <v>196</v>
      </c>
      <c r="B8">
        <v>3</v>
      </c>
    </row>
    <row r="9" spans="1:2" x14ac:dyDescent="0.45">
      <c r="A9" t="s">
        <v>205</v>
      </c>
      <c r="B9">
        <v>3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/>
      <c r="C1" s="138"/>
      <c r="E1" s="108" t="s">
        <v>155</v>
      </c>
      <c r="F1" s="104" t="s">
        <v>115</v>
      </c>
      <c r="G1" s="103" t="s">
        <v>116</v>
      </c>
      <c r="H1" s="90" t="s">
        <v>117</v>
      </c>
      <c r="I1" s="104" t="s">
        <v>146</v>
      </c>
      <c r="K1" s="4" t="s">
        <v>19</v>
      </c>
      <c r="L1" s="10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0</v>
      </c>
      <c r="C2" s="140"/>
      <c r="E2" s="28" t="s">
        <v>64</v>
      </c>
      <c r="F2" s="25" t="s">
        <v>20</v>
      </c>
      <c r="G2" s="13">
        <v>0</v>
      </c>
      <c r="H2" s="91">
        <f t="shared" ref="H2:H52" si="0">IF(B$19=0,0,G2/B$19)</f>
        <v>0</v>
      </c>
      <c r="I2" s="59"/>
      <c r="K2" s="5">
        <v>0</v>
      </c>
      <c r="L2" s="64">
        <v>0</v>
      </c>
      <c r="N2" s="77" t="s">
        <v>128</v>
      </c>
      <c r="O2" s="83">
        <f t="shared" ref="O2:O7" si="1">IF(P2=0,0,Q2/P2)</f>
        <v>0</v>
      </c>
      <c r="P2" s="80">
        <v>0</v>
      </c>
      <c r="Q2" s="67">
        <v>0</v>
      </c>
    </row>
    <row r="3" spans="1:17" x14ac:dyDescent="0.45">
      <c r="A3" s="21" t="s">
        <v>8</v>
      </c>
      <c r="B3" s="141">
        <v>0</v>
      </c>
      <c r="C3" s="142"/>
      <c r="E3" s="29" t="s">
        <v>65</v>
      </c>
      <c r="F3" s="26" t="s">
        <v>21</v>
      </c>
      <c r="G3" s="14">
        <v>0</v>
      </c>
      <c r="H3" s="92">
        <f t="shared" si="0"/>
        <v>0</v>
      </c>
      <c r="I3" s="60"/>
      <c r="N3" s="78" t="s">
        <v>129</v>
      </c>
      <c r="O3" s="84">
        <f t="shared" si="1"/>
        <v>0</v>
      </c>
      <c r="P3" s="81">
        <v>0</v>
      </c>
      <c r="Q3" s="68">
        <v>0</v>
      </c>
    </row>
    <row r="4" spans="1:17" x14ac:dyDescent="0.45">
      <c r="A4" s="21" t="s">
        <v>6</v>
      </c>
      <c r="B4" s="143">
        <v>0</v>
      </c>
      <c r="C4" s="144"/>
      <c r="E4" s="29" t="s">
        <v>66</v>
      </c>
      <c r="F4" s="26" t="s">
        <v>22</v>
      </c>
      <c r="G4" s="14">
        <v>0</v>
      </c>
      <c r="H4" s="92">
        <f t="shared" si="0"/>
        <v>0</v>
      </c>
      <c r="I4" s="60"/>
      <c r="N4" s="78" t="s">
        <v>130</v>
      </c>
      <c r="O4" s="84">
        <f t="shared" si="1"/>
        <v>0</v>
      </c>
      <c r="P4" s="81">
        <v>0</v>
      </c>
      <c r="Q4" s="68">
        <v>0</v>
      </c>
    </row>
    <row r="5" spans="1:17" x14ac:dyDescent="0.45">
      <c r="A5" s="21" t="s">
        <v>7</v>
      </c>
      <c r="B5" s="131">
        <f>IF(B$2=0,0,B$4/B$2)</f>
        <v>0</v>
      </c>
      <c r="C5" s="132"/>
      <c r="E5" s="29" t="s">
        <v>67</v>
      </c>
      <c r="F5" s="26" t="s">
        <v>23</v>
      </c>
      <c r="G5" s="14">
        <v>0</v>
      </c>
      <c r="H5" s="92">
        <f t="shared" si="0"/>
        <v>0</v>
      </c>
      <c r="I5" s="60"/>
      <c r="N5" s="78" t="s">
        <v>131</v>
      </c>
      <c r="O5" s="84">
        <f t="shared" si="1"/>
        <v>0</v>
      </c>
      <c r="P5" s="81">
        <v>0</v>
      </c>
      <c r="Q5" s="68">
        <v>0</v>
      </c>
    </row>
    <row r="6" spans="1:17" x14ac:dyDescent="0.45">
      <c r="A6" s="21" t="s">
        <v>1</v>
      </c>
      <c r="B6" s="145">
        <f>IF(B$2=0,0,(B$7*1+B$8*2+B$9*3)/B$2)</f>
        <v>0</v>
      </c>
      <c r="C6" s="146"/>
      <c r="E6" s="29" t="s">
        <v>68</v>
      </c>
      <c r="F6" s="26" t="s">
        <v>12</v>
      </c>
      <c r="G6" s="14">
        <v>0</v>
      </c>
      <c r="H6" s="92">
        <f t="shared" si="0"/>
        <v>0</v>
      </c>
      <c r="I6" s="60"/>
      <c r="N6" s="78" t="s">
        <v>132</v>
      </c>
      <c r="O6" s="84">
        <f t="shared" si="1"/>
        <v>0</v>
      </c>
      <c r="P6" s="81">
        <v>0</v>
      </c>
      <c r="Q6" s="68">
        <v>0</v>
      </c>
    </row>
    <row r="7" spans="1:17" x14ac:dyDescent="0.45">
      <c r="A7" s="21" t="s">
        <v>2</v>
      </c>
      <c r="B7" s="14">
        <v>0</v>
      </c>
      <c r="C7" s="8">
        <f t="shared" ref="C7:C14" si="2">IF(B$2=0,0,B7/B$2)</f>
        <v>0</v>
      </c>
      <c r="E7" s="29" t="s">
        <v>69</v>
      </c>
      <c r="F7" s="26" t="s">
        <v>24</v>
      </c>
      <c r="G7" s="14">
        <v>0</v>
      </c>
      <c r="H7" s="92">
        <f t="shared" si="0"/>
        <v>0</v>
      </c>
      <c r="I7" s="60"/>
      <c r="N7" s="79" t="s">
        <v>133</v>
      </c>
      <c r="O7" s="85">
        <f t="shared" si="1"/>
        <v>0</v>
      </c>
      <c r="P7" s="82">
        <v>0</v>
      </c>
      <c r="Q7" s="69">
        <v>0</v>
      </c>
    </row>
    <row r="8" spans="1:17" x14ac:dyDescent="0.45">
      <c r="A8" s="21" t="s">
        <v>3</v>
      </c>
      <c r="B8" s="14">
        <v>0</v>
      </c>
      <c r="C8" s="8">
        <f t="shared" si="2"/>
        <v>0</v>
      </c>
      <c r="E8" s="29" t="s">
        <v>70</v>
      </c>
      <c r="F8" s="26" t="s">
        <v>25</v>
      </c>
      <c r="G8" s="14">
        <v>0</v>
      </c>
      <c r="H8" s="92">
        <f t="shared" si="0"/>
        <v>0</v>
      </c>
      <c r="I8" s="60"/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2"/>
        <v>0</v>
      </c>
      <c r="E9" s="29" t="s">
        <v>71</v>
      </c>
      <c r="F9" s="26" t="s">
        <v>26</v>
      </c>
      <c r="G9" s="14">
        <v>0</v>
      </c>
      <c r="H9" s="92">
        <f t="shared" si="0"/>
        <v>0</v>
      </c>
      <c r="I9" s="60"/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 t="shared" si="0"/>
        <v>0</v>
      </c>
      <c r="I10" s="60"/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 t="shared" si="0"/>
        <v>0</v>
      </c>
      <c r="I11" s="60"/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187</v>
      </c>
      <c r="B12" s="113">
        <f>IF(B9=0,0,C12/B9)</f>
        <v>0</v>
      </c>
      <c r="C12" s="114">
        <v>0</v>
      </c>
      <c r="E12" s="29" t="s">
        <v>74</v>
      </c>
      <c r="F12" s="26" t="s">
        <v>29</v>
      </c>
      <c r="G12" s="14">
        <v>0</v>
      </c>
      <c r="H12" s="92">
        <f t="shared" si="0"/>
        <v>0</v>
      </c>
      <c r="I12" s="60"/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31">
        <f>AVERAGE(B10:B12)</f>
        <v>0</v>
      </c>
      <c r="C13" s="132"/>
      <c r="E13" s="29" t="s">
        <v>75</v>
      </c>
      <c r="F13" s="26" t="s">
        <v>30</v>
      </c>
      <c r="G13" s="14">
        <v>0</v>
      </c>
      <c r="H13" s="92">
        <f t="shared" si="0"/>
        <v>0</v>
      </c>
      <c r="I13" s="60"/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2"/>
        <v>0</v>
      </c>
      <c r="E14" s="29" t="s">
        <v>76</v>
      </c>
      <c r="F14" s="26" t="s">
        <v>31</v>
      </c>
      <c r="G14" s="14">
        <v>0</v>
      </c>
      <c r="H14" s="92">
        <f t="shared" si="0"/>
        <v>0</v>
      </c>
      <c r="I14" s="60"/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0</v>
      </c>
      <c r="C15" s="12">
        <f>IF(B$3=0,0,B15/B$3)</f>
        <v>0</v>
      </c>
      <c r="E15" s="29" t="s">
        <v>77</v>
      </c>
      <c r="F15" s="26" t="s">
        <v>32</v>
      </c>
      <c r="G15" s="14">
        <v>0</v>
      </c>
      <c r="H15" s="92">
        <f t="shared" si="0"/>
        <v>0</v>
      </c>
      <c r="I15" s="60"/>
      <c r="N15" s="77"/>
      <c r="O15" s="86"/>
      <c r="P15" s="80"/>
      <c r="Q15" s="71"/>
    </row>
    <row r="16" spans="1:17" x14ac:dyDescent="0.45">
      <c r="A16" s="21" t="s">
        <v>118</v>
      </c>
      <c r="B16" s="14">
        <v>0</v>
      </c>
      <c r="C16" s="8">
        <f>IF(B$3=0,0,B16/B$3)</f>
        <v>0</v>
      </c>
      <c r="E16" s="29" t="s">
        <v>78</v>
      </c>
      <c r="F16" s="26" t="s">
        <v>33</v>
      </c>
      <c r="G16" s="14">
        <v>0</v>
      </c>
      <c r="H16" s="92">
        <f t="shared" si="0"/>
        <v>0</v>
      </c>
      <c r="I16" s="60"/>
    </row>
    <row r="17" spans="1:9" x14ac:dyDescent="0.45">
      <c r="A17" s="20" t="s">
        <v>123</v>
      </c>
      <c r="B17" s="13">
        <f>B23</f>
        <v>0</v>
      </c>
      <c r="C17" s="6">
        <f>IF(B$15=0,0,B17/B$15)</f>
        <v>0</v>
      </c>
      <c r="E17" s="29" t="s">
        <v>79</v>
      </c>
      <c r="F17" s="26" t="s">
        <v>34</v>
      </c>
      <c r="G17" s="14">
        <v>0</v>
      </c>
      <c r="H17" s="92">
        <f t="shared" si="0"/>
        <v>0</v>
      </c>
      <c r="I17" s="60"/>
    </row>
    <row r="18" spans="1:9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 t="shared" si="0"/>
        <v>0</v>
      </c>
      <c r="I18" s="60"/>
    </row>
    <row r="19" spans="1:9" x14ac:dyDescent="0.45">
      <c r="A19" s="20" t="s">
        <v>10</v>
      </c>
      <c r="B19" s="13">
        <f>B22+B21</f>
        <v>0</v>
      </c>
      <c r="C19" s="6">
        <f>IF(B$3=0,0,B19/B$3)</f>
        <v>0</v>
      </c>
      <c r="E19" s="29" t="s">
        <v>81</v>
      </c>
      <c r="F19" s="26" t="s">
        <v>36</v>
      </c>
      <c r="G19" s="14">
        <v>0</v>
      </c>
      <c r="H19" s="92">
        <f t="shared" si="0"/>
        <v>0</v>
      </c>
      <c r="I19" s="60"/>
    </row>
    <row r="20" spans="1:9" x14ac:dyDescent="0.45">
      <c r="A20" s="21" t="s">
        <v>13</v>
      </c>
      <c r="B20" s="14">
        <v>0</v>
      </c>
      <c r="C20" s="8">
        <f>IF(B$3=0,0,B20/B$3)</f>
        <v>0</v>
      </c>
      <c r="E20" s="29" t="s">
        <v>82</v>
      </c>
      <c r="F20" s="26" t="s">
        <v>37</v>
      </c>
      <c r="G20" s="14">
        <v>0</v>
      </c>
      <c r="H20" s="92">
        <f t="shared" si="0"/>
        <v>0</v>
      </c>
      <c r="I20" s="60"/>
    </row>
    <row r="21" spans="1:9" x14ac:dyDescent="0.45">
      <c r="A21" s="21" t="s">
        <v>12</v>
      </c>
      <c r="B21" s="14">
        <v>0</v>
      </c>
      <c r="C21" s="8">
        <f>IF(B$19=0,0,B21/B$19)</f>
        <v>0</v>
      </c>
      <c r="E21" s="29" t="s">
        <v>83</v>
      </c>
      <c r="F21" s="26" t="s">
        <v>38</v>
      </c>
      <c r="G21" s="14">
        <v>0</v>
      </c>
      <c r="H21" s="92">
        <f t="shared" si="0"/>
        <v>0</v>
      </c>
      <c r="I21" s="60"/>
    </row>
    <row r="22" spans="1:9" x14ac:dyDescent="0.45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 t="shared" si="0"/>
        <v>0</v>
      </c>
      <c r="I22" s="60"/>
    </row>
    <row r="23" spans="1:9" x14ac:dyDescent="0.45">
      <c r="A23" s="21" t="s">
        <v>184</v>
      </c>
      <c r="B23" s="14">
        <v>0</v>
      </c>
      <c r="C23" s="8">
        <f>IF(B$19=0,0,B23/B$19)</f>
        <v>0</v>
      </c>
      <c r="E23" s="29" t="s">
        <v>85</v>
      </c>
      <c r="F23" s="26" t="s">
        <v>40</v>
      </c>
      <c r="G23" s="14">
        <v>0</v>
      </c>
      <c r="H23" s="92">
        <f t="shared" si="0"/>
        <v>0</v>
      </c>
      <c r="I23" s="60"/>
    </row>
    <row r="24" spans="1:9" x14ac:dyDescent="0.45">
      <c r="A24" s="21" t="s">
        <v>182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 t="shared" si="0"/>
        <v>0</v>
      </c>
      <c r="I24" s="60"/>
    </row>
    <row r="25" spans="1:9" x14ac:dyDescent="0.45">
      <c r="A25" s="21" t="s">
        <v>183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 t="shared" si="0"/>
        <v>0</v>
      </c>
      <c r="I25" s="60"/>
    </row>
    <row r="26" spans="1:9" x14ac:dyDescent="0.45">
      <c r="A26" s="21" t="s">
        <v>5</v>
      </c>
      <c r="B26" s="18">
        <f>IF(B$19=0,0,C26/B$19)</f>
        <v>0</v>
      </c>
      <c r="C26" s="10">
        <v>0</v>
      </c>
      <c r="E26" s="29" t="s">
        <v>88</v>
      </c>
      <c r="F26" s="26" t="s">
        <v>43</v>
      </c>
      <c r="G26" s="14">
        <v>0</v>
      </c>
      <c r="H26" s="92">
        <f t="shared" si="0"/>
        <v>0</v>
      </c>
      <c r="I26" s="60"/>
    </row>
    <row r="27" spans="1:9" x14ac:dyDescent="0.45">
      <c r="A27" s="22" t="s">
        <v>166</v>
      </c>
      <c r="B27" s="99">
        <f>IF($B$19-B$18=0,0,C27/($B$19-B$18))</f>
        <v>0</v>
      </c>
      <c r="C27" s="100">
        <v>0</v>
      </c>
      <c r="E27" s="29" t="s">
        <v>89</v>
      </c>
      <c r="F27" s="26" t="s">
        <v>44</v>
      </c>
      <c r="G27" s="14">
        <v>0</v>
      </c>
      <c r="H27" s="92">
        <f t="shared" si="0"/>
        <v>0</v>
      </c>
      <c r="I27" s="60"/>
    </row>
    <row r="28" spans="1:9" x14ac:dyDescent="0.45">
      <c r="A28" s="22" t="s">
        <v>167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 t="shared" si="0"/>
        <v>0</v>
      </c>
      <c r="I28" s="60"/>
    </row>
    <row r="29" spans="1:9" x14ac:dyDescent="0.45">
      <c r="A29" s="22" t="s">
        <v>165</v>
      </c>
      <c r="B29" s="99">
        <f>IF(B$20=0,0,C29/B$20)</f>
        <v>0</v>
      </c>
      <c r="C29" s="100">
        <v>0</v>
      </c>
      <c r="E29" s="29" t="s">
        <v>91</v>
      </c>
      <c r="F29" s="26" t="s">
        <v>46</v>
      </c>
      <c r="G29" s="14">
        <v>0</v>
      </c>
      <c r="H29" s="92">
        <f t="shared" si="0"/>
        <v>0</v>
      </c>
      <c r="I29" s="60"/>
    </row>
    <row r="30" spans="1:9" x14ac:dyDescent="0.45">
      <c r="A30" s="21" t="s">
        <v>158</v>
      </c>
      <c r="B30" s="14">
        <v>0</v>
      </c>
      <c r="C30" s="94">
        <v>0</v>
      </c>
      <c r="E30" s="29" t="s">
        <v>92</v>
      </c>
      <c r="F30" s="26" t="s">
        <v>47</v>
      </c>
      <c r="G30" s="14">
        <v>0</v>
      </c>
      <c r="H30" s="92">
        <f t="shared" si="0"/>
        <v>0</v>
      </c>
      <c r="I30" s="60"/>
    </row>
    <row r="31" spans="1:9" x14ac:dyDescent="0.45">
      <c r="A31" s="21" t="s">
        <v>159</v>
      </c>
      <c r="B31" s="14">
        <v>0</v>
      </c>
      <c r="C31" s="94">
        <v>0</v>
      </c>
      <c r="E31" s="29" t="s">
        <v>93</v>
      </c>
      <c r="F31" s="26" t="s">
        <v>48</v>
      </c>
      <c r="G31" s="14">
        <v>0</v>
      </c>
      <c r="H31" s="92">
        <f t="shared" si="0"/>
        <v>0</v>
      </c>
      <c r="I31" s="60"/>
    </row>
    <row r="32" spans="1:9" x14ac:dyDescent="0.45">
      <c r="A32" s="56" t="s">
        <v>136</v>
      </c>
      <c r="B32" s="133">
        <v>0</v>
      </c>
      <c r="C32" s="134"/>
      <c r="E32" s="29" t="s">
        <v>94</v>
      </c>
      <c r="F32" s="26" t="s">
        <v>49</v>
      </c>
      <c r="G32" s="14">
        <v>0</v>
      </c>
      <c r="H32" s="92">
        <f t="shared" si="0"/>
        <v>0</v>
      </c>
      <c r="I32" s="60"/>
    </row>
    <row r="33" spans="1:9" x14ac:dyDescent="0.45">
      <c r="A33" s="24" t="s">
        <v>181</v>
      </c>
      <c r="B33" s="135">
        <v>-1000000</v>
      </c>
      <c r="C33" s="136"/>
      <c r="E33" s="29" t="s">
        <v>95</v>
      </c>
      <c r="F33" s="26" t="s">
        <v>50</v>
      </c>
      <c r="G33" s="14">
        <v>0</v>
      </c>
      <c r="H33" s="92">
        <f t="shared" si="0"/>
        <v>0</v>
      </c>
      <c r="I33" s="60"/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 t="shared" si="0"/>
        <v>0</v>
      </c>
      <c r="I34" s="60"/>
    </row>
    <row r="35" spans="1:9" x14ac:dyDescent="0.45">
      <c r="E35" s="29" t="s">
        <v>97</v>
      </c>
      <c r="F35" s="26" t="s">
        <v>52</v>
      </c>
      <c r="G35" s="14">
        <v>0</v>
      </c>
      <c r="H35" s="92">
        <f t="shared" si="0"/>
        <v>0</v>
      </c>
      <c r="I35" s="60"/>
    </row>
    <row r="36" spans="1:9" x14ac:dyDescent="0.45">
      <c r="A36" s="56" t="s">
        <v>172</v>
      </c>
      <c r="B36" s="105">
        <v>0</v>
      </c>
      <c r="C36" s="102">
        <f t="shared" ref="C36:C48" si="3">IF(B$19=0,0,B36/B$19)</f>
        <v>0</v>
      </c>
      <c r="E36" s="29" t="s">
        <v>98</v>
      </c>
      <c r="F36" s="26" t="s">
        <v>53</v>
      </c>
      <c r="G36" s="14">
        <v>0</v>
      </c>
      <c r="H36" s="92">
        <f t="shared" si="0"/>
        <v>0</v>
      </c>
      <c r="I36" s="60"/>
    </row>
    <row r="37" spans="1:9" x14ac:dyDescent="0.45">
      <c r="A37" s="21" t="s">
        <v>168</v>
      </c>
      <c r="B37" s="14">
        <v>0</v>
      </c>
      <c r="C37" s="8">
        <f t="shared" si="3"/>
        <v>0</v>
      </c>
      <c r="E37" s="29" t="s">
        <v>99</v>
      </c>
      <c r="F37" s="26" t="s">
        <v>54</v>
      </c>
      <c r="G37" s="14">
        <v>0</v>
      </c>
      <c r="H37" s="92">
        <f t="shared" si="0"/>
        <v>0</v>
      </c>
      <c r="I37" s="60"/>
    </row>
    <row r="38" spans="1:9" x14ac:dyDescent="0.45">
      <c r="A38" s="21" t="s">
        <v>169</v>
      </c>
      <c r="B38" s="106">
        <v>0</v>
      </c>
      <c r="C38" s="8">
        <f t="shared" si="3"/>
        <v>0</v>
      </c>
      <c r="E38" s="29" t="s">
        <v>100</v>
      </c>
      <c r="F38" s="26" t="s">
        <v>55</v>
      </c>
      <c r="G38" s="14">
        <v>0</v>
      </c>
      <c r="H38" s="92">
        <f t="shared" si="0"/>
        <v>0</v>
      </c>
      <c r="I38" s="60"/>
    </row>
    <row r="39" spans="1:9" x14ac:dyDescent="0.45">
      <c r="A39" s="21" t="s">
        <v>170</v>
      </c>
      <c r="B39" s="106">
        <v>0</v>
      </c>
      <c r="C39" s="8">
        <f t="shared" si="3"/>
        <v>0</v>
      </c>
      <c r="E39" s="29" t="s">
        <v>101</v>
      </c>
      <c r="F39" s="26" t="s">
        <v>56</v>
      </c>
      <c r="G39" s="14">
        <v>0</v>
      </c>
      <c r="H39" s="92">
        <f t="shared" si="0"/>
        <v>0</v>
      </c>
      <c r="I39" s="60"/>
    </row>
    <row r="40" spans="1:9" x14ac:dyDescent="0.45">
      <c r="A40" s="21" t="s">
        <v>171</v>
      </c>
      <c r="B40" s="106">
        <v>0</v>
      </c>
      <c r="C40" s="8">
        <f t="shared" si="3"/>
        <v>0</v>
      </c>
      <c r="E40" s="29" t="s">
        <v>102</v>
      </c>
      <c r="F40" s="26" t="s">
        <v>57</v>
      </c>
      <c r="G40" s="14">
        <v>0</v>
      </c>
      <c r="H40" s="92">
        <f t="shared" si="0"/>
        <v>0</v>
      </c>
      <c r="I40" s="60"/>
    </row>
    <row r="41" spans="1:9" x14ac:dyDescent="0.45">
      <c r="A41" s="21" t="s">
        <v>173</v>
      </c>
      <c r="B41" s="106">
        <v>0</v>
      </c>
      <c r="C41" s="8">
        <f t="shared" si="3"/>
        <v>0</v>
      </c>
      <c r="E41" s="29" t="s">
        <v>103</v>
      </c>
      <c r="F41" s="26" t="s">
        <v>58</v>
      </c>
      <c r="G41" s="14">
        <v>0</v>
      </c>
      <c r="H41" s="92">
        <f t="shared" si="0"/>
        <v>0</v>
      </c>
      <c r="I41" s="60"/>
    </row>
    <row r="42" spans="1:9" x14ac:dyDescent="0.45">
      <c r="A42" s="21" t="s">
        <v>174</v>
      </c>
      <c r="B42" s="106">
        <v>0</v>
      </c>
      <c r="C42" s="8">
        <f t="shared" si="3"/>
        <v>0</v>
      </c>
      <c r="E42" s="29" t="s">
        <v>104</v>
      </c>
      <c r="F42" s="26" t="s">
        <v>59</v>
      </c>
      <c r="G42" s="14">
        <v>0</v>
      </c>
      <c r="H42" s="92">
        <f t="shared" si="0"/>
        <v>0</v>
      </c>
      <c r="I42" s="60"/>
    </row>
    <row r="43" spans="1:9" x14ac:dyDescent="0.45">
      <c r="A43" s="21" t="s">
        <v>175</v>
      </c>
      <c r="B43" s="106">
        <v>0</v>
      </c>
      <c r="C43" s="8">
        <f t="shared" si="3"/>
        <v>0</v>
      </c>
      <c r="E43" s="29" t="s">
        <v>105</v>
      </c>
      <c r="F43" s="26" t="s">
        <v>112</v>
      </c>
      <c r="G43" s="14">
        <v>0</v>
      </c>
      <c r="H43" s="92">
        <f t="shared" si="0"/>
        <v>0</v>
      </c>
      <c r="I43" s="60"/>
    </row>
    <row r="44" spans="1:9" x14ac:dyDescent="0.45">
      <c r="A44" s="21" t="s">
        <v>176</v>
      </c>
      <c r="B44" s="106">
        <v>0</v>
      </c>
      <c r="C44" s="8">
        <f t="shared" si="3"/>
        <v>0</v>
      </c>
      <c r="E44" s="29" t="s">
        <v>106</v>
      </c>
      <c r="F44" s="26" t="s">
        <v>113</v>
      </c>
      <c r="G44" s="14">
        <v>0</v>
      </c>
      <c r="H44" s="92">
        <f t="shared" si="0"/>
        <v>0</v>
      </c>
      <c r="I44" s="60"/>
    </row>
    <row r="45" spans="1:9" x14ac:dyDescent="0.45">
      <c r="A45" s="21" t="s">
        <v>177</v>
      </c>
      <c r="B45" s="106">
        <v>0</v>
      </c>
      <c r="C45" s="8">
        <f t="shared" si="3"/>
        <v>0</v>
      </c>
      <c r="E45" s="29" t="s">
        <v>107</v>
      </c>
      <c r="F45" s="26" t="s">
        <v>114</v>
      </c>
      <c r="G45" s="14">
        <v>0</v>
      </c>
      <c r="H45" s="92">
        <f t="shared" si="0"/>
        <v>0</v>
      </c>
      <c r="I45" s="60"/>
    </row>
    <row r="46" spans="1:9" x14ac:dyDescent="0.45">
      <c r="A46" s="21" t="s">
        <v>178</v>
      </c>
      <c r="B46" s="106">
        <v>0</v>
      </c>
      <c r="C46" s="8">
        <f t="shared" si="3"/>
        <v>0</v>
      </c>
      <c r="E46" s="29" t="s">
        <v>108</v>
      </c>
      <c r="F46" s="26" t="s">
        <v>60</v>
      </c>
      <c r="G46" s="14">
        <v>0</v>
      </c>
      <c r="H46" s="92">
        <f t="shared" si="0"/>
        <v>0</v>
      </c>
      <c r="I46" s="60"/>
    </row>
    <row r="47" spans="1:9" x14ac:dyDescent="0.45">
      <c r="A47" s="21" t="s">
        <v>179</v>
      </c>
      <c r="B47" s="106">
        <v>0</v>
      </c>
      <c r="C47" s="8">
        <f t="shared" si="3"/>
        <v>0</v>
      </c>
      <c r="E47" s="29" t="s">
        <v>109</v>
      </c>
      <c r="F47" s="26" t="s">
        <v>61</v>
      </c>
      <c r="G47" s="14">
        <v>0</v>
      </c>
      <c r="H47" s="92">
        <f t="shared" si="0"/>
        <v>0</v>
      </c>
      <c r="I47" s="60"/>
    </row>
    <row r="48" spans="1:9" x14ac:dyDescent="0.45">
      <c r="A48" s="23" t="s">
        <v>180</v>
      </c>
      <c r="B48" s="101">
        <v>0</v>
      </c>
      <c r="C48" s="11">
        <f t="shared" si="3"/>
        <v>0</v>
      </c>
      <c r="E48" s="29" t="s">
        <v>110</v>
      </c>
      <c r="F48" s="26" t="s">
        <v>62</v>
      </c>
      <c r="G48" s="14">
        <v>0</v>
      </c>
      <c r="H48" s="92">
        <f t="shared" si="0"/>
        <v>0</v>
      </c>
      <c r="I48" s="60"/>
    </row>
    <row r="49" spans="5:9" x14ac:dyDescent="0.45">
      <c r="E49" s="29" t="s">
        <v>111</v>
      </c>
      <c r="F49" s="26" t="s">
        <v>63</v>
      </c>
      <c r="G49" s="14">
        <v>0</v>
      </c>
      <c r="H49" s="92">
        <f t="shared" si="0"/>
        <v>0</v>
      </c>
      <c r="I49" s="60"/>
    </row>
    <row r="50" spans="5:9" x14ac:dyDescent="0.45">
      <c r="E50" s="29" t="s">
        <v>156</v>
      </c>
      <c r="F50" s="26" t="s">
        <v>157</v>
      </c>
      <c r="G50" s="14">
        <v>0</v>
      </c>
      <c r="H50" s="92">
        <f t="shared" si="0"/>
        <v>0</v>
      </c>
      <c r="I50" s="60"/>
    </row>
    <row r="51" spans="5:9" x14ac:dyDescent="0.45">
      <c r="E51" s="95" t="s">
        <v>160</v>
      </c>
      <c r="F51" s="96" t="s">
        <v>161</v>
      </c>
      <c r="G51" s="15">
        <v>0</v>
      </c>
      <c r="H51" s="97">
        <f t="shared" si="0"/>
        <v>0</v>
      </c>
      <c r="I51" s="98"/>
    </row>
    <row r="52" spans="5:9" x14ac:dyDescent="0.45">
      <c r="E52" s="30" t="s">
        <v>162</v>
      </c>
      <c r="F52" s="27" t="s">
        <v>163</v>
      </c>
      <c r="G52" s="16">
        <v>0</v>
      </c>
      <c r="H52" s="93">
        <f t="shared" si="0"/>
        <v>0</v>
      </c>
      <c r="I52" s="61"/>
    </row>
  </sheetData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1"/>
  <sheetViews>
    <sheetView showGridLines="0" tabSelected="1" zoomScale="130" zoomScaleNormal="130" workbookViewId="0"/>
  </sheetViews>
  <sheetFormatPr defaultColWidth="9" defaultRowHeight="18" x14ac:dyDescent="0.45"/>
  <cols>
    <col min="1" max="1" width="6" style="48" customWidth="1"/>
    <col min="2" max="2" width="10.69921875" style="51" customWidth="1"/>
    <col min="3" max="3" width="10.69921875" style="118" customWidth="1"/>
    <col min="4" max="4" width="10.69921875" style="49" customWidth="1"/>
    <col min="5" max="5" width="10.69921875" style="50" customWidth="1"/>
    <col min="6" max="6" width="10.69921875" style="51" customWidth="1"/>
    <col min="7" max="7" width="10.69921875" style="63" customWidth="1"/>
    <col min="8" max="8" width="10.69921875" style="51" customWidth="1"/>
    <col min="9" max="9" width="10.69921875" style="63" customWidth="1"/>
    <col min="10" max="10" width="10.69921875" style="51" customWidth="1"/>
    <col min="11" max="11" width="10.69921875" style="52" customWidth="1"/>
    <col min="12" max="12" width="10.69921875" style="51" customWidth="1"/>
    <col min="13" max="13" width="10.69921875" style="53" customWidth="1"/>
    <col min="14" max="14" width="10.69921875" style="51" customWidth="1"/>
    <col min="15" max="15" width="10.69921875" style="53" customWidth="1"/>
    <col min="16" max="16" width="10.69921875" style="51" customWidth="1"/>
    <col min="17" max="17" width="10.69921875" style="54" customWidth="1"/>
    <col min="18" max="18" width="10.69921875" style="51" customWidth="1"/>
    <col min="19" max="19" width="10.69921875" style="54" customWidth="1"/>
    <col min="20" max="20" width="10.69921875" style="51" customWidth="1"/>
    <col min="21" max="21" width="10.69921875" style="55" customWidth="1"/>
    <col min="22" max="22" width="10.69921875" style="51" customWidth="1"/>
    <col min="23" max="23" width="10.69921875" style="55" customWidth="1"/>
    <col min="24" max="24" width="10.69921875" style="51" customWidth="1"/>
    <col min="25" max="25" width="10.69921875" style="53" customWidth="1"/>
    <col min="26" max="26" width="10.69921875" style="51" customWidth="1"/>
    <col min="27" max="27" width="10.69921875" style="54" customWidth="1"/>
    <col min="28" max="28" width="10.69921875" style="51" customWidth="1"/>
    <col min="29" max="29" width="10.69921875" style="54" customWidth="1"/>
    <col min="30" max="30" width="10.69921875" style="51" customWidth="1"/>
    <col min="31" max="31" width="10.69921875" style="54" customWidth="1"/>
    <col min="32" max="32" width="10.69921875" style="51" customWidth="1"/>
    <col min="33" max="33" width="10.69921875" style="54" customWidth="1"/>
    <col min="34" max="34" width="10.69921875" style="51" customWidth="1"/>
    <col min="35" max="35" width="10.69921875" style="54" customWidth="1"/>
    <col min="36" max="36" width="10.69921875" style="51" customWidth="1"/>
    <col min="37" max="37" width="10.69921875" style="58" customWidth="1"/>
    <col min="38" max="16384" width="9" style="39"/>
  </cols>
  <sheetData>
    <row r="1" spans="1:37" x14ac:dyDescent="0.45">
      <c r="A1" s="38"/>
      <c r="B1" s="151" t="s">
        <v>9</v>
      </c>
      <c r="C1" s="152"/>
      <c r="D1" s="147" t="s">
        <v>6</v>
      </c>
      <c r="E1" s="148"/>
      <c r="F1" s="147" t="s">
        <v>7</v>
      </c>
      <c r="G1" s="148"/>
      <c r="H1" s="151" t="s">
        <v>188</v>
      </c>
      <c r="I1" s="152"/>
      <c r="J1" s="147" t="s">
        <v>15</v>
      </c>
      <c r="K1" s="148"/>
      <c r="L1" s="147" t="s">
        <v>14</v>
      </c>
      <c r="M1" s="148"/>
      <c r="N1" s="147" t="s">
        <v>150</v>
      </c>
      <c r="O1" s="148"/>
      <c r="P1" s="147" t="s">
        <v>143</v>
      </c>
      <c r="Q1" s="148"/>
      <c r="R1" s="147" t="s">
        <v>144</v>
      </c>
      <c r="S1" s="148"/>
      <c r="T1" s="147" t="s">
        <v>5</v>
      </c>
      <c r="U1" s="148"/>
      <c r="V1" s="147" t="s">
        <v>16</v>
      </c>
      <c r="W1" s="148"/>
      <c r="X1" s="147" t="s">
        <v>17</v>
      </c>
      <c r="Y1" s="148"/>
      <c r="Z1" s="147" t="s">
        <v>122</v>
      </c>
      <c r="AA1" s="148"/>
      <c r="AB1" s="147" t="s">
        <v>119</v>
      </c>
      <c r="AC1" s="148"/>
      <c r="AD1" s="147" t="s">
        <v>125</v>
      </c>
      <c r="AE1" s="148"/>
      <c r="AF1" s="147" t="s">
        <v>145</v>
      </c>
      <c r="AG1" s="148"/>
      <c r="AH1" s="147" t="s">
        <v>138</v>
      </c>
      <c r="AI1" s="148"/>
      <c r="AJ1" s="147" t="s">
        <v>181</v>
      </c>
      <c r="AK1" s="148"/>
    </row>
    <row r="2" spans="1:37" x14ac:dyDescent="0.45">
      <c r="A2" s="38" t="s">
        <v>149</v>
      </c>
      <c r="B2" s="149">
        <v>-0.21668374716505667</v>
      </c>
      <c r="C2" s="150"/>
      <c r="D2" s="153"/>
      <c r="E2" s="154"/>
      <c r="F2" s="153"/>
      <c r="G2" s="154"/>
      <c r="H2" s="149">
        <v>0.99105532859826662</v>
      </c>
      <c r="I2" s="150"/>
      <c r="J2" s="149">
        <v>0.99975237437196574</v>
      </c>
      <c r="K2" s="150"/>
      <c r="L2" s="149">
        <v>0.98304292449566821</v>
      </c>
      <c r="M2" s="150"/>
      <c r="N2" s="149">
        <v>0.96117308400604473</v>
      </c>
      <c r="O2" s="150"/>
      <c r="P2" s="149">
        <v>0.93960875157403279</v>
      </c>
      <c r="Q2" s="150"/>
      <c r="R2" s="149">
        <v>0.22402525537262932</v>
      </c>
      <c r="S2" s="150"/>
      <c r="T2" s="149">
        <v>0.35336591192670219</v>
      </c>
      <c r="U2" s="150"/>
      <c r="V2" s="149">
        <v>-0.23143173246725671</v>
      </c>
      <c r="W2" s="150"/>
      <c r="X2" s="149">
        <v>0.85370027080877242</v>
      </c>
      <c r="Y2" s="150"/>
      <c r="Z2" s="149">
        <v>-0.42318439361769611</v>
      </c>
      <c r="AA2" s="150"/>
      <c r="AB2" s="149">
        <v>-0.54522172501267441</v>
      </c>
      <c r="AC2" s="150"/>
      <c r="AD2" s="149">
        <v>0.90255241824776145</v>
      </c>
      <c r="AE2" s="150"/>
      <c r="AF2" s="149">
        <v>0.85824940923016613</v>
      </c>
      <c r="AG2" s="150"/>
      <c r="AH2" s="149">
        <v>0.90973646870898561</v>
      </c>
      <c r="AI2" s="150"/>
      <c r="AJ2" s="149">
        <v>0.96806743464103795</v>
      </c>
      <c r="AK2" s="150"/>
    </row>
    <row r="3" spans="1:37" x14ac:dyDescent="0.45">
      <c r="A3" s="40">
        <v>1</v>
      </c>
      <c r="B3" s="43" t="s">
        <v>139</v>
      </c>
      <c r="C3" s="117">
        <v>22</v>
      </c>
      <c r="D3" s="41" t="s">
        <v>126</v>
      </c>
      <c r="E3" s="42">
        <v>273.8</v>
      </c>
      <c r="F3" s="43" t="s">
        <v>193</v>
      </c>
      <c r="G3" s="62">
        <v>27.883333333333336</v>
      </c>
      <c r="H3" s="43" t="s">
        <v>205</v>
      </c>
      <c r="I3" s="62">
        <v>12.850000000000001</v>
      </c>
      <c r="J3" s="43" t="s">
        <v>193</v>
      </c>
      <c r="K3" s="44">
        <v>1.3333333333333333</v>
      </c>
      <c r="L3" s="43" t="s">
        <v>193</v>
      </c>
      <c r="M3" s="45">
        <v>0.83333333333333337</v>
      </c>
      <c r="N3" s="43" t="s">
        <v>193</v>
      </c>
      <c r="O3" s="45">
        <v>0.16666666666666666</v>
      </c>
      <c r="P3" s="43" t="s">
        <v>205</v>
      </c>
      <c r="Q3" s="46">
        <v>0.4</v>
      </c>
      <c r="R3" s="43" t="s">
        <v>196</v>
      </c>
      <c r="S3" s="46">
        <v>0.05</v>
      </c>
      <c r="T3" s="43" t="s">
        <v>164</v>
      </c>
      <c r="U3" s="47">
        <v>11923.809523809523</v>
      </c>
      <c r="V3" s="43" t="s">
        <v>196</v>
      </c>
      <c r="W3" s="47">
        <v>-3900</v>
      </c>
      <c r="X3" s="43" t="s">
        <v>164</v>
      </c>
      <c r="Y3" s="45">
        <v>0</v>
      </c>
      <c r="Z3" s="43" t="s">
        <v>194</v>
      </c>
      <c r="AA3" s="46">
        <v>0.34615384615384615</v>
      </c>
      <c r="AB3" s="43" t="s">
        <v>193</v>
      </c>
      <c r="AC3" s="46">
        <v>0.36956521739130432</v>
      </c>
      <c r="AD3" s="43" t="s">
        <v>196</v>
      </c>
      <c r="AE3" s="46">
        <v>0.75</v>
      </c>
      <c r="AF3" s="43" t="s">
        <v>126</v>
      </c>
      <c r="AG3" s="46">
        <v>0.53846153846153844</v>
      </c>
      <c r="AH3" s="43" t="s">
        <v>189</v>
      </c>
      <c r="AI3" s="46">
        <v>1</v>
      </c>
      <c r="AJ3" s="43" t="s">
        <v>139</v>
      </c>
      <c r="AK3" s="57">
        <v>106500</v>
      </c>
    </row>
    <row r="4" spans="1:37" x14ac:dyDescent="0.45">
      <c r="A4" s="48">
        <v>2</v>
      </c>
      <c r="B4" s="51" t="s">
        <v>192</v>
      </c>
      <c r="C4" s="118">
        <v>18</v>
      </c>
      <c r="D4" s="49" t="s">
        <v>193</v>
      </c>
      <c r="E4" s="50">
        <v>167.3</v>
      </c>
      <c r="F4" s="51" t="s">
        <v>126</v>
      </c>
      <c r="G4" s="63">
        <v>17.112500000000001</v>
      </c>
      <c r="H4" s="51" t="s">
        <v>126</v>
      </c>
      <c r="I4" s="63">
        <v>3.7969444444444442</v>
      </c>
      <c r="J4" s="51" t="s">
        <v>126</v>
      </c>
      <c r="K4" s="52">
        <v>1.6875</v>
      </c>
      <c r="L4" s="51" t="s">
        <v>126</v>
      </c>
      <c r="M4" s="53">
        <v>0.5</v>
      </c>
      <c r="N4" s="51" t="s">
        <v>126</v>
      </c>
      <c r="O4" s="53">
        <v>0.1875</v>
      </c>
      <c r="P4" s="51" t="s">
        <v>193</v>
      </c>
      <c r="Q4" s="54">
        <v>0.39130434782608697</v>
      </c>
      <c r="R4" s="51" t="s">
        <v>193</v>
      </c>
      <c r="S4" s="54">
        <v>0.10869565217391304</v>
      </c>
      <c r="T4" s="51" t="s">
        <v>193</v>
      </c>
      <c r="U4" s="55">
        <v>10283.333333333334</v>
      </c>
      <c r="V4" s="51" t="s">
        <v>193</v>
      </c>
      <c r="W4" s="55">
        <v>-4980</v>
      </c>
      <c r="X4" s="51" t="s">
        <v>126</v>
      </c>
      <c r="Y4" s="53">
        <v>0</v>
      </c>
      <c r="Z4" s="51" t="s">
        <v>164</v>
      </c>
      <c r="AA4" s="54">
        <v>0.30120481927710846</v>
      </c>
      <c r="AB4" s="51" t="s">
        <v>192</v>
      </c>
      <c r="AC4" s="54">
        <v>0.22794117647058823</v>
      </c>
      <c r="AD4" s="51" t="s">
        <v>193</v>
      </c>
      <c r="AE4" s="54">
        <v>0.63636363636363635</v>
      </c>
      <c r="AF4" s="51" t="s">
        <v>139</v>
      </c>
      <c r="AG4" s="54">
        <v>0.37</v>
      </c>
      <c r="AH4" s="51" t="s">
        <v>193</v>
      </c>
      <c r="AI4" s="54">
        <v>0.5</v>
      </c>
      <c r="AJ4" s="51" t="s">
        <v>193</v>
      </c>
      <c r="AK4" s="58">
        <v>106500</v>
      </c>
    </row>
    <row r="5" spans="1:37" x14ac:dyDescent="0.45">
      <c r="A5" s="48">
        <v>3</v>
      </c>
      <c r="B5" s="51" t="s">
        <v>126</v>
      </c>
      <c r="C5" s="118">
        <v>16</v>
      </c>
      <c r="D5" s="49" t="s">
        <v>164</v>
      </c>
      <c r="E5" s="50">
        <v>26</v>
      </c>
      <c r="F5" s="51" t="s">
        <v>205</v>
      </c>
      <c r="G5" s="63">
        <v>2.9666666666666686</v>
      </c>
      <c r="H5" s="51" t="s">
        <v>139</v>
      </c>
      <c r="I5" s="63">
        <v>0</v>
      </c>
      <c r="J5" s="51" t="s">
        <v>164</v>
      </c>
      <c r="K5" s="52">
        <v>1.9</v>
      </c>
      <c r="L5" s="51" t="s">
        <v>164</v>
      </c>
      <c r="M5" s="53">
        <v>0.4</v>
      </c>
      <c r="N5" s="51" t="s">
        <v>164</v>
      </c>
      <c r="O5" s="53">
        <v>0.3</v>
      </c>
      <c r="P5" s="51" t="s">
        <v>126</v>
      </c>
      <c r="Q5" s="54">
        <v>0.38400000000000001</v>
      </c>
      <c r="R5" s="51" t="s">
        <v>126</v>
      </c>
      <c r="S5" s="54">
        <v>0.128</v>
      </c>
      <c r="T5" s="51" t="s">
        <v>126</v>
      </c>
      <c r="U5" s="55">
        <v>9218.75</v>
      </c>
      <c r="V5" s="51" t="s">
        <v>189</v>
      </c>
      <c r="W5" s="55">
        <v>-6088.8888888888887</v>
      </c>
      <c r="X5" s="51" t="s">
        <v>189</v>
      </c>
      <c r="Y5" s="53">
        <v>0</v>
      </c>
      <c r="Z5" s="51" t="s">
        <v>192</v>
      </c>
      <c r="AA5" s="54">
        <v>0.26470588235294118</v>
      </c>
      <c r="AB5" s="51" t="s">
        <v>126</v>
      </c>
      <c r="AC5" s="54">
        <v>0.20799999999999999</v>
      </c>
      <c r="AD5" s="51" t="s">
        <v>126</v>
      </c>
      <c r="AE5" s="54">
        <v>0.6</v>
      </c>
      <c r="AF5" s="51" t="s">
        <v>193</v>
      </c>
      <c r="AG5" s="54">
        <v>0.35294117647058826</v>
      </c>
      <c r="AH5" s="51" t="s">
        <v>126</v>
      </c>
      <c r="AI5" s="54">
        <v>0.45833333333333331</v>
      </c>
      <c r="AJ5" s="51" t="s">
        <v>126</v>
      </c>
      <c r="AK5" s="58">
        <v>102700</v>
      </c>
    </row>
    <row r="6" spans="1:37" x14ac:dyDescent="0.45">
      <c r="A6" s="48">
        <v>4</v>
      </c>
      <c r="B6" s="51" t="s">
        <v>164</v>
      </c>
      <c r="C6" s="118">
        <v>10</v>
      </c>
      <c r="D6" s="49" t="s">
        <v>205</v>
      </c>
      <c r="E6" s="50">
        <v>8.9000000000000057</v>
      </c>
      <c r="F6" s="51" t="s">
        <v>164</v>
      </c>
      <c r="G6" s="63">
        <v>2.6</v>
      </c>
      <c r="H6" s="51" t="s">
        <v>164</v>
      </c>
      <c r="I6" s="63">
        <v>-0.81944444444444409</v>
      </c>
      <c r="J6" s="51" t="s">
        <v>139</v>
      </c>
      <c r="K6" s="52">
        <v>2</v>
      </c>
      <c r="L6" s="51" t="s">
        <v>139</v>
      </c>
      <c r="M6" s="53">
        <v>0.33333333333333331</v>
      </c>
      <c r="N6" s="51" t="s">
        <v>192</v>
      </c>
      <c r="O6" s="53">
        <v>0.33333333333333331</v>
      </c>
      <c r="P6" s="51" t="s">
        <v>139</v>
      </c>
      <c r="Q6" s="54">
        <v>0.28994082840236685</v>
      </c>
      <c r="R6" s="51" t="s">
        <v>194</v>
      </c>
      <c r="S6" s="54">
        <v>0.15384615384615385</v>
      </c>
      <c r="T6" s="51" t="s">
        <v>139</v>
      </c>
      <c r="U6" s="55">
        <v>8858.5034013605436</v>
      </c>
      <c r="V6" s="51" t="s">
        <v>164</v>
      </c>
      <c r="W6" s="55">
        <v>-6266.666666666667</v>
      </c>
      <c r="X6" s="51" t="s">
        <v>196</v>
      </c>
      <c r="Y6" s="53">
        <v>0</v>
      </c>
      <c r="Z6" s="51" t="s">
        <v>139</v>
      </c>
      <c r="AA6" s="54">
        <v>0.26429980276134124</v>
      </c>
      <c r="AB6" s="51" t="s">
        <v>139</v>
      </c>
      <c r="AC6" s="54">
        <v>0.19723865877712032</v>
      </c>
      <c r="AD6" s="51" t="s">
        <v>205</v>
      </c>
      <c r="AE6" s="54">
        <v>0.6</v>
      </c>
      <c r="AF6" s="51" t="s">
        <v>192</v>
      </c>
      <c r="AG6" s="54">
        <v>0.32258064516129031</v>
      </c>
      <c r="AH6" s="51" t="s">
        <v>139</v>
      </c>
      <c r="AI6" s="54">
        <v>0.41496598639455784</v>
      </c>
      <c r="AJ6" s="51" t="s">
        <v>205</v>
      </c>
      <c r="AK6" s="58">
        <v>93200</v>
      </c>
    </row>
    <row r="7" spans="1:37" x14ac:dyDescent="0.45">
      <c r="A7" s="48">
        <v>5</v>
      </c>
      <c r="B7" s="51" t="s">
        <v>194</v>
      </c>
      <c r="C7" s="118">
        <v>8</v>
      </c>
      <c r="D7" s="49" t="s">
        <v>139</v>
      </c>
      <c r="E7" s="50">
        <v>7.1054273576010019E-15</v>
      </c>
      <c r="F7" s="51" t="s">
        <v>139</v>
      </c>
      <c r="G7" s="63">
        <v>1.0765799026668185E-16</v>
      </c>
      <c r="H7" s="51" t="s">
        <v>193</v>
      </c>
      <c r="I7" s="63">
        <v>-1.2733333333333334</v>
      </c>
      <c r="J7" s="51" t="s">
        <v>192</v>
      </c>
      <c r="K7" s="52">
        <v>2.1111111111111112</v>
      </c>
      <c r="L7" s="51" t="s">
        <v>205</v>
      </c>
      <c r="M7" s="53">
        <v>0.33333333333333331</v>
      </c>
      <c r="N7" s="51" t="s">
        <v>139</v>
      </c>
      <c r="O7" s="53">
        <v>0.33333333333333331</v>
      </c>
      <c r="P7" s="51" t="s">
        <v>164</v>
      </c>
      <c r="Q7" s="54">
        <v>0.25301204819277107</v>
      </c>
      <c r="R7" s="51" t="s">
        <v>192</v>
      </c>
      <c r="S7" s="54">
        <v>0.15441176470588236</v>
      </c>
      <c r="T7" s="51" t="s">
        <v>205</v>
      </c>
      <c r="U7" s="55">
        <v>7870</v>
      </c>
      <c r="V7" s="51" t="s">
        <v>139</v>
      </c>
      <c r="W7" s="55">
        <v>-7543.0232558139533</v>
      </c>
      <c r="X7" s="51" t="s">
        <v>205</v>
      </c>
      <c r="Y7" s="53">
        <v>0</v>
      </c>
      <c r="Z7" s="51" t="s">
        <v>189</v>
      </c>
      <c r="AA7" s="54">
        <v>0.25</v>
      </c>
      <c r="AB7" s="51" t="s">
        <v>164</v>
      </c>
      <c r="AC7" s="54">
        <v>0.19277108433734941</v>
      </c>
      <c r="AD7" s="51" t="s">
        <v>139</v>
      </c>
      <c r="AE7" s="54">
        <v>0.5149253731343284</v>
      </c>
      <c r="AF7" s="51" t="s">
        <v>164</v>
      </c>
      <c r="AG7" s="54">
        <v>0.3125</v>
      </c>
      <c r="AH7" s="51" t="s">
        <v>205</v>
      </c>
      <c r="AI7" s="54">
        <v>0.4</v>
      </c>
      <c r="AJ7" s="51" t="s">
        <v>164</v>
      </c>
      <c r="AK7" s="58">
        <v>68500</v>
      </c>
    </row>
    <row r="8" spans="1:37" x14ac:dyDescent="0.45">
      <c r="A8" s="48">
        <v>6</v>
      </c>
      <c r="B8" s="51" t="s">
        <v>193</v>
      </c>
      <c r="C8" s="118">
        <v>6</v>
      </c>
      <c r="D8" s="49" t="s">
        <v>196</v>
      </c>
      <c r="E8" s="50">
        <v>-41.400000000000006</v>
      </c>
      <c r="F8" s="51" t="s">
        <v>192</v>
      </c>
      <c r="G8" s="63">
        <v>-11.216666666666665</v>
      </c>
      <c r="H8" s="51" t="s">
        <v>192</v>
      </c>
      <c r="I8" s="63">
        <v>-7.6125000000000007</v>
      </c>
      <c r="J8" s="51" t="s">
        <v>196</v>
      </c>
      <c r="K8" s="52">
        <v>2.3333333333333335</v>
      </c>
      <c r="L8" s="51" t="s">
        <v>192</v>
      </c>
      <c r="M8" s="53">
        <v>0.22222222222222221</v>
      </c>
      <c r="N8" s="51" t="s">
        <v>196</v>
      </c>
      <c r="O8" s="53">
        <v>0.33333333333333331</v>
      </c>
      <c r="P8" s="51" t="s">
        <v>192</v>
      </c>
      <c r="Q8" s="54">
        <v>0.22794117647058823</v>
      </c>
      <c r="R8" s="51" t="s">
        <v>139</v>
      </c>
      <c r="S8" s="54">
        <v>0.16962524654832348</v>
      </c>
      <c r="T8" s="51" t="s">
        <v>192</v>
      </c>
      <c r="U8" s="55">
        <v>7564.5161290322585</v>
      </c>
      <c r="V8" s="51" t="s">
        <v>192</v>
      </c>
      <c r="W8" s="55">
        <v>-8300</v>
      </c>
      <c r="X8" s="51" t="s">
        <v>139</v>
      </c>
      <c r="Y8" s="53">
        <v>7.575757575757576E-2</v>
      </c>
      <c r="Z8" s="51" t="s">
        <v>126</v>
      </c>
      <c r="AA8" s="54">
        <v>0.24</v>
      </c>
      <c r="AB8" s="51" t="s">
        <v>205</v>
      </c>
      <c r="AC8" s="54">
        <v>0.16</v>
      </c>
      <c r="AD8" s="51" t="s">
        <v>164</v>
      </c>
      <c r="AE8" s="54">
        <v>0.48</v>
      </c>
      <c r="AF8" s="51" t="s">
        <v>194</v>
      </c>
      <c r="AG8" s="54">
        <v>0.25</v>
      </c>
      <c r="AH8" s="51" t="s">
        <v>194</v>
      </c>
      <c r="AI8" s="54">
        <v>0.36363636363636365</v>
      </c>
      <c r="AJ8" s="51" t="s">
        <v>192</v>
      </c>
      <c r="AK8" s="58">
        <v>56900</v>
      </c>
    </row>
    <row r="9" spans="1:37" x14ac:dyDescent="0.45">
      <c r="A9" s="48">
        <v>7</v>
      </c>
      <c r="B9" s="51" t="s">
        <v>196</v>
      </c>
      <c r="C9" s="118">
        <v>3</v>
      </c>
      <c r="D9" s="49" t="s">
        <v>189</v>
      </c>
      <c r="E9" s="50">
        <v>-75.5</v>
      </c>
      <c r="F9" s="51" t="s">
        <v>196</v>
      </c>
      <c r="G9" s="63">
        <v>-13.800000000000002</v>
      </c>
      <c r="H9" s="51" t="s">
        <v>196</v>
      </c>
      <c r="I9" s="63">
        <v>-9.0333333333333332</v>
      </c>
      <c r="J9" s="51" t="s">
        <v>205</v>
      </c>
      <c r="K9" s="52">
        <v>2.3333333333333335</v>
      </c>
      <c r="L9" s="51" t="s">
        <v>189</v>
      </c>
      <c r="M9" s="53">
        <v>0</v>
      </c>
      <c r="N9" s="51" t="s">
        <v>194</v>
      </c>
      <c r="O9" s="53">
        <v>0.5</v>
      </c>
      <c r="P9" s="51" t="s">
        <v>194</v>
      </c>
      <c r="Q9" s="54">
        <v>0.21153846153846154</v>
      </c>
      <c r="R9" s="51" t="s">
        <v>205</v>
      </c>
      <c r="S9" s="54">
        <v>0.2</v>
      </c>
      <c r="T9" s="51" t="s">
        <v>189</v>
      </c>
      <c r="U9" s="55">
        <v>7050</v>
      </c>
      <c r="V9" s="51" t="s">
        <v>205</v>
      </c>
      <c r="W9" s="55">
        <v>-8760</v>
      </c>
      <c r="X9" s="51" t="s">
        <v>192</v>
      </c>
      <c r="Y9" s="53">
        <v>0.1111111111111111</v>
      </c>
      <c r="Z9" s="51" t="s">
        <v>193</v>
      </c>
      <c r="AA9" s="54">
        <v>0.2391304347826087</v>
      </c>
      <c r="AB9" s="51" t="s">
        <v>194</v>
      </c>
      <c r="AC9" s="54">
        <v>7.6923076923076927E-2</v>
      </c>
      <c r="AD9" s="51" t="s">
        <v>192</v>
      </c>
      <c r="AE9" s="54">
        <v>0.47222222222222221</v>
      </c>
      <c r="AF9" s="51" t="s">
        <v>205</v>
      </c>
      <c r="AG9" s="54">
        <v>0.25</v>
      </c>
      <c r="AH9" s="51" t="s">
        <v>164</v>
      </c>
      <c r="AI9" s="54">
        <v>0.33333333333333331</v>
      </c>
      <c r="AJ9" s="51" t="s">
        <v>194</v>
      </c>
      <c r="AK9" s="58">
        <v>46300</v>
      </c>
    </row>
    <row r="10" spans="1:37" x14ac:dyDescent="0.45">
      <c r="A10" s="48">
        <v>8</v>
      </c>
      <c r="B10" s="51" t="s">
        <v>205</v>
      </c>
      <c r="C10" s="118">
        <v>3</v>
      </c>
      <c r="D10" s="49" t="s">
        <v>194</v>
      </c>
      <c r="E10" s="50">
        <v>-157.19999999999999</v>
      </c>
      <c r="F10" s="51" t="s">
        <v>194</v>
      </c>
      <c r="G10" s="63">
        <v>-19.649999999999999</v>
      </c>
      <c r="H10" s="51" t="s">
        <v>189</v>
      </c>
      <c r="I10" s="63">
        <v>-12.583333333333334</v>
      </c>
      <c r="J10" s="51" t="s">
        <v>194</v>
      </c>
      <c r="K10" s="52">
        <v>2.5</v>
      </c>
      <c r="L10" s="51" t="s">
        <v>194</v>
      </c>
      <c r="M10" s="53">
        <v>0</v>
      </c>
      <c r="N10" s="51" t="s">
        <v>205</v>
      </c>
      <c r="O10" s="53">
        <v>0.66666666666666663</v>
      </c>
      <c r="P10" s="51" t="s">
        <v>189</v>
      </c>
      <c r="Q10" s="54">
        <v>0.2</v>
      </c>
      <c r="R10" s="51" t="s">
        <v>164</v>
      </c>
      <c r="S10" s="54">
        <v>0.25301204819277107</v>
      </c>
      <c r="T10" s="51" t="s">
        <v>194</v>
      </c>
      <c r="U10" s="55">
        <v>5672.727272727273</v>
      </c>
      <c r="V10" s="51" t="s">
        <v>126</v>
      </c>
      <c r="W10" s="55">
        <v>-8868.75</v>
      </c>
      <c r="X10" s="51" t="s">
        <v>193</v>
      </c>
      <c r="Y10" s="53">
        <v>0.16666666666666666</v>
      </c>
      <c r="Z10" s="51" t="s">
        <v>196</v>
      </c>
      <c r="AA10" s="54">
        <v>0.2</v>
      </c>
      <c r="AB10" s="51" t="s">
        <v>189</v>
      </c>
      <c r="AC10" s="54">
        <v>0.05</v>
      </c>
      <c r="AD10" s="51" t="s">
        <v>189</v>
      </c>
      <c r="AE10" s="54">
        <v>0.4</v>
      </c>
      <c r="AF10" s="51" t="s">
        <v>189</v>
      </c>
      <c r="AG10" s="54">
        <v>0</v>
      </c>
      <c r="AH10" s="51" t="s">
        <v>192</v>
      </c>
      <c r="AI10" s="54">
        <v>0.32258064516129031</v>
      </c>
      <c r="AJ10" s="51" t="s">
        <v>196</v>
      </c>
      <c r="AK10" s="58">
        <v>36900</v>
      </c>
    </row>
    <row r="11" spans="1:37" x14ac:dyDescent="0.45">
      <c r="A11" s="48">
        <v>9</v>
      </c>
      <c r="B11" s="51" t="s">
        <v>189</v>
      </c>
      <c r="C11" s="118">
        <v>2</v>
      </c>
      <c r="D11" s="49" t="s">
        <v>192</v>
      </c>
      <c r="E11" s="50">
        <v>-201.89999999999998</v>
      </c>
      <c r="F11" s="51" t="s">
        <v>189</v>
      </c>
      <c r="G11" s="63">
        <v>-37.75</v>
      </c>
      <c r="H11" s="51" t="s">
        <v>194</v>
      </c>
      <c r="I11" s="63">
        <v>-13.1</v>
      </c>
      <c r="J11" s="51" t="s">
        <v>189</v>
      </c>
      <c r="K11" s="52">
        <v>3</v>
      </c>
      <c r="L11" s="51" t="s">
        <v>196</v>
      </c>
      <c r="M11" s="53">
        <v>0</v>
      </c>
      <c r="N11" s="51" t="s">
        <v>189</v>
      </c>
      <c r="O11" s="53">
        <v>1</v>
      </c>
      <c r="P11" s="51" t="s">
        <v>196</v>
      </c>
      <c r="Q11" s="54">
        <v>0.2</v>
      </c>
      <c r="R11" s="51" t="s">
        <v>189</v>
      </c>
      <c r="S11" s="54">
        <v>0.45</v>
      </c>
      <c r="T11" s="51" t="s">
        <v>196</v>
      </c>
      <c r="U11" s="55">
        <v>5100</v>
      </c>
      <c r="V11" s="51" t="s">
        <v>194</v>
      </c>
      <c r="W11" s="55">
        <v>-9187.5</v>
      </c>
      <c r="X11" s="51" t="s">
        <v>194</v>
      </c>
      <c r="Y11" s="53">
        <v>0.25</v>
      </c>
      <c r="Z11" s="51" t="s">
        <v>205</v>
      </c>
      <c r="AA11" s="54">
        <v>0.2</v>
      </c>
      <c r="AB11" s="51" t="s">
        <v>196</v>
      </c>
      <c r="AC11" s="54">
        <v>0.05</v>
      </c>
      <c r="AD11" s="51" t="s">
        <v>194</v>
      </c>
      <c r="AE11" s="54">
        <v>0.3888888888888889</v>
      </c>
      <c r="AF11" s="51" t="s">
        <v>196</v>
      </c>
      <c r="AG11" s="54">
        <v>0</v>
      </c>
      <c r="AH11" s="51" t="s">
        <v>196</v>
      </c>
      <c r="AI11" s="54">
        <v>0.25</v>
      </c>
      <c r="AJ11" s="51" t="s">
        <v>189</v>
      </c>
      <c r="AK11" s="58">
        <v>8700</v>
      </c>
    </row>
  </sheetData>
  <sortState xmlns:xlrd2="http://schemas.microsoft.com/office/spreadsheetml/2017/richdata2" ref="AJ3:AK38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N2:O2"/>
    <mergeCell ref="H2:I2"/>
    <mergeCell ref="P1:Q1"/>
    <mergeCell ref="N1:O1"/>
    <mergeCell ref="H1:I1"/>
    <mergeCell ref="Z1:AA1"/>
    <mergeCell ref="AB1:AC1"/>
    <mergeCell ref="AD1:AE1"/>
    <mergeCell ref="AF1:AG1"/>
    <mergeCell ref="P2:Q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61CD9-770B-440D-8347-20C3500B4B82}">
  <sheetPr codeName="Sheet4"/>
  <dimension ref="A1:Q68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139</v>
      </c>
      <c r="C1" s="138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66</v>
      </c>
      <c r="C2" s="140"/>
      <c r="E2" s="28" t="s">
        <v>66</v>
      </c>
      <c r="F2" s="25" t="s">
        <v>22</v>
      </c>
      <c r="G2" s="13">
        <v>109</v>
      </c>
      <c r="H2" s="91">
        <f>IF(B$19=0,0,G2/B$19)</f>
        <v>0.74149659863945583</v>
      </c>
      <c r="I2" s="59">
        <v>5</v>
      </c>
      <c r="K2" s="5">
        <v>0</v>
      </c>
      <c r="L2" s="64">
        <v>0</v>
      </c>
      <c r="N2" s="77" t="s">
        <v>128</v>
      </c>
      <c r="O2" s="83">
        <f t="shared" ref="O2:O7" si="0">IF(P2=0,0,Q2/P2)</f>
        <v>-15.151515151515152</v>
      </c>
      <c r="P2" s="80">
        <v>66</v>
      </c>
      <c r="Q2" s="67">
        <v>-1000</v>
      </c>
    </row>
    <row r="3" spans="1:17" x14ac:dyDescent="0.45">
      <c r="A3" s="21" t="s">
        <v>8</v>
      </c>
      <c r="B3" s="141">
        <v>507</v>
      </c>
      <c r="C3" s="142"/>
      <c r="E3" s="29" t="s">
        <v>72</v>
      </c>
      <c r="F3" s="26" t="s">
        <v>27</v>
      </c>
      <c r="G3" s="14">
        <v>88</v>
      </c>
      <c r="H3" s="92">
        <f>IF(B$19=0,0,G3/B$19)</f>
        <v>0.59863945578231292</v>
      </c>
      <c r="I3" s="60">
        <v>4</v>
      </c>
      <c r="K3" s="7">
        <v>1</v>
      </c>
      <c r="L3" s="65">
        <v>-2.9</v>
      </c>
      <c r="N3" s="78" t="s">
        <v>129</v>
      </c>
      <c r="O3" s="84">
        <f t="shared" si="0"/>
        <v>0</v>
      </c>
      <c r="P3" s="81">
        <v>66</v>
      </c>
      <c r="Q3" s="68">
        <v>0</v>
      </c>
    </row>
    <row r="4" spans="1:17" x14ac:dyDescent="0.45">
      <c r="A4" s="21" t="s">
        <v>6</v>
      </c>
      <c r="B4" s="143">
        <v>7.1054273576010019E-15</v>
      </c>
      <c r="C4" s="144"/>
      <c r="E4" s="29" t="s">
        <v>64</v>
      </c>
      <c r="F4" s="26" t="s">
        <v>20</v>
      </c>
      <c r="G4" s="14">
        <v>67</v>
      </c>
      <c r="H4" s="92">
        <f>IF(B$19=0,0,G4/B$19)</f>
        <v>0.45578231292517007</v>
      </c>
      <c r="I4" s="60">
        <v>6</v>
      </c>
      <c r="K4" s="7">
        <v>2</v>
      </c>
      <c r="L4" s="65">
        <v>-39.199999999999996</v>
      </c>
      <c r="N4" s="78" t="s">
        <v>130</v>
      </c>
      <c r="O4" s="84">
        <f t="shared" si="0"/>
        <v>15.151515151515152</v>
      </c>
      <c r="P4" s="81">
        <v>66</v>
      </c>
      <c r="Q4" s="68">
        <v>1000</v>
      </c>
    </row>
    <row r="5" spans="1:17" x14ac:dyDescent="0.45">
      <c r="A5" s="21" t="s">
        <v>7</v>
      </c>
      <c r="B5" s="131">
        <f>IF(B$2=0,0,B$4/B$2)</f>
        <v>1.0765799026668185E-16</v>
      </c>
      <c r="C5" s="132"/>
      <c r="E5" s="29" t="s">
        <v>160</v>
      </c>
      <c r="F5" s="26" t="s">
        <v>161</v>
      </c>
      <c r="G5" s="14">
        <v>50</v>
      </c>
      <c r="H5" s="92">
        <f>IF(B$19=0,0,G5/B$19)</f>
        <v>0.3401360544217687</v>
      </c>
      <c r="I5" s="60">
        <v>4</v>
      </c>
      <c r="K5" s="7">
        <v>3</v>
      </c>
      <c r="L5" s="65">
        <v>7.1054273576010019E-15</v>
      </c>
      <c r="N5" s="78" t="s">
        <v>131</v>
      </c>
      <c r="O5" s="84">
        <f t="shared" si="0"/>
        <v>0</v>
      </c>
      <c r="P5" s="81">
        <v>57</v>
      </c>
      <c r="Q5" s="68">
        <v>0</v>
      </c>
    </row>
    <row r="6" spans="1:17" x14ac:dyDescent="0.45">
      <c r="A6" s="21" t="s">
        <v>1</v>
      </c>
      <c r="B6" s="145">
        <f>IF(B$2=0,0,(B$7*1+B$8*2+B$9*3)/B$2)</f>
        <v>2</v>
      </c>
      <c r="C6" s="146"/>
      <c r="E6" s="29" t="s">
        <v>68</v>
      </c>
      <c r="F6" s="26" t="s">
        <v>12</v>
      </c>
      <c r="G6" s="14">
        <v>41</v>
      </c>
      <c r="H6" s="92">
        <f>IF(B$19=0,0,G6/B$19)</f>
        <v>0.27891156462585032</v>
      </c>
      <c r="I6" s="60">
        <v>4</v>
      </c>
      <c r="K6" s="7">
        <v>4</v>
      </c>
      <c r="L6" s="65">
        <v>-55.499999999999993</v>
      </c>
      <c r="N6" s="78" t="s">
        <v>132</v>
      </c>
      <c r="O6" s="84">
        <f t="shared" si="0"/>
        <v>-98.039215686274517</v>
      </c>
      <c r="P6" s="81">
        <v>51</v>
      </c>
      <c r="Q6" s="68">
        <v>-5000</v>
      </c>
    </row>
    <row r="7" spans="1:17" x14ac:dyDescent="0.45">
      <c r="A7" s="21" t="s">
        <v>2</v>
      </c>
      <c r="B7" s="14">
        <v>22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37</v>
      </c>
      <c r="H7" s="92">
        <f>IF(B$19=0,0,G7/B$19)</f>
        <v>0.25170068027210885</v>
      </c>
      <c r="I7" s="60">
        <v>5</v>
      </c>
      <c r="K7" s="7">
        <v>5</v>
      </c>
      <c r="L7" s="65">
        <v>-55.999999999999993</v>
      </c>
      <c r="N7" s="79" t="s">
        <v>133</v>
      </c>
      <c r="O7" s="85">
        <f t="shared" si="0"/>
        <v>111.11111111111111</v>
      </c>
      <c r="P7" s="82">
        <v>36</v>
      </c>
      <c r="Q7" s="69">
        <v>4000</v>
      </c>
    </row>
    <row r="8" spans="1:17" x14ac:dyDescent="0.45">
      <c r="A8" s="21" t="s">
        <v>3</v>
      </c>
      <c r="B8" s="14">
        <v>22</v>
      </c>
      <c r="C8" s="8">
        <f t="shared" si="1"/>
        <v>0.33333333333333331</v>
      </c>
      <c r="E8" s="29" t="s">
        <v>89</v>
      </c>
      <c r="F8" s="26" t="s">
        <v>44</v>
      </c>
      <c r="G8" s="14">
        <v>24</v>
      </c>
      <c r="H8" s="92">
        <f>IF(B$19=0,0,G8/B$19)</f>
        <v>0.16326530612244897</v>
      </c>
      <c r="I8" s="60">
        <v>5</v>
      </c>
      <c r="K8" s="7">
        <v>6</v>
      </c>
      <c r="L8" s="65">
        <v>7.1054273576010019E-15</v>
      </c>
      <c r="N8" s="111"/>
      <c r="O8" s="89"/>
      <c r="P8" s="112"/>
      <c r="Q8" s="74"/>
    </row>
    <row r="9" spans="1:17" x14ac:dyDescent="0.45">
      <c r="A9" s="22" t="s">
        <v>4</v>
      </c>
      <c r="B9" s="15">
        <v>22</v>
      </c>
      <c r="C9" s="9">
        <f t="shared" si="1"/>
        <v>0.33333333333333331</v>
      </c>
      <c r="E9" s="29" t="s">
        <v>69</v>
      </c>
      <c r="F9" s="26" t="s">
        <v>24</v>
      </c>
      <c r="G9" s="14">
        <v>16</v>
      </c>
      <c r="H9" s="92">
        <f>IF(B$19=0,0,G9/B$19)</f>
        <v>0.10884353741496598</v>
      </c>
      <c r="I9" s="60">
        <v>4</v>
      </c>
      <c r="K9" s="7">
        <v>7</v>
      </c>
      <c r="L9" s="65">
        <v>-50.999999999999993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40.331818181818186</v>
      </c>
      <c r="C10" s="114">
        <v>887.30000000000007</v>
      </c>
      <c r="E10" s="29" t="s">
        <v>65</v>
      </c>
      <c r="F10" s="26" t="s">
        <v>21</v>
      </c>
      <c r="G10" s="14">
        <v>14</v>
      </c>
      <c r="H10" s="92">
        <f>IF(B$19=0,0,G10/B$19)</f>
        <v>9.5238095238095233E-2</v>
      </c>
      <c r="I10" s="60">
        <v>6</v>
      </c>
      <c r="K10" s="7">
        <v>8</v>
      </c>
      <c r="L10" s="65">
        <v>-81.5</v>
      </c>
      <c r="N10" s="77" t="s">
        <v>152</v>
      </c>
      <c r="O10" s="86">
        <f>IF(P10=0,0,Q10/P10)</f>
        <v>-11.240909090909092</v>
      </c>
      <c r="P10" s="80">
        <v>22</v>
      </c>
      <c r="Q10" s="71">
        <v>-247.3</v>
      </c>
    </row>
    <row r="11" spans="1:17" x14ac:dyDescent="0.45">
      <c r="A11" s="22" t="s">
        <v>186</v>
      </c>
      <c r="B11" s="113">
        <f>IF(B8=0,0,C11/B8)</f>
        <v>-3.9590909090909094</v>
      </c>
      <c r="C11" s="114">
        <v>-87.100000000000009</v>
      </c>
      <c r="E11" s="29" t="s">
        <v>71</v>
      </c>
      <c r="F11" s="26" t="s">
        <v>26</v>
      </c>
      <c r="G11" s="14">
        <v>12</v>
      </c>
      <c r="H11" s="92">
        <f>IF(B$19=0,0,G11/B$19)</f>
        <v>8.1632653061224483E-2</v>
      </c>
      <c r="I11" s="60">
        <v>5</v>
      </c>
      <c r="K11" s="7">
        <v>9</v>
      </c>
      <c r="L11" s="65">
        <v>0</v>
      </c>
      <c r="N11" s="78" t="s">
        <v>153</v>
      </c>
      <c r="O11" s="87">
        <f>IF(P11=0,0,Q11/P11)</f>
        <v>-3.9318181818181825</v>
      </c>
      <c r="P11" s="81">
        <v>22</v>
      </c>
      <c r="Q11" s="72">
        <v>-86.500000000000014</v>
      </c>
    </row>
    <row r="12" spans="1:17" x14ac:dyDescent="0.45">
      <c r="A12" s="22" t="s">
        <v>187</v>
      </c>
      <c r="B12" s="113">
        <f>IF(B9=0,0,C12/B9)</f>
        <v>-36.372727272727268</v>
      </c>
      <c r="C12" s="114">
        <v>-800.19999999999993</v>
      </c>
      <c r="E12" s="29" t="s">
        <v>86</v>
      </c>
      <c r="F12" s="26" t="s">
        <v>41</v>
      </c>
      <c r="G12" s="14">
        <v>10</v>
      </c>
      <c r="H12" s="92">
        <f>IF(B$19=0,0,G12/B$19)</f>
        <v>6.8027210884353748E-2</v>
      </c>
      <c r="I12" s="60">
        <v>4</v>
      </c>
      <c r="K12" s="7">
        <v>10</v>
      </c>
      <c r="L12" s="65">
        <v>60.4</v>
      </c>
      <c r="N12" s="79" t="s">
        <v>154</v>
      </c>
      <c r="O12" s="88">
        <f>IF(P12=0,0,Q12/P12)</f>
        <v>15.172727272727265</v>
      </c>
      <c r="P12" s="82">
        <v>22</v>
      </c>
      <c r="Q12" s="73">
        <v>333.79999999999984</v>
      </c>
    </row>
    <row r="13" spans="1:17" x14ac:dyDescent="0.45">
      <c r="A13" s="22" t="s">
        <v>188</v>
      </c>
      <c r="B13" s="131">
        <f>AVERAGE(B10:B12)</f>
        <v>0</v>
      </c>
      <c r="C13" s="132"/>
      <c r="E13" s="29" t="s">
        <v>70</v>
      </c>
      <c r="F13" s="26" t="s">
        <v>25</v>
      </c>
      <c r="G13" s="14">
        <v>7</v>
      </c>
      <c r="H13" s="92">
        <f>IF(B$19=0,0,G13/B$19)</f>
        <v>4.7619047619047616E-2</v>
      </c>
      <c r="I13" s="60">
        <v>3</v>
      </c>
      <c r="K13" s="7">
        <v>11</v>
      </c>
      <c r="L13" s="65">
        <v>-1.8999999999999986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5</v>
      </c>
      <c r="C14" s="11">
        <f t="shared" si="1"/>
        <v>7.575757575757576E-2</v>
      </c>
      <c r="E14" s="29" t="s">
        <v>79</v>
      </c>
      <c r="F14" s="26" t="s">
        <v>34</v>
      </c>
      <c r="G14" s="14">
        <v>6</v>
      </c>
      <c r="H14" s="92">
        <f>IF(B$19=0,0,G14/B$19)</f>
        <v>4.0816326530612242E-2</v>
      </c>
      <c r="I14" s="60">
        <v>4</v>
      </c>
      <c r="K14" s="7">
        <v>12</v>
      </c>
      <c r="L14" s="65">
        <v>1.3322676295501878E-15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134</v>
      </c>
      <c r="C15" s="12">
        <f>IF(B$3=0,0,B15/B$3)</f>
        <v>0.26429980276134124</v>
      </c>
      <c r="E15" s="29" t="s">
        <v>83</v>
      </c>
      <c r="F15" s="26" t="s">
        <v>38</v>
      </c>
      <c r="G15" s="14">
        <v>6</v>
      </c>
      <c r="H15" s="92">
        <f>IF(B$19=0,0,G15/B$19)</f>
        <v>4.0816326530612242E-2</v>
      </c>
      <c r="I15" s="60">
        <v>4</v>
      </c>
      <c r="K15" s="7">
        <v>13</v>
      </c>
      <c r="L15" s="65">
        <v>14.300000000000002</v>
      </c>
      <c r="N15" s="77" t="s">
        <v>189</v>
      </c>
      <c r="O15" s="86">
        <f>IF(P15=0,0,Q15/P15)</f>
        <v>56.625</v>
      </c>
      <c r="P15" s="80">
        <v>4</v>
      </c>
      <c r="Q15" s="71">
        <v>226.5</v>
      </c>
    </row>
    <row r="16" spans="1:17" x14ac:dyDescent="0.45">
      <c r="A16" s="21" t="s">
        <v>118</v>
      </c>
      <c r="B16" s="14">
        <v>100</v>
      </c>
      <c r="C16" s="8">
        <f>IF(B$3=0,0,B16/B$3)</f>
        <v>0.19723865877712032</v>
      </c>
      <c r="E16" s="29" t="s">
        <v>78</v>
      </c>
      <c r="F16" s="26" t="s">
        <v>33</v>
      </c>
      <c r="G16" s="14">
        <v>5</v>
      </c>
      <c r="H16" s="92">
        <f>IF(B$19=0,0,G16/B$19)</f>
        <v>3.4013605442176874E-2</v>
      </c>
      <c r="I16" s="60">
        <v>4</v>
      </c>
      <c r="K16" s="7">
        <v>14</v>
      </c>
      <c r="L16" s="65">
        <v>12.800000000000002</v>
      </c>
      <c r="N16" s="78" t="s">
        <v>194</v>
      </c>
      <c r="O16" s="87">
        <f>IF(P16=0,0,Q16/P16)</f>
        <v>29.474999999999998</v>
      </c>
      <c r="P16" s="81">
        <v>16</v>
      </c>
      <c r="Q16" s="72">
        <v>471.59999999999997</v>
      </c>
    </row>
    <row r="17" spans="1:17" x14ac:dyDescent="0.45">
      <c r="A17" s="20" t="s">
        <v>123</v>
      </c>
      <c r="B17" s="13">
        <f>B23</f>
        <v>69</v>
      </c>
      <c r="C17" s="6">
        <f>IF(B$15=0,0,B17/B$15)</f>
        <v>0.5149253731343284</v>
      </c>
      <c r="E17" s="29" t="s">
        <v>81</v>
      </c>
      <c r="F17" s="26" t="s">
        <v>36</v>
      </c>
      <c r="G17" s="14">
        <v>5</v>
      </c>
      <c r="H17" s="92">
        <f>IF(B$19=0,0,G17/B$19)</f>
        <v>3.4013605442176874E-2</v>
      </c>
      <c r="I17" s="60">
        <v>4</v>
      </c>
      <c r="K17" s="7">
        <v>15</v>
      </c>
      <c r="L17" s="65">
        <v>1.7763568394002505E-15</v>
      </c>
      <c r="N17" s="78" t="s">
        <v>196</v>
      </c>
      <c r="O17" s="87">
        <f>IF(P17=0,0,Q17/P17)</f>
        <v>20.7</v>
      </c>
      <c r="P17" s="81">
        <v>6</v>
      </c>
      <c r="Q17" s="72">
        <v>124.19999999999999</v>
      </c>
    </row>
    <row r="18" spans="1:17" x14ac:dyDescent="0.45">
      <c r="A18" s="20" t="s">
        <v>124</v>
      </c>
      <c r="B18" s="13">
        <f>B24</f>
        <v>37</v>
      </c>
      <c r="C18" s="6">
        <f>IF(B$16=0,0,B18/B$16)</f>
        <v>0.37</v>
      </c>
      <c r="E18" s="29" t="s">
        <v>91</v>
      </c>
      <c r="F18" s="26" t="s">
        <v>46</v>
      </c>
      <c r="G18" s="14">
        <v>2</v>
      </c>
      <c r="H18" s="92">
        <f>IF(B$19=0,0,G18/B$19)</f>
        <v>1.3605442176870748E-2</v>
      </c>
      <c r="I18" s="60">
        <v>3</v>
      </c>
      <c r="K18" s="7">
        <v>16</v>
      </c>
      <c r="L18" s="65">
        <v>3.4000000000000017</v>
      </c>
      <c r="N18" s="78" t="s">
        <v>192</v>
      </c>
      <c r="O18" s="87">
        <f>IF(P18=0,0,Q18/P18)</f>
        <v>16.824999999999996</v>
      </c>
      <c r="P18" s="81">
        <v>36</v>
      </c>
      <c r="Q18" s="72">
        <v>605.69999999999982</v>
      </c>
    </row>
    <row r="19" spans="1:17" x14ac:dyDescent="0.45">
      <c r="A19" s="20" t="s">
        <v>10</v>
      </c>
      <c r="B19" s="13">
        <f>B22+B21</f>
        <v>147</v>
      </c>
      <c r="C19" s="6">
        <f>IF(B$3=0,0,B19/B$3)</f>
        <v>0.28994082840236685</v>
      </c>
      <c r="E19" s="29" t="s">
        <v>92</v>
      </c>
      <c r="F19" s="26" t="s">
        <v>47</v>
      </c>
      <c r="G19" s="14">
        <v>2</v>
      </c>
      <c r="H19" s="92">
        <f>IF(B$19=0,0,G19/B$19)</f>
        <v>1.3605442176870748E-2</v>
      </c>
      <c r="I19" s="60">
        <v>3</v>
      </c>
      <c r="K19" s="7">
        <v>17</v>
      </c>
      <c r="L19" s="65">
        <v>-35.800000000000004</v>
      </c>
      <c r="N19" s="78" t="s">
        <v>164</v>
      </c>
      <c r="O19" s="87">
        <f>IF(P19=0,0,Q19/P19)</f>
        <v>-3.8999999999999977</v>
      </c>
      <c r="P19" s="81">
        <v>20</v>
      </c>
      <c r="Q19" s="72">
        <v>-77.999999999999957</v>
      </c>
    </row>
    <row r="20" spans="1:17" x14ac:dyDescent="0.45">
      <c r="A20" s="21" t="s">
        <v>13</v>
      </c>
      <c r="B20" s="14">
        <v>86</v>
      </c>
      <c r="C20" s="8">
        <f>IF(B$3=0,0,B20/B$3)</f>
        <v>0.16962524654832348</v>
      </c>
      <c r="E20" s="29" t="s">
        <v>156</v>
      </c>
      <c r="F20" s="26" t="s">
        <v>157</v>
      </c>
      <c r="G20" s="14">
        <v>2</v>
      </c>
      <c r="H20" s="92">
        <f>IF(B$19=0,0,G20/B$19)</f>
        <v>1.3605442176870748E-2</v>
      </c>
      <c r="I20" s="60">
        <v>3</v>
      </c>
      <c r="K20" s="7">
        <v>18</v>
      </c>
      <c r="L20" s="65">
        <v>-7.1054273576010019E-15</v>
      </c>
      <c r="N20" s="78" t="s">
        <v>205</v>
      </c>
      <c r="O20" s="87">
        <f>IF(P20=0,0,Q20/P20)</f>
        <v>-4.4500000000000055</v>
      </c>
      <c r="P20" s="81">
        <v>6</v>
      </c>
      <c r="Q20" s="72">
        <v>-26.700000000000031</v>
      </c>
    </row>
    <row r="21" spans="1:17" x14ac:dyDescent="0.45">
      <c r="A21" s="21" t="s">
        <v>12</v>
      </c>
      <c r="B21" s="14">
        <v>61</v>
      </c>
      <c r="C21" s="8">
        <f>IF(B$19=0,0,B21/B$19)</f>
        <v>0.41496598639455784</v>
      </c>
      <c r="E21" s="29" t="s">
        <v>73</v>
      </c>
      <c r="F21" s="26" t="s">
        <v>28</v>
      </c>
      <c r="G21" s="14">
        <v>1</v>
      </c>
      <c r="H21" s="92">
        <f>IF(B$19=0,0,G21/B$19)</f>
        <v>6.8027210884353739E-3</v>
      </c>
      <c r="I21" s="60">
        <v>2</v>
      </c>
      <c r="K21" s="7">
        <v>19</v>
      </c>
      <c r="L21" s="65">
        <v>-27.100000000000009</v>
      </c>
      <c r="N21" s="78" t="s">
        <v>126</v>
      </c>
      <c r="O21" s="87">
        <f>IF(P21=0,0,Q21/P21)</f>
        <v>-25.668749999999992</v>
      </c>
      <c r="P21" s="81">
        <v>32</v>
      </c>
      <c r="Q21" s="72">
        <v>-821.39999999999975</v>
      </c>
    </row>
    <row r="22" spans="1:17" x14ac:dyDescent="0.45">
      <c r="A22" s="21" t="s">
        <v>11</v>
      </c>
      <c r="B22" s="14">
        <v>86</v>
      </c>
      <c r="C22" s="8">
        <f>IF(B$19=0,0,B22/B$19)</f>
        <v>0.58503401360544216</v>
      </c>
      <c r="E22" s="29" t="s">
        <v>87</v>
      </c>
      <c r="F22" s="26" t="s">
        <v>42</v>
      </c>
      <c r="G22" s="14">
        <v>1</v>
      </c>
      <c r="H22" s="92">
        <f>IF(B$19=0,0,G22/B$19)</f>
        <v>6.8027210884353739E-3</v>
      </c>
      <c r="I22" s="60">
        <v>2</v>
      </c>
      <c r="K22" s="7">
        <v>20</v>
      </c>
      <c r="L22" s="65">
        <v>-28.600000000000009</v>
      </c>
      <c r="N22" s="78" t="s">
        <v>193</v>
      </c>
      <c r="O22" s="87">
        <f>IF(P22=0,0,Q22/P22)</f>
        <v>-41.824999999999996</v>
      </c>
      <c r="P22" s="81">
        <v>12</v>
      </c>
      <c r="Q22" s="72">
        <v>-501.9</v>
      </c>
    </row>
    <row r="23" spans="1:17" x14ac:dyDescent="0.45">
      <c r="A23" s="21" t="s">
        <v>184</v>
      </c>
      <c r="B23" s="14">
        <v>69</v>
      </c>
      <c r="C23" s="8">
        <f>IF(B$19=0,0,B23/B$19)</f>
        <v>0.46938775510204084</v>
      </c>
      <c r="E23" s="29" t="s">
        <v>93</v>
      </c>
      <c r="F23" s="26" t="s">
        <v>48</v>
      </c>
      <c r="G23" s="14">
        <v>1</v>
      </c>
      <c r="H23" s="92">
        <f>IF(B$19=0,0,G23/B$19)</f>
        <v>6.8027210884353739E-3</v>
      </c>
      <c r="I23" s="60">
        <v>2</v>
      </c>
      <c r="K23" s="7">
        <v>21</v>
      </c>
      <c r="L23" s="65">
        <v>-7.1054273576010019E-15</v>
      </c>
    </row>
    <row r="24" spans="1:17" x14ac:dyDescent="0.45">
      <c r="A24" s="21" t="s">
        <v>182</v>
      </c>
      <c r="B24" s="14">
        <v>37</v>
      </c>
      <c r="C24" s="8">
        <f>IF(B$19=0,0,B24/B$19)</f>
        <v>0.25170068027210885</v>
      </c>
      <c r="E24" s="29" t="s">
        <v>95</v>
      </c>
      <c r="F24" s="26" t="s">
        <v>50</v>
      </c>
      <c r="G24" s="14">
        <v>1</v>
      </c>
      <c r="H24" s="92">
        <f>IF(B$19=0,0,G24/B$19)</f>
        <v>6.8027210884353739E-3</v>
      </c>
      <c r="I24" s="60">
        <v>2</v>
      </c>
      <c r="K24" s="7">
        <v>22</v>
      </c>
      <c r="L24" s="65">
        <v>-7.5000000000000071</v>
      </c>
    </row>
    <row r="25" spans="1:17" x14ac:dyDescent="0.45">
      <c r="A25" s="21" t="s">
        <v>183</v>
      </c>
      <c r="B25" s="14">
        <v>41</v>
      </c>
      <c r="C25" s="8">
        <f>IF(B$19=0,0,B25/B$19)</f>
        <v>0.27891156462585032</v>
      </c>
      <c r="E25" s="29" t="s">
        <v>102</v>
      </c>
      <c r="F25" s="26" t="s">
        <v>57</v>
      </c>
      <c r="G25" s="14">
        <v>1</v>
      </c>
      <c r="H25" s="92">
        <f>IF(B$19=0,0,G25/B$19)</f>
        <v>6.8027210884353739E-3</v>
      </c>
      <c r="I25" s="60">
        <v>2</v>
      </c>
      <c r="K25" s="7">
        <v>23</v>
      </c>
      <c r="L25" s="65">
        <v>-41.600000000000009</v>
      </c>
    </row>
    <row r="26" spans="1:17" x14ac:dyDescent="0.45">
      <c r="A26" s="21" t="s">
        <v>5</v>
      </c>
      <c r="B26" s="18">
        <f>IF(B$19=0,0,C26/B$19)</f>
        <v>8858.5034013605436</v>
      </c>
      <c r="C26" s="10">
        <v>1302200</v>
      </c>
      <c r="E26" s="29" t="s">
        <v>74</v>
      </c>
      <c r="F26" s="26" t="s">
        <v>29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-7.1054273576010019E-15</v>
      </c>
    </row>
    <row r="27" spans="1:17" x14ac:dyDescent="0.45">
      <c r="A27" s="22" t="s">
        <v>166</v>
      </c>
      <c r="B27" s="99">
        <f>IF($B$19-B$18=0,0,C27/($B$19-B$18))</f>
        <v>9003.636363636364</v>
      </c>
      <c r="C27" s="100">
        <v>990400</v>
      </c>
      <c r="E27" s="29" t="s">
        <v>75</v>
      </c>
      <c r="F27" s="26" t="s">
        <v>30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-20.900000000000006</v>
      </c>
    </row>
    <row r="28" spans="1:17" x14ac:dyDescent="0.45">
      <c r="A28" s="22" t="s">
        <v>167</v>
      </c>
      <c r="B28" s="99">
        <f>IF(B$18=0,0,C28/B$18)</f>
        <v>8427.0270270270266</v>
      </c>
      <c r="C28" s="100">
        <v>311800</v>
      </c>
      <c r="E28" s="29" t="s">
        <v>76</v>
      </c>
      <c r="F28" s="26" t="s">
        <v>31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-21.400000000000006</v>
      </c>
    </row>
    <row r="29" spans="1:17" x14ac:dyDescent="0.45">
      <c r="A29" s="22" t="s">
        <v>165</v>
      </c>
      <c r="B29" s="99">
        <f>IF(B$20=0,0,C29/B$20)</f>
        <v>-7543.0232558139533</v>
      </c>
      <c r="C29" s="100">
        <v>-648700</v>
      </c>
      <c r="E29" s="29" t="s">
        <v>77</v>
      </c>
      <c r="F29" s="26" t="s">
        <v>32</v>
      </c>
      <c r="G29" s="14">
        <v>0</v>
      </c>
      <c r="H29" s="92">
        <f>IF(B$19=0,0,G29/B$19)</f>
        <v>0</v>
      </c>
      <c r="I29" s="60">
        <v>1</v>
      </c>
      <c r="K29" s="7">
        <v>27</v>
      </c>
      <c r="L29" s="65">
        <v>-7.1054273576010019E-15</v>
      </c>
    </row>
    <row r="30" spans="1:17" x14ac:dyDescent="0.45">
      <c r="A30" s="21" t="s">
        <v>158</v>
      </c>
      <c r="B30" s="14">
        <v>9</v>
      </c>
      <c r="C30" s="94">
        <v>0</v>
      </c>
      <c r="E30" s="29" t="s">
        <v>80</v>
      </c>
      <c r="F30" s="26" t="s">
        <v>35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3.9999999999999929</v>
      </c>
    </row>
    <row r="31" spans="1:17" x14ac:dyDescent="0.45">
      <c r="A31" s="21" t="s">
        <v>159</v>
      </c>
      <c r="B31" s="14">
        <v>28</v>
      </c>
      <c r="C31" s="94">
        <v>5</v>
      </c>
      <c r="E31" s="29" t="s">
        <v>82</v>
      </c>
      <c r="F31" s="26" t="s">
        <v>37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29.999999999999993</v>
      </c>
    </row>
    <row r="32" spans="1:17" x14ac:dyDescent="0.45">
      <c r="A32" s="56" t="s">
        <v>136</v>
      </c>
      <c r="B32" s="133">
        <v>6</v>
      </c>
      <c r="C32" s="134"/>
      <c r="E32" s="29" t="s">
        <v>84</v>
      </c>
      <c r="F32" s="26" t="s">
        <v>39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-7.1054273576010019E-15</v>
      </c>
    </row>
    <row r="33" spans="1:12" x14ac:dyDescent="0.45">
      <c r="A33" s="24" t="s">
        <v>181</v>
      </c>
      <c r="B33" s="135">
        <v>106500</v>
      </c>
      <c r="C33" s="136"/>
      <c r="E33" s="29" t="s">
        <v>85</v>
      </c>
      <c r="F33" s="26" t="s">
        <v>40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-22.500000000000007</v>
      </c>
    </row>
    <row r="34" spans="1:12" x14ac:dyDescent="0.45">
      <c r="A34" s="23" t="s">
        <v>137</v>
      </c>
      <c r="B34" s="31">
        <v>1</v>
      </c>
      <c r="C34" s="11">
        <f>IF(B$3=0,0,B34/B$3)</f>
        <v>1.9723865877712033E-3</v>
      </c>
      <c r="E34" s="29" t="s">
        <v>88</v>
      </c>
      <c r="F34" s="26" t="s">
        <v>43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-31.900000000000006</v>
      </c>
    </row>
    <row r="35" spans="1:12" x14ac:dyDescent="0.45">
      <c r="E35" s="29" t="s">
        <v>90</v>
      </c>
      <c r="F35" s="26" t="s">
        <v>45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-7.1054273576010019E-15</v>
      </c>
    </row>
    <row r="36" spans="1:12" x14ac:dyDescent="0.45">
      <c r="A36" s="56" t="s">
        <v>172</v>
      </c>
      <c r="B36" s="121">
        <v>11</v>
      </c>
      <c r="C36" s="102">
        <f t="shared" ref="C36:C48" si="2">IF(B$19=0,0,B36/B$19)</f>
        <v>7.4829931972789115E-2</v>
      </c>
      <c r="E36" s="29" t="s">
        <v>94</v>
      </c>
      <c r="F36" s="26" t="s">
        <v>49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-35.900000000000006</v>
      </c>
    </row>
    <row r="37" spans="1:12" x14ac:dyDescent="0.45">
      <c r="A37" s="21" t="s">
        <v>168</v>
      </c>
      <c r="B37" s="14">
        <v>27</v>
      </c>
      <c r="C37" s="8">
        <f t="shared" si="2"/>
        <v>0.18367346938775511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-25.600000000000005</v>
      </c>
    </row>
    <row r="38" spans="1:12" x14ac:dyDescent="0.45">
      <c r="A38" s="21" t="s">
        <v>169</v>
      </c>
      <c r="B38" s="122">
        <v>28</v>
      </c>
      <c r="C38" s="8">
        <f t="shared" si="2"/>
        <v>0.19047619047619047</v>
      </c>
      <c r="E38" s="29" t="s">
        <v>97</v>
      </c>
      <c r="F38" s="26" t="s">
        <v>52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-3.5527136788005009E-15</v>
      </c>
    </row>
    <row r="39" spans="1:12" x14ac:dyDescent="0.45">
      <c r="A39" s="21" t="s">
        <v>170</v>
      </c>
      <c r="B39" s="122">
        <v>22</v>
      </c>
      <c r="C39" s="8">
        <f t="shared" si="2"/>
        <v>0.14965986394557823</v>
      </c>
      <c r="E39" s="29" t="s">
        <v>98</v>
      </c>
      <c r="F39" s="26" t="s">
        <v>53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-26.700000000000003</v>
      </c>
    </row>
    <row r="40" spans="1:12" x14ac:dyDescent="0.45">
      <c r="A40" s="21" t="s">
        <v>171</v>
      </c>
      <c r="B40" s="122">
        <v>23</v>
      </c>
      <c r="C40" s="8">
        <f t="shared" si="2"/>
        <v>0.15646258503401361</v>
      </c>
      <c r="E40" s="29" t="s">
        <v>99</v>
      </c>
      <c r="F40" s="26" t="s">
        <v>54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-18.700000000000003</v>
      </c>
    </row>
    <row r="41" spans="1:12" x14ac:dyDescent="0.45">
      <c r="A41" s="21" t="s">
        <v>173</v>
      </c>
      <c r="B41" s="122">
        <v>11</v>
      </c>
      <c r="C41" s="8">
        <f t="shared" si="2"/>
        <v>7.4829931972789115E-2</v>
      </c>
      <c r="E41" s="29" t="s">
        <v>100</v>
      </c>
      <c r="F41" s="26" t="s">
        <v>55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-3.5527136788005009E-15</v>
      </c>
    </row>
    <row r="42" spans="1:12" x14ac:dyDescent="0.45">
      <c r="A42" s="21" t="s">
        <v>174</v>
      </c>
      <c r="B42" s="122">
        <v>12</v>
      </c>
      <c r="C42" s="8">
        <f t="shared" si="2"/>
        <v>8.1632653061224483E-2</v>
      </c>
      <c r="E42" s="29" t="s">
        <v>101</v>
      </c>
      <c r="F42" s="26" t="s">
        <v>56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21.499999999999996</v>
      </c>
    </row>
    <row r="43" spans="1:12" x14ac:dyDescent="0.45">
      <c r="A43" s="21" t="s">
        <v>175</v>
      </c>
      <c r="B43" s="122">
        <v>2</v>
      </c>
      <c r="C43" s="8">
        <f t="shared" si="2"/>
        <v>1.3605442176870748E-2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-5.4000000000000021</v>
      </c>
    </row>
    <row r="44" spans="1:12" x14ac:dyDescent="0.45">
      <c r="A44" s="21" t="s">
        <v>176</v>
      </c>
      <c r="B44" s="122">
        <v>1</v>
      </c>
      <c r="C44" s="8">
        <f t="shared" si="2"/>
        <v>6.8027210884353739E-3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-1.7763568394002505E-15</v>
      </c>
    </row>
    <row r="45" spans="1:12" x14ac:dyDescent="0.45">
      <c r="A45" s="21" t="s">
        <v>177</v>
      </c>
      <c r="B45" s="122">
        <v>3</v>
      </c>
      <c r="C45" s="8">
        <f t="shared" si="2"/>
        <v>2.0408163265306121E-2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-46.6</v>
      </c>
    </row>
    <row r="46" spans="1:12" x14ac:dyDescent="0.45">
      <c r="A46" s="21" t="s">
        <v>178</v>
      </c>
      <c r="B46" s="122">
        <v>1</v>
      </c>
      <c r="C46" s="8">
        <f t="shared" si="2"/>
        <v>6.8027210884353739E-3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31.1</v>
      </c>
    </row>
    <row r="47" spans="1:12" x14ac:dyDescent="0.45">
      <c r="A47" s="21" t="s">
        <v>179</v>
      </c>
      <c r="B47" s="122">
        <v>1</v>
      </c>
      <c r="C47" s="8">
        <f t="shared" si="2"/>
        <v>6.8027210884353739E-3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0</v>
      </c>
    </row>
    <row r="48" spans="1:12" x14ac:dyDescent="0.45">
      <c r="A48" s="23" t="s">
        <v>180</v>
      </c>
      <c r="B48" s="101">
        <v>5</v>
      </c>
      <c r="C48" s="11">
        <f t="shared" si="2"/>
        <v>3.4013605442176874E-2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-41.6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-27.900000000000002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-3.5527136788005009E-15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-38.299999999999997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-26.999999999999996</v>
      </c>
    </row>
    <row r="53" spans="5:12" x14ac:dyDescent="0.45">
      <c r="K53" s="7">
        <v>51</v>
      </c>
      <c r="L53" s="65">
        <v>3.5527136788005009E-15</v>
      </c>
    </row>
    <row r="54" spans="5:12" x14ac:dyDescent="0.45">
      <c r="K54" s="7">
        <v>52</v>
      </c>
      <c r="L54" s="65">
        <v>68.2</v>
      </c>
    </row>
    <row r="55" spans="5:12" x14ac:dyDescent="0.45">
      <c r="K55" s="7">
        <v>53</v>
      </c>
      <c r="L55" s="65">
        <v>44.7</v>
      </c>
    </row>
    <row r="56" spans="5:12" x14ac:dyDescent="0.45">
      <c r="K56" s="7">
        <v>54</v>
      </c>
      <c r="L56" s="65">
        <v>0</v>
      </c>
    </row>
    <row r="57" spans="5:12" x14ac:dyDescent="0.45">
      <c r="K57" s="7">
        <v>55</v>
      </c>
      <c r="L57" s="65">
        <v>-1</v>
      </c>
    </row>
    <row r="58" spans="5:12" x14ac:dyDescent="0.45">
      <c r="K58" s="7">
        <v>56</v>
      </c>
      <c r="L58" s="65">
        <v>27</v>
      </c>
    </row>
    <row r="59" spans="5:12" x14ac:dyDescent="0.45">
      <c r="K59" s="7">
        <v>57</v>
      </c>
      <c r="L59" s="65">
        <v>0</v>
      </c>
    </row>
    <row r="60" spans="5:12" x14ac:dyDescent="0.45">
      <c r="K60" s="7">
        <v>58</v>
      </c>
      <c r="L60" s="65">
        <v>-32.299999999999997</v>
      </c>
    </row>
    <row r="61" spans="5:12" x14ac:dyDescent="0.45">
      <c r="K61" s="7">
        <v>59</v>
      </c>
      <c r="L61" s="65">
        <v>-52.199999999999996</v>
      </c>
    </row>
    <row r="62" spans="5:12" x14ac:dyDescent="0.45">
      <c r="K62" s="7">
        <v>60</v>
      </c>
      <c r="L62" s="65">
        <v>7.1054273576010019E-15</v>
      </c>
    </row>
    <row r="63" spans="5:12" x14ac:dyDescent="0.45">
      <c r="K63" s="7">
        <v>61</v>
      </c>
      <c r="L63" s="65">
        <v>43.500000000000007</v>
      </c>
    </row>
    <row r="64" spans="5:12" x14ac:dyDescent="0.45">
      <c r="K64" s="7">
        <v>62</v>
      </c>
      <c r="L64" s="65">
        <v>7.8000000000000043</v>
      </c>
    </row>
    <row r="65" spans="11:12" x14ac:dyDescent="0.45">
      <c r="K65" s="7">
        <v>63</v>
      </c>
      <c r="L65" s="65">
        <v>4.4408920985006262E-15</v>
      </c>
    </row>
    <row r="66" spans="11:12" x14ac:dyDescent="0.45">
      <c r="K66" s="7">
        <v>64</v>
      </c>
      <c r="L66" s="65">
        <v>-52.79999999999999</v>
      </c>
    </row>
    <row r="67" spans="11:12" x14ac:dyDescent="0.45">
      <c r="K67" s="7">
        <v>65</v>
      </c>
      <c r="L67" s="65">
        <v>7.5000000000000071</v>
      </c>
    </row>
    <row r="68" spans="11:12" x14ac:dyDescent="0.45">
      <c r="K68" s="7">
        <v>66</v>
      </c>
      <c r="L68" s="65">
        <v>7.1054273576010019E-15</v>
      </c>
    </row>
  </sheetData>
  <sortState xmlns:xlrd2="http://schemas.microsoft.com/office/spreadsheetml/2017/richdata2" ref="N15:Q22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5AD54-4FD7-43C0-BA07-C3D7F120BE4A}">
  <sheetPr codeName="Sheet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164</v>
      </c>
      <c r="C1" s="138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10</v>
      </c>
      <c r="C2" s="140"/>
      <c r="E2" s="28" t="s">
        <v>66</v>
      </c>
      <c r="F2" s="25" t="s">
        <v>22</v>
      </c>
      <c r="G2" s="13">
        <v>23</v>
      </c>
      <c r="H2" s="91">
        <f>IF(B$19=0,0,G2/B$19)</f>
        <v>1.0952380952380953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3000</v>
      </c>
      <c r="P2" s="80">
        <v>10</v>
      </c>
      <c r="Q2" s="67">
        <v>30000</v>
      </c>
    </row>
    <row r="3" spans="1:17" x14ac:dyDescent="0.45">
      <c r="A3" s="21" t="s">
        <v>8</v>
      </c>
      <c r="B3" s="141">
        <v>83</v>
      </c>
      <c r="C3" s="142"/>
      <c r="E3" s="29" t="s">
        <v>72</v>
      </c>
      <c r="F3" s="26" t="s">
        <v>27</v>
      </c>
      <c r="G3" s="14">
        <v>12</v>
      </c>
      <c r="H3" s="92">
        <f>IF(B$19=0,0,G3/B$19)</f>
        <v>0.5714285714285714</v>
      </c>
      <c r="I3" s="60">
        <v>5</v>
      </c>
      <c r="K3" s="7">
        <v>1</v>
      </c>
      <c r="L3" s="65">
        <v>-2.9</v>
      </c>
      <c r="N3" s="78" t="s">
        <v>129</v>
      </c>
      <c r="O3" s="84">
        <f t="shared" si="0"/>
        <v>2180</v>
      </c>
      <c r="P3" s="81">
        <v>10</v>
      </c>
      <c r="Q3" s="68">
        <v>21800</v>
      </c>
    </row>
    <row r="4" spans="1:17" x14ac:dyDescent="0.45">
      <c r="A4" s="21" t="s">
        <v>6</v>
      </c>
      <c r="B4" s="143">
        <v>26</v>
      </c>
      <c r="C4" s="144"/>
      <c r="E4" s="29" t="s">
        <v>64</v>
      </c>
      <c r="F4" s="26" t="s">
        <v>20</v>
      </c>
      <c r="G4" s="14">
        <v>11</v>
      </c>
      <c r="H4" s="92">
        <f>IF(B$19=0,0,G4/B$19)</f>
        <v>0.52380952380952384</v>
      </c>
      <c r="I4" s="60">
        <v>4</v>
      </c>
      <c r="K4" s="7">
        <v>2</v>
      </c>
      <c r="L4" s="65">
        <v>32.9</v>
      </c>
      <c r="N4" s="78" t="s">
        <v>130</v>
      </c>
      <c r="O4" s="84">
        <f t="shared" si="0"/>
        <v>-1290</v>
      </c>
      <c r="P4" s="81">
        <v>10</v>
      </c>
      <c r="Q4" s="68">
        <v>-12900</v>
      </c>
    </row>
    <row r="5" spans="1:17" x14ac:dyDescent="0.45">
      <c r="A5" s="21" t="s">
        <v>7</v>
      </c>
      <c r="B5" s="131">
        <f>IF(B$2=0,0,B$4/B$2)</f>
        <v>2.6</v>
      </c>
      <c r="C5" s="132"/>
      <c r="E5" s="29" t="s">
        <v>160</v>
      </c>
      <c r="F5" s="26" t="s">
        <v>161</v>
      </c>
      <c r="G5" s="14">
        <v>10</v>
      </c>
      <c r="H5" s="92">
        <f>IF(B$19=0,0,G5/B$19)</f>
        <v>0.47619047619047616</v>
      </c>
      <c r="I5" s="60">
        <v>3</v>
      </c>
      <c r="K5" s="7">
        <v>3</v>
      </c>
      <c r="L5" s="65">
        <v>61.5</v>
      </c>
      <c r="N5" s="78" t="s">
        <v>131</v>
      </c>
      <c r="O5" s="84">
        <f t="shared" si="0"/>
        <v>-7760</v>
      </c>
      <c r="P5" s="81">
        <v>10</v>
      </c>
      <c r="Q5" s="68">
        <v>-77600</v>
      </c>
    </row>
    <row r="6" spans="1:17" x14ac:dyDescent="0.45">
      <c r="A6" s="21" t="s">
        <v>1</v>
      </c>
      <c r="B6" s="145">
        <f>IF(B$2=0,0,(B$7*1+B$8*2+B$9*3)/B$2)</f>
        <v>1.9</v>
      </c>
      <c r="C6" s="146"/>
      <c r="E6" s="29" t="s">
        <v>67</v>
      </c>
      <c r="F6" s="26" t="s">
        <v>23</v>
      </c>
      <c r="G6" s="14">
        <v>6</v>
      </c>
      <c r="H6" s="92">
        <f>IF(B$19=0,0,G6/B$19)</f>
        <v>0.2857142857142857</v>
      </c>
      <c r="I6" s="60">
        <v>4</v>
      </c>
      <c r="K6" s="7">
        <v>4</v>
      </c>
      <c r="L6" s="65">
        <v>27.4</v>
      </c>
      <c r="N6" s="78" t="s">
        <v>132</v>
      </c>
      <c r="O6" s="84">
        <f t="shared" si="0"/>
        <v>-344.44444444444446</v>
      </c>
      <c r="P6" s="81">
        <v>9</v>
      </c>
      <c r="Q6" s="68">
        <v>-3100</v>
      </c>
    </row>
    <row r="7" spans="1:17" x14ac:dyDescent="0.45">
      <c r="A7" s="21" t="s">
        <v>2</v>
      </c>
      <c r="B7" s="14">
        <v>4</v>
      </c>
      <c r="C7" s="8">
        <f t="shared" ref="C7:C14" si="1">IF(B$2=0,0,B7/B$2)</f>
        <v>0.4</v>
      </c>
      <c r="E7" s="29" t="s">
        <v>68</v>
      </c>
      <c r="F7" s="26" t="s">
        <v>12</v>
      </c>
      <c r="G7" s="14">
        <v>5</v>
      </c>
      <c r="H7" s="92">
        <f>IF(B$19=0,0,G7/B$19)</f>
        <v>0.23809523809523808</v>
      </c>
      <c r="I7" s="60">
        <v>9</v>
      </c>
      <c r="K7" s="7">
        <v>5</v>
      </c>
      <c r="L7" s="65">
        <v>18</v>
      </c>
      <c r="N7" s="79" t="s">
        <v>133</v>
      </c>
      <c r="O7" s="85">
        <f t="shared" si="0"/>
        <v>6900</v>
      </c>
      <c r="P7" s="82">
        <v>6</v>
      </c>
      <c r="Q7" s="69">
        <v>41400</v>
      </c>
    </row>
    <row r="8" spans="1:17" x14ac:dyDescent="0.45">
      <c r="A8" s="21" t="s">
        <v>3</v>
      </c>
      <c r="B8" s="14">
        <v>3</v>
      </c>
      <c r="C8" s="8">
        <f t="shared" si="1"/>
        <v>0.3</v>
      </c>
      <c r="E8" s="29" t="s">
        <v>89</v>
      </c>
      <c r="F8" s="26" t="s">
        <v>44</v>
      </c>
      <c r="G8" s="14">
        <v>5</v>
      </c>
      <c r="H8" s="92">
        <f>IF(B$19=0,0,G8/B$19)</f>
        <v>0.23809523809523808</v>
      </c>
      <c r="I8" s="60">
        <v>1</v>
      </c>
      <c r="K8" s="7">
        <v>6</v>
      </c>
      <c r="L8" s="65">
        <v>43.6</v>
      </c>
      <c r="N8" s="111"/>
      <c r="O8" s="89"/>
      <c r="P8" s="112"/>
      <c r="Q8" s="74"/>
    </row>
    <row r="9" spans="1:17" x14ac:dyDescent="0.45">
      <c r="A9" s="22" t="s">
        <v>4</v>
      </c>
      <c r="B9" s="15">
        <v>3</v>
      </c>
      <c r="C9" s="9">
        <f t="shared" si="1"/>
        <v>0.3</v>
      </c>
      <c r="E9" s="29" t="s">
        <v>86</v>
      </c>
      <c r="F9" s="26" t="s">
        <v>41</v>
      </c>
      <c r="G9" s="14">
        <v>4</v>
      </c>
      <c r="H9" s="92">
        <f>IF(B$19=0,0,G9/B$19)</f>
        <v>0.19047619047619047</v>
      </c>
      <c r="I9" s="60">
        <v>2</v>
      </c>
      <c r="K9" s="7">
        <v>7</v>
      </c>
      <c r="L9" s="65">
        <v>16.900000000000002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33.375</v>
      </c>
      <c r="C10" s="114">
        <v>133.5</v>
      </c>
      <c r="E10" s="29" t="s">
        <v>65</v>
      </c>
      <c r="F10" s="26" t="s">
        <v>21</v>
      </c>
      <c r="G10" s="14">
        <v>3</v>
      </c>
      <c r="H10" s="92">
        <f>IF(B$19=0,0,G10/B$19)</f>
        <v>0.14285714285714285</v>
      </c>
      <c r="I10" s="60">
        <v>3</v>
      </c>
      <c r="K10" s="7">
        <v>8</v>
      </c>
      <c r="L10" s="65">
        <v>-9.9999999999999964</v>
      </c>
      <c r="N10" s="77" t="s">
        <v>152</v>
      </c>
      <c r="O10" s="86">
        <f>IF(P10=0,0,Q10/P10)</f>
        <v>4.6333333333333337</v>
      </c>
      <c r="P10" s="80">
        <v>3</v>
      </c>
      <c r="Q10" s="71">
        <v>13.900000000000002</v>
      </c>
    </row>
    <row r="11" spans="1:17" x14ac:dyDescent="0.45">
      <c r="A11" s="22" t="s">
        <v>186</v>
      </c>
      <c r="B11" s="113">
        <f>IF(B8=0,0,C11/B8)</f>
        <v>-6.6000000000000005</v>
      </c>
      <c r="C11" s="114">
        <v>-19.8</v>
      </c>
      <c r="E11" s="29" t="s">
        <v>69</v>
      </c>
      <c r="F11" s="26" t="s">
        <v>24</v>
      </c>
      <c r="G11" s="14">
        <v>2</v>
      </c>
      <c r="H11" s="92">
        <f>IF(B$19=0,0,G11/B$19)</f>
        <v>9.5238095238095233E-2</v>
      </c>
      <c r="I11" s="60">
        <v>6</v>
      </c>
      <c r="K11" s="7">
        <v>9</v>
      </c>
      <c r="L11" s="65">
        <v>33.5</v>
      </c>
      <c r="N11" s="78" t="s">
        <v>153</v>
      </c>
      <c r="O11" s="87">
        <f>IF(P11=0,0,Q11/P11)</f>
        <v>-23.466666666666669</v>
      </c>
      <c r="P11" s="81">
        <v>3</v>
      </c>
      <c r="Q11" s="72">
        <v>-70.400000000000006</v>
      </c>
    </row>
    <row r="12" spans="1:17" x14ac:dyDescent="0.45">
      <c r="A12" s="22" t="s">
        <v>187</v>
      </c>
      <c r="B12" s="113">
        <f>IF(B9=0,0,C12/B9)</f>
        <v>-29.233333333333331</v>
      </c>
      <c r="C12" s="114">
        <v>-87.699999999999989</v>
      </c>
      <c r="E12" s="29" t="s">
        <v>71</v>
      </c>
      <c r="F12" s="26" t="s">
        <v>26</v>
      </c>
      <c r="G12" s="14">
        <v>2</v>
      </c>
      <c r="H12" s="92">
        <f>IF(B$19=0,0,G12/B$19)</f>
        <v>9.5238095238095233E-2</v>
      </c>
      <c r="I12" s="60">
        <v>3</v>
      </c>
      <c r="K12" s="7">
        <v>10</v>
      </c>
      <c r="L12" s="65">
        <v>26</v>
      </c>
      <c r="N12" s="79" t="s">
        <v>154</v>
      </c>
      <c r="O12" s="88">
        <f>IF(P12=0,0,Q12/P12)</f>
        <v>20.625</v>
      </c>
      <c r="P12" s="82">
        <v>4</v>
      </c>
      <c r="Q12" s="73">
        <v>82.5</v>
      </c>
    </row>
    <row r="13" spans="1:17" x14ac:dyDescent="0.45">
      <c r="A13" s="22" t="s">
        <v>188</v>
      </c>
      <c r="B13" s="131">
        <f>AVERAGE(B10:B12)</f>
        <v>-0.81944444444444409</v>
      </c>
      <c r="C13" s="132"/>
      <c r="E13" s="29" t="s">
        <v>81</v>
      </c>
      <c r="F13" s="26" t="s">
        <v>36</v>
      </c>
      <c r="G13" s="14">
        <v>2</v>
      </c>
      <c r="H13" s="92">
        <f>IF(B$19=0,0,G13/B$19)</f>
        <v>9.5238095238095233E-2</v>
      </c>
      <c r="I13" s="60">
        <v>2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70</v>
      </c>
      <c r="F14" s="26" t="s">
        <v>25</v>
      </c>
      <c r="G14" s="14">
        <v>1</v>
      </c>
      <c r="H14" s="92">
        <f>IF(B$19=0,0,G14/B$19)</f>
        <v>4.7619047619047616E-2</v>
      </c>
      <c r="I14" s="60">
        <v>3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25</v>
      </c>
      <c r="C15" s="12">
        <f>IF(B$3=0,0,B15/B$3)</f>
        <v>0.30120481927710846</v>
      </c>
      <c r="E15" s="29" t="s">
        <v>78</v>
      </c>
      <c r="F15" s="26" t="s">
        <v>33</v>
      </c>
      <c r="G15" s="14">
        <v>1</v>
      </c>
      <c r="H15" s="92">
        <f>IF(B$19=0,0,G15/B$19)</f>
        <v>4.7619047619047616E-2</v>
      </c>
      <c r="I15" s="60">
        <v>3</v>
      </c>
      <c r="N15" s="77" t="s">
        <v>189</v>
      </c>
      <c r="O15" s="86">
        <f>IF(P15=0,0,Q15/P15)</f>
        <v>54.199999999999996</v>
      </c>
      <c r="P15" s="80">
        <v>2</v>
      </c>
      <c r="Q15" s="71">
        <v>108.39999999999999</v>
      </c>
    </row>
    <row r="16" spans="1:17" x14ac:dyDescent="0.45">
      <c r="A16" s="21" t="s">
        <v>118</v>
      </c>
      <c r="B16" s="14">
        <v>16</v>
      </c>
      <c r="C16" s="8">
        <f>IF(B$3=0,0,B16/B$3)</f>
        <v>0.19277108433734941</v>
      </c>
      <c r="E16" s="29" t="s">
        <v>79</v>
      </c>
      <c r="F16" s="26" t="s">
        <v>34</v>
      </c>
      <c r="G16" s="14">
        <v>1</v>
      </c>
      <c r="H16" s="92">
        <f>IF(B$19=0,0,G16/B$19)</f>
        <v>4.7619047619047616E-2</v>
      </c>
      <c r="I16" s="60">
        <v>2</v>
      </c>
      <c r="N16" s="78" t="s">
        <v>192</v>
      </c>
      <c r="O16" s="87">
        <f>IF(P16=0,0,Q16/P16)</f>
        <v>8.4714285714285733</v>
      </c>
      <c r="P16" s="81">
        <v>7</v>
      </c>
      <c r="Q16" s="72">
        <v>59.300000000000011</v>
      </c>
    </row>
    <row r="17" spans="1:17" x14ac:dyDescent="0.45">
      <c r="A17" s="20" t="s">
        <v>123</v>
      </c>
      <c r="B17" s="13">
        <f>B23</f>
        <v>12</v>
      </c>
      <c r="C17" s="6">
        <f>IF(B$15=0,0,B17/B$15)</f>
        <v>0.48</v>
      </c>
      <c r="E17" s="29" t="s">
        <v>83</v>
      </c>
      <c r="F17" s="26" t="s">
        <v>38</v>
      </c>
      <c r="G17" s="14">
        <v>1</v>
      </c>
      <c r="H17" s="92">
        <f>IF(B$19=0,0,G17/B$19)</f>
        <v>4.7619047619047616E-2</v>
      </c>
      <c r="I17" s="60">
        <v>3</v>
      </c>
      <c r="N17" s="78" t="s">
        <v>194</v>
      </c>
      <c r="O17" s="87">
        <f>IF(P17=0,0,Q17/P17)</f>
        <v>5.5333333333333341</v>
      </c>
      <c r="P17" s="81">
        <v>3</v>
      </c>
      <c r="Q17" s="72">
        <v>16.600000000000001</v>
      </c>
    </row>
    <row r="18" spans="1:17" x14ac:dyDescent="0.45">
      <c r="A18" s="20" t="s">
        <v>124</v>
      </c>
      <c r="B18" s="13">
        <f>B24</f>
        <v>5</v>
      </c>
      <c r="C18" s="6">
        <f>IF(B$16=0,0,B18/B$16)</f>
        <v>0.3125</v>
      </c>
      <c r="E18" s="29" t="s">
        <v>91</v>
      </c>
      <c r="F18" s="26" t="s">
        <v>46</v>
      </c>
      <c r="G18" s="14">
        <v>1</v>
      </c>
      <c r="H18" s="92">
        <f>IF(B$19=0,0,G18/B$19)</f>
        <v>4.7619047619047616E-2</v>
      </c>
      <c r="I18" s="60">
        <v>1</v>
      </c>
      <c r="N18" s="78" t="s">
        <v>126</v>
      </c>
      <c r="O18" s="87">
        <f>IF(P18=0,0,Q18/P18)</f>
        <v>-8.2714285714285722</v>
      </c>
      <c r="P18" s="81">
        <v>7</v>
      </c>
      <c r="Q18" s="72">
        <v>-57.900000000000006</v>
      </c>
    </row>
    <row r="19" spans="1:17" x14ac:dyDescent="0.45">
      <c r="A19" s="20" t="s">
        <v>10</v>
      </c>
      <c r="B19" s="13">
        <f>B22+B21</f>
        <v>21</v>
      </c>
      <c r="C19" s="6">
        <f>IF(B$3=0,0,B19/B$3)</f>
        <v>0.25301204819277107</v>
      </c>
      <c r="E19" s="29" t="s">
        <v>92</v>
      </c>
      <c r="F19" s="26" t="s">
        <v>47</v>
      </c>
      <c r="G19" s="14">
        <v>1</v>
      </c>
      <c r="H19" s="92">
        <f>IF(B$19=0,0,G19/B$19)</f>
        <v>4.7619047619047616E-2</v>
      </c>
      <c r="I19" s="60">
        <v>1</v>
      </c>
      <c r="N19" s="78" t="s">
        <v>193</v>
      </c>
      <c r="O19" s="87">
        <f>IF(P19=0,0,Q19/P19)</f>
        <v>-48.4</v>
      </c>
      <c r="P19" s="81">
        <v>1</v>
      </c>
      <c r="Q19" s="72">
        <v>-48.4</v>
      </c>
    </row>
    <row r="20" spans="1:17" x14ac:dyDescent="0.45">
      <c r="A20" s="21" t="s">
        <v>13</v>
      </c>
      <c r="B20" s="14">
        <v>21</v>
      </c>
      <c r="C20" s="8">
        <f>IF(B$3=0,0,B20/B$3)</f>
        <v>0.25301204819277107</v>
      </c>
      <c r="E20" s="29" t="s">
        <v>156</v>
      </c>
      <c r="F20" s="26" t="s">
        <v>157</v>
      </c>
      <c r="G20" s="14">
        <v>1</v>
      </c>
      <c r="H20" s="92">
        <f>IF(B$19=0,0,G20/B$19)</f>
        <v>4.7619047619047616E-2</v>
      </c>
      <c r="I20" s="60">
        <v>1</v>
      </c>
    </row>
    <row r="21" spans="1:17" x14ac:dyDescent="0.45">
      <c r="A21" s="21" t="s">
        <v>12</v>
      </c>
      <c r="B21" s="14">
        <v>7</v>
      </c>
      <c r="C21" s="8">
        <f>IF(B$19=0,0,B21/B$19)</f>
        <v>0.33333333333333331</v>
      </c>
      <c r="E21" s="29" t="s">
        <v>73</v>
      </c>
      <c r="F21" s="26" t="s">
        <v>28</v>
      </c>
      <c r="G21" s="14">
        <v>0</v>
      </c>
      <c r="H21" s="92">
        <f>IF(B$19=0,0,G21/B$19)</f>
        <v>0</v>
      </c>
      <c r="I21" s="60">
        <v>3</v>
      </c>
    </row>
    <row r="22" spans="1:17" x14ac:dyDescent="0.45">
      <c r="A22" s="21" t="s">
        <v>11</v>
      </c>
      <c r="B22" s="14">
        <v>14</v>
      </c>
      <c r="C22" s="8">
        <f>IF(B$19=0,0,B22/B$19)</f>
        <v>0.66666666666666663</v>
      </c>
      <c r="E22" s="29" t="s">
        <v>74</v>
      </c>
      <c r="F22" s="26" t="s">
        <v>29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184</v>
      </c>
      <c r="B23" s="14">
        <v>12</v>
      </c>
      <c r="C23" s="8">
        <f>IF(B$19=0,0,B23/B$19)</f>
        <v>0.5714285714285714</v>
      </c>
      <c r="E23" s="29" t="s">
        <v>75</v>
      </c>
      <c r="F23" s="26" t="s">
        <v>30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5</v>
      </c>
      <c r="C24" s="8">
        <f>IF(B$19=0,0,B24/B$19)</f>
        <v>0.23809523809523808</v>
      </c>
      <c r="E24" s="29" t="s">
        <v>76</v>
      </c>
      <c r="F24" s="26" t="s">
        <v>31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4</v>
      </c>
      <c r="C25" s="8">
        <f>IF(B$19=0,0,B25/B$19)</f>
        <v>0.19047619047619047</v>
      </c>
      <c r="E25" s="29" t="s">
        <v>77</v>
      </c>
      <c r="F25" s="26" t="s">
        <v>32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11923.809523809523</v>
      </c>
      <c r="C26" s="10">
        <v>250400</v>
      </c>
      <c r="E26" s="29" t="s">
        <v>80</v>
      </c>
      <c r="F26" s="26" t="s">
        <v>35</v>
      </c>
      <c r="G26" s="14">
        <v>0</v>
      </c>
      <c r="H26" s="92">
        <f>IF(B$19=0,0,G26/B$19)</f>
        <v>0</v>
      </c>
      <c r="I26" s="60">
        <v>1</v>
      </c>
    </row>
    <row r="27" spans="1:17" x14ac:dyDescent="0.45">
      <c r="A27" s="22" t="s">
        <v>166</v>
      </c>
      <c r="B27" s="99">
        <f>IF($B$19-B$18=0,0,C27/($B$19-B$18))</f>
        <v>12081.25</v>
      </c>
      <c r="C27" s="100">
        <v>193300</v>
      </c>
      <c r="E27" s="29" t="s">
        <v>82</v>
      </c>
      <c r="F27" s="26" t="s">
        <v>37</v>
      </c>
      <c r="G27" s="14">
        <v>0</v>
      </c>
      <c r="H27" s="92">
        <f>IF(B$19=0,0,G27/B$19)</f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11420</v>
      </c>
      <c r="C28" s="100">
        <v>57100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-6266.666666666667</v>
      </c>
      <c r="C29" s="100">
        <v>-131600</v>
      </c>
      <c r="E29" s="29" t="s">
        <v>85</v>
      </c>
      <c r="F29" s="26" t="s">
        <v>40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3</v>
      </c>
      <c r="C30" s="94">
        <v>0</v>
      </c>
      <c r="E30" s="29" t="s">
        <v>87</v>
      </c>
      <c r="F30" s="26" t="s">
        <v>42</v>
      </c>
      <c r="G30" s="14">
        <v>0</v>
      </c>
      <c r="H30" s="92">
        <f>IF(B$19=0,0,G30/B$19)</f>
        <v>0</v>
      </c>
      <c r="I30" s="60">
        <v>3</v>
      </c>
    </row>
    <row r="31" spans="1:17" x14ac:dyDescent="0.45">
      <c r="A31" s="21" t="s">
        <v>159</v>
      </c>
      <c r="B31" s="14">
        <v>20</v>
      </c>
      <c r="C31" s="94">
        <v>5</v>
      </c>
      <c r="E31" s="29" t="s">
        <v>88</v>
      </c>
      <c r="F31" s="26" t="s">
        <v>43</v>
      </c>
      <c r="G31" s="14">
        <v>0</v>
      </c>
      <c r="H31" s="92">
        <f>IF(B$19=0,0,G31/B$19)</f>
        <v>0</v>
      </c>
      <c r="I31" s="60">
        <v>1</v>
      </c>
    </row>
    <row r="32" spans="1:17" x14ac:dyDescent="0.45">
      <c r="A32" s="56" t="s">
        <v>136</v>
      </c>
      <c r="B32" s="133">
        <v>5</v>
      </c>
      <c r="C32" s="134"/>
      <c r="E32" s="29" t="s">
        <v>90</v>
      </c>
      <c r="F32" s="26" t="s">
        <v>45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35">
        <v>68500</v>
      </c>
      <c r="C33" s="136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3</v>
      </c>
    </row>
    <row r="34" spans="1:9" x14ac:dyDescent="0.45">
      <c r="A34" s="23" t="s">
        <v>137</v>
      </c>
      <c r="B34" s="31">
        <v>1</v>
      </c>
      <c r="C34" s="11">
        <f>IF(B$3=0,0,B34/B$3)</f>
        <v>1.2048192771084338E-2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3</v>
      </c>
    </row>
    <row r="36" spans="1:9" x14ac:dyDescent="0.45">
      <c r="A36" s="56" t="s">
        <v>172</v>
      </c>
      <c r="B36" s="121">
        <v>0</v>
      </c>
      <c r="C36" s="102">
        <f t="shared" ref="C36:C48" si="2">IF(B$19=0,0,B36/B$19)</f>
        <v>0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1</v>
      </c>
      <c r="C37" s="8">
        <f t="shared" si="2"/>
        <v>4.7619047619047616E-2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2</v>
      </c>
      <c r="C38" s="8">
        <f t="shared" si="2"/>
        <v>9.5238095238095233E-2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5</v>
      </c>
      <c r="C39" s="8">
        <f t="shared" si="2"/>
        <v>0.23809523809523808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4</v>
      </c>
      <c r="C40" s="8">
        <f t="shared" si="2"/>
        <v>0.19047619047619047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1</v>
      </c>
      <c r="C41" s="8">
        <f t="shared" si="2"/>
        <v>4.7619047619047616E-2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2">
        <v>4</v>
      </c>
      <c r="C42" s="8">
        <f t="shared" si="2"/>
        <v>0.19047619047619047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</row>
    <row r="43" spans="1:9" x14ac:dyDescent="0.45">
      <c r="A43" s="21" t="s">
        <v>175</v>
      </c>
      <c r="B43" s="122">
        <v>1</v>
      </c>
      <c r="C43" s="8">
        <f t="shared" si="2"/>
        <v>4.7619047619047616E-2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1</v>
      </c>
      <c r="C44" s="8">
        <f t="shared" si="2"/>
        <v>4.7619047619047616E-2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1</v>
      </c>
      <c r="C47" s="8">
        <f t="shared" si="2"/>
        <v>4.7619047619047616E-2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2"/>
        <v>4.7619047619047616E-2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9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ABC93-27B0-4FEF-B6DE-8343FEF7B2C7}">
  <sheetPr codeName="Sheet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189</v>
      </c>
      <c r="C1" s="138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2</v>
      </c>
      <c r="C2" s="140"/>
      <c r="E2" s="28" t="s">
        <v>66</v>
      </c>
      <c r="F2" s="25" t="s">
        <v>22</v>
      </c>
      <c r="G2" s="13">
        <v>6</v>
      </c>
      <c r="H2" s="91">
        <f>IF(B$19=0,0,G2/B$19)</f>
        <v>1.5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-2300</v>
      </c>
      <c r="P2" s="80">
        <v>2</v>
      </c>
      <c r="Q2" s="67">
        <v>-4600</v>
      </c>
    </row>
    <row r="3" spans="1:17" x14ac:dyDescent="0.45">
      <c r="A3" s="21" t="s">
        <v>8</v>
      </c>
      <c r="B3" s="141">
        <v>20</v>
      </c>
      <c r="C3" s="142"/>
      <c r="E3" s="29" t="s">
        <v>64</v>
      </c>
      <c r="F3" s="26" t="s">
        <v>20</v>
      </c>
      <c r="G3" s="14">
        <v>4</v>
      </c>
      <c r="H3" s="92">
        <f>IF(B$19=0,0,G3/B$19)</f>
        <v>1</v>
      </c>
      <c r="I3" s="60">
        <v>1</v>
      </c>
      <c r="K3" s="7">
        <v>1</v>
      </c>
      <c r="L3" s="65">
        <v>-36.299999999999997</v>
      </c>
      <c r="N3" s="78" t="s">
        <v>129</v>
      </c>
      <c r="O3" s="84">
        <f t="shared" si="0"/>
        <v>1000</v>
      </c>
      <c r="P3" s="81">
        <v>2</v>
      </c>
      <c r="Q3" s="68">
        <v>2000</v>
      </c>
    </row>
    <row r="4" spans="1:17" x14ac:dyDescent="0.45">
      <c r="A4" s="21" t="s">
        <v>6</v>
      </c>
      <c r="B4" s="143">
        <v>-75.5</v>
      </c>
      <c r="C4" s="144"/>
      <c r="E4" s="29" t="s">
        <v>65</v>
      </c>
      <c r="F4" s="26" t="s">
        <v>21</v>
      </c>
      <c r="G4" s="14">
        <v>2</v>
      </c>
      <c r="H4" s="92">
        <f>IF(B$19=0,0,G4/B$19)</f>
        <v>0.5</v>
      </c>
      <c r="I4" s="60">
        <v>1</v>
      </c>
      <c r="K4" s="7">
        <v>2</v>
      </c>
      <c r="L4" s="65">
        <v>-75.5</v>
      </c>
      <c r="N4" s="78" t="s">
        <v>130</v>
      </c>
      <c r="O4" s="84">
        <f t="shared" si="0"/>
        <v>-14750</v>
      </c>
      <c r="P4" s="81">
        <v>2</v>
      </c>
      <c r="Q4" s="68">
        <v>-29500</v>
      </c>
    </row>
    <row r="5" spans="1:17" x14ac:dyDescent="0.45">
      <c r="A5" s="21" t="s">
        <v>7</v>
      </c>
      <c r="B5" s="131">
        <f>IF(B$2=0,0,B$4/B$2)</f>
        <v>-37.75</v>
      </c>
      <c r="C5" s="132"/>
      <c r="E5" s="29" t="s">
        <v>68</v>
      </c>
      <c r="F5" s="26" t="s">
        <v>12</v>
      </c>
      <c r="G5" s="14">
        <v>1</v>
      </c>
      <c r="H5" s="92">
        <f>IF(B$19=0,0,G5/B$19)</f>
        <v>0.25</v>
      </c>
      <c r="I5" s="60">
        <v>7</v>
      </c>
      <c r="N5" s="78" t="s">
        <v>131</v>
      </c>
      <c r="O5" s="84">
        <f t="shared" si="0"/>
        <v>-1700</v>
      </c>
      <c r="P5" s="81">
        <v>2</v>
      </c>
      <c r="Q5" s="68">
        <v>-3400</v>
      </c>
    </row>
    <row r="6" spans="1:17" x14ac:dyDescent="0.45">
      <c r="A6" s="21" t="s">
        <v>1</v>
      </c>
      <c r="B6" s="145">
        <f>IF(B$2=0,0,(B$7*1+B$8*2+B$9*3)/B$2)</f>
        <v>3</v>
      </c>
      <c r="C6" s="146"/>
      <c r="E6" s="29" t="s">
        <v>72</v>
      </c>
      <c r="F6" s="26" t="s">
        <v>27</v>
      </c>
      <c r="G6" s="14">
        <v>1</v>
      </c>
      <c r="H6" s="92">
        <f>IF(B$19=0,0,G6/B$19)</f>
        <v>0.25</v>
      </c>
      <c r="I6" s="60">
        <v>8</v>
      </c>
      <c r="N6" s="78" t="s">
        <v>132</v>
      </c>
      <c r="O6" s="84">
        <f t="shared" si="0"/>
        <v>-3250</v>
      </c>
      <c r="P6" s="81">
        <v>2</v>
      </c>
      <c r="Q6" s="68">
        <v>-6500</v>
      </c>
    </row>
    <row r="7" spans="1:17" x14ac:dyDescent="0.45">
      <c r="A7" s="21" t="s">
        <v>2</v>
      </c>
      <c r="B7" s="14">
        <v>0</v>
      </c>
      <c r="C7" s="8">
        <f t="shared" ref="C7:C14" si="1">IF(B$2=0,0,B7/B$2)</f>
        <v>0</v>
      </c>
      <c r="E7" s="29" t="s">
        <v>67</v>
      </c>
      <c r="F7" s="26" t="s">
        <v>23</v>
      </c>
      <c r="G7" s="14">
        <v>0</v>
      </c>
      <c r="H7" s="92">
        <f>IF(B$19=0,0,G7/B$19)</f>
        <v>0</v>
      </c>
      <c r="I7" s="60">
        <v>9</v>
      </c>
      <c r="N7" s="79" t="s">
        <v>133</v>
      </c>
      <c r="O7" s="85">
        <f t="shared" si="0"/>
        <v>-6750</v>
      </c>
      <c r="P7" s="82">
        <v>2</v>
      </c>
      <c r="Q7" s="69">
        <v>-13500</v>
      </c>
    </row>
    <row r="8" spans="1:17" x14ac:dyDescent="0.45">
      <c r="A8" s="21" t="s">
        <v>3</v>
      </c>
      <c r="B8" s="14">
        <v>0</v>
      </c>
      <c r="C8" s="8">
        <f t="shared" si="1"/>
        <v>0</v>
      </c>
      <c r="E8" s="29" t="s">
        <v>69</v>
      </c>
      <c r="F8" s="26" t="s">
        <v>24</v>
      </c>
      <c r="G8" s="14">
        <v>0</v>
      </c>
      <c r="H8" s="92">
        <f>IF(B$19=0,0,G8/B$19)</f>
        <v>0</v>
      </c>
      <c r="I8" s="60">
        <v>8</v>
      </c>
      <c r="N8" s="111"/>
      <c r="O8" s="89"/>
      <c r="P8" s="112"/>
      <c r="Q8" s="74"/>
    </row>
    <row r="9" spans="1:17" x14ac:dyDescent="0.45">
      <c r="A9" s="22" t="s">
        <v>4</v>
      </c>
      <c r="B9" s="15">
        <v>2</v>
      </c>
      <c r="C9" s="9">
        <f t="shared" si="1"/>
        <v>1</v>
      </c>
      <c r="E9" s="29" t="s">
        <v>70</v>
      </c>
      <c r="F9" s="26" t="s">
        <v>25</v>
      </c>
      <c r="G9" s="14">
        <v>0</v>
      </c>
      <c r="H9" s="92">
        <f>IF(B$19=0,0,G9/B$19)</f>
        <v>0</v>
      </c>
      <c r="I9" s="60">
        <v>6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71</v>
      </c>
      <c r="F10" s="26" t="s">
        <v>26</v>
      </c>
      <c r="G10" s="14">
        <v>0</v>
      </c>
      <c r="H10" s="92">
        <f>IF(B$19=0,0,G10/B$19)</f>
        <v>0</v>
      </c>
      <c r="I10" s="60">
        <v>7</v>
      </c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>IF(B$19=0,0,G11/B$19)</f>
        <v>0</v>
      </c>
      <c r="I11" s="60">
        <v>3</v>
      </c>
      <c r="N11" s="78" t="s">
        <v>153</v>
      </c>
      <c r="O11" s="87">
        <f>IF(P11=0,0,Q11/P11)</f>
        <v>-37.75</v>
      </c>
      <c r="P11" s="81">
        <v>2</v>
      </c>
      <c r="Q11" s="72">
        <v>-75.5</v>
      </c>
    </row>
    <row r="12" spans="1:17" x14ac:dyDescent="0.45">
      <c r="A12" s="22" t="s">
        <v>187</v>
      </c>
      <c r="B12" s="113">
        <f>IF(B9=0,0,C12/B9)</f>
        <v>-37.75</v>
      </c>
      <c r="C12" s="114">
        <v>-75.5</v>
      </c>
      <c r="E12" s="29" t="s">
        <v>74</v>
      </c>
      <c r="F12" s="26" t="s">
        <v>29</v>
      </c>
      <c r="G12" s="14">
        <v>0</v>
      </c>
      <c r="H12" s="92">
        <f>IF(B$19=0,0,G12/B$19)</f>
        <v>0</v>
      </c>
      <c r="I12" s="60">
        <v>1</v>
      </c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31">
        <f>AVERAGE(B10:B12)</f>
        <v>-12.583333333333334</v>
      </c>
      <c r="C13" s="132"/>
      <c r="E13" s="29" t="s">
        <v>75</v>
      </c>
      <c r="F13" s="26" t="s">
        <v>30</v>
      </c>
      <c r="G13" s="14">
        <v>0</v>
      </c>
      <c r="H13" s="92">
        <f>IF(B$19=0,0,G13/B$19)</f>
        <v>0</v>
      </c>
      <c r="I13" s="60">
        <v>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76</v>
      </c>
      <c r="F14" s="26" t="s">
        <v>31</v>
      </c>
      <c r="G14" s="14">
        <v>0</v>
      </c>
      <c r="H14" s="92">
        <f>IF(B$19=0,0,G14/B$19)</f>
        <v>0</v>
      </c>
      <c r="I14" s="60">
        <v>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5</v>
      </c>
      <c r="C15" s="12">
        <f>IF(B$3=0,0,B15/B$3)</f>
        <v>0.25</v>
      </c>
      <c r="E15" s="29" t="s">
        <v>77</v>
      </c>
      <c r="F15" s="26" t="s">
        <v>32</v>
      </c>
      <c r="G15" s="14">
        <v>0</v>
      </c>
      <c r="H15" s="92">
        <f>IF(B$19=0,0,G15/B$19)</f>
        <v>0</v>
      </c>
      <c r="I15" s="60">
        <v>1</v>
      </c>
      <c r="N15" s="77" t="s">
        <v>164</v>
      </c>
      <c r="O15" s="86">
        <f>IF(P15=0,0,Q15/P15)</f>
        <v>-54.199999999999996</v>
      </c>
      <c r="P15" s="80">
        <v>2</v>
      </c>
      <c r="Q15" s="71">
        <v>-108.39999999999999</v>
      </c>
    </row>
    <row r="16" spans="1:17" x14ac:dyDescent="0.45">
      <c r="A16" s="21" t="s">
        <v>118</v>
      </c>
      <c r="B16" s="14">
        <v>1</v>
      </c>
      <c r="C16" s="8">
        <f>IF(B$3=0,0,B16/B$3)</f>
        <v>0.05</v>
      </c>
      <c r="E16" s="29" t="s">
        <v>78</v>
      </c>
      <c r="F16" s="26" t="s">
        <v>33</v>
      </c>
      <c r="G16" s="14">
        <v>0</v>
      </c>
      <c r="H16" s="92">
        <f>IF(B$19=0,0,G16/B$19)</f>
        <v>0</v>
      </c>
      <c r="I16" s="60">
        <v>5</v>
      </c>
      <c r="N16" s="78" t="s">
        <v>126</v>
      </c>
      <c r="O16" s="87">
        <f>IF(P16=0,0,Q16/P16)</f>
        <v>-59.050000000000004</v>
      </c>
      <c r="P16" s="81">
        <v>2</v>
      </c>
      <c r="Q16" s="72">
        <v>-118.10000000000001</v>
      </c>
    </row>
    <row r="17" spans="1:9" x14ac:dyDescent="0.45">
      <c r="A17" s="20" t="s">
        <v>123</v>
      </c>
      <c r="B17" s="13">
        <f>B23</f>
        <v>2</v>
      </c>
      <c r="C17" s="6">
        <f>IF(B$15=0,0,B17/B$15)</f>
        <v>0.4</v>
      </c>
      <c r="E17" s="29" t="s">
        <v>79</v>
      </c>
      <c r="F17" s="26" t="s">
        <v>34</v>
      </c>
      <c r="G17" s="14">
        <v>0</v>
      </c>
      <c r="H17" s="92">
        <f>IF(B$19=0,0,G17/B$19)</f>
        <v>0</v>
      </c>
      <c r="I17" s="60">
        <v>5</v>
      </c>
    </row>
    <row r="18" spans="1:9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>IF(B$19=0,0,G18/B$19)</f>
        <v>0</v>
      </c>
      <c r="I18" s="60">
        <v>1</v>
      </c>
    </row>
    <row r="19" spans="1:9" x14ac:dyDescent="0.45">
      <c r="A19" s="20" t="s">
        <v>10</v>
      </c>
      <c r="B19" s="13">
        <f>B22+B21</f>
        <v>4</v>
      </c>
      <c r="C19" s="6">
        <f>IF(B$3=0,0,B19/B$3)</f>
        <v>0.2</v>
      </c>
      <c r="E19" s="29" t="s">
        <v>81</v>
      </c>
      <c r="F19" s="26" t="s">
        <v>36</v>
      </c>
      <c r="G19" s="14">
        <v>0</v>
      </c>
      <c r="H19" s="92">
        <f>IF(B$19=0,0,G19/B$19)</f>
        <v>0</v>
      </c>
      <c r="I19" s="60">
        <v>5</v>
      </c>
    </row>
    <row r="20" spans="1:9" x14ac:dyDescent="0.45">
      <c r="A20" s="21" t="s">
        <v>13</v>
      </c>
      <c r="B20" s="14">
        <v>9</v>
      </c>
      <c r="C20" s="8">
        <f>IF(B$3=0,0,B20/B$3)</f>
        <v>0.45</v>
      </c>
      <c r="E20" s="29" t="s">
        <v>82</v>
      </c>
      <c r="F20" s="26" t="s">
        <v>37</v>
      </c>
      <c r="G20" s="14">
        <v>0</v>
      </c>
      <c r="H20" s="92">
        <f>IF(B$19=0,0,G20/B$19)</f>
        <v>0</v>
      </c>
      <c r="I20" s="60">
        <v>1</v>
      </c>
    </row>
    <row r="21" spans="1:9" x14ac:dyDescent="0.45">
      <c r="A21" s="21" t="s">
        <v>12</v>
      </c>
      <c r="B21" s="14">
        <v>4</v>
      </c>
      <c r="C21" s="8">
        <f>IF(B$19=0,0,B21/B$19)</f>
        <v>1</v>
      </c>
      <c r="E21" s="29" t="s">
        <v>83</v>
      </c>
      <c r="F21" s="26" t="s">
        <v>38</v>
      </c>
      <c r="G21" s="14">
        <v>0</v>
      </c>
      <c r="H21" s="92">
        <f>IF(B$19=0,0,G21/B$19)</f>
        <v>0</v>
      </c>
      <c r="I21" s="60">
        <v>5</v>
      </c>
    </row>
    <row r="22" spans="1:9" x14ac:dyDescent="0.45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>IF(B$19=0,0,G22/B$19)</f>
        <v>0</v>
      </c>
      <c r="I22" s="60">
        <v>1</v>
      </c>
    </row>
    <row r="23" spans="1:9" x14ac:dyDescent="0.45">
      <c r="A23" s="21" t="s">
        <v>184</v>
      </c>
      <c r="B23" s="14">
        <v>2</v>
      </c>
      <c r="C23" s="8">
        <f>IF(B$19=0,0,B23/B$19)</f>
        <v>0.5</v>
      </c>
      <c r="E23" s="29" t="s">
        <v>85</v>
      </c>
      <c r="F23" s="26" t="s">
        <v>40</v>
      </c>
      <c r="G23" s="14">
        <v>0</v>
      </c>
      <c r="H23" s="92">
        <f>IF(B$19=0,0,G23/B$19)</f>
        <v>0</v>
      </c>
      <c r="I23" s="60">
        <v>1</v>
      </c>
    </row>
    <row r="24" spans="1:9" x14ac:dyDescent="0.45">
      <c r="A24" s="21" t="s">
        <v>182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>IF(B$19=0,0,G24/B$19)</f>
        <v>0</v>
      </c>
      <c r="I24" s="60">
        <v>5</v>
      </c>
    </row>
    <row r="25" spans="1:9" x14ac:dyDescent="0.45">
      <c r="A25" s="21" t="s">
        <v>183</v>
      </c>
      <c r="B25" s="14">
        <v>2</v>
      </c>
      <c r="C25" s="8">
        <f>IF(B$19=0,0,B25/B$19)</f>
        <v>0.5</v>
      </c>
      <c r="E25" s="29" t="s">
        <v>87</v>
      </c>
      <c r="F25" s="26" t="s">
        <v>42</v>
      </c>
      <c r="G25" s="14">
        <v>0</v>
      </c>
      <c r="H25" s="92">
        <f>IF(B$19=0,0,G25/B$19)</f>
        <v>0</v>
      </c>
      <c r="I25" s="60">
        <v>3</v>
      </c>
    </row>
    <row r="26" spans="1:9" x14ac:dyDescent="0.45">
      <c r="A26" s="21" t="s">
        <v>5</v>
      </c>
      <c r="B26" s="18">
        <f>IF(B$19=0,0,C26/B$19)</f>
        <v>7050</v>
      </c>
      <c r="C26" s="10">
        <v>28200</v>
      </c>
      <c r="E26" s="29" t="s">
        <v>88</v>
      </c>
      <c r="F26" s="26" t="s">
        <v>43</v>
      </c>
      <c r="G26" s="14">
        <v>0</v>
      </c>
      <c r="H26" s="92">
        <f>IF(B$19=0,0,G26/B$19)</f>
        <v>0</v>
      </c>
      <c r="I26" s="60">
        <v>1</v>
      </c>
    </row>
    <row r="27" spans="1:9" x14ac:dyDescent="0.45">
      <c r="A27" s="22" t="s">
        <v>166</v>
      </c>
      <c r="B27" s="99">
        <f>IF($B$19-B$18=0,0,C27/($B$19-B$18))</f>
        <v>7050</v>
      </c>
      <c r="C27" s="100">
        <v>28200</v>
      </c>
      <c r="E27" s="29" t="s">
        <v>89</v>
      </c>
      <c r="F27" s="26" t="s">
        <v>44</v>
      </c>
      <c r="G27" s="14">
        <v>0</v>
      </c>
      <c r="H27" s="92">
        <f>IF(B$19=0,0,G27/B$19)</f>
        <v>0</v>
      </c>
      <c r="I27" s="60">
        <v>6</v>
      </c>
    </row>
    <row r="28" spans="1:9" x14ac:dyDescent="0.45">
      <c r="A28" s="22" t="s">
        <v>167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>IF(B$19=0,0,G28/B$19)</f>
        <v>0</v>
      </c>
      <c r="I28" s="60">
        <v>1</v>
      </c>
    </row>
    <row r="29" spans="1:9" x14ac:dyDescent="0.45">
      <c r="A29" s="22" t="s">
        <v>165</v>
      </c>
      <c r="B29" s="99">
        <f>IF(B$20=0,0,C29/B$20)</f>
        <v>-6088.8888888888887</v>
      </c>
      <c r="C29" s="100">
        <v>-54800</v>
      </c>
      <c r="E29" s="29" t="s">
        <v>91</v>
      </c>
      <c r="F29" s="26" t="s">
        <v>46</v>
      </c>
      <c r="G29" s="14">
        <v>0</v>
      </c>
      <c r="H29" s="92">
        <f>IF(B$19=0,0,G29/B$19)</f>
        <v>0</v>
      </c>
      <c r="I29" s="60">
        <v>4</v>
      </c>
    </row>
    <row r="30" spans="1:9" x14ac:dyDescent="0.45">
      <c r="A30" s="21" t="s">
        <v>158</v>
      </c>
      <c r="B30" s="14">
        <v>2</v>
      </c>
      <c r="C30" s="94">
        <v>0</v>
      </c>
      <c r="E30" s="29" t="s">
        <v>92</v>
      </c>
      <c r="F30" s="26" t="s">
        <v>47</v>
      </c>
      <c r="G30" s="14">
        <v>0</v>
      </c>
      <c r="H30" s="92">
        <f>IF(B$19=0,0,G30/B$19)</f>
        <v>0</v>
      </c>
      <c r="I30" s="60">
        <v>4</v>
      </c>
    </row>
    <row r="31" spans="1:9" x14ac:dyDescent="0.45">
      <c r="A31" s="21" t="s">
        <v>159</v>
      </c>
      <c r="B31" s="14">
        <v>2</v>
      </c>
      <c r="C31" s="94">
        <v>0</v>
      </c>
      <c r="E31" s="29" t="s">
        <v>93</v>
      </c>
      <c r="F31" s="26" t="s">
        <v>48</v>
      </c>
      <c r="G31" s="14">
        <v>0</v>
      </c>
      <c r="H31" s="92">
        <f>IF(B$19=0,0,G31/B$19)</f>
        <v>0</v>
      </c>
      <c r="I31" s="60">
        <v>3</v>
      </c>
    </row>
    <row r="32" spans="1:9" x14ac:dyDescent="0.45">
      <c r="A32" s="56" t="s">
        <v>136</v>
      </c>
      <c r="B32" s="133">
        <v>3</v>
      </c>
      <c r="C32" s="134"/>
      <c r="E32" s="29" t="s">
        <v>94</v>
      </c>
      <c r="F32" s="26" t="s">
        <v>49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35">
        <v>8700</v>
      </c>
      <c r="C33" s="136"/>
      <c r="E33" s="29" t="s">
        <v>95</v>
      </c>
      <c r="F33" s="26" t="s">
        <v>50</v>
      </c>
      <c r="G33" s="14">
        <v>0</v>
      </c>
      <c r="H33" s="92">
        <f>IF(B$19=0,0,G33/B$19)</f>
        <v>0</v>
      </c>
      <c r="I33" s="60">
        <v>3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97</v>
      </c>
      <c r="F35" s="26" t="s">
        <v>52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0</v>
      </c>
      <c r="C36" s="102">
        <f t="shared" ref="C36:C48" si="2">IF(B$19=0,0,B36/B$19)</f>
        <v>0</v>
      </c>
      <c r="E36" s="29" t="s">
        <v>98</v>
      </c>
      <c r="F36" s="26" t="s">
        <v>53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2</v>
      </c>
      <c r="C37" s="8">
        <f t="shared" si="2"/>
        <v>0.5</v>
      </c>
      <c r="E37" s="29" t="s">
        <v>99</v>
      </c>
      <c r="F37" s="26" t="s">
        <v>54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0</v>
      </c>
      <c r="C38" s="8">
        <f t="shared" si="2"/>
        <v>0</v>
      </c>
      <c r="E38" s="29" t="s">
        <v>100</v>
      </c>
      <c r="F38" s="26" t="s">
        <v>55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0</v>
      </c>
      <c r="C39" s="8">
        <f t="shared" si="2"/>
        <v>0</v>
      </c>
      <c r="E39" s="29" t="s">
        <v>101</v>
      </c>
      <c r="F39" s="26" t="s">
        <v>56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2</v>
      </c>
      <c r="C40" s="8">
        <f t="shared" si="2"/>
        <v>0.5</v>
      </c>
      <c r="E40" s="29" t="s">
        <v>102</v>
      </c>
      <c r="F40" s="26" t="s">
        <v>57</v>
      </c>
      <c r="G40" s="14">
        <v>0</v>
      </c>
      <c r="H40" s="92">
        <f>IF(B$19=0,0,G40/B$19)</f>
        <v>0</v>
      </c>
      <c r="I40" s="60">
        <v>3</v>
      </c>
    </row>
    <row r="41" spans="1:9" x14ac:dyDescent="0.45">
      <c r="A41" s="21" t="s">
        <v>173</v>
      </c>
      <c r="B41" s="122">
        <v>0</v>
      </c>
      <c r="C41" s="8">
        <f t="shared" si="2"/>
        <v>0</v>
      </c>
      <c r="E41" s="29" t="s">
        <v>103</v>
      </c>
      <c r="F41" s="26" t="s">
        <v>58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2">
        <v>0</v>
      </c>
      <c r="C42" s="8">
        <f t="shared" si="2"/>
        <v>0</v>
      </c>
      <c r="E42" s="29" t="s">
        <v>104</v>
      </c>
      <c r="F42" s="26" t="s">
        <v>59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105</v>
      </c>
      <c r="F43" s="26" t="s">
        <v>112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106</v>
      </c>
      <c r="F44" s="26" t="s">
        <v>113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107</v>
      </c>
      <c r="F45" s="26" t="s">
        <v>114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108</v>
      </c>
      <c r="F46" s="26" t="s">
        <v>60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109</v>
      </c>
      <c r="F47" s="26" t="s">
        <v>61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110</v>
      </c>
      <c r="F48" s="26" t="s">
        <v>62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111</v>
      </c>
      <c r="F49" s="26" t="s">
        <v>63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156</v>
      </c>
      <c r="F50" s="26" t="s">
        <v>157</v>
      </c>
      <c r="G50" s="14">
        <v>0</v>
      </c>
      <c r="H50" s="92">
        <f>IF(B$19=0,0,G50/B$19)</f>
        <v>0</v>
      </c>
      <c r="I50" s="60">
        <v>4</v>
      </c>
    </row>
    <row r="51" spans="5:9" x14ac:dyDescent="0.45">
      <c r="E51" s="95" t="s">
        <v>160</v>
      </c>
      <c r="F51" s="96" t="s">
        <v>161</v>
      </c>
      <c r="G51" s="15">
        <v>0</v>
      </c>
      <c r="H51" s="97">
        <f>IF(B$19=0,0,G51/B$19)</f>
        <v>0</v>
      </c>
      <c r="I51" s="98">
        <v>8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599EB-1907-4BBD-B0BD-5F411B8FBA97}">
  <sheetPr codeName="Sheet1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126</v>
      </c>
      <c r="C1" s="138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16</v>
      </c>
      <c r="C2" s="140"/>
      <c r="E2" s="28" t="s">
        <v>66</v>
      </c>
      <c r="F2" s="25" t="s">
        <v>22</v>
      </c>
      <c r="G2" s="13">
        <v>27</v>
      </c>
      <c r="H2" s="91">
        <f>IF(B$19=0,0,G2/B$19)</f>
        <v>0.5625</v>
      </c>
      <c r="I2" s="59">
        <v>7</v>
      </c>
      <c r="K2" s="5">
        <v>0</v>
      </c>
      <c r="L2" s="64">
        <v>0</v>
      </c>
      <c r="N2" s="77" t="s">
        <v>128</v>
      </c>
      <c r="O2" s="83">
        <f t="shared" ref="O2:O7" si="0">IF(P2=0,0,Q2/P2)</f>
        <v>2068.75</v>
      </c>
      <c r="P2" s="80">
        <v>16</v>
      </c>
      <c r="Q2" s="67">
        <v>33100</v>
      </c>
    </row>
    <row r="3" spans="1:17" x14ac:dyDescent="0.45">
      <c r="A3" s="21" t="s">
        <v>8</v>
      </c>
      <c r="B3" s="141">
        <v>125</v>
      </c>
      <c r="C3" s="142"/>
      <c r="E3" s="29" t="s">
        <v>72</v>
      </c>
      <c r="F3" s="26" t="s">
        <v>27</v>
      </c>
      <c r="G3" s="14">
        <v>25</v>
      </c>
      <c r="H3" s="92">
        <f>IF(B$19=0,0,G3/B$19)</f>
        <v>0.52083333333333337</v>
      </c>
      <c r="I3" s="60">
        <v>6</v>
      </c>
      <c r="K3" s="7">
        <v>1</v>
      </c>
      <c r="L3" s="65">
        <v>39.200000000000003</v>
      </c>
      <c r="N3" s="78" t="s">
        <v>129</v>
      </c>
      <c r="O3" s="84">
        <f t="shared" si="0"/>
        <v>3831.25</v>
      </c>
      <c r="P3" s="81">
        <v>16</v>
      </c>
      <c r="Q3" s="68">
        <v>61300</v>
      </c>
    </row>
    <row r="4" spans="1:17" x14ac:dyDescent="0.45">
      <c r="A4" s="21" t="s">
        <v>6</v>
      </c>
      <c r="B4" s="143">
        <v>273.8</v>
      </c>
      <c r="C4" s="144"/>
      <c r="E4" s="29" t="s">
        <v>64</v>
      </c>
      <c r="F4" s="26" t="s">
        <v>20</v>
      </c>
      <c r="G4" s="14">
        <v>16</v>
      </c>
      <c r="H4" s="92">
        <f>IF(B$19=0,0,G4/B$19)</f>
        <v>0.33333333333333331</v>
      </c>
      <c r="I4" s="60">
        <v>8</v>
      </c>
      <c r="K4" s="7">
        <v>2</v>
      </c>
      <c r="L4" s="65">
        <v>99.6</v>
      </c>
      <c r="N4" s="78" t="s">
        <v>130</v>
      </c>
      <c r="O4" s="84">
        <f t="shared" si="0"/>
        <v>2231.25</v>
      </c>
      <c r="P4" s="81">
        <v>16</v>
      </c>
      <c r="Q4" s="68">
        <v>35700</v>
      </c>
    </row>
    <row r="5" spans="1:17" x14ac:dyDescent="0.45">
      <c r="A5" s="21" t="s">
        <v>7</v>
      </c>
      <c r="B5" s="131">
        <f>IF(B$2=0,0,B$4/B$2)</f>
        <v>17.112500000000001</v>
      </c>
      <c r="C5" s="132"/>
      <c r="E5" s="29" t="s">
        <v>68</v>
      </c>
      <c r="F5" s="26" t="s">
        <v>12</v>
      </c>
      <c r="G5" s="14">
        <v>14</v>
      </c>
      <c r="H5" s="92">
        <f>IF(B$19=0,0,G5/B$19)</f>
        <v>0.29166666666666669</v>
      </c>
      <c r="I5" s="60">
        <v>3</v>
      </c>
      <c r="K5" s="7">
        <v>3</v>
      </c>
      <c r="L5" s="65">
        <v>98.1</v>
      </c>
      <c r="N5" s="78" t="s">
        <v>131</v>
      </c>
      <c r="O5" s="84">
        <f t="shared" si="0"/>
        <v>4593.333333333333</v>
      </c>
      <c r="P5" s="81">
        <v>15</v>
      </c>
      <c r="Q5" s="68">
        <v>68900</v>
      </c>
    </row>
    <row r="6" spans="1:17" x14ac:dyDescent="0.45">
      <c r="A6" s="21" t="s">
        <v>1</v>
      </c>
      <c r="B6" s="145">
        <f>IF(B$2=0,0,(B$7*1+B$8*2+B$9*3)/B$2)</f>
        <v>1.6875</v>
      </c>
      <c r="C6" s="146"/>
      <c r="E6" s="29" t="s">
        <v>160</v>
      </c>
      <c r="F6" s="26" t="s">
        <v>161</v>
      </c>
      <c r="G6" s="14">
        <v>14</v>
      </c>
      <c r="H6" s="92">
        <f>IF(B$19=0,0,G6/B$19)</f>
        <v>0.29166666666666669</v>
      </c>
      <c r="I6" s="60">
        <v>6</v>
      </c>
      <c r="K6" s="7">
        <v>4</v>
      </c>
      <c r="L6" s="65">
        <v>101.5</v>
      </c>
      <c r="N6" s="78" t="s">
        <v>132</v>
      </c>
      <c r="O6" s="84">
        <f t="shared" si="0"/>
        <v>-1253.8461538461538</v>
      </c>
      <c r="P6" s="81">
        <v>13</v>
      </c>
      <c r="Q6" s="68">
        <v>-16300</v>
      </c>
    </row>
    <row r="7" spans="1:17" x14ac:dyDescent="0.45">
      <c r="A7" s="21" t="s">
        <v>2</v>
      </c>
      <c r="B7" s="14">
        <v>8</v>
      </c>
      <c r="C7" s="8">
        <f t="shared" ref="C7:C14" si="1">IF(B$2=0,0,B7/B$2)</f>
        <v>0.5</v>
      </c>
      <c r="E7" s="29" t="s">
        <v>67</v>
      </c>
      <c r="F7" s="26" t="s">
        <v>23</v>
      </c>
      <c r="G7" s="14">
        <v>9</v>
      </c>
      <c r="H7" s="92">
        <f>IF(B$19=0,0,G7/B$19)</f>
        <v>0.1875</v>
      </c>
      <c r="I7" s="60">
        <v>7</v>
      </c>
      <c r="K7" s="7">
        <v>5</v>
      </c>
      <c r="L7" s="65">
        <v>143.1</v>
      </c>
      <c r="N7" s="79" t="s">
        <v>133</v>
      </c>
      <c r="O7" s="85">
        <f t="shared" si="0"/>
        <v>-1075</v>
      </c>
      <c r="P7" s="82">
        <v>8</v>
      </c>
      <c r="Q7" s="69">
        <v>-8600</v>
      </c>
    </row>
    <row r="8" spans="1:17" x14ac:dyDescent="0.45">
      <c r="A8" s="21" t="s">
        <v>3</v>
      </c>
      <c r="B8" s="14">
        <v>5</v>
      </c>
      <c r="C8" s="8">
        <f t="shared" si="1"/>
        <v>0.3125</v>
      </c>
      <c r="E8" s="29" t="s">
        <v>89</v>
      </c>
      <c r="F8" s="26" t="s">
        <v>44</v>
      </c>
      <c r="G8" s="14">
        <v>9</v>
      </c>
      <c r="H8" s="92">
        <f>IF(B$19=0,0,G8/B$19)</f>
        <v>0.1875</v>
      </c>
      <c r="I8" s="60">
        <v>3</v>
      </c>
      <c r="K8" s="7">
        <v>6</v>
      </c>
      <c r="L8" s="65">
        <v>164.5</v>
      </c>
      <c r="N8" s="111"/>
      <c r="O8" s="89"/>
      <c r="P8" s="112"/>
      <c r="Q8" s="74"/>
    </row>
    <row r="9" spans="1:17" x14ac:dyDescent="0.45">
      <c r="A9" s="22" t="s">
        <v>4</v>
      </c>
      <c r="B9" s="15">
        <v>3</v>
      </c>
      <c r="C9" s="9">
        <f t="shared" si="1"/>
        <v>0.1875</v>
      </c>
      <c r="E9" s="29" t="s">
        <v>69</v>
      </c>
      <c r="F9" s="26" t="s">
        <v>24</v>
      </c>
      <c r="G9" s="14">
        <v>6</v>
      </c>
      <c r="H9" s="92">
        <f>IF(B$19=0,0,G9/B$19)</f>
        <v>0.125</v>
      </c>
      <c r="I9" s="60">
        <v>3</v>
      </c>
      <c r="K9" s="7">
        <v>7</v>
      </c>
      <c r="L9" s="65">
        <v>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46.4375</v>
      </c>
      <c r="C10" s="114">
        <v>371.5</v>
      </c>
      <c r="E10" s="29" t="s">
        <v>71</v>
      </c>
      <c r="F10" s="26" t="s">
        <v>26</v>
      </c>
      <c r="G10" s="14">
        <v>5</v>
      </c>
      <c r="H10" s="92">
        <f>IF(B$19=0,0,G10/B$19)</f>
        <v>0.10416666666666667</v>
      </c>
      <c r="I10" s="60">
        <v>2</v>
      </c>
      <c r="K10" s="7">
        <v>8</v>
      </c>
      <c r="L10" s="65">
        <v>132.6</v>
      </c>
      <c r="N10" s="77" t="s">
        <v>152</v>
      </c>
      <c r="O10" s="86">
        <f>IF(P10=0,0,Q10/P10)</f>
        <v>6.18</v>
      </c>
      <c r="P10" s="80">
        <v>5</v>
      </c>
      <c r="Q10" s="71">
        <v>30.9</v>
      </c>
    </row>
    <row r="11" spans="1:17" x14ac:dyDescent="0.45">
      <c r="A11" s="22" t="s">
        <v>186</v>
      </c>
      <c r="B11" s="113">
        <f>IF(B8=0,0,C11/B8)</f>
        <v>3.72</v>
      </c>
      <c r="C11" s="114">
        <v>18.600000000000001</v>
      </c>
      <c r="E11" s="29" t="s">
        <v>86</v>
      </c>
      <c r="F11" s="26" t="s">
        <v>41</v>
      </c>
      <c r="G11" s="14">
        <v>5</v>
      </c>
      <c r="H11" s="92">
        <f>IF(B$19=0,0,G11/B$19)</f>
        <v>0.10416666666666667</v>
      </c>
      <c r="I11" s="60">
        <v>3</v>
      </c>
      <c r="K11" s="7">
        <v>9</v>
      </c>
      <c r="L11" s="65">
        <v>151.29999999999998</v>
      </c>
      <c r="N11" s="78" t="s">
        <v>153</v>
      </c>
      <c r="O11" s="87">
        <f>IF(P11=0,0,Q11/P11)</f>
        <v>22.9</v>
      </c>
      <c r="P11" s="81">
        <v>5</v>
      </c>
      <c r="Q11" s="72">
        <v>114.5</v>
      </c>
    </row>
    <row r="12" spans="1:17" x14ac:dyDescent="0.45">
      <c r="A12" s="22" t="s">
        <v>187</v>
      </c>
      <c r="B12" s="113">
        <f>IF(B9=0,0,C12/B9)</f>
        <v>-38.766666666666666</v>
      </c>
      <c r="C12" s="114">
        <v>-116.3</v>
      </c>
      <c r="E12" s="29" t="s">
        <v>65</v>
      </c>
      <c r="F12" s="26" t="s">
        <v>21</v>
      </c>
      <c r="G12" s="14">
        <v>3</v>
      </c>
      <c r="H12" s="92">
        <f>IF(B$19=0,0,G12/B$19)</f>
        <v>6.25E-2</v>
      </c>
      <c r="I12" s="60">
        <v>8</v>
      </c>
      <c r="K12" s="7">
        <v>10</v>
      </c>
      <c r="L12" s="65">
        <v>229</v>
      </c>
      <c r="N12" s="79" t="s">
        <v>154</v>
      </c>
      <c r="O12" s="88">
        <f>IF(P12=0,0,Q12/P12)</f>
        <v>21.400000000000006</v>
      </c>
      <c r="P12" s="82">
        <v>6</v>
      </c>
      <c r="Q12" s="73">
        <v>128.40000000000003</v>
      </c>
    </row>
    <row r="13" spans="1:17" x14ac:dyDescent="0.45">
      <c r="A13" s="22" t="s">
        <v>188</v>
      </c>
      <c r="B13" s="131">
        <f>AVERAGE(B10:B12)</f>
        <v>3.7969444444444442</v>
      </c>
      <c r="C13" s="132"/>
      <c r="E13" s="29" t="s">
        <v>83</v>
      </c>
      <c r="F13" s="26" t="s">
        <v>38</v>
      </c>
      <c r="G13" s="14">
        <v>3</v>
      </c>
      <c r="H13" s="92">
        <f>IF(B$19=0,0,G13/B$19)</f>
        <v>6.25E-2</v>
      </c>
      <c r="I13" s="60">
        <v>2</v>
      </c>
      <c r="K13" s="7">
        <v>11</v>
      </c>
      <c r="L13" s="65">
        <v>242.7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70</v>
      </c>
      <c r="F14" s="26" t="s">
        <v>25</v>
      </c>
      <c r="G14" s="14">
        <v>2</v>
      </c>
      <c r="H14" s="92">
        <f>IF(B$19=0,0,G14/B$19)</f>
        <v>4.1666666666666664E-2</v>
      </c>
      <c r="I14" s="60">
        <v>5</v>
      </c>
      <c r="K14" s="7">
        <v>12</v>
      </c>
      <c r="L14" s="65">
        <v>198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30</v>
      </c>
      <c r="C15" s="12">
        <f>IF(B$3=0,0,B15/B$3)</f>
        <v>0.24</v>
      </c>
      <c r="E15" s="29" t="s">
        <v>79</v>
      </c>
      <c r="F15" s="26" t="s">
        <v>34</v>
      </c>
      <c r="G15" s="14">
        <v>2</v>
      </c>
      <c r="H15" s="92">
        <f>IF(B$19=0,0,G15/B$19)</f>
        <v>4.1666666666666664E-2</v>
      </c>
      <c r="I15" s="60">
        <v>3</v>
      </c>
      <c r="K15" s="7">
        <v>13</v>
      </c>
      <c r="L15" s="65">
        <v>197</v>
      </c>
      <c r="N15" s="77" t="s">
        <v>189</v>
      </c>
      <c r="O15" s="86">
        <f>IF(P15=0,0,Q15/P15)</f>
        <v>59.050000000000004</v>
      </c>
      <c r="P15" s="80">
        <v>2</v>
      </c>
      <c r="Q15" s="71">
        <v>118.10000000000001</v>
      </c>
    </row>
    <row r="16" spans="1:17" x14ac:dyDescent="0.45">
      <c r="A16" s="21" t="s">
        <v>118</v>
      </c>
      <c r="B16" s="14">
        <v>26</v>
      </c>
      <c r="C16" s="8">
        <f>IF(B$3=0,0,B16/B$3)</f>
        <v>0.20799999999999999</v>
      </c>
      <c r="E16" s="29" t="s">
        <v>73</v>
      </c>
      <c r="F16" s="26" t="s">
        <v>28</v>
      </c>
      <c r="G16" s="14">
        <v>1</v>
      </c>
      <c r="H16" s="92">
        <f>IF(B$19=0,0,G16/B$19)</f>
        <v>2.0833333333333332E-2</v>
      </c>
      <c r="I16" s="60">
        <v>1</v>
      </c>
      <c r="K16" s="7">
        <v>14</v>
      </c>
      <c r="L16" s="65">
        <v>249.2</v>
      </c>
      <c r="N16" s="78" t="s">
        <v>193</v>
      </c>
      <c r="O16" s="87">
        <f>IF(P16=0,0,Q16/P16)</f>
        <v>55.05</v>
      </c>
      <c r="P16" s="81">
        <v>2</v>
      </c>
      <c r="Q16" s="72">
        <v>110.1</v>
      </c>
    </row>
    <row r="17" spans="1:17" x14ac:dyDescent="0.45">
      <c r="A17" s="20" t="s">
        <v>123</v>
      </c>
      <c r="B17" s="13">
        <f>B23</f>
        <v>18</v>
      </c>
      <c r="C17" s="6">
        <f>IF(B$15=0,0,B17/B$15)</f>
        <v>0.6</v>
      </c>
      <c r="E17" s="29" t="s">
        <v>87</v>
      </c>
      <c r="F17" s="26" t="s">
        <v>42</v>
      </c>
      <c r="G17" s="14">
        <v>1</v>
      </c>
      <c r="H17" s="92">
        <f>IF(B$19=0,0,G17/B$19)</f>
        <v>2.0833333333333332E-2</v>
      </c>
      <c r="I17" s="60">
        <v>1</v>
      </c>
      <c r="K17" s="7">
        <v>15</v>
      </c>
      <c r="L17" s="65">
        <v>213.5</v>
      </c>
      <c r="N17" s="78" t="s">
        <v>194</v>
      </c>
      <c r="O17" s="87">
        <f>IF(P17=0,0,Q17/P17)</f>
        <v>35</v>
      </c>
      <c r="P17" s="81">
        <v>3</v>
      </c>
      <c r="Q17" s="72">
        <v>105</v>
      </c>
    </row>
    <row r="18" spans="1:17" x14ac:dyDescent="0.45">
      <c r="A18" s="20" t="s">
        <v>124</v>
      </c>
      <c r="B18" s="13">
        <f>B24</f>
        <v>14</v>
      </c>
      <c r="C18" s="6">
        <f>IF(B$16=0,0,B18/B$16)</f>
        <v>0.53846153846153844</v>
      </c>
      <c r="E18" s="29" t="s">
        <v>91</v>
      </c>
      <c r="F18" s="26" t="s">
        <v>46</v>
      </c>
      <c r="G18" s="14">
        <v>1</v>
      </c>
      <c r="H18" s="92">
        <f>IF(B$19=0,0,G18/B$19)</f>
        <v>2.0833333333333332E-2</v>
      </c>
      <c r="I18" s="60">
        <v>2</v>
      </c>
      <c r="K18" s="7">
        <v>16</v>
      </c>
      <c r="L18" s="65">
        <v>273.8</v>
      </c>
      <c r="N18" s="78" t="s">
        <v>196</v>
      </c>
      <c r="O18" s="87">
        <f>IF(P18=0,0,Q18/P18)</f>
        <v>34.9</v>
      </c>
      <c r="P18" s="81">
        <v>2</v>
      </c>
      <c r="Q18" s="72">
        <v>69.8</v>
      </c>
    </row>
    <row r="19" spans="1:17" x14ac:dyDescent="0.45">
      <c r="A19" s="20" t="s">
        <v>10</v>
      </c>
      <c r="B19" s="13">
        <f>B22+B21</f>
        <v>48</v>
      </c>
      <c r="C19" s="6">
        <f>IF(B$3=0,0,B19/B$3)</f>
        <v>0.38400000000000001</v>
      </c>
      <c r="E19" s="29" t="s">
        <v>92</v>
      </c>
      <c r="F19" s="26" t="s">
        <v>47</v>
      </c>
      <c r="G19" s="14">
        <v>1</v>
      </c>
      <c r="H19" s="92">
        <f>IF(B$19=0,0,G19/B$19)</f>
        <v>2.0833333333333332E-2</v>
      </c>
      <c r="I19" s="60">
        <v>2</v>
      </c>
      <c r="N19" s="78" t="s">
        <v>192</v>
      </c>
      <c r="O19" s="87">
        <f>IF(P19=0,0,Q19/P19)</f>
        <v>27.915384615384614</v>
      </c>
      <c r="P19" s="81">
        <v>13</v>
      </c>
      <c r="Q19" s="72">
        <v>362.9</v>
      </c>
    </row>
    <row r="20" spans="1:17" x14ac:dyDescent="0.45">
      <c r="A20" s="21" t="s">
        <v>13</v>
      </c>
      <c r="B20" s="14">
        <v>16</v>
      </c>
      <c r="C20" s="8">
        <f>IF(B$3=0,0,B20/B$3)</f>
        <v>0.128</v>
      </c>
      <c r="E20" s="29" t="s">
        <v>93</v>
      </c>
      <c r="F20" s="26" t="s">
        <v>48</v>
      </c>
      <c r="G20" s="14">
        <v>1</v>
      </c>
      <c r="H20" s="92">
        <f>IF(B$19=0,0,G20/B$19)</f>
        <v>2.0833333333333332E-2</v>
      </c>
      <c r="I20" s="60">
        <v>1</v>
      </c>
      <c r="N20" s="78" t="s">
        <v>164</v>
      </c>
      <c r="O20" s="87">
        <f>IF(P20=0,0,Q20/P20)</f>
        <v>8.2714285714285722</v>
      </c>
      <c r="P20" s="81">
        <v>7</v>
      </c>
      <c r="Q20" s="72">
        <v>57.900000000000006</v>
      </c>
    </row>
    <row r="21" spans="1:17" x14ac:dyDescent="0.45">
      <c r="A21" s="21" t="s">
        <v>12</v>
      </c>
      <c r="B21" s="14">
        <v>22</v>
      </c>
      <c r="C21" s="8">
        <f>IF(B$19=0,0,B21/B$19)</f>
        <v>0.45833333333333331</v>
      </c>
      <c r="E21" s="29" t="s">
        <v>95</v>
      </c>
      <c r="F21" s="26" t="s">
        <v>50</v>
      </c>
      <c r="G21" s="14">
        <v>1</v>
      </c>
      <c r="H21" s="92">
        <f>IF(B$19=0,0,G21/B$19)</f>
        <v>2.0833333333333332E-2</v>
      </c>
      <c r="I21" s="60">
        <v>1</v>
      </c>
      <c r="N21" s="78" t="s">
        <v>205</v>
      </c>
      <c r="O21" s="87">
        <f>IF(P21=0,0,Q21/P21)</f>
        <v>-0.80000000000000193</v>
      </c>
      <c r="P21" s="81">
        <v>3</v>
      </c>
      <c r="Q21" s="72">
        <v>-2.4000000000000057</v>
      </c>
    </row>
    <row r="22" spans="1:17" x14ac:dyDescent="0.45">
      <c r="A22" s="21" t="s">
        <v>11</v>
      </c>
      <c r="B22" s="14">
        <v>26</v>
      </c>
      <c r="C22" s="8">
        <f>IF(B$19=0,0,B22/B$19)</f>
        <v>0.54166666666666663</v>
      </c>
      <c r="E22" s="29" t="s">
        <v>156</v>
      </c>
      <c r="F22" s="26" t="s">
        <v>157</v>
      </c>
      <c r="G22" s="14">
        <v>1</v>
      </c>
      <c r="H22" s="92">
        <f>IF(B$19=0,0,G22/B$19)</f>
        <v>2.0833333333333332E-2</v>
      </c>
      <c r="I22" s="60">
        <v>2</v>
      </c>
    </row>
    <row r="23" spans="1:17" x14ac:dyDescent="0.45">
      <c r="A23" s="21" t="s">
        <v>184</v>
      </c>
      <c r="B23" s="14">
        <v>18</v>
      </c>
      <c r="C23" s="8">
        <f>IF(B$19=0,0,B23/B$19)</f>
        <v>0.375</v>
      </c>
      <c r="E23" s="29" t="s">
        <v>74</v>
      </c>
      <c r="F23" s="26" t="s">
        <v>29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14</v>
      </c>
      <c r="C24" s="8">
        <f>IF(B$19=0,0,B24/B$19)</f>
        <v>0.29166666666666669</v>
      </c>
      <c r="E24" s="29" t="s">
        <v>75</v>
      </c>
      <c r="F24" s="26" t="s">
        <v>30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16</v>
      </c>
      <c r="C25" s="8">
        <f>IF(B$19=0,0,B25/B$19)</f>
        <v>0.33333333333333331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9218.75</v>
      </c>
      <c r="C26" s="10">
        <v>442500</v>
      </c>
      <c r="E26" s="29" t="s">
        <v>77</v>
      </c>
      <c r="F26" s="26" t="s">
        <v>32</v>
      </c>
      <c r="G26" s="14">
        <v>0</v>
      </c>
      <c r="H26" s="92">
        <f>IF(B$19=0,0,G26/B$19)</f>
        <v>0</v>
      </c>
      <c r="I26" s="60">
        <v>1</v>
      </c>
    </row>
    <row r="27" spans="1:17" x14ac:dyDescent="0.45">
      <c r="A27" s="22" t="s">
        <v>166</v>
      </c>
      <c r="B27" s="99">
        <f>IF($B$19-B$18=0,0,C27/($B$19-B$18))</f>
        <v>9123.5294117647063</v>
      </c>
      <c r="C27" s="100">
        <v>310200</v>
      </c>
      <c r="E27" s="29" t="s">
        <v>78</v>
      </c>
      <c r="F27" s="26" t="s">
        <v>33</v>
      </c>
      <c r="G27" s="14">
        <v>0</v>
      </c>
      <c r="H27" s="92">
        <f>IF(B$19=0,0,G27/B$19)</f>
        <v>0</v>
      </c>
      <c r="I27" s="60">
        <v>5</v>
      </c>
    </row>
    <row r="28" spans="1:17" x14ac:dyDescent="0.45">
      <c r="A28" s="22" t="s">
        <v>167</v>
      </c>
      <c r="B28" s="99">
        <f>IF(B$18=0,0,C28/B$18)</f>
        <v>9450</v>
      </c>
      <c r="C28" s="100">
        <v>132300</v>
      </c>
      <c r="E28" s="29" t="s">
        <v>80</v>
      </c>
      <c r="F28" s="26" t="s">
        <v>35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-8868.75</v>
      </c>
      <c r="C29" s="100">
        <v>-141900</v>
      </c>
      <c r="E29" s="29" t="s">
        <v>81</v>
      </c>
      <c r="F29" s="26" t="s">
        <v>36</v>
      </c>
      <c r="G29" s="14">
        <v>0</v>
      </c>
      <c r="H29" s="92">
        <f>IF(B$19=0,0,G29/B$19)</f>
        <v>0</v>
      </c>
      <c r="I29" s="60">
        <v>5</v>
      </c>
    </row>
    <row r="30" spans="1:17" x14ac:dyDescent="0.45">
      <c r="A30" s="21" t="s">
        <v>158</v>
      </c>
      <c r="B30" s="14">
        <v>4</v>
      </c>
      <c r="C30" s="94">
        <v>3</v>
      </c>
      <c r="E30" s="29" t="s">
        <v>82</v>
      </c>
      <c r="F30" s="26" t="s">
        <v>37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21</v>
      </c>
      <c r="C31" s="94">
        <v>4</v>
      </c>
      <c r="E31" s="29" t="s">
        <v>84</v>
      </c>
      <c r="F31" s="26" t="s">
        <v>39</v>
      </c>
      <c r="G31" s="14">
        <v>0</v>
      </c>
      <c r="H31" s="92">
        <f>IF(B$19=0,0,G31/B$19)</f>
        <v>0</v>
      </c>
      <c r="I31" s="60">
        <v>1</v>
      </c>
    </row>
    <row r="32" spans="1:17" x14ac:dyDescent="0.45">
      <c r="A32" s="56" t="s">
        <v>136</v>
      </c>
      <c r="B32" s="133">
        <v>5</v>
      </c>
      <c r="C32" s="134"/>
      <c r="E32" s="29" t="s">
        <v>85</v>
      </c>
      <c r="F32" s="26" t="s">
        <v>40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35">
        <v>102700</v>
      </c>
      <c r="C33" s="136"/>
      <c r="E33" s="29" t="s">
        <v>88</v>
      </c>
      <c r="F33" s="26" t="s">
        <v>43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90</v>
      </c>
      <c r="F34" s="26" t="s">
        <v>45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4</v>
      </c>
      <c r="C36" s="102">
        <f t="shared" ref="C36:C48" si="2">IF(B$19=0,0,B36/B$19)</f>
        <v>8.3333333333333329E-2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9</v>
      </c>
      <c r="C37" s="8">
        <f t="shared" si="2"/>
        <v>0.1875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8</v>
      </c>
      <c r="C38" s="8">
        <f t="shared" si="2"/>
        <v>0.16666666666666666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8</v>
      </c>
      <c r="C39" s="8">
        <f t="shared" si="2"/>
        <v>0.16666666666666666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7</v>
      </c>
      <c r="C40" s="8">
        <f t="shared" si="2"/>
        <v>0.14583333333333334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5</v>
      </c>
      <c r="C41" s="8">
        <f t="shared" si="2"/>
        <v>0.10416666666666667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2">
        <v>3</v>
      </c>
      <c r="C42" s="8">
        <f t="shared" si="2"/>
        <v>6.25E-2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1</v>
      </c>
      <c r="C45" s="8">
        <f t="shared" si="2"/>
        <v>2.0833333333333332E-2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3</v>
      </c>
      <c r="C48" s="11">
        <f t="shared" si="2"/>
        <v>6.25E-2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1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4FCD9-9BEC-4509-B94A-21874D1ECCF0}">
  <sheetPr codeName="Sheet1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194</v>
      </c>
      <c r="C1" s="138"/>
      <c r="E1" s="108" t="s">
        <v>155</v>
      </c>
      <c r="F1" s="124" t="s">
        <v>115</v>
      </c>
      <c r="G1" s="123" t="s">
        <v>116</v>
      </c>
      <c r="H1" s="90" t="s">
        <v>117</v>
      </c>
      <c r="I1" s="124" t="s">
        <v>146</v>
      </c>
      <c r="K1" s="4" t="s">
        <v>19</v>
      </c>
      <c r="L1" s="12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8</v>
      </c>
      <c r="C2" s="140"/>
      <c r="E2" s="28" t="s">
        <v>64</v>
      </c>
      <c r="F2" s="25" t="s">
        <v>20</v>
      </c>
      <c r="G2" s="13">
        <v>7</v>
      </c>
      <c r="H2" s="91">
        <f>IF(B$19=0,0,G2/B$19)</f>
        <v>0.63636363636363635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-5062.5</v>
      </c>
      <c r="P2" s="80">
        <v>8</v>
      </c>
      <c r="Q2" s="67">
        <v>-40500</v>
      </c>
    </row>
    <row r="3" spans="1:17" x14ac:dyDescent="0.45">
      <c r="A3" s="21" t="s">
        <v>8</v>
      </c>
      <c r="B3" s="141">
        <v>52</v>
      </c>
      <c r="C3" s="142"/>
      <c r="E3" s="29" t="s">
        <v>160</v>
      </c>
      <c r="F3" s="26" t="s">
        <v>161</v>
      </c>
      <c r="G3" s="14">
        <v>6</v>
      </c>
      <c r="H3" s="92">
        <f>IF(B$19=0,0,G3/B$19)</f>
        <v>0.54545454545454541</v>
      </c>
      <c r="I3" s="60">
        <v>1</v>
      </c>
      <c r="K3" s="7">
        <v>1</v>
      </c>
      <c r="L3" s="65">
        <v>-55.5</v>
      </c>
      <c r="N3" s="78" t="s">
        <v>129</v>
      </c>
      <c r="O3" s="84">
        <f t="shared" si="0"/>
        <v>-2512.5</v>
      </c>
      <c r="P3" s="81">
        <v>8</v>
      </c>
      <c r="Q3" s="68">
        <v>-20100</v>
      </c>
    </row>
    <row r="4" spans="1:17" x14ac:dyDescent="0.45">
      <c r="A4" s="21" t="s">
        <v>6</v>
      </c>
      <c r="B4" s="143">
        <v>-157.19999999999999</v>
      </c>
      <c r="C4" s="144"/>
      <c r="E4" s="29" t="s">
        <v>66</v>
      </c>
      <c r="F4" s="26" t="s">
        <v>22</v>
      </c>
      <c r="G4" s="14">
        <v>5</v>
      </c>
      <c r="H4" s="92">
        <f>IF(B$19=0,0,G4/B$19)</f>
        <v>0.45454545454545453</v>
      </c>
      <c r="I4" s="60">
        <v>8</v>
      </c>
      <c r="K4" s="7">
        <v>2</v>
      </c>
      <c r="L4" s="65">
        <v>-106.5</v>
      </c>
      <c r="N4" s="78" t="s">
        <v>130</v>
      </c>
      <c r="O4" s="84">
        <f t="shared" si="0"/>
        <v>-8150</v>
      </c>
      <c r="P4" s="81">
        <v>8</v>
      </c>
      <c r="Q4" s="68">
        <v>-65200</v>
      </c>
    </row>
    <row r="5" spans="1:17" x14ac:dyDescent="0.45">
      <c r="A5" s="21" t="s">
        <v>7</v>
      </c>
      <c r="B5" s="131">
        <f>IF(B$2=0,0,B$4/B$2)</f>
        <v>-19.649999999999999</v>
      </c>
      <c r="C5" s="132"/>
      <c r="E5" s="29" t="s">
        <v>72</v>
      </c>
      <c r="F5" s="26" t="s">
        <v>27</v>
      </c>
      <c r="G5" s="14">
        <v>5</v>
      </c>
      <c r="H5" s="92">
        <f>IF(B$19=0,0,G5/B$19)</f>
        <v>0.45454545454545453</v>
      </c>
      <c r="I5" s="60">
        <v>7</v>
      </c>
      <c r="K5" s="7">
        <v>3</v>
      </c>
      <c r="L5" s="65">
        <v>-108</v>
      </c>
      <c r="N5" s="78" t="s">
        <v>131</v>
      </c>
      <c r="O5" s="84">
        <f t="shared" si="0"/>
        <v>3433.3333333333335</v>
      </c>
      <c r="P5" s="81">
        <v>6</v>
      </c>
      <c r="Q5" s="68">
        <v>20600</v>
      </c>
    </row>
    <row r="6" spans="1:17" x14ac:dyDescent="0.45">
      <c r="A6" s="21" t="s">
        <v>1</v>
      </c>
      <c r="B6" s="145">
        <f>IF(B$2=0,0,(B$7*1+B$8*2+B$9*3)/B$2)</f>
        <v>2.5</v>
      </c>
      <c r="C6" s="146"/>
      <c r="E6" s="29" t="s">
        <v>67</v>
      </c>
      <c r="F6" s="26" t="s">
        <v>23</v>
      </c>
      <c r="G6" s="14">
        <v>4</v>
      </c>
      <c r="H6" s="92">
        <f>IF(B$19=0,0,G6/B$19)</f>
        <v>0.36363636363636365</v>
      </c>
      <c r="I6" s="60">
        <v>2</v>
      </c>
      <c r="K6" s="7">
        <v>4</v>
      </c>
      <c r="L6" s="65">
        <v>-115.5</v>
      </c>
      <c r="N6" s="78" t="s">
        <v>132</v>
      </c>
      <c r="O6" s="84">
        <f t="shared" si="0"/>
        <v>133.33333333333334</v>
      </c>
      <c r="P6" s="81">
        <v>6</v>
      </c>
      <c r="Q6" s="68">
        <v>800</v>
      </c>
    </row>
    <row r="7" spans="1:17" x14ac:dyDescent="0.45">
      <c r="A7" s="21" t="s">
        <v>2</v>
      </c>
      <c r="B7" s="14">
        <v>0</v>
      </c>
      <c r="C7" s="8">
        <f t="shared" ref="C7:C14" si="1">IF(B$2=0,0,B7/B$2)</f>
        <v>0</v>
      </c>
      <c r="E7" s="29" t="s">
        <v>68</v>
      </c>
      <c r="F7" s="26" t="s">
        <v>12</v>
      </c>
      <c r="G7" s="14">
        <v>4</v>
      </c>
      <c r="H7" s="92">
        <f>IF(B$19=0,0,G7/B$19)</f>
        <v>0.36363636363636365</v>
      </c>
      <c r="I7" s="60">
        <v>1</v>
      </c>
      <c r="K7" s="7">
        <v>5</v>
      </c>
      <c r="L7" s="65">
        <v>-116</v>
      </c>
      <c r="N7" s="79" t="s">
        <v>133</v>
      </c>
      <c r="O7" s="85">
        <f t="shared" si="0"/>
        <v>-2125</v>
      </c>
      <c r="P7" s="82">
        <v>4</v>
      </c>
      <c r="Q7" s="69">
        <v>-8500</v>
      </c>
    </row>
    <row r="8" spans="1:17" x14ac:dyDescent="0.45">
      <c r="A8" s="21" t="s">
        <v>3</v>
      </c>
      <c r="B8" s="14">
        <v>4</v>
      </c>
      <c r="C8" s="8">
        <f t="shared" si="1"/>
        <v>0.5</v>
      </c>
      <c r="E8" s="29" t="s">
        <v>69</v>
      </c>
      <c r="F8" s="26" t="s">
        <v>24</v>
      </c>
      <c r="G8" s="14">
        <v>2</v>
      </c>
      <c r="H8" s="92">
        <f>IF(B$19=0,0,G8/B$19)</f>
        <v>0.18181818181818182</v>
      </c>
      <c r="I8" s="60">
        <v>2</v>
      </c>
      <c r="K8" s="7">
        <v>6</v>
      </c>
      <c r="L8" s="65">
        <v>-146</v>
      </c>
      <c r="N8" s="111"/>
      <c r="O8" s="89"/>
      <c r="P8" s="112"/>
      <c r="Q8" s="74"/>
    </row>
    <row r="9" spans="1:17" x14ac:dyDescent="0.45">
      <c r="A9" s="22" t="s">
        <v>4</v>
      </c>
      <c r="B9" s="15">
        <v>4</v>
      </c>
      <c r="C9" s="9">
        <f t="shared" si="1"/>
        <v>0.5</v>
      </c>
      <c r="E9" s="29" t="s">
        <v>65</v>
      </c>
      <c r="F9" s="26" t="s">
        <v>21</v>
      </c>
      <c r="G9" s="14">
        <v>1</v>
      </c>
      <c r="H9" s="92">
        <f>IF(B$19=0,0,G9/B$19)</f>
        <v>9.0909090909090912E-2</v>
      </c>
      <c r="I9" s="60">
        <v>7</v>
      </c>
      <c r="K9" s="7">
        <v>7</v>
      </c>
      <c r="L9" s="65">
        <v>-168.5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71</v>
      </c>
      <c r="F10" s="26" t="s">
        <v>26</v>
      </c>
      <c r="G10" s="14">
        <v>1</v>
      </c>
      <c r="H10" s="92">
        <f>IF(B$19=0,0,G10/B$19)</f>
        <v>9.0909090909090912E-2</v>
      </c>
      <c r="I10" s="60">
        <v>4</v>
      </c>
      <c r="K10" s="7">
        <v>8</v>
      </c>
      <c r="L10" s="65">
        <v>-157.19999999999999</v>
      </c>
      <c r="N10" s="77" t="s">
        <v>152</v>
      </c>
      <c r="O10" s="86">
        <f>IF(P10=0,0,Q10/P10)</f>
        <v>-34.125</v>
      </c>
      <c r="P10" s="80">
        <v>4</v>
      </c>
      <c r="Q10" s="71">
        <v>-136.5</v>
      </c>
    </row>
    <row r="11" spans="1:17" x14ac:dyDescent="0.45">
      <c r="A11" s="22" t="s">
        <v>186</v>
      </c>
      <c r="B11" s="113">
        <f>IF(B8=0,0,C11/B8)</f>
        <v>0.45000000000000018</v>
      </c>
      <c r="C11" s="114">
        <v>1.8000000000000007</v>
      </c>
      <c r="E11" s="29" t="s">
        <v>81</v>
      </c>
      <c r="F11" s="26" t="s">
        <v>36</v>
      </c>
      <c r="G11" s="14">
        <v>1</v>
      </c>
      <c r="H11" s="92">
        <f>IF(B$19=0,0,G11/B$19)</f>
        <v>9.0909090909090912E-2</v>
      </c>
      <c r="I11" s="60">
        <v>3</v>
      </c>
      <c r="N11" s="78" t="s">
        <v>153</v>
      </c>
      <c r="O11" s="87">
        <f>IF(P11=0,0,Q11/P11)</f>
        <v>3.1</v>
      </c>
      <c r="P11" s="81">
        <v>3</v>
      </c>
      <c r="Q11" s="72">
        <v>9.3000000000000007</v>
      </c>
    </row>
    <row r="12" spans="1:17" x14ac:dyDescent="0.45">
      <c r="A12" s="22" t="s">
        <v>187</v>
      </c>
      <c r="B12" s="113">
        <f>IF(B9=0,0,C12/B9)</f>
        <v>-39.75</v>
      </c>
      <c r="C12" s="114">
        <v>-159</v>
      </c>
      <c r="E12" s="29" t="s">
        <v>70</v>
      </c>
      <c r="F12" s="26" t="s">
        <v>25</v>
      </c>
      <c r="G12" s="14">
        <v>0</v>
      </c>
      <c r="H12" s="92">
        <f>IF(B$19=0,0,G12/B$19)</f>
        <v>0</v>
      </c>
      <c r="I12" s="60">
        <v>6</v>
      </c>
      <c r="N12" s="79" t="s">
        <v>154</v>
      </c>
      <c r="O12" s="88">
        <f>IF(P12=0,0,Q12/P12)</f>
        <v>-30</v>
      </c>
      <c r="P12" s="82">
        <v>1</v>
      </c>
      <c r="Q12" s="73">
        <v>-30</v>
      </c>
    </row>
    <row r="13" spans="1:17" x14ac:dyDescent="0.45">
      <c r="A13" s="22" t="s">
        <v>188</v>
      </c>
      <c r="B13" s="131">
        <f>AVERAGE(B10:B12)</f>
        <v>-13.1</v>
      </c>
      <c r="C13" s="132"/>
      <c r="E13" s="29" t="s">
        <v>73</v>
      </c>
      <c r="F13" s="26" t="s">
        <v>28</v>
      </c>
      <c r="G13" s="14">
        <v>0</v>
      </c>
      <c r="H13" s="92">
        <f>IF(B$19=0,0,G13/B$19)</f>
        <v>0</v>
      </c>
      <c r="I13" s="60">
        <v>3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2</v>
      </c>
      <c r="C14" s="11">
        <f t="shared" si="1"/>
        <v>0.25</v>
      </c>
      <c r="E14" s="29" t="s">
        <v>74</v>
      </c>
      <c r="F14" s="26" t="s">
        <v>29</v>
      </c>
      <c r="G14" s="14">
        <v>0</v>
      </c>
      <c r="H14" s="92">
        <f>IF(B$19=0,0,G14/B$19)</f>
        <v>0</v>
      </c>
      <c r="I14" s="60">
        <v>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18</v>
      </c>
      <c r="C15" s="12">
        <f>IF(B$3=0,0,B15/B$3)</f>
        <v>0.34615384615384615</v>
      </c>
      <c r="E15" s="29" t="s">
        <v>75</v>
      </c>
      <c r="F15" s="26" t="s">
        <v>30</v>
      </c>
      <c r="G15" s="14">
        <v>0</v>
      </c>
      <c r="H15" s="92">
        <f>IF(B$19=0,0,G15/B$19)</f>
        <v>0</v>
      </c>
      <c r="I15" s="60">
        <v>1</v>
      </c>
      <c r="N15" s="77" t="s">
        <v>164</v>
      </c>
      <c r="O15" s="86">
        <f>IF(P15=0,0,Q15/P15)</f>
        <v>-5.5333333333333341</v>
      </c>
      <c r="P15" s="80">
        <v>3</v>
      </c>
      <c r="Q15" s="71">
        <v>-16.600000000000001</v>
      </c>
    </row>
    <row r="16" spans="1:17" x14ac:dyDescent="0.45">
      <c r="A16" s="21" t="s">
        <v>118</v>
      </c>
      <c r="B16" s="14">
        <v>4</v>
      </c>
      <c r="C16" s="8">
        <f>IF(B$3=0,0,B16/B$3)</f>
        <v>7.6923076923076927E-2</v>
      </c>
      <c r="E16" s="29" t="s">
        <v>76</v>
      </c>
      <c r="F16" s="26" t="s">
        <v>31</v>
      </c>
      <c r="G16" s="14">
        <v>0</v>
      </c>
      <c r="H16" s="92">
        <f>IF(B$19=0,0,G16/B$19)</f>
        <v>0</v>
      </c>
      <c r="I16" s="60">
        <v>1</v>
      </c>
      <c r="N16" s="78" t="s">
        <v>192</v>
      </c>
      <c r="O16" s="87">
        <f>IF(P16=0,0,Q16/P16)</f>
        <v>-11.633333333333335</v>
      </c>
      <c r="P16" s="81">
        <v>6</v>
      </c>
      <c r="Q16" s="72">
        <v>-69.800000000000011</v>
      </c>
    </row>
    <row r="17" spans="1:17" x14ac:dyDescent="0.45">
      <c r="A17" s="20" t="s">
        <v>123</v>
      </c>
      <c r="B17" s="13">
        <f>B23</f>
        <v>7</v>
      </c>
      <c r="C17" s="6">
        <f>IF(B$15=0,0,B17/B$15)</f>
        <v>0.3888888888888889</v>
      </c>
      <c r="E17" s="29" t="s">
        <v>77</v>
      </c>
      <c r="F17" s="26" t="s">
        <v>32</v>
      </c>
      <c r="G17" s="14">
        <v>0</v>
      </c>
      <c r="H17" s="92">
        <f>IF(B$19=0,0,G17/B$19)</f>
        <v>0</v>
      </c>
      <c r="I17" s="60">
        <v>1</v>
      </c>
      <c r="N17" s="78" t="s">
        <v>196</v>
      </c>
      <c r="O17" s="87">
        <f>IF(P17=0,0,Q17/P17)</f>
        <v>-20.5</v>
      </c>
      <c r="P17" s="81">
        <v>1</v>
      </c>
      <c r="Q17" s="72">
        <v>-20.5</v>
      </c>
    </row>
    <row r="18" spans="1:17" x14ac:dyDescent="0.45">
      <c r="A18" s="20" t="s">
        <v>124</v>
      </c>
      <c r="B18" s="13">
        <f>B24</f>
        <v>1</v>
      </c>
      <c r="C18" s="6">
        <f>IF(B$16=0,0,B18/B$16)</f>
        <v>0.25</v>
      </c>
      <c r="E18" s="29" t="s">
        <v>78</v>
      </c>
      <c r="F18" s="26" t="s">
        <v>33</v>
      </c>
      <c r="G18" s="14">
        <v>0</v>
      </c>
      <c r="H18" s="92">
        <f>IF(B$19=0,0,G18/B$19)</f>
        <v>0</v>
      </c>
      <c r="I18" s="60">
        <v>5</v>
      </c>
      <c r="N18" s="78" t="s">
        <v>126</v>
      </c>
      <c r="O18" s="87">
        <f>IF(P18=0,0,Q18/P18)</f>
        <v>-35</v>
      </c>
      <c r="P18" s="81">
        <v>3</v>
      </c>
      <c r="Q18" s="72">
        <v>-105</v>
      </c>
    </row>
    <row r="19" spans="1:17" x14ac:dyDescent="0.45">
      <c r="A19" s="20" t="s">
        <v>10</v>
      </c>
      <c r="B19" s="13">
        <f>B22+B21</f>
        <v>11</v>
      </c>
      <c r="C19" s="6">
        <f>IF(B$3=0,0,B19/B$3)</f>
        <v>0.21153846153846154</v>
      </c>
      <c r="E19" s="29" t="s">
        <v>79</v>
      </c>
      <c r="F19" s="26" t="s">
        <v>34</v>
      </c>
      <c r="G19" s="14">
        <v>0</v>
      </c>
      <c r="H19" s="92">
        <f>IF(B$19=0,0,G19/B$19)</f>
        <v>0</v>
      </c>
      <c r="I19" s="60">
        <v>5</v>
      </c>
      <c r="N19" s="78" t="s">
        <v>193</v>
      </c>
      <c r="O19" s="87">
        <f>IF(P19=0,0,Q19/P19)</f>
        <v>-86.566666666666663</v>
      </c>
      <c r="P19" s="81">
        <v>3</v>
      </c>
      <c r="Q19" s="72">
        <v>-259.7</v>
      </c>
    </row>
    <row r="20" spans="1:17" x14ac:dyDescent="0.45">
      <c r="A20" s="21" t="s">
        <v>13</v>
      </c>
      <c r="B20" s="14">
        <v>8</v>
      </c>
      <c r="C20" s="8">
        <f>IF(B$3=0,0,B20/B$3)</f>
        <v>0.15384615384615385</v>
      </c>
      <c r="E20" s="29" t="s">
        <v>80</v>
      </c>
      <c r="F20" s="26" t="s">
        <v>35</v>
      </c>
      <c r="G20" s="14">
        <v>0</v>
      </c>
      <c r="H20" s="92">
        <f>IF(B$19=0,0,G20/B$19)</f>
        <v>0</v>
      </c>
      <c r="I20" s="60">
        <v>1</v>
      </c>
    </row>
    <row r="21" spans="1:17" x14ac:dyDescent="0.45">
      <c r="A21" s="21" t="s">
        <v>12</v>
      </c>
      <c r="B21" s="14">
        <v>4</v>
      </c>
      <c r="C21" s="8">
        <f>IF(B$19=0,0,B21/B$19)</f>
        <v>0.36363636363636365</v>
      </c>
      <c r="E21" s="29" t="s">
        <v>82</v>
      </c>
      <c r="F21" s="26" t="s">
        <v>37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7</v>
      </c>
      <c r="C22" s="8">
        <f>IF(B$19=0,0,B22/B$19)</f>
        <v>0.63636363636363635</v>
      </c>
      <c r="E22" s="29" t="s">
        <v>83</v>
      </c>
      <c r="F22" s="26" t="s">
        <v>38</v>
      </c>
      <c r="G22" s="14">
        <v>0</v>
      </c>
      <c r="H22" s="92">
        <f>IF(B$19=0,0,G22/B$19)</f>
        <v>0</v>
      </c>
      <c r="I22" s="60">
        <v>5</v>
      </c>
    </row>
    <row r="23" spans="1:17" x14ac:dyDescent="0.45">
      <c r="A23" s="21" t="s">
        <v>184</v>
      </c>
      <c r="B23" s="14">
        <v>7</v>
      </c>
      <c r="C23" s="8">
        <f>IF(B$19=0,0,B23/B$19)</f>
        <v>0.63636363636363635</v>
      </c>
      <c r="E23" s="29" t="s">
        <v>84</v>
      </c>
      <c r="F23" s="26" t="s">
        <v>39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1</v>
      </c>
      <c r="C24" s="8">
        <f>IF(B$19=0,0,B24/B$19)</f>
        <v>9.0909090909090912E-2</v>
      </c>
      <c r="E24" s="29" t="s">
        <v>85</v>
      </c>
      <c r="F24" s="26" t="s">
        <v>40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3</v>
      </c>
      <c r="C25" s="8">
        <f>IF(B$19=0,0,B25/B$19)</f>
        <v>0.27272727272727271</v>
      </c>
      <c r="E25" s="29" t="s">
        <v>86</v>
      </c>
      <c r="F25" s="26" t="s">
        <v>41</v>
      </c>
      <c r="G25" s="14">
        <v>0</v>
      </c>
      <c r="H25" s="92">
        <f>IF(B$19=0,0,G25/B$19)</f>
        <v>0</v>
      </c>
      <c r="I25" s="60">
        <v>5</v>
      </c>
    </row>
    <row r="26" spans="1:17" x14ac:dyDescent="0.45">
      <c r="A26" s="21" t="s">
        <v>5</v>
      </c>
      <c r="B26" s="18">
        <f>IF(B$19=0,0,C26/B$19)</f>
        <v>5672.727272727273</v>
      </c>
      <c r="C26" s="10">
        <v>62400</v>
      </c>
      <c r="E26" s="29" t="s">
        <v>87</v>
      </c>
      <c r="F26" s="26" t="s">
        <v>42</v>
      </c>
      <c r="G26" s="14">
        <v>0</v>
      </c>
      <c r="H26" s="92">
        <f>IF(B$19=0,0,G26/B$19)</f>
        <v>0</v>
      </c>
      <c r="I26" s="60">
        <v>3</v>
      </c>
    </row>
    <row r="27" spans="1:17" x14ac:dyDescent="0.45">
      <c r="A27" s="22" t="s">
        <v>166</v>
      </c>
      <c r="B27" s="99">
        <f>IF($B$19-B$18=0,0,C27/($B$19-B$18))</f>
        <v>6040</v>
      </c>
      <c r="C27" s="100">
        <v>60400</v>
      </c>
      <c r="E27" s="29" t="s">
        <v>88</v>
      </c>
      <c r="F27" s="26" t="s">
        <v>43</v>
      </c>
      <c r="G27" s="14">
        <v>0</v>
      </c>
      <c r="H27" s="92">
        <f>IF(B$19=0,0,G27/B$19)</f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2000</v>
      </c>
      <c r="C28" s="100">
        <v>2000</v>
      </c>
      <c r="E28" s="29" t="s">
        <v>89</v>
      </c>
      <c r="F28" s="26" t="s">
        <v>44</v>
      </c>
      <c r="G28" s="14">
        <v>0</v>
      </c>
      <c r="H28" s="92">
        <f>IF(B$19=0,0,G28/B$19)</f>
        <v>0</v>
      </c>
      <c r="I28" s="60">
        <v>6</v>
      </c>
    </row>
    <row r="29" spans="1:17" x14ac:dyDescent="0.45">
      <c r="A29" s="22" t="s">
        <v>165</v>
      </c>
      <c r="B29" s="99">
        <f>IF(B$20=0,0,C29/B$20)</f>
        <v>-9187.5</v>
      </c>
      <c r="C29" s="100">
        <v>-73500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1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4</v>
      </c>
    </row>
    <row r="31" spans="1:17" x14ac:dyDescent="0.45">
      <c r="A31" s="21" t="s">
        <v>159</v>
      </c>
      <c r="B31" s="14">
        <v>14</v>
      </c>
      <c r="C31" s="94">
        <v>14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4</v>
      </c>
    </row>
    <row r="32" spans="1:17" x14ac:dyDescent="0.45">
      <c r="A32" s="56" t="s">
        <v>136</v>
      </c>
      <c r="B32" s="133">
        <v>3</v>
      </c>
      <c r="C32" s="13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35">
        <v>46300</v>
      </c>
      <c r="C33" s="13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5">
        <v>1</v>
      </c>
      <c r="C36" s="102">
        <f t="shared" ref="C36:C48" si="2">IF(B$19=0,0,B36/B$19)</f>
        <v>9.0909090909090912E-2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3</v>
      </c>
      <c r="C37" s="8">
        <f t="shared" si="2"/>
        <v>0.27272727272727271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6">
        <v>3</v>
      </c>
      <c r="C38" s="8">
        <f t="shared" si="2"/>
        <v>0.27272727272727271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6">
        <v>1</v>
      </c>
      <c r="C39" s="8">
        <f t="shared" si="2"/>
        <v>9.0909090909090912E-2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6">
        <v>1</v>
      </c>
      <c r="C40" s="8">
        <f t="shared" si="2"/>
        <v>9.0909090909090912E-2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6">
        <v>2</v>
      </c>
      <c r="C41" s="8">
        <f t="shared" si="2"/>
        <v>0.18181818181818182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6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6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6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6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6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6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4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16339-386F-41C4-BDFE-80E8F817A815}">
  <sheetPr codeName="Sheet15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192</v>
      </c>
      <c r="C1" s="138"/>
      <c r="E1" s="108" t="s">
        <v>155</v>
      </c>
      <c r="F1" s="124" t="s">
        <v>115</v>
      </c>
      <c r="G1" s="123" t="s">
        <v>116</v>
      </c>
      <c r="H1" s="90" t="s">
        <v>117</v>
      </c>
      <c r="I1" s="124" t="s">
        <v>146</v>
      </c>
      <c r="K1" s="4" t="s">
        <v>19</v>
      </c>
      <c r="L1" s="12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18</v>
      </c>
      <c r="C2" s="140"/>
      <c r="E2" s="28" t="s">
        <v>72</v>
      </c>
      <c r="F2" s="25" t="s">
        <v>27</v>
      </c>
      <c r="G2" s="13">
        <v>23</v>
      </c>
      <c r="H2" s="91">
        <f>IF(B$19=0,0,G2/B$19)</f>
        <v>0.74193548387096775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-277.77777777777777</v>
      </c>
      <c r="P2" s="80">
        <v>18</v>
      </c>
      <c r="Q2" s="67">
        <v>-5000</v>
      </c>
    </row>
    <row r="3" spans="1:17" x14ac:dyDescent="0.45">
      <c r="A3" s="21" t="s">
        <v>8</v>
      </c>
      <c r="B3" s="141">
        <v>136</v>
      </c>
      <c r="C3" s="142"/>
      <c r="E3" s="29" t="s">
        <v>66</v>
      </c>
      <c r="F3" s="26" t="s">
        <v>22</v>
      </c>
      <c r="G3" s="14">
        <v>18</v>
      </c>
      <c r="H3" s="92">
        <f>IF(B$19=0,0,G3/B$19)</f>
        <v>0.58064516129032262</v>
      </c>
      <c r="I3" s="60">
        <v>6</v>
      </c>
      <c r="K3" s="7">
        <v>1</v>
      </c>
      <c r="L3" s="65">
        <v>-0.5</v>
      </c>
      <c r="N3" s="78" t="s">
        <v>129</v>
      </c>
      <c r="O3" s="84">
        <f t="shared" si="0"/>
        <v>-2744.4444444444443</v>
      </c>
      <c r="P3" s="81">
        <v>18</v>
      </c>
      <c r="Q3" s="68">
        <v>-49400</v>
      </c>
    </row>
    <row r="4" spans="1:17" x14ac:dyDescent="0.45">
      <c r="A4" s="21" t="s">
        <v>6</v>
      </c>
      <c r="B4" s="143">
        <v>-201.89999999999998</v>
      </c>
      <c r="C4" s="144"/>
      <c r="E4" s="29" t="s">
        <v>64</v>
      </c>
      <c r="F4" s="26" t="s">
        <v>20</v>
      </c>
      <c r="G4" s="14">
        <v>16</v>
      </c>
      <c r="H4" s="92">
        <f>IF(B$19=0,0,G4/B$19)</f>
        <v>0.5161290322580645</v>
      </c>
      <c r="I4" s="60">
        <v>5</v>
      </c>
      <c r="K4" s="7">
        <v>2</v>
      </c>
      <c r="L4" s="65">
        <v>-62.8</v>
      </c>
      <c r="N4" s="78" t="s">
        <v>130</v>
      </c>
      <c r="O4" s="84">
        <f t="shared" si="0"/>
        <v>-994.44444444444446</v>
      </c>
      <c r="P4" s="81">
        <v>18</v>
      </c>
      <c r="Q4" s="68">
        <v>-17900</v>
      </c>
    </row>
    <row r="5" spans="1:17" x14ac:dyDescent="0.45">
      <c r="A5" s="21" t="s">
        <v>7</v>
      </c>
      <c r="B5" s="131">
        <f>IF(B$2=0,0,B$4/B$2)</f>
        <v>-11.216666666666665</v>
      </c>
      <c r="C5" s="132"/>
      <c r="E5" s="29" t="s">
        <v>160</v>
      </c>
      <c r="F5" s="26" t="s">
        <v>161</v>
      </c>
      <c r="G5" s="14">
        <v>16</v>
      </c>
      <c r="H5" s="92">
        <f>IF(B$19=0,0,G5/B$19)</f>
        <v>0.5161290322580645</v>
      </c>
      <c r="I5" s="60">
        <v>2</v>
      </c>
      <c r="K5" s="7">
        <v>3</v>
      </c>
      <c r="L5" s="65">
        <v>-48.5</v>
      </c>
      <c r="N5" s="78" t="s">
        <v>131</v>
      </c>
      <c r="O5" s="84">
        <f t="shared" si="0"/>
        <v>-2631.25</v>
      </c>
      <c r="P5" s="81">
        <v>16</v>
      </c>
      <c r="Q5" s="68">
        <v>-42100</v>
      </c>
    </row>
    <row r="6" spans="1:17" x14ac:dyDescent="0.45">
      <c r="A6" s="21" t="s">
        <v>1</v>
      </c>
      <c r="B6" s="145">
        <f>IF(B$2=0,0,(B$7*1+B$8*2+B$9*3)/B$2)</f>
        <v>2.1111111111111112</v>
      </c>
      <c r="C6" s="146"/>
      <c r="E6" s="29" t="s">
        <v>67</v>
      </c>
      <c r="F6" s="26" t="s">
        <v>23</v>
      </c>
      <c r="G6" s="14">
        <v>9</v>
      </c>
      <c r="H6" s="92">
        <f>IF(B$19=0,0,G6/B$19)</f>
        <v>0.29032258064516131</v>
      </c>
      <c r="I6" s="60">
        <v>3</v>
      </c>
      <c r="K6" s="7">
        <v>4</v>
      </c>
      <c r="L6" s="65">
        <v>-75.599999999999994</v>
      </c>
      <c r="N6" s="78" t="s">
        <v>132</v>
      </c>
      <c r="O6" s="84">
        <f t="shared" si="0"/>
        <v>-1921.4285714285713</v>
      </c>
      <c r="P6" s="81">
        <v>14</v>
      </c>
      <c r="Q6" s="68">
        <v>-26900</v>
      </c>
    </row>
    <row r="7" spans="1:17" x14ac:dyDescent="0.45">
      <c r="A7" s="21" t="s">
        <v>2</v>
      </c>
      <c r="B7" s="14">
        <v>4</v>
      </c>
      <c r="C7" s="8">
        <f t="shared" ref="C7:C14" si="1">IF(B$2=0,0,B7/B$2)</f>
        <v>0.22222222222222221</v>
      </c>
      <c r="E7" s="29" t="s">
        <v>68</v>
      </c>
      <c r="F7" s="26" t="s">
        <v>12</v>
      </c>
      <c r="G7" s="14">
        <v>8</v>
      </c>
      <c r="H7" s="92">
        <f>IF(B$19=0,0,G7/B$19)</f>
        <v>0.25806451612903225</v>
      </c>
      <c r="I7" s="60">
        <v>6</v>
      </c>
      <c r="K7" s="7">
        <v>5</v>
      </c>
      <c r="L7" s="65">
        <v>-96.5</v>
      </c>
      <c r="N7" s="79" t="s">
        <v>133</v>
      </c>
      <c r="O7" s="85">
        <f t="shared" si="0"/>
        <v>-580</v>
      </c>
      <c r="P7" s="82">
        <v>10</v>
      </c>
      <c r="Q7" s="69">
        <v>-5800</v>
      </c>
    </row>
    <row r="8" spans="1:17" x14ac:dyDescent="0.45">
      <c r="A8" s="21" t="s">
        <v>3</v>
      </c>
      <c r="B8" s="14">
        <v>8</v>
      </c>
      <c r="C8" s="8">
        <f t="shared" si="1"/>
        <v>0.44444444444444442</v>
      </c>
      <c r="E8" s="29" t="s">
        <v>89</v>
      </c>
      <c r="F8" s="26" t="s">
        <v>44</v>
      </c>
      <c r="G8" s="14">
        <v>7</v>
      </c>
      <c r="H8" s="92">
        <f>IF(B$19=0,0,G8/B$19)</f>
        <v>0.22580645161290322</v>
      </c>
      <c r="I8" s="60">
        <v>2</v>
      </c>
      <c r="K8" s="7">
        <v>6</v>
      </c>
      <c r="L8" s="65">
        <v>-70.5</v>
      </c>
      <c r="N8" s="111"/>
      <c r="O8" s="89"/>
      <c r="P8" s="112"/>
      <c r="Q8" s="74"/>
    </row>
    <row r="9" spans="1:17" x14ac:dyDescent="0.45">
      <c r="A9" s="22" t="s">
        <v>4</v>
      </c>
      <c r="B9" s="15">
        <v>6</v>
      </c>
      <c r="C9" s="9">
        <f t="shared" si="1"/>
        <v>0.33333333333333331</v>
      </c>
      <c r="E9" s="29" t="s">
        <v>69</v>
      </c>
      <c r="F9" s="26" t="s">
        <v>24</v>
      </c>
      <c r="G9" s="14">
        <v>3</v>
      </c>
      <c r="H9" s="92">
        <f>IF(B$19=0,0,G9/B$19)</f>
        <v>9.6774193548387094E-2</v>
      </c>
      <c r="I9" s="60">
        <v>5</v>
      </c>
      <c r="K9" s="7">
        <v>7</v>
      </c>
      <c r="L9" s="65">
        <v>-38.6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25.049999999999997</v>
      </c>
      <c r="C10" s="114">
        <v>100.19999999999999</v>
      </c>
      <c r="E10" s="29" t="s">
        <v>79</v>
      </c>
      <c r="F10" s="26" t="s">
        <v>34</v>
      </c>
      <c r="G10" s="14">
        <v>3</v>
      </c>
      <c r="H10" s="92">
        <f>IF(B$19=0,0,G10/B$19)</f>
        <v>9.6774193548387094E-2</v>
      </c>
      <c r="I10" s="60">
        <v>1</v>
      </c>
      <c r="K10" s="7">
        <v>8</v>
      </c>
      <c r="L10" s="65">
        <v>-28.3</v>
      </c>
      <c r="N10" s="77" t="s">
        <v>152</v>
      </c>
      <c r="O10" s="86">
        <f>IF(P10=0,0,Q10/P10)</f>
        <v>-27.733333333333334</v>
      </c>
      <c r="P10" s="80">
        <v>6</v>
      </c>
      <c r="Q10" s="71">
        <v>-166.4</v>
      </c>
    </row>
    <row r="11" spans="1:17" x14ac:dyDescent="0.45">
      <c r="A11" s="22" t="s">
        <v>186</v>
      </c>
      <c r="B11" s="113">
        <f>IF(B8=0,0,C11/B8)</f>
        <v>-7.3874999999999993</v>
      </c>
      <c r="C11" s="114">
        <v>-59.099999999999994</v>
      </c>
      <c r="E11" s="29" t="s">
        <v>70</v>
      </c>
      <c r="F11" s="26" t="s">
        <v>25</v>
      </c>
      <c r="G11" s="14">
        <v>2</v>
      </c>
      <c r="H11" s="92">
        <f>IF(B$19=0,0,G11/B$19)</f>
        <v>6.4516129032258063E-2</v>
      </c>
      <c r="I11" s="60">
        <v>2</v>
      </c>
      <c r="K11" s="7">
        <v>9</v>
      </c>
      <c r="L11" s="65">
        <v>-20.3</v>
      </c>
      <c r="N11" s="78" t="s">
        <v>153</v>
      </c>
      <c r="O11" s="87">
        <f>IF(P11=0,0,Q11/P11)</f>
        <v>-4.2374999999999998</v>
      </c>
      <c r="P11" s="81">
        <v>8</v>
      </c>
      <c r="Q11" s="72">
        <v>-33.9</v>
      </c>
    </row>
    <row r="12" spans="1:17" x14ac:dyDescent="0.45">
      <c r="A12" s="22" t="s">
        <v>187</v>
      </c>
      <c r="B12" s="113">
        <f>IF(B9=0,0,C12/B9)</f>
        <v>-40.5</v>
      </c>
      <c r="C12" s="114">
        <v>-243</v>
      </c>
      <c r="E12" s="29" t="s">
        <v>71</v>
      </c>
      <c r="F12" s="26" t="s">
        <v>26</v>
      </c>
      <c r="G12" s="14">
        <v>2</v>
      </c>
      <c r="H12" s="92">
        <f>IF(B$19=0,0,G12/B$19)</f>
        <v>6.4516129032258063E-2</v>
      </c>
      <c r="I12" s="60">
        <v>6</v>
      </c>
      <c r="K12" s="7">
        <v>10</v>
      </c>
      <c r="L12" s="65">
        <v>-14.9</v>
      </c>
      <c r="N12" s="79" t="s">
        <v>154</v>
      </c>
      <c r="O12" s="88">
        <f>IF(P12=0,0,Q12/P12)</f>
        <v>-0.40000000000000102</v>
      </c>
      <c r="P12" s="82">
        <v>4</v>
      </c>
      <c r="Q12" s="73">
        <v>-1.6000000000000041</v>
      </c>
    </row>
    <row r="13" spans="1:17" x14ac:dyDescent="0.45">
      <c r="A13" s="22" t="s">
        <v>188</v>
      </c>
      <c r="B13" s="131">
        <f>AVERAGE(B10:B12)</f>
        <v>-7.6125000000000007</v>
      </c>
      <c r="C13" s="132"/>
      <c r="E13" s="29" t="s">
        <v>78</v>
      </c>
      <c r="F13" s="26" t="s">
        <v>33</v>
      </c>
      <c r="G13" s="14">
        <v>2</v>
      </c>
      <c r="H13" s="92">
        <f>IF(B$19=0,0,G13/B$19)</f>
        <v>6.4516129032258063E-2</v>
      </c>
      <c r="I13" s="60">
        <v>2</v>
      </c>
      <c r="K13" s="7">
        <v>11</v>
      </c>
      <c r="L13" s="65">
        <v>-46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2</v>
      </c>
      <c r="C14" s="11">
        <f t="shared" si="1"/>
        <v>0.1111111111111111</v>
      </c>
      <c r="E14" s="29" t="s">
        <v>65</v>
      </c>
      <c r="F14" s="26" t="s">
        <v>21</v>
      </c>
      <c r="G14" s="14">
        <v>1</v>
      </c>
      <c r="H14" s="92">
        <f>IF(B$19=0,0,G14/B$19)</f>
        <v>3.2258064516129031E-2</v>
      </c>
      <c r="I14" s="60">
        <v>9</v>
      </c>
      <c r="K14" s="7">
        <v>12</v>
      </c>
      <c r="L14" s="65">
        <v>-87.6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36</v>
      </c>
      <c r="C15" s="12">
        <f>IF(B$3=0,0,B15/B$3)</f>
        <v>0.26470588235294118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3</v>
      </c>
      <c r="K15" s="7">
        <v>13</v>
      </c>
      <c r="L15" s="65">
        <v>-125.89999999999999</v>
      </c>
      <c r="N15" s="77" t="s">
        <v>194</v>
      </c>
      <c r="O15" s="86">
        <f>IF(P15=0,0,Q15/P15)</f>
        <v>11.633333333333335</v>
      </c>
      <c r="P15" s="80">
        <v>6</v>
      </c>
      <c r="Q15" s="71">
        <v>69.800000000000011</v>
      </c>
    </row>
    <row r="16" spans="1:17" x14ac:dyDescent="0.45">
      <c r="A16" s="21" t="s">
        <v>118</v>
      </c>
      <c r="B16" s="14">
        <v>31</v>
      </c>
      <c r="C16" s="8">
        <f>IF(B$3=0,0,B16/B$3)</f>
        <v>0.22794117647058823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1</v>
      </c>
      <c r="K16" s="7">
        <v>14</v>
      </c>
      <c r="L16" s="65">
        <v>-149.39999999999998</v>
      </c>
      <c r="N16" s="78" t="s">
        <v>205</v>
      </c>
      <c r="O16" s="87">
        <f>IF(P16=0,0,Q16/P16)</f>
        <v>-8.1000000000000014</v>
      </c>
      <c r="P16" s="81">
        <v>3</v>
      </c>
      <c r="Q16" s="72">
        <v>-24.300000000000004</v>
      </c>
    </row>
    <row r="17" spans="1:17" x14ac:dyDescent="0.45">
      <c r="A17" s="20" t="s">
        <v>123</v>
      </c>
      <c r="B17" s="13">
        <f>B23</f>
        <v>17</v>
      </c>
      <c r="C17" s="6">
        <f>IF(B$15=0,0,B17/B$15)</f>
        <v>0.47222222222222221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1</v>
      </c>
      <c r="K17" s="7">
        <v>15</v>
      </c>
      <c r="L17" s="65">
        <v>-121.39999999999998</v>
      </c>
      <c r="N17" s="78" t="s">
        <v>164</v>
      </c>
      <c r="O17" s="87">
        <f>IF(P17=0,0,Q17/P17)</f>
        <v>-8.4714285714285715</v>
      </c>
      <c r="P17" s="81">
        <v>7</v>
      </c>
      <c r="Q17" s="72">
        <v>-59.3</v>
      </c>
    </row>
    <row r="18" spans="1:17" x14ac:dyDescent="0.45">
      <c r="A18" s="20" t="s">
        <v>124</v>
      </c>
      <c r="B18" s="13">
        <f>B24</f>
        <v>10</v>
      </c>
      <c r="C18" s="6">
        <f>IF(B$16=0,0,B18/B$16)</f>
        <v>0.32258064516129031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K18" s="7">
        <v>16</v>
      </c>
      <c r="L18" s="65">
        <v>-141.29999999999998</v>
      </c>
      <c r="N18" s="78" t="s">
        <v>196</v>
      </c>
      <c r="O18" s="87">
        <f>IF(P18=0,0,Q18/P18)</f>
        <v>-18.550000000000004</v>
      </c>
      <c r="P18" s="81">
        <v>2</v>
      </c>
      <c r="Q18" s="72">
        <v>-37.100000000000009</v>
      </c>
    </row>
    <row r="19" spans="1:17" x14ac:dyDescent="0.45">
      <c r="A19" s="20" t="s">
        <v>10</v>
      </c>
      <c r="B19" s="13">
        <f>B22+B21</f>
        <v>31</v>
      </c>
      <c r="C19" s="6">
        <f>IF(B$3=0,0,B19/B$3)</f>
        <v>0.22794117647058823</v>
      </c>
      <c r="E19" s="29" t="s">
        <v>77</v>
      </c>
      <c r="F19" s="26" t="s">
        <v>32</v>
      </c>
      <c r="G19" s="14">
        <v>0</v>
      </c>
      <c r="H19" s="92">
        <f>IF(B$19=0,0,G19/B$19)</f>
        <v>0</v>
      </c>
      <c r="I19" s="60">
        <v>1</v>
      </c>
      <c r="K19" s="7">
        <v>17</v>
      </c>
      <c r="L19" s="65">
        <v>-149.1</v>
      </c>
      <c r="N19" s="78" t="s">
        <v>126</v>
      </c>
      <c r="O19" s="87">
        <f>IF(P19=0,0,Q19/P19)</f>
        <v>-27.915384615384617</v>
      </c>
      <c r="P19" s="81">
        <v>13</v>
      </c>
      <c r="Q19" s="72">
        <v>-362.90000000000003</v>
      </c>
    </row>
    <row r="20" spans="1:17" x14ac:dyDescent="0.45">
      <c r="A20" s="21" t="s">
        <v>13</v>
      </c>
      <c r="B20" s="14">
        <v>21</v>
      </c>
      <c r="C20" s="8">
        <f>IF(B$3=0,0,B20/B$3)</f>
        <v>0.15441176470588236</v>
      </c>
      <c r="E20" s="29" t="s">
        <v>80</v>
      </c>
      <c r="F20" s="26" t="s">
        <v>35</v>
      </c>
      <c r="G20" s="14">
        <v>0</v>
      </c>
      <c r="H20" s="92">
        <f>IF(B$19=0,0,G20/B$19)</f>
        <v>0</v>
      </c>
      <c r="I20" s="60">
        <v>1</v>
      </c>
      <c r="K20" s="7">
        <v>18</v>
      </c>
      <c r="L20" s="65">
        <v>-201.89999999999998</v>
      </c>
      <c r="N20" s="78" t="s">
        <v>193</v>
      </c>
      <c r="O20" s="87">
        <f>IF(P20=0,0,Q20/P20)</f>
        <v>-38.379999999999995</v>
      </c>
      <c r="P20" s="81">
        <v>5</v>
      </c>
      <c r="Q20" s="72">
        <v>-191.89999999999998</v>
      </c>
    </row>
    <row r="21" spans="1:17" x14ac:dyDescent="0.45">
      <c r="A21" s="21" t="s">
        <v>12</v>
      </c>
      <c r="B21" s="14">
        <v>10</v>
      </c>
      <c r="C21" s="8">
        <f>IF(B$19=0,0,B21/B$19)</f>
        <v>0.32258064516129031</v>
      </c>
      <c r="E21" s="29" t="s">
        <v>81</v>
      </c>
      <c r="F21" s="26" t="s">
        <v>36</v>
      </c>
      <c r="G21" s="14">
        <v>0</v>
      </c>
      <c r="H21" s="92">
        <f>IF(B$19=0,0,G21/B$19)</f>
        <v>0</v>
      </c>
      <c r="I21" s="60">
        <v>5</v>
      </c>
    </row>
    <row r="22" spans="1:17" x14ac:dyDescent="0.45">
      <c r="A22" s="21" t="s">
        <v>11</v>
      </c>
      <c r="B22" s="14">
        <v>21</v>
      </c>
      <c r="C22" s="8">
        <f>IF(B$19=0,0,B22/B$19)</f>
        <v>0.67741935483870963</v>
      </c>
      <c r="E22" s="29" t="s">
        <v>82</v>
      </c>
      <c r="F22" s="26" t="s">
        <v>37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184</v>
      </c>
      <c r="B23" s="14">
        <v>17</v>
      </c>
      <c r="C23" s="8">
        <f>IF(B$19=0,0,B23/B$19)</f>
        <v>0.54838709677419351</v>
      </c>
      <c r="E23" s="29" t="s">
        <v>83</v>
      </c>
      <c r="F23" s="26" t="s">
        <v>38</v>
      </c>
      <c r="G23" s="14">
        <v>0</v>
      </c>
      <c r="H23" s="92">
        <f>IF(B$19=0,0,G23/B$19)</f>
        <v>0</v>
      </c>
      <c r="I23" s="60">
        <v>5</v>
      </c>
    </row>
    <row r="24" spans="1:17" x14ac:dyDescent="0.45">
      <c r="A24" s="21" t="s">
        <v>182</v>
      </c>
      <c r="B24" s="14">
        <v>10</v>
      </c>
      <c r="C24" s="8">
        <f>IF(B$19=0,0,B24/B$19)</f>
        <v>0.32258064516129031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4</v>
      </c>
      <c r="C25" s="8">
        <f>IF(B$19=0,0,B25/B$19)</f>
        <v>0.12903225806451613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7564.5161290322585</v>
      </c>
      <c r="C26" s="10">
        <v>234500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5</v>
      </c>
    </row>
    <row r="27" spans="1:17" x14ac:dyDescent="0.45">
      <c r="A27" s="22" t="s">
        <v>166</v>
      </c>
      <c r="B27" s="99">
        <f>IF($B$19-B$18=0,0,C27/($B$19-B$18))</f>
        <v>7995.2380952380954</v>
      </c>
      <c r="C27" s="100">
        <v>167900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3</v>
      </c>
    </row>
    <row r="28" spans="1:17" x14ac:dyDescent="0.45">
      <c r="A28" s="22" t="s">
        <v>167</v>
      </c>
      <c r="B28" s="99">
        <f>IF(B$18=0,0,C28/B$18)</f>
        <v>6660</v>
      </c>
      <c r="C28" s="100">
        <v>66600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-8300</v>
      </c>
      <c r="C29" s="100">
        <v>-174300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4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4</v>
      </c>
    </row>
    <row r="31" spans="1:17" x14ac:dyDescent="0.45">
      <c r="A31" s="21" t="s">
        <v>159</v>
      </c>
      <c r="B31" s="14">
        <v>21</v>
      </c>
      <c r="C31" s="94">
        <v>0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4</v>
      </c>
    </row>
    <row r="32" spans="1:17" x14ac:dyDescent="0.45">
      <c r="A32" s="56" t="s">
        <v>136</v>
      </c>
      <c r="B32" s="133">
        <v>5</v>
      </c>
      <c r="C32" s="13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35">
        <v>56900</v>
      </c>
      <c r="C33" s="13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5">
        <v>3</v>
      </c>
      <c r="C36" s="102">
        <f t="shared" ref="C36:C48" si="2">IF(B$19=0,0,B36/B$19)</f>
        <v>9.6774193548387094E-2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5</v>
      </c>
      <c r="C37" s="8">
        <f t="shared" si="2"/>
        <v>0.16129032258064516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6">
        <v>9</v>
      </c>
      <c r="C38" s="8">
        <f t="shared" si="2"/>
        <v>0.29032258064516131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6">
        <v>5</v>
      </c>
      <c r="C39" s="8">
        <f t="shared" si="2"/>
        <v>0.16129032258064516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6">
        <v>2</v>
      </c>
      <c r="C40" s="8">
        <f t="shared" si="2"/>
        <v>6.4516129032258063E-2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6">
        <v>2</v>
      </c>
      <c r="C41" s="8">
        <f t="shared" si="2"/>
        <v>6.4516129032258063E-2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6">
        <v>3</v>
      </c>
      <c r="C42" s="8">
        <f t="shared" si="2"/>
        <v>9.6774193548387094E-2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6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6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6">
        <v>1</v>
      </c>
      <c r="C45" s="8">
        <f t="shared" si="2"/>
        <v>3.2258064516129031E-2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6">
        <v>1</v>
      </c>
      <c r="C46" s="8">
        <f t="shared" si="2"/>
        <v>3.2258064516129031E-2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6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4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0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7FA17-DA6B-4C6C-BD7F-00F00D7167A6}">
  <sheetPr codeName="Sheet1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193</v>
      </c>
      <c r="C1" s="138"/>
      <c r="E1" s="108" t="s">
        <v>155</v>
      </c>
      <c r="F1" s="124" t="s">
        <v>115</v>
      </c>
      <c r="G1" s="123" t="s">
        <v>116</v>
      </c>
      <c r="H1" s="90" t="s">
        <v>117</v>
      </c>
      <c r="I1" s="124" t="s">
        <v>146</v>
      </c>
      <c r="K1" s="4" t="s">
        <v>19</v>
      </c>
      <c r="L1" s="12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6</v>
      </c>
      <c r="C2" s="140"/>
      <c r="E2" s="28" t="s">
        <v>66</v>
      </c>
      <c r="F2" s="25" t="s">
        <v>22</v>
      </c>
      <c r="G2" s="13">
        <v>18</v>
      </c>
      <c r="H2" s="91">
        <f>IF(B$19=0,0,G2/B$19)</f>
        <v>1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0">IF(P2=0,0,Q2/P2)</f>
        <v>-933.33333333333337</v>
      </c>
      <c r="P2" s="80">
        <v>6</v>
      </c>
      <c r="Q2" s="67">
        <v>-5600</v>
      </c>
    </row>
    <row r="3" spans="1:17" x14ac:dyDescent="0.45">
      <c r="A3" s="21" t="s">
        <v>8</v>
      </c>
      <c r="B3" s="141">
        <v>46</v>
      </c>
      <c r="C3" s="142"/>
      <c r="E3" s="29" t="s">
        <v>72</v>
      </c>
      <c r="F3" s="26" t="s">
        <v>27</v>
      </c>
      <c r="G3" s="14">
        <v>15</v>
      </c>
      <c r="H3" s="92">
        <f>IF(B$19=0,0,G3/B$19)</f>
        <v>0.83333333333333337</v>
      </c>
      <c r="I3" s="60">
        <v>1</v>
      </c>
      <c r="K3" s="7">
        <v>1</v>
      </c>
      <c r="L3" s="65">
        <v>56</v>
      </c>
      <c r="N3" s="78" t="s">
        <v>129</v>
      </c>
      <c r="O3" s="84">
        <f t="shared" si="0"/>
        <v>-1866.6666666666667</v>
      </c>
      <c r="P3" s="81">
        <v>6</v>
      </c>
      <c r="Q3" s="68">
        <v>-11200</v>
      </c>
    </row>
    <row r="4" spans="1:17" x14ac:dyDescent="0.45">
      <c r="A4" s="21" t="s">
        <v>6</v>
      </c>
      <c r="B4" s="143">
        <v>167.3</v>
      </c>
      <c r="C4" s="144"/>
      <c r="E4" s="29" t="s">
        <v>64</v>
      </c>
      <c r="F4" s="26" t="s">
        <v>20</v>
      </c>
      <c r="G4" s="14">
        <v>7</v>
      </c>
      <c r="H4" s="92">
        <f>IF(B$19=0,0,G4/B$19)</f>
        <v>0.3888888888888889</v>
      </c>
      <c r="I4" s="60">
        <v>7</v>
      </c>
      <c r="K4" s="7">
        <v>2</v>
      </c>
      <c r="L4" s="65">
        <v>137.5</v>
      </c>
      <c r="N4" s="78" t="s">
        <v>130</v>
      </c>
      <c r="O4" s="84">
        <f t="shared" si="0"/>
        <v>18150</v>
      </c>
      <c r="P4" s="81">
        <v>6</v>
      </c>
      <c r="Q4" s="68">
        <v>108900</v>
      </c>
    </row>
    <row r="5" spans="1:17" x14ac:dyDescent="0.45">
      <c r="A5" s="21" t="s">
        <v>7</v>
      </c>
      <c r="B5" s="131">
        <f>IF(B$2=0,0,B$4/B$2)</f>
        <v>27.883333333333336</v>
      </c>
      <c r="C5" s="132"/>
      <c r="E5" s="29" t="s">
        <v>67</v>
      </c>
      <c r="F5" s="26" t="s">
        <v>23</v>
      </c>
      <c r="G5" s="14">
        <v>7</v>
      </c>
      <c r="H5" s="92">
        <f>IF(B$19=0,0,G5/B$19)</f>
        <v>0.3888888888888889</v>
      </c>
      <c r="I5" s="60">
        <v>1</v>
      </c>
      <c r="K5" s="7">
        <v>3</v>
      </c>
      <c r="L5" s="65">
        <v>159</v>
      </c>
      <c r="N5" s="78" t="s">
        <v>131</v>
      </c>
      <c r="O5" s="84">
        <f t="shared" si="0"/>
        <v>1400</v>
      </c>
      <c r="P5" s="81">
        <v>4</v>
      </c>
      <c r="Q5" s="68">
        <v>5600</v>
      </c>
    </row>
    <row r="6" spans="1:17" x14ac:dyDescent="0.45">
      <c r="A6" s="21" t="s">
        <v>1</v>
      </c>
      <c r="B6" s="145">
        <f>IF(B$2=0,0,(B$7*1+B$8*2+B$9*3)/B$2)</f>
        <v>1.3333333333333333</v>
      </c>
      <c r="C6" s="146"/>
      <c r="E6" s="29" t="s">
        <v>68</v>
      </c>
      <c r="F6" s="26" t="s">
        <v>12</v>
      </c>
      <c r="G6" s="14">
        <v>5</v>
      </c>
      <c r="H6" s="92">
        <f>IF(B$19=0,0,G6/B$19)</f>
        <v>0.27777777777777779</v>
      </c>
      <c r="I6" s="60">
        <v>5</v>
      </c>
      <c r="K6" s="7">
        <v>4</v>
      </c>
      <c r="L6" s="65">
        <v>112.4</v>
      </c>
      <c r="N6" s="78" t="s">
        <v>132</v>
      </c>
      <c r="O6" s="84">
        <f t="shared" si="0"/>
        <v>9333.3333333333339</v>
      </c>
      <c r="P6" s="81">
        <v>3</v>
      </c>
      <c r="Q6" s="68">
        <v>28000</v>
      </c>
    </row>
    <row r="7" spans="1:17" x14ac:dyDescent="0.45">
      <c r="A7" s="21" t="s">
        <v>2</v>
      </c>
      <c r="B7" s="14">
        <v>5</v>
      </c>
      <c r="C7" s="8">
        <f t="shared" ref="C7:C14" si="1">IF(B$2=0,0,B7/B$2)</f>
        <v>0.83333333333333337</v>
      </c>
      <c r="E7" s="29" t="s">
        <v>89</v>
      </c>
      <c r="F7" s="26" t="s">
        <v>44</v>
      </c>
      <c r="G7" s="14">
        <v>3</v>
      </c>
      <c r="H7" s="92">
        <f>IF(B$19=0,0,G7/B$19)</f>
        <v>0.16666666666666666</v>
      </c>
      <c r="I7" s="60">
        <v>4</v>
      </c>
      <c r="K7" s="7">
        <v>5</v>
      </c>
      <c r="L7" s="65">
        <v>140.30000000000001</v>
      </c>
      <c r="N7" s="79" t="s">
        <v>133</v>
      </c>
      <c r="O7" s="85">
        <f t="shared" si="0"/>
        <v>533.33333333333337</v>
      </c>
      <c r="P7" s="82">
        <v>3</v>
      </c>
      <c r="Q7" s="69">
        <v>1600</v>
      </c>
    </row>
    <row r="8" spans="1:17" x14ac:dyDescent="0.45">
      <c r="A8" s="21" t="s">
        <v>3</v>
      </c>
      <c r="B8" s="14">
        <v>0</v>
      </c>
      <c r="C8" s="8">
        <f t="shared" si="1"/>
        <v>0</v>
      </c>
      <c r="E8" s="29" t="s">
        <v>65</v>
      </c>
      <c r="F8" s="26" t="s">
        <v>21</v>
      </c>
      <c r="G8" s="14">
        <v>2</v>
      </c>
      <c r="H8" s="92">
        <f>IF(B$19=0,0,G8/B$19)</f>
        <v>0.1111111111111111</v>
      </c>
      <c r="I8" s="60">
        <v>4</v>
      </c>
      <c r="K8" s="7">
        <v>6</v>
      </c>
      <c r="L8" s="65">
        <v>167.3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1"/>
        <v>0.16666666666666666</v>
      </c>
      <c r="E9" s="29" t="s">
        <v>81</v>
      </c>
      <c r="F9" s="26" t="s">
        <v>36</v>
      </c>
      <c r="G9" s="14">
        <v>2</v>
      </c>
      <c r="H9" s="92">
        <f>IF(B$19=0,0,G9/B$19)</f>
        <v>0.1111111111111111</v>
      </c>
      <c r="I9" s="60">
        <v>1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42.78</v>
      </c>
      <c r="C10" s="114">
        <v>213.9</v>
      </c>
      <c r="E10" s="29" t="s">
        <v>83</v>
      </c>
      <c r="F10" s="26" t="s">
        <v>38</v>
      </c>
      <c r="G10" s="14">
        <v>2</v>
      </c>
      <c r="H10" s="92">
        <f>IF(B$19=0,0,G10/B$19)</f>
        <v>0.1111111111111111</v>
      </c>
      <c r="I10" s="60">
        <v>1</v>
      </c>
      <c r="N10" s="77" t="s">
        <v>152</v>
      </c>
      <c r="O10" s="86">
        <f>IF(P10=0,0,Q10/P10)</f>
        <v>-12.55</v>
      </c>
      <c r="P10" s="80">
        <v>2</v>
      </c>
      <c r="Q10" s="71">
        <v>-25.1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69</v>
      </c>
      <c r="F11" s="26" t="s">
        <v>24</v>
      </c>
      <c r="G11" s="14">
        <v>1</v>
      </c>
      <c r="H11" s="92">
        <f>IF(B$19=0,0,G11/B$19)</f>
        <v>5.5555555555555552E-2</v>
      </c>
      <c r="I11" s="60">
        <v>7</v>
      </c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187</v>
      </c>
      <c r="B12" s="113">
        <f>IF(B9=0,0,C12/B9)</f>
        <v>-46.6</v>
      </c>
      <c r="C12" s="114">
        <v>-46.6</v>
      </c>
      <c r="E12" s="29" t="s">
        <v>102</v>
      </c>
      <c r="F12" s="26" t="s">
        <v>57</v>
      </c>
      <c r="G12" s="14">
        <v>1</v>
      </c>
      <c r="H12" s="92">
        <f>IF(B$19=0,0,G12/B$19)</f>
        <v>5.5555555555555552E-2</v>
      </c>
      <c r="I12" s="60">
        <v>1</v>
      </c>
      <c r="N12" s="79" t="s">
        <v>154</v>
      </c>
      <c r="O12" s="88">
        <f>IF(P12=0,0,Q12/P12)</f>
        <v>48.1</v>
      </c>
      <c r="P12" s="82">
        <v>4</v>
      </c>
      <c r="Q12" s="73">
        <v>192.4</v>
      </c>
    </row>
    <row r="13" spans="1:17" x14ac:dyDescent="0.45">
      <c r="A13" s="22" t="s">
        <v>188</v>
      </c>
      <c r="B13" s="131">
        <f>AVERAGE(B10:B12)</f>
        <v>-1.2733333333333334</v>
      </c>
      <c r="C13" s="132"/>
      <c r="E13" s="29" t="s">
        <v>70</v>
      </c>
      <c r="F13" s="26" t="s">
        <v>25</v>
      </c>
      <c r="G13" s="14">
        <v>0</v>
      </c>
      <c r="H13" s="92">
        <f>IF(B$19=0,0,G13/B$19)</f>
        <v>0</v>
      </c>
      <c r="I13" s="60">
        <v>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0.16666666666666666</v>
      </c>
      <c r="E14" s="29" t="s">
        <v>71</v>
      </c>
      <c r="F14" s="26" t="s">
        <v>26</v>
      </c>
      <c r="G14" s="14">
        <v>0</v>
      </c>
      <c r="H14" s="92">
        <f>IF(B$19=0,0,G14/B$19)</f>
        <v>0</v>
      </c>
      <c r="I14" s="60">
        <v>7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11</v>
      </c>
      <c r="C15" s="12">
        <f>IF(B$3=0,0,B15/B$3)</f>
        <v>0.2391304347826087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3</v>
      </c>
      <c r="N15" s="77" t="s">
        <v>196</v>
      </c>
      <c r="O15" s="86">
        <f>IF(P15=0,0,Q15/P15)</f>
        <v>112</v>
      </c>
      <c r="P15" s="80">
        <v>1</v>
      </c>
      <c r="Q15" s="71">
        <v>112</v>
      </c>
    </row>
    <row r="16" spans="1:17" x14ac:dyDescent="0.45">
      <c r="A16" s="21" t="s">
        <v>118</v>
      </c>
      <c r="B16" s="14">
        <v>17</v>
      </c>
      <c r="C16" s="8">
        <f>IF(B$3=0,0,B16/B$3)</f>
        <v>0.36956521739130432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1</v>
      </c>
      <c r="N16" s="78" t="s">
        <v>194</v>
      </c>
      <c r="O16" s="87">
        <f>IF(P16=0,0,Q16/P16)</f>
        <v>86.566666666666663</v>
      </c>
      <c r="P16" s="81">
        <v>3</v>
      </c>
      <c r="Q16" s="72">
        <v>259.7</v>
      </c>
    </row>
    <row r="17" spans="1:17" x14ac:dyDescent="0.45">
      <c r="A17" s="20" t="s">
        <v>123</v>
      </c>
      <c r="B17" s="13">
        <f>B23</f>
        <v>7</v>
      </c>
      <c r="C17" s="6">
        <f>IF(B$15=0,0,B17/B$15)</f>
        <v>0.63636363636363635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1</v>
      </c>
      <c r="N17" s="78" t="s">
        <v>164</v>
      </c>
      <c r="O17" s="87">
        <f>IF(P17=0,0,Q17/P17)</f>
        <v>48.4</v>
      </c>
      <c r="P17" s="81">
        <v>1</v>
      </c>
      <c r="Q17" s="72">
        <v>48.4</v>
      </c>
    </row>
    <row r="18" spans="1:17" x14ac:dyDescent="0.45">
      <c r="A18" s="20" t="s">
        <v>124</v>
      </c>
      <c r="B18" s="13">
        <f>B24</f>
        <v>6</v>
      </c>
      <c r="C18" s="6">
        <f>IF(B$16=0,0,B18/B$16)</f>
        <v>0.35294117647058826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192</v>
      </c>
      <c r="O18" s="87">
        <f>IF(P18=0,0,Q18/P18)</f>
        <v>38.379999999999995</v>
      </c>
      <c r="P18" s="81">
        <v>5</v>
      </c>
      <c r="Q18" s="72">
        <v>191.89999999999998</v>
      </c>
    </row>
    <row r="19" spans="1:17" x14ac:dyDescent="0.45">
      <c r="A19" s="20" t="s">
        <v>10</v>
      </c>
      <c r="B19" s="13">
        <f>B22+B21</f>
        <v>18</v>
      </c>
      <c r="C19" s="6">
        <f>IF(B$3=0,0,B19/B$3)</f>
        <v>0.39130434782608697</v>
      </c>
      <c r="E19" s="29" t="s">
        <v>77</v>
      </c>
      <c r="F19" s="26" t="s">
        <v>32</v>
      </c>
      <c r="G19" s="14">
        <v>0</v>
      </c>
      <c r="H19" s="92">
        <f>IF(B$19=0,0,G19/B$19)</f>
        <v>0</v>
      </c>
      <c r="I19" s="60">
        <v>1</v>
      </c>
      <c r="N19" s="78" t="s">
        <v>126</v>
      </c>
      <c r="O19" s="87">
        <f>IF(P19=0,0,Q19/P19)</f>
        <v>-55.050000000000004</v>
      </c>
      <c r="P19" s="81">
        <v>2</v>
      </c>
      <c r="Q19" s="72">
        <v>-110.10000000000001</v>
      </c>
    </row>
    <row r="20" spans="1:17" x14ac:dyDescent="0.45">
      <c r="A20" s="21" t="s">
        <v>13</v>
      </c>
      <c r="B20" s="14">
        <v>5</v>
      </c>
      <c r="C20" s="8">
        <f>IF(B$3=0,0,B20/B$3)</f>
        <v>0.10869565217391304</v>
      </c>
      <c r="E20" s="29" t="s">
        <v>78</v>
      </c>
      <c r="F20" s="26" t="s">
        <v>33</v>
      </c>
      <c r="G20" s="14">
        <v>0</v>
      </c>
      <c r="H20" s="92">
        <f>IF(B$19=0,0,G20/B$19)</f>
        <v>0</v>
      </c>
      <c r="I20" s="60">
        <v>5</v>
      </c>
    </row>
    <row r="21" spans="1:17" x14ac:dyDescent="0.45">
      <c r="A21" s="21" t="s">
        <v>12</v>
      </c>
      <c r="B21" s="14">
        <v>9</v>
      </c>
      <c r="C21" s="8">
        <f>IF(B$19=0,0,B21/B$19)</f>
        <v>0.5</v>
      </c>
      <c r="E21" s="29" t="s">
        <v>79</v>
      </c>
      <c r="F21" s="26" t="s">
        <v>34</v>
      </c>
      <c r="G21" s="14">
        <v>0</v>
      </c>
      <c r="H21" s="92">
        <f>IF(B$19=0,0,G21/B$19)</f>
        <v>0</v>
      </c>
      <c r="I21" s="60">
        <v>5</v>
      </c>
    </row>
    <row r="22" spans="1:17" x14ac:dyDescent="0.45">
      <c r="A22" s="21" t="s">
        <v>11</v>
      </c>
      <c r="B22" s="14">
        <v>9</v>
      </c>
      <c r="C22" s="8">
        <f>IF(B$19=0,0,B22/B$19)</f>
        <v>0.5</v>
      </c>
      <c r="E22" s="29" t="s">
        <v>80</v>
      </c>
      <c r="F22" s="26" t="s">
        <v>35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184</v>
      </c>
      <c r="B23" s="14">
        <v>7</v>
      </c>
      <c r="C23" s="8">
        <f>IF(B$19=0,0,B23/B$19)</f>
        <v>0.3888888888888889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6</v>
      </c>
      <c r="C24" s="8">
        <f>IF(B$19=0,0,B24/B$19)</f>
        <v>0.33333333333333331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5</v>
      </c>
      <c r="C25" s="8">
        <f>IF(B$19=0,0,B25/B$19)</f>
        <v>0.27777777777777779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10283.333333333334</v>
      </c>
      <c r="C26" s="10">
        <v>185100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5</v>
      </c>
    </row>
    <row r="27" spans="1:17" x14ac:dyDescent="0.45">
      <c r="A27" s="22" t="s">
        <v>166</v>
      </c>
      <c r="B27" s="99">
        <f>IF($B$19-B$18=0,0,C27/($B$19-B$18))</f>
        <v>11266.666666666666</v>
      </c>
      <c r="C27" s="100">
        <v>135200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3</v>
      </c>
    </row>
    <row r="28" spans="1:17" x14ac:dyDescent="0.45">
      <c r="A28" s="22" t="s">
        <v>167</v>
      </c>
      <c r="B28" s="99">
        <f>IF(B$18=0,0,C28/B$18)</f>
        <v>8316.6666666666661</v>
      </c>
      <c r="C28" s="100">
        <v>49900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-4980</v>
      </c>
      <c r="C29" s="100">
        <v>-24900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7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4</v>
      </c>
    </row>
    <row r="31" spans="1:17" x14ac:dyDescent="0.45">
      <c r="A31" s="21" t="s">
        <v>159</v>
      </c>
      <c r="B31" s="14">
        <v>16</v>
      </c>
      <c r="C31" s="94">
        <v>14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4</v>
      </c>
    </row>
    <row r="32" spans="1:17" x14ac:dyDescent="0.45">
      <c r="A32" s="56" t="s">
        <v>136</v>
      </c>
      <c r="B32" s="133">
        <v>6</v>
      </c>
      <c r="C32" s="13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35">
        <v>106500</v>
      </c>
      <c r="C33" s="13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5">
        <v>1</v>
      </c>
      <c r="C36" s="102">
        <f t="shared" ref="C36:C48" si="2">IF(B$19=0,0,B36/B$19)</f>
        <v>5.5555555555555552E-2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4</v>
      </c>
      <c r="C37" s="8">
        <f t="shared" si="2"/>
        <v>0.22222222222222221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6">
        <v>3</v>
      </c>
      <c r="C38" s="8">
        <f t="shared" si="2"/>
        <v>0.16666666666666666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6">
        <v>0</v>
      </c>
      <c r="C39" s="8">
        <f t="shared" si="2"/>
        <v>0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6">
        <v>6</v>
      </c>
      <c r="C40" s="8">
        <f t="shared" si="2"/>
        <v>0.33333333333333331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6">
        <v>1</v>
      </c>
      <c r="C41" s="8">
        <f t="shared" si="2"/>
        <v>5.5555555555555552E-2</v>
      </c>
      <c r="E41" s="29" t="s">
        <v>103</v>
      </c>
      <c r="F41" s="26" t="s">
        <v>58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6">
        <v>1</v>
      </c>
      <c r="C42" s="8">
        <f t="shared" si="2"/>
        <v>5.5555555555555552E-2</v>
      </c>
      <c r="E42" s="29" t="s">
        <v>104</v>
      </c>
      <c r="F42" s="26" t="s">
        <v>59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6">
        <v>0</v>
      </c>
      <c r="C43" s="8">
        <f t="shared" si="2"/>
        <v>0</v>
      </c>
      <c r="E43" s="29" t="s">
        <v>105</v>
      </c>
      <c r="F43" s="26" t="s">
        <v>112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6">
        <v>0</v>
      </c>
      <c r="C44" s="8">
        <f t="shared" si="2"/>
        <v>0</v>
      </c>
      <c r="E44" s="29" t="s">
        <v>106</v>
      </c>
      <c r="F44" s="26" t="s">
        <v>113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6">
        <v>1</v>
      </c>
      <c r="C45" s="8">
        <f t="shared" si="2"/>
        <v>5.5555555555555552E-2</v>
      </c>
      <c r="E45" s="29" t="s">
        <v>107</v>
      </c>
      <c r="F45" s="26" t="s">
        <v>114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6">
        <v>0</v>
      </c>
      <c r="C46" s="8">
        <f t="shared" si="2"/>
        <v>0</v>
      </c>
      <c r="E46" s="29" t="s">
        <v>108</v>
      </c>
      <c r="F46" s="26" t="s">
        <v>60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6">
        <v>0</v>
      </c>
      <c r="C47" s="8">
        <f t="shared" si="2"/>
        <v>0</v>
      </c>
      <c r="E47" s="29" t="s">
        <v>109</v>
      </c>
      <c r="F47" s="26" t="s">
        <v>61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2"/>
        <v>5.5555555555555552E-2</v>
      </c>
      <c r="E48" s="29" t="s">
        <v>110</v>
      </c>
      <c r="F48" s="26" t="s">
        <v>62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111</v>
      </c>
      <c r="F49" s="26" t="s">
        <v>63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156</v>
      </c>
      <c r="F50" s="26" t="s">
        <v>157</v>
      </c>
      <c r="G50" s="14">
        <v>0</v>
      </c>
      <c r="H50" s="92">
        <f>IF(B$19=0,0,G50/B$19)</f>
        <v>0</v>
      </c>
      <c r="I50" s="60">
        <v>4</v>
      </c>
    </row>
    <row r="51" spans="5:9" x14ac:dyDescent="0.45">
      <c r="E51" s="95" t="s">
        <v>160</v>
      </c>
      <c r="F51" s="96" t="s">
        <v>161</v>
      </c>
      <c r="G51" s="15">
        <v>0</v>
      </c>
      <c r="H51" s="97">
        <f>IF(B$19=0,0,G51/B$19)</f>
        <v>0</v>
      </c>
      <c r="I51" s="98">
        <v>8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2200A-4EAF-4DD5-86BE-275C7A49AD99}">
  <sheetPr codeName="Sheet1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196</v>
      </c>
      <c r="C1" s="138"/>
      <c r="E1" s="108" t="s">
        <v>155</v>
      </c>
      <c r="F1" s="124" t="s">
        <v>115</v>
      </c>
      <c r="G1" s="123" t="s">
        <v>116</v>
      </c>
      <c r="H1" s="90" t="s">
        <v>117</v>
      </c>
      <c r="I1" s="124" t="s">
        <v>146</v>
      </c>
      <c r="K1" s="4" t="s">
        <v>19</v>
      </c>
      <c r="L1" s="12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3</v>
      </c>
      <c r="C2" s="140"/>
      <c r="E2" s="28" t="s">
        <v>64</v>
      </c>
      <c r="F2" s="25" t="s">
        <v>20</v>
      </c>
      <c r="G2" s="13">
        <v>3</v>
      </c>
      <c r="H2" s="91">
        <f>IF(B$19=0,0,G2/B$19)</f>
        <v>0.75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-333.33333333333331</v>
      </c>
      <c r="P2" s="80">
        <v>3</v>
      </c>
      <c r="Q2" s="67">
        <v>-1000</v>
      </c>
    </row>
    <row r="3" spans="1:17" x14ac:dyDescent="0.45">
      <c r="A3" s="21" t="s">
        <v>8</v>
      </c>
      <c r="B3" s="141">
        <v>20</v>
      </c>
      <c r="C3" s="142"/>
      <c r="E3" s="29" t="s">
        <v>65</v>
      </c>
      <c r="F3" s="26" t="s">
        <v>21</v>
      </c>
      <c r="G3" s="14">
        <v>1</v>
      </c>
      <c r="H3" s="92">
        <f>IF(B$19=0,0,G3/B$19)</f>
        <v>0.25</v>
      </c>
      <c r="I3" s="60">
        <v>2</v>
      </c>
      <c r="K3" s="7">
        <v>1</v>
      </c>
      <c r="L3" s="65">
        <v>-30.5</v>
      </c>
      <c r="N3" s="78" t="s">
        <v>129</v>
      </c>
      <c r="O3" s="84">
        <f t="shared" si="0"/>
        <v>800</v>
      </c>
      <c r="P3" s="81">
        <v>3</v>
      </c>
      <c r="Q3" s="68">
        <v>2400</v>
      </c>
    </row>
    <row r="4" spans="1:17" x14ac:dyDescent="0.45">
      <c r="A4" s="21" t="s">
        <v>6</v>
      </c>
      <c r="B4" s="143">
        <v>-41.400000000000006</v>
      </c>
      <c r="C4" s="144"/>
      <c r="E4" s="29" t="s">
        <v>66</v>
      </c>
      <c r="F4" s="26" t="s">
        <v>22</v>
      </c>
      <c r="G4" s="14">
        <v>1</v>
      </c>
      <c r="H4" s="92">
        <f>IF(B$19=0,0,G4/B$19)</f>
        <v>0.25</v>
      </c>
      <c r="I4" s="60">
        <v>9</v>
      </c>
      <c r="K4" s="7">
        <v>2</v>
      </c>
      <c r="L4" s="65">
        <v>-28.6</v>
      </c>
      <c r="N4" s="78" t="s">
        <v>130</v>
      </c>
      <c r="O4" s="84">
        <f t="shared" si="0"/>
        <v>-8766.6666666666661</v>
      </c>
      <c r="P4" s="81">
        <v>3</v>
      </c>
      <c r="Q4" s="68">
        <v>-26300</v>
      </c>
    </row>
    <row r="5" spans="1:17" x14ac:dyDescent="0.45">
      <c r="A5" s="21" t="s">
        <v>7</v>
      </c>
      <c r="B5" s="131">
        <f>IF(B$2=0,0,B$4/B$2)</f>
        <v>-13.800000000000002</v>
      </c>
      <c r="C5" s="132"/>
      <c r="E5" s="29" t="s">
        <v>67</v>
      </c>
      <c r="F5" s="26" t="s">
        <v>23</v>
      </c>
      <c r="G5" s="14">
        <v>1</v>
      </c>
      <c r="H5" s="92">
        <f>IF(B$19=0,0,G5/B$19)</f>
        <v>0.25</v>
      </c>
      <c r="I5" s="60">
        <v>6</v>
      </c>
      <c r="K5" s="7">
        <v>3</v>
      </c>
      <c r="L5" s="65">
        <v>-41.400000000000006</v>
      </c>
      <c r="N5" s="78" t="s">
        <v>131</v>
      </c>
      <c r="O5" s="84">
        <f t="shared" si="0"/>
        <v>-3000</v>
      </c>
      <c r="P5" s="81">
        <v>1</v>
      </c>
      <c r="Q5" s="68">
        <v>-3000</v>
      </c>
    </row>
    <row r="6" spans="1:17" x14ac:dyDescent="0.45">
      <c r="A6" s="21" t="s">
        <v>1</v>
      </c>
      <c r="B6" s="145">
        <f>IF(B$2=0,0,(B$7*1+B$8*2+B$9*3)/B$2)</f>
        <v>2.3333333333333335</v>
      </c>
      <c r="C6" s="146"/>
      <c r="E6" s="29" t="s">
        <v>68</v>
      </c>
      <c r="F6" s="26" t="s">
        <v>12</v>
      </c>
      <c r="G6" s="14">
        <v>1</v>
      </c>
      <c r="H6" s="92">
        <f>IF(B$19=0,0,G6/B$19)</f>
        <v>0.25</v>
      </c>
      <c r="I6" s="60">
        <v>7</v>
      </c>
      <c r="N6" s="78" t="s">
        <v>132</v>
      </c>
      <c r="O6" s="84">
        <f t="shared" si="0"/>
        <v>2000</v>
      </c>
      <c r="P6" s="81">
        <v>1</v>
      </c>
      <c r="Q6" s="68">
        <v>2000</v>
      </c>
    </row>
    <row r="7" spans="1:17" x14ac:dyDescent="0.45">
      <c r="A7" s="21" t="s">
        <v>2</v>
      </c>
      <c r="B7" s="14">
        <v>0</v>
      </c>
      <c r="C7" s="8">
        <f t="shared" ref="C7:C14" si="1">IF(B$2=0,0,B7/B$2)</f>
        <v>0</v>
      </c>
      <c r="E7" s="29" t="s">
        <v>72</v>
      </c>
      <c r="F7" s="26" t="s">
        <v>27</v>
      </c>
      <c r="G7" s="14">
        <v>1</v>
      </c>
      <c r="H7" s="92">
        <f>IF(B$19=0,0,G7/B$19)</f>
        <v>0.25</v>
      </c>
      <c r="I7" s="60">
        <v>8</v>
      </c>
      <c r="N7" s="79" t="s">
        <v>133</v>
      </c>
      <c r="O7" s="85">
        <f t="shared" si="0"/>
        <v>-5500</v>
      </c>
      <c r="P7" s="82">
        <v>1</v>
      </c>
      <c r="Q7" s="69">
        <v>-5500</v>
      </c>
    </row>
    <row r="8" spans="1:17" x14ac:dyDescent="0.45">
      <c r="A8" s="21" t="s">
        <v>3</v>
      </c>
      <c r="B8" s="14">
        <v>2</v>
      </c>
      <c r="C8" s="8">
        <f t="shared" si="1"/>
        <v>0.66666666666666663</v>
      </c>
      <c r="E8" s="29" t="s">
        <v>86</v>
      </c>
      <c r="F8" s="26" t="s">
        <v>41</v>
      </c>
      <c r="G8" s="14">
        <v>1</v>
      </c>
      <c r="H8" s="92">
        <f>IF(B$19=0,0,G8/B$19)</f>
        <v>0.25</v>
      </c>
      <c r="I8" s="60">
        <v>1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1"/>
        <v>0.33333333333333331</v>
      </c>
      <c r="E9" s="29" t="s">
        <v>160</v>
      </c>
      <c r="F9" s="26" t="s">
        <v>161</v>
      </c>
      <c r="G9" s="14">
        <v>1</v>
      </c>
      <c r="H9" s="92">
        <f>IF(B$19=0,0,G9/B$19)</f>
        <v>0.25</v>
      </c>
      <c r="I9" s="60">
        <v>7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69</v>
      </c>
      <c r="F10" s="26" t="s">
        <v>24</v>
      </c>
      <c r="G10" s="14">
        <v>0</v>
      </c>
      <c r="H10" s="92">
        <f>IF(B$19=0,0,G10/B$19)</f>
        <v>0</v>
      </c>
      <c r="I10" s="60">
        <v>8</v>
      </c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186</v>
      </c>
      <c r="B11" s="113">
        <f>IF(B8=0,0,C11/B8)</f>
        <v>-14.3</v>
      </c>
      <c r="C11" s="114">
        <v>-28.6</v>
      </c>
      <c r="E11" s="29" t="s">
        <v>70</v>
      </c>
      <c r="F11" s="26" t="s">
        <v>25</v>
      </c>
      <c r="G11" s="14">
        <v>0</v>
      </c>
      <c r="H11" s="92">
        <f>IF(B$19=0,0,G11/B$19)</f>
        <v>0</v>
      </c>
      <c r="I11" s="60">
        <v>6</v>
      </c>
      <c r="N11" s="78" t="s">
        <v>153</v>
      </c>
      <c r="O11" s="87">
        <f>IF(P11=0,0,Q11/P11)</f>
        <v>-30.5</v>
      </c>
      <c r="P11" s="81">
        <v>1</v>
      </c>
      <c r="Q11" s="72">
        <v>-30.5</v>
      </c>
    </row>
    <row r="12" spans="1:17" x14ac:dyDescent="0.45">
      <c r="A12" s="22" t="s">
        <v>187</v>
      </c>
      <c r="B12" s="113">
        <f>IF(B9=0,0,C12/B9)</f>
        <v>-12.8</v>
      </c>
      <c r="C12" s="114">
        <v>-12.8</v>
      </c>
      <c r="E12" s="29" t="s">
        <v>71</v>
      </c>
      <c r="F12" s="26" t="s">
        <v>26</v>
      </c>
      <c r="G12" s="14">
        <v>0</v>
      </c>
      <c r="H12" s="92">
        <f>IF(B$19=0,0,G12/B$19)</f>
        <v>0</v>
      </c>
      <c r="I12" s="60">
        <v>7</v>
      </c>
      <c r="N12" s="79" t="s">
        <v>154</v>
      </c>
      <c r="O12" s="88">
        <f>IF(P12=0,0,Q12/P12)</f>
        <v>-5.45</v>
      </c>
      <c r="P12" s="82">
        <v>2</v>
      </c>
      <c r="Q12" s="73">
        <v>-10.9</v>
      </c>
    </row>
    <row r="13" spans="1:17" x14ac:dyDescent="0.45">
      <c r="A13" s="22" t="s">
        <v>188</v>
      </c>
      <c r="B13" s="131">
        <f>AVERAGE(B10:B12)</f>
        <v>-9.0333333333333332</v>
      </c>
      <c r="C13" s="132"/>
      <c r="E13" s="29" t="s">
        <v>73</v>
      </c>
      <c r="F13" s="26" t="s">
        <v>28</v>
      </c>
      <c r="G13" s="14">
        <v>0</v>
      </c>
      <c r="H13" s="92">
        <f>IF(B$19=0,0,G13/B$19)</f>
        <v>0</v>
      </c>
      <c r="I13" s="60">
        <v>3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74</v>
      </c>
      <c r="F14" s="26" t="s">
        <v>29</v>
      </c>
      <c r="G14" s="14">
        <v>0</v>
      </c>
      <c r="H14" s="92">
        <f>IF(B$19=0,0,G14/B$19)</f>
        <v>0</v>
      </c>
      <c r="I14" s="60">
        <v>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4</v>
      </c>
      <c r="C15" s="12">
        <f>IF(B$3=0,0,B15/B$3)</f>
        <v>0.2</v>
      </c>
      <c r="E15" s="29" t="s">
        <v>75</v>
      </c>
      <c r="F15" s="26" t="s">
        <v>30</v>
      </c>
      <c r="G15" s="14">
        <v>0</v>
      </c>
      <c r="H15" s="92">
        <f>IF(B$19=0,0,G15/B$19)</f>
        <v>0</v>
      </c>
      <c r="I15" s="60">
        <v>1</v>
      </c>
      <c r="N15" s="77" t="s">
        <v>194</v>
      </c>
      <c r="O15" s="86">
        <f>IF(P15=0,0,Q15/P15)</f>
        <v>20.5</v>
      </c>
      <c r="P15" s="80">
        <v>1</v>
      </c>
      <c r="Q15" s="71">
        <v>20.5</v>
      </c>
    </row>
    <row r="16" spans="1:17" x14ac:dyDescent="0.45">
      <c r="A16" s="21" t="s">
        <v>118</v>
      </c>
      <c r="B16" s="14">
        <v>1</v>
      </c>
      <c r="C16" s="8">
        <f>IF(B$3=0,0,B16/B$3)</f>
        <v>0.05</v>
      </c>
      <c r="E16" s="29" t="s">
        <v>76</v>
      </c>
      <c r="F16" s="26" t="s">
        <v>31</v>
      </c>
      <c r="G16" s="14">
        <v>0</v>
      </c>
      <c r="H16" s="92">
        <f>IF(B$19=0,0,G16/B$19)</f>
        <v>0</v>
      </c>
      <c r="I16" s="60">
        <v>1</v>
      </c>
      <c r="N16" s="78" t="s">
        <v>192</v>
      </c>
      <c r="O16" s="87">
        <f>IF(P16=0,0,Q16/P16)</f>
        <v>18.550000000000004</v>
      </c>
      <c r="P16" s="81">
        <v>2</v>
      </c>
      <c r="Q16" s="72">
        <v>37.100000000000009</v>
      </c>
    </row>
    <row r="17" spans="1:17" x14ac:dyDescent="0.45">
      <c r="A17" s="20" t="s">
        <v>123</v>
      </c>
      <c r="B17" s="13">
        <f>B23</f>
        <v>3</v>
      </c>
      <c r="C17" s="6">
        <f>IF(B$15=0,0,B17/B$15)</f>
        <v>0.75</v>
      </c>
      <c r="E17" s="29" t="s">
        <v>77</v>
      </c>
      <c r="F17" s="26" t="s">
        <v>32</v>
      </c>
      <c r="G17" s="14">
        <v>0</v>
      </c>
      <c r="H17" s="92">
        <f>IF(B$19=0,0,G17/B$19)</f>
        <v>0</v>
      </c>
      <c r="I17" s="60">
        <v>1</v>
      </c>
      <c r="N17" s="78" t="s">
        <v>126</v>
      </c>
      <c r="O17" s="87">
        <f>IF(P17=0,0,Q17/P17)</f>
        <v>-34.9</v>
      </c>
      <c r="P17" s="81">
        <v>2</v>
      </c>
      <c r="Q17" s="72">
        <v>-69.8</v>
      </c>
    </row>
    <row r="18" spans="1:17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78</v>
      </c>
      <c r="F18" s="26" t="s">
        <v>33</v>
      </c>
      <c r="G18" s="14">
        <v>0</v>
      </c>
      <c r="H18" s="92">
        <f>IF(B$19=0,0,G18/B$19)</f>
        <v>0</v>
      </c>
      <c r="I18" s="60">
        <v>5</v>
      </c>
      <c r="N18" s="78" t="s">
        <v>193</v>
      </c>
      <c r="O18" s="87">
        <f>IF(P18=0,0,Q18/P18)</f>
        <v>-112</v>
      </c>
      <c r="P18" s="81">
        <v>1</v>
      </c>
      <c r="Q18" s="72">
        <v>-112</v>
      </c>
    </row>
    <row r="19" spans="1:17" x14ac:dyDescent="0.45">
      <c r="A19" s="20" t="s">
        <v>10</v>
      </c>
      <c r="B19" s="13">
        <f>B22+B21</f>
        <v>4</v>
      </c>
      <c r="C19" s="6">
        <f>IF(B$3=0,0,B19/B$3)</f>
        <v>0.2</v>
      </c>
      <c r="E19" s="29" t="s">
        <v>79</v>
      </c>
      <c r="F19" s="26" t="s">
        <v>34</v>
      </c>
      <c r="G19" s="14">
        <v>0</v>
      </c>
      <c r="H19" s="92">
        <f>IF(B$19=0,0,G19/B$19)</f>
        <v>0</v>
      </c>
      <c r="I19" s="60">
        <v>5</v>
      </c>
    </row>
    <row r="20" spans="1:17" x14ac:dyDescent="0.45">
      <c r="A20" s="21" t="s">
        <v>13</v>
      </c>
      <c r="B20" s="14">
        <v>1</v>
      </c>
      <c r="C20" s="8">
        <f>IF(B$3=0,0,B20/B$3)</f>
        <v>0.05</v>
      </c>
      <c r="E20" s="29" t="s">
        <v>80</v>
      </c>
      <c r="F20" s="26" t="s">
        <v>35</v>
      </c>
      <c r="G20" s="14">
        <v>0</v>
      </c>
      <c r="H20" s="92">
        <f>IF(B$19=0,0,G20/B$19)</f>
        <v>0</v>
      </c>
      <c r="I20" s="60">
        <v>1</v>
      </c>
    </row>
    <row r="21" spans="1:17" x14ac:dyDescent="0.45">
      <c r="A21" s="21" t="s">
        <v>12</v>
      </c>
      <c r="B21" s="14">
        <v>1</v>
      </c>
      <c r="C21" s="8">
        <f>IF(B$19=0,0,B21/B$19)</f>
        <v>0.25</v>
      </c>
      <c r="E21" s="29" t="s">
        <v>81</v>
      </c>
      <c r="F21" s="26" t="s">
        <v>36</v>
      </c>
      <c r="G21" s="14">
        <v>0</v>
      </c>
      <c r="H21" s="92">
        <f>IF(B$19=0,0,G21/B$19)</f>
        <v>0</v>
      </c>
      <c r="I21" s="60">
        <v>5</v>
      </c>
    </row>
    <row r="22" spans="1:17" x14ac:dyDescent="0.45">
      <c r="A22" s="21" t="s">
        <v>11</v>
      </c>
      <c r="B22" s="14">
        <v>3</v>
      </c>
      <c r="C22" s="8">
        <f>IF(B$19=0,0,B22/B$19)</f>
        <v>0.75</v>
      </c>
      <c r="E22" s="29" t="s">
        <v>82</v>
      </c>
      <c r="F22" s="26" t="s">
        <v>37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184</v>
      </c>
      <c r="B23" s="14">
        <v>3</v>
      </c>
      <c r="C23" s="8">
        <f>IF(B$19=0,0,B23/B$19)</f>
        <v>0.75</v>
      </c>
      <c r="E23" s="29" t="s">
        <v>83</v>
      </c>
      <c r="F23" s="26" t="s">
        <v>38</v>
      </c>
      <c r="G23" s="14">
        <v>0</v>
      </c>
      <c r="H23" s="92">
        <f>IF(B$19=0,0,G23/B$19)</f>
        <v>0</v>
      </c>
      <c r="I23" s="60">
        <v>5</v>
      </c>
    </row>
    <row r="24" spans="1:17" x14ac:dyDescent="0.45">
      <c r="A24" s="21" t="s">
        <v>182</v>
      </c>
      <c r="B24" s="14">
        <v>0</v>
      </c>
      <c r="C24" s="8">
        <f>IF(B$19=0,0,B24/B$19)</f>
        <v>0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1</v>
      </c>
      <c r="C25" s="8">
        <f>IF(B$19=0,0,B25/B$19)</f>
        <v>0.25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5100</v>
      </c>
      <c r="C26" s="10">
        <v>20400</v>
      </c>
      <c r="E26" s="29" t="s">
        <v>87</v>
      </c>
      <c r="F26" s="26" t="s">
        <v>42</v>
      </c>
      <c r="G26" s="14">
        <v>0</v>
      </c>
      <c r="H26" s="92">
        <f>IF(B$19=0,0,G26/B$19)</f>
        <v>0</v>
      </c>
      <c r="I26" s="60">
        <v>3</v>
      </c>
    </row>
    <row r="27" spans="1:17" x14ac:dyDescent="0.45">
      <c r="A27" s="22" t="s">
        <v>166</v>
      </c>
      <c r="B27" s="99">
        <f>IF($B$19-B$18=0,0,C27/($B$19-B$18))</f>
        <v>5100</v>
      </c>
      <c r="C27" s="100">
        <v>20400</v>
      </c>
      <c r="E27" s="29" t="s">
        <v>88</v>
      </c>
      <c r="F27" s="26" t="s">
        <v>43</v>
      </c>
      <c r="G27" s="14">
        <v>0</v>
      </c>
      <c r="H27" s="92">
        <f>IF(B$19=0,0,G27/B$19)</f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0</v>
      </c>
      <c r="C28" s="100">
        <v>0</v>
      </c>
      <c r="E28" s="29" t="s">
        <v>89</v>
      </c>
      <c r="F28" s="26" t="s">
        <v>44</v>
      </c>
      <c r="G28" s="14">
        <v>0</v>
      </c>
      <c r="H28" s="92">
        <f>IF(B$19=0,0,G28/B$19)</f>
        <v>0</v>
      </c>
      <c r="I28" s="60">
        <v>6</v>
      </c>
    </row>
    <row r="29" spans="1:17" x14ac:dyDescent="0.45">
      <c r="A29" s="22" t="s">
        <v>165</v>
      </c>
      <c r="B29" s="99">
        <f>IF(B$20=0,0,C29/B$20)</f>
        <v>-3900</v>
      </c>
      <c r="C29" s="100">
        <v>-3900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4</v>
      </c>
    </row>
    <row r="31" spans="1:17" x14ac:dyDescent="0.45">
      <c r="A31" s="21" t="s">
        <v>159</v>
      </c>
      <c r="B31" s="14">
        <v>13</v>
      </c>
      <c r="C31" s="94">
        <v>13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4</v>
      </c>
    </row>
    <row r="32" spans="1:17" x14ac:dyDescent="0.45">
      <c r="A32" s="56" t="s">
        <v>136</v>
      </c>
      <c r="B32" s="133">
        <v>2</v>
      </c>
      <c r="C32" s="13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35">
        <v>36900</v>
      </c>
      <c r="C33" s="13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5">
        <v>1</v>
      </c>
      <c r="C36" s="102">
        <f t="shared" ref="C36:C48" si="2">IF(B$19=0,0,B36/B$19)</f>
        <v>0.25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0</v>
      </c>
      <c r="C37" s="8">
        <f t="shared" si="2"/>
        <v>0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6">
        <v>2</v>
      </c>
      <c r="C38" s="8">
        <f t="shared" si="2"/>
        <v>0.5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6">
        <v>1</v>
      </c>
      <c r="C39" s="8">
        <f t="shared" si="2"/>
        <v>0.25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6">
        <v>0</v>
      </c>
      <c r="C40" s="8">
        <f t="shared" si="2"/>
        <v>0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6">
        <v>0</v>
      </c>
      <c r="C41" s="8">
        <f t="shared" si="2"/>
        <v>0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6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6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6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6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6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6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4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3DB8B-9CB9-463E-A9D0-63B7D1352509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205</v>
      </c>
      <c r="C1" s="138"/>
      <c r="E1" s="108" t="s">
        <v>155</v>
      </c>
      <c r="F1" s="128" t="s">
        <v>115</v>
      </c>
      <c r="G1" s="127" t="s">
        <v>116</v>
      </c>
      <c r="H1" s="90" t="s">
        <v>117</v>
      </c>
      <c r="I1" s="128" t="s">
        <v>146</v>
      </c>
      <c r="K1" s="4" t="s">
        <v>19</v>
      </c>
      <c r="L1" s="128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3</v>
      </c>
      <c r="C2" s="140"/>
      <c r="E2" s="28" t="s">
        <v>66</v>
      </c>
      <c r="F2" s="25" t="s">
        <v>22</v>
      </c>
      <c r="G2" s="13">
        <v>11</v>
      </c>
      <c r="H2" s="91">
        <f>IF(B$19=0,0,G2/B$19)</f>
        <v>1.1000000000000001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-2466.6666666666665</v>
      </c>
      <c r="P2" s="80">
        <v>3</v>
      </c>
      <c r="Q2" s="67">
        <v>-7400</v>
      </c>
    </row>
    <row r="3" spans="1:17" x14ac:dyDescent="0.45">
      <c r="A3" s="21" t="s">
        <v>8</v>
      </c>
      <c r="B3" s="141">
        <v>25</v>
      </c>
      <c r="C3" s="142"/>
      <c r="E3" s="29" t="s">
        <v>72</v>
      </c>
      <c r="F3" s="26" t="s">
        <v>27</v>
      </c>
      <c r="G3" s="14">
        <v>6</v>
      </c>
      <c r="H3" s="92">
        <f>IF(B$19=0,0,G3/B$19)</f>
        <v>0.6</v>
      </c>
      <c r="I3" s="60">
        <v>3</v>
      </c>
      <c r="K3" s="7">
        <v>1</v>
      </c>
      <c r="L3" s="65">
        <v>68.2</v>
      </c>
      <c r="N3" s="78" t="s">
        <v>129</v>
      </c>
      <c r="O3" s="84">
        <f t="shared" si="0"/>
        <v>-2266.6666666666665</v>
      </c>
      <c r="P3" s="81">
        <v>3</v>
      </c>
      <c r="Q3" s="68">
        <v>-6800</v>
      </c>
    </row>
    <row r="4" spans="1:17" x14ac:dyDescent="0.45">
      <c r="A4" s="21" t="s">
        <v>6</v>
      </c>
      <c r="B4" s="143">
        <v>8.9000000000000057</v>
      </c>
      <c r="C4" s="144"/>
      <c r="E4" s="29" t="s">
        <v>64</v>
      </c>
      <c r="F4" s="26" t="s">
        <v>20</v>
      </c>
      <c r="G4" s="14">
        <v>3</v>
      </c>
      <c r="H4" s="92">
        <f>IF(B$19=0,0,G4/B$19)</f>
        <v>0.3</v>
      </c>
      <c r="I4" s="60">
        <v>9</v>
      </c>
      <c r="K4" s="7">
        <v>2</v>
      </c>
      <c r="L4" s="65">
        <v>41.2</v>
      </c>
      <c r="N4" s="78" t="s">
        <v>130</v>
      </c>
      <c r="O4" s="84">
        <f t="shared" si="0"/>
        <v>2733.3333333333335</v>
      </c>
      <c r="P4" s="81">
        <v>3</v>
      </c>
      <c r="Q4" s="68">
        <v>8200</v>
      </c>
    </row>
    <row r="5" spans="1:17" x14ac:dyDescent="0.45">
      <c r="A5" s="21" t="s">
        <v>7</v>
      </c>
      <c r="B5" s="131">
        <f>IF(B$2=0,0,B$4/B$2)</f>
        <v>2.9666666666666686</v>
      </c>
      <c r="C5" s="132"/>
      <c r="E5" s="29" t="s">
        <v>68</v>
      </c>
      <c r="F5" s="26" t="s">
        <v>12</v>
      </c>
      <c r="G5" s="14">
        <v>3</v>
      </c>
      <c r="H5" s="92">
        <f>IF(B$19=0,0,G5/B$19)</f>
        <v>0.3</v>
      </c>
      <c r="I5" s="60">
        <v>2</v>
      </c>
      <c r="K5" s="7">
        <v>3</v>
      </c>
      <c r="L5" s="65">
        <v>8.9000000000000057</v>
      </c>
      <c r="N5" s="78" t="s">
        <v>131</v>
      </c>
      <c r="O5" s="84">
        <f t="shared" si="0"/>
        <v>10333.333333333334</v>
      </c>
      <c r="P5" s="81">
        <v>3</v>
      </c>
      <c r="Q5" s="68">
        <v>31000</v>
      </c>
    </row>
    <row r="6" spans="1:17" x14ac:dyDescent="0.45">
      <c r="A6" s="21" t="s">
        <v>1</v>
      </c>
      <c r="B6" s="145">
        <f>IF(B$2=0,0,(B$7*1+B$8*2+B$9*3)/B$2)</f>
        <v>2.3333333333333335</v>
      </c>
      <c r="C6" s="146"/>
      <c r="E6" s="29" t="s">
        <v>160</v>
      </c>
      <c r="F6" s="26" t="s">
        <v>161</v>
      </c>
      <c r="G6" s="14">
        <v>3</v>
      </c>
      <c r="H6" s="92">
        <f>IF(B$19=0,0,G6/B$19)</f>
        <v>0.3</v>
      </c>
      <c r="I6" s="60">
        <v>5</v>
      </c>
      <c r="N6" s="78" t="s">
        <v>132</v>
      </c>
      <c r="O6" s="84">
        <f t="shared" si="0"/>
        <v>5666.666666666667</v>
      </c>
      <c r="P6" s="81">
        <v>3</v>
      </c>
      <c r="Q6" s="68">
        <v>17000</v>
      </c>
    </row>
    <row r="7" spans="1:17" x14ac:dyDescent="0.45">
      <c r="A7" s="21" t="s">
        <v>2</v>
      </c>
      <c r="B7" s="14">
        <v>1</v>
      </c>
      <c r="C7" s="8">
        <f t="shared" ref="C7:C14" si="1">IF(B$2=0,0,B7/B$2)</f>
        <v>0.33333333333333331</v>
      </c>
      <c r="E7" s="29" t="s">
        <v>69</v>
      </c>
      <c r="F7" s="26" t="s">
        <v>24</v>
      </c>
      <c r="G7" s="14">
        <v>2</v>
      </c>
      <c r="H7" s="92">
        <f>IF(B$19=0,0,G7/B$19)</f>
        <v>0.2</v>
      </c>
      <c r="I7" s="60">
        <v>1</v>
      </c>
      <c r="N7" s="79" t="s">
        <v>133</v>
      </c>
      <c r="O7" s="85">
        <f t="shared" si="0"/>
        <v>1450</v>
      </c>
      <c r="P7" s="82">
        <v>2</v>
      </c>
      <c r="Q7" s="69">
        <v>2900</v>
      </c>
    </row>
    <row r="8" spans="1:17" x14ac:dyDescent="0.45">
      <c r="A8" s="21" t="s">
        <v>3</v>
      </c>
      <c r="B8" s="14">
        <v>0</v>
      </c>
      <c r="C8" s="8">
        <f t="shared" si="1"/>
        <v>0</v>
      </c>
      <c r="E8" s="29" t="s">
        <v>70</v>
      </c>
      <c r="F8" s="26" t="s">
        <v>25</v>
      </c>
      <c r="G8" s="14">
        <v>2</v>
      </c>
      <c r="H8" s="92">
        <f>IF(B$19=0,0,G8/B$19)</f>
        <v>0.2</v>
      </c>
      <c r="I8" s="60">
        <v>1</v>
      </c>
      <c r="N8" s="111"/>
      <c r="O8" s="89"/>
      <c r="P8" s="112"/>
      <c r="Q8" s="74"/>
    </row>
    <row r="9" spans="1:17" x14ac:dyDescent="0.45">
      <c r="A9" s="22" t="s">
        <v>4</v>
      </c>
      <c r="B9" s="15">
        <v>2</v>
      </c>
      <c r="C9" s="9">
        <f t="shared" si="1"/>
        <v>0.66666666666666663</v>
      </c>
      <c r="E9" s="29" t="s">
        <v>71</v>
      </c>
      <c r="F9" s="26" t="s">
        <v>26</v>
      </c>
      <c r="G9" s="14">
        <v>2</v>
      </c>
      <c r="H9" s="92">
        <f>IF(B$19=0,0,G9/B$19)</f>
        <v>0.2</v>
      </c>
      <c r="I9" s="60">
        <v>1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68.2</v>
      </c>
      <c r="C10" s="114">
        <v>68.2</v>
      </c>
      <c r="E10" s="29" t="s">
        <v>78</v>
      </c>
      <c r="F10" s="26" t="s">
        <v>33</v>
      </c>
      <c r="G10" s="14">
        <v>2</v>
      </c>
      <c r="H10" s="92">
        <f>IF(B$19=0,0,G10/B$19)</f>
        <v>0.2</v>
      </c>
      <c r="I10" s="60">
        <v>1</v>
      </c>
      <c r="N10" s="77" t="s">
        <v>152</v>
      </c>
      <c r="O10" s="86">
        <f>IF(P10=0,0,Q10/P10)</f>
        <v>17.950000000000003</v>
      </c>
      <c r="P10" s="80">
        <v>2</v>
      </c>
      <c r="Q10" s="71">
        <v>35.900000000000006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65</v>
      </c>
      <c r="F11" s="26" t="s">
        <v>21</v>
      </c>
      <c r="G11" s="14">
        <v>1</v>
      </c>
      <c r="H11" s="92">
        <f>IF(B$19=0,0,G11/B$19)</f>
        <v>0.1</v>
      </c>
      <c r="I11" s="60">
        <v>5</v>
      </c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187</v>
      </c>
      <c r="B12" s="113">
        <f>IF(B9=0,0,C12/B9)</f>
        <v>-29.65</v>
      </c>
      <c r="C12" s="114">
        <v>-59.3</v>
      </c>
      <c r="E12" s="29" t="s">
        <v>67</v>
      </c>
      <c r="F12" s="26" t="s">
        <v>23</v>
      </c>
      <c r="G12" s="14">
        <v>1</v>
      </c>
      <c r="H12" s="92">
        <f>IF(B$19=0,0,G12/B$19)</f>
        <v>0.1</v>
      </c>
      <c r="I12" s="60">
        <v>8</v>
      </c>
      <c r="N12" s="79" t="s">
        <v>154</v>
      </c>
      <c r="O12" s="88">
        <f>IF(P12=0,0,Q12/P12)</f>
        <v>-27</v>
      </c>
      <c r="P12" s="82">
        <v>1</v>
      </c>
      <c r="Q12" s="73">
        <v>-27</v>
      </c>
    </row>
    <row r="13" spans="1:17" x14ac:dyDescent="0.45">
      <c r="A13" s="22" t="s">
        <v>188</v>
      </c>
      <c r="B13" s="131">
        <f>AVERAGE(B10:B12)</f>
        <v>12.850000000000001</v>
      </c>
      <c r="C13" s="132"/>
      <c r="E13" s="29" t="s">
        <v>73</v>
      </c>
      <c r="F13" s="26" t="s">
        <v>28</v>
      </c>
      <c r="G13" s="14">
        <v>0</v>
      </c>
      <c r="H13" s="92">
        <f>IF(B$19=0,0,G13/B$19)</f>
        <v>0</v>
      </c>
      <c r="I13" s="60">
        <v>3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74</v>
      </c>
      <c r="F14" s="26" t="s">
        <v>29</v>
      </c>
      <c r="G14" s="14">
        <v>0</v>
      </c>
      <c r="H14" s="92">
        <f>IF(B$19=0,0,G14/B$19)</f>
        <v>0</v>
      </c>
      <c r="I14" s="60">
        <v>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5</v>
      </c>
      <c r="C15" s="12">
        <f>IF(B$3=0,0,B15/B$3)</f>
        <v>0.2</v>
      </c>
      <c r="E15" s="29" t="s">
        <v>75</v>
      </c>
      <c r="F15" s="26" t="s">
        <v>30</v>
      </c>
      <c r="G15" s="14">
        <v>0</v>
      </c>
      <c r="H15" s="92">
        <f>IF(B$19=0,0,G15/B$19)</f>
        <v>0</v>
      </c>
      <c r="I15" s="60">
        <v>1</v>
      </c>
      <c r="N15" s="77" t="s">
        <v>192</v>
      </c>
      <c r="O15" s="86">
        <f>IF(P15=0,0,Q15/P15)</f>
        <v>8.1000000000000014</v>
      </c>
      <c r="P15" s="80">
        <v>3</v>
      </c>
      <c r="Q15" s="71">
        <v>24.300000000000004</v>
      </c>
    </row>
    <row r="16" spans="1:17" x14ac:dyDescent="0.45">
      <c r="A16" s="21" t="s">
        <v>118</v>
      </c>
      <c r="B16" s="14">
        <v>4</v>
      </c>
      <c r="C16" s="8">
        <f>IF(B$3=0,0,B16/B$3)</f>
        <v>0.16</v>
      </c>
      <c r="E16" s="29" t="s">
        <v>76</v>
      </c>
      <c r="F16" s="26" t="s">
        <v>31</v>
      </c>
      <c r="G16" s="14">
        <v>0</v>
      </c>
      <c r="H16" s="92">
        <f>IF(B$19=0,0,G16/B$19)</f>
        <v>0</v>
      </c>
      <c r="I16" s="60">
        <v>1</v>
      </c>
      <c r="N16" s="78" t="s">
        <v>126</v>
      </c>
      <c r="O16" s="87">
        <f>IF(P16=0,0,Q16/P16)</f>
        <v>0.80000000000000193</v>
      </c>
      <c r="P16" s="81">
        <v>3</v>
      </c>
      <c r="Q16" s="72">
        <v>2.4000000000000057</v>
      </c>
    </row>
    <row r="17" spans="1:9" x14ac:dyDescent="0.45">
      <c r="A17" s="20" t="s">
        <v>123</v>
      </c>
      <c r="B17" s="13">
        <f>B23</f>
        <v>3</v>
      </c>
      <c r="C17" s="6">
        <f>IF(B$15=0,0,B17/B$15)</f>
        <v>0.6</v>
      </c>
      <c r="E17" s="29" t="s">
        <v>77</v>
      </c>
      <c r="F17" s="26" t="s">
        <v>32</v>
      </c>
      <c r="G17" s="14">
        <v>0</v>
      </c>
      <c r="H17" s="92">
        <f>IF(B$19=0,0,G17/B$19)</f>
        <v>0</v>
      </c>
      <c r="I17" s="60">
        <v>1</v>
      </c>
    </row>
    <row r="18" spans="1:9" x14ac:dyDescent="0.45">
      <c r="A18" s="20" t="s">
        <v>124</v>
      </c>
      <c r="B18" s="13">
        <f>B24</f>
        <v>1</v>
      </c>
      <c r="C18" s="6">
        <f>IF(B$16=0,0,B18/B$16)</f>
        <v>0.25</v>
      </c>
      <c r="E18" s="29" t="s">
        <v>79</v>
      </c>
      <c r="F18" s="26" t="s">
        <v>34</v>
      </c>
      <c r="G18" s="14">
        <v>0</v>
      </c>
      <c r="H18" s="92">
        <f>IF(B$19=0,0,G18/B$19)</f>
        <v>0</v>
      </c>
      <c r="I18" s="60">
        <v>5</v>
      </c>
    </row>
    <row r="19" spans="1:9" x14ac:dyDescent="0.45">
      <c r="A19" s="20" t="s">
        <v>10</v>
      </c>
      <c r="B19" s="13">
        <f>B22+B21</f>
        <v>10</v>
      </c>
      <c r="C19" s="6">
        <f>IF(B$3=0,0,B19/B$3)</f>
        <v>0.4</v>
      </c>
      <c r="E19" s="29" t="s">
        <v>80</v>
      </c>
      <c r="F19" s="26" t="s">
        <v>35</v>
      </c>
      <c r="G19" s="14">
        <v>0</v>
      </c>
      <c r="H19" s="92">
        <f>IF(B$19=0,0,G19/B$19)</f>
        <v>0</v>
      </c>
      <c r="I19" s="60">
        <v>1</v>
      </c>
    </row>
    <row r="20" spans="1:9" x14ac:dyDescent="0.45">
      <c r="A20" s="21" t="s">
        <v>13</v>
      </c>
      <c r="B20" s="14">
        <v>5</v>
      </c>
      <c r="C20" s="8">
        <f>IF(B$3=0,0,B20/B$3)</f>
        <v>0.2</v>
      </c>
      <c r="E20" s="29" t="s">
        <v>81</v>
      </c>
      <c r="F20" s="26" t="s">
        <v>36</v>
      </c>
      <c r="G20" s="14">
        <v>0</v>
      </c>
      <c r="H20" s="92">
        <f>IF(B$19=0,0,G20/B$19)</f>
        <v>0</v>
      </c>
      <c r="I20" s="60">
        <v>5</v>
      </c>
    </row>
    <row r="21" spans="1:9" x14ac:dyDescent="0.45">
      <c r="A21" s="21" t="s">
        <v>12</v>
      </c>
      <c r="B21" s="14">
        <v>4</v>
      </c>
      <c r="C21" s="8">
        <f>IF(B$19=0,0,B21/B$19)</f>
        <v>0.4</v>
      </c>
      <c r="E21" s="29" t="s">
        <v>82</v>
      </c>
      <c r="F21" s="26" t="s">
        <v>37</v>
      </c>
      <c r="G21" s="14">
        <v>0</v>
      </c>
      <c r="H21" s="92">
        <f>IF(B$19=0,0,G21/B$19)</f>
        <v>0</v>
      </c>
      <c r="I21" s="60">
        <v>1</v>
      </c>
    </row>
    <row r="22" spans="1:9" x14ac:dyDescent="0.45">
      <c r="A22" s="21" t="s">
        <v>11</v>
      </c>
      <c r="B22" s="14">
        <v>6</v>
      </c>
      <c r="C22" s="8">
        <f>IF(B$19=0,0,B22/B$19)</f>
        <v>0.6</v>
      </c>
      <c r="E22" s="29" t="s">
        <v>83</v>
      </c>
      <c r="F22" s="26" t="s">
        <v>38</v>
      </c>
      <c r="G22" s="14">
        <v>0</v>
      </c>
      <c r="H22" s="92">
        <f>IF(B$19=0,0,G22/B$19)</f>
        <v>0</v>
      </c>
      <c r="I22" s="60">
        <v>5</v>
      </c>
    </row>
    <row r="23" spans="1:9" x14ac:dyDescent="0.45">
      <c r="A23" s="21" t="s">
        <v>184</v>
      </c>
      <c r="B23" s="14">
        <v>3</v>
      </c>
      <c r="C23" s="8">
        <f>IF(B$19=0,0,B23/B$19)</f>
        <v>0.3</v>
      </c>
      <c r="E23" s="29" t="s">
        <v>84</v>
      </c>
      <c r="F23" s="26" t="s">
        <v>39</v>
      </c>
      <c r="G23" s="14">
        <v>0</v>
      </c>
      <c r="H23" s="92">
        <f>IF(B$19=0,0,G23/B$19)</f>
        <v>0</v>
      </c>
      <c r="I23" s="60">
        <v>1</v>
      </c>
    </row>
    <row r="24" spans="1:9" x14ac:dyDescent="0.45">
      <c r="A24" s="21" t="s">
        <v>182</v>
      </c>
      <c r="B24" s="14">
        <v>1</v>
      </c>
      <c r="C24" s="8">
        <f>IF(B$19=0,0,B24/B$19)</f>
        <v>0.1</v>
      </c>
      <c r="E24" s="29" t="s">
        <v>85</v>
      </c>
      <c r="F24" s="26" t="s">
        <v>40</v>
      </c>
      <c r="G24" s="14">
        <v>0</v>
      </c>
      <c r="H24" s="92">
        <f>IF(B$19=0,0,G24/B$19)</f>
        <v>0</v>
      </c>
      <c r="I24" s="60">
        <v>1</v>
      </c>
    </row>
    <row r="25" spans="1:9" x14ac:dyDescent="0.45">
      <c r="A25" s="21" t="s">
        <v>183</v>
      </c>
      <c r="B25" s="14">
        <v>6</v>
      </c>
      <c r="C25" s="8">
        <f>IF(B$19=0,0,B25/B$19)</f>
        <v>0.6</v>
      </c>
      <c r="E25" s="29" t="s">
        <v>86</v>
      </c>
      <c r="F25" s="26" t="s">
        <v>41</v>
      </c>
      <c r="G25" s="14">
        <v>0</v>
      </c>
      <c r="H25" s="92">
        <f>IF(B$19=0,0,G25/B$19)</f>
        <v>0</v>
      </c>
      <c r="I25" s="60">
        <v>5</v>
      </c>
    </row>
    <row r="26" spans="1:9" x14ac:dyDescent="0.45">
      <c r="A26" s="21" t="s">
        <v>5</v>
      </c>
      <c r="B26" s="18">
        <f>IF(B$19=0,0,C26/B$19)</f>
        <v>7870</v>
      </c>
      <c r="C26" s="10">
        <v>78700</v>
      </c>
      <c r="E26" s="29" t="s">
        <v>87</v>
      </c>
      <c r="F26" s="26" t="s">
        <v>42</v>
      </c>
      <c r="G26" s="14">
        <v>0</v>
      </c>
      <c r="H26" s="92">
        <f>IF(B$19=0,0,G26/B$19)</f>
        <v>0</v>
      </c>
      <c r="I26" s="60">
        <v>3</v>
      </c>
    </row>
    <row r="27" spans="1:9" x14ac:dyDescent="0.45">
      <c r="A27" s="22" t="s">
        <v>166</v>
      </c>
      <c r="B27" s="99">
        <f>IF($B$19-B$18=0,0,C27/($B$19-B$18))</f>
        <v>8311.1111111111113</v>
      </c>
      <c r="C27" s="100">
        <v>74800</v>
      </c>
      <c r="E27" s="29" t="s">
        <v>88</v>
      </c>
      <c r="F27" s="26" t="s">
        <v>43</v>
      </c>
      <c r="G27" s="14">
        <v>0</v>
      </c>
      <c r="H27" s="92">
        <f>IF(B$19=0,0,G27/B$19)</f>
        <v>0</v>
      </c>
      <c r="I27" s="60">
        <v>1</v>
      </c>
    </row>
    <row r="28" spans="1:9" x14ac:dyDescent="0.45">
      <c r="A28" s="22" t="s">
        <v>167</v>
      </c>
      <c r="B28" s="99">
        <f>IF(B$18=0,0,C28/B$18)</f>
        <v>3900</v>
      </c>
      <c r="C28" s="100">
        <v>3900</v>
      </c>
      <c r="E28" s="29" t="s">
        <v>89</v>
      </c>
      <c r="F28" s="26" t="s">
        <v>44</v>
      </c>
      <c r="G28" s="14">
        <v>0</v>
      </c>
      <c r="H28" s="92">
        <f>IF(B$19=0,0,G28/B$19)</f>
        <v>0</v>
      </c>
      <c r="I28" s="60">
        <v>6</v>
      </c>
    </row>
    <row r="29" spans="1:9" x14ac:dyDescent="0.45">
      <c r="A29" s="22" t="s">
        <v>165</v>
      </c>
      <c r="B29" s="99">
        <f>IF(B$20=0,0,C29/B$20)</f>
        <v>-8760</v>
      </c>
      <c r="C29" s="100">
        <v>-43800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9" x14ac:dyDescent="0.45">
      <c r="A30" s="21" t="s">
        <v>158</v>
      </c>
      <c r="B30" s="14">
        <v>4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4</v>
      </c>
    </row>
    <row r="31" spans="1:9" x14ac:dyDescent="0.45">
      <c r="A31" s="21" t="s">
        <v>159</v>
      </c>
      <c r="B31" s="14">
        <v>9</v>
      </c>
      <c r="C31" s="94">
        <v>0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4</v>
      </c>
    </row>
    <row r="32" spans="1:9" x14ac:dyDescent="0.45">
      <c r="A32" s="56" t="s">
        <v>136</v>
      </c>
      <c r="B32" s="133">
        <v>6</v>
      </c>
      <c r="C32" s="13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35">
        <v>93200</v>
      </c>
      <c r="C33" s="13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9">
        <v>1</v>
      </c>
      <c r="C36" s="102">
        <f t="shared" ref="C36:C48" si="2">IF(B$19=0,0,B36/B$19)</f>
        <v>0.1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3</v>
      </c>
      <c r="C37" s="8">
        <f t="shared" si="2"/>
        <v>0.3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30">
        <v>1</v>
      </c>
      <c r="C38" s="8">
        <f t="shared" si="2"/>
        <v>0.1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30">
        <v>2</v>
      </c>
      <c r="C39" s="8">
        <f t="shared" si="2"/>
        <v>0.2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30">
        <v>1</v>
      </c>
      <c r="C40" s="8">
        <f t="shared" si="2"/>
        <v>0.1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30">
        <v>0</v>
      </c>
      <c r="C41" s="8">
        <f t="shared" si="2"/>
        <v>0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30">
        <v>1</v>
      </c>
      <c r="C42" s="8">
        <f t="shared" si="2"/>
        <v>0.1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30">
        <v>1</v>
      </c>
      <c r="C43" s="8">
        <f t="shared" si="2"/>
        <v>0.1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30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30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30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30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4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1E7CC-C971-43F3-B212-721B46AC572B}">
  <sheetPr codeName="Sheet22"/>
  <dimension ref="A1:Q6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205</v>
      </c>
      <c r="B1" s="36" t="s">
        <v>205</v>
      </c>
      <c r="C1" s="36" t="s">
        <v>205</v>
      </c>
      <c r="D1" s="37" t="s">
        <v>205</v>
      </c>
      <c r="E1" s="36" t="s">
        <v>205</v>
      </c>
      <c r="F1" s="36" t="s">
        <v>205</v>
      </c>
      <c r="G1" s="36" t="s">
        <v>205</v>
      </c>
      <c r="H1" s="36" t="s">
        <v>205</v>
      </c>
      <c r="I1" s="36" t="s">
        <v>205</v>
      </c>
      <c r="J1" s="36" t="s">
        <v>205</v>
      </c>
      <c r="K1" s="36" t="s">
        <v>205</v>
      </c>
      <c r="L1" s="36" t="s">
        <v>205</v>
      </c>
      <c r="M1" s="36" t="s">
        <v>205</v>
      </c>
      <c r="N1" s="36" t="s">
        <v>205</v>
      </c>
      <c r="O1" s="36" t="s">
        <v>205</v>
      </c>
      <c r="P1" s="36" t="s">
        <v>205</v>
      </c>
      <c r="Q1" s="36" t="s">
        <v>205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68.2</v>
      </c>
      <c r="C4" s="32">
        <v>68.2</v>
      </c>
      <c r="D4" s="37">
        <v>1</v>
      </c>
      <c r="E4" s="33">
        <v>1</v>
      </c>
      <c r="F4" s="33">
        <v>0</v>
      </c>
      <c r="G4" s="33">
        <v>0.75</v>
      </c>
      <c r="H4" s="33">
        <v>0.25</v>
      </c>
      <c r="I4" s="34">
        <v>10350</v>
      </c>
      <c r="J4" s="34">
        <v>-1950</v>
      </c>
      <c r="K4" s="33">
        <v>0</v>
      </c>
      <c r="L4" s="33">
        <v>0.25</v>
      </c>
      <c r="M4" s="33">
        <v>0.125</v>
      </c>
      <c r="N4" s="33">
        <v>1</v>
      </c>
      <c r="O4" s="33">
        <v>1</v>
      </c>
      <c r="P4" s="33">
        <v>0.33333333333333331</v>
      </c>
    </row>
    <row r="5" spans="1:17" x14ac:dyDescent="0.45">
      <c r="A5" s="35">
        <v>2</v>
      </c>
      <c r="B5" s="32">
        <v>41.2</v>
      </c>
      <c r="C5" s="32">
        <v>20.6</v>
      </c>
      <c r="D5" s="37">
        <v>2</v>
      </c>
      <c r="E5" s="33">
        <v>0.5</v>
      </c>
      <c r="F5" s="33">
        <v>0.5</v>
      </c>
      <c r="G5" s="33">
        <v>0.5</v>
      </c>
      <c r="H5" s="33">
        <v>0.21428571428571427</v>
      </c>
      <c r="I5" s="34">
        <v>9442.8571428571431</v>
      </c>
      <c r="J5" s="34">
        <v>-5300</v>
      </c>
      <c r="K5" s="33">
        <v>0</v>
      </c>
      <c r="L5" s="33">
        <v>0.21428571428571427</v>
      </c>
      <c r="M5" s="33">
        <v>0.14285714285714285</v>
      </c>
      <c r="N5" s="33">
        <v>0.66666666666666663</v>
      </c>
      <c r="O5" s="33">
        <v>0.5</v>
      </c>
      <c r="P5" s="33">
        <v>0.42857142857142855</v>
      </c>
    </row>
    <row r="6" spans="1:17" x14ac:dyDescent="0.45">
      <c r="A6" s="35">
        <v>3</v>
      </c>
      <c r="B6" s="32">
        <v>8.9000000000000057</v>
      </c>
      <c r="C6" s="32">
        <v>2.9666666666666686</v>
      </c>
      <c r="D6" s="37">
        <v>2.3333333333333335</v>
      </c>
      <c r="E6" s="33">
        <v>0.33333333333333331</v>
      </c>
      <c r="F6" s="33">
        <v>0.66666666666666663</v>
      </c>
      <c r="G6" s="33">
        <v>0.4</v>
      </c>
      <c r="H6" s="33">
        <v>0.2</v>
      </c>
      <c r="I6" s="34">
        <v>7870</v>
      </c>
      <c r="J6" s="34">
        <v>-8760</v>
      </c>
      <c r="K6" s="33">
        <v>0</v>
      </c>
      <c r="L6" s="33">
        <v>0.2</v>
      </c>
      <c r="M6" s="33">
        <v>0.16</v>
      </c>
      <c r="N6" s="33">
        <v>0.6</v>
      </c>
      <c r="O6" s="33">
        <v>0.25</v>
      </c>
      <c r="P6" s="33">
        <v>0.4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58F60-05AB-40C8-833D-502DBB4D5A30}">
  <sheetPr codeName="Sheet20"/>
  <dimension ref="A1:Q6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196</v>
      </c>
      <c r="B1" s="36" t="s">
        <v>196</v>
      </c>
      <c r="C1" s="36" t="s">
        <v>196</v>
      </c>
      <c r="D1" s="37" t="s">
        <v>196</v>
      </c>
      <c r="E1" s="36" t="s">
        <v>196</v>
      </c>
      <c r="F1" s="36" t="s">
        <v>196</v>
      </c>
      <c r="G1" s="36" t="s">
        <v>196</v>
      </c>
      <c r="H1" s="36" t="s">
        <v>196</v>
      </c>
      <c r="I1" s="36" t="s">
        <v>196</v>
      </c>
      <c r="J1" s="36" t="s">
        <v>196</v>
      </c>
      <c r="K1" s="36" t="s">
        <v>196</v>
      </c>
      <c r="L1" s="36" t="s">
        <v>196</v>
      </c>
      <c r="M1" s="36" t="s">
        <v>196</v>
      </c>
      <c r="N1" s="36" t="s">
        <v>196</v>
      </c>
      <c r="O1" s="36" t="s">
        <v>196</v>
      </c>
      <c r="P1" s="36" t="s">
        <v>196</v>
      </c>
      <c r="Q1" s="36" t="s">
        <v>196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-30.5</v>
      </c>
      <c r="C4" s="32">
        <v>-30.5</v>
      </c>
      <c r="D4" s="37">
        <v>2</v>
      </c>
      <c r="E4" s="33">
        <v>0</v>
      </c>
      <c r="F4" s="33">
        <v>0</v>
      </c>
      <c r="G4" s="33">
        <v>0</v>
      </c>
      <c r="H4" s="33">
        <v>0.125</v>
      </c>
      <c r="I4" s="34">
        <v>0</v>
      </c>
      <c r="J4" s="34">
        <v>-3900</v>
      </c>
      <c r="K4" s="33">
        <v>0</v>
      </c>
      <c r="L4" s="33">
        <v>0</v>
      </c>
      <c r="M4" s="33">
        <v>0.125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-28.6</v>
      </c>
      <c r="C5" s="32">
        <v>-14.3</v>
      </c>
      <c r="D5" s="37">
        <v>2</v>
      </c>
      <c r="E5" s="33">
        <v>0</v>
      </c>
      <c r="F5" s="33">
        <v>0</v>
      </c>
      <c r="G5" s="33">
        <v>0.14285714285714285</v>
      </c>
      <c r="H5" s="33">
        <v>7.1428571428571425E-2</v>
      </c>
      <c r="I5" s="34">
        <v>4600</v>
      </c>
      <c r="J5" s="34">
        <v>-3900</v>
      </c>
      <c r="K5" s="33">
        <v>0</v>
      </c>
      <c r="L5" s="33">
        <v>7.1428571428571425E-2</v>
      </c>
      <c r="M5" s="33">
        <v>7.1428571428571425E-2</v>
      </c>
      <c r="N5" s="33">
        <v>1</v>
      </c>
      <c r="O5" s="33">
        <v>0</v>
      </c>
      <c r="P5" s="33">
        <v>0.5</v>
      </c>
    </row>
    <row r="6" spans="1:17" x14ac:dyDescent="0.45">
      <c r="A6" s="35">
        <v>3</v>
      </c>
      <c r="B6" s="32">
        <v>-41.400000000000006</v>
      </c>
      <c r="C6" s="32">
        <v>-13.800000000000002</v>
      </c>
      <c r="D6" s="37">
        <v>2.3333333333333335</v>
      </c>
      <c r="E6" s="33">
        <v>0</v>
      </c>
      <c r="F6" s="33">
        <v>0.33333333333333331</v>
      </c>
      <c r="G6" s="33">
        <v>0.2</v>
      </c>
      <c r="H6" s="33">
        <v>0.05</v>
      </c>
      <c r="I6" s="34">
        <v>5100</v>
      </c>
      <c r="J6" s="34">
        <v>-3900</v>
      </c>
      <c r="K6" s="33">
        <v>0</v>
      </c>
      <c r="L6" s="33">
        <v>0.2</v>
      </c>
      <c r="M6" s="33">
        <v>0.05</v>
      </c>
      <c r="N6" s="33">
        <v>0.75</v>
      </c>
      <c r="O6" s="33">
        <v>0</v>
      </c>
      <c r="P6" s="33">
        <v>0.25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103BE-CF9C-4162-92F8-EB4C2310FE06}">
  <sheetPr codeName="Sheet18"/>
  <dimension ref="A1:Q9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193</v>
      </c>
      <c r="B1" s="36" t="s">
        <v>193</v>
      </c>
      <c r="C1" s="36" t="s">
        <v>193</v>
      </c>
      <c r="D1" s="37" t="s">
        <v>193</v>
      </c>
      <c r="E1" s="36" t="s">
        <v>193</v>
      </c>
      <c r="F1" s="36" t="s">
        <v>193</v>
      </c>
      <c r="G1" s="36" t="s">
        <v>193</v>
      </c>
      <c r="H1" s="36" t="s">
        <v>193</v>
      </c>
      <c r="I1" s="36" t="s">
        <v>193</v>
      </c>
      <c r="J1" s="36" t="s">
        <v>193</v>
      </c>
      <c r="K1" s="36" t="s">
        <v>193</v>
      </c>
      <c r="L1" s="36" t="s">
        <v>193</v>
      </c>
      <c r="M1" s="36" t="s">
        <v>193</v>
      </c>
      <c r="N1" s="36" t="s">
        <v>193</v>
      </c>
      <c r="O1" s="36" t="s">
        <v>193</v>
      </c>
      <c r="P1" s="36" t="s">
        <v>193</v>
      </c>
      <c r="Q1" s="36" t="s">
        <v>193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56</v>
      </c>
      <c r="C4" s="32">
        <v>56</v>
      </c>
      <c r="D4" s="37">
        <v>1</v>
      </c>
      <c r="E4" s="33">
        <v>1</v>
      </c>
      <c r="F4" s="33">
        <v>0</v>
      </c>
      <c r="G4" s="33">
        <v>0.5</v>
      </c>
      <c r="H4" s="33">
        <v>0.25</v>
      </c>
      <c r="I4" s="34">
        <v>28000</v>
      </c>
      <c r="J4" s="34">
        <v>-12000</v>
      </c>
      <c r="K4" s="33">
        <v>0</v>
      </c>
      <c r="L4" s="33">
        <v>0</v>
      </c>
      <c r="M4" s="33">
        <v>0.5</v>
      </c>
      <c r="N4" s="33">
        <v>0</v>
      </c>
      <c r="O4" s="33">
        <v>0.5</v>
      </c>
      <c r="P4" s="33">
        <v>1</v>
      </c>
    </row>
    <row r="5" spans="1:17" x14ac:dyDescent="0.45">
      <c r="A5" s="35">
        <v>2</v>
      </c>
      <c r="B5" s="32">
        <v>137.5</v>
      </c>
      <c r="C5" s="32">
        <v>68.75</v>
      </c>
      <c r="D5" s="37">
        <v>1</v>
      </c>
      <c r="E5" s="33">
        <v>1</v>
      </c>
      <c r="F5" s="33">
        <v>0</v>
      </c>
      <c r="G5" s="33">
        <v>0.75</v>
      </c>
      <c r="H5" s="33">
        <v>8.3333333333333329E-2</v>
      </c>
      <c r="I5" s="34">
        <v>12555.555555555555</v>
      </c>
      <c r="J5" s="34">
        <v>-12000</v>
      </c>
      <c r="K5" s="33">
        <v>0</v>
      </c>
      <c r="L5" s="33">
        <v>0.33333333333333331</v>
      </c>
      <c r="M5" s="33">
        <v>0.25</v>
      </c>
      <c r="N5" s="33">
        <v>1</v>
      </c>
      <c r="O5" s="33">
        <v>0.66666666666666663</v>
      </c>
      <c r="P5" s="33">
        <v>0.55555555555555558</v>
      </c>
    </row>
    <row r="6" spans="1:17" x14ac:dyDescent="0.45">
      <c r="A6" s="35">
        <v>3</v>
      </c>
      <c r="B6" s="32">
        <v>159</v>
      </c>
      <c r="C6" s="32">
        <v>53</v>
      </c>
      <c r="D6" s="37">
        <v>1</v>
      </c>
      <c r="E6" s="33">
        <v>1</v>
      </c>
      <c r="F6" s="33">
        <v>0</v>
      </c>
      <c r="G6" s="33">
        <v>0.52173913043478259</v>
      </c>
      <c r="H6" s="33">
        <v>8.6956521739130432E-2</v>
      </c>
      <c r="I6" s="34">
        <v>11216.666666666666</v>
      </c>
      <c r="J6" s="34">
        <v>-6800</v>
      </c>
      <c r="K6" s="33">
        <v>0</v>
      </c>
      <c r="L6" s="33">
        <v>0.2608695652173913</v>
      </c>
      <c r="M6" s="33">
        <v>0.2608695652173913</v>
      </c>
      <c r="N6" s="33">
        <v>0.66666666666666663</v>
      </c>
      <c r="O6" s="33">
        <v>0.5</v>
      </c>
      <c r="P6" s="33">
        <v>0.5</v>
      </c>
    </row>
    <row r="7" spans="1:17" x14ac:dyDescent="0.45">
      <c r="A7" s="35">
        <v>4</v>
      </c>
      <c r="B7" s="32">
        <v>112.4</v>
      </c>
      <c r="C7" s="32">
        <v>28.1</v>
      </c>
      <c r="D7" s="37">
        <v>1.5</v>
      </c>
      <c r="E7" s="33">
        <v>0.75</v>
      </c>
      <c r="F7" s="33">
        <v>0.25</v>
      </c>
      <c r="G7" s="33">
        <v>0.4</v>
      </c>
      <c r="H7" s="33">
        <v>0.13333333333333333</v>
      </c>
      <c r="I7" s="34">
        <v>11216.666666666666</v>
      </c>
      <c r="J7" s="34">
        <v>-4225</v>
      </c>
      <c r="K7" s="33">
        <v>0.25</v>
      </c>
      <c r="L7" s="33">
        <v>0.23333333333333334</v>
      </c>
      <c r="M7" s="33">
        <v>0.33333333333333331</v>
      </c>
      <c r="N7" s="33">
        <v>0.5714285714285714</v>
      </c>
      <c r="O7" s="33">
        <v>0.3</v>
      </c>
      <c r="P7" s="33">
        <v>0.5</v>
      </c>
    </row>
    <row r="8" spans="1:17" x14ac:dyDescent="0.45">
      <c r="A8" s="35">
        <v>5</v>
      </c>
      <c r="B8" s="32">
        <v>140.30000000000001</v>
      </c>
      <c r="C8" s="32">
        <v>28.060000000000002</v>
      </c>
      <c r="D8" s="37">
        <v>1.4</v>
      </c>
      <c r="E8" s="33">
        <v>0.8</v>
      </c>
      <c r="F8" s="33">
        <v>0.2</v>
      </c>
      <c r="G8" s="33">
        <v>0.4</v>
      </c>
      <c r="H8" s="33">
        <v>0.125</v>
      </c>
      <c r="I8" s="34">
        <v>10318.75</v>
      </c>
      <c r="J8" s="34">
        <v>-4980</v>
      </c>
      <c r="K8" s="33">
        <v>0.2</v>
      </c>
      <c r="L8" s="33">
        <v>0.22500000000000001</v>
      </c>
      <c r="M8" s="33">
        <v>0.375</v>
      </c>
      <c r="N8" s="33">
        <v>0.55555555555555558</v>
      </c>
      <c r="O8" s="33">
        <v>0.4</v>
      </c>
      <c r="P8" s="33">
        <v>0.4375</v>
      </c>
    </row>
    <row r="9" spans="1:17" x14ac:dyDescent="0.45">
      <c r="A9" s="35">
        <v>6</v>
      </c>
      <c r="B9" s="32">
        <v>167.3</v>
      </c>
      <c r="C9" s="32">
        <v>27.883333333333336</v>
      </c>
      <c r="D9" s="37">
        <v>1.3333333333333333</v>
      </c>
      <c r="E9" s="33">
        <v>0.83333333333333337</v>
      </c>
      <c r="F9" s="33">
        <v>0.16666666666666666</v>
      </c>
      <c r="G9" s="33">
        <v>0.39130434782608697</v>
      </c>
      <c r="H9" s="33">
        <v>0.10869565217391304</v>
      </c>
      <c r="I9" s="34">
        <v>10283.333333333334</v>
      </c>
      <c r="J9" s="34">
        <v>-4980</v>
      </c>
      <c r="K9" s="33">
        <v>0.16666666666666666</v>
      </c>
      <c r="L9" s="33">
        <v>0.2391304347826087</v>
      </c>
      <c r="M9" s="33">
        <v>0.36956521739130432</v>
      </c>
      <c r="N9" s="33">
        <v>0.63636363636363635</v>
      </c>
      <c r="O9" s="33">
        <v>0.35294117647058826</v>
      </c>
      <c r="P9" s="33">
        <v>0.5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EB94A-90D1-4B0A-99D1-7A0F949AB243}">
  <sheetPr codeName="Sheet16"/>
  <dimension ref="A1:Q21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192</v>
      </c>
      <c r="B1" s="36" t="s">
        <v>192</v>
      </c>
      <c r="C1" s="36" t="s">
        <v>192</v>
      </c>
      <c r="D1" s="37" t="s">
        <v>192</v>
      </c>
      <c r="E1" s="36" t="s">
        <v>192</v>
      </c>
      <c r="F1" s="36" t="s">
        <v>192</v>
      </c>
      <c r="G1" s="36" t="s">
        <v>192</v>
      </c>
      <c r="H1" s="36" t="s">
        <v>192</v>
      </c>
      <c r="I1" s="36" t="s">
        <v>192</v>
      </c>
      <c r="J1" s="36" t="s">
        <v>192</v>
      </c>
      <c r="K1" s="36" t="s">
        <v>192</v>
      </c>
      <c r="L1" s="36" t="s">
        <v>192</v>
      </c>
      <c r="M1" s="36" t="s">
        <v>192</v>
      </c>
      <c r="N1" s="36" t="s">
        <v>192</v>
      </c>
      <c r="O1" s="36" t="s">
        <v>192</v>
      </c>
      <c r="P1" s="36" t="s">
        <v>192</v>
      </c>
      <c r="Q1" s="36" t="s">
        <v>192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-0.5</v>
      </c>
      <c r="C4" s="32">
        <v>-0.5</v>
      </c>
      <c r="D4" s="37">
        <v>2</v>
      </c>
      <c r="E4" s="33">
        <v>0</v>
      </c>
      <c r="F4" s="33">
        <v>0</v>
      </c>
      <c r="G4" s="33">
        <v>0.5</v>
      </c>
      <c r="H4" s="33">
        <v>0</v>
      </c>
      <c r="I4" s="34">
        <v>14000</v>
      </c>
      <c r="J4" s="34">
        <v>0</v>
      </c>
      <c r="K4" s="33">
        <v>0</v>
      </c>
      <c r="L4" s="33">
        <v>0.5</v>
      </c>
      <c r="M4" s="33">
        <v>0</v>
      </c>
      <c r="N4" s="33">
        <v>1</v>
      </c>
      <c r="O4" s="33">
        <v>0</v>
      </c>
      <c r="P4" s="33">
        <v>0</v>
      </c>
    </row>
    <row r="5" spans="1:17" x14ac:dyDescent="0.45">
      <c r="A5" s="35">
        <v>2</v>
      </c>
      <c r="B5" s="32">
        <v>-62.8</v>
      </c>
      <c r="C5" s="32">
        <v>-31.4</v>
      </c>
      <c r="D5" s="37">
        <v>2.5</v>
      </c>
      <c r="E5" s="33">
        <v>0</v>
      </c>
      <c r="F5" s="33">
        <v>0.5</v>
      </c>
      <c r="G5" s="33">
        <v>0.2</v>
      </c>
      <c r="H5" s="33">
        <v>0.2</v>
      </c>
      <c r="I5" s="34">
        <v>14000</v>
      </c>
      <c r="J5" s="34">
        <v>-17950</v>
      </c>
      <c r="K5" s="33">
        <v>0.5</v>
      </c>
      <c r="L5" s="33">
        <v>0.5</v>
      </c>
      <c r="M5" s="33">
        <v>0</v>
      </c>
      <c r="N5" s="33">
        <v>0.4</v>
      </c>
      <c r="O5" s="33">
        <v>0</v>
      </c>
      <c r="P5" s="33">
        <v>0</v>
      </c>
    </row>
    <row r="6" spans="1:17" x14ac:dyDescent="0.45">
      <c r="A6" s="35">
        <v>3</v>
      </c>
      <c r="B6" s="32">
        <v>-48.5</v>
      </c>
      <c r="C6" s="32">
        <v>-16.166666666666668</v>
      </c>
      <c r="D6" s="37">
        <v>2</v>
      </c>
      <c r="E6" s="33">
        <v>0.33333333333333331</v>
      </c>
      <c r="F6" s="33">
        <v>0.33333333333333331</v>
      </c>
      <c r="G6" s="33">
        <v>0.25</v>
      </c>
      <c r="H6" s="33">
        <v>0.25</v>
      </c>
      <c r="I6" s="34">
        <v>12000</v>
      </c>
      <c r="J6" s="34">
        <v>-11775</v>
      </c>
      <c r="K6" s="33">
        <v>0.33333333333333331</v>
      </c>
      <c r="L6" s="33">
        <v>0.375</v>
      </c>
      <c r="M6" s="33">
        <v>6.25E-2</v>
      </c>
      <c r="N6" s="33">
        <v>0.5</v>
      </c>
      <c r="O6" s="33">
        <v>0</v>
      </c>
      <c r="P6" s="33">
        <v>0.5</v>
      </c>
    </row>
    <row r="7" spans="1:17" x14ac:dyDescent="0.45">
      <c r="A7" s="35">
        <v>4</v>
      </c>
      <c r="B7" s="32">
        <v>-75.599999999999994</v>
      </c>
      <c r="C7" s="32">
        <v>-18.899999999999999</v>
      </c>
      <c r="D7" s="37">
        <v>2.25</v>
      </c>
      <c r="E7" s="33">
        <v>0.25</v>
      </c>
      <c r="F7" s="33">
        <v>0.5</v>
      </c>
      <c r="G7" s="33">
        <v>0.22727272727272727</v>
      </c>
      <c r="H7" s="33">
        <v>0.22727272727272727</v>
      </c>
      <c r="I7" s="34">
        <v>10160</v>
      </c>
      <c r="J7" s="34">
        <v>-9940</v>
      </c>
      <c r="K7" s="33">
        <v>0.25</v>
      </c>
      <c r="L7" s="33">
        <v>0.40909090909090912</v>
      </c>
      <c r="M7" s="33">
        <v>4.5454545454545456E-2</v>
      </c>
      <c r="N7" s="33">
        <v>0.44444444444444442</v>
      </c>
      <c r="O7" s="33">
        <v>0</v>
      </c>
      <c r="P7" s="33">
        <v>0.6</v>
      </c>
    </row>
    <row r="8" spans="1:17" x14ac:dyDescent="0.45">
      <c r="A8" s="35">
        <v>5</v>
      </c>
      <c r="B8" s="32">
        <v>-96.5</v>
      </c>
      <c r="C8" s="32">
        <v>-19.3</v>
      </c>
      <c r="D8" s="37">
        <v>2.4</v>
      </c>
      <c r="E8" s="33">
        <v>0.2</v>
      </c>
      <c r="F8" s="33">
        <v>0.6</v>
      </c>
      <c r="G8" s="33">
        <v>0.20689655172413793</v>
      </c>
      <c r="H8" s="33">
        <v>0.20689655172413793</v>
      </c>
      <c r="I8" s="34">
        <v>8900</v>
      </c>
      <c r="J8" s="34">
        <v>-9150</v>
      </c>
      <c r="K8" s="33">
        <v>0.2</v>
      </c>
      <c r="L8" s="33">
        <v>0.34482758620689657</v>
      </c>
      <c r="M8" s="33">
        <v>3.4482758620689655E-2</v>
      </c>
      <c r="N8" s="33">
        <v>0.4</v>
      </c>
      <c r="O8" s="33">
        <v>0</v>
      </c>
      <c r="P8" s="33">
        <v>0.5</v>
      </c>
    </row>
    <row r="9" spans="1:17" x14ac:dyDescent="0.45">
      <c r="A9" s="35">
        <v>6</v>
      </c>
      <c r="B9" s="32">
        <v>-70.5</v>
      </c>
      <c r="C9" s="32">
        <v>-11.75</v>
      </c>
      <c r="D9" s="37">
        <v>2.1666666666666665</v>
      </c>
      <c r="E9" s="33">
        <v>0.33333333333333331</v>
      </c>
      <c r="F9" s="33">
        <v>0.5</v>
      </c>
      <c r="G9" s="33">
        <v>0.25</v>
      </c>
      <c r="H9" s="33">
        <v>0.19444444444444445</v>
      </c>
      <c r="I9" s="34">
        <v>8566.6666666666661</v>
      </c>
      <c r="J9" s="34">
        <v>-8585.7142857142862</v>
      </c>
      <c r="K9" s="33">
        <v>0.16666666666666666</v>
      </c>
      <c r="L9" s="33">
        <v>0.3888888888888889</v>
      </c>
      <c r="M9" s="33">
        <v>2.7777777777777776E-2</v>
      </c>
      <c r="N9" s="33">
        <v>0.5</v>
      </c>
      <c r="O9" s="33">
        <v>0</v>
      </c>
      <c r="P9" s="33">
        <v>0.44444444444444442</v>
      </c>
    </row>
    <row r="10" spans="1:17" x14ac:dyDescent="0.45">
      <c r="A10" s="35">
        <v>7</v>
      </c>
      <c r="B10" s="32">
        <v>-38.6</v>
      </c>
      <c r="C10" s="32">
        <v>-5.5142857142857142</v>
      </c>
      <c r="D10" s="37">
        <v>2</v>
      </c>
      <c r="E10" s="33">
        <v>0.42857142857142855</v>
      </c>
      <c r="F10" s="33">
        <v>0.42857142857142855</v>
      </c>
      <c r="G10" s="33">
        <v>0.28888888888888886</v>
      </c>
      <c r="H10" s="33">
        <v>0.15555555555555556</v>
      </c>
      <c r="I10" s="34">
        <v>8769.2307692307695</v>
      </c>
      <c r="J10" s="34">
        <v>-8585.7142857142862</v>
      </c>
      <c r="K10" s="33">
        <v>0.14285714285714285</v>
      </c>
      <c r="L10" s="33">
        <v>0.35555555555555557</v>
      </c>
      <c r="M10" s="33">
        <v>8.8888888888888892E-2</v>
      </c>
      <c r="N10" s="33">
        <v>0.5625</v>
      </c>
      <c r="O10" s="33">
        <v>0.25</v>
      </c>
      <c r="P10" s="33">
        <v>0.38461538461538464</v>
      </c>
    </row>
    <row r="11" spans="1:17" x14ac:dyDescent="0.45">
      <c r="A11" s="35">
        <v>8</v>
      </c>
      <c r="B11" s="32">
        <v>-28.3</v>
      </c>
      <c r="C11" s="32">
        <v>-3.5375000000000001</v>
      </c>
      <c r="D11" s="37">
        <v>2</v>
      </c>
      <c r="E11" s="33">
        <v>0.375</v>
      </c>
      <c r="F11" s="33">
        <v>0.375</v>
      </c>
      <c r="G11" s="33">
        <v>0.2857142857142857</v>
      </c>
      <c r="H11" s="33">
        <v>0.14285714285714285</v>
      </c>
      <c r="I11" s="34">
        <v>9431.25</v>
      </c>
      <c r="J11" s="34">
        <v>-8475</v>
      </c>
      <c r="K11" s="33">
        <v>0.125</v>
      </c>
      <c r="L11" s="33">
        <v>0.32142857142857145</v>
      </c>
      <c r="M11" s="33">
        <v>0.14285714285714285</v>
      </c>
      <c r="N11" s="33">
        <v>0.55555555555555558</v>
      </c>
      <c r="O11" s="33">
        <v>0.375</v>
      </c>
      <c r="P11" s="33">
        <v>0.375</v>
      </c>
    </row>
    <row r="12" spans="1:17" x14ac:dyDescent="0.45">
      <c r="A12" s="35">
        <v>9</v>
      </c>
      <c r="B12" s="32">
        <v>-20.3</v>
      </c>
      <c r="C12" s="32">
        <v>-2.2555555555555555</v>
      </c>
      <c r="D12" s="37">
        <v>2</v>
      </c>
      <c r="E12" s="33">
        <v>0.33333333333333331</v>
      </c>
      <c r="F12" s="33">
        <v>0.33333333333333331</v>
      </c>
      <c r="G12" s="33">
        <v>0.27692307692307694</v>
      </c>
      <c r="H12" s="33">
        <v>0.12307692307692308</v>
      </c>
      <c r="I12" s="34">
        <v>9316.6666666666661</v>
      </c>
      <c r="J12" s="34">
        <v>-8475</v>
      </c>
      <c r="K12" s="33">
        <v>0.1111111111111111</v>
      </c>
      <c r="L12" s="33">
        <v>0.30769230769230771</v>
      </c>
      <c r="M12" s="33">
        <v>0.15384615384615385</v>
      </c>
      <c r="N12" s="33">
        <v>0.55000000000000004</v>
      </c>
      <c r="O12" s="33">
        <v>0.4</v>
      </c>
      <c r="P12" s="33">
        <v>0.3888888888888889</v>
      </c>
    </row>
    <row r="13" spans="1:17" x14ac:dyDescent="0.45">
      <c r="A13" s="35">
        <v>10</v>
      </c>
      <c r="B13" s="32">
        <v>-14.9</v>
      </c>
      <c r="C13" s="32">
        <v>-1.49</v>
      </c>
      <c r="D13" s="37">
        <v>2</v>
      </c>
      <c r="E13" s="33">
        <v>0.3</v>
      </c>
      <c r="F13" s="33">
        <v>0.3</v>
      </c>
      <c r="G13" s="33">
        <v>0.30263157894736842</v>
      </c>
      <c r="H13" s="33">
        <v>0.11842105263157894</v>
      </c>
      <c r="I13" s="34">
        <v>8526.0869565217399</v>
      </c>
      <c r="J13" s="34">
        <v>-11088.888888888889</v>
      </c>
      <c r="K13" s="33">
        <v>0.1</v>
      </c>
      <c r="L13" s="33">
        <v>0.31578947368421051</v>
      </c>
      <c r="M13" s="33">
        <v>0.17105263157894737</v>
      </c>
      <c r="N13" s="33">
        <v>0.54166666666666663</v>
      </c>
      <c r="O13" s="33">
        <v>0.53846153846153844</v>
      </c>
      <c r="P13" s="33">
        <v>0.30434782608695654</v>
      </c>
    </row>
    <row r="14" spans="1:17" x14ac:dyDescent="0.45">
      <c r="A14" s="35">
        <v>11</v>
      </c>
      <c r="B14" s="32">
        <v>-46</v>
      </c>
      <c r="C14" s="32">
        <v>-4.1818181818181817</v>
      </c>
      <c r="D14" s="37">
        <v>2</v>
      </c>
      <c r="E14" s="33">
        <v>0.27272727272727271</v>
      </c>
      <c r="F14" s="33">
        <v>0.27272727272727271</v>
      </c>
      <c r="G14" s="33">
        <v>0.28915662650602408</v>
      </c>
      <c r="H14" s="33">
        <v>0.10843373493975904</v>
      </c>
      <c r="I14" s="34">
        <v>8225</v>
      </c>
      <c r="J14" s="34">
        <v>-11088.888888888889</v>
      </c>
      <c r="K14" s="33">
        <v>9.0909090909090912E-2</v>
      </c>
      <c r="L14" s="33">
        <v>0.3253012048192771</v>
      </c>
      <c r="M14" s="33">
        <v>0.18072289156626506</v>
      </c>
      <c r="N14" s="33">
        <v>0.51851851851851849</v>
      </c>
      <c r="O14" s="33">
        <v>0.46666666666666667</v>
      </c>
      <c r="P14" s="33">
        <v>0.29166666666666669</v>
      </c>
    </row>
    <row r="15" spans="1:17" x14ac:dyDescent="0.45">
      <c r="A15" s="35">
        <v>12</v>
      </c>
      <c r="B15" s="32">
        <v>-87.6</v>
      </c>
      <c r="C15" s="32">
        <v>-7.3</v>
      </c>
      <c r="D15" s="37">
        <v>2.0833333333333335</v>
      </c>
      <c r="E15" s="33">
        <v>0.25</v>
      </c>
      <c r="F15" s="33">
        <v>0.33333333333333331</v>
      </c>
      <c r="G15" s="33">
        <v>0.26881720430107525</v>
      </c>
      <c r="H15" s="33">
        <v>0.13978494623655913</v>
      </c>
      <c r="I15" s="34">
        <v>7960</v>
      </c>
      <c r="J15" s="34">
        <v>-9323.0769230769238</v>
      </c>
      <c r="K15" s="33">
        <v>8.3333333333333329E-2</v>
      </c>
      <c r="L15" s="33">
        <v>0.30107526881720431</v>
      </c>
      <c r="M15" s="33">
        <v>0.19354838709677419</v>
      </c>
      <c r="N15" s="33">
        <v>0.5</v>
      </c>
      <c r="O15" s="33">
        <v>0.3888888888888889</v>
      </c>
      <c r="P15" s="33">
        <v>0.32</v>
      </c>
    </row>
    <row r="16" spans="1:17" x14ac:dyDescent="0.45">
      <c r="A16" s="35">
        <v>13</v>
      </c>
      <c r="B16" s="32">
        <v>-125.89999999999999</v>
      </c>
      <c r="C16" s="32">
        <v>-9.684615384615384</v>
      </c>
      <c r="D16" s="37">
        <v>2.1538461538461537</v>
      </c>
      <c r="E16" s="33">
        <v>0.23076923076923078</v>
      </c>
      <c r="F16" s="33">
        <v>0.38461538461538464</v>
      </c>
      <c r="G16" s="33">
        <v>0.25252525252525254</v>
      </c>
      <c r="H16" s="33">
        <v>0.15151515151515152</v>
      </c>
      <c r="I16" s="34">
        <v>7960</v>
      </c>
      <c r="J16" s="34">
        <v>-8700</v>
      </c>
      <c r="K16" s="33">
        <v>7.6923076923076927E-2</v>
      </c>
      <c r="L16" s="33">
        <v>0.30303030303030304</v>
      </c>
      <c r="M16" s="33">
        <v>0.19191919191919191</v>
      </c>
      <c r="N16" s="33">
        <v>0.46666666666666667</v>
      </c>
      <c r="O16" s="33">
        <v>0.36842105263157893</v>
      </c>
      <c r="P16" s="33">
        <v>0.32</v>
      </c>
    </row>
    <row r="17" spans="1:16" x14ac:dyDescent="0.45">
      <c r="A17" s="35">
        <v>14</v>
      </c>
      <c r="B17" s="32">
        <v>-149.39999999999998</v>
      </c>
      <c r="C17" s="32">
        <v>-10.671428571428569</v>
      </c>
      <c r="D17" s="37">
        <v>2.1428571428571428</v>
      </c>
      <c r="E17" s="33">
        <v>0.21428571428571427</v>
      </c>
      <c r="F17" s="33">
        <v>0.35714285714285715</v>
      </c>
      <c r="G17" s="33">
        <v>0.24299065420560748</v>
      </c>
      <c r="H17" s="33">
        <v>0.14953271028037382</v>
      </c>
      <c r="I17" s="34">
        <v>7753.8461538461543</v>
      </c>
      <c r="J17" s="34">
        <v>-8881.25</v>
      </c>
      <c r="K17" s="33">
        <v>7.1428571428571425E-2</v>
      </c>
      <c r="L17" s="33">
        <v>0.29906542056074764</v>
      </c>
      <c r="M17" s="33">
        <v>0.18691588785046728</v>
      </c>
      <c r="N17" s="33">
        <v>0.46875</v>
      </c>
      <c r="O17" s="33">
        <v>0.35</v>
      </c>
      <c r="P17" s="33">
        <v>0.30769230769230771</v>
      </c>
    </row>
    <row r="18" spans="1:16" x14ac:dyDescent="0.45">
      <c r="A18" s="35">
        <v>15</v>
      </c>
      <c r="B18" s="32">
        <v>-121.39999999999998</v>
      </c>
      <c r="C18" s="32">
        <v>-8.0933333333333319</v>
      </c>
      <c r="D18" s="37">
        <v>2.0666666666666669</v>
      </c>
      <c r="E18" s="33">
        <v>0.26666666666666666</v>
      </c>
      <c r="F18" s="33">
        <v>0.33333333333333331</v>
      </c>
      <c r="G18" s="33">
        <v>0.25663716814159293</v>
      </c>
      <c r="H18" s="33">
        <v>0.1415929203539823</v>
      </c>
      <c r="I18" s="34">
        <v>7813.7931034482763</v>
      </c>
      <c r="J18" s="34">
        <v>-8881.25</v>
      </c>
      <c r="K18" s="33">
        <v>6.6666666666666666E-2</v>
      </c>
      <c r="L18" s="33">
        <v>0.29203539823008851</v>
      </c>
      <c r="M18" s="33">
        <v>0.21238938053097345</v>
      </c>
      <c r="N18" s="33">
        <v>0.48484848484848486</v>
      </c>
      <c r="O18" s="33">
        <v>0.375</v>
      </c>
      <c r="P18" s="33">
        <v>0.31034482758620691</v>
      </c>
    </row>
    <row r="19" spans="1:16" x14ac:dyDescent="0.45">
      <c r="A19" s="35">
        <v>16</v>
      </c>
      <c r="B19" s="32">
        <v>-141.29999999999998</v>
      </c>
      <c r="C19" s="32">
        <v>-8.8312499999999989</v>
      </c>
      <c r="D19" s="37">
        <v>2.0625</v>
      </c>
      <c r="E19" s="33">
        <v>0.25</v>
      </c>
      <c r="F19" s="33">
        <v>0.3125</v>
      </c>
      <c r="G19" s="33">
        <v>0.24193548387096775</v>
      </c>
      <c r="H19" s="33">
        <v>0.15322580645161291</v>
      </c>
      <c r="I19" s="34">
        <v>7683.333333333333</v>
      </c>
      <c r="J19" s="34">
        <v>-8157.894736842105</v>
      </c>
      <c r="K19" s="33">
        <v>6.25E-2</v>
      </c>
      <c r="L19" s="33">
        <v>0.2661290322580645</v>
      </c>
      <c r="M19" s="33">
        <v>0.22580645161290322</v>
      </c>
      <c r="N19" s="33">
        <v>0.48484848484848486</v>
      </c>
      <c r="O19" s="33">
        <v>0.35714285714285715</v>
      </c>
      <c r="P19" s="33">
        <v>0.3</v>
      </c>
    </row>
    <row r="20" spans="1:16" x14ac:dyDescent="0.45">
      <c r="A20" s="35">
        <v>17</v>
      </c>
      <c r="B20" s="32">
        <v>-149.1</v>
      </c>
      <c r="C20" s="32">
        <v>-8.7705882352941167</v>
      </c>
      <c r="D20" s="37">
        <v>2.0588235294117645</v>
      </c>
      <c r="E20" s="33">
        <v>0.23529411764705882</v>
      </c>
      <c r="F20" s="33">
        <v>0.29411764705882354</v>
      </c>
      <c r="G20" s="33">
        <v>0.23846153846153847</v>
      </c>
      <c r="H20" s="33">
        <v>0.14615384615384616</v>
      </c>
      <c r="I20" s="34">
        <v>7564.5161290322585</v>
      </c>
      <c r="J20" s="34">
        <v>-8157.894736842105</v>
      </c>
      <c r="K20" s="33">
        <v>5.8823529411764705E-2</v>
      </c>
      <c r="L20" s="33">
        <v>0.26923076923076922</v>
      </c>
      <c r="M20" s="33">
        <v>0.23076923076923078</v>
      </c>
      <c r="N20" s="33">
        <v>0.48571428571428571</v>
      </c>
      <c r="O20" s="33">
        <v>0.33333333333333331</v>
      </c>
      <c r="P20" s="33">
        <v>0.32258064516129031</v>
      </c>
    </row>
    <row r="21" spans="1:16" x14ac:dyDescent="0.45">
      <c r="A21" s="35">
        <v>18</v>
      </c>
      <c r="B21" s="32">
        <v>-201.89999999999998</v>
      </c>
      <c r="C21" s="32">
        <v>-11.216666666666665</v>
      </c>
      <c r="D21" s="37">
        <v>2.1111111111111112</v>
      </c>
      <c r="E21" s="33">
        <v>0.22222222222222221</v>
      </c>
      <c r="F21" s="33">
        <v>0.33333333333333331</v>
      </c>
      <c r="G21" s="33">
        <v>0.22794117647058823</v>
      </c>
      <c r="H21" s="33">
        <v>0.15441176470588236</v>
      </c>
      <c r="I21" s="34">
        <v>7564.5161290322585</v>
      </c>
      <c r="J21" s="34">
        <v>-8300</v>
      </c>
      <c r="K21" s="33">
        <v>0.1111111111111111</v>
      </c>
      <c r="L21" s="33">
        <v>0.26470588235294118</v>
      </c>
      <c r="M21" s="33">
        <v>0.22794117647058823</v>
      </c>
      <c r="N21" s="33">
        <v>0.47222222222222221</v>
      </c>
      <c r="O21" s="33">
        <v>0.32258064516129031</v>
      </c>
      <c r="P21" s="33">
        <v>0.32258064516129031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A71ED-56E6-45BF-AB12-3D0AB779E2F0}">
  <sheetPr codeName="Sheet14"/>
  <dimension ref="A1:Q11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194</v>
      </c>
      <c r="B1" s="36" t="s">
        <v>194</v>
      </c>
      <c r="C1" s="36" t="s">
        <v>194</v>
      </c>
      <c r="D1" s="37" t="s">
        <v>194</v>
      </c>
      <c r="E1" s="36" t="s">
        <v>194</v>
      </c>
      <c r="F1" s="36" t="s">
        <v>194</v>
      </c>
      <c r="G1" s="36" t="s">
        <v>194</v>
      </c>
      <c r="H1" s="36" t="s">
        <v>194</v>
      </c>
      <c r="I1" s="36" t="s">
        <v>194</v>
      </c>
      <c r="J1" s="36" t="s">
        <v>194</v>
      </c>
      <c r="K1" s="36" t="s">
        <v>194</v>
      </c>
      <c r="L1" s="36" t="s">
        <v>194</v>
      </c>
      <c r="M1" s="36" t="s">
        <v>194</v>
      </c>
      <c r="N1" s="36" t="s">
        <v>194</v>
      </c>
      <c r="O1" s="36" t="s">
        <v>194</v>
      </c>
      <c r="P1" s="36" t="s">
        <v>194</v>
      </c>
      <c r="Q1" s="36" t="s">
        <v>194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-55.5</v>
      </c>
      <c r="C4" s="32">
        <v>-55.5</v>
      </c>
      <c r="D4" s="37">
        <v>3</v>
      </c>
      <c r="E4" s="33">
        <v>0</v>
      </c>
      <c r="F4" s="33">
        <v>1</v>
      </c>
      <c r="G4" s="33">
        <v>0</v>
      </c>
      <c r="H4" s="33">
        <v>0.25</v>
      </c>
      <c r="I4" s="34">
        <v>0</v>
      </c>
      <c r="J4" s="34">
        <v>-16000</v>
      </c>
      <c r="K4" s="33">
        <v>1</v>
      </c>
      <c r="L4" s="33">
        <v>0.5</v>
      </c>
      <c r="M4" s="33">
        <v>0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-106.5</v>
      </c>
      <c r="C5" s="32">
        <v>-53.25</v>
      </c>
      <c r="D5" s="37">
        <v>3</v>
      </c>
      <c r="E5" s="33">
        <v>0</v>
      </c>
      <c r="F5" s="33">
        <v>1</v>
      </c>
      <c r="G5" s="33">
        <v>0</v>
      </c>
      <c r="H5" s="33">
        <v>0.33333333333333331</v>
      </c>
      <c r="I5" s="34">
        <v>0</v>
      </c>
      <c r="J5" s="34">
        <v>-7725</v>
      </c>
      <c r="K5" s="33">
        <v>1</v>
      </c>
      <c r="L5" s="33">
        <v>0.33333333333333331</v>
      </c>
      <c r="M5" s="33">
        <v>8.3333333333333329E-2</v>
      </c>
      <c r="N5" s="33">
        <v>0</v>
      </c>
      <c r="O5" s="33">
        <v>0</v>
      </c>
      <c r="P5" s="33">
        <v>0</v>
      </c>
    </row>
    <row r="6" spans="1:17" x14ac:dyDescent="0.45">
      <c r="A6" s="35">
        <v>3</v>
      </c>
      <c r="B6" s="32">
        <v>-108</v>
      </c>
      <c r="C6" s="32">
        <v>-36</v>
      </c>
      <c r="D6" s="37">
        <v>2.6666666666666665</v>
      </c>
      <c r="E6" s="33">
        <v>0</v>
      </c>
      <c r="F6" s="33">
        <v>0.66666666666666663</v>
      </c>
      <c r="G6" s="33">
        <v>0.16666666666666666</v>
      </c>
      <c r="H6" s="33">
        <v>0.22222222222222221</v>
      </c>
      <c r="I6" s="34">
        <v>2900</v>
      </c>
      <c r="J6" s="34">
        <v>-7725</v>
      </c>
      <c r="K6" s="33">
        <v>0.66666666666666663</v>
      </c>
      <c r="L6" s="33">
        <v>0.33333333333333331</v>
      </c>
      <c r="M6" s="33">
        <v>5.5555555555555552E-2</v>
      </c>
      <c r="N6" s="33">
        <v>0.33333333333333331</v>
      </c>
      <c r="O6" s="33">
        <v>0</v>
      </c>
      <c r="P6" s="33">
        <v>0.66666666666666663</v>
      </c>
    </row>
    <row r="7" spans="1:17" x14ac:dyDescent="0.45">
      <c r="A7" s="35">
        <v>4</v>
      </c>
      <c r="B7" s="32">
        <v>-115.5</v>
      </c>
      <c r="C7" s="32">
        <v>-28.875</v>
      </c>
      <c r="D7" s="37">
        <v>2.5</v>
      </c>
      <c r="E7" s="33">
        <v>0</v>
      </c>
      <c r="F7" s="33">
        <v>0.5</v>
      </c>
      <c r="G7" s="33">
        <v>0.13043478260869565</v>
      </c>
      <c r="H7" s="33">
        <v>0.17391304347826086</v>
      </c>
      <c r="I7" s="34">
        <v>2900</v>
      </c>
      <c r="J7" s="34">
        <v>-7725</v>
      </c>
      <c r="K7" s="33">
        <v>0.5</v>
      </c>
      <c r="L7" s="33">
        <v>0.30434782608695654</v>
      </c>
      <c r="M7" s="33">
        <v>4.3478260869565216E-2</v>
      </c>
      <c r="N7" s="33">
        <v>0.2857142857142857</v>
      </c>
      <c r="O7" s="33">
        <v>0</v>
      </c>
      <c r="P7" s="33">
        <v>0.66666666666666663</v>
      </c>
    </row>
    <row r="8" spans="1:17" x14ac:dyDescent="0.45">
      <c r="A8" s="35">
        <v>5</v>
      </c>
      <c r="B8" s="32">
        <v>-116</v>
      </c>
      <c r="C8" s="32">
        <v>-23.2</v>
      </c>
      <c r="D8" s="37">
        <v>2.4</v>
      </c>
      <c r="E8" s="33">
        <v>0</v>
      </c>
      <c r="F8" s="33">
        <v>0.4</v>
      </c>
      <c r="G8" s="33">
        <v>0.2</v>
      </c>
      <c r="H8" s="33">
        <v>0.2</v>
      </c>
      <c r="I8" s="34">
        <v>4516.666666666667</v>
      </c>
      <c r="J8" s="34">
        <v>-7583.333333333333</v>
      </c>
      <c r="K8" s="33">
        <v>0.4</v>
      </c>
      <c r="L8" s="33">
        <v>0.3</v>
      </c>
      <c r="M8" s="33">
        <v>3.3333333333333333E-2</v>
      </c>
      <c r="N8" s="33">
        <v>0.33333333333333331</v>
      </c>
      <c r="O8" s="33">
        <v>0</v>
      </c>
      <c r="P8" s="33">
        <v>0.33333333333333331</v>
      </c>
    </row>
    <row r="9" spans="1:17" x14ac:dyDescent="0.45">
      <c r="A9" s="35">
        <v>6</v>
      </c>
      <c r="B9" s="32">
        <v>-146</v>
      </c>
      <c r="C9" s="32">
        <v>-24.333333333333332</v>
      </c>
      <c r="D9" s="37">
        <v>2.5</v>
      </c>
      <c r="E9" s="33">
        <v>0</v>
      </c>
      <c r="F9" s="33">
        <v>0.5</v>
      </c>
      <c r="G9" s="33">
        <v>0.16216216216216217</v>
      </c>
      <c r="H9" s="33">
        <v>0.1891891891891892</v>
      </c>
      <c r="I9" s="34">
        <v>4516.666666666667</v>
      </c>
      <c r="J9" s="34">
        <v>-8214.2857142857138</v>
      </c>
      <c r="K9" s="33">
        <v>0.33333333333333331</v>
      </c>
      <c r="L9" s="33">
        <v>0.32432432432432434</v>
      </c>
      <c r="M9" s="33">
        <v>5.4054054054054057E-2</v>
      </c>
      <c r="N9" s="33">
        <v>0.25</v>
      </c>
      <c r="O9" s="33">
        <v>0</v>
      </c>
      <c r="P9" s="33">
        <v>0.33333333333333331</v>
      </c>
    </row>
    <row r="10" spans="1:17" x14ac:dyDescent="0.45">
      <c r="A10" s="35">
        <v>7</v>
      </c>
      <c r="B10" s="32">
        <v>-168.5</v>
      </c>
      <c r="C10" s="32">
        <v>-24.071428571428573</v>
      </c>
      <c r="D10" s="37">
        <v>2.5714285714285716</v>
      </c>
      <c r="E10" s="33">
        <v>0</v>
      </c>
      <c r="F10" s="33">
        <v>0.5714285714285714</v>
      </c>
      <c r="G10" s="33">
        <v>0.17391304347826086</v>
      </c>
      <c r="H10" s="33">
        <v>0.17391304347826086</v>
      </c>
      <c r="I10" s="34">
        <v>5137.5</v>
      </c>
      <c r="J10" s="34">
        <v>-9187.5</v>
      </c>
      <c r="K10" s="33">
        <v>0.2857142857142857</v>
      </c>
      <c r="L10" s="33">
        <v>0.30434782608695654</v>
      </c>
      <c r="M10" s="33">
        <v>8.6956521739130432E-2</v>
      </c>
      <c r="N10" s="33">
        <v>0.2857142857142857</v>
      </c>
      <c r="O10" s="33">
        <v>0.25</v>
      </c>
      <c r="P10" s="33">
        <v>0.375</v>
      </c>
    </row>
    <row r="11" spans="1:17" x14ac:dyDescent="0.45">
      <c r="A11" s="35">
        <v>8</v>
      </c>
      <c r="B11" s="32">
        <v>-157.19999999999999</v>
      </c>
      <c r="C11" s="32">
        <v>-19.649999999999999</v>
      </c>
      <c r="D11" s="37">
        <v>2.5</v>
      </c>
      <c r="E11" s="33">
        <v>0</v>
      </c>
      <c r="F11" s="33">
        <v>0.5</v>
      </c>
      <c r="G11" s="33">
        <v>0.21153846153846154</v>
      </c>
      <c r="H11" s="33">
        <v>0.15384615384615385</v>
      </c>
      <c r="I11" s="34">
        <v>5672.727272727273</v>
      </c>
      <c r="J11" s="34">
        <v>-9187.5</v>
      </c>
      <c r="K11" s="33">
        <v>0.25</v>
      </c>
      <c r="L11" s="33">
        <v>0.34615384615384615</v>
      </c>
      <c r="M11" s="33">
        <v>7.6923076923076927E-2</v>
      </c>
      <c r="N11" s="33">
        <v>0.3888888888888889</v>
      </c>
      <c r="O11" s="33">
        <v>0.25</v>
      </c>
      <c r="P11" s="33">
        <v>0.36363636363636365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179009-C168-4C61-B015-CF7E50F5F455}">
  <sheetPr codeName="Sheet12"/>
  <dimension ref="A1:Q19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126</v>
      </c>
      <c r="B1" s="36" t="s">
        <v>126</v>
      </c>
      <c r="C1" s="36" t="s">
        <v>126</v>
      </c>
      <c r="D1" s="37" t="s">
        <v>126</v>
      </c>
      <c r="E1" s="36" t="s">
        <v>126</v>
      </c>
      <c r="F1" s="36" t="s">
        <v>126</v>
      </c>
      <c r="G1" s="36" t="s">
        <v>126</v>
      </c>
      <c r="H1" s="36" t="s">
        <v>126</v>
      </c>
      <c r="I1" s="36" t="s">
        <v>126</v>
      </c>
      <c r="J1" s="36" t="s">
        <v>126</v>
      </c>
      <c r="K1" s="36" t="s">
        <v>126</v>
      </c>
      <c r="L1" s="36" t="s">
        <v>126</v>
      </c>
      <c r="M1" s="36" t="s">
        <v>126</v>
      </c>
      <c r="N1" s="36" t="s">
        <v>126</v>
      </c>
      <c r="O1" s="36" t="s">
        <v>126</v>
      </c>
      <c r="P1" s="36" t="s">
        <v>126</v>
      </c>
      <c r="Q1" s="36" t="s">
        <v>126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39.200000000000003</v>
      </c>
      <c r="C4" s="32">
        <v>39.200000000000003</v>
      </c>
      <c r="D4" s="37">
        <v>1</v>
      </c>
      <c r="E4" s="33">
        <v>1</v>
      </c>
      <c r="F4" s="33">
        <v>0</v>
      </c>
      <c r="G4" s="33">
        <v>0.625</v>
      </c>
      <c r="H4" s="33">
        <v>0</v>
      </c>
      <c r="I4" s="34">
        <v>6500</v>
      </c>
      <c r="J4" s="34">
        <v>0</v>
      </c>
      <c r="K4" s="33">
        <v>0</v>
      </c>
      <c r="L4" s="33">
        <v>0</v>
      </c>
      <c r="M4" s="33">
        <v>0.375</v>
      </c>
      <c r="N4" s="33">
        <v>0</v>
      </c>
      <c r="O4" s="33">
        <v>1</v>
      </c>
      <c r="P4" s="33">
        <v>0.2</v>
      </c>
    </row>
    <row r="5" spans="1:17" x14ac:dyDescent="0.45">
      <c r="A5" s="35">
        <v>2</v>
      </c>
      <c r="B5" s="32">
        <v>99.6</v>
      </c>
      <c r="C5" s="32">
        <v>49.8</v>
      </c>
      <c r="D5" s="37">
        <v>1</v>
      </c>
      <c r="E5" s="33">
        <v>1</v>
      </c>
      <c r="F5" s="33">
        <v>0</v>
      </c>
      <c r="G5" s="33">
        <v>0.6428571428571429</v>
      </c>
      <c r="H5" s="33">
        <v>7.1428571428571425E-2</v>
      </c>
      <c r="I5" s="34">
        <v>9833.3333333333339</v>
      </c>
      <c r="J5" s="34">
        <v>-7700</v>
      </c>
      <c r="K5" s="33">
        <v>0</v>
      </c>
      <c r="L5" s="33">
        <v>0</v>
      </c>
      <c r="M5" s="33">
        <v>0.42857142857142855</v>
      </c>
      <c r="N5" s="33">
        <v>0</v>
      </c>
      <c r="O5" s="33">
        <v>1</v>
      </c>
      <c r="P5" s="33">
        <v>0.33333333333333331</v>
      </c>
    </row>
    <row r="6" spans="1:17" x14ac:dyDescent="0.45">
      <c r="A6" s="35">
        <v>3</v>
      </c>
      <c r="B6" s="32">
        <v>98.1</v>
      </c>
      <c r="C6" s="32">
        <v>32.699999999999996</v>
      </c>
      <c r="D6" s="37">
        <v>1.3333333333333333</v>
      </c>
      <c r="E6" s="33">
        <v>0.66666666666666663</v>
      </c>
      <c r="F6" s="33">
        <v>0</v>
      </c>
      <c r="G6" s="33">
        <v>0.5</v>
      </c>
      <c r="H6" s="33">
        <v>0.05</v>
      </c>
      <c r="I6" s="34">
        <v>9650</v>
      </c>
      <c r="J6" s="34">
        <v>-7700</v>
      </c>
      <c r="K6" s="33">
        <v>0</v>
      </c>
      <c r="L6" s="33">
        <v>0</v>
      </c>
      <c r="M6" s="33">
        <v>0.35</v>
      </c>
      <c r="N6" s="33">
        <v>0</v>
      </c>
      <c r="O6" s="33">
        <v>1</v>
      </c>
      <c r="P6" s="33">
        <v>0.4</v>
      </c>
    </row>
    <row r="7" spans="1:17" x14ac:dyDescent="0.45">
      <c r="A7" s="35">
        <v>4</v>
      </c>
      <c r="B7" s="32">
        <v>101.5</v>
      </c>
      <c r="C7" s="32">
        <v>25.375</v>
      </c>
      <c r="D7" s="37">
        <v>1.5</v>
      </c>
      <c r="E7" s="33">
        <v>0.5</v>
      </c>
      <c r="F7" s="33">
        <v>0</v>
      </c>
      <c r="G7" s="33">
        <v>0.40625</v>
      </c>
      <c r="H7" s="33">
        <v>3.125E-2</v>
      </c>
      <c r="I7" s="34">
        <v>8861.538461538461</v>
      </c>
      <c r="J7" s="34">
        <v>-7700</v>
      </c>
      <c r="K7" s="33">
        <v>0</v>
      </c>
      <c r="L7" s="33">
        <v>6.25E-2</v>
      </c>
      <c r="M7" s="33">
        <v>0.3125</v>
      </c>
      <c r="N7" s="33">
        <v>0</v>
      </c>
      <c r="O7" s="33">
        <v>0.9</v>
      </c>
      <c r="P7" s="33">
        <v>0.30769230769230771</v>
      </c>
    </row>
    <row r="8" spans="1:17" x14ac:dyDescent="0.45">
      <c r="A8" s="35">
        <v>5</v>
      </c>
      <c r="B8" s="32">
        <v>143.1</v>
      </c>
      <c r="C8" s="32">
        <v>28.619999999999997</v>
      </c>
      <c r="D8" s="37">
        <v>1.4</v>
      </c>
      <c r="E8" s="33">
        <v>0.6</v>
      </c>
      <c r="F8" s="33">
        <v>0</v>
      </c>
      <c r="G8" s="33">
        <v>0.45945945945945948</v>
      </c>
      <c r="H8" s="33">
        <v>5.4054054054054057E-2</v>
      </c>
      <c r="I8" s="34">
        <v>8635.2941176470595</v>
      </c>
      <c r="J8" s="34">
        <v>-7850</v>
      </c>
      <c r="K8" s="33">
        <v>0</v>
      </c>
      <c r="L8" s="33">
        <v>0.1891891891891892</v>
      </c>
      <c r="M8" s="33">
        <v>0.27027027027027029</v>
      </c>
      <c r="N8" s="33">
        <v>0.5714285714285714</v>
      </c>
      <c r="O8" s="33">
        <v>0.9</v>
      </c>
      <c r="P8" s="33">
        <v>0.35294117647058826</v>
      </c>
    </row>
    <row r="9" spans="1:17" x14ac:dyDescent="0.45">
      <c r="A9" s="35">
        <v>6</v>
      </c>
      <c r="B9" s="32">
        <v>164.5</v>
      </c>
      <c r="C9" s="32">
        <v>27.416666666666668</v>
      </c>
      <c r="D9" s="37">
        <v>1.3333333333333333</v>
      </c>
      <c r="E9" s="33">
        <v>0.66666666666666663</v>
      </c>
      <c r="F9" s="33">
        <v>0</v>
      </c>
      <c r="G9" s="33">
        <v>0.43181818181818182</v>
      </c>
      <c r="H9" s="33">
        <v>9.0909090909090912E-2</v>
      </c>
      <c r="I9" s="34">
        <v>8968.4210526315783</v>
      </c>
      <c r="J9" s="34">
        <v>-7225</v>
      </c>
      <c r="K9" s="33">
        <v>0</v>
      </c>
      <c r="L9" s="33">
        <v>0.25</v>
      </c>
      <c r="M9" s="33">
        <v>0.22727272727272727</v>
      </c>
      <c r="N9" s="33">
        <v>0.54545454545454541</v>
      </c>
      <c r="O9" s="33">
        <v>0.9</v>
      </c>
      <c r="P9" s="33">
        <v>0.36842105263157893</v>
      </c>
    </row>
    <row r="10" spans="1:17" x14ac:dyDescent="0.45">
      <c r="A10" s="35">
        <v>7</v>
      </c>
      <c r="B10" s="32">
        <v>168.5</v>
      </c>
      <c r="C10" s="32">
        <v>24.071428571428573</v>
      </c>
      <c r="D10" s="37">
        <v>1.4285714285714286</v>
      </c>
      <c r="E10" s="33">
        <v>0.5714285714285714</v>
      </c>
      <c r="F10" s="33">
        <v>0</v>
      </c>
      <c r="G10" s="33">
        <v>0.41176470588235292</v>
      </c>
      <c r="H10" s="33">
        <v>9.8039215686274508E-2</v>
      </c>
      <c r="I10" s="34">
        <v>8552.3809523809523</v>
      </c>
      <c r="J10" s="34">
        <v>-7320</v>
      </c>
      <c r="K10" s="33">
        <v>0</v>
      </c>
      <c r="L10" s="33">
        <v>0.23529411764705882</v>
      </c>
      <c r="M10" s="33">
        <v>0.23529411764705882</v>
      </c>
      <c r="N10" s="33">
        <v>0.58333333333333337</v>
      </c>
      <c r="O10" s="33">
        <v>0.83333333333333337</v>
      </c>
      <c r="P10" s="33">
        <v>0.38095238095238093</v>
      </c>
    </row>
    <row r="11" spans="1:17" x14ac:dyDescent="0.45">
      <c r="A11" s="35">
        <v>8</v>
      </c>
      <c r="B11" s="32">
        <v>132.6</v>
      </c>
      <c r="C11" s="32">
        <v>16.574999999999999</v>
      </c>
      <c r="D11" s="37">
        <v>1.625</v>
      </c>
      <c r="E11" s="33">
        <v>0.5</v>
      </c>
      <c r="F11" s="33">
        <v>0.125</v>
      </c>
      <c r="G11" s="33">
        <v>0.38709677419354838</v>
      </c>
      <c r="H11" s="33">
        <v>9.6774193548387094E-2</v>
      </c>
      <c r="I11" s="34">
        <v>8175</v>
      </c>
      <c r="J11" s="34">
        <v>-8100</v>
      </c>
      <c r="K11" s="33">
        <v>0</v>
      </c>
      <c r="L11" s="33">
        <v>0.22580645161290322</v>
      </c>
      <c r="M11" s="33">
        <v>0.24193548387096775</v>
      </c>
      <c r="N11" s="33">
        <v>0.5714285714285714</v>
      </c>
      <c r="O11" s="33">
        <v>0.73333333333333328</v>
      </c>
      <c r="P11" s="33">
        <v>0.41666666666666669</v>
      </c>
    </row>
    <row r="12" spans="1:17" x14ac:dyDescent="0.45">
      <c r="A12" s="35">
        <v>9</v>
      </c>
      <c r="B12" s="32">
        <v>151.29999999999998</v>
      </c>
      <c r="C12" s="32">
        <v>16.81111111111111</v>
      </c>
      <c r="D12" s="37">
        <v>1.5555555555555556</v>
      </c>
      <c r="E12" s="33">
        <v>0.55555555555555558</v>
      </c>
      <c r="F12" s="33">
        <v>0.1111111111111111</v>
      </c>
      <c r="G12" s="33">
        <v>0.39436619718309857</v>
      </c>
      <c r="H12" s="33">
        <v>0.11267605633802817</v>
      </c>
      <c r="I12" s="34">
        <v>7882.1428571428569</v>
      </c>
      <c r="J12" s="34">
        <v>-8000</v>
      </c>
      <c r="K12" s="33">
        <v>0</v>
      </c>
      <c r="L12" s="33">
        <v>0.25352112676056338</v>
      </c>
      <c r="M12" s="33">
        <v>0.22535211267605634</v>
      </c>
      <c r="N12" s="33">
        <v>0.55555555555555558</v>
      </c>
      <c r="O12" s="33">
        <v>0.6875</v>
      </c>
      <c r="P12" s="33">
        <v>0.42857142857142855</v>
      </c>
    </row>
    <row r="13" spans="1:17" x14ac:dyDescent="0.45">
      <c r="A13" s="35">
        <v>10</v>
      </c>
      <c r="B13" s="32">
        <v>229</v>
      </c>
      <c r="C13" s="32">
        <v>22.9</v>
      </c>
      <c r="D13" s="37">
        <v>1.5</v>
      </c>
      <c r="E13" s="33">
        <v>0.6</v>
      </c>
      <c r="F13" s="33">
        <v>0.1</v>
      </c>
      <c r="G13" s="33">
        <v>0.41025641025641024</v>
      </c>
      <c r="H13" s="33">
        <v>0.10256410256410256</v>
      </c>
      <c r="I13" s="34">
        <v>9075</v>
      </c>
      <c r="J13" s="34">
        <v>-8000</v>
      </c>
      <c r="K13" s="33">
        <v>0</v>
      </c>
      <c r="L13" s="33">
        <v>0.24358974358974358</v>
      </c>
      <c r="M13" s="33">
        <v>0.23076923076923078</v>
      </c>
      <c r="N13" s="33">
        <v>0.52631578947368418</v>
      </c>
      <c r="O13" s="33">
        <v>0.72222222222222221</v>
      </c>
      <c r="P13" s="33">
        <v>0.46875</v>
      </c>
    </row>
    <row r="14" spans="1:17" x14ac:dyDescent="0.45">
      <c r="A14" s="35">
        <v>11</v>
      </c>
      <c r="B14" s="32">
        <v>242.7</v>
      </c>
      <c r="C14" s="32">
        <v>22.063636363636363</v>
      </c>
      <c r="D14" s="37">
        <v>1.5454545454545454</v>
      </c>
      <c r="E14" s="33">
        <v>0.54545454545454541</v>
      </c>
      <c r="F14" s="33">
        <v>9.0909090909090912E-2</v>
      </c>
      <c r="G14" s="33">
        <v>0.42045454545454547</v>
      </c>
      <c r="H14" s="33">
        <v>0.10227272727272728</v>
      </c>
      <c r="I14" s="34">
        <v>8632.4324324324316</v>
      </c>
      <c r="J14" s="34">
        <v>-8444.4444444444453</v>
      </c>
      <c r="K14" s="33">
        <v>0</v>
      </c>
      <c r="L14" s="33">
        <v>0.23863636363636365</v>
      </c>
      <c r="M14" s="33">
        <v>0.23863636363636365</v>
      </c>
      <c r="N14" s="33">
        <v>0.5714285714285714</v>
      </c>
      <c r="O14" s="33">
        <v>0.66666666666666663</v>
      </c>
      <c r="P14" s="33">
        <v>0.45945945945945948</v>
      </c>
    </row>
    <row r="15" spans="1:17" x14ac:dyDescent="0.45">
      <c r="A15" s="35">
        <v>12</v>
      </c>
      <c r="B15" s="32">
        <v>198</v>
      </c>
      <c r="C15" s="32">
        <v>16.5</v>
      </c>
      <c r="D15" s="37">
        <v>1.6666666666666667</v>
      </c>
      <c r="E15" s="33">
        <v>0.5</v>
      </c>
      <c r="F15" s="33">
        <v>0.16666666666666666</v>
      </c>
      <c r="G15" s="33">
        <v>0.39583333333333331</v>
      </c>
      <c r="H15" s="33">
        <v>0.125</v>
      </c>
      <c r="I15" s="34">
        <v>8439.4736842105267</v>
      </c>
      <c r="J15" s="34">
        <v>-7875</v>
      </c>
      <c r="K15" s="33">
        <v>0</v>
      </c>
      <c r="L15" s="33">
        <v>0.22916666666666666</v>
      </c>
      <c r="M15" s="33">
        <v>0.23958333333333334</v>
      </c>
      <c r="N15" s="33">
        <v>0.59090909090909094</v>
      </c>
      <c r="O15" s="33">
        <v>0.60869565217391308</v>
      </c>
      <c r="P15" s="33">
        <v>0.44736842105263158</v>
      </c>
    </row>
    <row r="16" spans="1:17" x14ac:dyDescent="0.45">
      <c r="A16" s="35">
        <v>13</v>
      </c>
      <c r="B16" s="32">
        <v>197</v>
      </c>
      <c r="C16" s="32">
        <v>15.153846153846153</v>
      </c>
      <c r="D16" s="37">
        <v>1.6923076923076923</v>
      </c>
      <c r="E16" s="33">
        <v>0.46153846153846156</v>
      </c>
      <c r="F16" s="33">
        <v>0.15384615384615385</v>
      </c>
      <c r="G16" s="33">
        <v>0.38235294117647056</v>
      </c>
      <c r="H16" s="33">
        <v>0.12745098039215685</v>
      </c>
      <c r="I16" s="34">
        <v>8530.7692307692305</v>
      </c>
      <c r="J16" s="34">
        <v>-7861.5384615384619</v>
      </c>
      <c r="K16" s="33">
        <v>0</v>
      </c>
      <c r="L16" s="33">
        <v>0.22549019607843138</v>
      </c>
      <c r="M16" s="33">
        <v>0.24509803921568626</v>
      </c>
      <c r="N16" s="33">
        <v>0.56521739130434778</v>
      </c>
      <c r="O16" s="33">
        <v>0.56000000000000005</v>
      </c>
      <c r="P16" s="33">
        <v>0.46153846153846156</v>
      </c>
    </row>
    <row r="17" spans="1:16" x14ac:dyDescent="0.45">
      <c r="A17" s="35">
        <v>14</v>
      </c>
      <c r="B17" s="32">
        <v>249.2</v>
      </c>
      <c r="C17" s="32">
        <v>17.8</v>
      </c>
      <c r="D17" s="37">
        <v>1.6428571428571428</v>
      </c>
      <c r="E17" s="33">
        <v>0.5</v>
      </c>
      <c r="F17" s="33">
        <v>0.14285714285714285</v>
      </c>
      <c r="G17" s="33">
        <v>0.37168141592920356</v>
      </c>
      <c r="H17" s="33">
        <v>0.11504424778761062</v>
      </c>
      <c r="I17" s="34">
        <v>8873.8095238095229</v>
      </c>
      <c r="J17" s="34">
        <v>-7861.5384615384619</v>
      </c>
      <c r="K17" s="33">
        <v>0</v>
      </c>
      <c r="L17" s="33">
        <v>0.21238938053097345</v>
      </c>
      <c r="M17" s="33">
        <v>0.22123893805309736</v>
      </c>
      <c r="N17" s="33">
        <v>0.54166666666666663</v>
      </c>
      <c r="O17" s="33">
        <v>0.56000000000000005</v>
      </c>
      <c r="P17" s="33">
        <v>0.45238095238095238</v>
      </c>
    </row>
    <row r="18" spans="1:16" x14ac:dyDescent="0.45">
      <c r="A18" s="35">
        <v>15</v>
      </c>
      <c r="B18" s="32">
        <v>213.5</v>
      </c>
      <c r="C18" s="32">
        <v>14.233333333333333</v>
      </c>
      <c r="D18" s="37">
        <v>1.7333333333333334</v>
      </c>
      <c r="E18" s="33">
        <v>0.46666666666666667</v>
      </c>
      <c r="F18" s="33">
        <v>0.2</v>
      </c>
      <c r="G18" s="33">
        <v>0.36974789915966388</v>
      </c>
      <c r="H18" s="33">
        <v>0.12605042016806722</v>
      </c>
      <c r="I18" s="34">
        <v>8772.7272727272721</v>
      </c>
      <c r="J18" s="34">
        <v>-8946.6666666666661</v>
      </c>
      <c r="K18" s="33">
        <v>0</v>
      </c>
      <c r="L18" s="33">
        <v>0.21848739495798319</v>
      </c>
      <c r="M18" s="33">
        <v>0.21008403361344538</v>
      </c>
      <c r="N18" s="33">
        <v>0.53846153846153844</v>
      </c>
      <c r="O18" s="33">
        <v>0.56000000000000005</v>
      </c>
      <c r="P18" s="33">
        <v>0.47727272727272729</v>
      </c>
    </row>
    <row r="19" spans="1:16" x14ac:dyDescent="0.45">
      <c r="A19" s="35">
        <v>16</v>
      </c>
      <c r="B19" s="32">
        <v>273.8</v>
      </c>
      <c r="C19" s="32">
        <v>17.112500000000001</v>
      </c>
      <c r="D19" s="37">
        <v>1.6875</v>
      </c>
      <c r="E19" s="33">
        <v>0.5</v>
      </c>
      <c r="F19" s="33">
        <v>0.1875</v>
      </c>
      <c r="G19" s="33">
        <v>0.38400000000000001</v>
      </c>
      <c r="H19" s="33">
        <v>0.128</v>
      </c>
      <c r="I19" s="34">
        <v>9218.75</v>
      </c>
      <c r="J19" s="34">
        <v>-8868.75</v>
      </c>
      <c r="K19" s="33">
        <v>0</v>
      </c>
      <c r="L19" s="33">
        <v>0.24</v>
      </c>
      <c r="M19" s="33">
        <v>0.20799999999999999</v>
      </c>
      <c r="N19" s="33">
        <v>0.6</v>
      </c>
      <c r="O19" s="33">
        <v>0.53846153846153844</v>
      </c>
      <c r="P19" s="33">
        <v>0.45833333333333331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DE4C6-ED33-4B53-BD2B-72C7003891D2}">
  <sheetPr codeName="Sheet10"/>
  <dimension ref="A1:Q5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189</v>
      </c>
      <c r="B1" s="36" t="s">
        <v>189</v>
      </c>
      <c r="C1" s="36" t="s">
        <v>189</v>
      </c>
      <c r="D1" s="37" t="s">
        <v>189</v>
      </c>
      <c r="E1" s="36" t="s">
        <v>189</v>
      </c>
      <c r="F1" s="36" t="s">
        <v>189</v>
      </c>
      <c r="G1" s="36" t="s">
        <v>189</v>
      </c>
      <c r="H1" s="36" t="s">
        <v>189</v>
      </c>
      <c r="I1" s="36" t="s">
        <v>189</v>
      </c>
      <c r="J1" s="36" t="s">
        <v>189</v>
      </c>
      <c r="K1" s="36" t="s">
        <v>189</v>
      </c>
      <c r="L1" s="36" t="s">
        <v>189</v>
      </c>
      <c r="M1" s="36" t="s">
        <v>189</v>
      </c>
      <c r="N1" s="36" t="s">
        <v>189</v>
      </c>
      <c r="O1" s="36" t="s">
        <v>189</v>
      </c>
      <c r="P1" s="36" t="s">
        <v>189</v>
      </c>
      <c r="Q1" s="36" t="s">
        <v>189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-36.299999999999997</v>
      </c>
      <c r="C4" s="32">
        <v>-36.299999999999997</v>
      </c>
      <c r="D4" s="37">
        <v>3</v>
      </c>
      <c r="E4" s="33">
        <v>0</v>
      </c>
      <c r="F4" s="33">
        <v>1</v>
      </c>
      <c r="G4" s="33">
        <v>0.125</v>
      </c>
      <c r="H4" s="33">
        <v>0.375</v>
      </c>
      <c r="I4" s="34">
        <v>2100</v>
      </c>
      <c r="J4" s="34">
        <v>-4166.666666666667</v>
      </c>
      <c r="K4" s="33">
        <v>0</v>
      </c>
      <c r="L4" s="33">
        <v>0.375</v>
      </c>
      <c r="M4" s="33">
        <v>0</v>
      </c>
      <c r="N4" s="33">
        <v>0.33333333333333331</v>
      </c>
      <c r="O4" s="33">
        <v>0</v>
      </c>
      <c r="P4" s="33">
        <v>1</v>
      </c>
    </row>
    <row r="5" spans="1:17" x14ac:dyDescent="0.45">
      <c r="A5" s="35">
        <v>2</v>
      </c>
      <c r="B5" s="32">
        <v>-75.5</v>
      </c>
      <c r="C5" s="32">
        <v>-37.75</v>
      </c>
      <c r="D5" s="37">
        <v>3</v>
      </c>
      <c r="E5" s="33">
        <v>0</v>
      </c>
      <c r="F5" s="33">
        <v>1</v>
      </c>
      <c r="G5" s="33">
        <v>0.2</v>
      </c>
      <c r="H5" s="33">
        <v>0.45</v>
      </c>
      <c r="I5" s="34">
        <v>7050</v>
      </c>
      <c r="J5" s="34">
        <v>-6088.8888888888887</v>
      </c>
      <c r="K5" s="33">
        <v>0</v>
      </c>
      <c r="L5" s="33">
        <v>0.25</v>
      </c>
      <c r="M5" s="33">
        <v>0.05</v>
      </c>
      <c r="N5" s="33">
        <v>0.4</v>
      </c>
      <c r="O5" s="33">
        <v>0</v>
      </c>
      <c r="P5" s="33">
        <v>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B228-3876-434B-94FB-E16DA8EA014C}">
  <sheetPr codeName="Sheet8"/>
  <dimension ref="A1:Q13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164</v>
      </c>
      <c r="B1" s="36" t="s">
        <v>164</v>
      </c>
      <c r="C1" s="36" t="s">
        <v>164</v>
      </c>
      <c r="D1" s="37" t="s">
        <v>164</v>
      </c>
      <c r="E1" s="36" t="s">
        <v>164</v>
      </c>
      <c r="F1" s="36" t="s">
        <v>164</v>
      </c>
      <c r="G1" s="36" t="s">
        <v>164</v>
      </c>
      <c r="H1" s="36" t="s">
        <v>164</v>
      </c>
      <c r="I1" s="36" t="s">
        <v>164</v>
      </c>
      <c r="J1" s="36" t="s">
        <v>164</v>
      </c>
      <c r="K1" s="36" t="s">
        <v>164</v>
      </c>
      <c r="L1" s="36" t="s">
        <v>164</v>
      </c>
      <c r="M1" s="36" t="s">
        <v>164</v>
      </c>
      <c r="N1" s="36" t="s">
        <v>164</v>
      </c>
      <c r="O1" s="36" t="s">
        <v>164</v>
      </c>
      <c r="P1" s="36" t="s">
        <v>164</v>
      </c>
      <c r="Q1" s="36" t="s">
        <v>164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-2.9</v>
      </c>
      <c r="C4" s="32">
        <v>-2.9</v>
      </c>
      <c r="D4" s="37">
        <v>2</v>
      </c>
      <c r="E4" s="33">
        <v>0</v>
      </c>
      <c r="F4" s="33">
        <v>0</v>
      </c>
      <c r="G4" s="33">
        <v>0.125</v>
      </c>
      <c r="H4" s="33">
        <v>0.125</v>
      </c>
      <c r="I4" s="34">
        <v>6400</v>
      </c>
      <c r="J4" s="34">
        <v>-2000</v>
      </c>
      <c r="K4" s="33">
        <v>0</v>
      </c>
      <c r="L4" s="33">
        <v>0.5</v>
      </c>
      <c r="M4" s="33">
        <v>0.25</v>
      </c>
      <c r="N4" s="33">
        <v>0.25</v>
      </c>
      <c r="O4" s="33">
        <v>0</v>
      </c>
      <c r="P4" s="33">
        <v>1</v>
      </c>
    </row>
    <row r="5" spans="1:17" x14ac:dyDescent="0.45">
      <c r="A5" s="35">
        <v>2</v>
      </c>
      <c r="B5" s="32">
        <v>32.9</v>
      </c>
      <c r="C5" s="32">
        <v>16.45</v>
      </c>
      <c r="D5" s="37">
        <v>1.5</v>
      </c>
      <c r="E5" s="33">
        <v>0.5</v>
      </c>
      <c r="F5" s="33">
        <v>0</v>
      </c>
      <c r="G5" s="33">
        <v>0.25</v>
      </c>
      <c r="H5" s="33">
        <v>0.05</v>
      </c>
      <c r="I5" s="34">
        <v>8400</v>
      </c>
      <c r="J5" s="34">
        <v>-2000</v>
      </c>
      <c r="K5" s="33">
        <v>0</v>
      </c>
      <c r="L5" s="33">
        <v>0.4</v>
      </c>
      <c r="M5" s="33">
        <v>0.2</v>
      </c>
      <c r="N5" s="33">
        <v>0.5</v>
      </c>
      <c r="O5" s="33">
        <v>0</v>
      </c>
      <c r="P5" s="33">
        <v>0.4</v>
      </c>
    </row>
    <row r="6" spans="1:17" x14ac:dyDescent="0.45">
      <c r="A6" s="35">
        <v>3</v>
      </c>
      <c r="B6" s="32">
        <v>61.5</v>
      </c>
      <c r="C6" s="32">
        <v>20.5</v>
      </c>
      <c r="D6" s="37">
        <v>1.3333333333333333</v>
      </c>
      <c r="E6" s="33">
        <v>0.66666666666666663</v>
      </c>
      <c r="F6" s="33">
        <v>0</v>
      </c>
      <c r="G6" s="33">
        <v>0.23076923076923078</v>
      </c>
      <c r="H6" s="33">
        <v>3.8461538461538464E-2</v>
      </c>
      <c r="I6" s="34">
        <v>10000</v>
      </c>
      <c r="J6" s="34">
        <v>-2000</v>
      </c>
      <c r="K6" s="33">
        <v>0</v>
      </c>
      <c r="L6" s="33">
        <v>0.34615384615384615</v>
      </c>
      <c r="M6" s="33">
        <v>0.26923076923076922</v>
      </c>
      <c r="N6" s="33">
        <v>0.55555555555555558</v>
      </c>
      <c r="O6" s="33">
        <v>0</v>
      </c>
      <c r="P6" s="33">
        <v>0.5</v>
      </c>
    </row>
    <row r="7" spans="1:17" x14ac:dyDescent="0.45">
      <c r="A7" s="35">
        <v>4</v>
      </c>
      <c r="B7" s="32">
        <v>27.4</v>
      </c>
      <c r="C7" s="32">
        <v>6.85</v>
      </c>
      <c r="D7" s="37">
        <v>1.75</v>
      </c>
      <c r="E7" s="33">
        <v>0.5</v>
      </c>
      <c r="F7" s="33">
        <v>0.25</v>
      </c>
      <c r="G7" s="33">
        <v>0.22580645161290322</v>
      </c>
      <c r="H7" s="33">
        <v>9.6774193548387094E-2</v>
      </c>
      <c r="I7" s="34">
        <v>9714.2857142857138</v>
      </c>
      <c r="J7" s="34">
        <v>-4533.333333333333</v>
      </c>
      <c r="K7" s="33">
        <v>0</v>
      </c>
      <c r="L7" s="33">
        <v>0.32258064516129031</v>
      </c>
      <c r="M7" s="33">
        <v>0.22580645161290322</v>
      </c>
      <c r="N7" s="33">
        <v>0.5</v>
      </c>
      <c r="O7" s="33">
        <v>0</v>
      </c>
      <c r="P7" s="33">
        <v>0.42857142857142855</v>
      </c>
    </row>
    <row r="8" spans="1:17" x14ac:dyDescent="0.45">
      <c r="A8" s="35">
        <v>5</v>
      </c>
      <c r="B8" s="32">
        <v>18</v>
      </c>
      <c r="C8" s="32">
        <v>3.6</v>
      </c>
      <c r="D8" s="37">
        <v>1.8</v>
      </c>
      <c r="E8" s="33">
        <v>0.4</v>
      </c>
      <c r="F8" s="33">
        <v>0.2</v>
      </c>
      <c r="G8" s="33">
        <v>0.22500000000000001</v>
      </c>
      <c r="H8" s="33">
        <v>0.17499999999999999</v>
      </c>
      <c r="I8" s="34">
        <v>11111.111111111111</v>
      </c>
      <c r="J8" s="34">
        <v>-6642.8571428571431</v>
      </c>
      <c r="K8" s="33">
        <v>0</v>
      </c>
      <c r="L8" s="33">
        <v>0.32500000000000001</v>
      </c>
      <c r="M8" s="33">
        <v>0.22500000000000001</v>
      </c>
      <c r="N8" s="33">
        <v>0.46153846153846156</v>
      </c>
      <c r="O8" s="33">
        <v>0.1111111111111111</v>
      </c>
      <c r="P8" s="33">
        <v>0.44444444444444442</v>
      </c>
    </row>
    <row r="9" spans="1:17" x14ac:dyDescent="0.45">
      <c r="A9" s="35">
        <v>6</v>
      </c>
      <c r="B9" s="32">
        <v>43.6</v>
      </c>
      <c r="C9" s="32">
        <v>7.2666666666666666</v>
      </c>
      <c r="D9" s="37">
        <v>1.6666666666666667</v>
      </c>
      <c r="E9" s="33">
        <v>0.5</v>
      </c>
      <c r="F9" s="33">
        <v>0.16666666666666666</v>
      </c>
      <c r="G9" s="33">
        <v>0.25490196078431371</v>
      </c>
      <c r="H9" s="33">
        <v>0.19607843137254902</v>
      </c>
      <c r="I9" s="34">
        <v>11515.384615384615</v>
      </c>
      <c r="J9" s="34">
        <v>-6520</v>
      </c>
      <c r="K9" s="33">
        <v>0</v>
      </c>
      <c r="L9" s="33">
        <v>0.33333333333333331</v>
      </c>
      <c r="M9" s="33">
        <v>0.23529411764705882</v>
      </c>
      <c r="N9" s="33">
        <v>0.47058823529411764</v>
      </c>
      <c r="O9" s="33">
        <v>0.25</v>
      </c>
      <c r="P9" s="33">
        <v>0.46153846153846156</v>
      </c>
    </row>
    <row r="10" spans="1:17" x14ac:dyDescent="0.45">
      <c r="A10" s="35">
        <v>7</v>
      </c>
      <c r="B10" s="32">
        <v>16.900000000000002</v>
      </c>
      <c r="C10" s="32">
        <v>2.4142857142857146</v>
      </c>
      <c r="D10" s="37">
        <v>1.8571428571428572</v>
      </c>
      <c r="E10" s="33">
        <v>0.42857142857142855</v>
      </c>
      <c r="F10" s="33">
        <v>0.2857142857142857</v>
      </c>
      <c r="G10" s="33">
        <v>0.25</v>
      </c>
      <c r="H10" s="33">
        <v>0.21666666666666667</v>
      </c>
      <c r="I10" s="34">
        <v>11006.666666666666</v>
      </c>
      <c r="J10" s="34">
        <v>-6800</v>
      </c>
      <c r="K10" s="33">
        <v>0</v>
      </c>
      <c r="L10" s="33">
        <v>0.3</v>
      </c>
      <c r="M10" s="33">
        <v>0.23333333333333334</v>
      </c>
      <c r="N10" s="33">
        <v>0.5</v>
      </c>
      <c r="O10" s="33">
        <v>0.2857142857142857</v>
      </c>
      <c r="P10" s="33">
        <v>0.4</v>
      </c>
    </row>
    <row r="11" spans="1:17" x14ac:dyDescent="0.45">
      <c r="A11" s="35">
        <v>8</v>
      </c>
      <c r="B11" s="32">
        <v>-9.9999999999999964</v>
      </c>
      <c r="C11" s="32">
        <v>-1.2499999999999996</v>
      </c>
      <c r="D11" s="37">
        <v>2</v>
      </c>
      <c r="E11" s="33">
        <v>0.375</v>
      </c>
      <c r="F11" s="33">
        <v>0.375</v>
      </c>
      <c r="G11" s="33">
        <v>0.23943661971830985</v>
      </c>
      <c r="H11" s="33">
        <v>0.28169014084507044</v>
      </c>
      <c r="I11" s="34">
        <v>11688.235294117647</v>
      </c>
      <c r="J11" s="34">
        <v>-6320</v>
      </c>
      <c r="K11" s="33">
        <v>0</v>
      </c>
      <c r="L11" s="33">
        <v>0.26760563380281688</v>
      </c>
      <c r="M11" s="33">
        <v>0.21126760563380281</v>
      </c>
      <c r="N11" s="33">
        <v>0.47368421052631576</v>
      </c>
      <c r="O11" s="33">
        <v>0.26666666666666666</v>
      </c>
      <c r="P11" s="33">
        <v>0.35294117647058826</v>
      </c>
    </row>
    <row r="12" spans="1:17" x14ac:dyDescent="0.45">
      <c r="A12" s="35">
        <v>9</v>
      </c>
      <c r="B12" s="32">
        <v>33.5</v>
      </c>
      <c r="C12" s="32">
        <v>3.7222222222222223</v>
      </c>
      <c r="D12" s="37">
        <v>1.8888888888888888</v>
      </c>
      <c r="E12" s="33">
        <v>0.44444444444444442</v>
      </c>
      <c r="F12" s="33">
        <v>0.33333333333333331</v>
      </c>
      <c r="G12" s="33">
        <v>0.25974025974025972</v>
      </c>
      <c r="H12" s="33">
        <v>0.25974025974025972</v>
      </c>
      <c r="I12" s="34">
        <v>12135</v>
      </c>
      <c r="J12" s="34">
        <v>-6320</v>
      </c>
      <c r="K12" s="33">
        <v>0</v>
      </c>
      <c r="L12" s="33">
        <v>0.31168831168831168</v>
      </c>
      <c r="M12" s="33">
        <v>0.19480519480519481</v>
      </c>
      <c r="N12" s="33">
        <v>0.5</v>
      </c>
      <c r="O12" s="33">
        <v>0.26666666666666666</v>
      </c>
      <c r="P12" s="33">
        <v>0.35</v>
      </c>
    </row>
    <row r="13" spans="1:17" x14ac:dyDescent="0.45">
      <c r="A13" s="35">
        <v>10</v>
      </c>
      <c r="B13" s="32">
        <v>26</v>
      </c>
      <c r="C13" s="32">
        <v>2.6</v>
      </c>
      <c r="D13" s="37">
        <v>1.9</v>
      </c>
      <c r="E13" s="33">
        <v>0.4</v>
      </c>
      <c r="F13" s="33">
        <v>0.3</v>
      </c>
      <c r="G13" s="33">
        <v>0.25301204819277107</v>
      </c>
      <c r="H13" s="33">
        <v>0.25301204819277107</v>
      </c>
      <c r="I13" s="34">
        <v>11923.809523809523</v>
      </c>
      <c r="J13" s="34">
        <v>-6266.666666666667</v>
      </c>
      <c r="K13" s="33">
        <v>0</v>
      </c>
      <c r="L13" s="33">
        <v>0.30120481927710846</v>
      </c>
      <c r="M13" s="33">
        <v>0.19277108433734941</v>
      </c>
      <c r="N13" s="33">
        <v>0.48</v>
      </c>
      <c r="O13" s="33">
        <v>0.3125</v>
      </c>
      <c r="P13" s="33">
        <v>0.33333333333333331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030BA-EE29-4A96-AD4A-698358C0A9E4}">
  <sheetPr codeName="Sheet6"/>
  <dimension ref="A1:Q25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139</v>
      </c>
      <c r="B1" s="36" t="s">
        <v>139</v>
      </c>
      <c r="C1" s="36" t="s">
        <v>139</v>
      </c>
      <c r="D1" s="37" t="s">
        <v>139</v>
      </c>
      <c r="E1" s="36" t="s">
        <v>139</v>
      </c>
      <c r="F1" s="36" t="s">
        <v>139</v>
      </c>
      <c r="G1" s="36" t="s">
        <v>139</v>
      </c>
      <c r="H1" s="36" t="s">
        <v>139</v>
      </c>
      <c r="I1" s="36" t="s">
        <v>139</v>
      </c>
      <c r="J1" s="36" t="s">
        <v>139</v>
      </c>
      <c r="K1" s="36" t="s">
        <v>139</v>
      </c>
      <c r="L1" s="36" t="s">
        <v>139</v>
      </c>
      <c r="M1" s="36" t="s">
        <v>139</v>
      </c>
      <c r="N1" s="36" t="s">
        <v>139</v>
      </c>
      <c r="O1" s="36" t="s">
        <v>139</v>
      </c>
      <c r="P1" s="36" t="s">
        <v>139</v>
      </c>
      <c r="Q1" s="36" t="s">
        <v>139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7.1054273576010019E-15</v>
      </c>
      <c r="C4" s="32">
        <v>2.3684757858670005E-15</v>
      </c>
      <c r="D4" s="37">
        <v>2</v>
      </c>
      <c r="E4" s="33">
        <v>0.33333333333333331</v>
      </c>
      <c r="F4" s="33">
        <v>0.33333333333333331</v>
      </c>
      <c r="G4" s="33">
        <v>0.29166666666666669</v>
      </c>
      <c r="H4" s="33">
        <v>0.16666666666666666</v>
      </c>
      <c r="I4" s="34">
        <v>5857.1428571428569</v>
      </c>
      <c r="J4" s="34">
        <v>-3625</v>
      </c>
      <c r="K4" s="33">
        <v>0</v>
      </c>
      <c r="L4" s="33">
        <v>0.29166666666666669</v>
      </c>
      <c r="M4" s="33">
        <v>0.20833333333333334</v>
      </c>
      <c r="N4" s="33">
        <v>0.2857142857142857</v>
      </c>
      <c r="O4" s="33">
        <v>0.6</v>
      </c>
      <c r="P4" s="33">
        <v>0.42857142857142855</v>
      </c>
    </row>
    <row r="5" spans="1:17" x14ac:dyDescent="0.45">
      <c r="A5" s="35">
        <v>2</v>
      </c>
      <c r="B5" s="32">
        <v>7.1054273576010019E-15</v>
      </c>
      <c r="C5" s="32">
        <v>1.1842378929335002E-15</v>
      </c>
      <c r="D5" s="37">
        <v>2</v>
      </c>
      <c r="E5" s="33">
        <v>0.33333333333333331</v>
      </c>
      <c r="F5" s="33">
        <v>0.33333333333333331</v>
      </c>
      <c r="G5" s="33">
        <v>0.30555555555555558</v>
      </c>
      <c r="H5" s="33">
        <v>0.16666666666666666</v>
      </c>
      <c r="I5" s="34">
        <v>11363.636363636364</v>
      </c>
      <c r="J5" s="34">
        <v>-7083.333333333333</v>
      </c>
      <c r="K5" s="33">
        <v>0.16666666666666666</v>
      </c>
      <c r="L5" s="33">
        <v>0.30555555555555558</v>
      </c>
      <c r="M5" s="33">
        <v>0.19444444444444445</v>
      </c>
      <c r="N5" s="33">
        <v>0.36363636363636365</v>
      </c>
      <c r="O5" s="33">
        <v>0.5714285714285714</v>
      </c>
      <c r="P5" s="33">
        <v>0.45454545454545453</v>
      </c>
    </row>
    <row r="6" spans="1:17" x14ac:dyDescent="0.45">
      <c r="A6" s="35">
        <v>3</v>
      </c>
      <c r="B6" s="32">
        <v>0</v>
      </c>
      <c r="C6" s="32">
        <v>0</v>
      </c>
      <c r="D6" s="37">
        <v>2</v>
      </c>
      <c r="E6" s="33">
        <v>0.33333333333333331</v>
      </c>
      <c r="F6" s="33">
        <v>0.33333333333333331</v>
      </c>
      <c r="G6" s="33">
        <v>0.3</v>
      </c>
      <c r="H6" s="33">
        <v>0.16666666666666666</v>
      </c>
      <c r="I6" s="34">
        <v>10111.111111111111</v>
      </c>
      <c r="J6" s="34">
        <v>-6130</v>
      </c>
      <c r="K6" s="33">
        <v>0.22222222222222221</v>
      </c>
      <c r="L6" s="33">
        <v>0.28333333333333333</v>
      </c>
      <c r="M6" s="33">
        <v>0.16666666666666666</v>
      </c>
      <c r="N6" s="33">
        <v>0.47058823529411764</v>
      </c>
      <c r="O6" s="33">
        <v>0.5</v>
      </c>
      <c r="P6" s="33">
        <v>0.44444444444444442</v>
      </c>
    </row>
    <row r="7" spans="1:17" x14ac:dyDescent="0.45">
      <c r="A7" s="35">
        <v>4</v>
      </c>
      <c r="B7" s="32">
        <v>1.3322676295501878E-15</v>
      </c>
      <c r="C7" s="32">
        <v>1.1102230246251565E-16</v>
      </c>
      <c r="D7" s="37">
        <v>2</v>
      </c>
      <c r="E7" s="33">
        <v>0.33333333333333331</v>
      </c>
      <c r="F7" s="33">
        <v>0.33333333333333331</v>
      </c>
      <c r="G7" s="33">
        <v>0.30769230769230771</v>
      </c>
      <c r="H7" s="33">
        <v>0.16666666666666666</v>
      </c>
      <c r="I7" s="34">
        <v>10300</v>
      </c>
      <c r="J7" s="34">
        <v>-8069.2307692307695</v>
      </c>
      <c r="K7" s="33">
        <v>0.25</v>
      </c>
      <c r="L7" s="33">
        <v>0.26923076923076922</v>
      </c>
      <c r="M7" s="33">
        <v>0.16666666666666666</v>
      </c>
      <c r="N7" s="33">
        <v>0.42857142857142855</v>
      </c>
      <c r="O7" s="33">
        <v>0.61538461538461542</v>
      </c>
      <c r="P7" s="33">
        <v>0.45833333333333331</v>
      </c>
    </row>
    <row r="8" spans="1:17" x14ac:dyDescent="0.45">
      <c r="A8" s="35">
        <v>5</v>
      </c>
      <c r="B8" s="32">
        <v>1.7763568394002505E-15</v>
      </c>
      <c r="C8" s="32">
        <v>1.1842378929335003E-16</v>
      </c>
      <c r="D8" s="37">
        <v>2</v>
      </c>
      <c r="E8" s="33">
        <v>0.33333333333333331</v>
      </c>
      <c r="F8" s="33">
        <v>0.33333333333333331</v>
      </c>
      <c r="G8" s="33">
        <v>0.30208333333333331</v>
      </c>
      <c r="H8" s="33">
        <v>0.15625</v>
      </c>
      <c r="I8" s="34">
        <v>9875.8620689655181</v>
      </c>
      <c r="J8" s="34">
        <v>-7740</v>
      </c>
      <c r="K8" s="33">
        <v>0.2</v>
      </c>
      <c r="L8" s="33">
        <v>0.26041666666666669</v>
      </c>
      <c r="M8" s="33">
        <v>0.15625</v>
      </c>
      <c r="N8" s="33">
        <v>0.48</v>
      </c>
      <c r="O8" s="33">
        <v>0.6</v>
      </c>
      <c r="P8" s="33">
        <v>0.48275862068965519</v>
      </c>
    </row>
    <row r="9" spans="1:17" x14ac:dyDescent="0.45">
      <c r="A9" s="35">
        <v>6</v>
      </c>
      <c r="B9" s="32">
        <v>-7.1054273576010019E-15</v>
      </c>
      <c r="C9" s="32">
        <v>-3.9474596431116675E-16</v>
      </c>
      <c r="D9" s="37">
        <v>2</v>
      </c>
      <c r="E9" s="33">
        <v>0.33333333333333331</v>
      </c>
      <c r="F9" s="33">
        <v>0.33333333333333331</v>
      </c>
      <c r="G9" s="33">
        <v>0.29545454545454547</v>
      </c>
      <c r="H9" s="33">
        <v>0.15909090909090909</v>
      </c>
      <c r="I9" s="34">
        <v>9405.1282051282051</v>
      </c>
      <c r="J9" s="34">
        <v>-7542.8571428571431</v>
      </c>
      <c r="K9" s="33">
        <v>0.16666666666666666</v>
      </c>
      <c r="L9" s="33">
        <v>0.25</v>
      </c>
      <c r="M9" s="33">
        <v>0.15909090909090909</v>
      </c>
      <c r="N9" s="33">
        <v>0.48484848484848486</v>
      </c>
      <c r="O9" s="33">
        <v>0.52380952380952384</v>
      </c>
      <c r="P9" s="33">
        <v>0.46153846153846156</v>
      </c>
    </row>
    <row r="10" spans="1:17" x14ac:dyDescent="0.45">
      <c r="A10" s="35">
        <v>7</v>
      </c>
      <c r="B10" s="32">
        <v>-7.1054273576010019E-15</v>
      </c>
      <c r="C10" s="32">
        <v>-3.3835368369528578E-16</v>
      </c>
      <c r="D10" s="37">
        <v>2</v>
      </c>
      <c r="E10" s="33">
        <v>0.33333333333333331</v>
      </c>
      <c r="F10" s="33">
        <v>0.33333333333333331</v>
      </c>
      <c r="G10" s="33">
        <v>0.29333333333333333</v>
      </c>
      <c r="H10" s="33">
        <v>0.14666666666666667</v>
      </c>
      <c r="I10" s="34">
        <v>9006.818181818182</v>
      </c>
      <c r="J10" s="34">
        <v>-7318.181818181818</v>
      </c>
      <c r="K10" s="33">
        <v>0.14285714285714285</v>
      </c>
      <c r="L10" s="33">
        <v>0.26</v>
      </c>
      <c r="M10" s="33">
        <v>0.16</v>
      </c>
      <c r="N10" s="33">
        <v>0.51282051282051277</v>
      </c>
      <c r="O10" s="33">
        <v>0.45833333333333331</v>
      </c>
      <c r="P10" s="33">
        <v>0.5</v>
      </c>
    </row>
    <row r="11" spans="1:17" x14ac:dyDescent="0.45">
      <c r="A11" s="35">
        <v>8</v>
      </c>
      <c r="B11" s="32">
        <v>-7.1054273576010019E-15</v>
      </c>
      <c r="C11" s="32">
        <v>-2.9605947323337506E-16</v>
      </c>
      <c r="D11" s="37">
        <v>2</v>
      </c>
      <c r="E11" s="33">
        <v>0.33333333333333331</v>
      </c>
      <c r="F11" s="33">
        <v>0.33333333333333331</v>
      </c>
      <c r="G11" s="33">
        <v>0.29696969696969699</v>
      </c>
      <c r="H11" s="33">
        <v>0.15151515151515152</v>
      </c>
      <c r="I11" s="34">
        <v>8895.9183673469379</v>
      </c>
      <c r="J11" s="34">
        <v>-7224</v>
      </c>
      <c r="K11" s="33">
        <v>0.125</v>
      </c>
      <c r="L11" s="33">
        <v>0.27878787878787881</v>
      </c>
      <c r="M11" s="33">
        <v>0.14545454545454545</v>
      </c>
      <c r="N11" s="33">
        <v>0.52173913043478259</v>
      </c>
      <c r="O11" s="33">
        <v>0.45833333333333331</v>
      </c>
      <c r="P11" s="33">
        <v>0.48979591836734693</v>
      </c>
    </row>
    <row r="12" spans="1:17" x14ac:dyDescent="0.45">
      <c r="A12" s="35">
        <v>9</v>
      </c>
      <c r="B12" s="32">
        <v>-7.1054273576010019E-15</v>
      </c>
      <c r="C12" s="32">
        <v>-2.631639762074445E-16</v>
      </c>
      <c r="D12" s="37">
        <v>2</v>
      </c>
      <c r="E12" s="33">
        <v>0.33333333333333331</v>
      </c>
      <c r="F12" s="33">
        <v>0.33333333333333331</v>
      </c>
      <c r="G12" s="33">
        <v>0.29569892473118281</v>
      </c>
      <c r="H12" s="33">
        <v>0.16129032258064516</v>
      </c>
      <c r="I12" s="34">
        <v>8736.363636363636</v>
      </c>
      <c r="J12" s="34">
        <v>-7120</v>
      </c>
      <c r="K12" s="33">
        <v>0.1111111111111111</v>
      </c>
      <c r="L12" s="33">
        <v>0.28494623655913981</v>
      </c>
      <c r="M12" s="33">
        <v>0.12903225806451613</v>
      </c>
      <c r="N12" s="33">
        <v>0.50943396226415094</v>
      </c>
      <c r="O12" s="33">
        <v>0.45833333333333331</v>
      </c>
      <c r="P12" s="33">
        <v>0.45454545454545453</v>
      </c>
    </row>
    <row r="13" spans="1:17" x14ac:dyDescent="0.45">
      <c r="A13" s="35">
        <v>10</v>
      </c>
      <c r="B13" s="32">
        <v>-7.1054273576010019E-15</v>
      </c>
      <c r="C13" s="32">
        <v>-2.3684757858670006E-16</v>
      </c>
      <c r="D13" s="37">
        <v>2</v>
      </c>
      <c r="E13" s="33">
        <v>0.33333333333333331</v>
      </c>
      <c r="F13" s="33">
        <v>0.33333333333333331</v>
      </c>
      <c r="G13" s="33">
        <v>0.28985507246376813</v>
      </c>
      <c r="H13" s="33">
        <v>0.15942028985507245</v>
      </c>
      <c r="I13" s="34">
        <v>8556.6666666666661</v>
      </c>
      <c r="J13" s="34">
        <v>-7227.272727272727</v>
      </c>
      <c r="K13" s="33">
        <v>0.1</v>
      </c>
      <c r="L13" s="33">
        <v>0.29468599033816423</v>
      </c>
      <c r="M13" s="33">
        <v>0.13043478260869565</v>
      </c>
      <c r="N13" s="33">
        <v>0.50819672131147542</v>
      </c>
      <c r="O13" s="33">
        <v>0.44444444444444442</v>
      </c>
      <c r="P13" s="33">
        <v>0.45</v>
      </c>
    </row>
    <row r="14" spans="1:17" x14ac:dyDescent="0.45">
      <c r="A14" s="35">
        <v>11</v>
      </c>
      <c r="B14" s="32">
        <v>-7.1054273576010019E-15</v>
      </c>
      <c r="C14" s="32">
        <v>-2.153159805333637E-16</v>
      </c>
      <c r="D14" s="37">
        <v>2</v>
      </c>
      <c r="E14" s="33">
        <v>0.33333333333333331</v>
      </c>
      <c r="F14" s="33">
        <v>0.33333333333333331</v>
      </c>
      <c r="G14" s="33">
        <v>0.29059829059829062</v>
      </c>
      <c r="H14" s="33">
        <v>0.1623931623931624</v>
      </c>
      <c r="I14" s="34">
        <v>8769.1176470588234</v>
      </c>
      <c r="J14" s="34">
        <v>-7563.1578947368425</v>
      </c>
      <c r="K14" s="33">
        <v>9.0909090909090912E-2</v>
      </c>
      <c r="L14" s="33">
        <v>0.29059829059829062</v>
      </c>
      <c r="M14" s="33">
        <v>0.14529914529914531</v>
      </c>
      <c r="N14" s="33">
        <v>0.51470588235294112</v>
      </c>
      <c r="O14" s="33">
        <v>0.44117647058823528</v>
      </c>
      <c r="P14" s="33">
        <v>0.44117647058823528</v>
      </c>
    </row>
    <row r="15" spans="1:17" x14ac:dyDescent="0.45">
      <c r="A15" s="35">
        <v>12</v>
      </c>
      <c r="B15" s="32">
        <v>-3.5527136788005009E-15</v>
      </c>
      <c r="C15" s="32">
        <v>-9.8686491077791687E-17</v>
      </c>
      <c r="D15" s="37">
        <v>2</v>
      </c>
      <c r="E15" s="33">
        <v>0.33333333333333331</v>
      </c>
      <c r="F15" s="33">
        <v>0.33333333333333331</v>
      </c>
      <c r="G15" s="33">
        <v>0.29213483146067415</v>
      </c>
      <c r="H15" s="33">
        <v>0.16104868913857678</v>
      </c>
      <c r="I15" s="34">
        <v>8967.9487179487187</v>
      </c>
      <c r="J15" s="34">
        <v>-7576.7441860465115</v>
      </c>
      <c r="K15" s="33">
        <v>8.3333333333333329E-2</v>
      </c>
      <c r="L15" s="33">
        <v>0.28464419475655428</v>
      </c>
      <c r="M15" s="33">
        <v>0.16479400749063669</v>
      </c>
      <c r="N15" s="33">
        <v>0.51315789473684215</v>
      </c>
      <c r="O15" s="33">
        <v>0.45454545454545453</v>
      </c>
      <c r="P15" s="33">
        <v>0.44871794871794873</v>
      </c>
    </row>
    <row r="16" spans="1:17" x14ac:dyDescent="0.45">
      <c r="A16" s="35">
        <v>13</v>
      </c>
      <c r="B16" s="32">
        <v>-3.5527136788005009E-15</v>
      </c>
      <c r="C16" s="32">
        <v>-9.1095222533346175E-17</v>
      </c>
      <c r="D16" s="37">
        <v>2</v>
      </c>
      <c r="E16" s="33">
        <v>0.33333333333333331</v>
      </c>
      <c r="F16" s="33">
        <v>0.33333333333333331</v>
      </c>
      <c r="G16" s="33">
        <v>0.29251700680272108</v>
      </c>
      <c r="H16" s="33">
        <v>0.16326530612244897</v>
      </c>
      <c r="I16" s="34">
        <v>8793.0232558139542</v>
      </c>
      <c r="J16" s="34">
        <v>-7591.666666666667</v>
      </c>
      <c r="K16" s="33">
        <v>7.6923076923076927E-2</v>
      </c>
      <c r="L16" s="33">
        <v>0.28231292517006801</v>
      </c>
      <c r="M16" s="33">
        <v>0.16666666666666666</v>
      </c>
      <c r="N16" s="33">
        <v>0.51807228915662651</v>
      </c>
      <c r="O16" s="33">
        <v>0.44897959183673469</v>
      </c>
      <c r="P16" s="33">
        <v>0.44186046511627908</v>
      </c>
    </row>
    <row r="17" spans="1:16" x14ac:dyDescent="0.45">
      <c r="A17" s="35">
        <v>14</v>
      </c>
      <c r="B17" s="32">
        <v>-1.7763568394002505E-15</v>
      </c>
      <c r="C17" s="32">
        <v>-4.2294210461910723E-17</v>
      </c>
      <c r="D17" s="37">
        <v>2</v>
      </c>
      <c r="E17" s="33">
        <v>0.33333333333333331</v>
      </c>
      <c r="F17" s="33">
        <v>0.33333333333333331</v>
      </c>
      <c r="G17" s="33">
        <v>0.29357798165137616</v>
      </c>
      <c r="H17" s="33">
        <v>0.1743119266055046</v>
      </c>
      <c r="I17" s="34">
        <v>8747.9166666666661</v>
      </c>
      <c r="J17" s="34">
        <v>-7649.1228070175439</v>
      </c>
      <c r="K17" s="33">
        <v>7.1428571428571425E-2</v>
      </c>
      <c r="L17" s="33">
        <v>0.27522935779816515</v>
      </c>
      <c r="M17" s="33">
        <v>0.17125382262996941</v>
      </c>
      <c r="N17" s="33">
        <v>0.5</v>
      </c>
      <c r="O17" s="33">
        <v>0.4642857142857143</v>
      </c>
      <c r="P17" s="33">
        <v>0.40625</v>
      </c>
    </row>
    <row r="18" spans="1:16" x14ac:dyDescent="0.45">
      <c r="A18" s="35">
        <v>15</v>
      </c>
      <c r="B18" s="32">
        <v>0</v>
      </c>
      <c r="C18" s="32">
        <v>0</v>
      </c>
      <c r="D18" s="37">
        <v>2</v>
      </c>
      <c r="E18" s="33">
        <v>0.33333333333333331</v>
      </c>
      <c r="F18" s="33">
        <v>0.33333333333333331</v>
      </c>
      <c r="G18" s="33">
        <v>0.29022988505747127</v>
      </c>
      <c r="H18" s="33">
        <v>0.16954022988505746</v>
      </c>
      <c r="I18" s="34">
        <v>9017.8217821782182</v>
      </c>
      <c r="J18" s="34">
        <v>-7445.7627118644068</v>
      </c>
      <c r="K18" s="33">
        <v>8.8888888888888892E-2</v>
      </c>
      <c r="L18" s="33">
        <v>0.27298850574712646</v>
      </c>
      <c r="M18" s="33">
        <v>0.18390804597701149</v>
      </c>
      <c r="N18" s="33">
        <v>0.48421052631578948</v>
      </c>
      <c r="O18" s="33">
        <v>0.4375</v>
      </c>
      <c r="P18" s="33">
        <v>0.41584158415841582</v>
      </c>
    </row>
    <row r="19" spans="1:16" x14ac:dyDescent="0.45">
      <c r="A19" s="35">
        <v>16</v>
      </c>
      <c r="B19" s="32">
        <v>-3.5527136788005009E-15</v>
      </c>
      <c r="C19" s="32">
        <v>-7.4014868308343765E-17</v>
      </c>
      <c r="D19" s="37">
        <v>2</v>
      </c>
      <c r="E19" s="33">
        <v>0.33333333333333331</v>
      </c>
      <c r="F19" s="33">
        <v>0.33333333333333331</v>
      </c>
      <c r="G19" s="33">
        <v>0.29365079365079366</v>
      </c>
      <c r="H19" s="33">
        <v>0.17195767195767195</v>
      </c>
      <c r="I19" s="34">
        <v>8755.8558558558561</v>
      </c>
      <c r="J19" s="34">
        <v>-7395.3846153846152</v>
      </c>
      <c r="K19" s="33">
        <v>8.3333333333333329E-2</v>
      </c>
      <c r="L19" s="33">
        <v>0.26455026455026454</v>
      </c>
      <c r="M19" s="33">
        <v>0.1984126984126984</v>
      </c>
      <c r="N19" s="33">
        <v>0.49</v>
      </c>
      <c r="O19" s="33">
        <v>0.42666666666666669</v>
      </c>
      <c r="P19" s="33">
        <v>0.4144144144144144</v>
      </c>
    </row>
    <row r="20" spans="1:16" x14ac:dyDescent="0.45">
      <c r="A20" s="35">
        <v>17</v>
      </c>
      <c r="B20" s="32">
        <v>3.5527136788005009E-15</v>
      </c>
      <c r="C20" s="32">
        <v>6.9661052525500017E-17</v>
      </c>
      <c r="D20" s="37">
        <v>2</v>
      </c>
      <c r="E20" s="33">
        <v>0.33333333333333331</v>
      </c>
      <c r="F20" s="33">
        <v>0.33333333333333331</v>
      </c>
      <c r="G20" s="33">
        <v>0.29292929292929293</v>
      </c>
      <c r="H20" s="33">
        <v>0.1691919191919192</v>
      </c>
      <c r="I20" s="34">
        <v>8734.4827586206902</v>
      </c>
      <c r="J20" s="34">
        <v>-7313.4328358208959</v>
      </c>
      <c r="K20" s="33">
        <v>7.8431372549019607E-2</v>
      </c>
      <c r="L20" s="33">
        <v>0.27272727272727271</v>
      </c>
      <c r="M20" s="33">
        <v>0.19696969696969696</v>
      </c>
      <c r="N20" s="33">
        <v>0.5</v>
      </c>
      <c r="O20" s="33">
        <v>0.41025641025641024</v>
      </c>
      <c r="P20" s="33">
        <v>0.42241379310344829</v>
      </c>
    </row>
    <row r="21" spans="1:16" x14ac:dyDescent="0.45">
      <c r="A21" s="35">
        <v>18</v>
      </c>
      <c r="B21" s="32">
        <v>0</v>
      </c>
      <c r="C21" s="32">
        <v>0</v>
      </c>
      <c r="D21" s="37">
        <v>2</v>
      </c>
      <c r="E21" s="33">
        <v>0.33333333333333331</v>
      </c>
      <c r="F21" s="33">
        <v>0.33333333333333331</v>
      </c>
      <c r="G21" s="33">
        <v>0.29523809523809524</v>
      </c>
      <c r="H21" s="33">
        <v>0.1738095238095238</v>
      </c>
      <c r="I21" s="34">
        <v>8703.2258064516136</v>
      </c>
      <c r="J21" s="34">
        <v>-7178.0821917808216</v>
      </c>
      <c r="K21" s="33">
        <v>7.407407407407407E-2</v>
      </c>
      <c r="L21" s="33">
        <v>0.26904761904761904</v>
      </c>
      <c r="M21" s="33">
        <v>0.19523809523809524</v>
      </c>
      <c r="N21" s="33">
        <v>0.51327433628318586</v>
      </c>
      <c r="O21" s="33">
        <v>0.40243902439024393</v>
      </c>
      <c r="P21" s="33">
        <v>0.41129032258064518</v>
      </c>
    </row>
    <row r="22" spans="1:16" x14ac:dyDescent="0.45">
      <c r="A22" s="35">
        <v>19</v>
      </c>
      <c r="B22" s="32">
        <v>0</v>
      </c>
      <c r="C22" s="32">
        <v>0</v>
      </c>
      <c r="D22" s="37">
        <v>2</v>
      </c>
      <c r="E22" s="33">
        <v>0.33333333333333331</v>
      </c>
      <c r="F22" s="33">
        <v>0.33333333333333331</v>
      </c>
      <c r="G22" s="33">
        <v>0.29452054794520549</v>
      </c>
      <c r="H22" s="33">
        <v>0.17123287671232876</v>
      </c>
      <c r="I22" s="34">
        <v>8683.7209302325573</v>
      </c>
      <c r="J22" s="34">
        <v>-7249.333333333333</v>
      </c>
      <c r="K22" s="33">
        <v>7.0175438596491224E-2</v>
      </c>
      <c r="L22" s="33">
        <v>0.26484018264840181</v>
      </c>
      <c r="M22" s="33">
        <v>0.20319634703196346</v>
      </c>
      <c r="N22" s="33">
        <v>0.50862068965517238</v>
      </c>
      <c r="O22" s="33">
        <v>0.39325842696629215</v>
      </c>
      <c r="P22" s="33">
        <v>0.41860465116279072</v>
      </c>
    </row>
    <row r="23" spans="1:16" x14ac:dyDescent="0.45">
      <c r="A23" s="35">
        <v>20</v>
      </c>
      <c r="B23" s="32">
        <v>7.1054273576010019E-15</v>
      </c>
      <c r="C23" s="32">
        <v>1.1842378929335003E-16</v>
      </c>
      <c r="D23" s="37">
        <v>2</v>
      </c>
      <c r="E23" s="33">
        <v>0.33333333333333331</v>
      </c>
      <c r="F23" s="33">
        <v>0.33333333333333331</v>
      </c>
      <c r="G23" s="33">
        <v>0.28874734607218683</v>
      </c>
      <c r="H23" s="33">
        <v>0.16985138004246284</v>
      </c>
      <c r="I23" s="34">
        <v>8652.2058823529405</v>
      </c>
      <c r="J23" s="34">
        <v>-7306.25</v>
      </c>
      <c r="K23" s="33">
        <v>6.6666666666666666E-2</v>
      </c>
      <c r="L23" s="33">
        <v>0.25265392781316348</v>
      </c>
      <c r="M23" s="33">
        <v>0.20169851380042464</v>
      </c>
      <c r="N23" s="33">
        <v>0.50420168067226889</v>
      </c>
      <c r="O23" s="33">
        <v>0.37894736842105264</v>
      </c>
      <c r="P23" s="33">
        <v>0.41176470588235292</v>
      </c>
    </row>
    <row r="24" spans="1:16" x14ac:dyDescent="0.45">
      <c r="A24" s="35">
        <v>21</v>
      </c>
      <c r="B24" s="32">
        <v>4.4408920985006262E-15</v>
      </c>
      <c r="C24" s="32">
        <v>7.0490350769851205E-17</v>
      </c>
      <c r="D24" s="37">
        <v>2</v>
      </c>
      <c r="E24" s="33">
        <v>0.33333333333333331</v>
      </c>
      <c r="F24" s="33">
        <v>0.33333333333333331</v>
      </c>
      <c r="G24" s="33">
        <v>0.29038854805725972</v>
      </c>
      <c r="H24" s="33">
        <v>0.16768916155419222</v>
      </c>
      <c r="I24" s="34">
        <v>8718.3098591549297</v>
      </c>
      <c r="J24" s="34">
        <v>-7518.292682926829</v>
      </c>
      <c r="K24" s="33">
        <v>6.3492063492063489E-2</v>
      </c>
      <c r="L24" s="33">
        <v>0.26175869120654399</v>
      </c>
      <c r="M24" s="33">
        <v>0.19836400817995911</v>
      </c>
      <c r="N24" s="33">
        <v>0.5078125</v>
      </c>
      <c r="O24" s="33">
        <v>0.37113402061855671</v>
      </c>
      <c r="P24" s="33">
        <v>0.42253521126760563</v>
      </c>
    </row>
    <row r="25" spans="1:16" x14ac:dyDescent="0.45">
      <c r="A25" s="35">
        <v>22</v>
      </c>
      <c r="B25" s="32">
        <v>7.1054273576010019E-15</v>
      </c>
      <c r="C25" s="32">
        <v>1.0765799026668185E-16</v>
      </c>
      <c r="D25" s="37">
        <v>2</v>
      </c>
      <c r="E25" s="33">
        <v>0.33333333333333331</v>
      </c>
      <c r="F25" s="33">
        <v>0.33333333333333331</v>
      </c>
      <c r="G25" s="33">
        <v>0.28994082840236685</v>
      </c>
      <c r="H25" s="33">
        <v>0.16962524654832348</v>
      </c>
      <c r="I25" s="34">
        <v>8858.5034013605436</v>
      </c>
      <c r="J25" s="34">
        <v>-7543.0232558139533</v>
      </c>
      <c r="K25" s="33">
        <v>7.575757575757576E-2</v>
      </c>
      <c r="L25" s="33">
        <v>0.26429980276134124</v>
      </c>
      <c r="M25" s="33">
        <v>0.19723865877712032</v>
      </c>
      <c r="N25" s="33">
        <v>0.5149253731343284</v>
      </c>
      <c r="O25" s="33">
        <v>0.37</v>
      </c>
      <c r="P25" s="33">
        <v>0.41496598639455784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620</vt:i4>
      </vt:variant>
    </vt:vector>
  </HeadingPairs>
  <TitlesOfParts>
    <vt:vector size="658" baseType="lpstr">
      <vt:lpstr>Cache</vt:lpstr>
      <vt:lpstr>Template2</vt:lpstr>
      <vt:lpstr>Players</vt:lpstr>
      <vt:lpstr>Template1</vt:lpstr>
      <vt:lpstr>ランキング</vt:lpstr>
      <vt:lpstr>全体</vt:lpstr>
      <vt:lpstr>れんたろう</vt:lpstr>
      <vt:lpstr>ともき</vt:lpstr>
      <vt:lpstr>だいち</vt:lpstr>
      <vt:lpstr>りくと</vt:lpstr>
      <vt:lpstr>まっつん</vt:lpstr>
      <vt:lpstr>たかの</vt:lpstr>
      <vt:lpstr>のり</vt:lpstr>
      <vt:lpstr>ただ</vt:lpstr>
      <vt:lpstr>ただ2</vt:lpstr>
      <vt:lpstr>のり2</vt:lpstr>
      <vt:lpstr>たかの2</vt:lpstr>
      <vt:lpstr>まっつん2</vt:lpstr>
      <vt:lpstr>りくと2</vt:lpstr>
      <vt:lpstr>だいち2</vt:lpstr>
      <vt:lpstr>ともき2</vt:lpstr>
      <vt:lpstr>れんたろう2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だいち!アガリ数</vt:lpstr>
      <vt:lpstr>たかの!アガリ数</vt:lpstr>
      <vt:lpstr>ただ!アガリ数</vt:lpstr>
      <vt:lpstr>ともき!アガリ数</vt:lpstr>
      <vt:lpstr>のり!アガリ数</vt:lpstr>
      <vt:lpstr>まっつん!アガリ数</vt:lpstr>
      <vt:lpstr>りくと!アガリ数</vt:lpstr>
      <vt:lpstr>れんたろう!アガリ数</vt:lpstr>
      <vt:lpstr>全体!アガリ数</vt:lpstr>
      <vt:lpstr>Template1!アガリ率</vt:lpstr>
      <vt:lpstr>だいち!アガリ率</vt:lpstr>
      <vt:lpstr>たかの!アガリ率</vt:lpstr>
      <vt:lpstr>ただ!アガリ率</vt:lpstr>
      <vt:lpstr>ともき!アガリ率</vt:lpstr>
      <vt:lpstr>のり!アガリ率</vt:lpstr>
      <vt:lpstr>まっつん!アガリ率</vt:lpstr>
      <vt:lpstr>りくと!アガリ率</vt:lpstr>
      <vt:lpstr>れんたろう!アガリ率</vt:lpstr>
      <vt:lpstr>全体!アガリ率</vt:lpstr>
      <vt:lpstr>Template1!ダマアガリ数</vt:lpstr>
      <vt:lpstr>だいち!ダマアガリ数</vt:lpstr>
      <vt:lpstr>たかの!ダマアガリ数</vt:lpstr>
      <vt:lpstr>ただ!ダマアガリ数</vt:lpstr>
      <vt:lpstr>ともき!ダマアガリ数</vt:lpstr>
      <vt:lpstr>のり!ダマアガリ数</vt:lpstr>
      <vt:lpstr>まっつん!ダマアガリ数</vt:lpstr>
      <vt:lpstr>りくと!ダマアガリ数</vt:lpstr>
      <vt:lpstr>れんたろう!ダマアガリ数</vt:lpstr>
      <vt:lpstr>全体!ダマアガリ数</vt:lpstr>
      <vt:lpstr>Template1!ダマアガリ率</vt:lpstr>
      <vt:lpstr>だいち!ダマアガリ率</vt:lpstr>
      <vt:lpstr>たかの!ダマアガリ率</vt:lpstr>
      <vt:lpstr>ただ!ダマアガリ率</vt:lpstr>
      <vt:lpstr>ともき!ダマアガリ率</vt:lpstr>
      <vt:lpstr>のり!ダマアガリ率</vt:lpstr>
      <vt:lpstr>まっつん!ダマアガリ率</vt:lpstr>
      <vt:lpstr>りくと!ダマアガリ率</vt:lpstr>
      <vt:lpstr>れんたろう!ダマアガリ率</vt:lpstr>
      <vt:lpstr>全体!ダマアガリ率</vt:lpstr>
      <vt:lpstr>Template1!チョンボ数</vt:lpstr>
      <vt:lpstr>だいち!チョンボ数</vt:lpstr>
      <vt:lpstr>たかの!チョンボ数</vt:lpstr>
      <vt:lpstr>ただ!チョンボ数</vt:lpstr>
      <vt:lpstr>ともき!チョンボ数</vt:lpstr>
      <vt:lpstr>のり!チョンボ数</vt:lpstr>
      <vt:lpstr>まっつん!チョンボ数</vt:lpstr>
      <vt:lpstr>りくと!チョンボ数</vt:lpstr>
      <vt:lpstr>れんたろう!チョンボ数</vt:lpstr>
      <vt:lpstr>全体!チョンボ数</vt:lpstr>
      <vt:lpstr>Template1!チョンボ率</vt:lpstr>
      <vt:lpstr>だいち!チョンボ率</vt:lpstr>
      <vt:lpstr>たかの!チョンボ率</vt:lpstr>
      <vt:lpstr>ただ!チョンボ率</vt:lpstr>
      <vt:lpstr>ともき!チョンボ率</vt:lpstr>
      <vt:lpstr>のり!チョンボ率</vt:lpstr>
      <vt:lpstr>まっつん!チョンボ率</vt:lpstr>
      <vt:lpstr>りくと!チョンボ率</vt:lpstr>
      <vt:lpstr>れんたろう!チョンボ率</vt:lpstr>
      <vt:lpstr>全体!チョンボ率</vt:lpstr>
      <vt:lpstr>Template1!ツモ数</vt:lpstr>
      <vt:lpstr>だいち!ツモ数</vt:lpstr>
      <vt:lpstr>たかの!ツモ数</vt:lpstr>
      <vt:lpstr>ただ!ツモ数</vt:lpstr>
      <vt:lpstr>ともき!ツモ数</vt:lpstr>
      <vt:lpstr>のり!ツモ数</vt:lpstr>
      <vt:lpstr>まっつん!ツモ数</vt:lpstr>
      <vt:lpstr>りくと!ツモ数</vt:lpstr>
      <vt:lpstr>れんたろう!ツモ数</vt:lpstr>
      <vt:lpstr>全体!ツモ数</vt:lpstr>
      <vt:lpstr>Template1!ツモ率</vt:lpstr>
      <vt:lpstr>だいち!ツモ率</vt:lpstr>
      <vt:lpstr>たかの!ツモ率</vt:lpstr>
      <vt:lpstr>ただ!ツモ率</vt:lpstr>
      <vt:lpstr>ともき!ツモ率</vt:lpstr>
      <vt:lpstr>のり!ツモ率</vt:lpstr>
      <vt:lpstr>まっつん!ツモ率</vt:lpstr>
      <vt:lpstr>りくと!ツモ率</vt:lpstr>
      <vt:lpstr>れんたろう!ツモ率</vt:lpstr>
      <vt:lpstr>全体!ツモ率</vt:lpstr>
      <vt:lpstr>Template1!トップ数</vt:lpstr>
      <vt:lpstr>だいち!トップ数</vt:lpstr>
      <vt:lpstr>たかの!トップ数</vt:lpstr>
      <vt:lpstr>ただ!トップ数</vt:lpstr>
      <vt:lpstr>ともき!トップ数</vt:lpstr>
      <vt:lpstr>のり!トップ数</vt:lpstr>
      <vt:lpstr>まっつん!トップ数</vt:lpstr>
      <vt:lpstr>りくと!トップ数</vt:lpstr>
      <vt:lpstr>れんたろう!トップ数</vt:lpstr>
      <vt:lpstr>全体!トップ数</vt:lpstr>
      <vt:lpstr>Template1!トップ率</vt:lpstr>
      <vt:lpstr>だいち!トップ率</vt:lpstr>
      <vt:lpstr>たかの!トップ率</vt:lpstr>
      <vt:lpstr>ただ!トップ率</vt:lpstr>
      <vt:lpstr>ともき!トップ率</vt:lpstr>
      <vt:lpstr>のり!トップ率</vt:lpstr>
      <vt:lpstr>まっつん!トップ率</vt:lpstr>
      <vt:lpstr>りくと!トップ率</vt:lpstr>
      <vt:lpstr>れんたろう!トップ率</vt:lpstr>
      <vt:lpstr>全体!トップ率</vt:lpstr>
      <vt:lpstr>だいち!バランス</vt:lpstr>
      <vt:lpstr>たかの!バランス</vt:lpstr>
      <vt:lpstr>ただ!バランス</vt:lpstr>
      <vt:lpstr>ともき!バランス</vt:lpstr>
      <vt:lpstr>のり!バランス</vt:lpstr>
      <vt:lpstr>まっつん!バランス</vt:lpstr>
      <vt:lpstr>りくと!バランス</vt:lpstr>
      <vt:lpstr>れんたろう!バランス</vt:lpstr>
      <vt:lpstr>全体!バランス</vt:lpstr>
      <vt:lpstr>バランス</vt:lpstr>
      <vt:lpstr>Template1!ふっとび数</vt:lpstr>
      <vt:lpstr>だいち!ふっとび数</vt:lpstr>
      <vt:lpstr>たかの!ふっとび数</vt:lpstr>
      <vt:lpstr>ただ!ふっとび数</vt:lpstr>
      <vt:lpstr>ともき!ふっとび数</vt:lpstr>
      <vt:lpstr>のり!ふっとび数</vt:lpstr>
      <vt:lpstr>まっつん!ふっとび数</vt:lpstr>
      <vt:lpstr>りくと!ふっとび数</vt:lpstr>
      <vt:lpstr>れんたろう!ふっとび数</vt:lpstr>
      <vt:lpstr>全体!ふっとび数</vt:lpstr>
      <vt:lpstr>Template1!ふっとび率</vt:lpstr>
      <vt:lpstr>だいち!ふっとび率</vt:lpstr>
      <vt:lpstr>たかの!ふっとび率</vt:lpstr>
      <vt:lpstr>ただ!ふっとび率</vt:lpstr>
      <vt:lpstr>ともき!ふっとび率</vt:lpstr>
      <vt:lpstr>のり!ふっとび率</vt:lpstr>
      <vt:lpstr>まっつん!ふっとび率</vt:lpstr>
      <vt:lpstr>りくと!ふっとび率</vt:lpstr>
      <vt:lpstr>れんたろう!ふっとび率</vt:lpstr>
      <vt:lpstr>全体!ふっとび率</vt:lpstr>
      <vt:lpstr>Template1!ラス数</vt:lpstr>
      <vt:lpstr>だいち!ラス数</vt:lpstr>
      <vt:lpstr>たかの!ラス数</vt:lpstr>
      <vt:lpstr>ただ!ラス数</vt:lpstr>
      <vt:lpstr>ともき!ラス数</vt:lpstr>
      <vt:lpstr>のり!ラス数</vt:lpstr>
      <vt:lpstr>まっつん!ラス数</vt:lpstr>
      <vt:lpstr>りくと!ラス数</vt:lpstr>
      <vt:lpstr>れんたろう!ラス数</vt:lpstr>
      <vt:lpstr>全体!ラス数</vt:lpstr>
      <vt:lpstr>Template1!ラス率</vt:lpstr>
      <vt:lpstr>だいち!ラス率</vt:lpstr>
      <vt:lpstr>たかの!ラス率</vt:lpstr>
      <vt:lpstr>ただ!ラス率</vt:lpstr>
      <vt:lpstr>ともき!ラス率</vt:lpstr>
      <vt:lpstr>のり!ラス率</vt:lpstr>
      <vt:lpstr>まっつん!ラス率</vt:lpstr>
      <vt:lpstr>りくと!ラス率</vt:lpstr>
      <vt:lpstr>れんたろう!ラス率</vt:lpstr>
      <vt:lpstr>全体!ラス率</vt:lpstr>
      <vt:lpstr>Template1!リーチアガリ数</vt:lpstr>
      <vt:lpstr>だいち!リーチアガリ数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まっつん!リーチアガリ数</vt:lpstr>
      <vt:lpstr>りくと!リーチアガリ数</vt:lpstr>
      <vt:lpstr>れんたろう!リーチアガリ数</vt:lpstr>
      <vt:lpstr>全体!リーチアガリ数</vt:lpstr>
      <vt:lpstr>Template1!リーチアガリ率</vt:lpstr>
      <vt:lpstr>だいち!リーチアガリ率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まっつん!リーチアガリ率</vt:lpstr>
      <vt:lpstr>りくと!リーチアガリ率</vt:lpstr>
      <vt:lpstr>れんたろう!リーチアガリ率</vt:lpstr>
      <vt:lpstr>全体!リーチアガリ率</vt:lpstr>
      <vt:lpstr>Template1!リーチ数</vt:lpstr>
      <vt:lpstr>だいち!リーチ数</vt:lpstr>
      <vt:lpstr>たかの!リーチ数</vt:lpstr>
      <vt:lpstr>ただ!リーチ数</vt:lpstr>
      <vt:lpstr>ともき!リーチ数</vt:lpstr>
      <vt:lpstr>のり!リーチ数</vt:lpstr>
      <vt:lpstr>まっつん!リーチ数</vt:lpstr>
      <vt:lpstr>りくと!リーチ数</vt:lpstr>
      <vt:lpstr>れんたろう!リーチ数</vt:lpstr>
      <vt:lpstr>全体!リーチ数</vt:lpstr>
      <vt:lpstr>Template1!リーチ成功数</vt:lpstr>
      <vt:lpstr>だいち!リーチ成功数</vt:lpstr>
      <vt:lpstr>たかの!リーチ成功数</vt:lpstr>
      <vt:lpstr>ただ!リーチ成功数</vt:lpstr>
      <vt:lpstr>ともき!リーチ成功数</vt:lpstr>
      <vt:lpstr>のり!リーチ成功数</vt:lpstr>
      <vt:lpstr>まっつん!リーチ成功数</vt:lpstr>
      <vt:lpstr>りくと!リーチ成功数</vt:lpstr>
      <vt:lpstr>れんたろう!リーチ成功数</vt:lpstr>
      <vt:lpstr>全体!リーチ成功数</vt:lpstr>
      <vt:lpstr>Template1!リーチ成功率</vt:lpstr>
      <vt:lpstr>だいち!リーチ成功率</vt:lpstr>
      <vt:lpstr>たかの!リーチ成功率</vt:lpstr>
      <vt:lpstr>ただ!リーチ成功率</vt:lpstr>
      <vt:lpstr>ともき!リーチ成功率</vt:lpstr>
      <vt:lpstr>のり!リーチ成功率</vt:lpstr>
      <vt:lpstr>まっつん!リーチ成功率</vt:lpstr>
      <vt:lpstr>りくと!リーチ成功率</vt:lpstr>
      <vt:lpstr>れんたろう!リーチ成功率</vt:lpstr>
      <vt:lpstr>全体!リーチ成功率</vt:lpstr>
      <vt:lpstr>Template1!リーチ率</vt:lpstr>
      <vt:lpstr>だいち!リーチ率</vt:lpstr>
      <vt:lpstr>たかの!リーチ率</vt:lpstr>
      <vt:lpstr>ただ!リーチ率</vt:lpstr>
      <vt:lpstr>ともき!リーチ率</vt:lpstr>
      <vt:lpstr>のり!リーチ率</vt:lpstr>
      <vt:lpstr>まっつん!リーチ率</vt:lpstr>
      <vt:lpstr>りくと!リーチ率</vt:lpstr>
      <vt:lpstr>れんたろう!リーチ率</vt:lpstr>
      <vt:lpstr>全体!リーチ率</vt:lpstr>
      <vt:lpstr>Template1!ロン数</vt:lpstr>
      <vt:lpstr>だいち!ロン数</vt:lpstr>
      <vt:lpstr>たかの!ロン数</vt:lpstr>
      <vt:lpstr>ただ!ロン数</vt:lpstr>
      <vt:lpstr>ともき!ロン数</vt:lpstr>
      <vt:lpstr>のり!ロン数</vt:lpstr>
      <vt:lpstr>まっつん!ロン数</vt:lpstr>
      <vt:lpstr>りくと!ロン数</vt:lpstr>
      <vt:lpstr>れんたろう!ロン数</vt:lpstr>
      <vt:lpstr>全体!ロン数</vt:lpstr>
      <vt:lpstr>Template1!ロン率</vt:lpstr>
      <vt:lpstr>だいち!ロン率</vt:lpstr>
      <vt:lpstr>たかの!ロン率</vt:lpstr>
      <vt:lpstr>ただ!ロン率</vt:lpstr>
      <vt:lpstr>ともき!ロン率</vt:lpstr>
      <vt:lpstr>のり!ロン率</vt:lpstr>
      <vt:lpstr>まっつん!ロン率</vt:lpstr>
      <vt:lpstr>りくと!ロン率</vt:lpstr>
      <vt:lpstr>れんたろう!ロン率</vt:lpstr>
      <vt:lpstr>全体!ロン率</vt:lpstr>
      <vt:lpstr>だいち!一位スコア</vt:lpstr>
      <vt:lpstr>たかの!一位スコア</vt:lpstr>
      <vt:lpstr>ただ!一位スコア</vt:lpstr>
      <vt:lpstr>ともき!一位スコア</vt:lpstr>
      <vt:lpstr>のり!一位スコア</vt:lpstr>
      <vt:lpstr>まっつん!一位スコア</vt:lpstr>
      <vt:lpstr>りくと!一位スコア</vt:lpstr>
      <vt:lpstr>れんたろう!一位スコア</vt:lpstr>
      <vt:lpstr>全体!一位スコア</vt:lpstr>
      <vt:lpstr>一位スコア</vt:lpstr>
      <vt:lpstr>だいち!一位通算スコア</vt:lpstr>
      <vt:lpstr>たかの!一位通算スコア</vt:lpstr>
      <vt:lpstr>ただ!一位通算スコア</vt:lpstr>
      <vt:lpstr>ともき!一位通算スコア</vt:lpstr>
      <vt:lpstr>のり!一位通算スコア</vt:lpstr>
      <vt:lpstr>まっつん!一位通算スコア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だいち!一翻数</vt:lpstr>
      <vt:lpstr>たかの!一翻数</vt:lpstr>
      <vt:lpstr>ただ!一翻数</vt:lpstr>
      <vt:lpstr>ともき!一翻数</vt:lpstr>
      <vt:lpstr>のり!一翻数</vt:lpstr>
      <vt:lpstr>まっつん!一翻数</vt:lpstr>
      <vt:lpstr>りくと!一翻数</vt:lpstr>
      <vt:lpstr>れんたろう!一翻数</vt:lpstr>
      <vt:lpstr>全体!一翻数</vt:lpstr>
      <vt:lpstr>一翻数</vt:lpstr>
      <vt:lpstr>だいち!一翻率</vt:lpstr>
      <vt:lpstr>たかの!一翻率</vt:lpstr>
      <vt:lpstr>ただ!一翻率</vt:lpstr>
      <vt:lpstr>ともき!一翻率</vt:lpstr>
      <vt:lpstr>のり!一翻率</vt:lpstr>
      <vt:lpstr>まっつん!一翻率</vt:lpstr>
      <vt:lpstr>りくと!一翻率</vt:lpstr>
      <vt:lpstr>れんたろう!一翻率</vt:lpstr>
      <vt:lpstr>全体!一翻率</vt:lpstr>
      <vt:lpstr>一翻率</vt:lpstr>
      <vt:lpstr>Template1!現行連続アガリ</vt:lpstr>
      <vt:lpstr>だいち!現行連続アガリ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まっつん!現行連続アガリ</vt:lpstr>
      <vt:lpstr>りくと!現行連続アガリ</vt:lpstr>
      <vt:lpstr>れんたろう!現行連続アガリ</vt:lpstr>
      <vt:lpstr>全体!現行連続アガリ</vt:lpstr>
      <vt:lpstr>Template1!現行連続無放銃</vt:lpstr>
      <vt:lpstr>だいち!現行連続無放銃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まっつん!現行連続無放銃</vt:lpstr>
      <vt:lpstr>りくと!現行連続無放銃</vt:lpstr>
      <vt:lpstr>れんたろう!現行連続無放銃</vt:lpstr>
      <vt:lpstr>全体!現行連続無放銃</vt:lpstr>
      <vt:lpstr>Template1!最高点</vt:lpstr>
      <vt:lpstr>だいち!最高点</vt:lpstr>
      <vt:lpstr>たかの!最高点</vt:lpstr>
      <vt:lpstr>ただ!最高点</vt:lpstr>
      <vt:lpstr>ともき!最高点</vt:lpstr>
      <vt:lpstr>のり!最高点</vt:lpstr>
      <vt:lpstr>まっつん!最高点</vt:lpstr>
      <vt:lpstr>りくと!最高点</vt:lpstr>
      <vt:lpstr>れんたろう!最高点</vt:lpstr>
      <vt:lpstr>全体!最高点</vt:lpstr>
      <vt:lpstr>Template1!最大ドラ数</vt:lpstr>
      <vt:lpstr>だいち!最大ドラ数</vt:lpstr>
      <vt:lpstr>たかの!最大ドラ数</vt:lpstr>
      <vt:lpstr>ただ!最大ドラ数</vt:lpstr>
      <vt:lpstr>ともき!最大ドラ数</vt:lpstr>
      <vt:lpstr>のり!最大ドラ数</vt:lpstr>
      <vt:lpstr>まっつん!最大ドラ数</vt:lpstr>
      <vt:lpstr>りくと!最大ドラ数</vt:lpstr>
      <vt:lpstr>れんたろう!最大ドラ数</vt:lpstr>
      <vt:lpstr>全体!最大ドラ数</vt:lpstr>
      <vt:lpstr>Template1!最大点数</vt:lpstr>
      <vt:lpstr>だいち!最大点数</vt:lpstr>
      <vt:lpstr>たかの!最大点数</vt:lpstr>
      <vt:lpstr>ただ!最大点数</vt:lpstr>
      <vt:lpstr>ともき!最大点数</vt:lpstr>
      <vt:lpstr>のり!最大点数</vt:lpstr>
      <vt:lpstr>まっつん!最大点数</vt:lpstr>
      <vt:lpstr>りくと!最大点数</vt:lpstr>
      <vt:lpstr>れんたろう!最大点数</vt:lpstr>
      <vt:lpstr>全体!最大点数</vt:lpstr>
      <vt:lpstr>だいち!三位スコア</vt:lpstr>
      <vt:lpstr>たかの!三位スコア</vt:lpstr>
      <vt:lpstr>ただ!三位スコア</vt:lpstr>
      <vt:lpstr>ともき!三位スコア</vt:lpstr>
      <vt:lpstr>のり!三位スコア</vt:lpstr>
      <vt:lpstr>まっつん!三位スコア</vt:lpstr>
      <vt:lpstr>りくと!三位スコア</vt:lpstr>
      <vt:lpstr>れんたろう!三位スコア</vt:lpstr>
      <vt:lpstr>全体!三位スコア</vt:lpstr>
      <vt:lpstr>三位スコア</vt:lpstr>
      <vt:lpstr>だいち!三位通算スコア</vt:lpstr>
      <vt:lpstr>たかの!三位通算スコア</vt:lpstr>
      <vt:lpstr>ただ!三位通算スコア</vt:lpstr>
      <vt:lpstr>ともき!三位通算スコア</vt:lpstr>
      <vt:lpstr>のり!三位通算スコア</vt:lpstr>
      <vt:lpstr>まっつん!三位通算スコア</vt:lpstr>
      <vt:lpstr>りくと!三位通算スコア</vt:lpstr>
      <vt:lpstr>れんたろう!三位通算スコア</vt:lpstr>
      <vt:lpstr>全体!三位通算スコア</vt:lpstr>
      <vt:lpstr>三位通算スコア</vt:lpstr>
      <vt:lpstr>Template1!総局数</vt:lpstr>
      <vt:lpstr>だいち!総局数</vt:lpstr>
      <vt:lpstr>たかの!総局数</vt:lpstr>
      <vt:lpstr>ただ!総局数</vt:lpstr>
      <vt:lpstr>ともき!総局数</vt:lpstr>
      <vt:lpstr>のり!総局数</vt:lpstr>
      <vt:lpstr>まっつん!総局数</vt:lpstr>
      <vt:lpstr>りくと!総局数</vt:lpstr>
      <vt:lpstr>れんたろう!総局数</vt:lpstr>
      <vt:lpstr>全体!総局数</vt:lpstr>
      <vt:lpstr>Template1!対戦数</vt:lpstr>
      <vt:lpstr>だいち!対戦数</vt:lpstr>
      <vt:lpstr>たかの!対戦数</vt:lpstr>
      <vt:lpstr>ただ!対戦数</vt:lpstr>
      <vt:lpstr>ともき!対戦数</vt:lpstr>
      <vt:lpstr>のり!対戦数</vt:lpstr>
      <vt:lpstr>まっつん!対戦数</vt:lpstr>
      <vt:lpstr>りくと!対戦数</vt:lpstr>
      <vt:lpstr>れんたろう!対戦数</vt:lpstr>
      <vt:lpstr>全体!対戦数</vt:lpstr>
      <vt:lpstr>Template1!通算アガリ点</vt:lpstr>
      <vt:lpstr>だいち!通算アガリ点</vt:lpstr>
      <vt:lpstr>たかの!通算アガリ点</vt:lpstr>
      <vt:lpstr>ただ!通算アガリ点</vt:lpstr>
      <vt:lpstr>ともき!通算アガリ点</vt:lpstr>
      <vt:lpstr>のり!通算アガリ点</vt:lpstr>
      <vt:lpstr>まっつん!通算アガリ点</vt:lpstr>
      <vt:lpstr>りくと!通算アガリ点</vt:lpstr>
      <vt:lpstr>れんたろう!通算アガリ点</vt:lpstr>
      <vt:lpstr>全体!通算アガリ点</vt:lpstr>
      <vt:lpstr>Template1!通算スコア</vt:lpstr>
      <vt:lpstr>だいち!通算スコア</vt:lpstr>
      <vt:lpstr>たかの!通算スコア</vt:lpstr>
      <vt:lpstr>ただ!通算スコア</vt:lpstr>
      <vt:lpstr>ともき!通算スコア</vt:lpstr>
      <vt:lpstr>のり!通算スコア</vt:lpstr>
      <vt:lpstr>まっつん!通算スコア</vt:lpstr>
      <vt:lpstr>りくと!通算スコア</vt:lpstr>
      <vt:lpstr>れんたろう!通算スコア</vt:lpstr>
      <vt:lpstr>全体!通算スコア</vt:lpstr>
      <vt:lpstr>Template1!通算副露アガリ点</vt:lpstr>
      <vt:lpstr>だいち!通算副露アガリ点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まっつん!通算副露アガリ点</vt:lpstr>
      <vt:lpstr>りくと!通算副露アガリ点</vt:lpstr>
      <vt:lpstr>れんたろう!通算副露アガリ点</vt:lpstr>
      <vt:lpstr>全体!通算副露アガリ点</vt:lpstr>
      <vt:lpstr>Template1!通算放銃点</vt:lpstr>
      <vt:lpstr>だいち!通算放銃点</vt:lpstr>
      <vt:lpstr>たかの!通算放銃点</vt:lpstr>
      <vt:lpstr>ただ!通算放銃点</vt:lpstr>
      <vt:lpstr>ともき!通算放銃点</vt:lpstr>
      <vt:lpstr>のり!通算放銃点</vt:lpstr>
      <vt:lpstr>まっつん!通算放銃点</vt:lpstr>
      <vt:lpstr>りくと!通算放銃点</vt:lpstr>
      <vt:lpstr>れんたろう!通算放銃点</vt:lpstr>
      <vt:lpstr>全体!通算放銃点</vt:lpstr>
      <vt:lpstr>Template1!通算門前アガリ点</vt:lpstr>
      <vt:lpstr>だいち!通算門前アガリ点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まっつん!通算門前アガリ点</vt:lpstr>
      <vt:lpstr>りくと!通算門前アガリ点</vt:lpstr>
      <vt:lpstr>れんたろう!通算門前アガリ点</vt:lpstr>
      <vt:lpstr>全体!通算門前アガリ点</vt:lpstr>
      <vt:lpstr>だいち!二位スコア</vt:lpstr>
      <vt:lpstr>たかの!二位スコア</vt:lpstr>
      <vt:lpstr>ただ!二位スコア</vt:lpstr>
      <vt:lpstr>ともき!二位スコア</vt:lpstr>
      <vt:lpstr>のり!二位スコア</vt:lpstr>
      <vt:lpstr>まっつん!二位スコア</vt:lpstr>
      <vt:lpstr>りくと!二位スコア</vt:lpstr>
      <vt:lpstr>れんたろう!二位スコア</vt:lpstr>
      <vt:lpstr>全体!二位スコア</vt:lpstr>
      <vt:lpstr>二位スコア</vt:lpstr>
      <vt:lpstr>Template1!二位数</vt:lpstr>
      <vt:lpstr>だいち!二位数</vt:lpstr>
      <vt:lpstr>たかの!二位数</vt:lpstr>
      <vt:lpstr>ただ!二位数</vt:lpstr>
      <vt:lpstr>ともき!二位数</vt:lpstr>
      <vt:lpstr>のり!二位数</vt:lpstr>
      <vt:lpstr>まっつん!二位数</vt:lpstr>
      <vt:lpstr>りくと!二位数</vt:lpstr>
      <vt:lpstr>れんたろう!二位数</vt:lpstr>
      <vt:lpstr>全体!二位数</vt:lpstr>
      <vt:lpstr>だいち!二位通算スコア</vt:lpstr>
      <vt:lpstr>たかの!二位通算スコア</vt:lpstr>
      <vt:lpstr>ただ!二位通算スコア</vt:lpstr>
      <vt:lpstr>ともき!二位通算スコア</vt:lpstr>
      <vt:lpstr>のり!二位通算スコア</vt:lpstr>
      <vt:lpstr>まっつん!二位通算スコア</vt:lpstr>
      <vt:lpstr>りくと!二位通算スコア</vt:lpstr>
      <vt:lpstr>れんたろう!二位通算スコア</vt:lpstr>
      <vt:lpstr>全体!二位通算スコア</vt:lpstr>
      <vt:lpstr>二位通算スコア</vt:lpstr>
      <vt:lpstr>Template1!二位率</vt:lpstr>
      <vt:lpstr>だいち!二位率</vt:lpstr>
      <vt:lpstr>たかの!二位率</vt:lpstr>
      <vt:lpstr>ただ!二位率</vt:lpstr>
      <vt:lpstr>ともき!二位率</vt:lpstr>
      <vt:lpstr>のり!二位率</vt:lpstr>
      <vt:lpstr>まっつん!二位率</vt:lpstr>
      <vt:lpstr>りくと!二位率</vt:lpstr>
      <vt:lpstr>れんたろう!二位率</vt:lpstr>
      <vt:lpstr>全体!二位率</vt:lpstr>
      <vt:lpstr>Template1!副露アガリ数</vt:lpstr>
      <vt:lpstr>だいち!副露アガリ数</vt:lpstr>
      <vt:lpstr>たかの!副露アガリ数</vt:lpstr>
      <vt:lpstr>ただ!副露アガリ数</vt:lpstr>
      <vt:lpstr>ともき!副露アガリ数</vt:lpstr>
      <vt:lpstr>のり!副露アガリ数</vt:lpstr>
      <vt:lpstr>まっつん!副露アガリ数</vt:lpstr>
      <vt:lpstr>りくと!副露アガリ数</vt:lpstr>
      <vt:lpstr>れんたろう!副露アガリ数</vt:lpstr>
      <vt:lpstr>全体!副露アガリ数</vt:lpstr>
      <vt:lpstr>Template1!副露アガリ点</vt:lpstr>
      <vt:lpstr>だいち!副露アガリ点</vt:lpstr>
      <vt:lpstr>たかの!副露アガリ点</vt:lpstr>
      <vt:lpstr>ただ!副露アガリ点</vt:lpstr>
      <vt:lpstr>ともき!副露アガリ点</vt:lpstr>
      <vt:lpstr>のり!副露アガリ点</vt:lpstr>
      <vt:lpstr>まっつん!副露アガリ点</vt:lpstr>
      <vt:lpstr>りくと!副露アガリ点</vt:lpstr>
      <vt:lpstr>れんたろう!副露アガリ点</vt:lpstr>
      <vt:lpstr>全体!副露アガリ点</vt:lpstr>
      <vt:lpstr>Template1!副露アガリ率</vt:lpstr>
      <vt:lpstr>だいち!副露アガリ率</vt:lpstr>
      <vt:lpstr>たかの!副露アガリ率</vt:lpstr>
      <vt:lpstr>ただ!副露アガリ率</vt:lpstr>
      <vt:lpstr>ともき!副露アガリ率</vt:lpstr>
      <vt:lpstr>のり!副露アガリ率</vt:lpstr>
      <vt:lpstr>まっつん!副露アガリ率</vt:lpstr>
      <vt:lpstr>りくと!副露アガリ率</vt:lpstr>
      <vt:lpstr>れんたろう!副露アガリ率</vt:lpstr>
      <vt:lpstr>全体!副露アガリ率</vt:lpstr>
      <vt:lpstr>Template1!副露数</vt:lpstr>
      <vt:lpstr>だいち!副露数</vt:lpstr>
      <vt:lpstr>たかの!副露数</vt:lpstr>
      <vt:lpstr>ただ!副露数</vt:lpstr>
      <vt:lpstr>ともき!副露数</vt:lpstr>
      <vt:lpstr>のり!副露数</vt:lpstr>
      <vt:lpstr>まっつん!副露数</vt:lpstr>
      <vt:lpstr>りくと!副露数</vt:lpstr>
      <vt:lpstr>れんたろう!副露数</vt:lpstr>
      <vt:lpstr>全体!副露数</vt:lpstr>
      <vt:lpstr>Template1!副露成功数</vt:lpstr>
      <vt:lpstr>だいち!副露成功数</vt:lpstr>
      <vt:lpstr>たかの!副露成功数</vt:lpstr>
      <vt:lpstr>ただ!副露成功数</vt:lpstr>
      <vt:lpstr>ともき!副露成功数</vt:lpstr>
      <vt:lpstr>のり!副露成功数</vt:lpstr>
      <vt:lpstr>まっつん!副露成功数</vt:lpstr>
      <vt:lpstr>りくと!副露成功数</vt:lpstr>
      <vt:lpstr>れんたろう!副露成功数</vt:lpstr>
      <vt:lpstr>全体!副露成功数</vt:lpstr>
      <vt:lpstr>Template1!副露成功率</vt:lpstr>
      <vt:lpstr>だいち!副露成功率</vt:lpstr>
      <vt:lpstr>たかの!副露成功率</vt:lpstr>
      <vt:lpstr>ただ!副露成功率</vt:lpstr>
      <vt:lpstr>ともき!副露成功率</vt:lpstr>
      <vt:lpstr>のり!副露成功率</vt:lpstr>
      <vt:lpstr>まっつん!副露成功率</vt:lpstr>
      <vt:lpstr>りくと!副露成功率</vt:lpstr>
      <vt:lpstr>れんたろう!副露成功率</vt:lpstr>
      <vt:lpstr>全体!副露成功率</vt:lpstr>
      <vt:lpstr>Template1!副露率</vt:lpstr>
      <vt:lpstr>だいち!副露率</vt:lpstr>
      <vt:lpstr>たかの!副露率</vt:lpstr>
      <vt:lpstr>ただ!副露率</vt:lpstr>
      <vt:lpstr>ともき!副露率</vt:lpstr>
      <vt:lpstr>のり!副露率</vt:lpstr>
      <vt:lpstr>まっつん!副露率</vt:lpstr>
      <vt:lpstr>りくと!副露率</vt:lpstr>
      <vt:lpstr>れんたろう!副露率</vt:lpstr>
      <vt:lpstr>全体!副露率</vt:lpstr>
      <vt:lpstr>Template1!平均アガリ点</vt:lpstr>
      <vt:lpstr>だいち!平均アガリ点</vt:lpstr>
      <vt:lpstr>たかの!平均アガリ点</vt:lpstr>
      <vt:lpstr>ただ!平均アガリ点</vt:lpstr>
      <vt:lpstr>ともき!平均アガリ点</vt:lpstr>
      <vt:lpstr>のり!平均アガリ点</vt:lpstr>
      <vt:lpstr>まっつん!平均アガリ点</vt:lpstr>
      <vt:lpstr>りくと!平均アガリ点</vt:lpstr>
      <vt:lpstr>れんたろう!平均アガリ点</vt:lpstr>
      <vt:lpstr>全体!平均アガリ点</vt:lpstr>
      <vt:lpstr>Template1!平均スコア</vt:lpstr>
      <vt:lpstr>だいち!平均スコア</vt:lpstr>
      <vt:lpstr>たかの!平均スコア</vt:lpstr>
      <vt:lpstr>ただ!平均スコア</vt:lpstr>
      <vt:lpstr>ともき!平均スコア</vt:lpstr>
      <vt:lpstr>のり!平均スコア</vt:lpstr>
      <vt:lpstr>まっつん!平均スコア</vt:lpstr>
      <vt:lpstr>りくと!平均スコア</vt:lpstr>
      <vt:lpstr>れんたろう!平均スコア</vt:lpstr>
      <vt:lpstr>全体!平均スコア</vt:lpstr>
      <vt:lpstr>Template1!平均順位</vt:lpstr>
      <vt:lpstr>だいち!平均順位</vt:lpstr>
      <vt:lpstr>たかの!平均順位</vt:lpstr>
      <vt:lpstr>ただ!平均順位</vt:lpstr>
      <vt:lpstr>ともき!平均順位</vt:lpstr>
      <vt:lpstr>のり!平均順位</vt:lpstr>
      <vt:lpstr>まっつん!平均順位</vt:lpstr>
      <vt:lpstr>りくと!平均順位</vt:lpstr>
      <vt:lpstr>れんたろう!平均順位</vt:lpstr>
      <vt:lpstr>全体!平均順位</vt:lpstr>
      <vt:lpstr>Template1!平均放銃点</vt:lpstr>
      <vt:lpstr>だいち!平均放銃点</vt:lpstr>
      <vt:lpstr>たかの!平均放銃点</vt:lpstr>
      <vt:lpstr>ただ!平均放銃点</vt:lpstr>
      <vt:lpstr>ともき!平均放銃点</vt:lpstr>
      <vt:lpstr>のり!平均放銃点</vt:lpstr>
      <vt:lpstr>まっつん!平均放銃点</vt:lpstr>
      <vt:lpstr>りくと!平均放銃点</vt:lpstr>
      <vt:lpstr>れんたろう!平均放銃点</vt:lpstr>
      <vt:lpstr>全体!平均放銃点</vt:lpstr>
      <vt:lpstr>Template1!放銃数</vt:lpstr>
      <vt:lpstr>だいち!放銃数</vt:lpstr>
      <vt:lpstr>たかの!放銃数</vt:lpstr>
      <vt:lpstr>ただ!放銃数</vt:lpstr>
      <vt:lpstr>ともき!放銃数</vt:lpstr>
      <vt:lpstr>のり!放銃数</vt:lpstr>
      <vt:lpstr>まっつん!放銃数</vt:lpstr>
      <vt:lpstr>りくと!放銃数</vt:lpstr>
      <vt:lpstr>れんたろう!放銃数</vt:lpstr>
      <vt:lpstr>全体!放銃数</vt:lpstr>
      <vt:lpstr>Template1!放銃率</vt:lpstr>
      <vt:lpstr>だいち!放銃率</vt:lpstr>
      <vt:lpstr>たかの!放銃率</vt:lpstr>
      <vt:lpstr>ただ!放銃率</vt:lpstr>
      <vt:lpstr>ともき!放銃率</vt:lpstr>
      <vt:lpstr>のり!放銃率</vt:lpstr>
      <vt:lpstr>まっつん!放銃率</vt:lpstr>
      <vt:lpstr>りくと!放銃率</vt:lpstr>
      <vt:lpstr>れんたろう!放銃率</vt:lpstr>
      <vt:lpstr>全体!放銃率</vt:lpstr>
      <vt:lpstr>Template1!名前</vt:lpstr>
      <vt:lpstr>だいち!名前</vt:lpstr>
      <vt:lpstr>たかの!名前</vt:lpstr>
      <vt:lpstr>ただ!名前</vt:lpstr>
      <vt:lpstr>ともき!名前</vt:lpstr>
      <vt:lpstr>のり!名前</vt:lpstr>
      <vt:lpstr>まっつん!名前</vt:lpstr>
      <vt:lpstr>りくと!名前</vt:lpstr>
      <vt:lpstr>れんたろう!名前</vt:lpstr>
      <vt:lpstr>全体!名前</vt:lpstr>
      <vt:lpstr>Template1!門前アガリ点</vt:lpstr>
      <vt:lpstr>だいち!門前アガリ点</vt:lpstr>
      <vt:lpstr>たかの!門前アガリ点</vt:lpstr>
      <vt:lpstr>ただ!門前アガリ点</vt:lpstr>
      <vt:lpstr>ともき!門前アガリ点</vt:lpstr>
      <vt:lpstr>のり!門前アガリ点</vt:lpstr>
      <vt:lpstr>まっつん!門前アガリ点</vt:lpstr>
      <vt:lpstr>りくと!門前アガリ点</vt:lpstr>
      <vt:lpstr>れんたろう!門前アガリ点</vt:lpstr>
      <vt:lpstr>全体!門前アガリ点</vt:lpstr>
      <vt:lpstr>Template1!連続アガリ</vt:lpstr>
      <vt:lpstr>だいち!連続アガリ</vt:lpstr>
      <vt:lpstr>たかの!連続アガリ</vt:lpstr>
      <vt:lpstr>ただ!連続アガリ</vt:lpstr>
      <vt:lpstr>ともき!連続アガリ</vt:lpstr>
      <vt:lpstr>のり!連続アガリ</vt:lpstr>
      <vt:lpstr>まっつん!連続アガリ</vt:lpstr>
      <vt:lpstr>りくと!連続アガリ</vt:lpstr>
      <vt:lpstr>れんたろう!連続アガリ</vt:lpstr>
      <vt:lpstr>全体!連続アガリ</vt:lpstr>
      <vt:lpstr>Template1!連続無放銃</vt:lpstr>
      <vt:lpstr>だいち!連続無放銃</vt:lpstr>
      <vt:lpstr>たかの!連続無放銃</vt:lpstr>
      <vt:lpstr>ただ!連続無放銃</vt:lpstr>
      <vt:lpstr>ともき!連続無放銃</vt:lpstr>
      <vt:lpstr>のり!連続無放銃</vt:lpstr>
      <vt:lpstr>まっつん!連続無放銃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2020-04-07T08:56:24Z</dcterms:modified>
</cp:coreProperties>
</file>