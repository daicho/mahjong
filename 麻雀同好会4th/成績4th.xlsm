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d\mahjong\麻雀同好会4th\"/>
    </mc:Choice>
  </mc:AlternateContent>
  <xr:revisionPtr revIDLastSave="0" documentId="13_ncr:1_{2FDBBC0E-B243-472D-8FA7-630093A7A305}" xr6:coauthVersionLast="45" xr6:coauthVersionMax="45" xr10:uidLastSave="{00000000-0000-0000-0000-000000000000}"/>
  <bookViews>
    <workbookView xWindow="-120" yWindow="-120" windowWidth="29040" windowHeight="1584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ぱぱ2" sheetId="6265" state="hidden" r:id="rId16"/>
    <sheet name="ただ2" sheetId="6263" state="hidden" r:id="rId17"/>
    <sheet name="のり2" sheetId="6261" state="hidden" r:id="rId18"/>
    <sheet name="たかの2" sheetId="6259" state="hidden" r:id="rId19"/>
    <sheet name="まっつん2" sheetId="6257" state="hidden" r:id="rId20"/>
    <sheet name="りくと2" sheetId="6255" state="hidden" r:id="rId21"/>
    <sheet name="だいち2" sheetId="6253" state="hidden" r:id="rId22"/>
    <sheet name="ともき2" sheetId="6251" state="hidden" r:id="rId23"/>
    <sheet name="れんたろう2" sheetId="6249" state="hidden" r:id="rId24"/>
    <sheet name="全体2" sheetId="6247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6" i="6258" l="1"/>
  <c r="O19" i="6262"/>
  <c r="O20" i="6248" l="1"/>
  <c r="O16" i="6260"/>
  <c r="O15" i="6264" l="1"/>
  <c r="O16" i="6264"/>
  <c r="C34" i="6264"/>
  <c r="B29" i="6264"/>
  <c r="C20" i="6264"/>
  <c r="B19" i="6264"/>
  <c r="H7" i="6264" s="1"/>
  <c r="C18" i="6264"/>
  <c r="B18" i="6264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1" i="6252"/>
  <c r="O17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5" i="6262"/>
  <c r="O16" i="6250"/>
  <c r="O19" i="6258"/>
  <c r="O20" i="6262" l="1"/>
  <c r="O15" i="6250"/>
  <c r="O18" i="6262"/>
  <c r="O16" i="6248"/>
  <c r="O15" i="6256" l="1"/>
  <c r="O17" i="6250"/>
  <c r="O20" i="6252"/>
  <c r="O17" i="6256"/>
  <c r="O17" i="6246"/>
  <c r="O17" i="6262"/>
  <c r="O16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3" i="6262"/>
  <c r="H19" i="6262"/>
  <c r="H21" i="6262"/>
  <c r="H15" i="6262"/>
  <c r="B27" i="6262"/>
  <c r="C19" i="6262"/>
  <c r="C23" i="6262"/>
  <c r="H36" i="6262"/>
  <c r="H40" i="6262"/>
  <c r="H44" i="6262"/>
  <c r="H48" i="6262"/>
  <c r="H8" i="6262"/>
  <c r="H18" i="6262"/>
  <c r="C24" i="6262"/>
  <c r="H17" i="6262"/>
  <c r="H37" i="6262"/>
  <c r="H41" i="6262"/>
  <c r="H45" i="6262"/>
  <c r="H49" i="6262"/>
  <c r="H5" i="6262"/>
  <c r="H2" i="6262"/>
  <c r="H10" i="6262"/>
  <c r="H3" i="6262"/>
  <c r="H20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4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2" i="6262"/>
  <c r="H27" i="6262"/>
  <c r="H28" i="6262"/>
  <c r="H7" i="6262"/>
  <c r="H31" i="6262"/>
  <c r="H34" i="6262"/>
  <c r="C36" i="6262"/>
  <c r="C38" i="6262"/>
  <c r="C40" i="6262"/>
  <c r="C42" i="6262"/>
  <c r="C44" i="6262"/>
  <c r="C46" i="6262"/>
  <c r="C48" i="6262"/>
  <c r="O18" i="6252" l="1"/>
  <c r="O21" i="6258"/>
  <c r="O21" i="6248"/>
  <c r="O17" i="6258"/>
  <c r="O17" i="6252" l="1"/>
  <c r="O19" i="6254"/>
  <c r="O22" i="6248"/>
  <c r="O19" i="6248"/>
  <c r="O15" i="6254"/>
  <c r="O18" i="6256"/>
  <c r="O17" i="6260" l="1"/>
  <c r="O19" i="6260"/>
  <c r="O21" i="6256"/>
  <c r="O20" i="6256"/>
  <c r="O15" i="6252"/>
  <c r="O19" i="6252"/>
  <c r="O18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18" i="6254"/>
  <c r="O21" i="6246"/>
  <c r="O20" i="6258"/>
  <c r="O15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9" i="6256"/>
  <c r="O16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6" i="6246"/>
  <c r="O20" i="6254"/>
  <c r="O16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2" i="6246"/>
  <c r="O20" i="6246"/>
  <c r="O16" i="6252"/>
  <c r="O22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19" i="6246"/>
  <c r="O18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3" i="6246"/>
  <c r="O15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9" i="6254"/>
  <c r="C18" i="6254"/>
  <c r="H3" i="6254"/>
  <c r="H23" i="6254"/>
  <c r="H2" i="6254"/>
  <c r="H8" i="6254"/>
  <c r="H21" i="6254"/>
  <c r="B13" i="6254"/>
  <c r="C25" i="6254"/>
  <c r="H24" i="6254"/>
  <c r="C19" i="6254"/>
  <c r="H11" i="6254"/>
  <c r="H6" i="6254"/>
  <c r="H12" i="6254"/>
  <c r="H20" i="6254"/>
  <c r="H22" i="6254"/>
  <c r="H14" i="6254"/>
  <c r="C21" i="6254"/>
  <c r="C23" i="6254"/>
  <c r="H17" i="6248"/>
  <c r="H11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4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8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20" i="6258"/>
  <c r="H11" i="6258"/>
  <c r="H19" i="6258"/>
  <c r="H26" i="6258"/>
  <c r="C18" i="6258"/>
  <c r="H15" i="6258"/>
  <c r="H18" i="6258"/>
  <c r="H16" i="6258"/>
  <c r="H7" i="6258"/>
  <c r="H24" i="6258"/>
  <c r="H25" i="6258"/>
  <c r="H14" i="6258"/>
  <c r="C19" i="6258"/>
  <c r="H5" i="6258"/>
  <c r="H3" i="6258"/>
  <c r="H13" i="6258"/>
  <c r="H2" i="6258"/>
  <c r="H27" i="6258"/>
  <c r="H28" i="6258"/>
  <c r="H21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7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1" i="6256"/>
  <c r="H23" i="6256"/>
  <c r="H6" i="6256"/>
  <c r="H22" i="6256"/>
  <c r="H14" i="6256"/>
  <c r="C19" i="6256"/>
  <c r="H4" i="6256"/>
  <c r="H3" i="6256"/>
  <c r="H13" i="6256"/>
  <c r="H2" i="6256"/>
  <c r="H28" i="6256"/>
  <c r="H29" i="6256"/>
  <c r="H18" i="6256"/>
  <c r="H31" i="6256"/>
  <c r="H32" i="6256"/>
  <c r="H33" i="6256"/>
  <c r="H36" i="6256"/>
  <c r="C37" i="6256"/>
  <c r="C39" i="6256"/>
  <c r="C41" i="6256"/>
  <c r="C43" i="6256"/>
  <c r="C45" i="6256"/>
  <c r="C47" i="6256"/>
  <c r="H51" i="6256"/>
  <c r="H25" i="6256"/>
  <c r="H15" i="6256"/>
  <c r="C21" i="6256"/>
  <c r="C23" i="6256"/>
  <c r="C25" i="6256"/>
  <c r="B27" i="6256"/>
  <c r="H34" i="6256"/>
  <c r="H37" i="6256"/>
  <c r="H39" i="6256"/>
  <c r="H41" i="6256"/>
  <c r="H43" i="6256"/>
  <c r="H45" i="6256"/>
  <c r="H47" i="6256"/>
  <c r="H49" i="6256"/>
  <c r="H21" i="6256"/>
  <c r="H17" i="6256"/>
  <c r="H12" i="6256"/>
  <c r="H20" i="6256"/>
  <c r="H30" i="6256"/>
  <c r="H8" i="6256"/>
  <c r="H16" i="6256"/>
  <c r="H35" i="6256"/>
  <c r="C36" i="6256"/>
  <c r="C38" i="6256"/>
  <c r="C40" i="6256"/>
  <c r="C42" i="6256"/>
  <c r="C44" i="6256"/>
  <c r="C46" i="6256"/>
  <c r="C48" i="6256"/>
  <c r="H5" i="6256"/>
  <c r="H26" i="6256"/>
  <c r="H27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3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6" i="6254"/>
  <c r="H9" i="6254"/>
  <c r="H17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8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2" i="6252"/>
  <c r="H28" i="6252"/>
  <c r="H30" i="6252"/>
  <c r="H16" i="6252"/>
  <c r="B27" i="6252"/>
  <c r="C19" i="6252"/>
  <c r="C23" i="6252"/>
  <c r="H38" i="6252"/>
  <c r="H42" i="6252"/>
  <c r="H46" i="6252"/>
  <c r="H49" i="6252"/>
  <c r="H7" i="6252"/>
  <c r="H22" i="6252"/>
  <c r="C24" i="6252"/>
  <c r="H19" i="6252"/>
  <c r="H39" i="6252"/>
  <c r="H43" i="6252"/>
  <c r="H27" i="6252"/>
  <c r="H50" i="6252"/>
  <c r="H4" i="6252"/>
  <c r="H2" i="6252"/>
  <c r="H11" i="6252"/>
  <c r="H3" i="6252"/>
  <c r="H29" i="6252"/>
  <c r="H23" i="6252"/>
  <c r="H31" i="6252"/>
  <c r="C21" i="6252"/>
  <c r="C25" i="6252"/>
  <c r="H36" i="6252"/>
  <c r="H40" i="6252"/>
  <c r="H44" i="6252"/>
  <c r="H47" i="6252"/>
  <c r="H14" i="6252"/>
  <c r="B28" i="6252"/>
  <c r="H32" i="6252"/>
  <c r="H24" i="6252"/>
  <c r="H13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7" i="6252"/>
  <c r="H15" i="6252"/>
  <c r="H33" i="6252"/>
  <c r="H25" i="6252"/>
  <c r="H9" i="6252"/>
  <c r="H20" i="6252"/>
  <c r="H26" i="6252"/>
  <c r="C36" i="6252"/>
  <c r="C38" i="6252"/>
  <c r="C40" i="6252"/>
  <c r="C42" i="6252"/>
  <c r="C44" i="6252"/>
  <c r="C46" i="6252"/>
  <c r="C48" i="6252"/>
  <c r="H11" i="6246"/>
  <c r="H24" i="6246"/>
  <c r="H47" i="6246"/>
  <c r="H9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1" i="6246"/>
  <c r="C21" i="6246"/>
  <c r="H19" i="6246"/>
  <c r="C22" i="6248"/>
  <c r="B26" i="6248"/>
  <c r="H40" i="6248"/>
  <c r="H44" i="6248"/>
  <c r="H48" i="6248"/>
  <c r="H52" i="6248"/>
  <c r="H10" i="6248"/>
  <c r="H6" i="6248"/>
  <c r="H14" i="6248"/>
  <c r="H24" i="6248"/>
  <c r="H25" i="6248"/>
  <c r="H16" i="6248"/>
  <c r="B27" i="6248"/>
  <c r="C19" i="6248"/>
  <c r="C23" i="6248"/>
  <c r="H21" i="6248"/>
  <c r="H41" i="6248"/>
  <c r="H45" i="6248"/>
  <c r="H49" i="6248"/>
  <c r="H7" i="6248"/>
  <c r="H23" i="6248"/>
  <c r="C24" i="6248"/>
  <c r="H19" i="6248"/>
  <c r="H38" i="6248"/>
  <c r="H42" i="6248"/>
  <c r="H46" i="6248"/>
  <c r="H50" i="6248"/>
  <c r="H3" i="6248"/>
  <c r="H2" i="6248"/>
  <c r="H9" i="6248"/>
  <c r="H4" i="6248"/>
  <c r="H20" i="6248"/>
  <c r="H26" i="6248"/>
  <c r="H27" i="6248"/>
  <c r="C21" i="6248"/>
  <c r="C25" i="6248"/>
  <c r="H35" i="6248"/>
  <c r="H39" i="6248"/>
  <c r="H43" i="6248"/>
  <c r="H47" i="6248"/>
  <c r="H22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8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7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28" i="6246"/>
  <c r="H13" i="6246"/>
  <c r="H29" i="6246"/>
  <c r="H37" i="6246"/>
  <c r="H26" i="6246"/>
  <c r="H39" i="6246"/>
  <c r="C37" i="6246"/>
  <c r="C39" i="6246"/>
  <c r="C41" i="6246"/>
  <c r="C43" i="6246"/>
  <c r="C45" i="6246"/>
  <c r="C47" i="6246"/>
  <c r="H51" i="6246"/>
  <c r="H16" i="6246"/>
  <c r="H14" i="6246"/>
  <c r="H22" i="6246"/>
  <c r="H25" i="6246"/>
  <c r="H8" i="6246"/>
  <c r="H18" i="6246"/>
  <c r="H30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<sst xmlns="http://schemas.openxmlformats.org/spreadsheetml/2006/main" count="2709" uniqueCount="235">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</sst>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全体!$K$2:$K$314</c:f>
              <c:numCache>
                <c:formatCode>General</c:formatCode>
                <c:ptCount val="3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</c:numCache>
            </c:numRef>
          </c:xVal>
          <c:yVal>
            <c:numRef>
              <c:f>全体!$L$2:$L$314</c:f>
              <c:numCache>
                <c:formatCode>\+0.0;\-0.0;\±0</c:formatCode>
                <c:ptCount val="313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-9.8039215686274517</c:v>
                </c:pt>
                <c:pt idx="1">
                  <c:v>-3.2679738562091503</c:v>
                </c:pt>
                <c:pt idx="2">
                  <c:v>-10.309278350515465</c:v>
                </c:pt>
                <c:pt idx="3">
                  <c:v>19.157088122605366</c:v>
                </c:pt>
                <c:pt idx="4">
                  <c:v>-58.333333333333336</c:v>
                </c:pt>
                <c:pt idx="5">
                  <c:v>79.365079365079367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55</c:v>
                </c:pt>
                <c:pt idx="1">
                  <c:v>131</c:v>
                </c:pt>
                <c:pt idx="2">
                  <c:v>122</c:v>
                </c:pt>
                <c:pt idx="3">
                  <c:v>134</c:v>
                </c:pt>
                <c:pt idx="4">
                  <c:v>104</c:v>
                </c:pt>
                <c:pt idx="5">
                  <c:v>68</c:v>
                </c:pt>
                <c:pt idx="6">
                  <c:v>45</c:v>
                </c:pt>
                <c:pt idx="7">
                  <c:v>18</c:v>
                </c:pt>
                <c:pt idx="8">
                  <c:v>12</c:v>
                </c:pt>
                <c:pt idx="9">
                  <c:v>9</c:v>
                </c:pt>
                <c:pt idx="10">
                  <c:v>4</c:v>
                </c:pt>
                <c:pt idx="11">
                  <c:v>3</c:v>
                </c:pt>
                <c:pt idx="1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れんたろう!$L$2:$L$57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-594.33962264150944</c:v>
                </c:pt>
                <c:pt idx="1">
                  <c:v>-1701.851851851852</c:v>
                </c:pt>
                <c:pt idx="2">
                  <c:v>-66</c:v>
                </c:pt>
                <c:pt idx="3">
                  <c:v>-1533.3333333333333</c:v>
                </c:pt>
                <c:pt idx="4">
                  <c:v>-377.27272727272725</c:v>
                </c:pt>
                <c:pt idx="5">
                  <c:v>2837.5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12</c:v>
                </c:pt>
                <c:pt idx="3">
                  <c:v>32</c:v>
                </c:pt>
                <c:pt idx="4">
                  <c:v>23</c:v>
                </c:pt>
                <c:pt idx="5">
                  <c:v>13</c:v>
                </c:pt>
                <c:pt idx="6">
                  <c:v>10</c:v>
                </c:pt>
                <c:pt idx="7">
                  <c:v>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だいち!$L$2:$L$78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935.52631578947364</c:v>
                </c:pt>
                <c:pt idx="1">
                  <c:v>2073.3333333333335</c:v>
                </c:pt>
                <c:pt idx="2">
                  <c:v>2688.7323943661972</c:v>
                </c:pt>
                <c:pt idx="3">
                  <c:v>1160.3174603174602</c:v>
                </c:pt>
                <c:pt idx="4">
                  <c:v>-546.66666666666663</c:v>
                </c:pt>
                <c:pt idx="5">
                  <c:v>3110.6382978723404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31</c:v>
                </c:pt>
                <c:pt idx="3">
                  <c:v>37</c:v>
                </c:pt>
                <c:pt idx="4">
                  <c:v>31</c:v>
                </c:pt>
                <c:pt idx="5">
                  <c:v>17</c:v>
                </c:pt>
                <c:pt idx="6">
                  <c:v>12</c:v>
                </c:pt>
                <c:pt idx="7">
                  <c:v>6</c:v>
                </c:pt>
                <c:pt idx="8">
                  <c:v>5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りくと!$L$2:$L$35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-4156.25</c:v>
                </c:pt>
                <c:pt idx="1">
                  <c:v>1843.75</c:v>
                </c:pt>
                <c:pt idx="2">
                  <c:v>-2300</c:v>
                </c:pt>
                <c:pt idx="3">
                  <c:v>-936</c:v>
                </c:pt>
                <c:pt idx="4">
                  <c:v>2766.6666666666665</c:v>
                </c:pt>
                <c:pt idx="5">
                  <c:v>-4182.3529411764703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9</c:v>
                </c:pt>
                <c:pt idx="1">
                  <c:v>14</c:v>
                </c:pt>
                <c:pt idx="2">
                  <c:v>14</c:v>
                </c:pt>
                <c:pt idx="3">
                  <c:v>9</c:v>
                </c:pt>
                <c:pt idx="4">
                  <c:v>6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まっつん!$L$2:$L$57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-131.4814814814815</c:v>
                </c:pt>
                <c:pt idx="1">
                  <c:v>-207.40740740740742</c:v>
                </c:pt>
                <c:pt idx="2">
                  <c:v>-538.88888888888891</c:v>
                </c:pt>
                <c:pt idx="3">
                  <c:v>1413.7254901960785</c:v>
                </c:pt>
                <c:pt idx="4">
                  <c:v>-986.95652173913038</c:v>
                </c:pt>
                <c:pt idx="5">
                  <c:v>-1566.6666666666667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24</c:v>
                </c:pt>
                <c:pt idx="2">
                  <c:v>32</c:v>
                </c:pt>
                <c:pt idx="3">
                  <c:v>21</c:v>
                </c:pt>
                <c:pt idx="4">
                  <c:v>12</c:v>
                </c:pt>
                <c:pt idx="5">
                  <c:v>8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-1715.1515151515152</c:v>
                </c:pt>
                <c:pt idx="1">
                  <c:v>-468.75</c:v>
                </c:pt>
                <c:pt idx="2">
                  <c:v>2675.8620689655172</c:v>
                </c:pt>
                <c:pt idx="3">
                  <c:v>-1565.3846153846155</c:v>
                </c:pt>
                <c:pt idx="4">
                  <c:v>2733.3333333333335</c:v>
                </c:pt>
                <c:pt idx="5">
                  <c:v>1489.4736842105262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15</c:v>
                </c:pt>
                <c:pt idx="3">
                  <c:v>10</c:v>
                </c:pt>
                <c:pt idx="4">
                  <c:v>15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ただ!$L$2:$L$35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1068.75</c:v>
                </c:pt>
                <c:pt idx="1">
                  <c:v>-2457.5757575757575</c:v>
                </c:pt>
                <c:pt idx="2">
                  <c:v>-2077.4193548387098</c:v>
                </c:pt>
                <c:pt idx="3">
                  <c:v>675</c:v>
                </c:pt>
                <c:pt idx="4">
                  <c:v>-1162.962962962963</c:v>
                </c:pt>
                <c:pt idx="5">
                  <c:v>-3342.8571428571427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16</c:v>
                </c:pt>
                <c:pt idx="4">
                  <c:v>10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ぱぱ2!$B$3:$B$12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ぱぱ2!$C$3:$C$12</c:f>
              <c:numCache>
                <c:formatCode>\+0.0;\-0.0;\±0</c:formatCode>
                <c:ptCount val="10"/>
                <c:pt idx="1">
                  <c:v>-27.3</c:v>
                </c:pt>
                <c:pt idx="2">
                  <c:v>-18.399999999999999</c:v>
                </c:pt>
                <c:pt idx="3">
                  <c:v>-20.666666666666668</c:v>
                </c:pt>
                <c:pt idx="4">
                  <c:v>-16.074999999999999</c:v>
                </c:pt>
                <c:pt idx="5">
                  <c:v>-8.4599999999999991</c:v>
                </c:pt>
                <c:pt idx="6">
                  <c:v>4.6166666666666671</c:v>
                </c:pt>
                <c:pt idx="7">
                  <c:v>-0.59999999999999942</c:v>
                </c:pt>
                <c:pt idx="8">
                  <c:v>-2.4124999999999996</c:v>
                </c:pt>
                <c:pt idx="9">
                  <c:v>-4.6222222222222218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832141690000963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ぱぱ2!$D$3:$D$12</c:f>
              <c:numCache>
                <c:formatCode>0.00\ "位"</c:formatCode>
                <c:ptCount val="10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2.125</c:v>
                </c:pt>
                <c:pt idx="9">
                  <c:v>2.1111111111111112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ぱぱ2!$E$3:$E$12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ぱぱ2!$F$3:$F$12</c:f>
              <c:numCache>
                <c:formatCode>0.0%</c:formatCode>
                <c:ptCount val="1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ぱぱ2!$G$3:$G$12</c:f>
              <c:numCache>
                <c:formatCode>0.0%</c:formatCode>
                <c:ptCount val="10"/>
                <c:pt idx="1">
                  <c:v>0.14285714285714285</c:v>
                </c:pt>
                <c:pt idx="2">
                  <c:v>0.1875</c:v>
                </c:pt>
                <c:pt idx="3">
                  <c:v>0.25806451612903225</c:v>
                </c:pt>
                <c:pt idx="4">
                  <c:v>0.26315789473684209</c:v>
                </c:pt>
                <c:pt idx="5">
                  <c:v>0.29545454545454547</c:v>
                </c:pt>
                <c:pt idx="6">
                  <c:v>0.35416666666666669</c:v>
                </c:pt>
                <c:pt idx="7">
                  <c:v>0.33333333333333331</c:v>
                </c:pt>
                <c:pt idx="8">
                  <c:v>0.3188405797101449</c:v>
                </c:pt>
                <c:pt idx="9">
                  <c:v>0.3108108108108108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950542822677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ぱぱ2!$H$3:$H$12</c:f>
              <c:numCache>
                <c:formatCode>0.0%</c:formatCode>
                <c:ptCount val="10"/>
                <c:pt idx="1">
                  <c:v>0.42857142857142855</c:v>
                </c:pt>
                <c:pt idx="2">
                  <c:v>0.25</c:v>
                </c:pt>
                <c:pt idx="3">
                  <c:v>0.25806451612903225</c:v>
                </c:pt>
                <c:pt idx="4">
                  <c:v>0.21052631578947367</c:v>
                </c:pt>
                <c:pt idx="5">
                  <c:v>0.18181818181818182</c:v>
                </c:pt>
                <c:pt idx="6">
                  <c:v>0.16666666666666666</c:v>
                </c:pt>
                <c:pt idx="7">
                  <c:v>0.17460317460317459</c:v>
                </c:pt>
                <c:pt idx="8">
                  <c:v>0.17391304347826086</c:v>
                </c:pt>
                <c:pt idx="9">
                  <c:v>0.1891891891891892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5609167671893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ぱぱ2!$I$3:$I$12</c:f>
              <c:numCache>
                <c:formatCode>0</c:formatCode>
                <c:ptCount val="10"/>
                <c:pt idx="1">
                  <c:v>12000</c:v>
                </c:pt>
                <c:pt idx="2">
                  <c:v>8700</c:v>
                </c:pt>
                <c:pt idx="3">
                  <c:v>5862.5</c:v>
                </c:pt>
                <c:pt idx="4">
                  <c:v>5410</c:v>
                </c:pt>
                <c:pt idx="5">
                  <c:v>5238.4615384615381</c:v>
                </c:pt>
                <c:pt idx="6">
                  <c:v>7005.8823529411766</c:v>
                </c:pt>
                <c:pt idx="7">
                  <c:v>7295.2380952380954</c:v>
                </c:pt>
                <c:pt idx="8">
                  <c:v>7509.090909090909</c:v>
                </c:pt>
                <c:pt idx="9">
                  <c:v>7530.434782608696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29.16666666666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ぱぱ2!$J$3:$J$12</c:f>
              <c:numCache>
                <c:formatCode>0</c:formatCode>
                <c:ptCount val="10"/>
                <c:pt idx="1">
                  <c:v>-5533.333333333333</c:v>
                </c:pt>
                <c:pt idx="2">
                  <c:v>-6150</c:v>
                </c:pt>
                <c:pt idx="3">
                  <c:v>-7575</c:v>
                </c:pt>
                <c:pt idx="4">
                  <c:v>-7575</c:v>
                </c:pt>
                <c:pt idx="5">
                  <c:v>-7575</c:v>
                </c:pt>
                <c:pt idx="6">
                  <c:v>-7575</c:v>
                </c:pt>
                <c:pt idx="7">
                  <c:v>-8554.545454545454</c:v>
                </c:pt>
                <c:pt idx="8">
                  <c:v>-8508.3333333333339</c:v>
                </c:pt>
                <c:pt idx="9">
                  <c:v>-8671.4285714285706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95.34883720930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ぱぱ2!$K$3:$K$12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8589743589743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ぱぱ2!$L$3:$L$12</c:f>
              <c:numCache>
                <c:formatCode>0.0%</c:formatCode>
                <c:ptCount val="10"/>
                <c:pt idx="1">
                  <c:v>0.2857142857142857</c:v>
                </c:pt>
                <c:pt idx="2">
                  <c:v>0.3125</c:v>
                </c:pt>
                <c:pt idx="3">
                  <c:v>0.29032258064516131</c:v>
                </c:pt>
                <c:pt idx="4">
                  <c:v>0.26315789473684209</c:v>
                </c:pt>
                <c:pt idx="5">
                  <c:v>0.29545454545454547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0.32432432432432434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23361479694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ぱぱ2!$M$3:$M$12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2.6315789473684209E-2</c:v>
                </c:pt>
                <c:pt idx="5">
                  <c:v>4.5454545454545456E-2</c:v>
                </c:pt>
                <c:pt idx="6">
                  <c:v>6.25E-2</c:v>
                </c:pt>
                <c:pt idx="7">
                  <c:v>6.3492063492063489E-2</c:v>
                </c:pt>
                <c:pt idx="8">
                  <c:v>8.6956521739130432E-2</c:v>
                </c:pt>
                <c:pt idx="9">
                  <c:v>9.45945945945946E-2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314435062324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ぱぱ2!$N$3:$N$12</c:f>
              <c:numCache>
                <c:formatCode>0.0%</c:formatCode>
                <c:ptCount val="10"/>
                <c:pt idx="1">
                  <c:v>0.5</c:v>
                </c:pt>
                <c:pt idx="2">
                  <c:v>0.6</c:v>
                </c:pt>
                <c:pt idx="3">
                  <c:v>0.66666666666666663</c:v>
                </c:pt>
                <c:pt idx="4">
                  <c:v>0.7</c:v>
                </c:pt>
                <c:pt idx="5">
                  <c:v>0.76923076923076927</c:v>
                </c:pt>
                <c:pt idx="6">
                  <c:v>0.8125</c:v>
                </c:pt>
                <c:pt idx="7">
                  <c:v>0.76190476190476186</c:v>
                </c:pt>
                <c:pt idx="8">
                  <c:v>0.73913043478260865</c:v>
                </c:pt>
                <c:pt idx="9">
                  <c:v>0.70833333333333337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0847457627118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ぱぱ2!$O$3:$O$12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0.75</c:v>
                </c:pt>
                <c:pt idx="8">
                  <c:v>0.5</c:v>
                </c:pt>
                <c:pt idx="9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634146341463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ぱぱ2!$P$3:$P$12</c:f>
              <c:numCache>
                <c:formatCode>0.0%</c:formatCode>
                <c:ptCount val="10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0.53846153846153844</c:v>
                </c:pt>
                <c:pt idx="6">
                  <c:v>0.58823529411764708</c:v>
                </c:pt>
                <c:pt idx="7">
                  <c:v>0.5714285714285714</c:v>
                </c:pt>
                <c:pt idx="8">
                  <c:v>0.54545454545454541</c:v>
                </c:pt>
                <c:pt idx="9">
                  <c:v>0.52173913043478259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972222222222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45E030-6158-49F3-B279-180489711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B4A982-9A21-4511-868E-409CF123C3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58E598A-C18E-48A3-AC0B-F262BAA68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89895A-DA45-428D-BEEA-8899E3308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78BB5D0-EA81-4487-9789-E3BACFAD9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A2323FA-6FDC-49DE-97B8-268472A9EC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5D95F5-8400-49DB-958B-FB163AC21D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A885B1-26FC-4010-8A37-1202AA101E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1EC2005-6B10-456D-9850-FCA7AAC379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CB7127-40AB-40C9-A57E-049CF4FAA7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97B3E3-9F49-46E4-A3C7-8EFC4056A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C17DA97-FF73-4C6C-8147-341F5E866D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5353AB-A68E-4601-A1B7-406D107701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0DDBF0-E056-48B9-8089-4A48A8B3E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0B596B9-C808-4F06-8BBF-99D0FF2802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D347EF-FE62-4040-B9CA-A016BAE0D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61FEE47-3551-4820-A3F2-D06F6764B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A8BBA5F-DEE1-40E9-9CB5-C81E43EDF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C7C757-7A48-459C-8E01-814636F716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2646A2E-9AB4-49A1-86EF-9581F21EF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A9F07B1-36EC-4F19-84B4-F521218377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32FE721-1E03-4195-894F-337AF97FA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378625-6DCB-4A02-97C0-9BC6AA2EAE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9498EE1-45B1-4724-ADF7-BEC301CBA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57DDEBA-669F-4FB9-AD57-FC7BFAE517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ABDC53-785B-43EE-8754-E01ABF186B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CDF6DC4-4165-4751-9126-C9BCEA1670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6D05C66-4CAD-4E14-BB7E-B1613DD12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156FC9-53FD-4C39-A341-5E8B5E613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8B8DCC8-4449-4218-8D7B-2237B2F53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0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190</v>
      </c>
      <c r="B2" s="3">
        <v>44017.502523148149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">
      <c r="A3" s="2" t="s">
        <v>199</v>
      </c>
      <c r="B3" s="3">
        <v>44017.502523148149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">
      <c r="A4" s="2" t="s">
        <v>203</v>
      </c>
      <c r="B4" s="3">
        <v>44017.502523148149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">
      <c r="A5" s="2" t="s">
        <v>204</v>
      </c>
      <c r="B5" s="3">
        <v>44017.502523148149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">
      <c r="A6" s="2" t="s">
        <v>208</v>
      </c>
      <c r="B6" s="3">
        <v>44017.502523148149</v>
      </c>
      <c r="C6" s="2" t="s">
        <v>127</v>
      </c>
      <c r="D6" s="2" t="s">
        <v>191</v>
      </c>
    </row>
    <row r="7" spans="1:12" x14ac:dyDescent="0.4">
      <c r="A7" s="2" t="s">
        <v>210</v>
      </c>
      <c r="B7" s="3">
        <v>44017.502523148149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">
      <c r="A8" s="2" t="s">
        <v>211</v>
      </c>
      <c r="B8" s="3">
        <v>44017.502523148149</v>
      </c>
      <c r="C8" s="2" t="s">
        <v>127</v>
      </c>
    </row>
    <row r="9" spans="1:12" x14ac:dyDescent="0.4">
      <c r="A9" s="2" t="s">
        <v>212</v>
      </c>
      <c r="B9" s="3">
        <v>44017.502523148149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">
      <c r="A10" s="2" t="s">
        <v>214</v>
      </c>
      <c r="B10" s="3">
        <v>44017.502523148149</v>
      </c>
      <c r="C10" s="2" t="s">
        <v>127</v>
      </c>
      <c r="D10" s="2" t="s">
        <v>191</v>
      </c>
    </row>
    <row r="11" spans="1:12" x14ac:dyDescent="0.4">
      <c r="A11" s="2" t="s">
        <v>215</v>
      </c>
      <c r="B11" s="3">
        <v>44017.502523148149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">
      <c r="A12" s="2" t="s">
        <v>216</v>
      </c>
      <c r="B12" s="3">
        <v>44017.502523148149</v>
      </c>
      <c r="C12" s="2" t="s">
        <v>127</v>
      </c>
      <c r="D12" s="2" t="s">
        <v>191</v>
      </c>
      <c r="E12" s="2" t="s">
        <v>195</v>
      </c>
    </row>
    <row r="13" spans="1:12" x14ac:dyDescent="0.4">
      <c r="A13" s="2" t="s">
        <v>217</v>
      </c>
      <c r="B13" s="3">
        <v>44017.502523148149</v>
      </c>
      <c r="C13" s="2" t="s">
        <v>127</v>
      </c>
      <c r="D13" s="2" t="s">
        <v>191</v>
      </c>
    </row>
    <row r="14" spans="1:12" x14ac:dyDescent="0.4">
      <c r="A14" s="2" t="s">
        <v>218</v>
      </c>
      <c r="B14" s="3">
        <v>44017.502523148149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">
      <c r="A15" s="2" t="s">
        <v>219</v>
      </c>
      <c r="B15" s="3">
        <v>44017.502523148149</v>
      </c>
      <c r="C15" s="2" t="s">
        <v>127</v>
      </c>
      <c r="D15" s="2" t="s">
        <v>191</v>
      </c>
    </row>
    <row r="16" spans="1:12" x14ac:dyDescent="0.4">
      <c r="A16" s="2" t="s">
        <v>220</v>
      </c>
      <c r="B16" s="3">
        <v>44017.502523148149</v>
      </c>
      <c r="C16" s="2" t="s">
        <v>127</v>
      </c>
    </row>
    <row r="17" spans="1:8" x14ac:dyDescent="0.4">
      <c r="A17" s="2" t="s">
        <v>221</v>
      </c>
      <c r="B17" s="3">
        <v>44017.502523148149</v>
      </c>
      <c r="C17" s="2" t="s">
        <v>127</v>
      </c>
      <c r="D17" s="2" t="s">
        <v>191</v>
      </c>
    </row>
    <row r="18" spans="1:8" x14ac:dyDescent="0.4">
      <c r="A18" s="2" t="s">
        <v>222</v>
      </c>
      <c r="B18" s="3">
        <v>44017.502523148149</v>
      </c>
      <c r="C18" s="2" t="s">
        <v>127</v>
      </c>
      <c r="D18" s="2" t="s">
        <v>191</v>
      </c>
      <c r="E18" s="2" t="s">
        <v>195</v>
      </c>
    </row>
    <row r="19" spans="1:8" x14ac:dyDescent="0.4">
      <c r="A19" s="2" t="s">
        <v>223</v>
      </c>
      <c r="B19" s="3">
        <v>44017.502523148149</v>
      </c>
      <c r="C19" s="2" t="s">
        <v>127</v>
      </c>
      <c r="D19" s="2" t="s">
        <v>191</v>
      </c>
    </row>
    <row r="20" spans="1:8" x14ac:dyDescent="0.4">
      <c r="A20" s="2" t="s">
        <v>224</v>
      </c>
      <c r="B20" s="3">
        <v>44017.502523148149</v>
      </c>
      <c r="C20" s="2" t="s">
        <v>127</v>
      </c>
      <c r="D20" s="2" t="s">
        <v>191</v>
      </c>
    </row>
    <row r="21" spans="1:8" x14ac:dyDescent="0.4">
      <c r="A21" s="2" t="s">
        <v>225</v>
      </c>
      <c r="B21" s="3">
        <v>44017.502523148149</v>
      </c>
      <c r="C21" s="2" t="s">
        <v>127</v>
      </c>
      <c r="D21" s="2" t="s">
        <v>191</v>
      </c>
    </row>
    <row r="22" spans="1:8" x14ac:dyDescent="0.4">
      <c r="A22" s="2" t="s">
        <v>226</v>
      </c>
      <c r="B22" s="3">
        <v>44017.502523148149</v>
      </c>
      <c r="C22" s="2" t="s">
        <v>127</v>
      </c>
    </row>
    <row r="23" spans="1:8" x14ac:dyDescent="0.4">
      <c r="A23" s="2" t="s">
        <v>227</v>
      </c>
      <c r="B23" s="3">
        <v>44017.502523148149</v>
      </c>
      <c r="C23" s="2" t="s">
        <v>127</v>
      </c>
    </row>
    <row r="24" spans="1:8" x14ac:dyDescent="0.4">
      <c r="A24" s="2" t="s">
        <v>228</v>
      </c>
      <c r="B24" s="3">
        <v>44017.502523148149</v>
      </c>
      <c r="C24" s="2" t="s">
        <v>127</v>
      </c>
      <c r="D24" s="2" t="s">
        <v>191</v>
      </c>
      <c r="E24" s="2" t="s">
        <v>195</v>
      </c>
    </row>
    <row r="25" spans="1:8" x14ac:dyDescent="0.4">
      <c r="A25" s="2" t="s">
        <v>229</v>
      </c>
      <c r="B25" s="3">
        <v>44017.502523148149</v>
      </c>
      <c r="C25" s="2" t="s">
        <v>127</v>
      </c>
      <c r="D25" s="2" t="s">
        <v>191</v>
      </c>
      <c r="E25" s="2" t="s">
        <v>195</v>
      </c>
    </row>
    <row r="26" spans="1:8" x14ac:dyDescent="0.4">
      <c r="A26" s="2" t="s">
        <v>230</v>
      </c>
      <c r="B26" s="3">
        <v>44017.502523148149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">
      <c r="A27" s="2" t="s">
        <v>231</v>
      </c>
      <c r="B27" s="3">
        <v>44017.502523148149</v>
      </c>
      <c r="C27" s="2" t="s">
        <v>127</v>
      </c>
      <c r="D27" s="2" t="s">
        <v>191</v>
      </c>
    </row>
    <row r="28" spans="1:8" x14ac:dyDescent="0.4">
      <c r="A28" s="2" t="s">
        <v>232</v>
      </c>
      <c r="B28" s="3">
        <v>44017.502523148149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">
      <c r="A29" s="2" t="s">
        <v>233</v>
      </c>
      <c r="B29" s="3">
        <v>44018.758310185185</v>
      </c>
      <c r="C29" s="2" t="s">
        <v>127</v>
      </c>
      <c r="D29" s="2" t="s">
        <v>191</v>
      </c>
      <c r="E29" s="2" t="s">
        <v>195</v>
      </c>
    </row>
    <row r="30" spans="1:8" x14ac:dyDescent="0.4">
      <c r="A30" s="2" t="s">
        <v>234</v>
      </c>
      <c r="B30" s="3">
        <v>44018.757430555554</v>
      </c>
      <c r="C30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139</v>
      </c>
      <c r="B1">
        <v>312</v>
      </c>
    </row>
    <row r="2" spans="1:2" x14ac:dyDescent="0.4">
      <c r="A2" t="s">
        <v>164</v>
      </c>
      <c r="B2">
        <v>55</v>
      </c>
    </row>
    <row r="3" spans="1:2" x14ac:dyDescent="0.4">
      <c r="A3" t="s">
        <v>189</v>
      </c>
      <c r="B3">
        <v>9</v>
      </c>
    </row>
    <row r="4" spans="1:2" x14ac:dyDescent="0.4">
      <c r="A4" t="s">
        <v>126</v>
      </c>
      <c r="B4">
        <v>76</v>
      </c>
    </row>
    <row r="5" spans="1:2" x14ac:dyDescent="0.4">
      <c r="A5" t="s">
        <v>194</v>
      </c>
      <c r="B5">
        <v>33</v>
      </c>
    </row>
    <row r="6" spans="1:2" x14ac:dyDescent="0.4">
      <c r="A6" t="s">
        <v>192</v>
      </c>
      <c r="B6">
        <v>55</v>
      </c>
    </row>
    <row r="7" spans="1:2" x14ac:dyDescent="0.4">
      <c r="A7" t="s">
        <v>193</v>
      </c>
      <c r="B7">
        <v>33</v>
      </c>
    </row>
    <row r="8" spans="1:2" x14ac:dyDescent="0.4">
      <c r="A8" t="s">
        <v>196</v>
      </c>
      <c r="B8">
        <v>9</v>
      </c>
    </row>
    <row r="9" spans="1:2" x14ac:dyDescent="0.4">
      <c r="A9" t="s">
        <v>205</v>
      </c>
      <c r="B9">
        <v>33</v>
      </c>
    </row>
    <row r="10" spans="1:2" x14ac:dyDescent="0.4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625" style="51" customWidth="1"/>
    <col min="3" max="3" width="10.625" style="118" customWidth="1"/>
    <col min="4" max="4" width="10.625" style="49" customWidth="1"/>
    <col min="5" max="5" width="10.625" style="50" customWidth="1"/>
    <col min="6" max="6" width="10.625" style="51" customWidth="1"/>
    <col min="7" max="7" width="10.625" style="63" customWidth="1"/>
    <col min="8" max="8" width="10.625" style="51" customWidth="1"/>
    <col min="9" max="9" width="10.625" style="63" customWidth="1"/>
    <col min="10" max="10" width="10.625" style="51" customWidth="1"/>
    <col min="11" max="11" width="10.625" style="52" customWidth="1"/>
    <col min="12" max="12" width="10.625" style="51" customWidth="1"/>
    <col min="13" max="13" width="10.625" style="53" customWidth="1"/>
    <col min="14" max="14" width="10.625" style="51" customWidth="1"/>
    <col min="15" max="15" width="10.625" style="53" customWidth="1"/>
    <col min="16" max="16" width="10.625" style="51" customWidth="1"/>
    <col min="17" max="17" width="10.625" style="54" customWidth="1"/>
    <col min="18" max="18" width="10.625" style="51" customWidth="1"/>
    <col min="19" max="19" width="10.625" style="54" customWidth="1"/>
    <col min="20" max="20" width="10.625" style="51" customWidth="1"/>
    <col min="21" max="21" width="10.625" style="55" customWidth="1"/>
    <col min="22" max="22" width="10.625" style="51" customWidth="1"/>
    <col min="23" max="23" width="10.625" style="55" customWidth="1"/>
    <col min="24" max="24" width="10.625" style="51" customWidth="1"/>
    <col min="25" max="25" width="10.625" style="53" customWidth="1"/>
    <col min="26" max="26" width="10.625" style="51" customWidth="1"/>
    <col min="27" max="27" width="10.625" style="54" customWidth="1"/>
    <col min="28" max="28" width="10.625" style="51" customWidth="1"/>
    <col min="29" max="29" width="10.625" style="54" customWidth="1"/>
    <col min="30" max="30" width="10.625" style="51" customWidth="1"/>
    <col min="31" max="31" width="10.625" style="54" customWidth="1"/>
    <col min="32" max="32" width="10.625" style="51" customWidth="1"/>
    <col min="33" max="33" width="10.625" style="54" customWidth="1"/>
    <col min="34" max="34" width="10.625" style="51" customWidth="1"/>
    <col min="35" max="35" width="10.625" style="54" customWidth="1"/>
    <col min="36" max="36" width="10.625" style="51" customWidth="1"/>
    <col min="37" max="37" width="10.625" style="58" customWidth="1"/>
    <col min="38" max="16384" width="9" style="39"/>
  </cols>
  <sheetData>
    <row r="1" spans="1:37" x14ac:dyDescent="0.4">
      <c r="A1" s="38" t="s">
        <v>209</v>
      </c>
      <c r="B1" s="143" t="s">
        <v>9</v>
      </c>
      <c r="C1" s="144"/>
      <c r="D1" s="139" t="s">
        <v>6</v>
      </c>
      <c r="E1" s="140"/>
      <c r="F1" s="139" t="s">
        <v>7</v>
      </c>
      <c r="G1" s="140"/>
      <c r="H1" s="143" t="s">
        <v>188</v>
      </c>
      <c r="I1" s="144"/>
      <c r="J1" s="139" t="s">
        <v>15</v>
      </c>
      <c r="K1" s="140"/>
      <c r="L1" s="139" t="s">
        <v>14</v>
      </c>
      <c r="M1" s="140"/>
      <c r="N1" s="139" t="s">
        <v>150</v>
      </c>
      <c r="O1" s="140"/>
      <c r="P1" s="139" t="s">
        <v>143</v>
      </c>
      <c r="Q1" s="140"/>
      <c r="R1" s="139" t="s">
        <v>144</v>
      </c>
      <c r="S1" s="140"/>
      <c r="T1" s="139" t="s">
        <v>5</v>
      </c>
      <c r="U1" s="140"/>
      <c r="V1" s="139" t="s">
        <v>16</v>
      </c>
      <c r="W1" s="140"/>
      <c r="X1" s="139" t="s">
        <v>17</v>
      </c>
      <c r="Y1" s="140"/>
      <c r="Z1" s="139" t="s">
        <v>122</v>
      </c>
      <c r="AA1" s="140"/>
      <c r="AB1" s="139" t="s">
        <v>119</v>
      </c>
      <c r="AC1" s="140"/>
      <c r="AD1" s="139" t="s">
        <v>125</v>
      </c>
      <c r="AE1" s="140"/>
      <c r="AF1" s="139" t="s">
        <v>145</v>
      </c>
      <c r="AG1" s="140"/>
      <c r="AH1" s="139" t="s">
        <v>138</v>
      </c>
      <c r="AI1" s="140"/>
      <c r="AJ1" s="139" t="s">
        <v>181</v>
      </c>
      <c r="AK1" s="140"/>
    </row>
    <row r="2" spans="1:37" x14ac:dyDescent="0.4">
      <c r="A2" s="38" t="s">
        <v>149</v>
      </c>
      <c r="B2" s="141">
        <v>0.78575485813899515</v>
      </c>
      <c r="C2" s="142"/>
      <c r="D2" s="145"/>
      <c r="E2" s="146"/>
      <c r="F2" s="145"/>
      <c r="G2" s="146"/>
      <c r="H2" s="141">
        <v>-0.20581129563855954</v>
      </c>
      <c r="I2" s="142"/>
      <c r="J2" s="141">
        <v>0.91074215029017569</v>
      </c>
      <c r="K2" s="142"/>
      <c r="L2" s="141">
        <v>0.83337630319990363</v>
      </c>
      <c r="M2" s="142"/>
      <c r="N2" s="141">
        <v>0.92383690054792766</v>
      </c>
      <c r="O2" s="142"/>
      <c r="P2" s="141">
        <v>0.64581665784179076</v>
      </c>
      <c r="Q2" s="142"/>
      <c r="R2" s="141">
        <v>0.39906668712286036</v>
      </c>
      <c r="S2" s="142"/>
      <c r="T2" s="141">
        <v>0.48603772040579857</v>
      </c>
      <c r="U2" s="142"/>
      <c r="V2" s="141">
        <v>0.23383258937764181</v>
      </c>
      <c r="W2" s="142"/>
      <c r="X2" s="141">
        <v>0.6104802400806616</v>
      </c>
      <c r="Y2" s="142"/>
      <c r="Z2" s="141">
        <v>0.17945388083122574</v>
      </c>
      <c r="AA2" s="142"/>
      <c r="AB2" s="141">
        <v>-0.21095501638855019</v>
      </c>
      <c r="AC2" s="142"/>
      <c r="AD2" s="141">
        <v>0.3630158855536173</v>
      </c>
      <c r="AE2" s="142"/>
      <c r="AF2" s="141">
        <v>0.18263373588621651</v>
      </c>
      <c r="AG2" s="142"/>
      <c r="AH2" s="141">
        <v>0.78950230684473577</v>
      </c>
      <c r="AI2" s="142"/>
      <c r="AJ2" s="141">
        <v>6.1243350022328932E-2</v>
      </c>
      <c r="AK2" s="142"/>
    </row>
    <row r="3" spans="1:37" x14ac:dyDescent="0.4">
      <c r="A3" s="40">
        <v>1</v>
      </c>
      <c r="B3" s="43" t="s">
        <v>139</v>
      </c>
      <c r="C3" s="117">
        <v>104</v>
      </c>
      <c r="D3" s="41" t="s">
        <v>126</v>
      </c>
      <c r="E3" s="42">
        <v>741.60000000000025</v>
      </c>
      <c r="F3" s="43" t="s">
        <v>126</v>
      </c>
      <c r="G3" s="62">
        <v>9.7578947368421094</v>
      </c>
      <c r="H3" s="43" t="s">
        <v>196</v>
      </c>
      <c r="I3" s="62">
        <v>9.3444444444444432</v>
      </c>
      <c r="J3" s="43" t="s">
        <v>126</v>
      </c>
      <c r="K3" s="44">
        <v>1.75</v>
      </c>
      <c r="L3" s="43" t="s">
        <v>126</v>
      </c>
      <c r="M3" s="45">
        <v>0.44736842105263158</v>
      </c>
      <c r="N3" s="43" t="s">
        <v>196</v>
      </c>
      <c r="O3" s="45">
        <v>0.1111111111111111</v>
      </c>
      <c r="P3" s="43" t="s">
        <v>193</v>
      </c>
      <c r="Q3" s="46">
        <v>0.3147410358565737</v>
      </c>
      <c r="R3" s="43" t="s">
        <v>196</v>
      </c>
      <c r="S3" s="46">
        <v>6.8493150684931503E-2</v>
      </c>
      <c r="T3" s="43" t="s">
        <v>164</v>
      </c>
      <c r="U3" s="47">
        <v>10291.666666666666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0.36254980079681276</v>
      </c>
      <c r="AD3" s="43" t="s">
        <v>213</v>
      </c>
      <c r="AE3" s="46">
        <v>0.70833333333333337</v>
      </c>
      <c r="AF3" s="43" t="s">
        <v>194</v>
      </c>
      <c r="AG3" s="46">
        <v>0.58536585365853655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">
      <c r="A4" s="48">
        <v>2</v>
      </c>
      <c r="B4" s="51" t="s">
        <v>126</v>
      </c>
      <c r="C4" s="118">
        <v>76</v>
      </c>
      <c r="D4" s="49" t="s">
        <v>193</v>
      </c>
      <c r="E4" s="50">
        <v>84.500000000000014</v>
      </c>
      <c r="F4" s="51" t="s">
        <v>193</v>
      </c>
      <c r="G4" s="63">
        <v>2.560606060606061</v>
      </c>
      <c r="H4" s="51" t="s">
        <v>194</v>
      </c>
      <c r="I4" s="63">
        <v>4.208585858585856</v>
      </c>
      <c r="J4" s="51" t="s">
        <v>196</v>
      </c>
      <c r="K4" s="52">
        <v>1.8888888888888888</v>
      </c>
      <c r="L4" s="51" t="s">
        <v>164</v>
      </c>
      <c r="M4" s="53">
        <v>0.36363636363636365</v>
      </c>
      <c r="N4" s="51" t="s">
        <v>126</v>
      </c>
      <c r="O4" s="53">
        <v>0.19736842105263158</v>
      </c>
      <c r="P4" s="51" t="s">
        <v>213</v>
      </c>
      <c r="Q4" s="54">
        <v>0.3108108108108108</v>
      </c>
      <c r="R4" s="51" t="s">
        <v>192</v>
      </c>
      <c r="S4" s="54">
        <v>0.11659192825112108</v>
      </c>
      <c r="T4" s="51" t="s">
        <v>126</v>
      </c>
      <c r="U4" s="55">
        <v>9948.1481481481478</v>
      </c>
      <c r="V4" s="51" t="s">
        <v>193</v>
      </c>
      <c r="W4" s="55">
        <v>-7008.5714285714284</v>
      </c>
      <c r="X4" s="51" t="s">
        <v>213</v>
      </c>
      <c r="Y4" s="53">
        <v>0</v>
      </c>
      <c r="Z4" s="51" t="s">
        <v>164</v>
      </c>
      <c r="AA4" s="54">
        <v>0.29638009049773756</v>
      </c>
      <c r="AB4" s="51" t="s">
        <v>205</v>
      </c>
      <c r="AC4" s="54">
        <v>0.28846153846153844</v>
      </c>
      <c r="AD4" s="51" t="s">
        <v>196</v>
      </c>
      <c r="AE4" s="54">
        <v>0.65</v>
      </c>
      <c r="AF4" s="51" t="s">
        <v>213</v>
      </c>
      <c r="AG4" s="54">
        <v>0.5714285714285714</v>
      </c>
      <c r="AH4" s="51" t="s">
        <v>213</v>
      </c>
      <c r="AI4" s="54">
        <v>0.52173913043478259</v>
      </c>
      <c r="AJ4" s="51" t="s">
        <v>139</v>
      </c>
      <c r="AK4" s="58">
        <v>116000</v>
      </c>
    </row>
    <row r="5" spans="1:37" x14ac:dyDescent="0.4">
      <c r="A5" s="48">
        <v>3</v>
      </c>
      <c r="B5" s="51" t="s">
        <v>164</v>
      </c>
      <c r="C5" s="118">
        <v>55</v>
      </c>
      <c r="D5" s="49" t="s">
        <v>196</v>
      </c>
      <c r="E5" s="50">
        <v>21.599999999999987</v>
      </c>
      <c r="F5" s="51" t="s">
        <v>196</v>
      </c>
      <c r="G5" s="63">
        <v>2.3999999999999986</v>
      </c>
      <c r="H5" s="51" t="s">
        <v>213</v>
      </c>
      <c r="I5" s="63">
        <v>2.1361111111111115</v>
      </c>
      <c r="J5" s="51" t="s">
        <v>193</v>
      </c>
      <c r="K5" s="52">
        <v>1.9696969696969697</v>
      </c>
      <c r="L5" s="51" t="s">
        <v>193</v>
      </c>
      <c r="M5" s="53">
        <v>0.33333333333333331</v>
      </c>
      <c r="N5" s="51" t="s">
        <v>193</v>
      </c>
      <c r="O5" s="53">
        <v>0.30303030303030304</v>
      </c>
      <c r="P5" s="51" t="s">
        <v>126</v>
      </c>
      <c r="Q5" s="54">
        <v>0.30983606557377047</v>
      </c>
      <c r="R5" s="51" t="s">
        <v>193</v>
      </c>
      <c r="S5" s="54">
        <v>0.1394422310756972</v>
      </c>
      <c r="T5" s="51" t="s">
        <v>189</v>
      </c>
      <c r="U5" s="55">
        <v>9062.5</v>
      </c>
      <c r="V5" s="51" t="s">
        <v>189</v>
      </c>
      <c r="W5" s="55">
        <v>-7317.6470588235297</v>
      </c>
      <c r="X5" s="51" t="s">
        <v>126</v>
      </c>
      <c r="Y5" s="53">
        <v>6.5789473684210523E-2</v>
      </c>
      <c r="Z5" s="51" t="s">
        <v>189</v>
      </c>
      <c r="AA5" s="54">
        <v>0.28378378378378377</v>
      </c>
      <c r="AB5" s="51" t="s">
        <v>192</v>
      </c>
      <c r="AC5" s="54">
        <v>0.25784753363228702</v>
      </c>
      <c r="AD5" s="51" t="s">
        <v>205</v>
      </c>
      <c r="AE5" s="54">
        <v>0.61363636363636365</v>
      </c>
      <c r="AF5" s="51" t="s">
        <v>189</v>
      </c>
      <c r="AG5" s="54">
        <v>0.5</v>
      </c>
      <c r="AH5" s="51" t="s">
        <v>126</v>
      </c>
      <c r="AI5" s="54">
        <v>0.51322751322751325</v>
      </c>
      <c r="AJ5" s="51" t="s">
        <v>193</v>
      </c>
      <c r="AK5" s="58">
        <v>106500</v>
      </c>
    </row>
    <row r="6" spans="1:37" x14ac:dyDescent="0.4">
      <c r="A6" s="48">
        <v>4</v>
      </c>
      <c r="B6" s="51" t="s">
        <v>192</v>
      </c>
      <c r="C6" s="118">
        <v>55</v>
      </c>
      <c r="D6" s="49" t="s">
        <v>139</v>
      </c>
      <c r="E6" s="50">
        <v>-2.1316282072803006E-14</v>
      </c>
      <c r="F6" s="51" t="s">
        <v>139</v>
      </c>
      <c r="G6" s="63">
        <v>-6.8321416900009637E-17</v>
      </c>
      <c r="H6" s="51" t="s">
        <v>193</v>
      </c>
      <c r="I6" s="63">
        <v>1.3157575757575752</v>
      </c>
      <c r="J6" s="51" t="s">
        <v>192</v>
      </c>
      <c r="K6" s="52">
        <v>2</v>
      </c>
      <c r="L6" s="51" t="s">
        <v>139</v>
      </c>
      <c r="M6" s="53">
        <v>0.33333333333333331</v>
      </c>
      <c r="N6" s="51" t="s">
        <v>192</v>
      </c>
      <c r="O6" s="53">
        <v>0.32727272727272727</v>
      </c>
      <c r="P6" s="51" t="s">
        <v>205</v>
      </c>
      <c r="Q6" s="54">
        <v>0.29615384615384616</v>
      </c>
      <c r="R6" s="51" t="s">
        <v>126</v>
      </c>
      <c r="S6" s="54">
        <v>0.14590163934426228</v>
      </c>
      <c r="T6" s="51" t="s">
        <v>139</v>
      </c>
      <c r="U6" s="55">
        <v>8829.1666666666661</v>
      </c>
      <c r="V6" s="51" t="s">
        <v>194</v>
      </c>
      <c r="W6" s="55">
        <v>-7452.272727272727</v>
      </c>
      <c r="X6" s="51" t="s">
        <v>192</v>
      </c>
      <c r="Y6" s="53">
        <v>9.0909090909090912E-2</v>
      </c>
      <c r="Z6" s="51" t="s">
        <v>196</v>
      </c>
      <c r="AA6" s="54">
        <v>0.27397260273972601</v>
      </c>
      <c r="AB6" s="51" t="s">
        <v>139</v>
      </c>
      <c r="AC6" s="54">
        <v>0.21431443506232409</v>
      </c>
      <c r="AD6" s="51" t="s">
        <v>193</v>
      </c>
      <c r="AE6" s="54">
        <v>0.6</v>
      </c>
      <c r="AF6" s="51" t="s">
        <v>126</v>
      </c>
      <c r="AG6" s="54">
        <v>0.48</v>
      </c>
      <c r="AH6" s="51" t="s">
        <v>196</v>
      </c>
      <c r="AI6" s="54">
        <v>0.47368421052631576</v>
      </c>
      <c r="AJ6" s="51" t="s">
        <v>194</v>
      </c>
      <c r="AK6" s="58">
        <v>104100</v>
      </c>
    </row>
    <row r="7" spans="1:37" x14ac:dyDescent="0.4">
      <c r="A7" s="48">
        <v>5</v>
      </c>
      <c r="B7" s="51" t="s">
        <v>194</v>
      </c>
      <c r="C7" s="118">
        <v>33</v>
      </c>
      <c r="D7" s="49" t="s">
        <v>213</v>
      </c>
      <c r="E7" s="50">
        <v>-41.599999999999994</v>
      </c>
      <c r="F7" s="51" t="s">
        <v>192</v>
      </c>
      <c r="G7" s="63">
        <v>-1.2399999999999995</v>
      </c>
      <c r="H7" s="51" t="s">
        <v>139</v>
      </c>
      <c r="I7" s="63">
        <v>0</v>
      </c>
      <c r="J7" s="51" t="s">
        <v>139</v>
      </c>
      <c r="K7" s="52">
        <v>2</v>
      </c>
      <c r="L7" s="51" t="s">
        <v>192</v>
      </c>
      <c r="M7" s="53">
        <v>0.32727272727272727</v>
      </c>
      <c r="N7" s="51" t="s">
        <v>139</v>
      </c>
      <c r="O7" s="53">
        <v>0.33333333333333331</v>
      </c>
      <c r="P7" s="51" t="s">
        <v>139</v>
      </c>
      <c r="Q7" s="54">
        <v>0.28950542822677927</v>
      </c>
      <c r="R7" s="51" t="s">
        <v>139</v>
      </c>
      <c r="S7" s="54">
        <v>0.15560916767189384</v>
      </c>
      <c r="T7" s="51" t="s">
        <v>205</v>
      </c>
      <c r="U7" s="55">
        <v>8141.5584415584417</v>
      </c>
      <c r="V7" s="51" t="s">
        <v>126</v>
      </c>
      <c r="W7" s="55">
        <v>-7913.4831460674159</v>
      </c>
      <c r="X7" s="51" t="s">
        <v>189</v>
      </c>
      <c r="Y7" s="53">
        <v>0.1111111111111111</v>
      </c>
      <c r="Z7" s="51" t="s">
        <v>126</v>
      </c>
      <c r="AA7" s="54">
        <v>0.25081967213114753</v>
      </c>
      <c r="AB7" s="51" t="s">
        <v>164</v>
      </c>
      <c r="AC7" s="54">
        <v>0.19683257918552036</v>
      </c>
      <c r="AD7" s="51" t="s">
        <v>126</v>
      </c>
      <c r="AE7" s="54">
        <v>0.58823529411764708</v>
      </c>
      <c r="AF7" s="51" t="s">
        <v>193</v>
      </c>
      <c r="AG7" s="54">
        <v>0.4175824175824176</v>
      </c>
      <c r="AH7" s="51" t="s">
        <v>139</v>
      </c>
      <c r="AI7" s="54">
        <v>0.4597222222222222</v>
      </c>
      <c r="AJ7" s="51" t="s">
        <v>126</v>
      </c>
      <c r="AK7" s="58">
        <v>102700</v>
      </c>
    </row>
    <row r="8" spans="1:37" x14ac:dyDescent="0.4">
      <c r="A8" s="48">
        <v>6</v>
      </c>
      <c r="B8" s="51" t="s">
        <v>193</v>
      </c>
      <c r="C8" s="118">
        <v>33</v>
      </c>
      <c r="D8" s="49" t="s">
        <v>192</v>
      </c>
      <c r="E8" s="50">
        <v>-68.199999999999974</v>
      </c>
      <c r="F8" s="51" t="s">
        <v>164</v>
      </c>
      <c r="G8" s="63">
        <v>-2.0745454545454556</v>
      </c>
      <c r="H8" s="51" t="s">
        <v>126</v>
      </c>
      <c r="I8" s="63">
        <v>-9.0537400145244362E-2</v>
      </c>
      <c r="J8" s="51" t="s">
        <v>164</v>
      </c>
      <c r="K8" s="52">
        <v>2.0363636363636362</v>
      </c>
      <c r="L8" s="51" t="s">
        <v>205</v>
      </c>
      <c r="M8" s="53">
        <v>0.27272727272727271</v>
      </c>
      <c r="N8" s="51" t="s">
        <v>213</v>
      </c>
      <c r="O8" s="53">
        <v>0.33333333333333331</v>
      </c>
      <c r="P8" s="51" t="s">
        <v>192</v>
      </c>
      <c r="Q8" s="54">
        <v>0.28475336322869954</v>
      </c>
      <c r="R8" s="51" t="s">
        <v>194</v>
      </c>
      <c r="S8" s="54">
        <v>0.17120622568093385</v>
      </c>
      <c r="T8" s="51" t="s">
        <v>194</v>
      </c>
      <c r="U8" s="55">
        <v>8015.7142857142853</v>
      </c>
      <c r="V8" s="51" t="s">
        <v>139</v>
      </c>
      <c r="W8" s="55">
        <v>-7995.3488372093025</v>
      </c>
      <c r="X8" s="51" t="s">
        <v>139</v>
      </c>
      <c r="Y8" s="53">
        <v>0.11858974358974358</v>
      </c>
      <c r="Z8" s="51" t="s">
        <v>192</v>
      </c>
      <c r="AA8" s="54">
        <v>0.23766816143497757</v>
      </c>
      <c r="AB8" s="51" t="s">
        <v>126</v>
      </c>
      <c r="AC8" s="54">
        <v>0.16393442622950818</v>
      </c>
      <c r="AD8" s="51" t="s">
        <v>139</v>
      </c>
      <c r="AE8" s="54">
        <v>0.55084745762711862</v>
      </c>
      <c r="AF8" s="51" t="s">
        <v>139</v>
      </c>
      <c r="AG8" s="54">
        <v>0.41463414634146339</v>
      </c>
      <c r="AH8" s="51" t="s">
        <v>194</v>
      </c>
      <c r="AI8" s="54">
        <v>0.45714285714285713</v>
      </c>
      <c r="AJ8" s="51" t="s">
        <v>192</v>
      </c>
      <c r="AK8" s="58">
        <v>98700</v>
      </c>
    </row>
    <row r="9" spans="1:37" x14ac:dyDescent="0.4">
      <c r="A9" s="48">
        <v>7</v>
      </c>
      <c r="B9" s="51" t="s">
        <v>205</v>
      </c>
      <c r="C9" s="118">
        <v>33</v>
      </c>
      <c r="D9" s="49" t="s">
        <v>189</v>
      </c>
      <c r="E9" s="50">
        <v>-105.5</v>
      </c>
      <c r="F9" s="51" t="s">
        <v>213</v>
      </c>
      <c r="G9" s="63">
        <v>-4.6222222222222218</v>
      </c>
      <c r="H9" s="51" t="s">
        <v>205</v>
      </c>
      <c r="I9" s="63">
        <v>-0.78148148148148289</v>
      </c>
      <c r="J9" s="51" t="s">
        <v>213</v>
      </c>
      <c r="K9" s="52">
        <v>2.1111111111111112</v>
      </c>
      <c r="L9" s="51" t="s">
        <v>189</v>
      </c>
      <c r="M9" s="53">
        <v>0.22222222222222221</v>
      </c>
      <c r="N9" s="51" t="s">
        <v>164</v>
      </c>
      <c r="O9" s="53">
        <v>0.4</v>
      </c>
      <c r="P9" s="51" t="s">
        <v>194</v>
      </c>
      <c r="Q9" s="54">
        <v>0.2723735408560311</v>
      </c>
      <c r="R9" s="51" t="s">
        <v>205</v>
      </c>
      <c r="S9" s="54">
        <v>0.18461538461538463</v>
      </c>
      <c r="T9" s="51" t="s">
        <v>193</v>
      </c>
      <c r="U9" s="55">
        <v>7745.5696202531644</v>
      </c>
      <c r="V9" s="51" t="s">
        <v>192</v>
      </c>
      <c r="W9" s="55">
        <v>-7998.0769230769229</v>
      </c>
      <c r="X9" s="51" t="s">
        <v>205</v>
      </c>
      <c r="Y9" s="53">
        <v>0.12121212121212122</v>
      </c>
      <c r="Z9" s="51" t="s">
        <v>139</v>
      </c>
      <c r="AA9" s="54">
        <v>0.2372336147969441</v>
      </c>
      <c r="AB9" s="51" t="s">
        <v>194</v>
      </c>
      <c r="AC9" s="54">
        <v>0.15953307392996108</v>
      </c>
      <c r="AD9" s="51" t="s">
        <v>192</v>
      </c>
      <c r="AE9" s="54">
        <v>0.54716981132075471</v>
      </c>
      <c r="AF9" s="51" t="s">
        <v>192</v>
      </c>
      <c r="AG9" s="54">
        <v>0.39130434782608697</v>
      </c>
      <c r="AH9" s="51" t="s">
        <v>164</v>
      </c>
      <c r="AI9" s="54">
        <v>0.45</v>
      </c>
      <c r="AJ9" s="51" t="s">
        <v>213</v>
      </c>
      <c r="AK9" s="58">
        <v>95000</v>
      </c>
    </row>
    <row r="10" spans="1:37" x14ac:dyDescent="0.4">
      <c r="A10" s="48">
        <v>8</v>
      </c>
      <c r="B10" s="51" t="s">
        <v>189</v>
      </c>
      <c r="C10" s="118">
        <v>9</v>
      </c>
      <c r="D10" s="49" t="s">
        <v>164</v>
      </c>
      <c r="E10" s="50">
        <v>-114.10000000000005</v>
      </c>
      <c r="F10" s="51" t="s">
        <v>205</v>
      </c>
      <c r="G10" s="63">
        <v>-7.3363636363636369</v>
      </c>
      <c r="H10" s="51" t="s">
        <v>164</v>
      </c>
      <c r="I10" s="63">
        <v>-0.90255244755244257</v>
      </c>
      <c r="J10" s="51" t="s">
        <v>205</v>
      </c>
      <c r="K10" s="52">
        <v>2.1818181818181817</v>
      </c>
      <c r="L10" s="51" t="s">
        <v>196</v>
      </c>
      <c r="M10" s="53">
        <v>0.22222222222222221</v>
      </c>
      <c r="N10" s="51" t="s">
        <v>189</v>
      </c>
      <c r="O10" s="53">
        <v>0.44444444444444442</v>
      </c>
      <c r="P10" s="51" t="s">
        <v>164</v>
      </c>
      <c r="Q10" s="54">
        <v>0.27149321266968324</v>
      </c>
      <c r="R10" s="51" t="s">
        <v>164</v>
      </c>
      <c r="S10" s="54">
        <v>0.18778280542986425</v>
      </c>
      <c r="T10" s="51" t="s">
        <v>196</v>
      </c>
      <c r="U10" s="55">
        <v>7736.8421052631575</v>
      </c>
      <c r="V10" s="51" t="s">
        <v>164</v>
      </c>
      <c r="W10" s="55">
        <v>-8259.0361445783128</v>
      </c>
      <c r="X10" s="51" t="s">
        <v>164</v>
      </c>
      <c r="Y10" s="53">
        <v>0.18181818181818182</v>
      </c>
      <c r="Z10" s="51" t="s">
        <v>194</v>
      </c>
      <c r="AA10" s="54">
        <v>0.21789883268482491</v>
      </c>
      <c r="AB10" s="51" t="s">
        <v>196</v>
      </c>
      <c r="AC10" s="54">
        <v>0.15068493150684931</v>
      </c>
      <c r="AD10" s="51" t="s">
        <v>194</v>
      </c>
      <c r="AE10" s="54">
        <v>0.5</v>
      </c>
      <c r="AF10" s="51" t="s">
        <v>164</v>
      </c>
      <c r="AG10" s="54">
        <v>0.36781609195402298</v>
      </c>
      <c r="AH10" s="51" t="s">
        <v>193</v>
      </c>
      <c r="AI10" s="54">
        <v>0.44303797468354428</v>
      </c>
      <c r="AJ10" s="51" t="s">
        <v>205</v>
      </c>
      <c r="AK10" s="58">
        <v>93200</v>
      </c>
    </row>
    <row r="11" spans="1:37" x14ac:dyDescent="0.4">
      <c r="A11" s="48">
        <v>9</v>
      </c>
      <c r="B11" s="51" t="s">
        <v>196</v>
      </c>
      <c r="C11" s="118">
        <v>9</v>
      </c>
      <c r="D11" s="49" t="s">
        <v>205</v>
      </c>
      <c r="E11" s="50">
        <v>-242.10000000000002</v>
      </c>
      <c r="F11" s="51" t="s">
        <v>194</v>
      </c>
      <c r="G11" s="63">
        <v>-8.3696969696969674</v>
      </c>
      <c r="H11" s="51" t="s">
        <v>192</v>
      </c>
      <c r="I11" s="63">
        <v>-1.2015594541910299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205</v>
      </c>
      <c r="O11" s="53">
        <v>0.45454545454545453</v>
      </c>
      <c r="P11" s="51" t="s">
        <v>196</v>
      </c>
      <c r="Q11" s="54">
        <v>0.26027397260273971</v>
      </c>
      <c r="R11" s="51" t="s">
        <v>213</v>
      </c>
      <c r="S11" s="54">
        <v>0.1891891891891892</v>
      </c>
      <c r="T11" s="51" t="s">
        <v>192</v>
      </c>
      <c r="U11" s="55">
        <v>7690.5511811023625</v>
      </c>
      <c r="V11" s="51" t="s">
        <v>213</v>
      </c>
      <c r="W11" s="55">
        <v>-8671.4285714285706</v>
      </c>
      <c r="X11" s="51" t="s">
        <v>194</v>
      </c>
      <c r="Y11" s="53">
        <v>0.18181818181818182</v>
      </c>
      <c r="Z11" s="51" t="s">
        <v>205</v>
      </c>
      <c r="AA11" s="54">
        <v>0.16923076923076924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0.36363636363636365</v>
      </c>
      <c r="AH11" s="51" t="s">
        <v>192</v>
      </c>
      <c r="AI11" s="54">
        <v>0.41732283464566927</v>
      </c>
      <c r="AJ11" s="51" t="s">
        <v>196</v>
      </c>
      <c r="AK11" s="58">
        <v>89000</v>
      </c>
    </row>
    <row r="12" spans="1:37" x14ac:dyDescent="0.4">
      <c r="A12" s="48">
        <v>10</v>
      </c>
      <c r="B12" s="51" t="s">
        <v>213</v>
      </c>
      <c r="C12" s="118">
        <v>9</v>
      </c>
      <c r="D12" s="49" t="s">
        <v>194</v>
      </c>
      <c r="E12" s="50">
        <v>-276.19999999999993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2.3030303030303032</v>
      </c>
      <c r="L12" s="51" t="s">
        <v>194</v>
      </c>
      <c r="M12" s="53">
        <v>0.18181818181818182</v>
      </c>
      <c r="N12" s="51" t="s">
        <v>194</v>
      </c>
      <c r="O12" s="53">
        <v>0.48484848484848486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-9333.3333333333339</v>
      </c>
      <c r="X12" s="51" t="s">
        <v>193</v>
      </c>
      <c r="Y12" s="53">
        <v>0.18181818181818182</v>
      </c>
      <c r="Z12" s="51" t="s">
        <v>193</v>
      </c>
      <c r="AA12" s="54">
        <v>0.1394422310756972</v>
      </c>
      <c r="AB12" s="51" t="s">
        <v>189</v>
      </c>
      <c r="AC12" s="54">
        <v>8.1081081081081086E-2</v>
      </c>
      <c r="AD12" s="51" t="s">
        <v>164</v>
      </c>
      <c r="AE12" s="54">
        <v>0.46564885496183206</v>
      </c>
      <c r="AF12" s="51" t="s">
        <v>205</v>
      </c>
      <c r="AG12" s="54">
        <v>0.30666666666666664</v>
      </c>
      <c r="AH12" s="51" t="s">
        <v>205</v>
      </c>
      <c r="AI12" s="54">
        <v>0.38961038961038963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14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312</v>
      </c>
      <c r="C2" s="132"/>
      <c r="E2" s="28" t="s">
        <v>66</v>
      </c>
      <c r="F2" s="25" t="s">
        <v>22</v>
      </c>
      <c r="G2" s="13">
        <v>527</v>
      </c>
      <c r="H2" s="91">
        <f>IF(B$19=0,0,G2/B$19)</f>
        <v>0.7319444444444444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-9.8039215686274517</v>
      </c>
      <c r="P2" s="80">
        <v>306</v>
      </c>
      <c r="Q2" s="67">
        <v>-3000</v>
      </c>
    </row>
    <row r="3" spans="1:17" x14ac:dyDescent="0.4">
      <c r="A3" s="21" t="s">
        <v>8</v>
      </c>
      <c r="B3" s="133">
        <v>2487</v>
      </c>
      <c r="C3" s="134"/>
      <c r="E3" s="29" t="s">
        <v>72</v>
      </c>
      <c r="F3" s="26" t="s">
        <v>27</v>
      </c>
      <c r="G3" s="14">
        <v>418</v>
      </c>
      <c r="H3" s="92">
        <f>IF(B$19=0,0,G3/B$19)</f>
        <v>0.5805555555555556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-3.2679738562091503</v>
      </c>
      <c r="P3" s="81">
        <v>306</v>
      </c>
      <c r="Q3" s="68">
        <v>-1000</v>
      </c>
    </row>
    <row r="4" spans="1:17" x14ac:dyDescent="0.4">
      <c r="A4" s="21" t="s">
        <v>6</v>
      </c>
      <c r="B4" s="135">
        <v>-2.1316282072803006E-14</v>
      </c>
      <c r="C4" s="136"/>
      <c r="E4" s="29" t="s">
        <v>64</v>
      </c>
      <c r="F4" s="26" t="s">
        <v>20</v>
      </c>
      <c r="G4" s="14">
        <v>316</v>
      </c>
      <c r="H4" s="92">
        <f>IF(B$19=0,0,G4/B$19)</f>
        <v>0.43888888888888888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-10.309278350515465</v>
      </c>
      <c r="P4" s="81">
        <v>291</v>
      </c>
      <c r="Q4" s="68">
        <v>-3000</v>
      </c>
    </row>
    <row r="5" spans="1:17" x14ac:dyDescent="0.4">
      <c r="A5" s="21" t="s">
        <v>7</v>
      </c>
      <c r="B5" s="123">
        <f>IF(B$2=0,0,B$4/B$2)</f>
        <v>-6.8321416900009637E-17</v>
      </c>
      <c r="C5" s="124"/>
      <c r="E5" s="29" t="s">
        <v>160</v>
      </c>
      <c r="F5" s="26" t="s">
        <v>161</v>
      </c>
      <c r="G5" s="14">
        <v>301</v>
      </c>
      <c r="H5" s="92">
        <f>IF(B$19=0,0,G5/B$19)</f>
        <v>0.41805555555555557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19.157088122605366</v>
      </c>
      <c r="P5" s="81">
        <v>261</v>
      </c>
      <c r="Q5" s="68">
        <v>5000</v>
      </c>
    </row>
    <row r="6" spans="1:17" x14ac:dyDescent="0.4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216</v>
      </c>
      <c r="H6" s="92">
        <f>IF(B$19=0,0,G6/B$19)</f>
        <v>0.3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-58.333333333333336</v>
      </c>
      <c r="P6" s="81">
        <v>240</v>
      </c>
      <c r="Q6" s="68">
        <v>-14000</v>
      </c>
    </row>
    <row r="7" spans="1:17" x14ac:dyDescent="0.4">
      <c r="A7" s="21" t="s">
        <v>2</v>
      </c>
      <c r="B7" s="14">
        <v>104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177</v>
      </c>
      <c r="H7" s="92">
        <f>IF(B$19=0,0,G7/B$19)</f>
        <v>0.24583333333333332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79.365079365079367</v>
      </c>
      <c r="P7" s="82">
        <v>189</v>
      </c>
      <c r="Q7" s="69">
        <v>15000</v>
      </c>
    </row>
    <row r="8" spans="1:17" x14ac:dyDescent="0.4">
      <c r="A8" s="21" t="s">
        <v>3</v>
      </c>
      <c r="B8" s="14">
        <v>104</v>
      </c>
      <c r="C8" s="8">
        <f t="shared" si="1"/>
        <v>0.33333333333333331</v>
      </c>
      <c r="E8" s="29" t="s">
        <v>89</v>
      </c>
      <c r="F8" s="26" t="s">
        <v>44</v>
      </c>
      <c r="G8" s="14">
        <v>106</v>
      </c>
      <c r="H8" s="92">
        <f>IF(B$19=0,0,G8/B$19)</f>
        <v>0.14722222222222223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">
      <c r="A9" s="22" t="s">
        <v>4</v>
      </c>
      <c r="B9" s="15">
        <v>104</v>
      </c>
      <c r="C9" s="9">
        <f t="shared" si="1"/>
        <v>0.33333333333333331</v>
      </c>
      <c r="E9" s="29" t="s">
        <v>69</v>
      </c>
      <c r="F9" s="26" t="s">
        <v>24</v>
      </c>
      <c r="G9" s="14">
        <v>98</v>
      </c>
      <c r="H9" s="92">
        <f>IF(B$19=0,0,G9/B$19)</f>
        <v>0.1361111111111111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39.862499999999997</v>
      </c>
      <c r="C10" s="114">
        <v>4145.7</v>
      </c>
      <c r="E10" s="29" t="s">
        <v>65</v>
      </c>
      <c r="F10" s="26" t="s">
        <v>21</v>
      </c>
      <c r="G10" s="14">
        <v>67</v>
      </c>
      <c r="H10" s="92">
        <f>IF(B$19=0,0,G10/B$19)</f>
        <v>9.3055555555555558E-2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-5.9317307692307661</v>
      </c>
      <c r="P10" s="80">
        <v>104</v>
      </c>
      <c r="Q10" s="71">
        <v>-616.89999999999964</v>
      </c>
    </row>
    <row r="11" spans="1:17" x14ac:dyDescent="0.4">
      <c r="A11" s="22" t="s">
        <v>186</v>
      </c>
      <c r="B11" s="113">
        <f>IF(B8=0,0,C11/B8)</f>
        <v>-2.7875000000000019</v>
      </c>
      <c r="C11" s="114">
        <v>-289.9000000000002</v>
      </c>
      <c r="E11" s="29" t="s">
        <v>70</v>
      </c>
      <c r="F11" s="26" t="s">
        <v>25</v>
      </c>
      <c r="G11" s="14">
        <v>60</v>
      </c>
      <c r="H11" s="92">
        <f>IF(B$19=0,0,G11/B$19)</f>
        <v>8.3333333333333329E-2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1.8615384615384609</v>
      </c>
      <c r="P11" s="81">
        <v>104</v>
      </c>
      <c r="Q11" s="72">
        <v>193.59999999999994</v>
      </c>
    </row>
    <row r="12" spans="1:17" x14ac:dyDescent="0.4">
      <c r="A12" s="22" t="s">
        <v>187</v>
      </c>
      <c r="B12" s="113">
        <f>IF(B9=0,0,C12/B9)</f>
        <v>-37.074999999999996</v>
      </c>
      <c r="C12" s="114">
        <v>-3855.7999999999997</v>
      </c>
      <c r="E12" s="29" t="s">
        <v>71</v>
      </c>
      <c r="F12" s="26" t="s">
        <v>26</v>
      </c>
      <c r="G12" s="14">
        <v>44</v>
      </c>
      <c r="H12" s="92">
        <f>IF(B$19=0,0,G12/B$19)</f>
        <v>6.1111111111111109E-2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4.0701923076923032</v>
      </c>
      <c r="P12" s="82">
        <v>104</v>
      </c>
      <c r="Q12" s="73">
        <v>423.29999999999956</v>
      </c>
    </row>
    <row r="13" spans="1:17" x14ac:dyDescent="0.4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40</v>
      </c>
      <c r="H13" s="92">
        <f>IF(B$19=0,0,G13/B$19)</f>
        <v>5.5555555555555552E-2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37</v>
      </c>
      <c r="C14" s="11">
        <f t="shared" si="1"/>
        <v>0.11858974358974358</v>
      </c>
      <c r="E14" s="29" t="s">
        <v>83</v>
      </c>
      <c r="F14" s="26" t="s">
        <v>38</v>
      </c>
      <c r="G14" s="14">
        <v>36</v>
      </c>
      <c r="H14" s="92">
        <f>IF(B$19=0,0,G14/B$19)</f>
        <v>0.05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590</v>
      </c>
      <c r="C15" s="12">
        <f>IF(B$3=0,0,B15/B$3)</f>
        <v>0.2372336147969441</v>
      </c>
      <c r="E15" s="29" t="s">
        <v>78</v>
      </c>
      <c r="F15" s="26" t="s">
        <v>33</v>
      </c>
      <c r="G15" s="14">
        <v>25</v>
      </c>
      <c r="H15" s="92">
        <f>IF(B$19=0,0,G15/B$19)</f>
        <v>3.4722222222222224E-2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">
      <c r="A16" s="21" t="s">
        <v>118</v>
      </c>
      <c r="B16" s="14">
        <v>533</v>
      </c>
      <c r="C16" s="8">
        <f>IF(B$3=0,0,B16/B$3)</f>
        <v>0.21431443506232409</v>
      </c>
      <c r="E16" s="29" t="s">
        <v>81</v>
      </c>
      <c r="F16" s="26" t="s">
        <v>36</v>
      </c>
      <c r="G16" s="14">
        <v>22</v>
      </c>
      <c r="H16" s="92">
        <f>IF(B$19=0,0,G16/B$19)</f>
        <v>3.0555555555555555E-2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12.55454545454546</v>
      </c>
      <c r="P16" s="81">
        <v>66</v>
      </c>
      <c r="Q16" s="72">
        <v>828.60000000000036</v>
      </c>
    </row>
    <row r="17" spans="1:17" x14ac:dyDescent="0.4">
      <c r="A17" s="20" t="s">
        <v>123</v>
      </c>
      <c r="B17" s="13">
        <f>B23</f>
        <v>325</v>
      </c>
      <c r="C17" s="6">
        <f>IF(B$15=0,0,B17/B$15)</f>
        <v>0.55084745762711862</v>
      </c>
      <c r="E17" s="29" t="s">
        <v>79</v>
      </c>
      <c r="F17" s="26" t="s">
        <v>34</v>
      </c>
      <c r="G17" s="14">
        <v>18</v>
      </c>
      <c r="H17" s="92">
        <f>IF(B$19=0,0,G17/B$19)</f>
        <v>2.5000000000000001E-2</v>
      </c>
      <c r="I17" s="60">
        <v>5</v>
      </c>
      <c r="K17" s="7">
        <v>15</v>
      </c>
      <c r="L17" s="65">
        <v>1.7763568394002505E-15</v>
      </c>
      <c r="N17" s="78" t="s">
        <v>205</v>
      </c>
      <c r="O17" s="87">
        <f>IF(P17=0,0,Q17/P17)</f>
        <v>11.004545454545454</v>
      </c>
      <c r="P17" s="81">
        <v>66</v>
      </c>
      <c r="Q17" s="72">
        <v>726.3</v>
      </c>
    </row>
    <row r="18" spans="1:17" x14ac:dyDescent="0.4">
      <c r="A18" s="20" t="s">
        <v>124</v>
      </c>
      <c r="B18" s="13">
        <f>B24</f>
        <v>221</v>
      </c>
      <c r="C18" s="6">
        <f>IF(B$16=0,0,B18/B$16)</f>
        <v>0.41463414634146339</v>
      </c>
      <c r="E18" s="29" t="s">
        <v>91</v>
      </c>
      <c r="F18" s="26" t="s">
        <v>46</v>
      </c>
      <c r="G18" s="14">
        <v>15</v>
      </c>
      <c r="H18" s="92">
        <f>IF(B$19=0,0,G18/B$19)</f>
        <v>2.0833333333333332E-2</v>
      </c>
      <c r="I18" s="60">
        <v>3</v>
      </c>
      <c r="K18" s="7">
        <v>16</v>
      </c>
      <c r="L18" s="65">
        <v>3.4000000000000017</v>
      </c>
      <c r="N18" s="78" t="s">
        <v>213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">
      <c r="A19" s="20" t="s">
        <v>10</v>
      </c>
      <c r="B19" s="13">
        <f>B22+B21</f>
        <v>720</v>
      </c>
      <c r="C19" s="6">
        <f>IF(B$3=0,0,B19/B$3)</f>
        <v>0.28950542822677927</v>
      </c>
      <c r="E19" s="29" t="s">
        <v>156</v>
      </c>
      <c r="F19" s="26" t="s">
        <v>157</v>
      </c>
      <c r="G19" s="14">
        <v>11</v>
      </c>
      <c r="H19" s="92">
        <f>IF(B$19=0,0,G19/B$19)</f>
        <v>1.5277777777777777E-2</v>
      </c>
      <c r="I19" s="60">
        <v>2</v>
      </c>
      <c r="K19" s="7">
        <v>17</v>
      </c>
      <c r="L19" s="65">
        <v>-35.800000000000004</v>
      </c>
      <c r="N19" s="78" t="s">
        <v>164</v>
      </c>
      <c r="O19" s="87">
        <f>IF(P19=0,0,Q19/P19)</f>
        <v>3.1118181818181778</v>
      </c>
      <c r="P19" s="81">
        <v>110</v>
      </c>
      <c r="Q19" s="72">
        <v>342.29999999999956</v>
      </c>
    </row>
    <row r="20" spans="1:17" x14ac:dyDescent="0.4">
      <c r="A20" s="21" t="s">
        <v>13</v>
      </c>
      <c r="B20" s="14">
        <v>387</v>
      </c>
      <c r="C20" s="8">
        <f>IF(B$3=0,0,B20/B$3)</f>
        <v>0.15560916767189384</v>
      </c>
      <c r="E20" s="29" t="s">
        <v>92</v>
      </c>
      <c r="F20" s="26" t="s">
        <v>47</v>
      </c>
      <c r="G20" s="14">
        <v>9</v>
      </c>
      <c r="H20" s="92">
        <f>IF(B$19=0,0,G20/B$19)</f>
        <v>1.2500000000000001E-2</v>
      </c>
      <c r="I20" s="60">
        <v>6</v>
      </c>
      <c r="K20" s="7">
        <v>18</v>
      </c>
      <c r="L20" s="65">
        <v>-7.1054273576010019E-15</v>
      </c>
      <c r="N20" s="78" t="s">
        <v>192</v>
      </c>
      <c r="O20" s="87">
        <f>IF(P20=0,0,Q20/P20)</f>
        <v>1.8600000000000048</v>
      </c>
      <c r="P20" s="81">
        <v>110</v>
      </c>
      <c r="Q20" s="72">
        <v>204.60000000000053</v>
      </c>
    </row>
    <row r="21" spans="1:17" x14ac:dyDescent="0.4">
      <c r="A21" s="21" t="s">
        <v>12</v>
      </c>
      <c r="B21" s="14">
        <v>331</v>
      </c>
      <c r="C21" s="8">
        <f>IF(B$19=0,0,B21/B$19)</f>
        <v>0.4597222222222222</v>
      </c>
      <c r="E21" s="29" t="s">
        <v>77</v>
      </c>
      <c r="F21" s="26" t="s">
        <v>32</v>
      </c>
      <c r="G21" s="14">
        <v>4</v>
      </c>
      <c r="H21" s="92">
        <f>IF(B$19=0,0,G21/B$19)</f>
        <v>5.5555555555555558E-3</v>
      </c>
      <c r="I21" s="60">
        <v>4</v>
      </c>
      <c r="K21" s="7">
        <v>19</v>
      </c>
      <c r="L21" s="65">
        <v>-27.100000000000009</v>
      </c>
      <c r="N21" s="78" t="s">
        <v>196</v>
      </c>
      <c r="O21" s="87">
        <f>IF(P21=0,0,Q21/P21)</f>
        <v>-3.6000000000000023</v>
      </c>
      <c r="P21" s="81">
        <v>18</v>
      </c>
      <c r="Q21" s="72">
        <v>-64.80000000000004</v>
      </c>
    </row>
    <row r="22" spans="1:17" x14ac:dyDescent="0.4">
      <c r="A22" s="21" t="s">
        <v>11</v>
      </c>
      <c r="B22" s="14">
        <v>389</v>
      </c>
      <c r="C22" s="8">
        <f>IF(B$19=0,0,B22/B$19)</f>
        <v>0.54027777777777775</v>
      </c>
      <c r="E22" s="29" t="s">
        <v>85</v>
      </c>
      <c r="F22" s="26" t="s">
        <v>40</v>
      </c>
      <c r="G22" s="14">
        <v>3</v>
      </c>
      <c r="H22" s="92">
        <f>IF(B$19=0,0,G22/B$19)</f>
        <v>4.1666666666666666E-3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-3.8409090909090895</v>
      </c>
      <c r="P22" s="81">
        <v>66</v>
      </c>
      <c r="Q22" s="72">
        <v>-253.49999999999991</v>
      </c>
    </row>
    <row r="23" spans="1:17" x14ac:dyDescent="0.4">
      <c r="A23" s="21" t="s">
        <v>184</v>
      </c>
      <c r="B23" s="14">
        <v>325</v>
      </c>
      <c r="C23" s="8">
        <f>IF(B$19=0,0,B23/B$19)</f>
        <v>0.4513888888888889</v>
      </c>
      <c r="E23" s="29" t="s">
        <v>73</v>
      </c>
      <c r="F23" s="26" t="s">
        <v>28</v>
      </c>
      <c r="G23" s="14">
        <v>2</v>
      </c>
      <c r="H23" s="92">
        <f>IF(B$19=0,0,G23/B$19)</f>
        <v>2.7777777777777779E-3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-14.636842105263147</v>
      </c>
      <c r="P23" s="81">
        <v>152</v>
      </c>
      <c r="Q23" s="72">
        <v>-2224.7999999999984</v>
      </c>
    </row>
    <row r="24" spans="1:17" x14ac:dyDescent="0.4">
      <c r="A24" s="21" t="s">
        <v>182</v>
      </c>
      <c r="B24" s="14">
        <v>221</v>
      </c>
      <c r="C24" s="8">
        <f>IF(B$19=0,0,B24/B$19)</f>
        <v>0.30694444444444446</v>
      </c>
      <c r="E24" s="29" t="s">
        <v>75</v>
      </c>
      <c r="F24" s="26" t="s">
        <v>30</v>
      </c>
      <c r="G24" s="14">
        <v>2</v>
      </c>
      <c r="H24" s="92">
        <f>IF(B$19=0,0,G24/B$19)</f>
        <v>2.7777777777777779E-3</v>
      </c>
      <c r="I24" s="60">
        <v>3</v>
      </c>
      <c r="K24" s="7">
        <v>22</v>
      </c>
      <c r="L24" s="65">
        <v>-7.5000000000000071</v>
      </c>
    </row>
    <row r="25" spans="1:17" x14ac:dyDescent="0.4">
      <c r="A25" s="21" t="s">
        <v>183</v>
      </c>
      <c r="B25" s="14">
        <v>174</v>
      </c>
      <c r="C25" s="8">
        <f>IF(B$19=0,0,B25/B$19)</f>
        <v>0.24166666666666667</v>
      </c>
      <c r="E25" s="29" t="s">
        <v>87</v>
      </c>
      <c r="F25" s="26" t="s">
        <v>42</v>
      </c>
      <c r="G25" s="14">
        <v>2</v>
      </c>
      <c r="H25" s="92">
        <f>IF(B$19=0,0,G25/B$19)</f>
        <v>2.7777777777777779E-3</v>
      </c>
      <c r="I25" s="60">
        <v>3</v>
      </c>
      <c r="K25" s="7">
        <v>23</v>
      </c>
      <c r="L25" s="65">
        <v>-41.600000000000009</v>
      </c>
    </row>
    <row r="26" spans="1:17" x14ac:dyDescent="0.4">
      <c r="A26" s="21" t="s">
        <v>5</v>
      </c>
      <c r="B26" s="18">
        <f>IF(B$19=0,0,C26/B$19)</f>
        <v>8829.1666666666661</v>
      </c>
      <c r="C26" s="10">
        <v>6357000</v>
      </c>
      <c r="E26" s="29" t="s">
        <v>93</v>
      </c>
      <c r="F26" s="26" t="s">
        <v>48</v>
      </c>
      <c r="G26" s="14">
        <v>2</v>
      </c>
      <c r="H26" s="92">
        <f>IF(B$19=0,0,G26/B$19)</f>
        <v>2.7777777777777779E-3</v>
      </c>
      <c r="I26" s="60">
        <v>2</v>
      </c>
      <c r="K26" s="7">
        <v>24</v>
      </c>
      <c r="L26" s="65">
        <v>-7.1054273576010019E-15</v>
      </c>
    </row>
    <row r="27" spans="1:17" x14ac:dyDescent="0.4">
      <c r="A27" s="22" t="s">
        <v>166</v>
      </c>
      <c r="B27" s="99">
        <f>IF($B$19-B$18=0,0,C27/($B$19-B$18))</f>
        <v>9434.0681362725445</v>
      </c>
      <c r="C27" s="100">
        <v>4707600</v>
      </c>
      <c r="E27" s="29" t="s">
        <v>74</v>
      </c>
      <c r="F27" s="26" t="s">
        <v>29</v>
      </c>
      <c r="G27" s="14">
        <v>1</v>
      </c>
      <c r="H27" s="92">
        <f>IF(B$19=0,0,G27/B$19)</f>
        <v>1.3888888888888889E-3</v>
      </c>
      <c r="I27" s="60">
        <v>2</v>
      </c>
      <c r="K27" s="7">
        <v>25</v>
      </c>
      <c r="L27" s="65">
        <v>-20.900000000000006</v>
      </c>
    </row>
    <row r="28" spans="1:17" x14ac:dyDescent="0.4">
      <c r="A28" s="22" t="s">
        <v>167</v>
      </c>
      <c r="B28" s="99">
        <f>IF(B$18=0,0,C28/B$18)</f>
        <v>7463.3484162895929</v>
      </c>
      <c r="C28" s="100">
        <v>1649400</v>
      </c>
      <c r="E28" s="29" t="s">
        <v>84</v>
      </c>
      <c r="F28" s="26" t="s">
        <v>39</v>
      </c>
      <c r="G28" s="14">
        <v>1</v>
      </c>
      <c r="H28" s="92">
        <f>IF(B$19=0,0,G28/B$19)</f>
        <v>1.3888888888888889E-3</v>
      </c>
      <c r="I28" s="60">
        <v>2</v>
      </c>
      <c r="K28" s="7">
        <v>26</v>
      </c>
      <c r="L28" s="65">
        <v>-21.400000000000006</v>
      </c>
    </row>
    <row r="29" spans="1:17" x14ac:dyDescent="0.4">
      <c r="A29" s="22" t="s">
        <v>165</v>
      </c>
      <c r="B29" s="99">
        <f>IF(B$20=0,0,C29/B$20)</f>
        <v>-7995.3488372093025</v>
      </c>
      <c r="C29" s="100">
        <v>-3094200</v>
      </c>
      <c r="E29" s="29" t="s">
        <v>88</v>
      </c>
      <c r="F29" s="26" t="s">
        <v>43</v>
      </c>
      <c r="G29" s="14">
        <v>1</v>
      </c>
      <c r="H29" s="92">
        <f>IF(B$19=0,0,G29/B$19)</f>
        <v>1.3888888888888889E-3</v>
      </c>
      <c r="I29" s="60">
        <v>2</v>
      </c>
      <c r="K29" s="7">
        <v>27</v>
      </c>
      <c r="L29" s="65">
        <v>-7.1054273576010019E-15</v>
      </c>
    </row>
    <row r="30" spans="1:17" x14ac:dyDescent="0.4">
      <c r="A30" s="21" t="s">
        <v>158</v>
      </c>
      <c r="B30" s="14">
        <v>9</v>
      </c>
      <c r="C30" s="94">
        <v>0</v>
      </c>
      <c r="E30" s="29" t="s">
        <v>95</v>
      </c>
      <c r="F30" s="26" t="s">
        <v>50</v>
      </c>
      <c r="G30" s="14">
        <v>1</v>
      </c>
      <c r="H30" s="92">
        <f>IF(B$19=0,0,G30/B$19)</f>
        <v>1.3888888888888889E-3</v>
      </c>
      <c r="I30" s="60">
        <v>2</v>
      </c>
      <c r="K30" s="7">
        <v>28</v>
      </c>
      <c r="L30" s="65">
        <v>3.9999999999999929</v>
      </c>
    </row>
    <row r="31" spans="1:17" x14ac:dyDescent="0.4">
      <c r="A31" s="21" t="s">
        <v>159</v>
      </c>
      <c r="B31" s="14">
        <v>38</v>
      </c>
      <c r="C31" s="94">
        <v>0</v>
      </c>
      <c r="E31" s="29" t="s">
        <v>97</v>
      </c>
      <c r="F31" s="26" t="s">
        <v>52</v>
      </c>
      <c r="G31" s="14">
        <v>1</v>
      </c>
      <c r="H31" s="92">
        <f>IF(B$19=0,0,G31/B$19)</f>
        <v>1.3888888888888889E-3</v>
      </c>
      <c r="I31" s="60">
        <v>2</v>
      </c>
      <c r="K31" s="7">
        <v>29</v>
      </c>
      <c r="L31" s="65">
        <v>29.999999999999993</v>
      </c>
    </row>
    <row r="32" spans="1:17" x14ac:dyDescent="0.4">
      <c r="A32" s="56" t="s">
        <v>136</v>
      </c>
      <c r="B32" s="125">
        <v>7</v>
      </c>
      <c r="C32" s="126"/>
      <c r="E32" s="29" t="s">
        <v>102</v>
      </c>
      <c r="F32" s="26" t="s">
        <v>57</v>
      </c>
      <c r="G32" s="14">
        <v>1</v>
      </c>
      <c r="H32" s="92">
        <f>IF(B$19=0,0,G32/B$19)</f>
        <v>1.3888888888888889E-3</v>
      </c>
      <c r="I32" s="60">
        <v>2</v>
      </c>
      <c r="K32" s="7">
        <v>30</v>
      </c>
      <c r="L32" s="65">
        <v>-7.1054273576010019E-15</v>
      </c>
    </row>
    <row r="33" spans="1:12" x14ac:dyDescent="0.4">
      <c r="A33" s="24" t="s">
        <v>181</v>
      </c>
      <c r="B33" s="127">
        <v>116000</v>
      </c>
      <c r="C33" s="128"/>
      <c r="E33" s="29" t="s">
        <v>106</v>
      </c>
      <c r="F33" s="26" t="s">
        <v>113</v>
      </c>
      <c r="G33" s="14">
        <v>1</v>
      </c>
      <c r="H33" s="92">
        <f>IF(B$19=0,0,G33/B$19)</f>
        <v>1.3888888888888889E-3</v>
      </c>
      <c r="I33" s="60">
        <v>2</v>
      </c>
      <c r="K33" s="7">
        <v>31</v>
      </c>
      <c r="L33" s="65">
        <v>-22.500000000000007</v>
      </c>
    </row>
    <row r="34" spans="1:12" x14ac:dyDescent="0.4">
      <c r="A34" s="23" t="s">
        <v>137</v>
      </c>
      <c r="B34" s="31">
        <v>6</v>
      </c>
      <c r="C34" s="11">
        <f>IF(B$3=0,0,B34/B$3)</f>
        <v>2.4125452352231603E-3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">
      <c r="A36" s="56" t="s">
        <v>172</v>
      </c>
      <c r="B36" s="121">
        <v>55</v>
      </c>
      <c r="C36" s="102">
        <f t="shared" ref="C36:C48" si="2">IF(B$19=0,0,B36/B$19)</f>
        <v>7.6388888888888895E-2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">
      <c r="A37" s="21" t="s">
        <v>168</v>
      </c>
      <c r="B37" s="14">
        <v>131</v>
      </c>
      <c r="C37" s="8">
        <f t="shared" si="2"/>
        <v>0.18194444444444444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">
      <c r="A38" s="21" t="s">
        <v>169</v>
      </c>
      <c r="B38" s="122">
        <v>122</v>
      </c>
      <c r="C38" s="8">
        <f t="shared" si="2"/>
        <v>0.16944444444444445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">
      <c r="A39" s="21" t="s">
        <v>170</v>
      </c>
      <c r="B39" s="122">
        <v>134</v>
      </c>
      <c r="C39" s="8">
        <f t="shared" si="2"/>
        <v>0.18611111111111112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">
      <c r="A40" s="21" t="s">
        <v>171</v>
      </c>
      <c r="B40" s="122">
        <v>104</v>
      </c>
      <c r="C40" s="8">
        <f t="shared" si="2"/>
        <v>0.14444444444444443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">
      <c r="A41" s="21" t="s">
        <v>173</v>
      </c>
      <c r="B41" s="122">
        <v>68</v>
      </c>
      <c r="C41" s="8">
        <f t="shared" si="2"/>
        <v>9.4444444444444442E-2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">
      <c r="A42" s="21" t="s">
        <v>174</v>
      </c>
      <c r="B42" s="122">
        <v>45</v>
      </c>
      <c r="C42" s="8">
        <f t="shared" si="2"/>
        <v>6.25E-2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">
      <c r="A43" s="21" t="s">
        <v>175</v>
      </c>
      <c r="B43" s="122">
        <v>18</v>
      </c>
      <c r="C43" s="8">
        <f t="shared" si="2"/>
        <v>2.5000000000000001E-2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">
      <c r="A44" s="21" t="s">
        <v>176</v>
      </c>
      <c r="B44" s="122">
        <v>12</v>
      </c>
      <c r="C44" s="8">
        <f t="shared" si="2"/>
        <v>1.6666666666666666E-2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">
      <c r="A45" s="21" t="s">
        <v>177</v>
      </c>
      <c r="B45" s="122">
        <v>9</v>
      </c>
      <c r="C45" s="8">
        <f t="shared" si="2"/>
        <v>1.2500000000000001E-2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">
      <c r="A46" s="21" t="s">
        <v>178</v>
      </c>
      <c r="B46" s="122">
        <v>4</v>
      </c>
      <c r="C46" s="8">
        <f t="shared" si="2"/>
        <v>5.5555555555555558E-3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">
      <c r="A47" s="21" t="s">
        <v>179</v>
      </c>
      <c r="B47" s="122">
        <v>3</v>
      </c>
      <c r="C47" s="8">
        <f t="shared" si="2"/>
        <v>4.1666666666666666E-3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">
      <c r="A48" s="23" t="s">
        <v>180</v>
      </c>
      <c r="B48" s="101">
        <v>15</v>
      </c>
      <c r="C48" s="11">
        <f t="shared" si="2"/>
        <v>2.0833333333333332E-2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">
      <c r="K53" s="7">
        <v>51</v>
      </c>
      <c r="L53" s="65">
        <v>3.5527136788005009E-15</v>
      </c>
    </row>
    <row r="54" spans="5:12" x14ac:dyDescent="0.4">
      <c r="K54" s="7">
        <v>52</v>
      </c>
      <c r="L54" s="65">
        <v>68.2</v>
      </c>
    </row>
    <row r="55" spans="5:12" x14ac:dyDescent="0.4">
      <c r="K55" s="7">
        <v>53</v>
      </c>
      <c r="L55" s="65">
        <v>44.7</v>
      </c>
    </row>
    <row r="56" spans="5:12" x14ac:dyDescent="0.4">
      <c r="K56" s="7">
        <v>54</v>
      </c>
      <c r="L56" s="65">
        <v>0</v>
      </c>
    </row>
    <row r="57" spans="5:12" x14ac:dyDescent="0.4">
      <c r="K57" s="7">
        <v>55</v>
      </c>
      <c r="L57" s="65">
        <v>-1</v>
      </c>
    </row>
    <row r="58" spans="5:12" x14ac:dyDescent="0.4">
      <c r="K58" s="7">
        <v>56</v>
      </c>
      <c r="L58" s="65">
        <v>27</v>
      </c>
    </row>
    <row r="59" spans="5:12" x14ac:dyDescent="0.4">
      <c r="K59" s="7">
        <v>57</v>
      </c>
      <c r="L59" s="65">
        <v>0</v>
      </c>
    </row>
    <row r="60" spans="5:12" x14ac:dyDescent="0.4">
      <c r="K60" s="7">
        <v>58</v>
      </c>
      <c r="L60" s="65">
        <v>-32.299999999999997</v>
      </c>
    </row>
    <row r="61" spans="5:12" x14ac:dyDescent="0.4">
      <c r="K61" s="7">
        <v>59</v>
      </c>
      <c r="L61" s="65">
        <v>-52.199999999999996</v>
      </c>
    </row>
    <row r="62" spans="5:12" x14ac:dyDescent="0.4">
      <c r="K62" s="7">
        <v>60</v>
      </c>
      <c r="L62" s="65">
        <v>7.1054273576010019E-15</v>
      </c>
    </row>
    <row r="63" spans="5:12" x14ac:dyDescent="0.4">
      <c r="K63" s="7">
        <v>61</v>
      </c>
      <c r="L63" s="65">
        <v>43.500000000000007</v>
      </c>
    </row>
    <row r="64" spans="5:12" x14ac:dyDescent="0.4">
      <c r="K64" s="7">
        <v>62</v>
      </c>
      <c r="L64" s="65">
        <v>7.8000000000000043</v>
      </c>
    </row>
    <row r="65" spans="11:12" x14ac:dyDescent="0.4">
      <c r="K65" s="7">
        <v>63</v>
      </c>
      <c r="L65" s="65">
        <v>4.4408920985006262E-15</v>
      </c>
    </row>
    <row r="66" spans="11:12" x14ac:dyDescent="0.4">
      <c r="K66" s="7">
        <v>64</v>
      </c>
      <c r="L66" s="65">
        <v>-52.79999999999999</v>
      </c>
    </row>
    <row r="67" spans="11:12" x14ac:dyDescent="0.4">
      <c r="K67" s="7">
        <v>65</v>
      </c>
      <c r="L67" s="65">
        <v>7.5000000000000071</v>
      </c>
    </row>
    <row r="68" spans="11:12" x14ac:dyDescent="0.4">
      <c r="K68" s="7">
        <v>66</v>
      </c>
      <c r="L68" s="65">
        <v>7.1054273576010019E-15</v>
      </c>
    </row>
    <row r="69" spans="11:12" x14ac:dyDescent="0.4">
      <c r="K69" s="7">
        <v>67</v>
      </c>
      <c r="L69" s="65">
        <v>-14.799999999999994</v>
      </c>
    </row>
    <row r="70" spans="11:12" x14ac:dyDescent="0.4">
      <c r="K70" s="7">
        <v>68</v>
      </c>
      <c r="L70" s="65">
        <v>-49.5</v>
      </c>
    </row>
    <row r="71" spans="11:12" x14ac:dyDescent="0.4">
      <c r="K71" s="7">
        <v>69</v>
      </c>
      <c r="L71" s="65">
        <v>0</v>
      </c>
    </row>
    <row r="72" spans="11:12" x14ac:dyDescent="0.4">
      <c r="K72" s="7">
        <v>70</v>
      </c>
      <c r="L72" s="65">
        <v>6.4</v>
      </c>
    </row>
    <row r="73" spans="11:12" x14ac:dyDescent="0.4">
      <c r="K73" s="7">
        <v>71</v>
      </c>
      <c r="L73" s="65">
        <v>-24.6</v>
      </c>
    </row>
    <row r="74" spans="11:12" x14ac:dyDescent="0.4">
      <c r="K74" s="7">
        <v>72</v>
      </c>
      <c r="L74" s="65">
        <v>0</v>
      </c>
    </row>
    <row r="75" spans="11:12" x14ac:dyDescent="0.4">
      <c r="K75" s="7">
        <v>73</v>
      </c>
      <c r="L75" s="65">
        <v>-49.4</v>
      </c>
    </row>
    <row r="76" spans="11:12" x14ac:dyDescent="0.4">
      <c r="K76" s="7">
        <v>74</v>
      </c>
      <c r="L76" s="65">
        <v>-37.200000000000003</v>
      </c>
    </row>
    <row r="77" spans="11:12" x14ac:dyDescent="0.4">
      <c r="K77" s="7">
        <v>75</v>
      </c>
      <c r="L77" s="65">
        <v>0</v>
      </c>
    </row>
    <row r="78" spans="11:12" x14ac:dyDescent="0.4">
      <c r="K78" s="7">
        <v>76</v>
      </c>
      <c r="L78" s="65">
        <v>-14.6</v>
      </c>
    </row>
    <row r="79" spans="11:12" x14ac:dyDescent="0.4">
      <c r="K79" s="7">
        <v>77</v>
      </c>
      <c r="L79" s="65">
        <v>-63.5</v>
      </c>
    </row>
    <row r="80" spans="11:12" x14ac:dyDescent="0.4">
      <c r="K80" s="7">
        <v>78</v>
      </c>
      <c r="L80" s="65">
        <v>0</v>
      </c>
    </row>
    <row r="81" spans="11:12" x14ac:dyDescent="0.4">
      <c r="K81" s="7">
        <v>79</v>
      </c>
      <c r="L81" s="65">
        <v>30</v>
      </c>
    </row>
    <row r="82" spans="11:12" x14ac:dyDescent="0.4">
      <c r="K82" s="7">
        <v>80</v>
      </c>
      <c r="L82" s="65">
        <v>21.6</v>
      </c>
    </row>
    <row r="83" spans="11:12" x14ac:dyDescent="0.4">
      <c r="K83" s="7">
        <v>81</v>
      </c>
      <c r="L83" s="65">
        <v>0</v>
      </c>
    </row>
    <row r="84" spans="11:12" x14ac:dyDescent="0.4">
      <c r="K84" s="7">
        <v>82</v>
      </c>
      <c r="L84" s="65">
        <v>1.5</v>
      </c>
    </row>
    <row r="85" spans="11:12" x14ac:dyDescent="0.4">
      <c r="K85" s="7">
        <v>83</v>
      </c>
      <c r="L85" s="65">
        <v>50.1</v>
      </c>
    </row>
    <row r="86" spans="11:12" x14ac:dyDescent="0.4">
      <c r="K86" s="7">
        <v>84</v>
      </c>
      <c r="L86" s="65">
        <v>0</v>
      </c>
    </row>
    <row r="87" spans="11:12" x14ac:dyDescent="0.4">
      <c r="K87" s="7">
        <v>85</v>
      </c>
      <c r="L87" s="65">
        <v>26</v>
      </c>
    </row>
    <row r="88" spans="11:12" x14ac:dyDescent="0.4">
      <c r="K88" s="7">
        <v>86</v>
      </c>
      <c r="L88" s="65">
        <v>-5.6999999999999993</v>
      </c>
    </row>
    <row r="89" spans="11:12" x14ac:dyDescent="0.4">
      <c r="K89" s="7">
        <v>87</v>
      </c>
      <c r="L89" s="65">
        <v>8.8817841970012523E-16</v>
      </c>
    </row>
    <row r="90" spans="11:12" x14ac:dyDescent="0.4">
      <c r="K90" s="7">
        <v>88</v>
      </c>
      <c r="L90" s="65">
        <v>-45.2</v>
      </c>
    </row>
    <row r="91" spans="11:12" x14ac:dyDescent="0.4">
      <c r="K91" s="7">
        <v>89</v>
      </c>
      <c r="L91" s="65">
        <v>-3.5</v>
      </c>
    </row>
    <row r="92" spans="11:12" x14ac:dyDescent="0.4">
      <c r="K92" s="7">
        <v>90</v>
      </c>
      <c r="L92" s="65">
        <v>0</v>
      </c>
    </row>
    <row r="93" spans="11:12" x14ac:dyDescent="0.4">
      <c r="K93" s="7">
        <v>91</v>
      </c>
      <c r="L93" s="65">
        <v>-10.7</v>
      </c>
    </row>
    <row r="94" spans="11:12" x14ac:dyDescent="0.4">
      <c r="K94" s="7">
        <v>92</v>
      </c>
      <c r="L94" s="65">
        <v>-34</v>
      </c>
    </row>
    <row r="95" spans="11:12" x14ac:dyDescent="0.4">
      <c r="K95" s="7">
        <v>93</v>
      </c>
      <c r="L95" s="65">
        <v>0</v>
      </c>
    </row>
    <row r="96" spans="11:12" x14ac:dyDescent="0.4">
      <c r="K96" s="7">
        <v>94</v>
      </c>
      <c r="L96" s="65">
        <v>-0.9</v>
      </c>
    </row>
    <row r="97" spans="11:12" x14ac:dyDescent="0.4">
      <c r="K97" s="7">
        <v>95</v>
      </c>
      <c r="L97" s="65">
        <v>15.200000000000001</v>
      </c>
    </row>
    <row r="98" spans="11:12" x14ac:dyDescent="0.4">
      <c r="K98" s="7">
        <v>96</v>
      </c>
      <c r="L98" s="65">
        <v>1.7763568394002505E-15</v>
      </c>
    </row>
    <row r="99" spans="11:12" x14ac:dyDescent="0.4">
      <c r="K99" s="7">
        <v>97</v>
      </c>
      <c r="L99" s="65">
        <v>-12.599999999999998</v>
      </c>
    </row>
    <row r="100" spans="11:12" x14ac:dyDescent="0.4">
      <c r="K100" s="7">
        <v>98</v>
      </c>
      <c r="L100" s="65">
        <v>-57.8</v>
      </c>
    </row>
    <row r="101" spans="11:12" x14ac:dyDescent="0.4">
      <c r="K101" s="7">
        <v>99</v>
      </c>
      <c r="L101" s="65">
        <v>0</v>
      </c>
    </row>
    <row r="102" spans="11:12" x14ac:dyDescent="0.4">
      <c r="K102" s="7">
        <v>100</v>
      </c>
      <c r="L102" s="65">
        <v>-4</v>
      </c>
    </row>
    <row r="103" spans="11:12" x14ac:dyDescent="0.4">
      <c r="K103" s="7">
        <v>101</v>
      </c>
      <c r="L103" s="65">
        <v>47.3</v>
      </c>
    </row>
    <row r="104" spans="11:12" x14ac:dyDescent="0.4">
      <c r="K104" s="7">
        <v>102</v>
      </c>
      <c r="L104" s="65">
        <v>0</v>
      </c>
    </row>
    <row r="105" spans="11:12" x14ac:dyDescent="0.4">
      <c r="K105" s="7">
        <v>103</v>
      </c>
      <c r="L105" s="65">
        <v>-57.1</v>
      </c>
    </row>
    <row r="106" spans="11:12" x14ac:dyDescent="0.4">
      <c r="K106" s="7">
        <v>104</v>
      </c>
      <c r="L106" s="65">
        <v>-52.800000000000004</v>
      </c>
    </row>
    <row r="107" spans="11:12" x14ac:dyDescent="0.4">
      <c r="K107" s="7">
        <v>105</v>
      </c>
      <c r="L107" s="65">
        <v>-7.1054273576010019E-15</v>
      </c>
    </row>
    <row r="108" spans="11:12" x14ac:dyDescent="0.4">
      <c r="K108" s="7">
        <v>106</v>
      </c>
      <c r="L108" s="65">
        <v>-20.000000000000007</v>
      </c>
    </row>
    <row r="109" spans="11:12" x14ac:dyDescent="0.4">
      <c r="K109" s="7">
        <v>107</v>
      </c>
      <c r="L109" s="65">
        <v>52.999999999999993</v>
      </c>
    </row>
    <row r="110" spans="11:12" x14ac:dyDescent="0.4">
      <c r="K110" s="7">
        <v>108</v>
      </c>
      <c r="L110" s="65">
        <v>-7.1054273576010019E-15</v>
      </c>
    </row>
    <row r="111" spans="11:12" x14ac:dyDescent="0.4">
      <c r="K111" s="7">
        <v>109</v>
      </c>
      <c r="L111" s="65">
        <v>54.399999999999991</v>
      </c>
    </row>
    <row r="112" spans="11:12" x14ac:dyDescent="0.4">
      <c r="K112" s="7">
        <v>110</v>
      </c>
      <c r="L112" s="65">
        <v>4.2999999999999901</v>
      </c>
    </row>
    <row r="113" spans="11:12" x14ac:dyDescent="0.4">
      <c r="K113" s="7">
        <v>111</v>
      </c>
      <c r="L113" s="65">
        <v>-9.7699626167013776E-15</v>
      </c>
    </row>
    <row r="114" spans="11:12" x14ac:dyDescent="0.4">
      <c r="K114" s="7">
        <v>112</v>
      </c>
      <c r="L114" s="65">
        <v>-48.20000000000001</v>
      </c>
    </row>
    <row r="115" spans="11:12" x14ac:dyDescent="0.4">
      <c r="K115" s="7">
        <v>113</v>
      </c>
      <c r="L115" s="65">
        <v>11.499999999999993</v>
      </c>
    </row>
    <row r="116" spans="11:12" x14ac:dyDescent="0.4">
      <c r="K116" s="7">
        <v>114</v>
      </c>
      <c r="L116" s="65">
        <v>-7.1054273576010019E-15</v>
      </c>
    </row>
    <row r="117" spans="11:12" x14ac:dyDescent="0.4">
      <c r="K117" s="7">
        <v>115</v>
      </c>
      <c r="L117" s="65">
        <v>22.299999999999994</v>
      </c>
    </row>
    <row r="118" spans="11:12" x14ac:dyDescent="0.4">
      <c r="K118" s="7">
        <v>116</v>
      </c>
      <c r="L118" s="65">
        <v>27.299999999999994</v>
      </c>
    </row>
    <row r="119" spans="11:12" x14ac:dyDescent="0.4">
      <c r="K119" s="7">
        <v>117</v>
      </c>
      <c r="L119" s="65">
        <v>-7.1054273576010019E-15</v>
      </c>
    </row>
    <row r="120" spans="11:12" x14ac:dyDescent="0.4">
      <c r="K120" s="7">
        <v>118</v>
      </c>
      <c r="L120" s="65">
        <v>-9.5000000000000071</v>
      </c>
    </row>
    <row r="121" spans="11:12" x14ac:dyDescent="0.4">
      <c r="K121" s="7">
        <v>119</v>
      </c>
      <c r="L121" s="65">
        <v>22.099999999999994</v>
      </c>
    </row>
    <row r="122" spans="11:12" x14ac:dyDescent="0.4">
      <c r="K122" s="7">
        <v>120</v>
      </c>
      <c r="L122" s="65">
        <v>-7.1054273576010019E-15</v>
      </c>
    </row>
    <row r="123" spans="11:12" x14ac:dyDescent="0.4">
      <c r="K123" s="7">
        <v>121</v>
      </c>
      <c r="L123" s="65">
        <v>-36.400000000000006</v>
      </c>
    </row>
    <row r="124" spans="11:12" x14ac:dyDescent="0.4">
      <c r="K124" s="7">
        <v>122</v>
      </c>
      <c r="L124" s="65">
        <v>-61.600000000000009</v>
      </c>
    </row>
    <row r="125" spans="11:12" x14ac:dyDescent="0.4">
      <c r="K125" s="7">
        <v>123</v>
      </c>
      <c r="L125" s="65">
        <v>-7.1054273576010019E-15</v>
      </c>
    </row>
    <row r="126" spans="11:12" x14ac:dyDescent="0.4">
      <c r="K126" s="7">
        <v>124</v>
      </c>
      <c r="L126" s="65">
        <v>-2.3000000000000069</v>
      </c>
    </row>
    <row r="127" spans="11:12" x14ac:dyDescent="0.4">
      <c r="K127" s="7">
        <v>125</v>
      </c>
      <c r="L127" s="65">
        <v>-24.800000000000008</v>
      </c>
    </row>
    <row r="128" spans="11:12" x14ac:dyDescent="0.4">
      <c r="K128" s="7">
        <v>126</v>
      </c>
      <c r="L128" s="65">
        <v>-7.1054273576010019E-15</v>
      </c>
    </row>
    <row r="129" spans="11:12" x14ac:dyDescent="0.4">
      <c r="K129" s="7">
        <v>127</v>
      </c>
      <c r="L129" s="65">
        <v>-27.500000000000007</v>
      </c>
    </row>
    <row r="130" spans="11:12" x14ac:dyDescent="0.4">
      <c r="K130" s="7">
        <v>128</v>
      </c>
      <c r="L130" s="65">
        <v>-22.000000000000007</v>
      </c>
    </row>
    <row r="131" spans="11:12" x14ac:dyDescent="0.4">
      <c r="K131" s="7">
        <v>129</v>
      </c>
      <c r="L131" s="65">
        <v>-7.1054273576010019E-15</v>
      </c>
    </row>
    <row r="132" spans="11:12" x14ac:dyDescent="0.4">
      <c r="K132" s="7">
        <v>130</v>
      </c>
      <c r="L132" s="65">
        <v>70</v>
      </c>
    </row>
    <row r="133" spans="11:12" x14ac:dyDescent="0.4">
      <c r="K133" s="7">
        <v>131</v>
      </c>
      <c r="L133" s="65">
        <v>46.5</v>
      </c>
    </row>
    <row r="134" spans="11:12" x14ac:dyDescent="0.4">
      <c r="K134" s="7">
        <v>132</v>
      </c>
      <c r="L134" s="65">
        <v>0</v>
      </c>
    </row>
    <row r="135" spans="11:12" x14ac:dyDescent="0.4">
      <c r="K135" s="7">
        <v>133</v>
      </c>
      <c r="L135" s="65">
        <v>-5.4</v>
      </c>
    </row>
    <row r="136" spans="11:12" x14ac:dyDescent="0.4">
      <c r="K136" s="7">
        <v>134</v>
      </c>
      <c r="L136" s="65">
        <v>31.9</v>
      </c>
    </row>
    <row r="137" spans="11:12" x14ac:dyDescent="0.4">
      <c r="K137" s="7">
        <v>135</v>
      </c>
      <c r="L137" s="65">
        <v>0</v>
      </c>
    </row>
    <row r="138" spans="11:12" x14ac:dyDescent="0.4">
      <c r="K138" s="7">
        <v>136</v>
      </c>
      <c r="L138" s="65">
        <v>1.3</v>
      </c>
    </row>
    <row r="139" spans="11:12" x14ac:dyDescent="0.4">
      <c r="K139" s="7">
        <v>137</v>
      </c>
      <c r="L139" s="65">
        <v>-13.799999999999999</v>
      </c>
    </row>
    <row r="140" spans="11:12" x14ac:dyDescent="0.4">
      <c r="K140" s="7">
        <v>138</v>
      </c>
      <c r="L140" s="65">
        <v>1.7763568394002505E-15</v>
      </c>
    </row>
    <row r="141" spans="11:12" x14ac:dyDescent="0.4">
      <c r="K141" s="7">
        <v>139</v>
      </c>
      <c r="L141" s="65">
        <v>87.3</v>
      </c>
    </row>
    <row r="142" spans="11:12" x14ac:dyDescent="0.4">
      <c r="K142" s="7">
        <v>140</v>
      </c>
      <c r="L142" s="65">
        <v>65</v>
      </c>
    </row>
    <row r="143" spans="11:12" x14ac:dyDescent="0.4">
      <c r="K143" s="7">
        <v>141</v>
      </c>
      <c r="L143" s="65">
        <v>0</v>
      </c>
    </row>
    <row r="144" spans="11:12" x14ac:dyDescent="0.4">
      <c r="K144" s="7">
        <v>142</v>
      </c>
      <c r="L144" s="65">
        <v>6.3</v>
      </c>
    </row>
    <row r="145" spans="11:12" x14ac:dyDescent="0.4">
      <c r="K145" s="7">
        <v>143</v>
      </c>
      <c r="L145" s="65">
        <v>52.9</v>
      </c>
    </row>
    <row r="146" spans="11:12" x14ac:dyDescent="0.4">
      <c r="K146" s="7">
        <v>144</v>
      </c>
      <c r="L146" s="65">
        <v>0</v>
      </c>
    </row>
    <row r="147" spans="11:12" x14ac:dyDescent="0.4">
      <c r="K147" s="7">
        <v>145</v>
      </c>
      <c r="L147" s="65">
        <v>-72.7</v>
      </c>
    </row>
    <row r="148" spans="11:12" x14ac:dyDescent="0.4">
      <c r="K148" s="7">
        <v>146</v>
      </c>
      <c r="L148" s="65">
        <v>-49.5</v>
      </c>
    </row>
    <row r="149" spans="11:12" x14ac:dyDescent="0.4">
      <c r="K149" s="7">
        <v>147</v>
      </c>
      <c r="L149" s="65">
        <v>0</v>
      </c>
    </row>
    <row r="150" spans="11:12" x14ac:dyDescent="0.4">
      <c r="K150" s="7">
        <v>148</v>
      </c>
      <c r="L150" s="65">
        <v>8.6</v>
      </c>
    </row>
    <row r="151" spans="11:12" x14ac:dyDescent="0.4">
      <c r="K151" s="7">
        <v>149</v>
      </c>
      <c r="L151" s="65">
        <v>46.6</v>
      </c>
    </row>
    <row r="152" spans="11:12" x14ac:dyDescent="0.4">
      <c r="K152" s="7">
        <v>150</v>
      </c>
      <c r="L152" s="65">
        <v>0</v>
      </c>
    </row>
    <row r="153" spans="11:12" x14ac:dyDescent="0.4">
      <c r="K153" s="7">
        <v>151</v>
      </c>
      <c r="L153" s="65">
        <v>-40.799999999999997</v>
      </c>
    </row>
    <row r="154" spans="11:12" x14ac:dyDescent="0.4">
      <c r="K154" s="7">
        <v>152</v>
      </c>
      <c r="L154" s="65">
        <v>-33.599999999999994</v>
      </c>
    </row>
    <row r="155" spans="11:12" x14ac:dyDescent="0.4">
      <c r="K155" s="7">
        <v>153</v>
      </c>
      <c r="L155" s="65">
        <v>7.1054273576010019E-15</v>
      </c>
    </row>
    <row r="156" spans="11:12" x14ac:dyDescent="0.4">
      <c r="K156" s="7">
        <v>154</v>
      </c>
      <c r="L156" s="65">
        <v>-33.399999999999991</v>
      </c>
    </row>
    <row r="157" spans="11:12" x14ac:dyDescent="0.4">
      <c r="K157" s="7">
        <v>155</v>
      </c>
      <c r="L157" s="65">
        <v>-41.599999999999994</v>
      </c>
    </row>
    <row r="158" spans="11:12" x14ac:dyDescent="0.4">
      <c r="K158" s="7">
        <v>156</v>
      </c>
      <c r="L158" s="65">
        <v>7.1054273576010019E-15</v>
      </c>
    </row>
    <row r="159" spans="11:12" x14ac:dyDescent="0.4">
      <c r="K159" s="7">
        <v>157</v>
      </c>
      <c r="L159" s="65">
        <v>-33.399999999999991</v>
      </c>
    </row>
    <row r="160" spans="11:12" x14ac:dyDescent="0.4">
      <c r="K160" s="7">
        <v>158</v>
      </c>
      <c r="L160" s="65">
        <v>57.600000000000009</v>
      </c>
    </row>
    <row r="161" spans="11:12" x14ac:dyDescent="0.4">
      <c r="K161" s="7">
        <v>159</v>
      </c>
      <c r="L161" s="65">
        <v>7.1054273576010019E-15</v>
      </c>
    </row>
    <row r="162" spans="11:12" x14ac:dyDescent="0.4">
      <c r="K162" s="7">
        <v>160</v>
      </c>
      <c r="L162" s="65">
        <v>6.8000000000000069</v>
      </c>
    </row>
    <row r="163" spans="11:12" x14ac:dyDescent="0.4">
      <c r="K163" s="7">
        <v>161</v>
      </c>
      <c r="L163" s="65">
        <v>48.1</v>
      </c>
    </row>
    <row r="164" spans="11:12" x14ac:dyDescent="0.4">
      <c r="K164" s="7">
        <v>162</v>
      </c>
      <c r="L164" s="65">
        <v>0</v>
      </c>
    </row>
    <row r="165" spans="11:12" x14ac:dyDescent="0.4">
      <c r="K165" s="7">
        <v>163</v>
      </c>
      <c r="L165" s="65">
        <v>64</v>
      </c>
    </row>
    <row r="166" spans="11:12" x14ac:dyDescent="0.4">
      <c r="K166" s="7">
        <v>164</v>
      </c>
      <c r="L166" s="65">
        <v>26.799999999999997</v>
      </c>
    </row>
    <row r="167" spans="11:12" x14ac:dyDescent="0.4">
      <c r="K167" s="7">
        <v>165</v>
      </c>
      <c r="L167" s="65">
        <v>-3.5527136788005009E-15</v>
      </c>
    </row>
    <row r="168" spans="11:12" x14ac:dyDescent="0.4">
      <c r="K168" s="7">
        <v>166</v>
      </c>
      <c r="L168" s="65">
        <v>-25.800000000000004</v>
      </c>
    </row>
    <row r="169" spans="11:12" x14ac:dyDescent="0.4">
      <c r="K169" s="7">
        <v>167</v>
      </c>
      <c r="L169" s="65">
        <v>-19.100000000000005</v>
      </c>
    </row>
    <row r="170" spans="11:12" x14ac:dyDescent="0.4">
      <c r="K170" s="7">
        <v>168</v>
      </c>
      <c r="L170" s="65">
        <v>-3.5527136788005009E-15</v>
      </c>
    </row>
    <row r="171" spans="11:12" x14ac:dyDescent="0.4">
      <c r="K171" s="7">
        <v>169</v>
      </c>
      <c r="L171" s="65">
        <v>3.1999999999999966</v>
      </c>
    </row>
    <row r="172" spans="11:12" x14ac:dyDescent="0.4">
      <c r="K172" s="7">
        <v>170</v>
      </c>
      <c r="L172" s="65">
        <v>-44.400000000000006</v>
      </c>
    </row>
    <row r="173" spans="11:12" x14ac:dyDescent="0.4">
      <c r="K173" s="7">
        <v>171</v>
      </c>
      <c r="L173" s="65">
        <v>-7.1054273576010019E-15</v>
      </c>
    </row>
    <row r="174" spans="11:12" x14ac:dyDescent="0.4">
      <c r="K174" s="7">
        <v>172</v>
      </c>
      <c r="L174" s="65">
        <v>-26.300000000000008</v>
      </c>
    </row>
    <row r="175" spans="11:12" x14ac:dyDescent="0.4">
      <c r="K175" s="7">
        <v>173</v>
      </c>
      <c r="L175" s="65">
        <v>-25.500000000000007</v>
      </c>
    </row>
    <row r="176" spans="11:12" x14ac:dyDescent="0.4">
      <c r="K176" s="7">
        <v>174</v>
      </c>
      <c r="L176" s="65">
        <v>-7.1054273576010019E-15</v>
      </c>
    </row>
    <row r="177" spans="11:12" x14ac:dyDescent="0.4">
      <c r="K177" s="7">
        <v>175</v>
      </c>
      <c r="L177" s="65">
        <v>54.699999999999996</v>
      </c>
    </row>
    <row r="178" spans="11:12" x14ac:dyDescent="0.4">
      <c r="K178" s="7">
        <v>176</v>
      </c>
      <c r="L178" s="65">
        <v>50.3</v>
      </c>
    </row>
    <row r="179" spans="11:12" x14ac:dyDescent="0.4">
      <c r="K179" s="7">
        <v>177</v>
      </c>
      <c r="L179" s="65">
        <v>0</v>
      </c>
    </row>
    <row r="180" spans="11:12" x14ac:dyDescent="0.4">
      <c r="K180" s="7">
        <v>178</v>
      </c>
      <c r="L180" s="65">
        <v>8.6</v>
      </c>
    </row>
    <row r="181" spans="11:12" x14ac:dyDescent="0.4">
      <c r="K181" s="7">
        <v>179</v>
      </c>
      <c r="L181" s="65">
        <v>47.300000000000004</v>
      </c>
    </row>
    <row r="182" spans="11:12" x14ac:dyDescent="0.4">
      <c r="K182" s="7">
        <v>180</v>
      </c>
      <c r="L182" s="65">
        <v>7.1054273576010019E-15</v>
      </c>
    </row>
    <row r="183" spans="11:12" x14ac:dyDescent="0.4">
      <c r="K183" s="7">
        <v>181</v>
      </c>
      <c r="L183" s="65">
        <v>-11.799999999999994</v>
      </c>
    </row>
    <row r="184" spans="11:12" x14ac:dyDescent="0.4">
      <c r="K184" s="7">
        <v>182</v>
      </c>
      <c r="L184" s="65">
        <v>-44.8</v>
      </c>
    </row>
    <row r="185" spans="11:12" x14ac:dyDescent="0.4">
      <c r="K185" s="7">
        <v>183</v>
      </c>
      <c r="L185" s="65">
        <v>0</v>
      </c>
    </row>
    <row r="186" spans="11:12" x14ac:dyDescent="0.4">
      <c r="K186" s="7">
        <v>184</v>
      </c>
      <c r="L186" s="65">
        <v>-45.6</v>
      </c>
    </row>
    <row r="187" spans="11:12" x14ac:dyDescent="0.4">
      <c r="K187" s="7">
        <v>185</v>
      </c>
      <c r="L187" s="65">
        <v>3.8999999999999986</v>
      </c>
    </row>
    <row r="188" spans="11:12" x14ac:dyDescent="0.4">
      <c r="K188" s="7">
        <v>186</v>
      </c>
      <c r="L188" s="65">
        <v>-1.3322676295501878E-15</v>
      </c>
    </row>
    <row r="189" spans="11:12" x14ac:dyDescent="0.4">
      <c r="K189" s="7">
        <v>187</v>
      </c>
      <c r="L189" s="65">
        <v>45.3</v>
      </c>
    </row>
    <row r="190" spans="11:12" x14ac:dyDescent="0.4">
      <c r="K190" s="7">
        <v>188</v>
      </c>
      <c r="L190" s="65">
        <v>40.599999999999994</v>
      </c>
    </row>
    <row r="191" spans="11:12" x14ac:dyDescent="0.4">
      <c r="K191" s="7">
        <v>189</v>
      </c>
      <c r="L191" s="65">
        <v>-7.1054273576010019E-15</v>
      </c>
    </row>
    <row r="192" spans="11:12" x14ac:dyDescent="0.4">
      <c r="K192" s="7">
        <v>190</v>
      </c>
      <c r="L192" s="65">
        <v>-54.400000000000006</v>
      </c>
    </row>
    <row r="193" spans="11:12" x14ac:dyDescent="0.4">
      <c r="K193" s="7">
        <v>191</v>
      </c>
      <c r="L193" s="65">
        <v>16.599999999999994</v>
      </c>
    </row>
    <row r="194" spans="11:12" x14ac:dyDescent="0.4">
      <c r="K194" s="7">
        <v>192</v>
      </c>
      <c r="L194" s="65">
        <v>-7.1054273576010019E-15</v>
      </c>
    </row>
    <row r="195" spans="11:12" x14ac:dyDescent="0.4">
      <c r="K195" s="7">
        <v>193</v>
      </c>
      <c r="L195" s="65">
        <v>-23.700000000000006</v>
      </c>
    </row>
    <row r="196" spans="11:12" x14ac:dyDescent="0.4">
      <c r="K196" s="7">
        <v>194</v>
      </c>
      <c r="L196" s="65">
        <v>-22.300000000000008</v>
      </c>
    </row>
    <row r="197" spans="11:12" x14ac:dyDescent="0.4">
      <c r="K197" s="7">
        <v>195</v>
      </c>
      <c r="L197" s="65">
        <v>-7.1054273576010019E-15</v>
      </c>
    </row>
    <row r="198" spans="11:12" x14ac:dyDescent="0.4">
      <c r="K198" s="7">
        <v>196</v>
      </c>
      <c r="L198" s="65">
        <v>-50.400000000000006</v>
      </c>
    </row>
    <row r="199" spans="11:12" x14ac:dyDescent="0.4">
      <c r="K199" s="7">
        <v>197</v>
      </c>
      <c r="L199" s="65">
        <v>-79.100000000000009</v>
      </c>
    </row>
    <row r="200" spans="11:12" x14ac:dyDescent="0.4">
      <c r="K200" s="7">
        <v>198</v>
      </c>
      <c r="L200" s="65">
        <v>-1.4210854715202004E-14</v>
      </c>
    </row>
    <row r="201" spans="11:12" x14ac:dyDescent="0.4">
      <c r="K201" s="7">
        <v>199</v>
      </c>
      <c r="L201" s="65">
        <v>29.399999999999984</v>
      </c>
    </row>
    <row r="202" spans="11:12" x14ac:dyDescent="0.4">
      <c r="K202" s="7">
        <v>200</v>
      </c>
      <c r="L202" s="65">
        <v>-6.5000000000000142</v>
      </c>
    </row>
    <row r="203" spans="11:12" x14ac:dyDescent="0.4">
      <c r="K203" s="7">
        <v>201</v>
      </c>
      <c r="L203" s="65">
        <v>-1.4210854715202004E-14</v>
      </c>
    </row>
    <row r="204" spans="11:12" x14ac:dyDescent="0.4">
      <c r="K204" s="7">
        <v>202</v>
      </c>
      <c r="L204" s="65">
        <v>12.499999999999986</v>
      </c>
    </row>
    <row r="205" spans="11:12" x14ac:dyDescent="0.4">
      <c r="K205" s="7">
        <v>203</v>
      </c>
      <c r="L205" s="65">
        <v>13.199999999999985</v>
      </c>
    </row>
    <row r="206" spans="11:12" x14ac:dyDescent="0.4">
      <c r="K206" s="7">
        <v>204</v>
      </c>
      <c r="L206" s="65">
        <v>-1.4210854715202004E-14</v>
      </c>
    </row>
    <row r="207" spans="11:12" x14ac:dyDescent="0.4">
      <c r="K207" s="7">
        <v>205</v>
      </c>
      <c r="L207" s="65">
        <v>40.099999999999987</v>
      </c>
    </row>
    <row r="208" spans="11:12" x14ac:dyDescent="0.4">
      <c r="K208" s="7">
        <v>206</v>
      </c>
      <c r="L208" s="65">
        <v>4.7999999999999901</v>
      </c>
    </row>
    <row r="209" spans="11:12" x14ac:dyDescent="0.4">
      <c r="K209" s="7">
        <v>207</v>
      </c>
      <c r="L209" s="65">
        <v>-9.7699626167013776E-15</v>
      </c>
    </row>
    <row r="210" spans="11:12" x14ac:dyDescent="0.4">
      <c r="K210" s="7">
        <v>208</v>
      </c>
      <c r="L210" s="65">
        <v>5.4999999999999902</v>
      </c>
    </row>
    <row r="211" spans="11:12" x14ac:dyDescent="0.4">
      <c r="K211" s="7">
        <v>209</v>
      </c>
      <c r="L211" s="65">
        <v>-45.100000000000009</v>
      </c>
    </row>
    <row r="212" spans="11:12" x14ac:dyDescent="0.4">
      <c r="K212" s="7">
        <v>210</v>
      </c>
      <c r="L212" s="65">
        <v>-7.1054273576010019E-15</v>
      </c>
    </row>
    <row r="213" spans="11:12" x14ac:dyDescent="0.4">
      <c r="K213" s="7">
        <v>211</v>
      </c>
      <c r="L213" s="65">
        <v>-25.900000000000006</v>
      </c>
    </row>
    <row r="214" spans="11:12" x14ac:dyDescent="0.4">
      <c r="K214" s="7">
        <v>212</v>
      </c>
      <c r="L214" s="65">
        <v>-21.000000000000007</v>
      </c>
    </row>
    <row r="215" spans="11:12" x14ac:dyDescent="0.4">
      <c r="K215" s="7">
        <v>213</v>
      </c>
      <c r="L215" s="65">
        <v>-7.1054273576010019E-15</v>
      </c>
    </row>
    <row r="216" spans="11:12" x14ac:dyDescent="0.4">
      <c r="K216" s="7">
        <v>214</v>
      </c>
      <c r="L216" s="65">
        <v>73.699999999999989</v>
      </c>
    </row>
    <row r="217" spans="11:12" x14ac:dyDescent="0.4">
      <c r="K217" s="7">
        <v>215</v>
      </c>
      <c r="L217" s="65">
        <v>51.199999999999989</v>
      </c>
    </row>
    <row r="218" spans="11:12" x14ac:dyDescent="0.4">
      <c r="K218" s="7">
        <v>216</v>
      </c>
      <c r="L218" s="65">
        <v>-1.4210854715202004E-14</v>
      </c>
    </row>
    <row r="219" spans="11:12" x14ac:dyDescent="0.4">
      <c r="K219" s="7">
        <v>217</v>
      </c>
      <c r="L219" s="65">
        <v>-65.200000000000017</v>
      </c>
    </row>
    <row r="220" spans="11:12" x14ac:dyDescent="0.4">
      <c r="K220" s="7">
        <v>218</v>
      </c>
      <c r="L220" s="65">
        <v>-45.800000000000018</v>
      </c>
    </row>
    <row r="221" spans="11:12" x14ac:dyDescent="0.4">
      <c r="K221" s="7">
        <v>219</v>
      </c>
      <c r="L221" s="65">
        <v>-2.1316282072803006E-14</v>
      </c>
    </row>
    <row r="222" spans="11:12" x14ac:dyDescent="0.4">
      <c r="K222" s="7">
        <v>220</v>
      </c>
      <c r="L222" s="65">
        <v>6.4999999999999787</v>
      </c>
    </row>
    <row r="223" spans="11:12" x14ac:dyDescent="0.4">
      <c r="K223" s="7">
        <v>221</v>
      </c>
      <c r="L223" s="65">
        <v>-32.500000000000021</v>
      </c>
    </row>
    <row r="224" spans="11:12" x14ac:dyDescent="0.4">
      <c r="K224" s="7">
        <v>222</v>
      </c>
      <c r="L224" s="65">
        <v>-2.1316282072803006E-14</v>
      </c>
    </row>
    <row r="225" spans="11:12" x14ac:dyDescent="0.4">
      <c r="K225" s="7">
        <v>223</v>
      </c>
      <c r="L225" s="65">
        <v>-23.300000000000022</v>
      </c>
    </row>
    <row r="226" spans="11:12" x14ac:dyDescent="0.4">
      <c r="K226" s="7">
        <v>224</v>
      </c>
      <c r="L226" s="65">
        <v>-57.90000000000002</v>
      </c>
    </row>
    <row r="227" spans="11:12" x14ac:dyDescent="0.4">
      <c r="K227" s="7">
        <v>225</v>
      </c>
      <c r="L227" s="65">
        <v>-2.1316282072803006E-14</v>
      </c>
    </row>
    <row r="228" spans="11:12" x14ac:dyDescent="0.4">
      <c r="K228" s="7">
        <v>226</v>
      </c>
      <c r="L228" s="65">
        <v>-39.100000000000023</v>
      </c>
    </row>
    <row r="229" spans="11:12" x14ac:dyDescent="0.4">
      <c r="K229" s="7">
        <v>227</v>
      </c>
      <c r="L229" s="65">
        <v>-25.300000000000022</v>
      </c>
    </row>
    <row r="230" spans="11:12" x14ac:dyDescent="0.4">
      <c r="K230" s="7">
        <v>228</v>
      </c>
      <c r="L230" s="65">
        <v>-2.1316282072803006E-14</v>
      </c>
    </row>
    <row r="231" spans="11:12" x14ac:dyDescent="0.4">
      <c r="K231" s="7">
        <v>229</v>
      </c>
      <c r="L231" s="65">
        <v>-6.3000000000000211</v>
      </c>
    </row>
    <row r="232" spans="11:12" x14ac:dyDescent="0.4">
      <c r="K232" s="7">
        <v>230</v>
      </c>
      <c r="L232" s="65">
        <v>45.59999999999998</v>
      </c>
    </row>
    <row r="233" spans="11:12" x14ac:dyDescent="0.4">
      <c r="K233" s="7">
        <v>231</v>
      </c>
      <c r="L233" s="65">
        <v>-2.1316282072803006E-14</v>
      </c>
    </row>
    <row r="234" spans="11:12" x14ac:dyDescent="0.4">
      <c r="K234" s="7">
        <v>232</v>
      </c>
      <c r="L234" s="65">
        <v>28.499999999999979</v>
      </c>
    </row>
    <row r="235" spans="11:12" x14ac:dyDescent="0.4">
      <c r="K235" s="7">
        <v>233</v>
      </c>
      <c r="L235" s="65">
        <v>8.2999999999999794</v>
      </c>
    </row>
    <row r="236" spans="11:12" x14ac:dyDescent="0.4">
      <c r="K236" s="7">
        <v>234</v>
      </c>
      <c r="L236" s="65">
        <v>-2.1316282072803006E-14</v>
      </c>
    </row>
    <row r="237" spans="11:12" x14ac:dyDescent="0.4">
      <c r="K237" s="7">
        <v>235</v>
      </c>
      <c r="L237" s="65">
        <v>-25.700000000000021</v>
      </c>
    </row>
    <row r="238" spans="11:12" x14ac:dyDescent="0.4">
      <c r="K238" s="7">
        <v>236</v>
      </c>
      <c r="L238" s="65">
        <v>-18.600000000000023</v>
      </c>
    </row>
    <row r="239" spans="11:12" x14ac:dyDescent="0.4">
      <c r="K239" s="7">
        <v>237</v>
      </c>
      <c r="L239" s="65">
        <v>-2.1316282072803006E-14</v>
      </c>
    </row>
    <row r="240" spans="11:12" x14ac:dyDescent="0.4">
      <c r="K240" s="7">
        <v>238</v>
      </c>
      <c r="L240" s="65">
        <v>-1.4000000000000212</v>
      </c>
    </row>
    <row r="241" spans="11:12" x14ac:dyDescent="0.4">
      <c r="K241" s="7">
        <v>239</v>
      </c>
      <c r="L241" s="65">
        <v>21.799999999999979</v>
      </c>
    </row>
    <row r="242" spans="11:12" x14ac:dyDescent="0.4">
      <c r="K242" s="7">
        <v>240</v>
      </c>
      <c r="L242" s="65">
        <v>-2.1316282072803006E-14</v>
      </c>
    </row>
    <row r="243" spans="11:12" x14ac:dyDescent="0.4">
      <c r="K243" s="7">
        <v>241</v>
      </c>
      <c r="L243" s="65">
        <v>-33.000000000000021</v>
      </c>
    </row>
    <row r="244" spans="11:12" x14ac:dyDescent="0.4">
      <c r="K244" s="7">
        <v>242</v>
      </c>
      <c r="L244" s="65">
        <v>-40.90000000000002</v>
      </c>
    </row>
    <row r="245" spans="11:12" x14ac:dyDescent="0.4">
      <c r="K245" s="7">
        <v>243</v>
      </c>
      <c r="L245" s="65">
        <v>-2.1316282072803006E-14</v>
      </c>
    </row>
    <row r="246" spans="11:12" x14ac:dyDescent="0.4">
      <c r="K246" s="7">
        <v>244</v>
      </c>
      <c r="L246" s="65">
        <v>-3.4000000000000212</v>
      </c>
    </row>
    <row r="247" spans="11:12" x14ac:dyDescent="0.4">
      <c r="K247" s="7">
        <v>245</v>
      </c>
      <c r="L247" s="65">
        <v>14.499999999999977</v>
      </c>
    </row>
    <row r="248" spans="11:12" x14ac:dyDescent="0.4">
      <c r="K248" s="7">
        <v>246</v>
      </c>
      <c r="L248" s="65">
        <v>-2.3092638912203256E-14</v>
      </c>
    </row>
    <row r="249" spans="11:12" x14ac:dyDescent="0.4">
      <c r="K249" s="7">
        <v>247</v>
      </c>
      <c r="L249" s="65">
        <v>-29.800000000000026</v>
      </c>
    </row>
    <row r="250" spans="11:12" x14ac:dyDescent="0.4">
      <c r="K250" s="7">
        <v>248</v>
      </c>
      <c r="L250" s="65">
        <v>4.099999999999973</v>
      </c>
    </row>
    <row r="251" spans="11:12" x14ac:dyDescent="0.4">
      <c r="K251" s="7">
        <v>249</v>
      </c>
      <c r="L251" s="65">
        <v>-2.6645352591003757E-14</v>
      </c>
    </row>
    <row r="252" spans="11:12" x14ac:dyDescent="0.4">
      <c r="K252" s="7">
        <v>250</v>
      </c>
      <c r="L252" s="65">
        <v>13.499999999999973</v>
      </c>
    </row>
    <row r="253" spans="11:12" x14ac:dyDescent="0.4">
      <c r="K253" s="7">
        <v>251</v>
      </c>
      <c r="L253" s="65">
        <v>-34.500000000000028</v>
      </c>
    </row>
    <row r="254" spans="11:12" x14ac:dyDescent="0.4">
      <c r="K254" s="7">
        <v>252</v>
      </c>
      <c r="L254" s="65">
        <v>-2.8421709430404007E-14</v>
      </c>
    </row>
    <row r="255" spans="11:12" x14ac:dyDescent="0.4">
      <c r="K255" s="7">
        <v>253</v>
      </c>
      <c r="L255" s="65">
        <v>-46.300000000000026</v>
      </c>
    </row>
    <row r="256" spans="11:12" x14ac:dyDescent="0.4">
      <c r="K256" s="7">
        <v>254</v>
      </c>
      <c r="L256" s="65">
        <v>-43.500000000000028</v>
      </c>
    </row>
    <row r="257" spans="11:12" x14ac:dyDescent="0.4">
      <c r="K257" s="7">
        <v>255</v>
      </c>
      <c r="L257" s="65">
        <v>-2.8421709430404007E-14</v>
      </c>
    </row>
    <row r="258" spans="11:12" x14ac:dyDescent="0.4">
      <c r="K258" s="7">
        <v>256</v>
      </c>
      <c r="L258" s="65">
        <v>-23.60000000000003</v>
      </c>
    </row>
    <row r="259" spans="11:12" x14ac:dyDescent="0.4">
      <c r="K259" s="7">
        <v>257</v>
      </c>
      <c r="L259" s="65">
        <v>45.499999999999964</v>
      </c>
    </row>
    <row r="260" spans="11:12" x14ac:dyDescent="0.4">
      <c r="K260" s="7">
        <v>258</v>
      </c>
      <c r="L260" s="65">
        <v>-3.5527136788005009E-14</v>
      </c>
    </row>
    <row r="261" spans="11:12" x14ac:dyDescent="0.4">
      <c r="K261" s="7">
        <v>259</v>
      </c>
      <c r="L261" s="65">
        <v>3.3999999999999644</v>
      </c>
    </row>
    <row r="262" spans="11:12" x14ac:dyDescent="0.4">
      <c r="K262" s="7">
        <v>260</v>
      </c>
      <c r="L262" s="65">
        <v>-15.300000000000034</v>
      </c>
    </row>
    <row r="263" spans="11:12" x14ac:dyDescent="0.4">
      <c r="K263" s="7">
        <v>261</v>
      </c>
      <c r="L263" s="65">
        <v>-3.3750779948604759E-14</v>
      </c>
    </row>
    <row r="264" spans="11:12" x14ac:dyDescent="0.4">
      <c r="K264" s="7">
        <v>262</v>
      </c>
      <c r="L264" s="65">
        <v>-20.700000000000031</v>
      </c>
    </row>
    <row r="265" spans="11:12" x14ac:dyDescent="0.4">
      <c r="K265" s="7">
        <v>263</v>
      </c>
      <c r="L265" s="65">
        <v>-19.500000000000032</v>
      </c>
    </row>
    <row r="266" spans="11:12" x14ac:dyDescent="0.4">
      <c r="K266" s="7">
        <v>264</v>
      </c>
      <c r="L266" s="65">
        <v>-3.1974423109204508E-14</v>
      </c>
    </row>
    <row r="267" spans="11:12" x14ac:dyDescent="0.4">
      <c r="K267" s="7">
        <v>265</v>
      </c>
      <c r="L267" s="65">
        <v>-8.9000000000000323</v>
      </c>
    </row>
    <row r="268" spans="11:12" x14ac:dyDescent="0.4">
      <c r="K268" s="7">
        <v>266</v>
      </c>
      <c r="L268" s="65">
        <v>27.099999999999966</v>
      </c>
    </row>
    <row r="269" spans="11:12" x14ac:dyDescent="0.4">
      <c r="K269" s="7">
        <v>267</v>
      </c>
      <c r="L269" s="65">
        <v>-3.5527136788005009E-14</v>
      </c>
    </row>
    <row r="270" spans="11:12" x14ac:dyDescent="0.4">
      <c r="K270" s="7">
        <v>268</v>
      </c>
      <c r="L270" s="65">
        <v>-15.700000000000035</v>
      </c>
    </row>
    <row r="271" spans="11:12" x14ac:dyDescent="0.4">
      <c r="K271" s="7">
        <v>269</v>
      </c>
      <c r="L271" s="65">
        <v>4.6999999999999638</v>
      </c>
    </row>
    <row r="272" spans="11:12" x14ac:dyDescent="0.4">
      <c r="K272" s="7">
        <v>270</v>
      </c>
      <c r="L272" s="65">
        <v>-3.6415315207705135E-14</v>
      </c>
    </row>
    <row r="273" spans="11:12" x14ac:dyDescent="0.4">
      <c r="K273" s="7">
        <v>271</v>
      </c>
      <c r="L273" s="65">
        <v>-16.000000000000036</v>
      </c>
    </row>
    <row r="274" spans="11:12" x14ac:dyDescent="0.4">
      <c r="K274" s="7">
        <v>272</v>
      </c>
      <c r="L274" s="65">
        <v>1.4999999999999645</v>
      </c>
    </row>
    <row r="275" spans="11:12" x14ac:dyDescent="0.4">
      <c r="K275" s="7">
        <v>273</v>
      </c>
      <c r="L275" s="65">
        <v>-3.5527136788005009E-14</v>
      </c>
    </row>
    <row r="276" spans="11:12" x14ac:dyDescent="0.4">
      <c r="K276" s="7">
        <v>274</v>
      </c>
      <c r="L276" s="65">
        <v>-34.800000000000033</v>
      </c>
    </row>
    <row r="277" spans="11:12" x14ac:dyDescent="0.4">
      <c r="K277" s="7">
        <v>275</v>
      </c>
      <c r="L277" s="65">
        <v>-50.800000000000033</v>
      </c>
    </row>
    <row r="278" spans="11:12" x14ac:dyDescent="0.4">
      <c r="K278" s="7">
        <v>276</v>
      </c>
      <c r="L278" s="65">
        <v>-3.5527136788005009E-14</v>
      </c>
    </row>
    <row r="279" spans="11:12" x14ac:dyDescent="0.4">
      <c r="K279" s="7">
        <v>277</v>
      </c>
      <c r="L279" s="65">
        <v>33.199999999999967</v>
      </c>
    </row>
    <row r="280" spans="11:12" x14ac:dyDescent="0.4">
      <c r="K280" s="7">
        <v>278</v>
      </c>
      <c r="L280" s="65">
        <v>41.599999999999966</v>
      </c>
    </row>
    <row r="281" spans="11:12" x14ac:dyDescent="0.4">
      <c r="K281" s="7">
        <v>279</v>
      </c>
      <c r="L281" s="65">
        <v>-3.5527136788005009E-14</v>
      </c>
    </row>
    <row r="282" spans="11:12" x14ac:dyDescent="0.4">
      <c r="K282" s="7">
        <v>280</v>
      </c>
      <c r="L282" s="65">
        <v>11.899999999999965</v>
      </c>
    </row>
    <row r="283" spans="11:12" x14ac:dyDescent="0.4">
      <c r="K283" s="7">
        <v>281</v>
      </c>
      <c r="L283" s="65">
        <v>36.199999999999967</v>
      </c>
    </row>
    <row r="284" spans="11:12" x14ac:dyDescent="0.4">
      <c r="K284" s="7">
        <v>282</v>
      </c>
      <c r="L284" s="65">
        <v>-3.5527136788005009E-14</v>
      </c>
    </row>
    <row r="285" spans="11:12" x14ac:dyDescent="0.4">
      <c r="K285" s="7">
        <v>283</v>
      </c>
      <c r="L285" s="65">
        <v>6.1999999999999647</v>
      </c>
    </row>
    <row r="286" spans="11:12" x14ac:dyDescent="0.4">
      <c r="K286" s="7">
        <v>284</v>
      </c>
      <c r="L286" s="65">
        <v>-28.100000000000033</v>
      </c>
    </row>
    <row r="287" spans="11:12" x14ac:dyDescent="0.4">
      <c r="K287" s="7">
        <v>285</v>
      </c>
      <c r="L287" s="65">
        <v>-3.1974423109204508E-14</v>
      </c>
    </row>
    <row r="288" spans="11:12" x14ac:dyDescent="0.4">
      <c r="K288" s="7">
        <v>286</v>
      </c>
      <c r="L288" s="65">
        <v>-40.800000000000026</v>
      </c>
    </row>
    <row r="289" spans="11:12" x14ac:dyDescent="0.4">
      <c r="K289" s="7">
        <v>287</v>
      </c>
      <c r="L289" s="65">
        <v>-33.700000000000024</v>
      </c>
    </row>
    <row r="290" spans="11:12" x14ac:dyDescent="0.4">
      <c r="K290" s="7">
        <v>288</v>
      </c>
      <c r="L290" s="65">
        <v>-2.1316282072803006E-14</v>
      </c>
    </row>
    <row r="291" spans="11:12" x14ac:dyDescent="0.4">
      <c r="K291" s="7">
        <v>289</v>
      </c>
      <c r="L291" s="65">
        <v>0.99999999999997868</v>
      </c>
    </row>
    <row r="292" spans="11:12" x14ac:dyDescent="0.4">
      <c r="K292" s="7">
        <v>290</v>
      </c>
      <c r="L292" s="65">
        <v>-24.40000000000002</v>
      </c>
    </row>
    <row r="293" spans="11:12" x14ac:dyDescent="0.4">
      <c r="K293" s="7">
        <v>291</v>
      </c>
      <c r="L293" s="65">
        <v>-2.1316282072803006E-14</v>
      </c>
    </row>
    <row r="294" spans="11:12" x14ac:dyDescent="0.4">
      <c r="K294" s="7">
        <v>292</v>
      </c>
      <c r="L294" s="65">
        <v>-0.10000000000002132</v>
      </c>
    </row>
    <row r="295" spans="11:12" x14ac:dyDescent="0.4">
      <c r="K295" s="7">
        <v>293</v>
      </c>
      <c r="L295" s="65">
        <v>-19.400000000000023</v>
      </c>
    </row>
    <row r="296" spans="11:12" x14ac:dyDescent="0.4">
      <c r="K296" s="7">
        <v>294</v>
      </c>
      <c r="L296" s="65">
        <v>-2.4868995751603507E-14</v>
      </c>
    </row>
    <row r="297" spans="11:12" x14ac:dyDescent="0.4">
      <c r="K297" s="7">
        <v>295</v>
      </c>
      <c r="L297" s="65">
        <v>60.499999999999972</v>
      </c>
    </row>
    <row r="298" spans="11:12" x14ac:dyDescent="0.4">
      <c r="K298" s="7">
        <v>296</v>
      </c>
      <c r="L298" s="65">
        <v>54.699999999999974</v>
      </c>
    </row>
    <row r="299" spans="11:12" x14ac:dyDescent="0.4">
      <c r="K299" s="7">
        <v>297</v>
      </c>
      <c r="L299" s="65">
        <v>-2.8421709430404007E-14</v>
      </c>
    </row>
    <row r="300" spans="11:12" x14ac:dyDescent="0.4">
      <c r="K300" s="7">
        <v>298</v>
      </c>
      <c r="L300" s="65">
        <v>20.199999999999971</v>
      </c>
    </row>
    <row r="301" spans="11:12" x14ac:dyDescent="0.4">
      <c r="K301" s="7">
        <v>299</v>
      </c>
      <c r="L301" s="65">
        <v>18.199999999999971</v>
      </c>
    </row>
    <row r="302" spans="11:12" x14ac:dyDescent="0.4">
      <c r="K302" s="7">
        <v>300</v>
      </c>
      <c r="L302" s="65">
        <v>-2.8421709430404007E-14</v>
      </c>
    </row>
    <row r="303" spans="11:12" x14ac:dyDescent="0.4">
      <c r="K303" s="7">
        <v>301</v>
      </c>
      <c r="L303" s="65">
        <v>-27.500000000000028</v>
      </c>
    </row>
    <row r="304" spans="11:12" x14ac:dyDescent="0.4">
      <c r="K304" s="7">
        <v>302</v>
      </c>
      <c r="L304" s="65">
        <v>-19.10000000000003</v>
      </c>
    </row>
    <row r="305" spans="11:12" x14ac:dyDescent="0.4">
      <c r="K305" s="7">
        <v>303</v>
      </c>
      <c r="L305" s="65">
        <v>-2.8421709430404007E-14</v>
      </c>
    </row>
    <row r="306" spans="11:12" x14ac:dyDescent="0.4">
      <c r="K306" s="7">
        <v>304</v>
      </c>
      <c r="L306" s="65">
        <v>29.499999999999972</v>
      </c>
    </row>
    <row r="307" spans="11:12" x14ac:dyDescent="0.4">
      <c r="K307" s="7">
        <v>305</v>
      </c>
      <c r="L307" s="65">
        <v>30.799999999999972</v>
      </c>
    </row>
    <row r="308" spans="11:12" x14ac:dyDescent="0.4">
      <c r="K308" s="7">
        <v>306</v>
      </c>
      <c r="L308" s="65">
        <v>-2.8421709430404007E-14</v>
      </c>
    </row>
    <row r="309" spans="11:12" x14ac:dyDescent="0.4">
      <c r="K309" s="7">
        <v>307</v>
      </c>
      <c r="L309" s="65">
        <v>14.099999999999971</v>
      </c>
    </row>
    <row r="310" spans="11:12" x14ac:dyDescent="0.4">
      <c r="K310" s="7">
        <v>308</v>
      </c>
      <c r="L310" s="65">
        <v>50.299999999999976</v>
      </c>
    </row>
    <row r="311" spans="11:12" x14ac:dyDescent="0.4">
      <c r="K311" s="7">
        <v>309</v>
      </c>
      <c r="L311" s="65">
        <v>-2.1316282072803006E-14</v>
      </c>
    </row>
    <row r="312" spans="11:12" x14ac:dyDescent="0.4">
      <c r="K312" s="7">
        <v>310</v>
      </c>
      <c r="L312" s="65">
        <v>8.399999999999979</v>
      </c>
    </row>
    <row r="313" spans="11:12" x14ac:dyDescent="0.4">
      <c r="K313" s="7">
        <v>311</v>
      </c>
      <c r="L313" s="65">
        <v>42.499999999999979</v>
      </c>
    </row>
    <row r="314" spans="11:12" x14ac:dyDescent="0.4">
      <c r="K314" s="7">
        <v>312</v>
      </c>
      <c r="L314" s="65">
        <v>-2.1316282072803006E-14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57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55</v>
      </c>
      <c r="C2" s="132"/>
      <c r="E2" s="28" t="s">
        <v>66</v>
      </c>
      <c r="F2" s="25" t="s">
        <v>22</v>
      </c>
      <c r="G2" s="13">
        <v>105</v>
      </c>
      <c r="H2" s="91">
        <f>IF(B$19=0,0,G2/B$19)</f>
        <v>0.875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-594.33962264150944</v>
      </c>
      <c r="P2" s="80">
        <v>53</v>
      </c>
      <c r="Q2" s="67">
        <v>-31500</v>
      </c>
    </row>
    <row r="3" spans="1:17" x14ac:dyDescent="0.4">
      <c r="A3" s="21" t="s">
        <v>8</v>
      </c>
      <c r="B3" s="133">
        <v>442</v>
      </c>
      <c r="C3" s="134"/>
      <c r="E3" s="29" t="s">
        <v>64</v>
      </c>
      <c r="F3" s="26" t="s">
        <v>20</v>
      </c>
      <c r="G3" s="14">
        <v>62</v>
      </c>
      <c r="H3" s="92">
        <f>IF(B$19=0,0,G3/B$19)</f>
        <v>0.51666666666666672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-1701.851851851852</v>
      </c>
      <c r="P3" s="81">
        <v>54</v>
      </c>
      <c r="Q3" s="68">
        <v>-91900</v>
      </c>
    </row>
    <row r="4" spans="1:17" x14ac:dyDescent="0.4">
      <c r="A4" s="21" t="s">
        <v>6</v>
      </c>
      <c r="B4" s="135">
        <v>-114.10000000000005</v>
      </c>
      <c r="C4" s="136"/>
      <c r="E4" s="29" t="s">
        <v>72</v>
      </c>
      <c r="F4" s="26" t="s">
        <v>27</v>
      </c>
      <c r="G4" s="14">
        <v>62</v>
      </c>
      <c r="H4" s="92">
        <f>IF(B$19=0,0,G4/B$19)</f>
        <v>0.51666666666666672</v>
      </c>
      <c r="I4" s="60">
        <v>7</v>
      </c>
      <c r="K4" s="7">
        <v>2</v>
      </c>
      <c r="L4" s="65">
        <v>32.9</v>
      </c>
      <c r="N4" s="78" t="s">
        <v>130</v>
      </c>
      <c r="O4" s="84">
        <f t="shared" si="0"/>
        <v>-66</v>
      </c>
      <c r="P4" s="81">
        <v>50</v>
      </c>
      <c r="Q4" s="68">
        <v>-3300</v>
      </c>
    </row>
    <row r="5" spans="1:17" x14ac:dyDescent="0.4">
      <c r="A5" s="21" t="s">
        <v>7</v>
      </c>
      <c r="B5" s="123">
        <f>IF(B$2=0,0,B$4/B$2)</f>
        <v>-2.0745454545454556</v>
      </c>
      <c r="C5" s="124"/>
      <c r="E5" s="29" t="s">
        <v>160</v>
      </c>
      <c r="F5" s="26" t="s">
        <v>161</v>
      </c>
      <c r="G5" s="14">
        <v>59</v>
      </c>
      <c r="H5" s="92">
        <f>IF(B$19=0,0,G5/B$19)</f>
        <v>0.49166666666666664</v>
      </c>
      <c r="I5" s="60">
        <v>2</v>
      </c>
      <c r="K5" s="7">
        <v>3</v>
      </c>
      <c r="L5" s="65">
        <v>61.5</v>
      </c>
      <c r="N5" s="78" t="s">
        <v>131</v>
      </c>
      <c r="O5" s="84">
        <f t="shared" si="0"/>
        <v>-1533.3333333333333</v>
      </c>
      <c r="P5" s="81">
        <v>45</v>
      </c>
      <c r="Q5" s="68">
        <v>-69000</v>
      </c>
    </row>
    <row r="6" spans="1:17" x14ac:dyDescent="0.4">
      <c r="A6" s="21" t="s">
        <v>1</v>
      </c>
      <c r="B6" s="137">
        <f>IF(B$2=0,0,(B$7*1+B$8*2+B$9*3)/B$2)</f>
        <v>2.0363636363636362</v>
      </c>
      <c r="C6" s="138"/>
      <c r="E6" s="29" t="s">
        <v>68</v>
      </c>
      <c r="F6" s="26" t="s">
        <v>12</v>
      </c>
      <c r="G6" s="14">
        <v>36</v>
      </c>
      <c r="H6" s="92">
        <f>IF(B$19=0,0,G6/B$19)</f>
        <v>0.3</v>
      </c>
      <c r="I6" s="60">
        <v>4</v>
      </c>
      <c r="K6" s="7">
        <v>4</v>
      </c>
      <c r="L6" s="65">
        <v>27.4</v>
      </c>
      <c r="N6" s="78" t="s">
        <v>132</v>
      </c>
      <c r="O6" s="84">
        <f t="shared" si="0"/>
        <v>-377.27272727272725</v>
      </c>
      <c r="P6" s="81">
        <v>44</v>
      </c>
      <c r="Q6" s="68">
        <v>-16600</v>
      </c>
    </row>
    <row r="7" spans="1:17" x14ac:dyDescent="0.4">
      <c r="A7" s="21" t="s">
        <v>2</v>
      </c>
      <c r="B7" s="14">
        <v>20</v>
      </c>
      <c r="C7" s="8">
        <f t="shared" ref="C7:C14" si="1">IF(B$2=0,0,B7/B$2)</f>
        <v>0.36363636363636365</v>
      </c>
      <c r="E7" s="29" t="s">
        <v>67</v>
      </c>
      <c r="F7" s="26" t="s">
        <v>23</v>
      </c>
      <c r="G7" s="14">
        <v>31</v>
      </c>
      <c r="H7" s="92">
        <f>IF(B$19=0,0,G7/B$19)</f>
        <v>0.25833333333333336</v>
      </c>
      <c r="I7" s="60">
        <v>4</v>
      </c>
      <c r="K7" s="7">
        <v>5</v>
      </c>
      <c r="L7" s="65">
        <v>18</v>
      </c>
      <c r="N7" s="79" t="s">
        <v>133</v>
      </c>
      <c r="O7" s="85">
        <f t="shared" si="0"/>
        <v>2837.5</v>
      </c>
      <c r="P7" s="82">
        <v>32</v>
      </c>
      <c r="Q7" s="69">
        <v>90800</v>
      </c>
    </row>
    <row r="8" spans="1:17" x14ac:dyDescent="0.4">
      <c r="A8" s="21" t="s">
        <v>3</v>
      </c>
      <c r="B8" s="14">
        <v>13</v>
      </c>
      <c r="C8" s="8">
        <f t="shared" si="1"/>
        <v>0.23636363636363636</v>
      </c>
      <c r="E8" s="29" t="s">
        <v>89</v>
      </c>
      <c r="F8" s="26" t="s">
        <v>44</v>
      </c>
      <c r="G8" s="14">
        <v>17</v>
      </c>
      <c r="H8" s="92">
        <f>IF(B$19=0,0,G8/B$19)</f>
        <v>0.14166666666666666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">
      <c r="A9" s="22" t="s">
        <v>4</v>
      </c>
      <c r="B9" s="15">
        <v>22</v>
      </c>
      <c r="C9" s="9">
        <f t="shared" si="1"/>
        <v>0.4</v>
      </c>
      <c r="E9" s="29" t="s">
        <v>70</v>
      </c>
      <c r="F9" s="26" t="s">
        <v>25</v>
      </c>
      <c r="G9" s="14">
        <v>15</v>
      </c>
      <c r="H9" s="92">
        <f>IF(B$19=0,0,G9/B$19)</f>
        <v>0.125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39.935000000000009</v>
      </c>
      <c r="C10" s="114">
        <v>798.70000000000016</v>
      </c>
      <c r="E10" s="29" t="s">
        <v>65</v>
      </c>
      <c r="F10" s="26" t="s">
        <v>21</v>
      </c>
      <c r="G10" s="14">
        <v>13</v>
      </c>
      <c r="H10" s="92">
        <f>IF(B$19=0,0,G10/B$19)</f>
        <v>0.10833333333333334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-11.394117647058826</v>
      </c>
      <c r="P10" s="80">
        <v>17</v>
      </c>
      <c r="Q10" s="71">
        <v>-193.70000000000005</v>
      </c>
    </row>
    <row r="11" spans="1:17" x14ac:dyDescent="0.4">
      <c r="A11" s="22" t="s">
        <v>186</v>
      </c>
      <c r="B11" s="113">
        <f>IF(B8=0,0,C11/B8)</f>
        <v>-2.8153846153846156</v>
      </c>
      <c r="C11" s="114">
        <v>-36.6</v>
      </c>
      <c r="E11" s="29" t="s">
        <v>69</v>
      </c>
      <c r="F11" s="26" t="s">
        <v>24</v>
      </c>
      <c r="G11" s="14">
        <v>12</v>
      </c>
      <c r="H11" s="92">
        <f>IF(B$19=0,0,G11/B$19)</f>
        <v>0.1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9.3176470588235301</v>
      </c>
      <c r="P11" s="81">
        <v>17</v>
      </c>
      <c r="Q11" s="72">
        <v>158.4</v>
      </c>
    </row>
    <row r="12" spans="1:17" x14ac:dyDescent="0.4">
      <c r="A12" s="22" t="s">
        <v>187</v>
      </c>
      <c r="B12" s="113">
        <f>IF(B9=0,0,C12/B9)</f>
        <v>-39.827272727272721</v>
      </c>
      <c r="C12" s="114">
        <v>-876.19999999999982</v>
      </c>
      <c r="E12" s="29" t="s">
        <v>86</v>
      </c>
      <c r="F12" s="26" t="s">
        <v>41</v>
      </c>
      <c r="G12" s="14">
        <v>11</v>
      </c>
      <c r="H12" s="92">
        <f>IF(B$19=0,0,G12/B$19)</f>
        <v>9.166666666666666E-2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4">
      <c r="A13" s="22" t="s">
        <v>188</v>
      </c>
      <c r="B13" s="123">
        <f>AVERAGE(B10:B12)</f>
        <v>-0.90255244755244257</v>
      </c>
      <c r="C13" s="124"/>
      <c r="E13" s="29" t="s">
        <v>91</v>
      </c>
      <c r="F13" s="26" t="s">
        <v>46</v>
      </c>
      <c r="G13" s="14">
        <v>8</v>
      </c>
      <c r="H13" s="92">
        <f>IF(B$19=0,0,G13/B$19)</f>
        <v>6.6666666666666666E-2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10</v>
      </c>
      <c r="C14" s="11">
        <f t="shared" si="1"/>
        <v>0.18181818181818182</v>
      </c>
      <c r="E14" s="29" t="s">
        <v>71</v>
      </c>
      <c r="F14" s="26" t="s">
        <v>26</v>
      </c>
      <c r="G14" s="14">
        <v>7</v>
      </c>
      <c r="H14" s="92">
        <f>IF(B$19=0,0,G14/B$19)</f>
        <v>5.8333333333333334E-2</v>
      </c>
      <c r="I14" s="60">
        <v>6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131</v>
      </c>
      <c r="C15" s="12">
        <f>IF(B$3=0,0,B15/B$3)</f>
        <v>0.29638009049773756</v>
      </c>
      <c r="E15" s="29" t="s">
        <v>81</v>
      </c>
      <c r="F15" s="26" t="s">
        <v>36</v>
      </c>
      <c r="G15" s="14">
        <v>5</v>
      </c>
      <c r="H15" s="92">
        <f>IF(B$19=0,0,G15/B$19)</f>
        <v>4.1666666666666664E-2</v>
      </c>
      <c r="I15" s="60">
        <v>2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">
      <c r="A16" s="21" t="s">
        <v>118</v>
      </c>
      <c r="B16" s="14">
        <v>87</v>
      </c>
      <c r="C16" s="8">
        <f>IF(B$3=0,0,B16/B$3)</f>
        <v>0.19683257918552036</v>
      </c>
      <c r="E16" s="29" t="s">
        <v>78</v>
      </c>
      <c r="F16" s="26" t="s">
        <v>33</v>
      </c>
      <c r="G16" s="14">
        <v>4</v>
      </c>
      <c r="H16" s="92">
        <f>IF(B$19=0,0,G16/B$19)</f>
        <v>3.3333333333333333E-2</v>
      </c>
      <c r="I16" s="60">
        <v>7</v>
      </c>
      <c r="K16" s="7">
        <v>14</v>
      </c>
      <c r="L16" s="65">
        <v>15.100000000000001</v>
      </c>
      <c r="N16" s="78" t="s">
        <v>205</v>
      </c>
      <c r="O16" s="87">
        <f>IF(P16=0,0,Q16/P16)</f>
        <v>15.376923076923076</v>
      </c>
      <c r="P16" s="81">
        <v>13</v>
      </c>
      <c r="Q16" s="72">
        <v>199.89999999999998</v>
      </c>
    </row>
    <row r="17" spans="1:17" x14ac:dyDescent="0.4">
      <c r="A17" s="20" t="s">
        <v>123</v>
      </c>
      <c r="B17" s="13">
        <f>B23</f>
        <v>61</v>
      </c>
      <c r="C17" s="6">
        <f>IF(B$15=0,0,B17/B$15)</f>
        <v>0.46564885496183206</v>
      </c>
      <c r="E17" s="29" t="s">
        <v>79</v>
      </c>
      <c r="F17" s="26" t="s">
        <v>34</v>
      </c>
      <c r="G17" s="14">
        <v>3</v>
      </c>
      <c r="H17" s="92">
        <f>IF(B$19=0,0,G17/B$19)</f>
        <v>2.5000000000000001E-2</v>
      </c>
      <c r="I17" s="60">
        <v>5</v>
      </c>
      <c r="K17" s="7">
        <v>15</v>
      </c>
      <c r="L17" s="65">
        <v>-33.1</v>
      </c>
      <c r="N17" s="78" t="s">
        <v>213</v>
      </c>
      <c r="O17" s="87">
        <f>IF(P17=0,0,Q17/P17)</f>
        <v>9.1222222222222218</v>
      </c>
      <c r="P17" s="81">
        <v>9</v>
      </c>
      <c r="Q17" s="72">
        <v>82.1</v>
      </c>
    </row>
    <row r="18" spans="1:17" x14ac:dyDescent="0.4">
      <c r="A18" s="20" t="s">
        <v>124</v>
      </c>
      <c r="B18" s="13">
        <f>B24</f>
        <v>32</v>
      </c>
      <c r="C18" s="6">
        <f>IF(B$16=0,0,B18/B$16)</f>
        <v>0.36781609195402298</v>
      </c>
      <c r="E18" s="29" t="s">
        <v>83</v>
      </c>
      <c r="F18" s="26" t="s">
        <v>38</v>
      </c>
      <c r="G18" s="14">
        <v>3</v>
      </c>
      <c r="H18" s="92">
        <f>IF(B$19=0,0,G18/B$19)</f>
        <v>2.5000000000000001E-2</v>
      </c>
      <c r="I18" s="60">
        <v>7</v>
      </c>
      <c r="K18" s="7">
        <v>16</v>
      </c>
      <c r="L18" s="65">
        <v>-10.8</v>
      </c>
      <c r="N18" s="78" t="s">
        <v>126</v>
      </c>
      <c r="O18" s="87">
        <f>IF(P18=0,0,Q18/P18)</f>
        <v>-2.6452380952380898</v>
      </c>
      <c r="P18" s="81">
        <v>42</v>
      </c>
      <c r="Q18" s="72">
        <v>-111.09999999999978</v>
      </c>
    </row>
    <row r="19" spans="1:17" x14ac:dyDescent="0.4">
      <c r="A19" s="20" t="s">
        <v>10</v>
      </c>
      <c r="B19" s="13">
        <f>B22+B21</f>
        <v>120</v>
      </c>
      <c r="C19" s="6">
        <f>IF(B$3=0,0,B19/B$3)</f>
        <v>0.27149321266968324</v>
      </c>
      <c r="E19" s="29" t="s">
        <v>92</v>
      </c>
      <c r="F19" s="26" t="s">
        <v>47</v>
      </c>
      <c r="G19" s="14">
        <v>2</v>
      </c>
      <c r="H19" s="92">
        <f>IF(B$19=0,0,G19/B$19)</f>
        <v>1.6666666666666666E-2</v>
      </c>
      <c r="I19" s="60">
        <v>1</v>
      </c>
      <c r="K19" s="7">
        <v>17</v>
      </c>
      <c r="L19" s="65">
        <v>-32.900000000000006</v>
      </c>
      <c r="N19" s="78" t="s">
        <v>192</v>
      </c>
      <c r="O19" s="87">
        <f>IF(P19=0,0,Q19/P19)</f>
        <v>-4.5136363636363646</v>
      </c>
      <c r="P19" s="81">
        <v>22</v>
      </c>
      <c r="Q19" s="72">
        <v>-99.300000000000011</v>
      </c>
    </row>
    <row r="20" spans="1:17" x14ac:dyDescent="0.4">
      <c r="A20" s="21" t="s">
        <v>13</v>
      </c>
      <c r="B20" s="14">
        <v>83</v>
      </c>
      <c r="C20" s="8">
        <f>IF(B$3=0,0,B20/B$3)</f>
        <v>0.18778280542986425</v>
      </c>
      <c r="E20" s="29" t="s">
        <v>75</v>
      </c>
      <c r="F20" s="26" t="s">
        <v>30</v>
      </c>
      <c r="G20" s="14">
        <v>1</v>
      </c>
      <c r="H20" s="92">
        <f>IF(B$19=0,0,G20/B$19)</f>
        <v>8.3333333333333332E-3</v>
      </c>
      <c r="I20" s="60">
        <v>2</v>
      </c>
      <c r="K20" s="7">
        <v>18</v>
      </c>
      <c r="L20" s="65">
        <v>-69.300000000000011</v>
      </c>
      <c r="N20" s="78" t="s">
        <v>196</v>
      </c>
      <c r="O20" s="87">
        <f>IF(P20=0,0,Q20/P20)</f>
        <v>-16.324999999999992</v>
      </c>
      <c r="P20" s="81">
        <v>4</v>
      </c>
      <c r="Q20" s="72">
        <v>-65.299999999999969</v>
      </c>
    </row>
    <row r="21" spans="1:17" x14ac:dyDescent="0.4">
      <c r="A21" s="21" t="s">
        <v>12</v>
      </c>
      <c r="B21" s="14">
        <v>54</v>
      </c>
      <c r="C21" s="8">
        <f>IF(B$19=0,0,B21/B$19)</f>
        <v>0.45</v>
      </c>
      <c r="E21" s="29" t="s">
        <v>97</v>
      </c>
      <c r="F21" s="26" t="s">
        <v>52</v>
      </c>
      <c r="G21" s="14">
        <v>1</v>
      </c>
      <c r="H21" s="92">
        <f>IF(B$19=0,0,G21/B$19)</f>
        <v>8.3333333333333332E-3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>IF(P21=0,0,Q21/P21)</f>
        <v>-27.375</v>
      </c>
      <c r="P21" s="81">
        <v>8</v>
      </c>
      <c r="Q21" s="72">
        <v>-219</v>
      </c>
    </row>
    <row r="22" spans="1:17" x14ac:dyDescent="0.4">
      <c r="A22" s="21" t="s">
        <v>11</v>
      </c>
      <c r="B22" s="14">
        <v>66</v>
      </c>
      <c r="C22" s="8">
        <f>IF(B$19=0,0,B22/B$19)</f>
        <v>0.55000000000000004</v>
      </c>
      <c r="E22" s="29" t="s">
        <v>156</v>
      </c>
      <c r="F22" s="26" t="s">
        <v>157</v>
      </c>
      <c r="G22" s="14">
        <v>1</v>
      </c>
      <c r="H22" s="92">
        <f>IF(B$19=0,0,G22/B$19)</f>
        <v>8.3333333333333332E-3</v>
      </c>
      <c r="I22" s="60">
        <v>3</v>
      </c>
      <c r="K22" s="7">
        <v>20</v>
      </c>
      <c r="L22" s="65">
        <v>-72.000000000000014</v>
      </c>
      <c r="N22" s="78" t="s">
        <v>194</v>
      </c>
      <c r="O22" s="87">
        <f>IF(P22=0,0,Q22/P22)</f>
        <v>-29.537500000000005</v>
      </c>
      <c r="P22" s="81">
        <v>8</v>
      </c>
      <c r="Q22" s="72">
        <v>-236.30000000000004</v>
      </c>
    </row>
    <row r="23" spans="1:17" x14ac:dyDescent="0.4">
      <c r="A23" s="21" t="s">
        <v>184</v>
      </c>
      <c r="B23" s="14">
        <v>61</v>
      </c>
      <c r="C23" s="8">
        <f>IF(B$19=0,0,B23/B$19)</f>
        <v>0.5083333333333333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">
      <c r="A24" s="21" t="s">
        <v>182</v>
      </c>
      <c r="B24" s="14">
        <v>32</v>
      </c>
      <c r="C24" s="8">
        <f>IF(B$19=0,0,B24/B$19)</f>
        <v>0.26666666666666666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-81.200000000000017</v>
      </c>
    </row>
    <row r="25" spans="1:17" x14ac:dyDescent="0.4">
      <c r="A25" s="21" t="s">
        <v>183</v>
      </c>
      <c r="B25" s="14">
        <v>27</v>
      </c>
      <c r="C25" s="8">
        <f>IF(B$19=0,0,B25/B$19)</f>
        <v>0.22500000000000001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">
      <c r="A26" s="21" t="s">
        <v>5</v>
      </c>
      <c r="B26" s="18">
        <f>IF(B$19=0,0,C26/B$19)</f>
        <v>10291.666666666666</v>
      </c>
      <c r="C26" s="10">
        <v>1235000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7.3999999999999773</v>
      </c>
    </row>
    <row r="27" spans="1:17" x14ac:dyDescent="0.4">
      <c r="A27" s="22" t="s">
        <v>166</v>
      </c>
      <c r="B27" s="99">
        <f>IF($B$19-B$18=0,0,C27/($B$19-B$18))</f>
        <v>10986.363636363636</v>
      </c>
      <c r="C27" s="100">
        <v>966800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">
      <c r="A28" s="22" t="s">
        <v>167</v>
      </c>
      <c r="B28" s="99">
        <f>IF(B$18=0,0,C28/B$18)</f>
        <v>8381.25</v>
      </c>
      <c r="C28" s="100">
        <v>268200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">
      <c r="A29" s="22" t="s">
        <v>165</v>
      </c>
      <c r="B29" s="99">
        <f>IF(B$20=0,0,C29/B$20)</f>
        <v>-8259.0361445783128</v>
      </c>
      <c r="C29" s="100">
        <v>-685500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">
      <c r="A30" s="21" t="s">
        <v>158</v>
      </c>
      <c r="B30" s="14">
        <v>7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">
      <c r="A31" s="21" t="s">
        <v>159</v>
      </c>
      <c r="B31" s="14">
        <v>25</v>
      </c>
      <c r="C31" s="94">
        <v>0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">
      <c r="A34" s="23" t="s">
        <v>137</v>
      </c>
      <c r="B34" s="31">
        <v>3</v>
      </c>
      <c r="C34" s="11">
        <f>IF(B$3=0,0,B34/B$3)</f>
        <v>6.7873303167420816E-3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">
      <c r="A36" s="56" t="s">
        <v>172</v>
      </c>
      <c r="B36" s="121">
        <v>4</v>
      </c>
      <c r="C36" s="102">
        <f t="shared" ref="C36:C48" si="2">IF(B$19=0,0,B36/B$19)</f>
        <v>3.3333333333333333E-2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">
      <c r="A37" s="21" t="s">
        <v>168</v>
      </c>
      <c r="B37" s="14">
        <v>14</v>
      </c>
      <c r="C37" s="8">
        <f t="shared" si="2"/>
        <v>0.11666666666666667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">
      <c r="A38" s="21" t="s">
        <v>169</v>
      </c>
      <c r="B38" s="122">
        <v>12</v>
      </c>
      <c r="C38" s="8">
        <f t="shared" si="2"/>
        <v>0.1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">
      <c r="A39" s="21" t="s">
        <v>170</v>
      </c>
      <c r="B39" s="122">
        <v>32</v>
      </c>
      <c r="C39" s="8">
        <f t="shared" si="2"/>
        <v>0.26666666666666666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">
      <c r="A40" s="21" t="s">
        <v>171</v>
      </c>
      <c r="B40" s="122">
        <v>23</v>
      </c>
      <c r="C40" s="8">
        <f t="shared" si="2"/>
        <v>0.19166666666666668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">
      <c r="A41" s="21" t="s">
        <v>173</v>
      </c>
      <c r="B41" s="122">
        <v>13</v>
      </c>
      <c r="C41" s="8">
        <f t="shared" si="2"/>
        <v>0.10833333333333334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">
      <c r="A42" s="21" t="s">
        <v>174</v>
      </c>
      <c r="B42" s="122">
        <v>10</v>
      </c>
      <c r="C42" s="8">
        <f t="shared" si="2"/>
        <v>8.3333333333333329E-2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">
      <c r="A43" s="21" t="s">
        <v>175</v>
      </c>
      <c r="B43" s="122">
        <v>5</v>
      </c>
      <c r="C43" s="8">
        <f t="shared" si="2"/>
        <v>4.1666666666666664E-2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">
      <c r="A44" s="21" t="s">
        <v>176</v>
      </c>
      <c r="B44" s="122">
        <v>2</v>
      </c>
      <c r="C44" s="8">
        <f t="shared" si="2"/>
        <v>1.6666666666666666E-2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">
      <c r="A47" s="21" t="s">
        <v>179</v>
      </c>
      <c r="B47" s="122">
        <v>2</v>
      </c>
      <c r="C47" s="8">
        <f t="shared" si="2"/>
        <v>1.6666666666666666E-2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">
      <c r="A48" s="23" t="s">
        <v>180</v>
      </c>
      <c r="B48" s="101">
        <v>3</v>
      </c>
      <c r="C48" s="11">
        <f t="shared" si="2"/>
        <v>2.5000000000000001E-2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">
      <c r="K53" s="7">
        <v>51</v>
      </c>
      <c r="L53" s="65">
        <v>-114.20000000000006</v>
      </c>
    </row>
    <row r="54" spans="5:12" x14ac:dyDescent="0.4">
      <c r="K54" s="7">
        <v>52</v>
      </c>
      <c r="L54" s="65">
        <v>-89.900000000000063</v>
      </c>
    </row>
    <row r="55" spans="5:12" x14ac:dyDescent="0.4">
      <c r="K55" s="7">
        <v>53</v>
      </c>
      <c r="L55" s="65">
        <v>-61.800000000000061</v>
      </c>
    </row>
    <row r="56" spans="5:12" x14ac:dyDescent="0.4">
      <c r="K56" s="7">
        <v>54</v>
      </c>
      <c r="L56" s="65">
        <v>-63.800000000000061</v>
      </c>
    </row>
    <row r="57" spans="5:12" x14ac:dyDescent="0.4">
      <c r="K57" s="7">
        <v>55</v>
      </c>
      <c r="L57" s="65">
        <v>-114.10000000000005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3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9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7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78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76</v>
      </c>
      <c r="C2" s="132"/>
      <c r="E2" s="28" t="s">
        <v>66</v>
      </c>
      <c r="F2" s="25" t="s">
        <v>22</v>
      </c>
      <c r="G2" s="13">
        <v>132</v>
      </c>
      <c r="H2" s="91">
        <f>IF(B$19=0,0,G2/B$19)</f>
        <v>0.69841269841269837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935.52631578947364</v>
      </c>
      <c r="P2" s="80">
        <v>76</v>
      </c>
      <c r="Q2" s="67">
        <v>71100</v>
      </c>
    </row>
    <row r="3" spans="1:17" x14ac:dyDescent="0.4">
      <c r="A3" s="21" t="s">
        <v>8</v>
      </c>
      <c r="B3" s="133">
        <v>610</v>
      </c>
      <c r="C3" s="134"/>
      <c r="E3" s="29" t="s">
        <v>72</v>
      </c>
      <c r="F3" s="26" t="s">
        <v>27</v>
      </c>
      <c r="G3" s="14">
        <v>97</v>
      </c>
      <c r="H3" s="92">
        <f>IF(B$19=0,0,G3/B$19)</f>
        <v>0.51322751322751325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2073.3333333333335</v>
      </c>
      <c r="P3" s="81">
        <v>75</v>
      </c>
      <c r="Q3" s="68">
        <v>155500</v>
      </c>
    </row>
    <row r="4" spans="1:17" x14ac:dyDescent="0.4">
      <c r="A4" s="21" t="s">
        <v>6</v>
      </c>
      <c r="B4" s="135">
        <v>741.60000000000025</v>
      </c>
      <c r="C4" s="136"/>
      <c r="E4" s="29" t="s">
        <v>64</v>
      </c>
      <c r="F4" s="26" t="s">
        <v>20</v>
      </c>
      <c r="G4" s="14">
        <v>80</v>
      </c>
      <c r="H4" s="92">
        <f>IF(B$19=0,0,G4/B$19)</f>
        <v>0.42328042328042326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2688.7323943661972</v>
      </c>
      <c r="P4" s="81">
        <v>71</v>
      </c>
      <c r="Q4" s="68">
        <v>190900</v>
      </c>
    </row>
    <row r="5" spans="1:17" x14ac:dyDescent="0.4">
      <c r="A5" s="21" t="s">
        <v>7</v>
      </c>
      <c r="B5" s="123">
        <f>IF(B$2=0,0,B$4/B$2)</f>
        <v>9.7578947368421094</v>
      </c>
      <c r="C5" s="124"/>
      <c r="E5" s="29" t="s">
        <v>160</v>
      </c>
      <c r="F5" s="26" t="s">
        <v>161</v>
      </c>
      <c r="G5" s="14">
        <v>79</v>
      </c>
      <c r="H5" s="92">
        <f>IF(B$19=0,0,G5/B$19)</f>
        <v>0.41798941798941797</v>
      </c>
      <c r="I5" s="60">
        <v>7</v>
      </c>
      <c r="K5" s="7">
        <v>3</v>
      </c>
      <c r="L5" s="65">
        <v>98.1</v>
      </c>
      <c r="N5" s="78" t="s">
        <v>131</v>
      </c>
      <c r="O5" s="84">
        <f t="shared" si="0"/>
        <v>1160.3174603174602</v>
      </c>
      <c r="P5" s="81">
        <v>63</v>
      </c>
      <c r="Q5" s="68">
        <v>73100</v>
      </c>
    </row>
    <row r="6" spans="1:17" x14ac:dyDescent="0.4">
      <c r="A6" s="21" t="s">
        <v>1</v>
      </c>
      <c r="B6" s="137">
        <f>IF(B$2=0,0,(B$7*1+B$8*2+B$9*3)/B$2)</f>
        <v>1.75</v>
      </c>
      <c r="C6" s="138"/>
      <c r="E6" s="29" t="s">
        <v>68</v>
      </c>
      <c r="F6" s="26" t="s">
        <v>12</v>
      </c>
      <c r="G6" s="14">
        <v>74</v>
      </c>
      <c r="H6" s="92">
        <f>IF(B$19=0,0,G6/B$19)</f>
        <v>0.39153439153439151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-546.66666666666663</v>
      </c>
      <c r="P6" s="81">
        <v>60</v>
      </c>
      <c r="Q6" s="68">
        <v>-32800</v>
      </c>
    </row>
    <row r="7" spans="1:17" x14ac:dyDescent="0.4">
      <c r="A7" s="21" t="s">
        <v>2</v>
      </c>
      <c r="B7" s="14">
        <v>34</v>
      </c>
      <c r="C7" s="8">
        <f t="shared" ref="C7:C14" si="1">IF(B$2=0,0,B7/B$2)</f>
        <v>0.44736842105263158</v>
      </c>
      <c r="E7" s="29" t="s">
        <v>67</v>
      </c>
      <c r="F7" s="26" t="s">
        <v>23</v>
      </c>
      <c r="G7" s="14">
        <v>50</v>
      </c>
      <c r="H7" s="92">
        <f>IF(B$19=0,0,G7/B$19)</f>
        <v>0.26455026455026454</v>
      </c>
      <c r="I7" s="60">
        <v>2</v>
      </c>
      <c r="K7" s="7">
        <v>5</v>
      </c>
      <c r="L7" s="65">
        <v>143.1</v>
      </c>
      <c r="N7" s="79" t="s">
        <v>133</v>
      </c>
      <c r="O7" s="85">
        <f t="shared" si="0"/>
        <v>3110.6382978723404</v>
      </c>
      <c r="P7" s="82">
        <v>47</v>
      </c>
      <c r="Q7" s="69">
        <v>146200</v>
      </c>
    </row>
    <row r="8" spans="1:17" x14ac:dyDescent="0.4">
      <c r="A8" s="21" t="s">
        <v>3</v>
      </c>
      <c r="B8" s="14">
        <v>27</v>
      </c>
      <c r="C8" s="8">
        <f t="shared" si="1"/>
        <v>0.35526315789473684</v>
      </c>
      <c r="E8" s="29" t="s">
        <v>69</v>
      </c>
      <c r="F8" s="26" t="s">
        <v>24</v>
      </c>
      <c r="G8" s="14">
        <v>34</v>
      </c>
      <c r="H8" s="92">
        <f>IF(B$19=0,0,G8/B$19)</f>
        <v>0.17989417989417988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">
      <c r="A9" s="22" t="s">
        <v>4</v>
      </c>
      <c r="B9" s="15">
        <v>15</v>
      </c>
      <c r="C9" s="9">
        <f t="shared" si="1"/>
        <v>0.19736842105263158</v>
      </c>
      <c r="E9" s="29" t="s">
        <v>89</v>
      </c>
      <c r="F9" s="26" t="s">
        <v>44</v>
      </c>
      <c r="G9" s="14">
        <v>34</v>
      </c>
      <c r="H9" s="92">
        <f>IF(B$19=0,0,G9/B$19)</f>
        <v>0.17989417989417988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39.767647058823528</v>
      </c>
      <c r="C10" s="114">
        <v>1352.1</v>
      </c>
      <c r="E10" s="29" t="s">
        <v>65</v>
      </c>
      <c r="F10" s="26" t="s">
        <v>21</v>
      </c>
      <c r="G10" s="14">
        <v>21</v>
      </c>
      <c r="H10" s="92">
        <f>IF(B$19=0,0,G10/B$19)</f>
        <v>0.1111111111111111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3.1280000000000001</v>
      </c>
      <c r="P10" s="80">
        <v>25</v>
      </c>
      <c r="Q10" s="71">
        <v>78.2</v>
      </c>
    </row>
    <row r="11" spans="1:17" x14ac:dyDescent="0.4">
      <c r="A11" s="22" t="s">
        <v>186</v>
      </c>
      <c r="B11" s="113">
        <f>IF(B8=0,0,C11/B8)</f>
        <v>-0.82592592592592584</v>
      </c>
      <c r="C11" s="114">
        <v>-22.299999999999997</v>
      </c>
      <c r="E11" s="29" t="s">
        <v>70</v>
      </c>
      <c r="F11" s="26" t="s">
        <v>25</v>
      </c>
      <c r="G11" s="14">
        <v>15</v>
      </c>
      <c r="H11" s="92">
        <f>IF(B$19=0,0,G11/B$19)</f>
        <v>7.9365079365079361E-2</v>
      </c>
      <c r="I11" s="60">
        <v>6</v>
      </c>
      <c r="K11" s="7">
        <v>9</v>
      </c>
      <c r="L11" s="65">
        <v>151.29999999999998</v>
      </c>
      <c r="N11" s="78" t="s">
        <v>153</v>
      </c>
      <c r="O11" s="87">
        <f>IF(P11=0,0,Q11/P11)</f>
        <v>8.9964285714285683</v>
      </c>
      <c r="P11" s="81">
        <v>28</v>
      </c>
      <c r="Q11" s="72">
        <v>251.89999999999989</v>
      </c>
    </row>
    <row r="12" spans="1:17" x14ac:dyDescent="0.4">
      <c r="A12" s="22" t="s">
        <v>187</v>
      </c>
      <c r="B12" s="113">
        <f>IF(B9=0,0,C12/B9)</f>
        <v>-39.213333333333338</v>
      </c>
      <c r="C12" s="114">
        <v>-588.20000000000005</v>
      </c>
      <c r="E12" s="29" t="s">
        <v>71</v>
      </c>
      <c r="F12" s="26" t="s">
        <v>26</v>
      </c>
      <c r="G12" s="14">
        <v>14</v>
      </c>
      <c r="H12" s="92">
        <f>IF(B$19=0,0,G12/B$19)</f>
        <v>7.407407407407407E-2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17.891304347826093</v>
      </c>
      <c r="P12" s="82">
        <v>23</v>
      </c>
      <c r="Q12" s="73">
        <v>411.50000000000011</v>
      </c>
    </row>
    <row r="13" spans="1:17" x14ac:dyDescent="0.4">
      <c r="A13" s="22" t="s">
        <v>188</v>
      </c>
      <c r="B13" s="123">
        <f>AVERAGE(B10:B12)</f>
        <v>-9.0537400145244362E-2</v>
      </c>
      <c r="C13" s="124"/>
      <c r="E13" s="29" t="s">
        <v>86</v>
      </c>
      <c r="F13" s="26" t="s">
        <v>41</v>
      </c>
      <c r="G13" s="14">
        <v>14</v>
      </c>
      <c r="H13" s="92">
        <f>IF(B$19=0,0,G13/B$19)</f>
        <v>7.407407407407407E-2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5</v>
      </c>
      <c r="C14" s="11">
        <f t="shared" si="1"/>
        <v>6.5789473684210523E-2</v>
      </c>
      <c r="E14" s="29" t="s">
        <v>156</v>
      </c>
      <c r="F14" s="26" t="s">
        <v>157</v>
      </c>
      <c r="G14" s="14">
        <v>9</v>
      </c>
      <c r="H14" s="92">
        <f>IF(B$19=0,0,G14/B$19)</f>
        <v>4.7619047619047616E-2</v>
      </c>
      <c r="I14" s="60">
        <v>1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153</v>
      </c>
      <c r="C15" s="12">
        <f>IF(B$3=0,0,B15/B$3)</f>
        <v>0.25081967213114753</v>
      </c>
      <c r="E15" s="29" t="s">
        <v>83</v>
      </c>
      <c r="F15" s="26" t="s">
        <v>38</v>
      </c>
      <c r="G15" s="14">
        <v>8</v>
      </c>
      <c r="H15" s="92">
        <f>IF(B$19=0,0,G15/B$19)</f>
        <v>4.2328042328042326E-2</v>
      </c>
      <c r="I15" s="60">
        <v>6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">
      <c r="A16" s="21" t="s">
        <v>118</v>
      </c>
      <c r="B16" s="14">
        <v>100</v>
      </c>
      <c r="C16" s="8">
        <f>IF(B$3=0,0,B16/B$3)</f>
        <v>0.16393442622950818</v>
      </c>
      <c r="E16" s="29" t="s">
        <v>78</v>
      </c>
      <c r="F16" s="26" t="s">
        <v>33</v>
      </c>
      <c r="G16" s="14">
        <v>6</v>
      </c>
      <c r="H16" s="92">
        <f>IF(B$19=0,0,G16/B$19)</f>
        <v>3.1746031746031744E-2</v>
      </c>
      <c r="I16" s="60">
        <v>8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">
      <c r="A17" s="20" t="s">
        <v>123</v>
      </c>
      <c r="B17" s="13">
        <f>B23</f>
        <v>90</v>
      </c>
      <c r="C17" s="6">
        <f>IF(B$15=0,0,B17/B$15)</f>
        <v>0.58823529411764708</v>
      </c>
      <c r="E17" s="29" t="s">
        <v>81</v>
      </c>
      <c r="F17" s="26" t="s">
        <v>36</v>
      </c>
      <c r="G17" s="14">
        <v>6</v>
      </c>
      <c r="H17" s="92">
        <f>IF(B$19=0,0,G17/B$19)</f>
        <v>3.1746031746031744E-2</v>
      </c>
      <c r="I17" s="60">
        <v>3</v>
      </c>
      <c r="K17" s="7">
        <v>15</v>
      </c>
      <c r="L17" s="65">
        <v>213.5</v>
      </c>
      <c r="N17" s="78" t="s">
        <v>194</v>
      </c>
      <c r="O17" s="87">
        <f>IF(P17=0,0,Q17/P17)</f>
        <v>24.536842105263162</v>
      </c>
      <c r="P17" s="81">
        <v>19</v>
      </c>
      <c r="Q17" s="72">
        <v>466.2000000000001</v>
      </c>
    </row>
    <row r="18" spans="1:17" x14ac:dyDescent="0.4">
      <c r="A18" s="20" t="s">
        <v>124</v>
      </c>
      <c r="B18" s="13">
        <f>B24</f>
        <v>48</v>
      </c>
      <c r="C18" s="6">
        <f>IF(B$16=0,0,B18/B$16)</f>
        <v>0.48</v>
      </c>
      <c r="E18" s="29" t="s">
        <v>79</v>
      </c>
      <c r="F18" s="26" t="s">
        <v>34</v>
      </c>
      <c r="G18" s="14">
        <v>5</v>
      </c>
      <c r="H18" s="92">
        <f>IF(B$19=0,0,G18/B$19)</f>
        <v>2.6455026455026454E-2</v>
      </c>
      <c r="I18" s="60">
        <v>3</v>
      </c>
      <c r="K18" s="7">
        <v>16</v>
      </c>
      <c r="L18" s="65">
        <v>273.8</v>
      </c>
      <c r="N18" s="78" t="s">
        <v>193</v>
      </c>
      <c r="O18" s="87">
        <f>IF(P18=0,0,Q18/P18)</f>
        <v>24.1875</v>
      </c>
      <c r="P18" s="81">
        <v>16</v>
      </c>
      <c r="Q18" s="72">
        <v>387</v>
      </c>
    </row>
    <row r="19" spans="1:17" x14ac:dyDescent="0.4">
      <c r="A19" s="20" t="s">
        <v>10</v>
      </c>
      <c r="B19" s="13">
        <f>B22+B21</f>
        <v>189</v>
      </c>
      <c r="C19" s="6">
        <f>IF(B$3=0,0,B19/B$3)</f>
        <v>0.30983606557377047</v>
      </c>
      <c r="E19" s="29" t="s">
        <v>92</v>
      </c>
      <c r="F19" s="26" t="s">
        <v>47</v>
      </c>
      <c r="G19" s="14">
        <v>3</v>
      </c>
      <c r="H19" s="92">
        <f>IF(B$19=0,0,G19/B$19)</f>
        <v>1.5873015873015872E-2</v>
      </c>
      <c r="I19" s="60">
        <v>2</v>
      </c>
      <c r="K19" s="7">
        <v>17</v>
      </c>
      <c r="L19" s="65">
        <v>242.8</v>
      </c>
      <c r="N19" s="78" t="s">
        <v>192</v>
      </c>
      <c r="O19" s="87">
        <f>IF(P19=0,0,Q19/P19)</f>
        <v>20.896774193548389</v>
      </c>
      <c r="P19" s="81">
        <v>31</v>
      </c>
      <c r="Q19" s="72">
        <v>647.80000000000007</v>
      </c>
    </row>
    <row r="20" spans="1:17" x14ac:dyDescent="0.4">
      <c r="A20" s="21" t="s">
        <v>13</v>
      </c>
      <c r="B20" s="14">
        <v>89</v>
      </c>
      <c r="C20" s="8">
        <f>IF(B$3=0,0,B20/B$3)</f>
        <v>0.14590163934426228</v>
      </c>
      <c r="E20" s="29" t="s">
        <v>91</v>
      </c>
      <c r="F20" s="26" t="s">
        <v>46</v>
      </c>
      <c r="G20" s="14">
        <v>2</v>
      </c>
      <c r="H20" s="92">
        <f>IF(B$19=0,0,G20/B$19)</f>
        <v>1.0582010582010581E-2</v>
      </c>
      <c r="I20" s="60">
        <v>5</v>
      </c>
      <c r="K20" s="7">
        <v>18</v>
      </c>
      <c r="L20" s="65">
        <v>280</v>
      </c>
      <c r="N20" s="78" t="s">
        <v>205</v>
      </c>
      <c r="O20" s="87">
        <f>IF(P20=0,0,Q20/P20)</f>
        <v>11.862962962962964</v>
      </c>
      <c r="P20" s="81">
        <v>27</v>
      </c>
      <c r="Q20" s="72">
        <v>320.3</v>
      </c>
    </row>
    <row r="21" spans="1:17" x14ac:dyDescent="0.4">
      <c r="A21" s="21" t="s">
        <v>12</v>
      </c>
      <c r="B21" s="14">
        <v>97</v>
      </c>
      <c r="C21" s="8">
        <f>IF(B$19=0,0,B21/B$19)</f>
        <v>0.51322751322751325</v>
      </c>
      <c r="E21" s="29" t="s">
        <v>93</v>
      </c>
      <c r="F21" s="26" t="s">
        <v>48</v>
      </c>
      <c r="G21" s="14">
        <v>2</v>
      </c>
      <c r="H21" s="92">
        <f>IF(B$19=0,0,G21/B$19)</f>
        <v>1.0582010582010581E-2</v>
      </c>
      <c r="I21" s="60">
        <v>1</v>
      </c>
      <c r="K21" s="7">
        <v>19</v>
      </c>
      <c r="L21" s="65">
        <v>281.5</v>
      </c>
      <c r="N21" s="78" t="s">
        <v>213</v>
      </c>
      <c r="O21" s="87">
        <f>IF(P21=0,0,Q21/P21)</f>
        <v>4.7444444444444436</v>
      </c>
      <c r="P21" s="81">
        <v>9</v>
      </c>
      <c r="Q21" s="72">
        <v>42.699999999999989</v>
      </c>
    </row>
    <row r="22" spans="1:17" x14ac:dyDescent="0.4">
      <c r="A22" s="21" t="s">
        <v>11</v>
      </c>
      <c r="B22" s="14">
        <v>92</v>
      </c>
      <c r="C22" s="8">
        <f>IF(B$19=0,0,B22/B$19)</f>
        <v>0.48677248677248675</v>
      </c>
      <c r="E22" s="29" t="s">
        <v>73</v>
      </c>
      <c r="F22" s="26" t="s">
        <v>28</v>
      </c>
      <c r="G22" s="14">
        <v>1</v>
      </c>
      <c r="H22" s="92">
        <f>IF(B$19=0,0,G22/B$19)</f>
        <v>5.2910052910052907E-3</v>
      </c>
      <c r="I22" s="60">
        <v>2</v>
      </c>
      <c r="K22" s="7">
        <v>20</v>
      </c>
      <c r="L22" s="65">
        <v>287.2</v>
      </c>
      <c r="N22" s="78" t="s">
        <v>164</v>
      </c>
      <c r="O22" s="87">
        <f>IF(P22=0,0,Q22/P22)</f>
        <v>2.6452380952380921</v>
      </c>
      <c r="P22" s="81">
        <v>42</v>
      </c>
      <c r="Q22" s="72">
        <v>111.09999999999987</v>
      </c>
    </row>
    <row r="23" spans="1:17" x14ac:dyDescent="0.4">
      <c r="A23" s="21" t="s">
        <v>184</v>
      </c>
      <c r="B23" s="14">
        <v>90</v>
      </c>
      <c r="C23" s="8">
        <f>IF(B$19=0,0,B23/B$19)</f>
        <v>0.47619047619047616</v>
      </c>
      <c r="E23" s="29" t="s">
        <v>77</v>
      </c>
      <c r="F23" s="26" t="s">
        <v>32</v>
      </c>
      <c r="G23" s="14">
        <v>1</v>
      </c>
      <c r="H23" s="92">
        <f>IF(B$19=0,0,G23/B$19)</f>
        <v>5.2910052910052907E-3</v>
      </c>
      <c r="I23" s="60">
        <v>5</v>
      </c>
      <c r="K23" s="7">
        <v>21</v>
      </c>
      <c r="L23" s="65">
        <v>286.3</v>
      </c>
    </row>
    <row r="24" spans="1:17" x14ac:dyDescent="0.4">
      <c r="A24" s="21" t="s">
        <v>182</v>
      </c>
      <c r="B24" s="14">
        <v>48</v>
      </c>
      <c r="C24" s="8">
        <f>IF(B$19=0,0,B24/B$19)</f>
        <v>0.25396825396825395</v>
      </c>
      <c r="E24" s="29" t="s">
        <v>84</v>
      </c>
      <c r="F24" s="26" t="s">
        <v>39</v>
      </c>
      <c r="G24" s="14">
        <v>1</v>
      </c>
      <c r="H24" s="92">
        <f>IF(B$19=0,0,G24/B$19)</f>
        <v>5.2910052910052907E-3</v>
      </c>
      <c r="I24" s="60">
        <v>1</v>
      </c>
      <c r="K24" s="7">
        <v>22</v>
      </c>
      <c r="L24" s="65">
        <v>344.1</v>
      </c>
    </row>
    <row r="25" spans="1:17" x14ac:dyDescent="0.4">
      <c r="A25" s="21" t="s">
        <v>183</v>
      </c>
      <c r="B25" s="14">
        <v>51</v>
      </c>
      <c r="C25" s="8">
        <f>IF(B$19=0,0,B25/B$19)</f>
        <v>0.26984126984126983</v>
      </c>
      <c r="E25" s="29" t="s">
        <v>87</v>
      </c>
      <c r="F25" s="26" t="s">
        <v>42</v>
      </c>
      <c r="G25" s="14">
        <v>1</v>
      </c>
      <c r="H25" s="92">
        <f>IF(B$19=0,0,G25/B$19)</f>
        <v>5.2910052910052907E-3</v>
      </c>
      <c r="I25" s="60">
        <v>2</v>
      </c>
      <c r="K25" s="7">
        <v>23</v>
      </c>
      <c r="L25" s="65">
        <v>396.90000000000003</v>
      </c>
    </row>
    <row r="26" spans="1:17" x14ac:dyDescent="0.4">
      <c r="A26" s="21" t="s">
        <v>5</v>
      </c>
      <c r="B26" s="18">
        <f>IF(B$19=0,0,C26/B$19)</f>
        <v>9948.1481481481478</v>
      </c>
      <c r="C26" s="10">
        <v>1880200</v>
      </c>
      <c r="E26" s="29" t="s">
        <v>95</v>
      </c>
      <c r="F26" s="26" t="s">
        <v>50</v>
      </c>
      <c r="G26" s="14">
        <v>1</v>
      </c>
      <c r="H26" s="92">
        <f>IF(B$19=0,0,G26/B$19)</f>
        <v>5.2910052910052907E-3</v>
      </c>
      <c r="I26" s="60">
        <v>1</v>
      </c>
      <c r="K26" s="7">
        <v>24</v>
      </c>
      <c r="L26" s="65">
        <v>469.90000000000003</v>
      </c>
    </row>
    <row r="27" spans="1:17" x14ac:dyDescent="0.4">
      <c r="A27" s="22" t="s">
        <v>166</v>
      </c>
      <c r="B27" s="99">
        <f>IF($B$19-B$18=0,0,C27/($B$19-B$18))</f>
        <v>10374.468085106382</v>
      </c>
      <c r="C27" s="100">
        <v>1462800</v>
      </c>
      <c r="E27" s="29" t="s">
        <v>106</v>
      </c>
      <c r="F27" s="26" t="s">
        <v>113</v>
      </c>
      <c r="G27" s="14">
        <v>1</v>
      </c>
      <c r="H27" s="92">
        <f>IF(B$19=0,0,G27/B$19)</f>
        <v>5.2910052910052907E-3</v>
      </c>
      <c r="I27" s="60">
        <v>1</v>
      </c>
      <c r="K27" s="7">
        <v>25</v>
      </c>
      <c r="L27" s="65">
        <v>465.6</v>
      </c>
    </row>
    <row r="28" spans="1:17" x14ac:dyDescent="0.4">
      <c r="A28" s="22" t="s">
        <v>167</v>
      </c>
      <c r="B28" s="99">
        <f>IF(B$18=0,0,C28/B$18)</f>
        <v>8695.8333333333339</v>
      </c>
      <c r="C28" s="100">
        <v>417400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525.30000000000007</v>
      </c>
    </row>
    <row r="29" spans="1:17" x14ac:dyDescent="0.4">
      <c r="A29" s="22" t="s">
        <v>165</v>
      </c>
      <c r="B29" s="99">
        <f>IF(B$20=0,0,C29/B$20)</f>
        <v>-7913.4831460674159</v>
      </c>
      <c r="C29" s="100">
        <v>-704300</v>
      </c>
      <c r="E29" s="29" t="s">
        <v>75</v>
      </c>
      <c r="F29" s="26" t="s">
        <v>30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">
      <c r="A30" s="21" t="s">
        <v>158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">
      <c r="A31" s="21" t="s">
        <v>159</v>
      </c>
      <c r="B31" s="14">
        <v>45</v>
      </c>
      <c r="C31" s="94">
        <v>4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">
      <c r="A32" s="56" t="s">
        <v>136</v>
      </c>
      <c r="B32" s="125">
        <v>6</v>
      </c>
      <c r="C32" s="126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">
      <c r="A33" s="24" t="s">
        <v>181</v>
      </c>
      <c r="B33" s="127">
        <v>102700</v>
      </c>
      <c r="C33" s="128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">
      <c r="A36" s="56" t="s">
        <v>172</v>
      </c>
      <c r="B36" s="121">
        <v>12</v>
      </c>
      <c r="C36" s="102">
        <f t="shared" ref="C36:C48" si="2">IF(B$19=0,0,B36/B$19)</f>
        <v>6.3492063492063489E-2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">
      <c r="A37" s="21" t="s">
        <v>168</v>
      </c>
      <c r="B37" s="14">
        <v>26</v>
      </c>
      <c r="C37" s="8">
        <f t="shared" si="2"/>
        <v>0.13756613756613756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">
      <c r="A38" s="21" t="s">
        <v>169</v>
      </c>
      <c r="B38" s="122">
        <v>31</v>
      </c>
      <c r="C38" s="8">
        <f t="shared" si="2"/>
        <v>0.16402116402116401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">
      <c r="A39" s="21" t="s">
        <v>170</v>
      </c>
      <c r="B39" s="122">
        <v>37</v>
      </c>
      <c r="C39" s="8">
        <f t="shared" si="2"/>
        <v>0.19576719576719576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">
      <c r="A40" s="21" t="s">
        <v>171</v>
      </c>
      <c r="B40" s="122">
        <v>31</v>
      </c>
      <c r="C40" s="8">
        <f t="shared" si="2"/>
        <v>0.16402116402116401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">
      <c r="A41" s="21" t="s">
        <v>173</v>
      </c>
      <c r="B41" s="122">
        <v>17</v>
      </c>
      <c r="C41" s="8">
        <f t="shared" si="2"/>
        <v>8.9947089947089942E-2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">
      <c r="A42" s="21" t="s">
        <v>174</v>
      </c>
      <c r="B42" s="122">
        <v>12</v>
      </c>
      <c r="C42" s="8">
        <f t="shared" si="2"/>
        <v>6.3492063492063489E-2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">
      <c r="A43" s="21" t="s">
        <v>175</v>
      </c>
      <c r="B43" s="122">
        <v>6</v>
      </c>
      <c r="C43" s="8">
        <f t="shared" si="2"/>
        <v>3.1746031746031744E-2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">
      <c r="A44" s="21" t="s">
        <v>176</v>
      </c>
      <c r="B44" s="122">
        <v>5</v>
      </c>
      <c r="C44" s="8">
        <f t="shared" si="2"/>
        <v>2.6455026455026454E-2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">
      <c r="A45" s="21" t="s">
        <v>177</v>
      </c>
      <c r="B45" s="122">
        <v>3</v>
      </c>
      <c r="C45" s="8">
        <f t="shared" si="2"/>
        <v>1.5873015873015872E-2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">
      <c r="A46" s="21" t="s">
        <v>178</v>
      </c>
      <c r="B46" s="122">
        <v>1</v>
      </c>
      <c r="C46" s="8">
        <f t="shared" si="2"/>
        <v>5.2910052910052907E-3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">
      <c r="A47" s="21" t="s">
        <v>179</v>
      </c>
      <c r="B47" s="122">
        <v>1</v>
      </c>
      <c r="C47" s="8">
        <f t="shared" si="2"/>
        <v>5.2910052910052907E-3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">
      <c r="A48" s="23" t="s">
        <v>180</v>
      </c>
      <c r="B48" s="101">
        <v>7</v>
      </c>
      <c r="C48" s="11">
        <f t="shared" si="2"/>
        <v>3.7037037037037035E-2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">
      <c r="K53" s="7">
        <v>51</v>
      </c>
      <c r="L53" s="65">
        <v>639.30000000000007</v>
      </c>
    </row>
    <row r="54" spans="5:12" x14ac:dyDescent="0.4">
      <c r="K54" s="7">
        <v>52</v>
      </c>
      <c r="L54" s="65">
        <v>644.20000000000005</v>
      </c>
    </row>
    <row r="55" spans="5:12" x14ac:dyDescent="0.4">
      <c r="K55" s="7">
        <v>53</v>
      </c>
      <c r="L55" s="65">
        <v>605.20000000000005</v>
      </c>
    </row>
    <row r="56" spans="5:12" x14ac:dyDescent="0.4">
      <c r="K56" s="7">
        <v>54</v>
      </c>
      <c r="L56" s="65">
        <v>598.90000000000009</v>
      </c>
    </row>
    <row r="57" spans="5:12" x14ac:dyDescent="0.4">
      <c r="K57" s="7">
        <v>55</v>
      </c>
      <c r="L57" s="65">
        <v>627.40000000000009</v>
      </c>
    </row>
    <row r="58" spans="5:12" x14ac:dyDescent="0.4">
      <c r="K58" s="7">
        <v>56</v>
      </c>
      <c r="L58" s="65">
        <v>646.00000000000011</v>
      </c>
    </row>
    <row r="59" spans="5:12" x14ac:dyDescent="0.4">
      <c r="K59" s="7">
        <v>57</v>
      </c>
      <c r="L59" s="65">
        <v>644.60000000000014</v>
      </c>
    </row>
    <row r="60" spans="5:12" x14ac:dyDescent="0.4">
      <c r="K60" s="7">
        <v>58</v>
      </c>
      <c r="L60" s="65">
        <v>636.70000000000016</v>
      </c>
    </row>
    <row r="61" spans="5:12" x14ac:dyDescent="0.4">
      <c r="K61" s="7">
        <v>59</v>
      </c>
      <c r="L61" s="65">
        <v>633.30000000000018</v>
      </c>
    </row>
    <row r="62" spans="5:12" x14ac:dyDescent="0.4">
      <c r="K62" s="7">
        <v>60</v>
      </c>
      <c r="L62" s="65">
        <v>629.20000000000016</v>
      </c>
    </row>
    <row r="63" spans="5:12" x14ac:dyDescent="0.4">
      <c r="K63" s="7">
        <v>61</v>
      </c>
      <c r="L63" s="65">
        <v>581.20000000000016</v>
      </c>
    </row>
    <row r="64" spans="5:12" x14ac:dyDescent="0.4">
      <c r="K64" s="7">
        <v>62</v>
      </c>
      <c r="L64" s="65">
        <v>534.9000000000002</v>
      </c>
    </row>
    <row r="65" spans="11:12" x14ac:dyDescent="0.4">
      <c r="K65" s="7">
        <v>63</v>
      </c>
      <c r="L65" s="65">
        <v>511.30000000000018</v>
      </c>
    </row>
    <row r="66" spans="11:12" x14ac:dyDescent="0.4">
      <c r="K66" s="7">
        <v>64</v>
      </c>
      <c r="L66" s="65">
        <v>512.50000000000023</v>
      </c>
    </row>
    <row r="67" spans="11:12" x14ac:dyDescent="0.4">
      <c r="K67" s="7">
        <v>65</v>
      </c>
      <c r="L67" s="65">
        <v>548.50000000000023</v>
      </c>
    </row>
    <row r="68" spans="11:12" x14ac:dyDescent="0.4">
      <c r="K68" s="7">
        <v>66</v>
      </c>
      <c r="L68" s="65">
        <v>568.9000000000002</v>
      </c>
    </row>
    <row r="69" spans="11:12" x14ac:dyDescent="0.4">
      <c r="K69" s="7">
        <v>67</v>
      </c>
      <c r="L69" s="65">
        <v>586.4000000000002</v>
      </c>
    </row>
    <row r="70" spans="11:12" x14ac:dyDescent="0.4">
      <c r="K70" s="7">
        <v>68</v>
      </c>
      <c r="L70" s="65">
        <v>619.60000000000025</v>
      </c>
    </row>
    <row r="71" spans="11:12" x14ac:dyDescent="0.4">
      <c r="K71" s="7">
        <v>69</v>
      </c>
      <c r="L71" s="65">
        <v>631.50000000000023</v>
      </c>
    </row>
    <row r="72" spans="11:12" x14ac:dyDescent="0.4">
      <c r="K72" s="7">
        <v>70</v>
      </c>
      <c r="L72" s="65">
        <v>597.20000000000027</v>
      </c>
    </row>
    <row r="73" spans="11:12" x14ac:dyDescent="0.4">
      <c r="K73" s="7">
        <v>71</v>
      </c>
      <c r="L73" s="65">
        <v>616.60000000000025</v>
      </c>
    </row>
    <row r="74" spans="11:12" x14ac:dyDescent="0.4">
      <c r="K74" s="7">
        <v>72</v>
      </c>
      <c r="L74" s="65">
        <v>677.10000000000025</v>
      </c>
    </row>
    <row r="75" spans="11:12" x14ac:dyDescent="0.4">
      <c r="K75" s="7">
        <v>73</v>
      </c>
      <c r="L75" s="65">
        <v>658.9000000000002</v>
      </c>
    </row>
    <row r="76" spans="11:12" x14ac:dyDescent="0.4">
      <c r="K76" s="7">
        <v>74</v>
      </c>
      <c r="L76" s="65">
        <v>678.00000000000023</v>
      </c>
    </row>
    <row r="77" spans="11:12" x14ac:dyDescent="0.4">
      <c r="K77" s="7">
        <v>75</v>
      </c>
      <c r="L77" s="65">
        <v>707.50000000000023</v>
      </c>
    </row>
    <row r="78" spans="11:12" x14ac:dyDescent="0.4">
      <c r="K78" s="7">
        <v>76</v>
      </c>
      <c r="L78" s="65">
        <v>741.60000000000025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33</v>
      </c>
      <c r="C2" s="132"/>
      <c r="E2" s="28" t="s">
        <v>66</v>
      </c>
      <c r="F2" s="25" t="s">
        <v>22</v>
      </c>
      <c r="G2" s="13">
        <v>52</v>
      </c>
      <c r="H2" s="91">
        <f>IF(B$19=0,0,G2/B$19)</f>
        <v>0.74285714285714288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-4156.25</v>
      </c>
      <c r="P2" s="80">
        <v>32</v>
      </c>
      <c r="Q2" s="67">
        <v>-133000</v>
      </c>
    </row>
    <row r="3" spans="1:17" x14ac:dyDescent="0.4">
      <c r="A3" s="21" t="s">
        <v>8</v>
      </c>
      <c r="B3" s="133">
        <v>257</v>
      </c>
      <c r="C3" s="134"/>
      <c r="E3" s="29" t="s">
        <v>72</v>
      </c>
      <c r="F3" s="26" t="s">
        <v>27</v>
      </c>
      <c r="G3" s="14">
        <v>39</v>
      </c>
      <c r="H3" s="92">
        <f>IF(B$19=0,0,G3/B$19)</f>
        <v>0.55714285714285716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1843.75</v>
      </c>
      <c r="P3" s="81">
        <v>32</v>
      </c>
      <c r="Q3" s="68">
        <v>59000</v>
      </c>
    </row>
    <row r="4" spans="1:17" x14ac:dyDescent="0.4">
      <c r="A4" s="21" t="s">
        <v>6</v>
      </c>
      <c r="B4" s="135">
        <v>-276.19999999999993</v>
      </c>
      <c r="C4" s="136"/>
      <c r="E4" s="29" t="s">
        <v>160</v>
      </c>
      <c r="F4" s="26" t="s">
        <v>161</v>
      </c>
      <c r="G4" s="14">
        <v>32</v>
      </c>
      <c r="H4" s="92">
        <f>IF(B$19=0,0,G4/B$19)</f>
        <v>0.45714285714285713</v>
      </c>
      <c r="I4" s="60">
        <v>4</v>
      </c>
      <c r="K4" s="7">
        <v>2</v>
      </c>
      <c r="L4" s="65">
        <v>-106.5</v>
      </c>
      <c r="N4" s="78" t="s">
        <v>130</v>
      </c>
      <c r="O4" s="84">
        <f t="shared" si="0"/>
        <v>-2300</v>
      </c>
      <c r="P4" s="81">
        <v>30</v>
      </c>
      <c r="Q4" s="68">
        <v>-69000</v>
      </c>
    </row>
    <row r="5" spans="1:17" x14ac:dyDescent="0.4">
      <c r="A5" s="21" t="s">
        <v>7</v>
      </c>
      <c r="B5" s="123">
        <f>IF(B$2=0,0,B$4/B$2)</f>
        <v>-8.3696969696969674</v>
      </c>
      <c r="C5" s="124"/>
      <c r="E5" s="29" t="s">
        <v>64</v>
      </c>
      <c r="F5" s="26" t="s">
        <v>20</v>
      </c>
      <c r="G5" s="14">
        <v>30</v>
      </c>
      <c r="H5" s="92">
        <f>IF(B$19=0,0,G5/B$19)</f>
        <v>0.42857142857142855</v>
      </c>
      <c r="I5" s="60">
        <v>7</v>
      </c>
      <c r="K5" s="7">
        <v>3</v>
      </c>
      <c r="L5" s="65">
        <v>-108</v>
      </c>
      <c r="N5" s="78" t="s">
        <v>131</v>
      </c>
      <c r="O5" s="84">
        <f t="shared" si="0"/>
        <v>-936</v>
      </c>
      <c r="P5" s="81">
        <v>25</v>
      </c>
      <c r="Q5" s="68">
        <v>-23400</v>
      </c>
    </row>
    <row r="6" spans="1:17" x14ac:dyDescent="0.4">
      <c r="A6" s="21" t="s">
        <v>1</v>
      </c>
      <c r="B6" s="137">
        <f>IF(B$2=0,0,(B$7*1+B$8*2+B$9*3)/B$2)</f>
        <v>2.3030303030303032</v>
      </c>
      <c r="C6" s="138"/>
      <c r="E6" s="29" t="s">
        <v>68</v>
      </c>
      <c r="F6" s="26" t="s">
        <v>12</v>
      </c>
      <c r="G6" s="14">
        <v>19</v>
      </c>
      <c r="H6" s="92">
        <f>IF(B$19=0,0,G6/B$19)</f>
        <v>0.27142857142857141</v>
      </c>
      <c r="I6" s="60">
        <v>6</v>
      </c>
      <c r="K6" s="7">
        <v>4</v>
      </c>
      <c r="L6" s="65">
        <v>-115.5</v>
      </c>
      <c r="N6" s="78" t="s">
        <v>132</v>
      </c>
      <c r="O6" s="84">
        <f t="shared" si="0"/>
        <v>2766.6666666666665</v>
      </c>
      <c r="P6" s="81">
        <v>21</v>
      </c>
      <c r="Q6" s="68">
        <v>58100</v>
      </c>
    </row>
    <row r="7" spans="1:17" x14ac:dyDescent="0.4">
      <c r="A7" s="21" t="s">
        <v>2</v>
      </c>
      <c r="B7" s="14">
        <v>6</v>
      </c>
      <c r="C7" s="8">
        <f t="shared" ref="C7:C14" si="1">IF(B$2=0,0,B7/B$2)</f>
        <v>0.18181818181818182</v>
      </c>
      <c r="E7" s="29" t="s">
        <v>67</v>
      </c>
      <c r="F7" s="26" t="s">
        <v>23</v>
      </c>
      <c r="G7" s="14">
        <v>16</v>
      </c>
      <c r="H7" s="92">
        <f>IF(B$19=0,0,G7/B$19)</f>
        <v>0.22857142857142856</v>
      </c>
      <c r="I7" s="60">
        <v>7</v>
      </c>
      <c r="K7" s="7">
        <v>5</v>
      </c>
      <c r="L7" s="65">
        <v>-116</v>
      </c>
      <c r="N7" s="79" t="s">
        <v>133</v>
      </c>
      <c r="O7" s="85">
        <f t="shared" si="0"/>
        <v>-4182.3529411764703</v>
      </c>
      <c r="P7" s="82">
        <v>17</v>
      </c>
      <c r="Q7" s="69">
        <v>-71100</v>
      </c>
    </row>
    <row r="8" spans="1:17" x14ac:dyDescent="0.4">
      <c r="A8" s="21" t="s">
        <v>3</v>
      </c>
      <c r="B8" s="14">
        <v>11</v>
      </c>
      <c r="C8" s="8">
        <f t="shared" si="1"/>
        <v>0.33333333333333331</v>
      </c>
      <c r="E8" s="29" t="s">
        <v>69</v>
      </c>
      <c r="F8" s="26" t="s">
        <v>24</v>
      </c>
      <c r="G8" s="14">
        <v>9</v>
      </c>
      <c r="H8" s="92">
        <f>IF(B$19=0,0,G8/B$19)</f>
        <v>0.12857142857142856</v>
      </c>
      <c r="I8" s="60">
        <v>6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">
      <c r="A9" s="22" t="s">
        <v>4</v>
      </c>
      <c r="B9" s="15">
        <v>16</v>
      </c>
      <c r="C9" s="9">
        <f t="shared" si="1"/>
        <v>0.48484848484848486</v>
      </c>
      <c r="E9" s="29" t="s">
        <v>89</v>
      </c>
      <c r="F9" s="26" t="s">
        <v>44</v>
      </c>
      <c r="G9" s="14">
        <v>9</v>
      </c>
      <c r="H9" s="92">
        <f>IF(B$19=0,0,G9/B$19)</f>
        <v>0.12857142857142856</v>
      </c>
      <c r="I9" s="60">
        <v>6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48.816666666666663</v>
      </c>
      <c r="C10" s="114">
        <v>292.89999999999998</v>
      </c>
      <c r="E10" s="29" t="s">
        <v>70</v>
      </c>
      <c r="F10" s="26" t="s">
        <v>25</v>
      </c>
      <c r="G10" s="14">
        <v>7</v>
      </c>
      <c r="H10" s="92">
        <f>IF(B$19=0,0,G10/B$19)</f>
        <v>0.1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-28.77</v>
      </c>
      <c r="P10" s="80">
        <v>10</v>
      </c>
      <c r="Q10" s="71">
        <v>-287.7</v>
      </c>
    </row>
    <row r="11" spans="1:17" x14ac:dyDescent="0.4">
      <c r="A11" s="22" t="s">
        <v>186</v>
      </c>
      <c r="B11" s="113">
        <f>IF(B8=0,0,C11/B8)</f>
        <v>-1.9909090909090912</v>
      </c>
      <c r="C11" s="114">
        <v>-21.900000000000002</v>
      </c>
      <c r="E11" s="29" t="s">
        <v>65</v>
      </c>
      <c r="F11" s="26" t="s">
        <v>21</v>
      </c>
      <c r="G11" s="14">
        <v>5</v>
      </c>
      <c r="H11" s="92">
        <f>IF(B$19=0,0,G11/B$19)</f>
        <v>7.1428571428571425E-2</v>
      </c>
      <c r="I11" s="60">
        <v>9</v>
      </c>
      <c r="K11" s="7">
        <v>9</v>
      </c>
      <c r="L11" s="65">
        <v>-172.39999999999998</v>
      </c>
      <c r="N11" s="78" t="s">
        <v>153</v>
      </c>
      <c r="O11" s="87">
        <f>IF(P11=0,0,Q11/P11)</f>
        <v>-7.8461538461538458</v>
      </c>
      <c r="P11" s="81">
        <v>13</v>
      </c>
      <c r="Q11" s="72">
        <v>-102</v>
      </c>
    </row>
    <row r="12" spans="1:17" x14ac:dyDescent="0.4">
      <c r="A12" s="22" t="s">
        <v>187</v>
      </c>
      <c r="B12" s="113">
        <f>IF(B9=0,0,C12/B9)</f>
        <v>-34.200000000000003</v>
      </c>
      <c r="C12" s="114">
        <v>-547.20000000000005</v>
      </c>
      <c r="E12" s="29" t="s">
        <v>71</v>
      </c>
      <c r="F12" s="26" t="s">
        <v>26</v>
      </c>
      <c r="G12" s="14">
        <v>4</v>
      </c>
      <c r="H12" s="92">
        <f>IF(B$19=0,0,G12/B$19)</f>
        <v>5.7142857142857141E-2</v>
      </c>
      <c r="I12" s="60">
        <v>7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">
      <c r="A13" s="22" t="s">
        <v>188</v>
      </c>
      <c r="B13" s="123">
        <f>AVERAGE(B10:B12)</f>
        <v>4.208585858585856</v>
      </c>
      <c r="C13" s="124"/>
      <c r="E13" s="29" t="s">
        <v>86</v>
      </c>
      <c r="F13" s="26" t="s">
        <v>41</v>
      </c>
      <c r="G13" s="14">
        <v>4</v>
      </c>
      <c r="H13" s="92">
        <f>IF(B$19=0,0,G13/B$19)</f>
        <v>5.7142857142857141E-2</v>
      </c>
      <c r="I13" s="60">
        <v>4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0.18181818181818182</v>
      </c>
      <c r="E14" s="29" t="s">
        <v>78</v>
      </c>
      <c r="F14" s="26" t="s">
        <v>33</v>
      </c>
      <c r="G14" s="14">
        <v>3</v>
      </c>
      <c r="H14" s="92">
        <f>IF(B$19=0,0,G14/B$19)</f>
        <v>4.2857142857142858E-2</v>
      </c>
      <c r="I14" s="60">
        <v>2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56</v>
      </c>
      <c r="C15" s="12">
        <f>IF(B$3=0,0,B15/B$3)</f>
        <v>0.21789883268482491</v>
      </c>
      <c r="E15" s="29" t="s">
        <v>81</v>
      </c>
      <c r="F15" s="26" t="s">
        <v>36</v>
      </c>
      <c r="G15" s="14">
        <v>2</v>
      </c>
      <c r="H15" s="92">
        <f>IF(B$19=0,0,G15/B$19)</f>
        <v>2.8571428571428571E-2</v>
      </c>
      <c r="I15" s="60">
        <v>5</v>
      </c>
      <c r="K15" s="7">
        <v>13</v>
      </c>
      <c r="L15" s="65">
        <v>-280.59999999999997</v>
      </c>
      <c r="N15" s="77" t="s">
        <v>164</v>
      </c>
      <c r="O15" s="86">
        <f>IF(P15=0,0,Q15/P15)</f>
        <v>29.537500000000005</v>
      </c>
      <c r="P15" s="80">
        <v>8</v>
      </c>
      <c r="Q15" s="71">
        <v>236.30000000000004</v>
      </c>
    </row>
    <row r="16" spans="1:17" x14ac:dyDescent="0.4">
      <c r="A16" s="21" t="s">
        <v>118</v>
      </c>
      <c r="B16" s="14">
        <v>41</v>
      </c>
      <c r="C16" s="8">
        <f>IF(B$3=0,0,B16/B$3)</f>
        <v>0.15953307392996108</v>
      </c>
      <c r="E16" s="29" t="s">
        <v>87</v>
      </c>
      <c r="F16" s="26" t="s">
        <v>42</v>
      </c>
      <c r="G16" s="14">
        <v>1</v>
      </c>
      <c r="H16" s="92">
        <f>IF(B$19=0,0,G16/B$19)</f>
        <v>1.4285714285714285E-2</v>
      </c>
      <c r="I16" s="60">
        <v>1</v>
      </c>
      <c r="K16" s="7">
        <v>14</v>
      </c>
      <c r="L16" s="65">
        <v>-330.7</v>
      </c>
      <c r="N16" s="78" t="s">
        <v>192</v>
      </c>
      <c r="O16" s="87">
        <f>IF(P16=0,0,Q16/P16)</f>
        <v>-4.0250000000000004</v>
      </c>
      <c r="P16" s="81">
        <v>16</v>
      </c>
      <c r="Q16" s="72">
        <v>-64.400000000000006</v>
      </c>
    </row>
    <row r="17" spans="1:17" x14ac:dyDescent="0.4">
      <c r="A17" s="20" t="s">
        <v>123</v>
      </c>
      <c r="B17" s="13">
        <f>B23</f>
        <v>28</v>
      </c>
      <c r="C17" s="6">
        <f>IF(B$15=0,0,B17/B$15)</f>
        <v>0.5</v>
      </c>
      <c r="E17" s="29" t="s">
        <v>91</v>
      </c>
      <c r="F17" s="26" t="s">
        <v>46</v>
      </c>
      <c r="G17" s="14">
        <v>1</v>
      </c>
      <c r="H17" s="92">
        <f>IF(B$19=0,0,G17/B$19)</f>
        <v>1.4285714285714285E-2</v>
      </c>
      <c r="I17" s="60">
        <v>4</v>
      </c>
      <c r="K17" s="7">
        <v>15</v>
      </c>
      <c r="L17" s="65">
        <v>-284.09999999999997</v>
      </c>
      <c r="N17" s="78" t="s">
        <v>205</v>
      </c>
      <c r="O17" s="87">
        <f>IF(P17=0,0,Q17/P17)</f>
        <v>-4.1272727272727261</v>
      </c>
      <c r="P17" s="81">
        <v>11</v>
      </c>
      <c r="Q17" s="72">
        <v>-45.399999999999991</v>
      </c>
    </row>
    <row r="18" spans="1:17" x14ac:dyDescent="0.4">
      <c r="A18" s="20" t="s">
        <v>124</v>
      </c>
      <c r="B18" s="13">
        <f>B24</f>
        <v>24</v>
      </c>
      <c r="C18" s="6">
        <f>IF(B$16=0,0,B18/B$16)</f>
        <v>0.58536585365853655</v>
      </c>
      <c r="E18" s="29" t="s">
        <v>92</v>
      </c>
      <c r="F18" s="26" t="s">
        <v>47</v>
      </c>
      <c r="G18" s="14">
        <v>1</v>
      </c>
      <c r="H18" s="92">
        <f>IF(B$19=0,0,G18/B$19)</f>
        <v>1.4285714285714285E-2</v>
      </c>
      <c r="I18" s="60">
        <v>4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">
      <c r="A19" s="20" t="s">
        <v>10</v>
      </c>
      <c r="B19" s="13">
        <f>B22+B21</f>
        <v>70</v>
      </c>
      <c r="C19" s="6">
        <f>IF(B$3=0,0,B19/B$3)</f>
        <v>0.2723735408560311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-24.536842105263162</v>
      </c>
      <c r="P19" s="81">
        <v>19</v>
      </c>
      <c r="Q19" s="72">
        <v>-466.2000000000001</v>
      </c>
    </row>
    <row r="20" spans="1:17" x14ac:dyDescent="0.4">
      <c r="A20" s="21" t="s">
        <v>13</v>
      </c>
      <c r="B20" s="14">
        <v>44</v>
      </c>
      <c r="C20" s="8">
        <f>IF(B$3=0,0,B20/B$3)</f>
        <v>0.17120622568093385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-154.09999999999997</v>
      </c>
      <c r="N20" s="78" t="s">
        <v>193</v>
      </c>
      <c r="O20" s="87">
        <f>IF(P20=0,0,Q20/P20)</f>
        <v>-42.581818181818178</v>
      </c>
      <c r="P20" s="81">
        <v>11</v>
      </c>
      <c r="Q20" s="72">
        <v>-468.4</v>
      </c>
    </row>
    <row r="21" spans="1:17" x14ac:dyDescent="0.4">
      <c r="A21" s="21" t="s">
        <v>12</v>
      </c>
      <c r="B21" s="14">
        <v>32</v>
      </c>
      <c r="C21" s="8">
        <f>IF(B$19=0,0,B21/B$19)</f>
        <v>0.45714285714285713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">
      <c r="A22" s="21" t="s">
        <v>11</v>
      </c>
      <c r="B22" s="14">
        <v>38</v>
      </c>
      <c r="C22" s="8">
        <f>IF(B$19=0,0,B22/B$19)</f>
        <v>0.54285714285714282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">
      <c r="A23" s="21" t="s">
        <v>184</v>
      </c>
      <c r="B23" s="14">
        <v>28</v>
      </c>
      <c r="C23" s="8">
        <f>IF(B$19=0,0,B23/B$19)</f>
        <v>0.4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-225.09999999999997</v>
      </c>
    </row>
    <row r="24" spans="1:17" x14ac:dyDescent="0.4">
      <c r="A24" s="21" t="s">
        <v>182</v>
      </c>
      <c r="B24" s="14">
        <v>24</v>
      </c>
      <c r="C24" s="8">
        <f>IF(B$19=0,0,B24/B$19)</f>
        <v>0.34285714285714286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7</v>
      </c>
      <c r="K24" s="7">
        <v>22</v>
      </c>
      <c r="L24" s="65">
        <v>-290.29999999999995</v>
      </c>
    </row>
    <row r="25" spans="1:17" x14ac:dyDescent="0.4">
      <c r="A25" s="21" t="s">
        <v>183</v>
      </c>
      <c r="B25" s="14">
        <v>18</v>
      </c>
      <c r="C25" s="8">
        <f>IF(B$19=0,0,B25/B$19)</f>
        <v>0.25714285714285712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">
      <c r="A26" s="21" t="s">
        <v>5</v>
      </c>
      <c r="B26" s="18">
        <f>IF(B$19=0,0,C26/B$19)</f>
        <v>8015.7142857142853</v>
      </c>
      <c r="C26" s="10">
        <v>561100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">
      <c r="A27" s="22" t="s">
        <v>166</v>
      </c>
      <c r="B27" s="99">
        <f>IF($B$19-B$18=0,0,C27/($B$19-B$18))</f>
        <v>9476.0869565217399</v>
      </c>
      <c r="C27" s="100">
        <v>435900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">
      <c r="A28" s="22" t="s">
        <v>167</v>
      </c>
      <c r="B28" s="99">
        <f>IF(B$18=0,0,C28/B$18)</f>
        <v>5216.666666666667</v>
      </c>
      <c r="C28" s="100">
        <v>125200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">
      <c r="A29" s="22" t="s">
        <v>165</v>
      </c>
      <c r="B29" s="99">
        <f>IF(B$20=0,0,C29/B$20)</f>
        <v>-7452.272727272727</v>
      </c>
      <c r="C29" s="100">
        <v>-327900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">
      <c r="A31" s="21" t="s">
        <v>159</v>
      </c>
      <c r="B31" s="14">
        <v>26</v>
      </c>
      <c r="C31" s="94">
        <v>5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">
      <c r="A34" s="23" t="s">
        <v>137</v>
      </c>
      <c r="B34" s="31">
        <v>1</v>
      </c>
      <c r="C34" s="11">
        <f>IF(B$3=0,0,B34/B$3)</f>
        <v>3.8910505836575876E-3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-277.49999999999994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">
      <c r="A36" s="56" t="s">
        <v>172</v>
      </c>
      <c r="B36" s="121">
        <v>9</v>
      </c>
      <c r="C36" s="102">
        <f t="shared" ref="C36:C48" si="2">IF(B$19=0,0,B36/B$19)</f>
        <v>0.12857142857142856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12" x14ac:dyDescent="0.4">
      <c r="A37" s="21" t="s">
        <v>168</v>
      </c>
      <c r="B37" s="14">
        <v>14</v>
      </c>
      <c r="C37" s="8">
        <f t="shared" si="2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12" x14ac:dyDescent="0.4">
      <c r="A38" s="21" t="s">
        <v>169</v>
      </c>
      <c r="B38" s="122">
        <v>14</v>
      </c>
      <c r="C38" s="8">
        <f t="shared" si="2"/>
        <v>0.2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">
      <c r="A39" s="21" t="s">
        <v>170</v>
      </c>
      <c r="B39" s="122">
        <v>9</v>
      </c>
      <c r="C39" s="8">
        <f t="shared" si="2"/>
        <v>0.12857142857142856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">
      <c r="A40" s="21" t="s">
        <v>171</v>
      </c>
      <c r="B40" s="122">
        <v>6</v>
      </c>
      <c r="C40" s="8">
        <f t="shared" si="2"/>
        <v>8.5714285714285715E-2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">
      <c r="A41" s="21" t="s">
        <v>173</v>
      </c>
      <c r="B41" s="122">
        <v>10</v>
      </c>
      <c r="C41" s="8">
        <f t="shared" si="2"/>
        <v>0.14285714285714285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">
      <c r="A42" s="21" t="s">
        <v>174</v>
      </c>
      <c r="B42" s="122">
        <v>4</v>
      </c>
      <c r="C42" s="8">
        <f t="shared" si="2"/>
        <v>5.7142857142857141E-2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">
      <c r="A43" s="21" t="s">
        <v>175</v>
      </c>
      <c r="B43" s="122">
        <v>1</v>
      </c>
      <c r="C43" s="8">
        <f t="shared" si="2"/>
        <v>1.4285714285714285E-2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">
      <c r="A44" s="21" t="s">
        <v>176</v>
      </c>
      <c r="B44" s="122">
        <v>1</v>
      </c>
      <c r="C44" s="8">
        <f t="shared" si="2"/>
        <v>1.4285714285714285E-2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1</v>
      </c>
      <c r="C45" s="8">
        <f t="shared" si="2"/>
        <v>1.4285714285714285E-2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2"/>
        <v>1.4285714285714285E-2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57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55</v>
      </c>
      <c r="C2" s="132"/>
      <c r="E2" s="28" t="s">
        <v>72</v>
      </c>
      <c r="F2" s="25" t="s">
        <v>27</v>
      </c>
      <c r="G2" s="13">
        <v>88</v>
      </c>
      <c r="H2" s="91">
        <f>IF(B$19=0,0,G2/B$19)</f>
        <v>0.69291338582677164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-131.4814814814815</v>
      </c>
      <c r="P2" s="80">
        <v>54</v>
      </c>
      <c r="Q2" s="67">
        <v>-7100</v>
      </c>
    </row>
    <row r="3" spans="1:17" x14ac:dyDescent="0.4">
      <c r="A3" s="21" t="s">
        <v>8</v>
      </c>
      <c r="B3" s="133">
        <v>446</v>
      </c>
      <c r="C3" s="134"/>
      <c r="E3" s="29" t="s">
        <v>66</v>
      </c>
      <c r="F3" s="26" t="s">
        <v>22</v>
      </c>
      <c r="G3" s="14">
        <v>84</v>
      </c>
      <c r="H3" s="92">
        <f>IF(B$19=0,0,G3/B$19)</f>
        <v>0.66141732283464572</v>
      </c>
      <c r="I3" s="60">
        <v>7</v>
      </c>
      <c r="K3" s="7">
        <v>1</v>
      </c>
      <c r="L3" s="65">
        <v>-0.5</v>
      </c>
      <c r="N3" s="78" t="s">
        <v>129</v>
      </c>
      <c r="O3" s="84">
        <f t="shared" si="0"/>
        <v>-207.40740740740742</v>
      </c>
      <c r="P3" s="81">
        <v>54</v>
      </c>
      <c r="Q3" s="68">
        <v>-11200</v>
      </c>
    </row>
    <row r="4" spans="1:17" x14ac:dyDescent="0.4">
      <c r="A4" s="21" t="s">
        <v>6</v>
      </c>
      <c r="B4" s="135">
        <v>-68.199999999999974</v>
      </c>
      <c r="C4" s="136"/>
      <c r="E4" s="29" t="s">
        <v>64</v>
      </c>
      <c r="F4" s="26" t="s">
        <v>20</v>
      </c>
      <c r="G4" s="14">
        <v>56</v>
      </c>
      <c r="H4" s="92">
        <f>IF(B$19=0,0,G4/B$19)</f>
        <v>0.44094488188976377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-538.88888888888891</v>
      </c>
      <c r="P4" s="81">
        <v>54</v>
      </c>
      <c r="Q4" s="68">
        <v>-29100</v>
      </c>
    </row>
    <row r="5" spans="1:17" x14ac:dyDescent="0.4">
      <c r="A5" s="21" t="s">
        <v>7</v>
      </c>
      <c r="B5" s="123">
        <f>IF(B$2=0,0,B$4/B$2)</f>
        <v>-1.2399999999999995</v>
      </c>
      <c r="C5" s="124"/>
      <c r="E5" s="29" t="s">
        <v>160</v>
      </c>
      <c r="F5" s="26" t="s">
        <v>161</v>
      </c>
      <c r="G5" s="14">
        <v>50</v>
      </c>
      <c r="H5" s="92">
        <f>IF(B$19=0,0,G5/B$19)</f>
        <v>0.39370078740157483</v>
      </c>
      <c r="I5" s="60">
        <v>8</v>
      </c>
      <c r="K5" s="7">
        <v>3</v>
      </c>
      <c r="L5" s="65">
        <v>-48.5</v>
      </c>
      <c r="N5" s="78" t="s">
        <v>131</v>
      </c>
      <c r="O5" s="84">
        <f t="shared" si="0"/>
        <v>1413.7254901960785</v>
      </c>
      <c r="P5" s="81">
        <v>51</v>
      </c>
      <c r="Q5" s="68">
        <v>72100</v>
      </c>
    </row>
    <row r="6" spans="1:17" x14ac:dyDescent="0.4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31</v>
      </c>
      <c r="H6" s="92">
        <f>IF(B$19=0,0,G6/B$19)</f>
        <v>0.24409448818897639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-986.95652173913038</v>
      </c>
      <c r="P6" s="81">
        <v>46</v>
      </c>
      <c r="Q6" s="68">
        <v>-45400</v>
      </c>
    </row>
    <row r="7" spans="1:17" x14ac:dyDescent="0.4">
      <c r="A7" s="21" t="s">
        <v>2</v>
      </c>
      <c r="B7" s="14">
        <v>18</v>
      </c>
      <c r="C7" s="8">
        <f t="shared" ref="C7:C14" si="1">IF(B$2=0,0,B7/B$2)</f>
        <v>0.32727272727272727</v>
      </c>
      <c r="E7" s="29" t="s">
        <v>68</v>
      </c>
      <c r="F7" s="26" t="s">
        <v>12</v>
      </c>
      <c r="G7" s="14">
        <v>30</v>
      </c>
      <c r="H7" s="92">
        <f>IF(B$19=0,0,G7/B$19)</f>
        <v>0.23622047244094488</v>
      </c>
      <c r="I7" s="60">
        <v>8</v>
      </c>
      <c r="K7" s="7">
        <v>5</v>
      </c>
      <c r="L7" s="65">
        <v>-96.5</v>
      </c>
      <c r="N7" s="79" t="s">
        <v>133</v>
      </c>
      <c r="O7" s="85">
        <f t="shared" si="0"/>
        <v>-1566.6666666666667</v>
      </c>
      <c r="P7" s="82">
        <v>36</v>
      </c>
      <c r="Q7" s="69">
        <v>-56400</v>
      </c>
    </row>
    <row r="8" spans="1:17" x14ac:dyDescent="0.4">
      <c r="A8" s="21" t="s">
        <v>3</v>
      </c>
      <c r="B8" s="14">
        <v>19</v>
      </c>
      <c r="C8" s="8">
        <f t="shared" si="1"/>
        <v>0.34545454545454546</v>
      </c>
      <c r="E8" s="29" t="s">
        <v>89</v>
      </c>
      <c r="F8" s="26" t="s">
        <v>44</v>
      </c>
      <c r="G8" s="14">
        <v>15</v>
      </c>
      <c r="H8" s="92">
        <f>IF(B$19=0,0,G8/B$19)</f>
        <v>0.11811023622047244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">
      <c r="A9" s="22" t="s">
        <v>4</v>
      </c>
      <c r="B9" s="15">
        <v>18</v>
      </c>
      <c r="C9" s="9">
        <f t="shared" si="1"/>
        <v>0.32727272727272727</v>
      </c>
      <c r="E9" s="29" t="s">
        <v>69</v>
      </c>
      <c r="F9" s="26" t="s">
        <v>24</v>
      </c>
      <c r="G9" s="14">
        <v>13</v>
      </c>
      <c r="H9" s="92">
        <f>IF(B$19=0,0,G9/B$19)</f>
        <v>0.10236220472440945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36.250000000000007</v>
      </c>
      <c r="C10" s="114">
        <v>652.50000000000011</v>
      </c>
      <c r="E10" s="29" t="s">
        <v>65</v>
      </c>
      <c r="F10" s="26" t="s">
        <v>21</v>
      </c>
      <c r="G10" s="14">
        <v>9</v>
      </c>
      <c r="H10" s="92">
        <f>IF(B$19=0,0,G10/B$19)</f>
        <v>7.0866141732283464E-2</v>
      </c>
      <c r="I10" s="60">
        <v>10</v>
      </c>
      <c r="K10" s="7">
        <v>8</v>
      </c>
      <c r="L10" s="65">
        <v>-28.3</v>
      </c>
      <c r="N10" s="77" t="s">
        <v>152</v>
      </c>
      <c r="O10" s="86">
        <f>IF(P10=0,0,Q10/P10)</f>
        <v>-6.666666666666667</v>
      </c>
      <c r="P10" s="80">
        <v>18</v>
      </c>
      <c r="Q10" s="71">
        <v>-120</v>
      </c>
    </row>
    <row r="11" spans="1:17" x14ac:dyDescent="0.4">
      <c r="A11" s="22" t="s">
        <v>186</v>
      </c>
      <c r="B11" s="113">
        <f>IF(B8=0,0,C11/B8)</f>
        <v>-3.3157894736842106</v>
      </c>
      <c r="C11" s="114">
        <v>-63</v>
      </c>
      <c r="E11" s="29" t="s">
        <v>71</v>
      </c>
      <c r="F11" s="26" t="s">
        <v>26</v>
      </c>
      <c r="G11" s="14">
        <v>8</v>
      </c>
      <c r="H11" s="92">
        <f>IF(B$19=0,0,G11/B$19)</f>
        <v>6.2992125984251968E-2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-1.357894736842105</v>
      </c>
      <c r="P11" s="81">
        <v>19</v>
      </c>
      <c r="Q11" s="72">
        <v>-25.799999999999997</v>
      </c>
    </row>
    <row r="12" spans="1:17" x14ac:dyDescent="0.4">
      <c r="A12" s="22" t="s">
        <v>187</v>
      </c>
      <c r="B12" s="113">
        <f>IF(B9=0,0,C12/B9)</f>
        <v>-36.538888888888884</v>
      </c>
      <c r="C12" s="114">
        <v>-657.69999999999993</v>
      </c>
      <c r="E12" s="29" t="s">
        <v>83</v>
      </c>
      <c r="F12" s="26" t="s">
        <v>38</v>
      </c>
      <c r="G12" s="14">
        <v>8</v>
      </c>
      <c r="H12" s="92">
        <f>IF(B$19=0,0,G12/B$19)</f>
        <v>6.2992125984251968E-2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4.3111111111111127</v>
      </c>
      <c r="P12" s="82">
        <v>18</v>
      </c>
      <c r="Q12" s="73">
        <v>77.600000000000023</v>
      </c>
    </row>
    <row r="13" spans="1:17" x14ac:dyDescent="0.4">
      <c r="A13" s="22" t="s">
        <v>188</v>
      </c>
      <c r="B13" s="123">
        <f>AVERAGE(B10:B12)</f>
        <v>-1.2015594541910299</v>
      </c>
      <c r="C13" s="124"/>
      <c r="E13" s="29" t="s">
        <v>70</v>
      </c>
      <c r="F13" s="26" t="s">
        <v>25</v>
      </c>
      <c r="G13" s="14">
        <v>7</v>
      </c>
      <c r="H13" s="92">
        <f>IF(B$19=0,0,G13/B$19)</f>
        <v>5.5118110236220472E-2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5</v>
      </c>
      <c r="C14" s="11">
        <f t="shared" si="1"/>
        <v>9.0909090909090912E-2</v>
      </c>
      <c r="E14" s="29" t="s">
        <v>79</v>
      </c>
      <c r="F14" s="26" t="s">
        <v>34</v>
      </c>
      <c r="G14" s="14">
        <v>6</v>
      </c>
      <c r="H14" s="92">
        <f>IF(B$19=0,0,G14/B$19)</f>
        <v>4.7244094488188976E-2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106</v>
      </c>
      <c r="C15" s="12">
        <f>IF(B$3=0,0,B15/B$3)</f>
        <v>0.23766816143497757</v>
      </c>
      <c r="E15" s="29" t="s">
        <v>78</v>
      </c>
      <c r="F15" s="26" t="s">
        <v>33</v>
      </c>
      <c r="G15" s="14">
        <v>5</v>
      </c>
      <c r="H15" s="92">
        <f>IF(B$19=0,0,G15/B$19)</f>
        <v>3.937007874015748E-2</v>
      </c>
      <c r="I15" s="60">
        <v>3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">
      <c r="A16" s="21" t="s">
        <v>118</v>
      </c>
      <c r="B16" s="14">
        <v>115</v>
      </c>
      <c r="C16" s="8">
        <f>IF(B$3=0,0,B16/B$3)</f>
        <v>0.25784753363228702</v>
      </c>
      <c r="E16" s="29" t="s">
        <v>91</v>
      </c>
      <c r="F16" s="26" t="s">
        <v>46</v>
      </c>
      <c r="G16" s="14">
        <v>4</v>
      </c>
      <c r="H16" s="92">
        <f>IF(B$19=0,0,G16/B$19)</f>
        <v>3.1496062992125984E-2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>IF(P16=0,0,Q16/P16)</f>
        <v>13.480000000000004</v>
      </c>
      <c r="P16" s="81">
        <v>20</v>
      </c>
      <c r="Q16" s="72">
        <v>269.60000000000008</v>
      </c>
    </row>
    <row r="17" spans="1:17" x14ac:dyDescent="0.4">
      <c r="A17" s="20" t="s">
        <v>123</v>
      </c>
      <c r="B17" s="13">
        <f>B23</f>
        <v>58</v>
      </c>
      <c r="C17" s="6">
        <f>IF(B$15=0,0,B17/B$15)</f>
        <v>0.54716981132075471</v>
      </c>
      <c r="E17" s="29" t="s">
        <v>81</v>
      </c>
      <c r="F17" s="26" t="s">
        <v>36</v>
      </c>
      <c r="G17" s="14">
        <v>3</v>
      </c>
      <c r="H17" s="92">
        <f>IF(B$19=0,0,G17/B$19)</f>
        <v>2.3622047244094488E-2</v>
      </c>
      <c r="I17" s="60">
        <v>6</v>
      </c>
      <c r="K17" s="7">
        <v>15</v>
      </c>
      <c r="L17" s="65">
        <v>-121.39999999999998</v>
      </c>
      <c r="N17" s="78" t="s">
        <v>205</v>
      </c>
      <c r="O17" s="87">
        <f>IF(P17=0,0,Q17/P17)</f>
        <v>5.2400000000000011</v>
      </c>
      <c r="P17" s="81">
        <v>10</v>
      </c>
      <c r="Q17" s="72">
        <v>52.400000000000013</v>
      </c>
    </row>
    <row r="18" spans="1:17" x14ac:dyDescent="0.4">
      <c r="A18" s="20" t="s">
        <v>124</v>
      </c>
      <c r="B18" s="13">
        <f>B24</f>
        <v>45</v>
      </c>
      <c r="C18" s="6">
        <f>IF(B$16=0,0,B18/B$16)</f>
        <v>0.39130434782608697</v>
      </c>
      <c r="E18" s="29" t="s">
        <v>86</v>
      </c>
      <c r="F18" s="26" t="s">
        <v>41</v>
      </c>
      <c r="G18" s="14">
        <v>3</v>
      </c>
      <c r="H18" s="92">
        <f>IF(B$19=0,0,G18/B$19)</f>
        <v>2.3622047244094488E-2</v>
      </c>
      <c r="I18" s="60">
        <v>8</v>
      </c>
      <c r="K18" s="7">
        <v>16</v>
      </c>
      <c r="L18" s="65">
        <v>-141.29999999999998</v>
      </c>
      <c r="N18" s="78" t="s">
        <v>164</v>
      </c>
      <c r="O18" s="87">
        <f>IF(P18=0,0,Q18/P18)</f>
        <v>4.5136363636363646</v>
      </c>
      <c r="P18" s="81">
        <v>22</v>
      </c>
      <c r="Q18" s="72">
        <v>99.300000000000026</v>
      </c>
    </row>
    <row r="19" spans="1:17" x14ac:dyDescent="0.4">
      <c r="A19" s="20" t="s">
        <v>10</v>
      </c>
      <c r="B19" s="13">
        <f>B22+B21</f>
        <v>127</v>
      </c>
      <c r="C19" s="6">
        <f>IF(B$3=0,0,B19/B$3)</f>
        <v>0.28475336322869954</v>
      </c>
      <c r="E19" s="29" t="s">
        <v>92</v>
      </c>
      <c r="F19" s="26" t="s">
        <v>47</v>
      </c>
      <c r="G19" s="14">
        <v>2</v>
      </c>
      <c r="H19" s="92">
        <f>IF(B$19=0,0,G19/B$19)</f>
        <v>1.5748031496062992E-2</v>
      </c>
      <c r="I19" s="60">
        <v>3</v>
      </c>
      <c r="K19" s="7">
        <v>17</v>
      </c>
      <c r="L19" s="65">
        <v>-149.1</v>
      </c>
      <c r="N19" s="78" t="s">
        <v>194</v>
      </c>
      <c r="O19" s="87">
        <f>IF(P19=0,0,Q19/P19)</f>
        <v>4.0250000000000021</v>
      </c>
      <c r="P19" s="81">
        <v>16</v>
      </c>
      <c r="Q19" s="72">
        <v>64.400000000000034</v>
      </c>
    </row>
    <row r="20" spans="1:17" x14ac:dyDescent="0.4">
      <c r="A20" s="21" t="s">
        <v>13</v>
      </c>
      <c r="B20" s="14">
        <v>52</v>
      </c>
      <c r="C20" s="8">
        <f>IF(B$3=0,0,B20/B$3)</f>
        <v>0.11659192825112108</v>
      </c>
      <c r="E20" s="29" t="s">
        <v>85</v>
      </c>
      <c r="F20" s="26" t="s">
        <v>40</v>
      </c>
      <c r="G20" s="14">
        <v>1</v>
      </c>
      <c r="H20" s="92">
        <f>IF(B$19=0,0,G20/B$19)</f>
        <v>7.874015748031496E-3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>IF(P20=0,0,Q20/P20)</f>
        <v>-14.1625</v>
      </c>
      <c r="P20" s="81">
        <v>8</v>
      </c>
      <c r="Q20" s="72">
        <v>-113.3</v>
      </c>
    </row>
    <row r="21" spans="1:17" x14ac:dyDescent="0.4">
      <c r="A21" s="21" t="s">
        <v>12</v>
      </c>
      <c r="B21" s="14">
        <v>53</v>
      </c>
      <c r="C21" s="8">
        <f>IF(B$19=0,0,B21/B$19)</f>
        <v>0.41732283464566927</v>
      </c>
      <c r="E21" s="29" t="s">
        <v>156</v>
      </c>
      <c r="F21" s="26" t="s">
        <v>157</v>
      </c>
      <c r="G21" s="14">
        <v>1</v>
      </c>
      <c r="H21" s="92">
        <f>IF(B$19=0,0,G21/B$19)</f>
        <v>7.874015748031496E-3</v>
      </c>
      <c r="I21" s="60">
        <v>4</v>
      </c>
      <c r="K21" s="7">
        <v>19</v>
      </c>
      <c r="L21" s="65">
        <v>-152.39999999999998</v>
      </c>
      <c r="N21" s="78" t="s">
        <v>126</v>
      </c>
      <c r="O21" s="87">
        <f>IF(P21=0,0,Q21/P21)</f>
        <v>-20.896774193548389</v>
      </c>
      <c r="P21" s="81">
        <v>31</v>
      </c>
      <c r="Q21" s="72">
        <v>-647.80000000000007</v>
      </c>
    </row>
    <row r="22" spans="1:17" x14ac:dyDescent="0.4">
      <c r="A22" s="21" t="s">
        <v>11</v>
      </c>
      <c r="B22" s="14">
        <v>74</v>
      </c>
      <c r="C22" s="8">
        <f>IF(B$19=0,0,B22/B$19)</f>
        <v>0.58267716535433067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">
      <c r="A23" s="21" t="s">
        <v>184</v>
      </c>
      <c r="B23" s="14">
        <v>58</v>
      </c>
      <c r="C23" s="8">
        <f>IF(B$19=0,0,B23/B$19)</f>
        <v>0.45669291338582679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3</v>
      </c>
      <c r="K23" s="7">
        <v>21</v>
      </c>
      <c r="L23" s="65">
        <v>-76.699999999999989</v>
      </c>
    </row>
    <row r="24" spans="1:17" x14ac:dyDescent="0.4">
      <c r="A24" s="21" t="s">
        <v>182</v>
      </c>
      <c r="B24" s="14">
        <v>45</v>
      </c>
      <c r="C24" s="8">
        <f>IF(B$19=0,0,B24/B$19)</f>
        <v>0.3543307086614173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">
      <c r="A25" s="21" t="s">
        <v>183</v>
      </c>
      <c r="B25" s="14">
        <v>24</v>
      </c>
      <c r="C25" s="8">
        <f>IF(B$19=0,0,B25/B$19)</f>
        <v>0.1889763779527559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">
      <c r="A26" s="21" t="s">
        <v>5</v>
      </c>
      <c r="B26" s="18">
        <f>IF(B$19=0,0,C26/B$19)</f>
        <v>7690.5511811023625</v>
      </c>
      <c r="C26" s="10">
        <v>976700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-9.1999999999999886</v>
      </c>
    </row>
    <row r="27" spans="1:17" x14ac:dyDescent="0.4">
      <c r="A27" s="22" t="s">
        <v>166</v>
      </c>
      <c r="B27" s="99">
        <f>IF($B$19-B$18=0,0,C27/($B$19-B$18))</f>
        <v>8148.7804878048782</v>
      </c>
      <c r="C27" s="100">
        <v>668200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">
      <c r="A28" s="22" t="s">
        <v>167</v>
      </c>
      <c r="B28" s="99">
        <f>IF(B$18=0,0,C28/B$18)</f>
        <v>6855.5555555555557</v>
      </c>
      <c r="C28" s="100">
        <v>308500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">
      <c r="A29" s="22" t="s">
        <v>165</v>
      </c>
      <c r="B29" s="99">
        <f>IF(B$20=0,0,C29/B$20)</f>
        <v>-7998.0769230769229</v>
      </c>
      <c r="C29" s="100">
        <v>-415900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">
      <c r="A31" s="21" t="s">
        <v>159</v>
      </c>
      <c r="B31" s="14">
        <v>39</v>
      </c>
      <c r="C31" s="94">
        <v>8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">
      <c r="A36" s="56" t="s">
        <v>172</v>
      </c>
      <c r="B36" s="121">
        <v>11</v>
      </c>
      <c r="C36" s="102">
        <f t="shared" ref="C36:C48" si="2">IF(B$19=0,0,B36/B$19)</f>
        <v>8.6614173228346455E-2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">
      <c r="A37" s="21" t="s">
        <v>168</v>
      </c>
      <c r="B37" s="14">
        <v>24</v>
      </c>
      <c r="C37" s="8">
        <f t="shared" si="2"/>
        <v>0.1889763779527559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">
      <c r="A38" s="21" t="s">
        <v>169</v>
      </c>
      <c r="B38" s="122">
        <v>32</v>
      </c>
      <c r="C38" s="8">
        <f t="shared" si="2"/>
        <v>0.25196850393700787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">
      <c r="A39" s="21" t="s">
        <v>170</v>
      </c>
      <c r="B39" s="122">
        <v>21</v>
      </c>
      <c r="C39" s="8">
        <f t="shared" si="2"/>
        <v>0.16535433070866143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">
      <c r="A40" s="21" t="s">
        <v>171</v>
      </c>
      <c r="B40" s="122">
        <v>12</v>
      </c>
      <c r="C40" s="8">
        <f t="shared" si="2"/>
        <v>9.4488188976377951E-2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">
      <c r="A41" s="21" t="s">
        <v>173</v>
      </c>
      <c r="B41" s="122">
        <v>8</v>
      </c>
      <c r="C41" s="8">
        <f t="shared" si="2"/>
        <v>6.2992125984251968E-2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">
      <c r="A42" s="21" t="s">
        <v>174</v>
      </c>
      <c r="B42" s="122">
        <v>8</v>
      </c>
      <c r="C42" s="8">
        <f t="shared" si="2"/>
        <v>6.2992125984251968E-2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">
      <c r="A43" s="21" t="s">
        <v>175</v>
      </c>
      <c r="B43" s="122">
        <v>3</v>
      </c>
      <c r="C43" s="8">
        <f t="shared" si="2"/>
        <v>2.3622047244094488E-2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">
      <c r="A44" s="21" t="s">
        <v>176</v>
      </c>
      <c r="B44" s="122">
        <v>2</v>
      </c>
      <c r="C44" s="8">
        <f t="shared" si="2"/>
        <v>1.5748031496062992E-2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">
      <c r="A45" s="21" t="s">
        <v>177</v>
      </c>
      <c r="B45" s="122">
        <v>3</v>
      </c>
      <c r="C45" s="8">
        <f t="shared" si="2"/>
        <v>2.3622047244094488E-2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">
      <c r="A46" s="21" t="s">
        <v>178</v>
      </c>
      <c r="B46" s="122">
        <v>1</v>
      </c>
      <c r="C46" s="8">
        <f t="shared" si="2"/>
        <v>7.874015748031496E-3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">
      <c r="A48" s="23" t="s">
        <v>180</v>
      </c>
      <c r="B48" s="101">
        <v>2</v>
      </c>
      <c r="C48" s="11">
        <f t="shared" si="2"/>
        <v>1.5748031496062992E-2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">
      <c r="K53" s="7">
        <v>51</v>
      </c>
      <c r="L53" s="65">
        <v>-66.299999999999983</v>
      </c>
    </row>
    <row r="54" spans="5:12" x14ac:dyDescent="0.4">
      <c r="K54" s="7">
        <v>52</v>
      </c>
      <c r="L54" s="65">
        <v>-46.09999999999998</v>
      </c>
    </row>
    <row r="55" spans="5:12" x14ac:dyDescent="0.4">
      <c r="K55" s="7">
        <v>53</v>
      </c>
      <c r="L55" s="65">
        <v>-73.59999999999998</v>
      </c>
    </row>
    <row r="56" spans="5:12" x14ac:dyDescent="0.4">
      <c r="K56" s="7">
        <v>54</v>
      </c>
      <c r="L56" s="65">
        <v>-104.39999999999998</v>
      </c>
    </row>
    <row r="57" spans="5:12" x14ac:dyDescent="0.4">
      <c r="K57" s="7">
        <v>55</v>
      </c>
      <c r="L57" s="65">
        <v>-68.199999999999974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33</v>
      </c>
      <c r="C2" s="132"/>
      <c r="E2" s="28" t="s">
        <v>72</v>
      </c>
      <c r="F2" s="25" t="s">
        <v>27</v>
      </c>
      <c r="G2" s="13">
        <v>56</v>
      </c>
      <c r="H2" s="91">
        <f>IF(B$19=0,0,G2/B$19)</f>
        <v>0.70886075949367089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-1715.1515151515152</v>
      </c>
      <c r="P2" s="80">
        <v>33</v>
      </c>
      <c r="Q2" s="67">
        <v>-56600</v>
      </c>
    </row>
    <row r="3" spans="1:17" x14ac:dyDescent="0.4">
      <c r="A3" s="21" t="s">
        <v>8</v>
      </c>
      <c r="B3" s="133">
        <v>251</v>
      </c>
      <c r="C3" s="134"/>
      <c r="E3" s="29" t="s">
        <v>66</v>
      </c>
      <c r="F3" s="26" t="s">
        <v>22</v>
      </c>
      <c r="G3" s="14">
        <v>51</v>
      </c>
      <c r="H3" s="92">
        <f>IF(B$19=0,0,G3/B$19)</f>
        <v>0.64556962025316456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-468.75</v>
      </c>
      <c r="P3" s="81">
        <v>32</v>
      </c>
      <c r="Q3" s="68">
        <v>-15000</v>
      </c>
    </row>
    <row r="4" spans="1:17" x14ac:dyDescent="0.4">
      <c r="A4" s="21" t="s">
        <v>6</v>
      </c>
      <c r="B4" s="135">
        <v>84.500000000000014</v>
      </c>
      <c r="C4" s="136"/>
      <c r="E4" s="29" t="s">
        <v>160</v>
      </c>
      <c r="F4" s="26" t="s">
        <v>161</v>
      </c>
      <c r="G4" s="14">
        <v>25</v>
      </c>
      <c r="H4" s="92">
        <f>IF(B$19=0,0,G4/B$19)</f>
        <v>0.31645569620253167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2675.8620689655172</v>
      </c>
      <c r="P4" s="81">
        <v>29</v>
      </c>
      <c r="Q4" s="68">
        <v>77600</v>
      </c>
    </row>
    <row r="5" spans="1:17" x14ac:dyDescent="0.4">
      <c r="A5" s="21" t="s">
        <v>7</v>
      </c>
      <c r="B5" s="123">
        <f>IF(B$2=0,0,B$4/B$2)</f>
        <v>2.560606060606061</v>
      </c>
      <c r="C5" s="124"/>
      <c r="E5" s="29" t="s">
        <v>64</v>
      </c>
      <c r="F5" s="26" t="s">
        <v>20</v>
      </c>
      <c r="G5" s="14">
        <v>21</v>
      </c>
      <c r="H5" s="92">
        <f>IF(B$19=0,0,G5/B$19)</f>
        <v>0.26582278481012656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-1565.3846153846155</v>
      </c>
      <c r="P5" s="81">
        <v>26</v>
      </c>
      <c r="Q5" s="68">
        <v>-40700</v>
      </c>
    </row>
    <row r="6" spans="1:17" x14ac:dyDescent="0.4">
      <c r="A6" s="21" t="s">
        <v>1</v>
      </c>
      <c r="B6" s="137">
        <f>IF(B$2=0,0,(B$7*1+B$8*2+B$9*3)/B$2)</f>
        <v>1.9696969696969697</v>
      </c>
      <c r="C6" s="138"/>
      <c r="E6" s="29" t="s">
        <v>68</v>
      </c>
      <c r="F6" s="26" t="s">
        <v>12</v>
      </c>
      <c r="G6" s="14">
        <v>18</v>
      </c>
      <c r="H6" s="92">
        <f>IF(B$19=0,0,G6/B$19)</f>
        <v>0.22784810126582278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2733.3333333333335</v>
      </c>
      <c r="P6" s="81">
        <v>21</v>
      </c>
      <c r="Q6" s="68">
        <v>57400</v>
      </c>
    </row>
    <row r="7" spans="1:17" x14ac:dyDescent="0.4">
      <c r="A7" s="21" t="s">
        <v>2</v>
      </c>
      <c r="B7" s="14">
        <v>11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16</v>
      </c>
      <c r="H7" s="92">
        <f>IF(B$19=0,0,G7/B$19)</f>
        <v>0.20253164556962025</v>
      </c>
      <c r="I7" s="60">
        <v>8</v>
      </c>
      <c r="K7" s="7">
        <v>5</v>
      </c>
      <c r="L7" s="65">
        <v>140.30000000000001</v>
      </c>
      <c r="N7" s="79" t="s">
        <v>133</v>
      </c>
      <c r="O7" s="85">
        <f t="shared" si="0"/>
        <v>1489.4736842105262</v>
      </c>
      <c r="P7" s="82">
        <v>19</v>
      </c>
      <c r="Q7" s="69">
        <v>28300</v>
      </c>
    </row>
    <row r="8" spans="1:17" x14ac:dyDescent="0.4">
      <c r="A8" s="21" t="s">
        <v>3</v>
      </c>
      <c r="B8" s="14">
        <v>12</v>
      </c>
      <c r="C8" s="8">
        <f t="shared" si="1"/>
        <v>0.36363636363636365</v>
      </c>
      <c r="E8" s="29" t="s">
        <v>69</v>
      </c>
      <c r="F8" s="26" t="s">
        <v>24</v>
      </c>
      <c r="G8" s="14">
        <v>11</v>
      </c>
      <c r="H8" s="92">
        <f>IF(B$19=0,0,G8/B$19)</f>
        <v>0.13924050632911392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">
      <c r="A9" s="22" t="s">
        <v>4</v>
      </c>
      <c r="B9" s="15">
        <v>10</v>
      </c>
      <c r="C9" s="9">
        <f t="shared" si="1"/>
        <v>0.30303030303030304</v>
      </c>
      <c r="E9" s="29" t="s">
        <v>83</v>
      </c>
      <c r="F9" s="26" t="s">
        <v>38</v>
      </c>
      <c r="G9" s="14">
        <v>11</v>
      </c>
      <c r="H9" s="92">
        <f>IF(B$19=0,0,G9/B$19)</f>
        <v>0.13924050632911392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41.427272727272729</v>
      </c>
      <c r="C10" s="114">
        <v>455.7</v>
      </c>
      <c r="E10" s="29" t="s">
        <v>89</v>
      </c>
      <c r="F10" s="26" t="s">
        <v>44</v>
      </c>
      <c r="G10" s="14">
        <v>10</v>
      </c>
      <c r="H10" s="92">
        <f>IF(B$19=0,0,G10/B$19)</f>
        <v>0.12658227848101267</v>
      </c>
      <c r="I10" s="60">
        <v>7</v>
      </c>
      <c r="K10" s="7">
        <v>8</v>
      </c>
      <c r="L10" s="65">
        <v>96.800000000000011</v>
      </c>
      <c r="N10" s="77" t="s">
        <v>152</v>
      </c>
      <c r="O10" s="86">
        <f>IF(P10=0,0,Q10/P10)</f>
        <v>-7.8636363636363624</v>
      </c>
      <c r="P10" s="80">
        <v>11</v>
      </c>
      <c r="Q10" s="71">
        <v>-86.499999999999986</v>
      </c>
    </row>
    <row r="11" spans="1:17" x14ac:dyDescent="0.4">
      <c r="A11" s="22" t="s">
        <v>186</v>
      </c>
      <c r="B11" s="113">
        <f>IF(B8=0,0,C11/B8)</f>
        <v>1.7999999999999996</v>
      </c>
      <c r="C11" s="114">
        <v>21.599999999999994</v>
      </c>
      <c r="E11" s="29" t="s">
        <v>65</v>
      </c>
      <c r="F11" s="26" t="s">
        <v>21</v>
      </c>
      <c r="G11" s="14">
        <v>6</v>
      </c>
      <c r="H11" s="92">
        <f>IF(B$19=0,0,G11/B$19)</f>
        <v>7.5949367088607597E-2</v>
      </c>
      <c r="I11" s="60">
        <v>8</v>
      </c>
      <c r="K11" s="7">
        <v>9</v>
      </c>
      <c r="L11" s="65">
        <v>51.600000000000009</v>
      </c>
      <c r="N11" s="78" t="s">
        <v>153</v>
      </c>
      <c r="O11" s="87">
        <f>IF(P11=0,0,Q11/P11)</f>
        <v>2.8299999999999992</v>
      </c>
      <c r="P11" s="81">
        <v>10</v>
      </c>
      <c r="Q11" s="72">
        <v>28.299999999999994</v>
      </c>
    </row>
    <row r="12" spans="1:17" x14ac:dyDescent="0.4">
      <c r="A12" s="22" t="s">
        <v>187</v>
      </c>
      <c r="B12" s="113">
        <f>IF(B9=0,0,C12/B9)</f>
        <v>-39.28</v>
      </c>
      <c r="C12" s="114">
        <v>-392.8</v>
      </c>
      <c r="E12" s="29" t="s">
        <v>81</v>
      </c>
      <c r="F12" s="26" t="s">
        <v>36</v>
      </c>
      <c r="G12" s="14">
        <v>5</v>
      </c>
      <c r="H12" s="92">
        <f>IF(B$19=0,0,G12/B$19)</f>
        <v>6.3291139240506333E-2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11.891666666666666</v>
      </c>
      <c r="P12" s="82">
        <v>12</v>
      </c>
      <c r="Q12" s="73">
        <v>142.69999999999999</v>
      </c>
    </row>
    <row r="13" spans="1:17" x14ac:dyDescent="0.4">
      <c r="A13" s="22" t="s">
        <v>188</v>
      </c>
      <c r="B13" s="123">
        <f>AVERAGE(B10:B12)</f>
        <v>1.3157575757575752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3.7974683544303799E-2</v>
      </c>
      <c r="I13" s="60">
        <v>8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0.18181818181818182</v>
      </c>
      <c r="E14" s="29" t="s">
        <v>78</v>
      </c>
      <c r="F14" s="26" t="s">
        <v>33</v>
      </c>
      <c r="G14" s="14">
        <v>3</v>
      </c>
      <c r="H14" s="92">
        <f>IF(B$19=0,0,G14/B$19)</f>
        <v>3.7974683544303799E-2</v>
      </c>
      <c r="I14" s="60">
        <v>5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35</v>
      </c>
      <c r="C15" s="12">
        <f>IF(B$3=0,0,B15/B$3)</f>
        <v>0.1394422310756972</v>
      </c>
      <c r="E15" s="29" t="s">
        <v>71</v>
      </c>
      <c r="F15" s="26" t="s">
        <v>26</v>
      </c>
      <c r="G15" s="14">
        <v>2</v>
      </c>
      <c r="H15" s="92">
        <f>IF(B$19=0,0,G15/B$19)</f>
        <v>2.5316455696202531E-2</v>
      </c>
      <c r="I15" s="60">
        <v>9</v>
      </c>
      <c r="K15" s="7">
        <v>13</v>
      </c>
      <c r="L15" s="65">
        <v>83.1</v>
      </c>
      <c r="N15" s="77" t="s">
        <v>194</v>
      </c>
      <c r="O15" s="86">
        <f>IF(P15=0,0,Q15/P15)</f>
        <v>42.581818181818178</v>
      </c>
      <c r="P15" s="80">
        <v>11</v>
      </c>
      <c r="Q15" s="71">
        <v>468.4</v>
      </c>
    </row>
    <row r="16" spans="1:17" x14ac:dyDescent="0.4">
      <c r="A16" s="21" t="s">
        <v>118</v>
      </c>
      <c r="B16" s="14">
        <v>91</v>
      </c>
      <c r="C16" s="8">
        <f>IF(B$3=0,0,B16/B$3)</f>
        <v>0.36254980079681276</v>
      </c>
      <c r="E16" s="29" t="s">
        <v>79</v>
      </c>
      <c r="F16" s="26" t="s">
        <v>34</v>
      </c>
      <c r="G16" s="14">
        <v>2</v>
      </c>
      <c r="H16" s="92">
        <f>IF(B$19=0,0,G16/B$19)</f>
        <v>2.5316455696202531E-2</v>
      </c>
      <c r="I16" s="60">
        <v>4</v>
      </c>
      <c r="K16" s="7">
        <v>14</v>
      </c>
      <c r="L16" s="65">
        <v>89.399999999999991</v>
      </c>
      <c r="N16" s="78" t="s">
        <v>205</v>
      </c>
      <c r="O16" s="87">
        <f>IF(P16=0,0,Q16/P16)</f>
        <v>35.35</v>
      </c>
      <c r="P16" s="81">
        <v>4</v>
      </c>
      <c r="Q16" s="72">
        <v>141.4</v>
      </c>
    </row>
    <row r="17" spans="1:17" x14ac:dyDescent="0.4">
      <c r="A17" s="20" t="s">
        <v>123</v>
      </c>
      <c r="B17" s="13">
        <f>B23</f>
        <v>21</v>
      </c>
      <c r="C17" s="6">
        <f>IF(B$15=0,0,B17/B$15)</f>
        <v>0.6</v>
      </c>
      <c r="E17" s="29" t="s">
        <v>85</v>
      </c>
      <c r="F17" s="26" t="s">
        <v>40</v>
      </c>
      <c r="G17" s="14">
        <v>2</v>
      </c>
      <c r="H17" s="92">
        <f>IF(B$19=0,0,G17/B$19)</f>
        <v>2.5316455696202531E-2</v>
      </c>
      <c r="I17" s="60">
        <v>1</v>
      </c>
      <c r="K17" s="7">
        <v>15</v>
      </c>
      <c r="L17" s="65">
        <v>112.6</v>
      </c>
      <c r="N17" s="78" t="s">
        <v>164</v>
      </c>
      <c r="O17" s="87">
        <f>IF(P17=0,0,Q17/P17)</f>
        <v>27.375</v>
      </c>
      <c r="P17" s="81">
        <v>8</v>
      </c>
      <c r="Q17" s="72">
        <v>219</v>
      </c>
    </row>
    <row r="18" spans="1:17" x14ac:dyDescent="0.4">
      <c r="A18" s="20" t="s">
        <v>124</v>
      </c>
      <c r="B18" s="13">
        <f>B24</f>
        <v>38</v>
      </c>
      <c r="C18" s="6">
        <f>IF(B$16=0,0,B18/B$16)</f>
        <v>0.4175824175824176</v>
      </c>
      <c r="E18" s="29" t="s">
        <v>74</v>
      </c>
      <c r="F18" s="26" t="s">
        <v>29</v>
      </c>
      <c r="G18" s="14">
        <v>1</v>
      </c>
      <c r="H18" s="92">
        <f>IF(B$19=0,0,G18/B$19)</f>
        <v>1.2658227848101266E-2</v>
      </c>
      <c r="I18" s="60">
        <v>1</v>
      </c>
      <c r="K18" s="7">
        <v>16</v>
      </c>
      <c r="L18" s="65">
        <v>119.3</v>
      </c>
      <c r="N18" s="78" t="s">
        <v>196</v>
      </c>
      <c r="O18" s="87">
        <f>IF(P18=0,0,Q18/P18)</f>
        <v>21.5</v>
      </c>
      <c r="P18" s="81">
        <v>3</v>
      </c>
      <c r="Q18" s="72">
        <v>64.5</v>
      </c>
    </row>
    <row r="19" spans="1:17" x14ac:dyDescent="0.4">
      <c r="A19" s="20" t="s">
        <v>10</v>
      </c>
      <c r="B19" s="13">
        <f>B22+B21</f>
        <v>79</v>
      </c>
      <c r="C19" s="6">
        <f>IF(B$3=0,0,B19/B$3)</f>
        <v>0.3147410358565737</v>
      </c>
      <c r="E19" s="29" t="s">
        <v>75</v>
      </c>
      <c r="F19" s="26" t="s">
        <v>30</v>
      </c>
      <c r="G19" s="14">
        <v>1</v>
      </c>
      <c r="H19" s="92">
        <f>IF(B$19=0,0,G19/B$19)</f>
        <v>1.2658227848101266E-2</v>
      </c>
      <c r="I19" s="60">
        <v>1</v>
      </c>
      <c r="K19" s="7">
        <v>17</v>
      </c>
      <c r="L19" s="65">
        <v>71.699999999999989</v>
      </c>
      <c r="N19" s="78" t="s">
        <v>189</v>
      </c>
      <c r="O19" s="87">
        <f>IF(P19=0,0,Q19/P19)</f>
        <v>4.2000000000000011</v>
      </c>
      <c r="P19" s="81">
        <v>4</v>
      </c>
      <c r="Q19" s="72">
        <v>16.800000000000004</v>
      </c>
    </row>
    <row r="20" spans="1:17" x14ac:dyDescent="0.4">
      <c r="A20" s="21" t="s">
        <v>13</v>
      </c>
      <c r="B20" s="14">
        <v>35</v>
      </c>
      <c r="C20" s="8">
        <f>IF(B$3=0,0,B20/B$3)</f>
        <v>0.1394422310756972</v>
      </c>
      <c r="E20" s="29" t="s">
        <v>77</v>
      </c>
      <c r="F20" s="26" t="s">
        <v>32</v>
      </c>
      <c r="G20" s="14">
        <v>1</v>
      </c>
      <c r="H20" s="92">
        <f>IF(B$19=0,0,G20/B$19)</f>
        <v>1.2658227848101266E-2</v>
      </c>
      <c r="I20" s="60">
        <v>3</v>
      </c>
      <c r="K20" s="7">
        <v>18</v>
      </c>
      <c r="L20" s="65">
        <v>45.399999999999991</v>
      </c>
      <c r="N20" s="78" t="s">
        <v>192</v>
      </c>
      <c r="O20" s="87">
        <f>IF(P20=0,0,Q20/P20)</f>
        <v>-13.480000000000004</v>
      </c>
      <c r="P20" s="81">
        <v>20</v>
      </c>
      <c r="Q20" s="72">
        <v>-269.60000000000008</v>
      </c>
    </row>
    <row r="21" spans="1:17" x14ac:dyDescent="0.4">
      <c r="A21" s="21" t="s">
        <v>12</v>
      </c>
      <c r="B21" s="14">
        <v>35</v>
      </c>
      <c r="C21" s="8">
        <f>IF(B$19=0,0,B21/B$19)</f>
        <v>0.44303797468354428</v>
      </c>
      <c r="E21" s="29" t="s">
        <v>86</v>
      </c>
      <c r="F21" s="26" t="s">
        <v>41</v>
      </c>
      <c r="G21" s="14">
        <v>1</v>
      </c>
      <c r="H21" s="92">
        <f>IF(B$19=0,0,G21/B$19)</f>
        <v>1.2658227848101266E-2</v>
      </c>
      <c r="I21" s="60">
        <v>9</v>
      </c>
      <c r="K21" s="7">
        <v>19</v>
      </c>
      <c r="L21" s="65">
        <v>100.1</v>
      </c>
      <c r="N21" s="78" t="s">
        <v>126</v>
      </c>
      <c r="O21" s="87">
        <f>IF(P21=0,0,Q21/P21)</f>
        <v>-24.1875</v>
      </c>
      <c r="P21" s="81">
        <v>16</v>
      </c>
      <c r="Q21" s="72">
        <v>-387</v>
      </c>
    </row>
    <row r="22" spans="1:17" x14ac:dyDescent="0.4">
      <c r="A22" s="21" t="s">
        <v>11</v>
      </c>
      <c r="B22" s="14">
        <v>44</v>
      </c>
      <c r="C22" s="8">
        <f>IF(B$19=0,0,B22/B$19)</f>
        <v>0.55696202531645567</v>
      </c>
      <c r="E22" s="29" t="s">
        <v>88</v>
      </c>
      <c r="F22" s="26" t="s">
        <v>43</v>
      </c>
      <c r="G22" s="14">
        <v>1</v>
      </c>
      <c r="H22" s="92">
        <f>IF(B$19=0,0,G22/B$19)</f>
        <v>1.2658227848101266E-2</v>
      </c>
      <c r="I22" s="60">
        <v>1</v>
      </c>
      <c r="K22" s="7">
        <v>20</v>
      </c>
      <c r="L22" s="65">
        <v>52.8</v>
      </c>
    </row>
    <row r="23" spans="1:17" x14ac:dyDescent="0.4">
      <c r="A23" s="21" t="s">
        <v>184</v>
      </c>
      <c r="B23" s="14">
        <v>21</v>
      </c>
      <c r="C23" s="8">
        <f>IF(B$19=0,0,B23/B$19)</f>
        <v>0.26582278481012656</v>
      </c>
      <c r="E23" s="29" t="s">
        <v>102</v>
      </c>
      <c r="F23" s="26" t="s">
        <v>57</v>
      </c>
      <c r="G23" s="14">
        <v>1</v>
      </c>
      <c r="H23" s="92">
        <f>IF(B$19=0,0,G23/B$19)</f>
        <v>1.2658227848101266E-2</v>
      </c>
      <c r="I23" s="60">
        <v>1</v>
      </c>
      <c r="K23" s="7">
        <v>21</v>
      </c>
      <c r="L23" s="65">
        <v>41</v>
      </c>
    </row>
    <row r="24" spans="1:17" x14ac:dyDescent="0.4">
      <c r="A24" s="21" t="s">
        <v>182</v>
      </c>
      <c r="B24" s="14">
        <v>38</v>
      </c>
      <c r="C24" s="8">
        <f>IF(B$19=0,0,B24/B$19)</f>
        <v>0.48101265822784811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">
      <c r="A25" s="21" t="s">
        <v>183</v>
      </c>
      <c r="B25" s="14">
        <v>20</v>
      </c>
      <c r="C25" s="8">
        <f>IF(B$19=0,0,B25/B$19)</f>
        <v>0.25316455696202533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">
      <c r="A26" s="21" t="s">
        <v>5</v>
      </c>
      <c r="B26" s="18">
        <f>IF(B$19=0,0,C26/B$19)</f>
        <v>7745.5696202531644</v>
      </c>
      <c r="C26" s="10">
        <v>611900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">
      <c r="A27" s="22" t="s">
        <v>166</v>
      </c>
      <c r="B27" s="99">
        <f>IF($B$19-B$18=0,0,C27/($B$19-B$18))</f>
        <v>8848.7804878048773</v>
      </c>
      <c r="C27" s="100">
        <v>362800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">
      <c r="A28" s="22" t="s">
        <v>167</v>
      </c>
      <c r="B28" s="99">
        <f>IF(B$18=0,0,C28/B$18)</f>
        <v>6555.2631578947367</v>
      </c>
      <c r="C28" s="100">
        <v>249100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">
      <c r="A29" s="22" t="s">
        <v>165</v>
      </c>
      <c r="B29" s="99">
        <f>IF(B$20=0,0,C29/B$20)</f>
        <v>-7008.5714285714284</v>
      </c>
      <c r="C29" s="100">
        <v>-245300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">
      <c r="A30" s="21" t="s">
        <v>158</v>
      </c>
      <c r="B30" s="14">
        <v>7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">
      <c r="A31" s="21" t="s">
        <v>159</v>
      </c>
      <c r="B31" s="14">
        <v>27</v>
      </c>
      <c r="C31" s="94">
        <v>7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84.500000000000014</v>
      </c>
    </row>
    <row r="36" spans="1:12" x14ac:dyDescent="0.4">
      <c r="A36" s="56" t="s">
        <v>172</v>
      </c>
      <c r="B36" s="121">
        <v>7</v>
      </c>
      <c r="C36" s="102">
        <f t="shared" ref="C36:C48" si="2">IF(B$19=0,0,B36/B$19)</f>
        <v>8.8607594936708861E-2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">
      <c r="A37" s="21" t="s">
        <v>168</v>
      </c>
      <c r="B37" s="14">
        <v>20</v>
      </c>
      <c r="C37" s="8">
        <f t="shared" si="2"/>
        <v>0.25316455696202533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">
      <c r="A38" s="21" t="s">
        <v>169</v>
      </c>
      <c r="B38" s="122">
        <v>15</v>
      </c>
      <c r="C38" s="8">
        <f t="shared" si="2"/>
        <v>0.189873417721519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">
      <c r="A39" s="21" t="s">
        <v>170</v>
      </c>
      <c r="B39" s="122">
        <v>10</v>
      </c>
      <c r="C39" s="8">
        <f t="shared" si="2"/>
        <v>0.12658227848101267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">
      <c r="A40" s="21" t="s">
        <v>171</v>
      </c>
      <c r="B40" s="122">
        <v>15</v>
      </c>
      <c r="C40" s="8">
        <f t="shared" si="2"/>
        <v>0.189873417721519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">
      <c r="A41" s="21" t="s">
        <v>173</v>
      </c>
      <c r="B41" s="122">
        <v>4</v>
      </c>
      <c r="C41" s="8">
        <f t="shared" si="2"/>
        <v>5.0632911392405063E-2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">
      <c r="A42" s="21" t="s">
        <v>174</v>
      </c>
      <c r="B42" s="122">
        <v>5</v>
      </c>
      <c r="C42" s="8">
        <f t="shared" si="2"/>
        <v>6.3291139240506333E-2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">
      <c r="A43" s="21" t="s">
        <v>175</v>
      </c>
      <c r="B43" s="122">
        <v>1</v>
      </c>
      <c r="C43" s="8">
        <f t="shared" si="2"/>
        <v>1.2658227848101266E-2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1</v>
      </c>
      <c r="C45" s="8">
        <f t="shared" si="2"/>
        <v>1.2658227848101266E-2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2"/>
        <v>1.2658227848101266E-2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4">
      <c r="A3" s="21" t="s">
        <v>8</v>
      </c>
      <c r="B3" s="133">
        <v>73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4">
      <c r="A4" s="21" t="s">
        <v>6</v>
      </c>
      <c r="B4" s="135">
        <v>21.599999999999987</v>
      </c>
      <c r="C4" s="136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3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4">
      <c r="A5" s="21" t="s">
        <v>7</v>
      </c>
      <c r="B5" s="123">
        <f>IF(B$2=0,0,B$4/B$2)</f>
        <v>2.3999999999999986</v>
      </c>
      <c r="C5" s="124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2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4">
      <c r="A6" s="21" t="s">
        <v>1</v>
      </c>
      <c r="B6" s="137">
        <f>IF(B$2=0,0,(B$7*1+B$8*2+B$9*3)/B$2)</f>
        <v>1.8888888888888888</v>
      </c>
      <c r="C6" s="138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3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5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4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10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">
      <c r="A13" s="22" t="s">
        <v>188</v>
      </c>
      <c r="B13" s="123">
        <f>AVERAGE(B10:B12)</f>
        <v>9.3444444444444432</v>
      </c>
      <c r="C13" s="124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4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4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7</v>
      </c>
    </row>
    <row r="21" spans="1:17" x14ac:dyDescent="0.4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33</v>
      </c>
      <c r="C2" s="132"/>
      <c r="E2" s="28" t="s">
        <v>66</v>
      </c>
      <c r="F2" s="25" t="s">
        <v>22</v>
      </c>
      <c r="G2" s="13">
        <v>68</v>
      </c>
      <c r="H2" s="91">
        <f>IF(B$19=0,0,G2/B$19)</f>
        <v>0.88311688311688308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1068.75</v>
      </c>
      <c r="P2" s="80">
        <v>32</v>
      </c>
      <c r="Q2" s="67">
        <v>34200</v>
      </c>
    </row>
    <row r="3" spans="1:17" x14ac:dyDescent="0.4">
      <c r="A3" s="21" t="s">
        <v>8</v>
      </c>
      <c r="B3" s="133">
        <v>260</v>
      </c>
      <c r="C3" s="134"/>
      <c r="E3" s="29" t="s">
        <v>72</v>
      </c>
      <c r="F3" s="26" t="s">
        <v>27</v>
      </c>
      <c r="G3" s="14">
        <v>47</v>
      </c>
      <c r="H3" s="92">
        <f>IF(B$19=0,0,G3/B$19)</f>
        <v>0.61038961038961037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-2457.5757575757575</v>
      </c>
      <c r="P3" s="81">
        <v>33</v>
      </c>
      <c r="Q3" s="68">
        <v>-81100</v>
      </c>
    </row>
    <row r="4" spans="1:17" x14ac:dyDescent="0.4">
      <c r="A4" s="21" t="s">
        <v>6</v>
      </c>
      <c r="B4" s="135">
        <v>-242.10000000000002</v>
      </c>
      <c r="C4" s="136"/>
      <c r="E4" s="29" t="s">
        <v>160</v>
      </c>
      <c r="F4" s="26" t="s">
        <v>161</v>
      </c>
      <c r="G4" s="14">
        <v>28</v>
      </c>
      <c r="H4" s="92">
        <f>IF(B$19=0,0,G4/B$19)</f>
        <v>0.36363636363636365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-2077.4193548387098</v>
      </c>
      <c r="P4" s="81">
        <v>31</v>
      </c>
      <c r="Q4" s="68">
        <v>-64400</v>
      </c>
    </row>
    <row r="5" spans="1:17" x14ac:dyDescent="0.4">
      <c r="A5" s="21" t="s">
        <v>7</v>
      </c>
      <c r="B5" s="123">
        <f>IF(B$2=0,0,B$4/B$2)</f>
        <v>-7.3363636363636369</v>
      </c>
      <c r="C5" s="124"/>
      <c r="E5" s="29" t="s">
        <v>64</v>
      </c>
      <c r="F5" s="26" t="s">
        <v>20</v>
      </c>
      <c r="G5" s="14">
        <v>27</v>
      </c>
      <c r="H5" s="92">
        <f>IF(B$19=0,0,G5/B$19)</f>
        <v>0.35064935064935066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675</v>
      </c>
      <c r="P5" s="81">
        <v>28</v>
      </c>
      <c r="Q5" s="68">
        <v>18900</v>
      </c>
    </row>
    <row r="6" spans="1:17" x14ac:dyDescent="0.4">
      <c r="A6" s="21" t="s">
        <v>1</v>
      </c>
      <c r="B6" s="137">
        <f>IF(B$2=0,0,(B$7*1+B$8*2+B$9*3)/B$2)</f>
        <v>2.1818181818181817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0.20779220779220781</v>
      </c>
      <c r="I6" s="60">
        <v>10</v>
      </c>
      <c r="K6" s="7">
        <v>4</v>
      </c>
      <c r="L6" s="65">
        <v>-41.199999999999996</v>
      </c>
      <c r="N6" s="78" t="s">
        <v>132</v>
      </c>
      <c r="O6" s="84">
        <f t="shared" si="0"/>
        <v>-1162.962962962963</v>
      </c>
      <c r="P6" s="81">
        <v>27</v>
      </c>
      <c r="Q6" s="68">
        <v>-31400</v>
      </c>
    </row>
    <row r="7" spans="1:17" x14ac:dyDescent="0.4">
      <c r="A7" s="21" t="s">
        <v>2</v>
      </c>
      <c r="B7" s="14">
        <v>9</v>
      </c>
      <c r="C7" s="8">
        <f t="shared" ref="C7:C14" si="1">IF(B$2=0,0,B7/B$2)</f>
        <v>0.27272727272727271</v>
      </c>
      <c r="E7" s="29" t="s">
        <v>89</v>
      </c>
      <c r="F7" s="26" t="s">
        <v>44</v>
      </c>
      <c r="G7" s="14">
        <v>15</v>
      </c>
      <c r="H7" s="92">
        <f>IF(B$19=0,0,G7/B$19)</f>
        <v>0.19480519480519481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-3342.8571428571427</v>
      </c>
      <c r="P7" s="82">
        <v>21</v>
      </c>
      <c r="Q7" s="69">
        <v>-70200</v>
      </c>
    </row>
    <row r="8" spans="1:17" x14ac:dyDescent="0.4">
      <c r="A8" s="21" t="s">
        <v>3</v>
      </c>
      <c r="B8" s="14">
        <v>9</v>
      </c>
      <c r="C8" s="8">
        <f t="shared" si="1"/>
        <v>0.27272727272727271</v>
      </c>
      <c r="E8" s="29" t="s">
        <v>67</v>
      </c>
      <c r="F8" s="26" t="s">
        <v>23</v>
      </c>
      <c r="G8" s="14">
        <v>14</v>
      </c>
      <c r="H8" s="92">
        <f>IF(B$19=0,0,G8/B$19)</f>
        <v>0.18181818181818182</v>
      </c>
      <c r="I8" s="60">
        <v>10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">
      <c r="A9" s="22" t="s">
        <v>4</v>
      </c>
      <c r="B9" s="15">
        <v>15</v>
      </c>
      <c r="C9" s="9">
        <f t="shared" si="1"/>
        <v>0.45454545454545453</v>
      </c>
      <c r="E9" s="29" t="s">
        <v>69</v>
      </c>
      <c r="F9" s="26" t="s">
        <v>24</v>
      </c>
      <c r="G9" s="14">
        <v>13</v>
      </c>
      <c r="H9" s="92">
        <f>IF(B$19=0,0,G9/B$19)</f>
        <v>0.16883116883116883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36.533333333333331</v>
      </c>
      <c r="C10" s="114">
        <v>328.8</v>
      </c>
      <c r="E10" s="29" t="s">
        <v>70</v>
      </c>
      <c r="F10" s="26" t="s">
        <v>25</v>
      </c>
      <c r="G10" s="14">
        <v>10</v>
      </c>
      <c r="H10" s="92">
        <f>IF(B$19=0,0,G10/B$19)</f>
        <v>0.12987012987012986</v>
      </c>
      <c r="I10" s="60">
        <v>2</v>
      </c>
      <c r="K10" s="7">
        <v>8</v>
      </c>
      <c r="L10" s="65">
        <v>-128.6</v>
      </c>
      <c r="N10" s="77" t="s">
        <v>152</v>
      </c>
      <c r="O10" s="86">
        <f>IF(P10=0,0,Q10/P10)</f>
        <v>-5.1636363636363631</v>
      </c>
      <c r="P10" s="80">
        <v>11</v>
      </c>
      <c r="Q10" s="71">
        <v>-56.8</v>
      </c>
    </row>
    <row r="11" spans="1:17" x14ac:dyDescent="0.4">
      <c r="A11" s="22" t="s">
        <v>186</v>
      </c>
      <c r="B11" s="113">
        <f>IF(B8=0,0,C11/B8)</f>
        <v>-2.0444444444444443</v>
      </c>
      <c r="C11" s="114">
        <v>-18.399999999999999</v>
      </c>
      <c r="E11" s="29" t="s">
        <v>65</v>
      </c>
      <c r="F11" s="26" t="s">
        <v>21</v>
      </c>
      <c r="G11" s="14">
        <v>6</v>
      </c>
      <c r="H11" s="92">
        <f>IF(B$19=0,0,G11/B$19)</f>
        <v>7.792207792207792E-2</v>
      </c>
      <c r="I11" s="60">
        <v>7</v>
      </c>
      <c r="K11" s="7">
        <v>9</v>
      </c>
      <c r="L11" s="65">
        <v>-120</v>
      </c>
      <c r="N11" s="78" t="s">
        <v>153</v>
      </c>
      <c r="O11" s="87">
        <f>IF(P11=0,0,Q11/P11)</f>
        <v>1.3999999999999997</v>
      </c>
      <c r="P11" s="81">
        <v>7</v>
      </c>
      <c r="Q11" s="72">
        <v>9.7999999999999972</v>
      </c>
    </row>
    <row r="12" spans="1:17" x14ac:dyDescent="0.4">
      <c r="A12" s="22" t="s">
        <v>187</v>
      </c>
      <c r="B12" s="113">
        <f>IF(B9=0,0,C12/B9)</f>
        <v>-36.833333333333336</v>
      </c>
      <c r="C12" s="114">
        <v>-552.5</v>
      </c>
      <c r="E12" s="29" t="s">
        <v>83</v>
      </c>
      <c r="F12" s="26" t="s">
        <v>38</v>
      </c>
      <c r="G12" s="14">
        <v>5</v>
      </c>
      <c r="H12" s="92">
        <f>IF(B$19=0,0,G12/B$19)</f>
        <v>6.4935064935064929E-2</v>
      </c>
      <c r="I12" s="60">
        <v>2</v>
      </c>
      <c r="K12" s="7">
        <v>10</v>
      </c>
      <c r="L12" s="65">
        <v>-112.8</v>
      </c>
      <c r="N12" s="79" t="s">
        <v>154</v>
      </c>
      <c r="O12" s="88">
        <f>IF(P12=0,0,Q12/P12)</f>
        <v>-13.006666666666668</v>
      </c>
      <c r="P12" s="82">
        <v>15</v>
      </c>
      <c r="Q12" s="73">
        <v>-195.10000000000002</v>
      </c>
    </row>
    <row r="13" spans="1:17" x14ac:dyDescent="0.4">
      <c r="A13" s="22" t="s">
        <v>188</v>
      </c>
      <c r="B13" s="123">
        <f>AVERAGE(B10:B12)</f>
        <v>-0.78148148148148289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5.1948051948051951E-2</v>
      </c>
      <c r="I13" s="60">
        <v>8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4</v>
      </c>
      <c r="C14" s="11">
        <f t="shared" si="1"/>
        <v>0.12121212121212122</v>
      </c>
      <c r="E14" s="29" t="s">
        <v>86</v>
      </c>
      <c r="F14" s="26" t="s">
        <v>41</v>
      </c>
      <c r="G14" s="14">
        <v>4</v>
      </c>
      <c r="H14" s="92">
        <f>IF(B$19=0,0,G14/B$19)</f>
        <v>5.1948051948051951E-2</v>
      </c>
      <c r="I14" s="60">
        <v>6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44</v>
      </c>
      <c r="C15" s="12">
        <f>IF(B$3=0,0,B15/B$3)</f>
        <v>0.16923076923076924</v>
      </c>
      <c r="E15" s="29" t="s">
        <v>78</v>
      </c>
      <c r="F15" s="26" t="s">
        <v>33</v>
      </c>
      <c r="G15" s="14">
        <v>3</v>
      </c>
      <c r="H15" s="92">
        <f>IF(B$19=0,0,G15/B$19)</f>
        <v>3.896103896103896E-2</v>
      </c>
      <c r="I15" s="60">
        <v>4</v>
      </c>
      <c r="K15" s="7">
        <v>13</v>
      </c>
      <c r="L15" s="65">
        <v>-63.4</v>
      </c>
      <c r="N15" s="77" t="s">
        <v>194</v>
      </c>
      <c r="O15" s="86">
        <f>IF(P15=0,0,Q15/P15)</f>
        <v>4.127272727272727</v>
      </c>
      <c r="P15" s="80">
        <v>11</v>
      </c>
      <c r="Q15" s="71">
        <v>45.4</v>
      </c>
    </row>
    <row r="16" spans="1:17" x14ac:dyDescent="0.4">
      <c r="A16" s="21" t="s">
        <v>118</v>
      </c>
      <c r="B16" s="14">
        <v>75</v>
      </c>
      <c r="C16" s="8">
        <f>IF(B$3=0,0,B16/B$3)</f>
        <v>0.28846153846153844</v>
      </c>
      <c r="E16" s="29" t="s">
        <v>81</v>
      </c>
      <c r="F16" s="26" t="s">
        <v>36</v>
      </c>
      <c r="G16" s="14">
        <v>1</v>
      </c>
      <c r="H16" s="92">
        <f>IF(B$19=0,0,G16/B$19)</f>
        <v>1.2987012987012988E-2</v>
      </c>
      <c r="I16" s="60">
        <v>7</v>
      </c>
      <c r="K16" s="7">
        <v>14</v>
      </c>
      <c r="L16" s="65">
        <v>-42.4</v>
      </c>
      <c r="N16" s="78" t="s">
        <v>192</v>
      </c>
      <c r="O16" s="87">
        <f>IF(P16=0,0,Q16/P16)</f>
        <v>-5.2400000000000011</v>
      </c>
      <c r="P16" s="81">
        <v>10</v>
      </c>
      <c r="Q16" s="72">
        <v>-52.400000000000013</v>
      </c>
    </row>
    <row r="17" spans="1:17" x14ac:dyDescent="0.4">
      <c r="A17" s="20" t="s">
        <v>123</v>
      </c>
      <c r="B17" s="13">
        <f>B23</f>
        <v>27</v>
      </c>
      <c r="C17" s="6">
        <f>IF(B$15=0,0,B17/B$15)</f>
        <v>0.61363636363636365</v>
      </c>
      <c r="E17" s="29" t="s">
        <v>92</v>
      </c>
      <c r="F17" s="26" t="s">
        <v>47</v>
      </c>
      <c r="G17" s="14">
        <v>1</v>
      </c>
      <c r="H17" s="92">
        <f>IF(B$19=0,0,G17/B$19)</f>
        <v>1.2987012987012988E-2</v>
      </c>
      <c r="I17" s="60">
        <v>5</v>
      </c>
      <c r="K17" s="7">
        <v>15</v>
      </c>
      <c r="L17" s="65">
        <v>-65.7</v>
      </c>
      <c r="N17" s="78" t="s">
        <v>126</v>
      </c>
      <c r="O17" s="87">
        <f>IF(P17=0,0,Q17/P17)</f>
        <v>-11.862962962962966</v>
      </c>
      <c r="P17" s="81">
        <v>27</v>
      </c>
      <c r="Q17" s="72">
        <v>-320.30000000000007</v>
      </c>
    </row>
    <row r="18" spans="1:17" x14ac:dyDescent="0.4">
      <c r="A18" s="20" t="s">
        <v>124</v>
      </c>
      <c r="B18" s="13">
        <f>B24</f>
        <v>23</v>
      </c>
      <c r="C18" s="6">
        <f>IF(B$16=0,0,B18/B$16)</f>
        <v>0.30666666666666664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164</v>
      </c>
      <c r="O18" s="87">
        <f>IF(P18=0,0,Q18/P18)</f>
        <v>-15.376923076923079</v>
      </c>
      <c r="P18" s="81">
        <v>13</v>
      </c>
      <c r="Q18" s="72">
        <v>-199.90000000000003</v>
      </c>
    </row>
    <row r="19" spans="1:17" x14ac:dyDescent="0.4">
      <c r="A19" s="20" t="s">
        <v>10</v>
      </c>
      <c r="B19" s="13">
        <f>B22+B21</f>
        <v>77</v>
      </c>
      <c r="C19" s="6">
        <f>IF(B$3=0,0,B19/B$3)</f>
        <v>0.29615384615384616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3</v>
      </c>
      <c r="K19" s="7">
        <v>17</v>
      </c>
      <c r="L19" s="65">
        <v>-52.900000000000013</v>
      </c>
      <c r="N19" s="78" t="s">
        <v>193</v>
      </c>
      <c r="O19" s="87">
        <f>IF(P19=0,0,Q19/P19)</f>
        <v>-35.35</v>
      </c>
      <c r="P19" s="81">
        <v>4</v>
      </c>
      <c r="Q19" s="72">
        <v>-141.4</v>
      </c>
    </row>
    <row r="20" spans="1:17" x14ac:dyDescent="0.4">
      <c r="A20" s="21" t="s">
        <v>13</v>
      </c>
      <c r="B20" s="14">
        <v>48</v>
      </c>
      <c r="C20" s="8">
        <f>IF(B$3=0,0,B20/B$3)</f>
        <v>0.18461538461538463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  <c r="N20" s="78" t="s">
        <v>189</v>
      </c>
      <c r="O20" s="87">
        <f>IF(P20=0,0,Q20/P20)</f>
        <v>-57.7</v>
      </c>
      <c r="P20" s="81">
        <v>1</v>
      </c>
      <c r="Q20" s="72">
        <v>-57.7</v>
      </c>
    </row>
    <row r="21" spans="1:17" x14ac:dyDescent="0.4">
      <c r="A21" s="21" t="s">
        <v>12</v>
      </c>
      <c r="B21" s="14">
        <v>30</v>
      </c>
      <c r="C21" s="8">
        <f>IF(B$19=0,0,B21/B$19)</f>
        <v>0.38961038961038963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">
      <c r="A22" s="21" t="s">
        <v>11</v>
      </c>
      <c r="B22" s="14">
        <v>47</v>
      </c>
      <c r="C22" s="8">
        <f>IF(B$19=0,0,B22/B$19)</f>
        <v>0.61038961038961037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-26.70000000000001</v>
      </c>
    </row>
    <row r="23" spans="1:17" x14ac:dyDescent="0.4">
      <c r="A23" s="21" t="s">
        <v>184</v>
      </c>
      <c r="B23" s="14">
        <v>27</v>
      </c>
      <c r="C23" s="8">
        <f>IF(B$19=0,0,B23/B$19)</f>
        <v>0.35064935064935066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-41.20000000000001</v>
      </c>
    </row>
    <row r="24" spans="1:17" x14ac:dyDescent="0.4">
      <c r="A24" s="21" t="s">
        <v>182</v>
      </c>
      <c r="B24" s="14">
        <v>23</v>
      </c>
      <c r="C24" s="8">
        <f>IF(B$19=0,0,B24/B$19)</f>
        <v>0.29870129870129869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">
      <c r="A25" s="21" t="s">
        <v>183</v>
      </c>
      <c r="B25" s="14">
        <v>27</v>
      </c>
      <c r="C25" s="8">
        <f>IF(B$19=0,0,B25/B$19)</f>
        <v>0.35064935064935066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">
      <c r="A26" s="21" t="s">
        <v>5</v>
      </c>
      <c r="B26" s="18">
        <f>IF(B$19=0,0,C26/B$19)</f>
        <v>8141.5584415584417</v>
      </c>
      <c r="C26" s="10">
        <v>626900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">
      <c r="A27" s="22" t="s">
        <v>166</v>
      </c>
      <c r="B27" s="99">
        <f>IF($B$19-B$18=0,0,C27/($B$19-B$18))</f>
        <v>8292.5925925925931</v>
      </c>
      <c r="C27" s="100">
        <v>447800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">
      <c r="A28" s="22" t="s">
        <v>167</v>
      </c>
      <c r="B28" s="99">
        <f>IF(B$18=0,0,C28/B$18)</f>
        <v>7786.95652173913</v>
      </c>
      <c r="C28" s="100">
        <v>179100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">
      <c r="A29" s="22" t="s">
        <v>165</v>
      </c>
      <c r="B29" s="99">
        <f>IF(B$20=0,0,C29/B$20)</f>
        <v>-9333.3333333333339</v>
      </c>
      <c r="C29" s="100">
        <v>-448000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">
      <c r="A31" s="21" t="s">
        <v>159</v>
      </c>
      <c r="B31" s="14">
        <v>13</v>
      </c>
      <c r="C31" s="94">
        <v>0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">
      <c r="A36" s="56" t="s">
        <v>172</v>
      </c>
      <c r="B36" s="121">
        <v>7</v>
      </c>
      <c r="C36" s="102">
        <f t="shared" ref="C36:C48" si="2">IF(B$19=0,0,B36/B$19)</f>
        <v>9.0909090909090912E-2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12" x14ac:dyDescent="0.4">
      <c r="A37" s="21" t="s">
        <v>168</v>
      </c>
      <c r="B37" s="14">
        <v>21</v>
      </c>
      <c r="C37" s="8">
        <f t="shared" si="2"/>
        <v>0.27272727272727271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12" x14ac:dyDescent="0.4">
      <c r="A38" s="21" t="s">
        <v>169</v>
      </c>
      <c r="B38" s="122">
        <v>8</v>
      </c>
      <c r="C38" s="8">
        <f t="shared" si="2"/>
        <v>0.1038961038961039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">
      <c r="A39" s="21" t="s">
        <v>170</v>
      </c>
      <c r="B39" s="122">
        <v>16</v>
      </c>
      <c r="C39" s="8">
        <f t="shared" si="2"/>
        <v>0.20779220779220781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">
      <c r="A40" s="21" t="s">
        <v>171</v>
      </c>
      <c r="B40" s="122">
        <v>10</v>
      </c>
      <c r="C40" s="8">
        <f t="shared" si="2"/>
        <v>0.12987012987012986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">
      <c r="A41" s="21" t="s">
        <v>173</v>
      </c>
      <c r="B41" s="122">
        <v>5</v>
      </c>
      <c r="C41" s="8">
        <f t="shared" si="2"/>
        <v>6.4935064935064929E-2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">
      <c r="A42" s="21" t="s">
        <v>174</v>
      </c>
      <c r="B42" s="122">
        <v>3</v>
      </c>
      <c r="C42" s="8">
        <f t="shared" si="2"/>
        <v>3.896103896103896E-2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">
      <c r="A43" s="21" t="s">
        <v>175</v>
      </c>
      <c r="B43" s="122">
        <v>2</v>
      </c>
      <c r="C43" s="8">
        <f t="shared" si="2"/>
        <v>2.5974025974025976E-2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">
      <c r="A44" s="21" t="s">
        <v>176</v>
      </c>
      <c r="B44" s="122">
        <v>1</v>
      </c>
      <c r="C44" s="8">
        <f t="shared" si="2"/>
        <v>1.2987012987012988E-2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">
      <c r="A45" s="21" t="s">
        <v>177</v>
      </c>
      <c r="B45" s="122">
        <v>1</v>
      </c>
      <c r="C45" s="8">
        <f t="shared" si="2"/>
        <v>1.2987012987012988E-2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">
      <c r="A46" s="21" t="s">
        <v>178</v>
      </c>
      <c r="B46" s="122">
        <v>2</v>
      </c>
      <c r="C46" s="8">
        <f t="shared" si="2"/>
        <v>2.5974025974025976E-2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">
      <c r="A48" s="23" t="s">
        <v>180</v>
      </c>
      <c r="B48" s="101">
        <v>1</v>
      </c>
      <c r="C48" s="11">
        <f t="shared" si="2"/>
        <v>1.2987012987012988E-2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5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1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1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3</v>
      </c>
    </row>
    <row r="18" spans="1:9" x14ac:dyDescent="0.4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</row>
    <row r="21" spans="1:9" x14ac:dyDescent="0.4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36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36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58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36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79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58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07"/>
  <sheetViews>
    <sheetView workbookViewId="0"/>
  </sheetViews>
  <sheetFormatPr defaultColWidth="10.625" defaultRowHeight="18.75" x14ac:dyDescent="0.4"/>
  <cols>
    <col min="1" max="1" width="10.625" style="35"/>
    <col min="2" max="3" width="10.625" style="32"/>
    <col min="4" max="4" width="10.625" style="37"/>
    <col min="5" max="8" width="10.625" style="33"/>
    <col min="9" max="10" width="10.625" style="34"/>
    <col min="11" max="16" width="10.625" style="33"/>
    <col min="17" max="16384" width="10.625" style="36"/>
  </cols>
  <sheetData>
    <row r="1" spans="1:17" x14ac:dyDescent="0.4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asd</cp:lastModifiedBy>
  <dcterms:created xsi:type="dcterms:W3CDTF">2018-11-18T09:24:12Z</dcterms:created>
  <dcterms:modified xsi:type="dcterms:W3CDTF">2020-07-06T09:13:55Z</dcterms:modified>
</cp:coreProperties>
</file>