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71791F1D-E00F-4482-AC36-F62451F826BE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6134" l="1"/>
  <c r="O15" i="6122"/>
  <c r="O18" i="6134" l="1"/>
  <c r="O15" i="6120"/>
  <c r="O15" i="6128" l="1"/>
  <c r="O18" i="6122"/>
  <c r="O19" i="6124" l="1"/>
  <c r="O20" i="6128"/>
  <c r="O16" i="6118"/>
  <c r="O16" i="6134"/>
  <c r="O15" i="6134"/>
  <c r="C34" i="6134"/>
  <c r="B29" i="6134"/>
  <c r="C20" i="6134"/>
  <c r="B19" i="6134"/>
  <c r="H50" i="6134" s="1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C9" i="6134"/>
  <c r="C8" i="6134"/>
  <c r="O7" i="6134"/>
  <c r="C7" i="6134"/>
  <c r="O6" i="6134"/>
  <c r="B6" i="6134"/>
  <c r="O5" i="6134"/>
  <c r="B5" i="6134"/>
  <c r="O4" i="6134"/>
  <c r="O3" i="6134"/>
  <c r="O2" i="6134"/>
  <c r="B13" i="6134" l="1"/>
  <c r="C18" i="6134"/>
  <c r="H30" i="6134"/>
  <c r="H2" i="6134"/>
  <c r="H7" i="6134"/>
  <c r="H14" i="6134"/>
  <c r="H33" i="6134"/>
  <c r="C22" i="6134"/>
  <c r="H31" i="6134"/>
  <c r="C21" i="6134"/>
  <c r="H12" i="6134"/>
  <c r="H23" i="6134"/>
  <c r="H16" i="6134"/>
  <c r="C42" i="6134"/>
  <c r="H20" i="6134"/>
  <c r="H18" i="6134"/>
  <c r="H39" i="6134"/>
  <c r="H19" i="6134"/>
  <c r="H41" i="6134"/>
  <c r="H3" i="6134"/>
  <c r="C24" i="6134"/>
  <c r="H17" i="6134"/>
  <c r="H43" i="6134"/>
  <c r="C46" i="6134"/>
  <c r="C25" i="6134"/>
  <c r="C36" i="6134"/>
  <c r="H44" i="6134"/>
  <c r="H5" i="6134"/>
  <c r="H8" i="6134"/>
  <c r="H21" i="6134"/>
  <c r="H37" i="6134"/>
  <c r="H38" i="6134"/>
  <c r="H47" i="6134"/>
  <c r="H27" i="6134"/>
  <c r="B26" i="6134"/>
  <c r="H11" i="6134"/>
  <c r="H6" i="6134"/>
  <c r="H9" i="6134"/>
  <c r="H22" i="6134"/>
  <c r="C38" i="6134"/>
  <c r="H48" i="6134"/>
  <c r="C48" i="6134"/>
  <c r="H26" i="6134"/>
  <c r="H34" i="6134"/>
  <c r="H42" i="6134"/>
  <c r="H49" i="6134"/>
  <c r="B27" i="6134"/>
  <c r="C39" i="6134"/>
  <c r="C44" i="6134"/>
  <c r="H51" i="6134"/>
  <c r="C23" i="6134"/>
  <c r="H13" i="6134"/>
  <c r="H35" i="6134"/>
  <c r="H40" i="6134"/>
  <c r="H45" i="6134"/>
  <c r="H4" i="6134"/>
  <c r="H15" i="6134"/>
  <c r="H10" i="6134"/>
  <c r="C19" i="6134"/>
  <c r="H25" i="6134"/>
  <c r="H29" i="6134"/>
  <c r="H36" i="6134"/>
  <c r="C40" i="6134"/>
  <c r="H46" i="6134"/>
  <c r="H52" i="6134"/>
  <c r="C43" i="6134"/>
  <c r="C47" i="6134"/>
  <c r="H24" i="6134"/>
  <c r="H28" i="6134"/>
  <c r="H32" i="6134"/>
  <c r="C37" i="6134"/>
  <c r="C41" i="6134"/>
  <c r="C45" i="6134"/>
  <c r="O15" i="6124"/>
  <c r="O19" i="6130"/>
  <c r="O20" i="6120"/>
  <c r="O16" i="6130"/>
  <c r="O16" i="6124" l="1"/>
  <c r="O18" i="6126"/>
  <c r="O17" i="6120"/>
  <c r="O19" i="6120"/>
  <c r="O15" i="6126"/>
  <c r="O18" i="6128"/>
  <c r="O16" i="6132" l="1"/>
  <c r="O18" i="6132"/>
  <c r="O21" i="6128"/>
  <c r="O16" i="6128"/>
  <c r="O17" i="6124"/>
  <c r="O18" i="6124"/>
  <c r="O17" i="6130"/>
  <c r="O15" i="6132"/>
  <c r="O17" i="6132"/>
  <c r="C34" i="6132"/>
  <c r="B29" i="6132"/>
  <c r="C20" i="6132"/>
  <c r="B19" i="6132"/>
  <c r="H5" i="6132" s="1"/>
  <c r="B18" i="6132"/>
  <c r="B28" i="6132" s="1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5" i="6130"/>
  <c r="C34" i="6130"/>
  <c r="B29" i="6130"/>
  <c r="C20" i="6130"/>
  <c r="B19" i="6130"/>
  <c r="H49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7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5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9" i="6118"/>
  <c r="C18" i="6132" l="1"/>
  <c r="B28" i="6128"/>
  <c r="C18" i="6126"/>
  <c r="H5" i="6126"/>
  <c r="H49" i="6126"/>
  <c r="H34" i="6126"/>
  <c r="H3" i="6126"/>
  <c r="H40" i="6126"/>
  <c r="H4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7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6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22" i="6128"/>
  <c r="H27" i="6128"/>
  <c r="C24" i="6128"/>
  <c r="H9" i="6128"/>
  <c r="H19" i="6128"/>
  <c r="H18" i="6128"/>
  <c r="H7" i="6128"/>
  <c r="C43" i="6128"/>
  <c r="H24" i="6128"/>
  <c r="H34" i="6128"/>
  <c r="C22" i="6128"/>
  <c r="H41" i="6128"/>
  <c r="H52" i="6132"/>
  <c r="H35" i="6132"/>
  <c r="H39" i="6132"/>
  <c r="H3" i="6132"/>
  <c r="H10" i="6132"/>
  <c r="C24" i="6132"/>
  <c r="H14" i="6132"/>
  <c r="H9" i="6132"/>
  <c r="H43" i="6132"/>
  <c r="C19" i="6132"/>
  <c r="C39" i="6132"/>
  <c r="H19" i="6132"/>
  <c r="C43" i="6132"/>
  <c r="H6" i="6132"/>
  <c r="H22" i="6132"/>
  <c r="H12" i="6132"/>
  <c r="H15" i="6132"/>
  <c r="H29" i="6132"/>
  <c r="H47" i="6132"/>
  <c r="C47" i="6132"/>
  <c r="H22" i="6130"/>
  <c r="C18" i="6130"/>
  <c r="H14" i="6130"/>
  <c r="H5" i="6130"/>
  <c r="H15" i="6130"/>
  <c r="H8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7" i="6132"/>
  <c r="H4" i="6132"/>
  <c r="H21" i="6132"/>
  <c r="H25" i="6132"/>
  <c r="H28" i="6132"/>
  <c r="H34" i="6132"/>
  <c r="C38" i="6132"/>
  <c r="C42" i="6132"/>
  <c r="C46" i="6132"/>
  <c r="H35" i="6130"/>
  <c r="H13" i="6130"/>
  <c r="H20" i="6130"/>
  <c r="C22" i="6130"/>
  <c r="H41" i="6130"/>
  <c r="C46" i="6130"/>
  <c r="H36" i="6130"/>
  <c r="H4" i="6130"/>
  <c r="H16" i="6130"/>
  <c r="C23" i="6130"/>
  <c r="H8" i="6130"/>
  <c r="H46" i="6130"/>
  <c r="H37" i="6130"/>
  <c r="C42" i="6130"/>
  <c r="C47" i="6130"/>
  <c r="H25" i="6130"/>
  <c r="H9" i="6130"/>
  <c r="H12" i="6130"/>
  <c r="C19" i="6130"/>
  <c r="C24" i="6130"/>
  <c r="H38" i="6130"/>
  <c r="H42" i="6130"/>
  <c r="H47" i="6130"/>
  <c r="H29" i="6130"/>
  <c r="H48" i="6130"/>
  <c r="H26" i="6130"/>
  <c r="H31" i="6130"/>
  <c r="C38" i="6130"/>
  <c r="H2" i="6130"/>
  <c r="H3" i="6130"/>
  <c r="H18" i="6130"/>
  <c r="C25" i="6130"/>
  <c r="H33" i="6130"/>
  <c r="H39" i="6130"/>
  <c r="H43" i="6130"/>
  <c r="H50" i="6130"/>
  <c r="H17" i="6130"/>
  <c r="H11" i="6130"/>
  <c r="H21" i="6130"/>
  <c r="H23" i="6130"/>
  <c r="B26" i="6130"/>
  <c r="H34" i="6130"/>
  <c r="C39" i="6130"/>
  <c r="H44" i="6130"/>
  <c r="H51" i="6130"/>
  <c r="H6" i="6130"/>
  <c r="H10" i="6130"/>
  <c r="C43" i="6130"/>
  <c r="H19" i="6130"/>
  <c r="C21" i="6130"/>
  <c r="B27" i="6130"/>
  <c r="H40" i="6130"/>
  <c r="H45" i="6130"/>
  <c r="H52" i="6130"/>
  <c r="H7" i="6130"/>
  <c r="H27" i="6130"/>
  <c r="H30" i="6130"/>
  <c r="C36" i="6130"/>
  <c r="C40" i="6130"/>
  <c r="C44" i="6130"/>
  <c r="C48" i="6130"/>
  <c r="H24" i="6130"/>
  <c r="H28" i="6130"/>
  <c r="H32" i="6130"/>
  <c r="C37" i="6130"/>
  <c r="C41" i="6130"/>
  <c r="C45" i="6130"/>
  <c r="B26" i="6128"/>
  <c r="H35" i="6128"/>
  <c r="H45" i="6128"/>
  <c r="H8" i="6128"/>
  <c r="H23" i="6128"/>
  <c r="H11" i="6128"/>
  <c r="C19" i="6128"/>
  <c r="C46" i="6128"/>
  <c r="H6" i="6128"/>
  <c r="C38" i="6128"/>
  <c r="H47" i="6128"/>
  <c r="H13" i="6128"/>
  <c r="H15" i="6128"/>
  <c r="H2" i="6128"/>
  <c r="H31" i="6128"/>
  <c r="H39" i="6128"/>
  <c r="C47" i="6128"/>
  <c r="H20" i="6128"/>
  <c r="H37" i="6128"/>
  <c r="H4" i="6128"/>
  <c r="H21" i="6128"/>
  <c r="H12" i="6128"/>
  <c r="H25" i="6128"/>
  <c r="C39" i="6128"/>
  <c r="H49" i="6128"/>
  <c r="H5" i="6128"/>
  <c r="H28" i="6128"/>
  <c r="H43" i="6128"/>
  <c r="H52" i="6128"/>
  <c r="C21" i="6128"/>
  <c r="C25" i="6128"/>
  <c r="H36" i="6128"/>
  <c r="H40" i="6128"/>
  <c r="H44" i="6128"/>
  <c r="H48" i="6128"/>
  <c r="H3" i="6128"/>
  <c r="H10" i="6128"/>
  <c r="H16" i="6128"/>
  <c r="H29" i="6128"/>
  <c r="H17" i="6128"/>
  <c r="C36" i="6128"/>
  <c r="C40" i="6128"/>
  <c r="C44" i="6128"/>
  <c r="C48" i="6128"/>
  <c r="H26" i="6128"/>
  <c r="H30" i="6128"/>
  <c r="H32" i="6128"/>
  <c r="C37" i="6128"/>
  <c r="C41" i="6128"/>
  <c r="C45" i="6128"/>
  <c r="H50" i="6128"/>
  <c r="H14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20" i="6124"/>
  <c r="O21" i="6124"/>
  <c r="C34" i="6124"/>
  <c r="B29" i="6124"/>
  <c r="C20" i="6124"/>
  <c r="B19" i="6124"/>
  <c r="H22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7" i="6122"/>
  <c r="O16" i="6122"/>
  <c r="C34" i="6122"/>
  <c r="B29" i="6122"/>
  <c r="B28" i="6122"/>
  <c r="C20" i="6122"/>
  <c r="B19" i="6122"/>
  <c r="H51" i="6122" s="1"/>
  <c r="C18" i="6122"/>
  <c r="B18" i="6122"/>
  <c r="B17" i="6122"/>
  <c r="C17" i="6122" s="1"/>
  <c r="C16" i="6122"/>
  <c r="C15" i="6122"/>
  <c r="C14" i="6122"/>
  <c r="O12" i="6122"/>
  <c r="B12" i="6122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20" i="6118"/>
  <c r="O18" i="6120"/>
  <c r="O16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2" i="6118"/>
  <c r="O18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B13" i="6122" l="1"/>
  <c r="B28" i="6120"/>
  <c r="B13" i="6124"/>
  <c r="B13" i="6120"/>
  <c r="H40" i="6120"/>
  <c r="C47" i="6120"/>
  <c r="H12" i="6120"/>
  <c r="H48" i="6120"/>
  <c r="H10" i="6120"/>
  <c r="H17" i="6120"/>
  <c r="H14" i="6120"/>
  <c r="C46" i="6120"/>
  <c r="B26" i="6120"/>
  <c r="H2" i="6120"/>
  <c r="H22" i="6120"/>
  <c r="H23" i="6120"/>
  <c r="H5" i="6120"/>
  <c r="H7" i="6120"/>
  <c r="H8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9" i="6120"/>
  <c r="H19" i="6120"/>
  <c r="H42" i="6120"/>
  <c r="H6" i="6120"/>
  <c r="H21" i="6120"/>
  <c r="C25" i="6120"/>
  <c r="H35" i="6120"/>
  <c r="C42" i="6120"/>
  <c r="H3" i="6120"/>
  <c r="H15" i="6120"/>
  <c r="H25" i="6120"/>
  <c r="H13" i="6120"/>
  <c r="H30" i="6120"/>
  <c r="H46" i="6120"/>
  <c r="H6" i="6122"/>
  <c r="H21" i="6122"/>
  <c r="C36" i="6122"/>
  <c r="H43" i="6122"/>
  <c r="H49" i="6122"/>
  <c r="H7" i="6122"/>
  <c r="C22" i="6122"/>
  <c r="C25" i="6122"/>
  <c r="H9" i="6122"/>
  <c r="H16" i="6122"/>
  <c r="H12" i="6122"/>
  <c r="H10" i="6122"/>
  <c r="H17" i="6122"/>
  <c r="H28" i="6124"/>
  <c r="H25" i="6124"/>
  <c r="H7" i="6124"/>
  <c r="C18" i="6124"/>
  <c r="H4" i="6124"/>
  <c r="H36" i="6124"/>
  <c r="H16" i="6124"/>
  <c r="H26" i="6124"/>
  <c r="C40" i="6124"/>
  <c r="H37" i="6124"/>
  <c r="C22" i="6124"/>
  <c r="H42" i="6124"/>
  <c r="H12" i="6124"/>
  <c r="H14" i="6124"/>
  <c r="H8" i="6124"/>
  <c r="H48" i="6124"/>
  <c r="C46" i="6124"/>
  <c r="H32" i="6124"/>
  <c r="H34" i="6124"/>
  <c r="C36" i="6124"/>
  <c r="C42" i="6124"/>
  <c r="C47" i="6124"/>
  <c r="H6" i="6124"/>
  <c r="H11" i="6124"/>
  <c r="H23" i="6124"/>
  <c r="C19" i="6124"/>
  <c r="C24" i="6124"/>
  <c r="H38" i="6124"/>
  <c r="H44" i="6124"/>
  <c r="H49" i="6124"/>
  <c r="H29" i="6124"/>
  <c r="C48" i="6124"/>
  <c r="H18" i="6124"/>
  <c r="C38" i="6124"/>
  <c r="H2" i="6124"/>
  <c r="H3" i="6124"/>
  <c r="C25" i="6124"/>
  <c r="H19" i="6124"/>
  <c r="H40" i="6124"/>
  <c r="H45" i="6124"/>
  <c r="H50" i="6124"/>
  <c r="H10" i="6124"/>
  <c r="H9" i="6124"/>
  <c r="H24" i="6124"/>
  <c r="H15" i="6124"/>
  <c r="H30" i="6124"/>
  <c r="H17" i="6124"/>
  <c r="H21" i="6124"/>
  <c r="C39" i="6124"/>
  <c r="C44" i="6124"/>
  <c r="H5" i="6124"/>
  <c r="H13" i="6124"/>
  <c r="C43" i="6124"/>
  <c r="C21" i="6124"/>
  <c r="B26" i="6124"/>
  <c r="H41" i="6124"/>
  <c r="H46" i="6124"/>
  <c r="H52" i="6124"/>
  <c r="H31" i="6124"/>
  <c r="H33" i="6124"/>
  <c r="H20" i="6124"/>
  <c r="C37" i="6124"/>
  <c r="C41" i="6124"/>
  <c r="C45" i="6124"/>
  <c r="H51" i="6124"/>
  <c r="H27" i="6124"/>
  <c r="C23" i="6124"/>
  <c r="B27" i="6124"/>
  <c r="H35" i="6124"/>
  <c r="H39" i="6124"/>
  <c r="H43" i="6124"/>
  <c r="H47" i="6124"/>
  <c r="H4" i="6118"/>
  <c r="C18" i="6118"/>
  <c r="H25" i="6122"/>
  <c r="H29" i="6122"/>
  <c r="H37" i="6122"/>
  <c r="C43" i="6122"/>
  <c r="H4" i="6122"/>
  <c r="H19" i="6122"/>
  <c r="C19" i="6122"/>
  <c r="C24" i="6122"/>
  <c r="C38" i="6122"/>
  <c r="C44" i="6122"/>
  <c r="H52" i="6122"/>
  <c r="H2" i="6122"/>
  <c r="H5" i="6122"/>
  <c r="H22" i="6122"/>
  <c r="H26" i="6122"/>
  <c r="H30" i="6122"/>
  <c r="H39" i="6122"/>
  <c r="H45" i="6122"/>
  <c r="H31" i="6122"/>
  <c r="C39" i="6122"/>
  <c r="C46" i="6122"/>
  <c r="H20" i="6122"/>
  <c r="H23" i="6122"/>
  <c r="H27" i="6122"/>
  <c r="H34" i="6122"/>
  <c r="C40" i="6122"/>
  <c r="H47" i="6122"/>
  <c r="H8" i="6122"/>
  <c r="H15" i="6122"/>
  <c r="H18" i="6122"/>
  <c r="C21" i="6122"/>
  <c r="B26" i="6122"/>
  <c r="H41" i="6122"/>
  <c r="C47" i="6122"/>
  <c r="H3" i="6122"/>
  <c r="H14" i="6122"/>
  <c r="H13" i="6122"/>
  <c r="H11" i="6122"/>
  <c r="H35" i="6122"/>
  <c r="C42" i="6122"/>
  <c r="C48" i="6122"/>
  <c r="H36" i="6122"/>
  <c r="H40" i="6122"/>
  <c r="H44" i="6122"/>
  <c r="H48" i="6122"/>
  <c r="H24" i="6122"/>
  <c r="H28" i="6122"/>
  <c r="H32" i="6122"/>
  <c r="C37" i="6122"/>
  <c r="C41" i="6122"/>
  <c r="C45" i="6122"/>
  <c r="H50" i="6122"/>
  <c r="C23" i="6122"/>
  <c r="B27" i="6122"/>
  <c r="H33" i="6122"/>
  <c r="H38" i="6122"/>
  <c r="H42" i="6122"/>
  <c r="H46" i="6122"/>
  <c r="B13" i="6118"/>
  <c r="C19" i="6118"/>
  <c r="H19" i="6118"/>
  <c r="H45" i="6118"/>
  <c r="H40" i="6118"/>
  <c r="H10" i="6118"/>
  <c r="H27" i="6118"/>
  <c r="C38" i="6118"/>
  <c r="H36" i="6118"/>
  <c r="H48" i="6118"/>
  <c r="H22" i="6118"/>
  <c r="H6" i="6118"/>
  <c r="H25" i="6118"/>
  <c r="H33" i="6118"/>
  <c r="H12" i="6118"/>
  <c r="C25" i="6118"/>
  <c r="H2" i="6118"/>
  <c r="H3" i="6118"/>
  <c r="H16" i="6118"/>
  <c r="H23" i="6118"/>
  <c r="H49" i="6118"/>
  <c r="C21" i="6118"/>
  <c r="C48" i="6118"/>
  <c r="H14" i="6118"/>
  <c r="H18" i="6118"/>
  <c r="H17" i="6118"/>
  <c r="H9" i="6118"/>
  <c r="B26" i="6118"/>
  <c r="H43" i="6118"/>
  <c r="H13" i="6118"/>
  <c r="H38" i="6118"/>
  <c r="C42" i="6118"/>
  <c r="H50" i="6118"/>
  <c r="H39" i="6118"/>
  <c r="C24" i="6118"/>
  <c r="C44" i="6118"/>
  <c r="H11" i="6118"/>
  <c r="H15" i="6118"/>
  <c r="C46" i="6118"/>
  <c r="H41" i="6118"/>
  <c r="H28" i="6118"/>
  <c r="H31" i="6118"/>
  <c r="H26" i="6118"/>
  <c r="H29" i="6118"/>
  <c r="B27" i="6118"/>
  <c r="H7" i="6118"/>
  <c r="H21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4" i="6120"/>
  <c r="H16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4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<sst xmlns="http://schemas.openxmlformats.org/spreadsheetml/2006/main" count="2367" uniqueCount="210">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</sst>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全体!$L$2:$L$89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-11.904761904761905</c:v>
                </c:pt>
                <c:pt idx="1">
                  <c:v>0</c:v>
                </c:pt>
                <c:pt idx="2">
                  <c:v>11.494252873563218</c:v>
                </c:pt>
                <c:pt idx="3">
                  <c:v>-13.333333333333334</c:v>
                </c:pt>
                <c:pt idx="4">
                  <c:v>-60.606060606060609</c:v>
                </c:pt>
                <c:pt idx="5">
                  <c:v>88.888888888888886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35</c:v>
                </c:pt>
                <c:pt idx="4">
                  <c:v>31</c:v>
                </c:pt>
                <c:pt idx="5">
                  <c:v>15</c:v>
                </c:pt>
                <c:pt idx="6">
                  <c:v>14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1661.5384615384614</c:v>
                </c:pt>
                <c:pt idx="1">
                  <c:v>2385.7142857142858</c:v>
                </c:pt>
                <c:pt idx="2">
                  <c:v>-1335.7142857142858</c:v>
                </c:pt>
                <c:pt idx="3">
                  <c:v>-7246.1538461538457</c:v>
                </c:pt>
                <c:pt idx="4">
                  <c:v>-666.66666666666663</c:v>
                </c:pt>
                <c:pt idx="5">
                  <c:v>9514.2857142857138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ともき!$L$2:$L$7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1100</c:v>
                </c:pt>
                <c:pt idx="1">
                  <c:v>200</c:v>
                </c:pt>
                <c:pt idx="2">
                  <c:v>-7880</c:v>
                </c:pt>
                <c:pt idx="3">
                  <c:v>3540</c:v>
                </c:pt>
                <c:pt idx="4">
                  <c:v>1100</c:v>
                </c:pt>
                <c:pt idx="5">
                  <c:v>-6275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だいち!$L$2:$L$22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1125</c:v>
                </c:pt>
                <c:pt idx="1">
                  <c:v>4065</c:v>
                </c:pt>
                <c:pt idx="2">
                  <c:v>3535</c:v>
                </c:pt>
                <c:pt idx="3">
                  <c:v>4422.2222222222226</c:v>
                </c:pt>
                <c:pt idx="4">
                  <c:v>-2275</c:v>
                </c:pt>
                <c:pt idx="5">
                  <c:v>-3020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12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-5062.5</c:v>
                </c:pt>
                <c:pt idx="1">
                  <c:v>-2512.5</c:v>
                </c:pt>
                <c:pt idx="2">
                  <c:v>-8150</c:v>
                </c:pt>
                <c:pt idx="3">
                  <c:v>3433.3333333333335</c:v>
                </c:pt>
                <c:pt idx="4">
                  <c:v>133.33333333333334</c:v>
                </c:pt>
                <c:pt idx="5">
                  <c:v>-2125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まっつん!$L$2:$L$24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1523.8095238095239</c:v>
                </c:pt>
                <c:pt idx="1">
                  <c:v>-1927.2727272727273</c:v>
                </c:pt>
                <c:pt idx="2">
                  <c:v>-9.0909090909090917</c:v>
                </c:pt>
                <c:pt idx="3">
                  <c:v>-835</c:v>
                </c:pt>
                <c:pt idx="4">
                  <c:v>-900</c:v>
                </c:pt>
                <c:pt idx="5">
                  <c:v>-300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5</c:v>
                </c:pt>
                <c:pt idx="2">
                  <c:v>12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たかの!$L$2:$L$10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-4950</c:v>
                </c:pt>
                <c:pt idx="1">
                  <c:v>-1787.5</c:v>
                </c:pt>
                <c:pt idx="2">
                  <c:v>13250</c:v>
                </c:pt>
                <c:pt idx="3">
                  <c:v>-933.33333333333337</c:v>
                </c:pt>
                <c:pt idx="4">
                  <c:v>7400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7</c:v>
                </c:pt>
                <c:pt idx="2">
                  <c:v>3</c:v>
                </c:pt>
                <c:pt idx="3">
                  <c:v>0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-280</c:v>
                </c:pt>
                <c:pt idx="1">
                  <c:v>-7780</c:v>
                </c:pt>
                <c:pt idx="2">
                  <c:v>-1860</c:v>
                </c:pt>
                <c:pt idx="3">
                  <c:v>2500</c:v>
                </c:pt>
                <c:pt idx="4">
                  <c:v>2950</c:v>
                </c:pt>
                <c:pt idx="5">
                  <c:v>3633.3333333333335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68.2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8.9000000000000057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-41.199999999999996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2-4A69-A5CE-DD69FF6FFA1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ただ2!$A$1:$B$2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ただ</c:v>
                  </c:pt>
                  <c:pt idx="1">
                    <c:v>ただ</c:v>
                  </c:pt>
                </c:lvl>
              </c:multiLvlStrCache>
            </c:multiLvlStrRef>
          </c:xVal>
          <c:yVal>
            <c:numRef>
              <c:f>ただ2!$A$8:$B$8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-72.899999999999991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EFA-4CA9-9B12-18BD059DB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81784197001252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ただ2!$C$3:$C$8</c:f>
              <c:numCache>
                <c:formatCode>\+0.0;\-0.0;\±0</c:formatCode>
                <c:ptCount val="6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20894735287500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ただ2!$D$3:$D$8</c:f>
              <c:numCache>
                <c:formatCode>0.00\ "位"</c:formatCode>
                <c:ptCount val="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ただ2!$E$3:$E$8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ただ2!$F$3:$F$8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ただ2!$G$3:$G$8</c:f>
              <c:numCache>
                <c:formatCode>0.0%</c:formatCode>
                <c:ptCount val="6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23744292237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ただ2!$H$3:$H$8</c:f>
              <c:numCache>
                <c:formatCode>0.0%</c:formatCode>
                <c:ptCount val="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949771689497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ただ2!$I$3:$I$8</c:f>
              <c:numCache>
                <c:formatCode>0</c:formatCode>
                <c:ptCount val="6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52.6041666666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ただ2!$J$3:$J$8</c:f>
              <c:numCache>
                <c:formatCode>0</c:formatCode>
                <c:ptCount val="6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64.8648648648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195402298850574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ただ2!$L$3:$L$8</c:f>
              <c:numCache>
                <c:formatCode>0.0%</c:formatCode>
                <c:ptCount val="6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6362252663622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ただ2!$M$3:$M$8</c:f>
              <c:numCache>
                <c:formatCode>0.0%</c:formatCode>
                <c:ptCount val="6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08980213089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ただ2!$N$3:$N$8</c:f>
              <c:numCache>
                <c:formatCode>0.0%</c:formatCode>
                <c:ptCount val="6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ただ2!$O$3:$O$8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1428571428571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ただ2!$P$3:$P$8</c:f>
              <c:numCache>
                <c:formatCode>0.0%</c:formatCode>
                <c:ptCount val="6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87</v>
      </c>
    </row>
    <row r="2" spans="1:2" x14ac:dyDescent="0.45">
      <c r="A2" t="s">
        <v>164</v>
      </c>
      <c r="B2">
        <v>14</v>
      </c>
    </row>
    <row r="3" spans="1:2" x14ac:dyDescent="0.45">
      <c r="A3" t="s">
        <v>189</v>
      </c>
      <c r="B3">
        <v>5</v>
      </c>
    </row>
    <row r="4" spans="1:2" x14ac:dyDescent="0.45">
      <c r="A4" t="s">
        <v>126</v>
      </c>
      <c r="B4">
        <v>20</v>
      </c>
    </row>
    <row r="5" spans="1:2" x14ac:dyDescent="0.45">
      <c r="A5" t="s">
        <v>194</v>
      </c>
      <c r="B5">
        <v>8</v>
      </c>
    </row>
    <row r="6" spans="1:2" x14ac:dyDescent="0.45">
      <c r="A6" t="s">
        <v>192</v>
      </c>
      <c r="B6">
        <v>22</v>
      </c>
    </row>
    <row r="7" spans="1:2" x14ac:dyDescent="0.45">
      <c r="A7" t="s">
        <v>193</v>
      </c>
      <c r="B7">
        <v>8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>
      <selection activeCell="B10" sqref="A3:B10"/>
    </sheetView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51" t="s">
        <v>9</v>
      </c>
      <c r="C1" s="152"/>
      <c r="D1" s="149" t="s">
        <v>6</v>
      </c>
      <c r="E1" s="150"/>
      <c r="F1" s="149" t="s">
        <v>7</v>
      </c>
      <c r="G1" s="150"/>
      <c r="H1" s="151" t="s">
        <v>188</v>
      </c>
      <c r="I1" s="152"/>
      <c r="J1" s="149" t="s">
        <v>15</v>
      </c>
      <c r="K1" s="150"/>
      <c r="L1" s="149" t="s">
        <v>14</v>
      </c>
      <c r="M1" s="150"/>
      <c r="N1" s="149" t="s">
        <v>150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181</v>
      </c>
      <c r="AK1" s="150"/>
    </row>
    <row r="2" spans="1:37" x14ac:dyDescent="0.45">
      <c r="A2" s="38" t="s">
        <v>149</v>
      </c>
      <c r="B2" s="147">
        <v>0.10600383799146899</v>
      </c>
      <c r="C2" s="148"/>
      <c r="D2" s="153"/>
      <c r="E2" s="154"/>
      <c r="F2" s="153"/>
      <c r="G2" s="154"/>
      <c r="H2" s="147">
        <v>0.99997619177459107</v>
      </c>
      <c r="I2" s="148"/>
      <c r="J2" s="147">
        <v>0.99832196664365247</v>
      </c>
      <c r="K2" s="148"/>
      <c r="L2" s="147">
        <v>0.75160056092193861</v>
      </c>
      <c r="M2" s="148"/>
      <c r="N2" s="147">
        <v>0.73755939091283651</v>
      </c>
      <c r="O2" s="148"/>
      <c r="P2" s="147">
        <v>0.96451453584073388</v>
      </c>
      <c r="Q2" s="148"/>
      <c r="R2" s="147">
        <v>0.41767498529372932</v>
      </c>
      <c r="S2" s="148"/>
      <c r="T2" s="147">
        <v>-1.7815573081440012E-2</v>
      </c>
      <c r="U2" s="148"/>
      <c r="V2" s="147">
        <v>-0.90071396315528074</v>
      </c>
      <c r="W2" s="148"/>
      <c r="X2" s="147">
        <v>0.99954712410412894</v>
      </c>
      <c r="Y2" s="148"/>
      <c r="Z2" s="147">
        <v>-0.86382990333076359</v>
      </c>
      <c r="AA2" s="148"/>
      <c r="AB2" s="147">
        <v>-0.68602210395799623</v>
      </c>
      <c r="AC2" s="148"/>
      <c r="AD2" s="147">
        <v>0.83187362170249723</v>
      </c>
      <c r="AE2" s="148"/>
      <c r="AF2" s="147">
        <v>0.99300658584756707</v>
      </c>
      <c r="AG2" s="148"/>
      <c r="AH2" s="147">
        <v>0.7405544046918443</v>
      </c>
      <c r="AI2" s="148"/>
      <c r="AJ2" s="147">
        <v>0.75684917538401453</v>
      </c>
      <c r="AK2" s="148"/>
    </row>
    <row r="3" spans="1:37" x14ac:dyDescent="0.45">
      <c r="A3" s="40">
        <v>1</v>
      </c>
      <c r="B3" s="43" t="s">
        <v>139</v>
      </c>
      <c r="C3" s="117">
        <v>29</v>
      </c>
      <c r="D3" s="41" t="s">
        <v>126</v>
      </c>
      <c r="E3" s="42">
        <v>287.2</v>
      </c>
      <c r="F3" s="43" t="s">
        <v>126</v>
      </c>
      <c r="G3" s="62">
        <v>14.36</v>
      </c>
      <c r="H3" s="43" t="s">
        <v>205</v>
      </c>
      <c r="I3" s="62">
        <v>10.975000000000001</v>
      </c>
      <c r="J3" s="43" t="s">
        <v>126</v>
      </c>
      <c r="K3" s="44">
        <v>1.75</v>
      </c>
      <c r="L3" s="43" t="s">
        <v>193</v>
      </c>
      <c r="M3" s="45">
        <v>0.625</v>
      </c>
      <c r="N3" s="43" t="s">
        <v>126</v>
      </c>
      <c r="O3" s="45">
        <v>0.2</v>
      </c>
      <c r="P3" s="43" t="s">
        <v>126</v>
      </c>
      <c r="Q3" s="46">
        <v>0.37419354838709679</v>
      </c>
      <c r="R3" s="43" t="s">
        <v>196</v>
      </c>
      <c r="S3" s="46">
        <v>0.11764705882352941</v>
      </c>
      <c r="T3" s="43" t="s">
        <v>164</v>
      </c>
      <c r="U3" s="47">
        <v>11479.310344827587</v>
      </c>
      <c r="V3" s="43" t="s">
        <v>196</v>
      </c>
      <c r="W3" s="47">
        <v>-4400</v>
      </c>
      <c r="X3" s="43" t="s">
        <v>126</v>
      </c>
      <c r="Y3" s="45">
        <v>0</v>
      </c>
      <c r="Z3" s="43" t="s">
        <v>194</v>
      </c>
      <c r="AA3" s="46">
        <v>0.34615384615384615</v>
      </c>
      <c r="AB3" s="43" t="s">
        <v>193</v>
      </c>
      <c r="AC3" s="46">
        <v>0.4</v>
      </c>
      <c r="AD3" s="43" t="s">
        <v>205</v>
      </c>
      <c r="AE3" s="46">
        <v>0.6</v>
      </c>
      <c r="AF3" s="43" t="s">
        <v>126</v>
      </c>
      <c r="AG3" s="46">
        <v>0.5625</v>
      </c>
      <c r="AH3" s="43" t="s">
        <v>189</v>
      </c>
      <c r="AI3" s="46">
        <v>0.7</v>
      </c>
      <c r="AJ3" s="43" t="s">
        <v>139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22</v>
      </c>
      <c r="D4" s="49" t="s">
        <v>193</v>
      </c>
      <c r="E4" s="50">
        <v>96.800000000000011</v>
      </c>
      <c r="F4" s="51" t="s">
        <v>193</v>
      </c>
      <c r="G4" s="63">
        <v>12.100000000000001</v>
      </c>
      <c r="H4" s="51" t="s">
        <v>126</v>
      </c>
      <c r="I4" s="63">
        <v>4.0906084656084643</v>
      </c>
      <c r="J4" s="51" t="s">
        <v>193</v>
      </c>
      <c r="K4" s="52">
        <v>1.75</v>
      </c>
      <c r="L4" s="51" t="s">
        <v>126</v>
      </c>
      <c r="M4" s="53">
        <v>0.45</v>
      </c>
      <c r="N4" s="51" t="s">
        <v>196</v>
      </c>
      <c r="O4" s="53">
        <v>0.2</v>
      </c>
      <c r="P4" s="51" t="s">
        <v>193</v>
      </c>
      <c r="Q4" s="54">
        <v>0.35</v>
      </c>
      <c r="R4" s="51" t="s">
        <v>126</v>
      </c>
      <c r="S4" s="54">
        <v>0.12903225806451613</v>
      </c>
      <c r="T4" s="51" t="s">
        <v>189</v>
      </c>
      <c r="U4" s="55">
        <v>10010</v>
      </c>
      <c r="V4" s="51" t="s">
        <v>189</v>
      </c>
      <c r="W4" s="55">
        <v>-6866.666666666667</v>
      </c>
      <c r="X4" s="51" t="s">
        <v>189</v>
      </c>
      <c r="Y4" s="53">
        <v>0</v>
      </c>
      <c r="Z4" s="51" t="s">
        <v>164</v>
      </c>
      <c r="AA4" s="54">
        <v>0.30630630630630629</v>
      </c>
      <c r="AB4" s="51" t="s">
        <v>205</v>
      </c>
      <c r="AC4" s="54">
        <v>0.34210526315789475</v>
      </c>
      <c r="AD4" s="51" t="s">
        <v>126</v>
      </c>
      <c r="AE4" s="54">
        <v>0.57894736842105265</v>
      </c>
      <c r="AF4" s="51" t="s">
        <v>189</v>
      </c>
      <c r="AG4" s="54">
        <v>0.5</v>
      </c>
      <c r="AH4" s="51" t="s">
        <v>126</v>
      </c>
      <c r="AI4" s="54">
        <v>0.44827586206896552</v>
      </c>
      <c r="AJ4" s="51" t="s">
        <v>193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20</v>
      </c>
      <c r="D5" s="49" t="s">
        <v>164</v>
      </c>
      <c r="E5" s="50">
        <v>15.100000000000001</v>
      </c>
      <c r="F5" s="51" t="s">
        <v>164</v>
      </c>
      <c r="G5" s="63">
        <v>1.0785714285714287</v>
      </c>
      <c r="H5" s="51" t="s">
        <v>193</v>
      </c>
      <c r="I5" s="63">
        <v>1.2488888888888898</v>
      </c>
      <c r="J5" s="51" t="s">
        <v>164</v>
      </c>
      <c r="K5" s="52">
        <v>1.9285714285714286</v>
      </c>
      <c r="L5" s="51" t="s">
        <v>164</v>
      </c>
      <c r="M5" s="53">
        <v>0.42857142857142855</v>
      </c>
      <c r="N5" s="51" t="s">
        <v>192</v>
      </c>
      <c r="O5" s="53">
        <v>0.27272727272727271</v>
      </c>
      <c r="P5" s="51" t="s">
        <v>205</v>
      </c>
      <c r="Q5" s="54">
        <v>0.31578947368421051</v>
      </c>
      <c r="R5" s="51" t="s">
        <v>193</v>
      </c>
      <c r="S5" s="54">
        <v>0.13333333333333333</v>
      </c>
      <c r="T5" s="51" t="s">
        <v>126</v>
      </c>
      <c r="U5" s="55">
        <v>9293.1034482758623</v>
      </c>
      <c r="V5" s="51" t="s">
        <v>164</v>
      </c>
      <c r="W5" s="55">
        <v>-7077.7777777777774</v>
      </c>
      <c r="X5" s="51" t="s">
        <v>196</v>
      </c>
      <c r="Y5" s="53">
        <v>0</v>
      </c>
      <c r="Z5" s="51" t="s">
        <v>189</v>
      </c>
      <c r="AA5" s="54">
        <v>0.2857142857142857</v>
      </c>
      <c r="AB5" s="51" t="s">
        <v>192</v>
      </c>
      <c r="AC5" s="54">
        <v>0.21818181818181817</v>
      </c>
      <c r="AD5" s="51" t="s">
        <v>193</v>
      </c>
      <c r="AE5" s="54">
        <v>0.53846153846153844</v>
      </c>
      <c r="AF5" s="51" t="s">
        <v>139</v>
      </c>
      <c r="AG5" s="54">
        <v>0.37142857142857144</v>
      </c>
      <c r="AH5" s="51" t="s">
        <v>193</v>
      </c>
      <c r="AI5" s="54">
        <v>0.42857142857142855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14</v>
      </c>
      <c r="D6" s="49" t="s">
        <v>139</v>
      </c>
      <c r="E6" s="50">
        <v>8.8817841970012523E-16</v>
      </c>
      <c r="F6" s="51" t="s">
        <v>139</v>
      </c>
      <c r="G6" s="63">
        <v>1.0208947352875003E-17</v>
      </c>
      <c r="H6" s="51" t="s">
        <v>139</v>
      </c>
      <c r="I6" s="63">
        <v>0</v>
      </c>
      <c r="J6" s="51" t="s">
        <v>192</v>
      </c>
      <c r="K6" s="52">
        <v>1.9545454545454546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139</v>
      </c>
      <c r="Q6" s="54">
        <v>0.29223744292237441</v>
      </c>
      <c r="R6" s="51" t="s">
        <v>192</v>
      </c>
      <c r="S6" s="54">
        <v>0.1393939393939394</v>
      </c>
      <c r="T6" s="51" t="s">
        <v>193</v>
      </c>
      <c r="U6" s="55">
        <v>9185.7142857142862</v>
      </c>
      <c r="V6" s="51" t="s">
        <v>192</v>
      </c>
      <c r="W6" s="55">
        <v>-7804.347826086957</v>
      </c>
      <c r="X6" s="51" t="s">
        <v>164</v>
      </c>
      <c r="Y6" s="53">
        <v>7.1428571428571425E-2</v>
      </c>
      <c r="Z6" s="51" t="s">
        <v>192</v>
      </c>
      <c r="AA6" s="54">
        <v>0.28484848484848485</v>
      </c>
      <c r="AB6" s="51" t="s">
        <v>139</v>
      </c>
      <c r="AC6" s="54">
        <v>0.21308980213089801</v>
      </c>
      <c r="AD6" s="51" t="s">
        <v>192</v>
      </c>
      <c r="AE6" s="54">
        <v>0.53191489361702127</v>
      </c>
      <c r="AF6" s="51" t="s">
        <v>164</v>
      </c>
      <c r="AG6" s="54">
        <v>0.34782608695652173</v>
      </c>
      <c r="AH6" s="51" t="s">
        <v>139</v>
      </c>
      <c r="AI6" s="54">
        <v>0.41666666666666669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194</v>
      </c>
      <c r="C7" s="118">
        <v>8</v>
      </c>
      <c r="D7" s="49" t="s">
        <v>192</v>
      </c>
      <c r="E7" s="50">
        <v>-46.699999999999989</v>
      </c>
      <c r="F7" s="51" t="s">
        <v>192</v>
      </c>
      <c r="G7" s="63">
        <v>-2.1227272727272721</v>
      </c>
      <c r="H7" s="51" t="s">
        <v>164</v>
      </c>
      <c r="I7" s="63">
        <v>-2.1700000000000017</v>
      </c>
      <c r="J7" s="51" t="s">
        <v>139</v>
      </c>
      <c r="K7" s="52">
        <v>2</v>
      </c>
      <c r="L7" s="51" t="s">
        <v>192</v>
      </c>
      <c r="M7" s="53">
        <v>0.31818181818181818</v>
      </c>
      <c r="N7" s="51" t="s">
        <v>164</v>
      </c>
      <c r="O7" s="53">
        <v>0.35714285714285715</v>
      </c>
      <c r="P7" s="51" t="s">
        <v>192</v>
      </c>
      <c r="Q7" s="54">
        <v>0.27272727272727271</v>
      </c>
      <c r="R7" s="51" t="s">
        <v>194</v>
      </c>
      <c r="S7" s="54">
        <v>0.15384615384615385</v>
      </c>
      <c r="T7" s="51" t="s">
        <v>139</v>
      </c>
      <c r="U7" s="55">
        <v>8952.6041666666661</v>
      </c>
      <c r="V7" s="51" t="s">
        <v>139</v>
      </c>
      <c r="W7" s="55">
        <v>-7964.864864864865</v>
      </c>
      <c r="X7" s="51" t="s">
        <v>192</v>
      </c>
      <c r="Y7" s="53">
        <v>9.0909090909090912E-2</v>
      </c>
      <c r="Z7" s="51" t="s">
        <v>139</v>
      </c>
      <c r="AA7" s="54">
        <v>0.26636225266362251</v>
      </c>
      <c r="AB7" s="51" t="s">
        <v>164</v>
      </c>
      <c r="AC7" s="54">
        <v>0.2072072072072072</v>
      </c>
      <c r="AD7" s="51" t="s">
        <v>139</v>
      </c>
      <c r="AE7" s="54">
        <v>0.52</v>
      </c>
      <c r="AF7" s="51" t="s">
        <v>192</v>
      </c>
      <c r="AG7" s="54">
        <v>0.33333333333333331</v>
      </c>
      <c r="AH7" s="51" t="s">
        <v>192</v>
      </c>
      <c r="AI7" s="54">
        <v>0.4</v>
      </c>
      <c r="AJ7" s="51" t="s">
        <v>192</v>
      </c>
      <c r="AK7" s="58">
        <v>88500</v>
      </c>
    </row>
    <row r="8" spans="1:37" x14ac:dyDescent="0.45">
      <c r="A8" s="48">
        <v>6</v>
      </c>
      <c r="B8" s="51" t="s">
        <v>193</v>
      </c>
      <c r="C8" s="118">
        <v>8</v>
      </c>
      <c r="D8" s="49" t="s">
        <v>189</v>
      </c>
      <c r="E8" s="50">
        <v>-57.899999999999991</v>
      </c>
      <c r="F8" s="51" t="s">
        <v>189</v>
      </c>
      <c r="G8" s="63">
        <v>-11.579999999999998</v>
      </c>
      <c r="H8" s="51" t="s">
        <v>192</v>
      </c>
      <c r="I8" s="63">
        <v>-3.6560846560846563</v>
      </c>
      <c r="J8" s="51" t="s">
        <v>189</v>
      </c>
      <c r="K8" s="52">
        <v>2.2000000000000002</v>
      </c>
      <c r="L8" s="51" t="s">
        <v>189</v>
      </c>
      <c r="M8" s="53">
        <v>0.2</v>
      </c>
      <c r="N8" s="51" t="s">
        <v>193</v>
      </c>
      <c r="O8" s="53">
        <v>0.375</v>
      </c>
      <c r="P8" s="51" t="s">
        <v>164</v>
      </c>
      <c r="Q8" s="54">
        <v>0.26126126126126126</v>
      </c>
      <c r="R8" s="51" t="s">
        <v>139</v>
      </c>
      <c r="S8" s="54">
        <v>0.16894977168949771</v>
      </c>
      <c r="T8" s="51" t="s">
        <v>192</v>
      </c>
      <c r="U8" s="55">
        <v>8211.1111111111113</v>
      </c>
      <c r="V8" s="51" t="s">
        <v>193</v>
      </c>
      <c r="W8" s="55">
        <v>-8237.5</v>
      </c>
      <c r="X8" s="51" t="s">
        <v>139</v>
      </c>
      <c r="Y8" s="53">
        <v>9.1954022988505746E-2</v>
      </c>
      <c r="Z8" s="51" t="s">
        <v>126</v>
      </c>
      <c r="AA8" s="54">
        <v>0.24516129032258063</v>
      </c>
      <c r="AB8" s="51" t="s">
        <v>126</v>
      </c>
      <c r="AC8" s="54">
        <v>0.20645161290322581</v>
      </c>
      <c r="AD8" s="51" t="s">
        <v>164</v>
      </c>
      <c r="AE8" s="54">
        <v>0.5</v>
      </c>
      <c r="AF8" s="51" t="s">
        <v>193</v>
      </c>
      <c r="AG8" s="54">
        <v>0.33333333333333331</v>
      </c>
      <c r="AH8" s="51" t="s">
        <v>194</v>
      </c>
      <c r="AI8" s="54">
        <v>0.36363636363636365</v>
      </c>
      <c r="AJ8" s="51" t="s">
        <v>164</v>
      </c>
      <c r="AK8" s="58">
        <v>73600</v>
      </c>
    </row>
    <row r="9" spans="1:37" x14ac:dyDescent="0.45">
      <c r="A9" s="48">
        <v>7</v>
      </c>
      <c r="B9" s="51" t="s">
        <v>189</v>
      </c>
      <c r="C9" s="118">
        <v>5</v>
      </c>
      <c r="D9" s="49" t="s">
        <v>196</v>
      </c>
      <c r="E9" s="50">
        <v>-64.400000000000006</v>
      </c>
      <c r="F9" s="51" t="s">
        <v>196</v>
      </c>
      <c r="G9" s="63">
        <v>-12.88</v>
      </c>
      <c r="H9" s="51" t="s">
        <v>189</v>
      </c>
      <c r="I9" s="63">
        <v>-5.3166666666666664</v>
      </c>
      <c r="J9" s="51" t="s">
        <v>196</v>
      </c>
      <c r="K9" s="52">
        <v>2.2000000000000002</v>
      </c>
      <c r="L9" s="51" t="s">
        <v>205</v>
      </c>
      <c r="M9" s="53">
        <v>0.2</v>
      </c>
      <c r="N9" s="51" t="s">
        <v>189</v>
      </c>
      <c r="O9" s="53">
        <v>0.4</v>
      </c>
      <c r="P9" s="51" t="s">
        <v>189</v>
      </c>
      <c r="Q9" s="54">
        <v>0.23809523809523808</v>
      </c>
      <c r="R9" s="51" t="s">
        <v>205</v>
      </c>
      <c r="S9" s="54">
        <v>0.23684210526315788</v>
      </c>
      <c r="T9" s="51" t="s">
        <v>205</v>
      </c>
      <c r="U9" s="55">
        <v>7891.666666666667</v>
      </c>
      <c r="V9" s="51" t="s">
        <v>205</v>
      </c>
      <c r="W9" s="55">
        <v>-8955.5555555555547</v>
      </c>
      <c r="X9" s="51" t="s">
        <v>205</v>
      </c>
      <c r="Y9" s="53">
        <v>0.2</v>
      </c>
      <c r="Z9" s="51" t="s">
        <v>196</v>
      </c>
      <c r="AA9" s="54">
        <v>0.23529411764705882</v>
      </c>
      <c r="AB9" s="51" t="s">
        <v>196</v>
      </c>
      <c r="AC9" s="54">
        <v>0.17647058823529413</v>
      </c>
      <c r="AD9" s="51" t="s">
        <v>189</v>
      </c>
      <c r="AE9" s="54">
        <v>0.5</v>
      </c>
      <c r="AF9" s="51" t="s">
        <v>194</v>
      </c>
      <c r="AG9" s="54">
        <v>0.25</v>
      </c>
      <c r="AH9" s="51" t="s">
        <v>164</v>
      </c>
      <c r="AI9" s="54">
        <v>0.34482758620689657</v>
      </c>
      <c r="AJ9" s="51" t="s">
        <v>189</v>
      </c>
      <c r="AK9" s="58">
        <v>51000</v>
      </c>
    </row>
    <row r="10" spans="1:37" x14ac:dyDescent="0.45">
      <c r="A10" s="48">
        <v>8</v>
      </c>
      <c r="B10" s="51" t="s">
        <v>196</v>
      </c>
      <c r="C10" s="118">
        <v>5</v>
      </c>
      <c r="D10" s="49" t="s">
        <v>205</v>
      </c>
      <c r="E10" s="50">
        <v>-72.899999999999991</v>
      </c>
      <c r="F10" s="51" t="s">
        <v>205</v>
      </c>
      <c r="G10" s="63">
        <v>-14.579999999999998</v>
      </c>
      <c r="H10" s="51" t="s">
        <v>196</v>
      </c>
      <c r="I10" s="63">
        <v>-8.5666666666666682</v>
      </c>
      <c r="J10" s="51" t="s">
        <v>194</v>
      </c>
      <c r="K10" s="52">
        <v>2.5</v>
      </c>
      <c r="L10" s="51" t="s">
        <v>194</v>
      </c>
      <c r="M10" s="53">
        <v>0</v>
      </c>
      <c r="N10" s="51" t="s">
        <v>194</v>
      </c>
      <c r="O10" s="53">
        <v>0.5</v>
      </c>
      <c r="P10" s="51" t="s">
        <v>194</v>
      </c>
      <c r="Q10" s="54">
        <v>0.21153846153846154</v>
      </c>
      <c r="R10" s="51" t="s">
        <v>164</v>
      </c>
      <c r="S10" s="54">
        <v>0.24324324324324326</v>
      </c>
      <c r="T10" s="51" t="s">
        <v>194</v>
      </c>
      <c r="U10" s="55">
        <v>5672.727272727273</v>
      </c>
      <c r="V10" s="51" t="s">
        <v>194</v>
      </c>
      <c r="W10" s="55">
        <v>-9187.5</v>
      </c>
      <c r="X10" s="51" t="s">
        <v>194</v>
      </c>
      <c r="Y10" s="53">
        <v>0.25</v>
      </c>
      <c r="Z10" s="51" t="s">
        <v>193</v>
      </c>
      <c r="AA10" s="54">
        <v>0.21666666666666667</v>
      </c>
      <c r="AB10" s="51" t="s">
        <v>194</v>
      </c>
      <c r="AC10" s="54">
        <v>7.6923076923076927E-2</v>
      </c>
      <c r="AD10" s="51" t="s">
        <v>196</v>
      </c>
      <c r="AE10" s="54">
        <v>0.5</v>
      </c>
      <c r="AF10" s="51" t="s">
        <v>205</v>
      </c>
      <c r="AG10" s="54">
        <v>0.23076923076923078</v>
      </c>
      <c r="AH10" s="51" t="s">
        <v>196</v>
      </c>
      <c r="AI10" s="54">
        <v>0.33333333333333331</v>
      </c>
      <c r="AJ10" s="51" t="s">
        <v>194</v>
      </c>
      <c r="AK10" s="58">
        <v>46300</v>
      </c>
    </row>
    <row r="11" spans="1:37" x14ac:dyDescent="0.45">
      <c r="A11" s="48">
        <v>9</v>
      </c>
      <c r="B11" s="51" t="s">
        <v>205</v>
      </c>
      <c r="C11" s="118">
        <v>5</v>
      </c>
      <c r="D11" s="49" t="s">
        <v>194</v>
      </c>
      <c r="E11" s="50">
        <v>-157.19999999999999</v>
      </c>
      <c r="F11" s="51" t="s">
        <v>194</v>
      </c>
      <c r="G11" s="63">
        <v>-19.649999999999999</v>
      </c>
      <c r="H11" s="51" t="s">
        <v>194</v>
      </c>
      <c r="I11" s="63">
        <v>-13.1</v>
      </c>
      <c r="J11" s="51" t="s">
        <v>205</v>
      </c>
      <c r="K11" s="52">
        <v>2.6</v>
      </c>
      <c r="L11" s="51" t="s">
        <v>196</v>
      </c>
      <c r="M11" s="53">
        <v>0</v>
      </c>
      <c r="N11" s="51" t="s">
        <v>205</v>
      </c>
      <c r="O11" s="53">
        <v>0.8</v>
      </c>
      <c r="P11" s="51" t="s">
        <v>196</v>
      </c>
      <c r="Q11" s="54">
        <v>0.17647058823529413</v>
      </c>
      <c r="R11" s="51" t="s">
        <v>189</v>
      </c>
      <c r="S11" s="54">
        <v>0.2857142857142857</v>
      </c>
      <c r="T11" s="51" t="s">
        <v>196</v>
      </c>
      <c r="U11" s="55">
        <v>4566.666666666667</v>
      </c>
      <c r="V11" s="51" t="s">
        <v>126</v>
      </c>
      <c r="W11" s="55">
        <v>-9675</v>
      </c>
      <c r="X11" s="51" t="s">
        <v>193</v>
      </c>
      <c r="Y11" s="53">
        <v>0.25</v>
      </c>
      <c r="Z11" s="51" t="s">
        <v>205</v>
      </c>
      <c r="AA11" s="54">
        <v>0.13157894736842105</v>
      </c>
      <c r="AB11" s="51" t="s">
        <v>189</v>
      </c>
      <c r="AC11" s="54">
        <v>4.7619047619047616E-2</v>
      </c>
      <c r="AD11" s="51" t="s">
        <v>194</v>
      </c>
      <c r="AE11" s="54">
        <v>0.3888888888888889</v>
      </c>
      <c r="AF11" s="51" t="s">
        <v>196</v>
      </c>
      <c r="AG11" s="54">
        <v>0.16666666666666666</v>
      </c>
      <c r="AH11" s="51" t="s">
        <v>205</v>
      </c>
      <c r="AI11" s="54">
        <v>0.33333333333333331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8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87</v>
      </c>
      <c r="C2" s="140"/>
      <c r="E2" s="28" t="s">
        <v>66</v>
      </c>
      <c r="F2" s="25" t="s">
        <v>22</v>
      </c>
      <c r="G2" s="13">
        <v>149</v>
      </c>
      <c r="H2" s="91">
        <f>IF(B$19=0,0,G2/B$19)</f>
        <v>0.77604166666666663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-11.904761904761905</v>
      </c>
      <c r="P2" s="80">
        <v>84</v>
      </c>
      <c r="Q2" s="67">
        <v>-1000</v>
      </c>
    </row>
    <row r="3" spans="1:17" x14ac:dyDescent="0.45">
      <c r="A3" s="21" t="s">
        <v>8</v>
      </c>
      <c r="B3" s="141">
        <v>657</v>
      </c>
      <c r="C3" s="142"/>
      <c r="E3" s="29" t="s">
        <v>72</v>
      </c>
      <c r="F3" s="26" t="s">
        <v>27</v>
      </c>
      <c r="G3" s="14">
        <v>111</v>
      </c>
      <c r="H3" s="92">
        <f>IF(B$19=0,0,G3/B$19)</f>
        <v>0.578125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87</v>
      </c>
      <c r="Q3" s="68">
        <v>0</v>
      </c>
    </row>
    <row r="4" spans="1:17" x14ac:dyDescent="0.45">
      <c r="A4" s="21" t="s">
        <v>6</v>
      </c>
      <c r="B4" s="143">
        <v>8.8817841970012523E-16</v>
      </c>
      <c r="C4" s="144"/>
      <c r="E4" s="29" t="s">
        <v>64</v>
      </c>
      <c r="F4" s="26" t="s">
        <v>20</v>
      </c>
      <c r="G4" s="14">
        <v>87</v>
      </c>
      <c r="H4" s="92">
        <f>IF(B$19=0,0,G4/B$19)</f>
        <v>0.453125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11.494252873563218</v>
      </c>
      <c r="P4" s="81">
        <v>87</v>
      </c>
      <c r="Q4" s="68">
        <v>1000</v>
      </c>
    </row>
    <row r="5" spans="1:17" x14ac:dyDescent="0.45">
      <c r="A5" s="21" t="s">
        <v>7</v>
      </c>
      <c r="B5" s="131">
        <f>IF(B$2=0,0,B$4/B$2)</f>
        <v>1.0208947352875003E-17</v>
      </c>
      <c r="C5" s="132"/>
      <c r="E5" s="29" t="s">
        <v>160</v>
      </c>
      <c r="F5" s="26" t="s">
        <v>161</v>
      </c>
      <c r="G5" s="14">
        <v>73</v>
      </c>
      <c r="H5" s="92">
        <f>IF(B$19=0,0,G5/B$19)</f>
        <v>0.38020833333333331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-13.333333333333334</v>
      </c>
      <c r="P5" s="81">
        <v>75</v>
      </c>
      <c r="Q5" s="68">
        <v>-1000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55</v>
      </c>
      <c r="H6" s="92">
        <f>IF(B$19=0,0,G6/B$19)</f>
        <v>0.28645833333333331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-60.606060606060609</v>
      </c>
      <c r="P6" s="81">
        <v>66</v>
      </c>
      <c r="Q6" s="68">
        <v>-4000</v>
      </c>
    </row>
    <row r="7" spans="1:17" x14ac:dyDescent="0.45">
      <c r="A7" s="21" t="s">
        <v>2</v>
      </c>
      <c r="B7" s="14">
        <v>29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47</v>
      </c>
      <c r="H7" s="92">
        <f>IF(B$19=0,0,G7/B$19)</f>
        <v>0.24479166666666666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88.888888888888886</v>
      </c>
      <c r="P7" s="82">
        <v>45</v>
      </c>
      <c r="Q7" s="69">
        <v>4000</v>
      </c>
    </row>
    <row r="8" spans="1:17" x14ac:dyDescent="0.45">
      <c r="A8" s="21" t="s">
        <v>3</v>
      </c>
      <c r="B8" s="14">
        <v>29</v>
      </c>
      <c r="C8" s="8">
        <f t="shared" si="1"/>
        <v>0.33333333333333331</v>
      </c>
      <c r="E8" s="29" t="s">
        <v>89</v>
      </c>
      <c r="F8" s="26" t="s">
        <v>44</v>
      </c>
      <c r="G8" s="14">
        <v>30</v>
      </c>
      <c r="H8" s="92">
        <f>IF(B$19=0,0,G8/B$19)</f>
        <v>0.15625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29</v>
      </c>
      <c r="C9" s="9">
        <f t="shared" si="1"/>
        <v>0.33333333333333331</v>
      </c>
      <c r="E9" s="29" t="s">
        <v>69</v>
      </c>
      <c r="F9" s="26" t="s">
        <v>24</v>
      </c>
      <c r="G9" s="14">
        <v>21</v>
      </c>
      <c r="H9" s="92">
        <f>IF(B$19=0,0,G9/B$19)</f>
        <v>0.109375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40.231034482758623</v>
      </c>
      <c r="C10" s="114">
        <v>1166.7</v>
      </c>
      <c r="E10" s="29" t="s">
        <v>65</v>
      </c>
      <c r="F10" s="26" t="s">
        <v>21</v>
      </c>
      <c r="G10" s="14">
        <v>17</v>
      </c>
      <c r="H10" s="92">
        <f>IF(B$19=0,0,G10/B$19)</f>
        <v>8.8541666666666671E-2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-9.0413793103448299</v>
      </c>
      <c r="P10" s="80">
        <v>29</v>
      </c>
      <c r="Q10" s="71">
        <v>-262.20000000000005</v>
      </c>
    </row>
    <row r="11" spans="1:17" x14ac:dyDescent="0.45">
      <c r="A11" s="22" t="s">
        <v>186</v>
      </c>
      <c r="B11" s="113">
        <f>IF(B8=0,0,C11/B8)</f>
        <v>-3.4172413793103447</v>
      </c>
      <c r="C11" s="114">
        <v>-99.1</v>
      </c>
      <c r="E11" s="29" t="s">
        <v>71</v>
      </c>
      <c r="F11" s="26" t="s">
        <v>26</v>
      </c>
      <c r="G11" s="14">
        <v>16</v>
      </c>
      <c r="H11" s="92">
        <f>IF(B$19=0,0,G11/B$19)</f>
        <v>8.3333333333333329E-2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-6.2206896551724151</v>
      </c>
      <c r="P11" s="81">
        <v>29</v>
      </c>
      <c r="Q11" s="72">
        <v>-180.40000000000003</v>
      </c>
    </row>
    <row r="12" spans="1:17" x14ac:dyDescent="0.45">
      <c r="A12" s="22" t="s">
        <v>187</v>
      </c>
      <c r="B12" s="113">
        <f>IF(B9=0,0,C12/B9)</f>
        <v>-36.813793103448276</v>
      </c>
      <c r="C12" s="114">
        <v>-1067.5999999999999</v>
      </c>
      <c r="E12" s="29" t="s">
        <v>86</v>
      </c>
      <c r="F12" s="26" t="s">
        <v>41</v>
      </c>
      <c r="G12" s="14">
        <v>13</v>
      </c>
      <c r="H12" s="92">
        <f>IF(B$19=0,0,G12/B$19)</f>
        <v>6.7708333333333329E-2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15.262068965517233</v>
      </c>
      <c r="P12" s="82">
        <v>29</v>
      </c>
      <c r="Q12" s="73">
        <v>442.5999999999998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83</v>
      </c>
      <c r="F13" s="26" t="s">
        <v>38</v>
      </c>
      <c r="G13" s="14">
        <v>11</v>
      </c>
      <c r="H13" s="92">
        <f>IF(B$19=0,0,G13/B$19)</f>
        <v>5.7291666666666664E-2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9.1954022988505746E-2</v>
      </c>
      <c r="E14" s="29" t="s">
        <v>70</v>
      </c>
      <c r="F14" s="26" t="s">
        <v>25</v>
      </c>
      <c r="G14" s="14">
        <v>9</v>
      </c>
      <c r="H14" s="92">
        <f>IF(B$19=0,0,G14/B$19)</f>
        <v>4.6875E-2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175</v>
      </c>
      <c r="C15" s="12">
        <f>IF(B$3=0,0,B15/B$3)</f>
        <v>0.26636225266362251</v>
      </c>
      <c r="E15" s="29" t="s">
        <v>78</v>
      </c>
      <c r="F15" s="26" t="s">
        <v>33</v>
      </c>
      <c r="G15" s="14">
        <v>6</v>
      </c>
      <c r="H15" s="92">
        <f>IF(B$19=0,0,G15/B$19)</f>
        <v>3.125E-2</v>
      </c>
      <c r="I15" s="60">
        <v>5</v>
      </c>
      <c r="K15" s="7">
        <v>13</v>
      </c>
      <c r="L15" s="65">
        <v>14.300000000000002</v>
      </c>
      <c r="N15" s="77" t="s">
        <v>194</v>
      </c>
      <c r="O15" s="86">
        <f>IF(P15=0,0,Q15/P15)</f>
        <v>29.474999999999998</v>
      </c>
      <c r="P15" s="80">
        <v>16</v>
      </c>
      <c r="Q15" s="71">
        <v>471.59999999999997</v>
      </c>
    </row>
    <row r="16" spans="1:17" x14ac:dyDescent="0.45">
      <c r="A16" s="21" t="s">
        <v>118</v>
      </c>
      <c r="B16" s="14">
        <v>140</v>
      </c>
      <c r="C16" s="8">
        <f>IF(B$3=0,0,B16/B$3)</f>
        <v>0.21308980213089801</v>
      </c>
      <c r="E16" s="29" t="s">
        <v>79</v>
      </c>
      <c r="F16" s="26" t="s">
        <v>34</v>
      </c>
      <c r="G16" s="14">
        <v>6</v>
      </c>
      <c r="H16" s="92">
        <f>IF(B$19=0,0,G16/B$19)</f>
        <v>3.125E-2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21.869999999999994</v>
      </c>
      <c r="P16" s="81">
        <v>10</v>
      </c>
      <c r="Q16" s="72">
        <v>218.69999999999993</v>
      </c>
    </row>
    <row r="17" spans="1:17" x14ac:dyDescent="0.45">
      <c r="A17" s="20" t="s">
        <v>123</v>
      </c>
      <c r="B17" s="13">
        <f>B23</f>
        <v>91</v>
      </c>
      <c r="C17" s="6">
        <f>IF(B$15=0,0,B17/B$15)</f>
        <v>0.52</v>
      </c>
      <c r="E17" s="29" t="s">
        <v>81</v>
      </c>
      <c r="F17" s="26" t="s">
        <v>36</v>
      </c>
      <c r="G17" s="14">
        <v>6</v>
      </c>
      <c r="H17" s="92">
        <f>IF(B$19=0,0,G17/B$19)</f>
        <v>3.125E-2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52</v>
      </c>
      <c r="C18" s="6">
        <f>IF(B$16=0,0,B18/B$16)</f>
        <v>0.37142857142857144</v>
      </c>
      <c r="E18" s="29" t="s">
        <v>91</v>
      </c>
      <c r="F18" s="26" t="s">
        <v>46</v>
      </c>
      <c r="G18" s="14">
        <v>3</v>
      </c>
      <c r="H18" s="92">
        <f>IF(B$19=0,0,G18/B$19)</f>
        <v>1.5625E-2</v>
      </c>
      <c r="I18" s="60">
        <v>4</v>
      </c>
      <c r="K18" s="7">
        <v>16</v>
      </c>
      <c r="L18" s="65">
        <v>3.4000000000000017</v>
      </c>
      <c r="N18" s="78" t="s">
        <v>189</v>
      </c>
      <c r="O18" s="87">
        <f>IF(P18=0,0,Q18/P18)</f>
        <v>17.37</v>
      </c>
      <c r="P18" s="81">
        <v>10</v>
      </c>
      <c r="Q18" s="72">
        <v>173.70000000000002</v>
      </c>
    </row>
    <row r="19" spans="1:17" x14ac:dyDescent="0.45">
      <c r="A19" s="20" t="s">
        <v>10</v>
      </c>
      <c r="B19" s="13">
        <f>B22+B21</f>
        <v>192</v>
      </c>
      <c r="C19" s="6">
        <f>IF(B$3=0,0,B19/B$3)</f>
        <v>0.29223744292237441</v>
      </c>
      <c r="E19" s="29" t="s">
        <v>92</v>
      </c>
      <c r="F19" s="26" t="s">
        <v>47</v>
      </c>
      <c r="G19" s="14">
        <v>3</v>
      </c>
      <c r="H19" s="92">
        <f>IF(B$19=0,0,G19/B$19)</f>
        <v>1.5625E-2</v>
      </c>
      <c r="I19" s="60">
        <v>4</v>
      </c>
      <c r="K19" s="7">
        <v>17</v>
      </c>
      <c r="L19" s="65">
        <v>-35.800000000000004</v>
      </c>
      <c r="N19" s="78" t="s">
        <v>192</v>
      </c>
      <c r="O19" s="87">
        <f>IF(P19=0,0,Q19/P19)</f>
        <v>3.1840909090909069</v>
      </c>
      <c r="P19" s="81">
        <v>44</v>
      </c>
      <c r="Q19" s="72">
        <v>140.09999999999991</v>
      </c>
    </row>
    <row r="20" spans="1:17" x14ac:dyDescent="0.45">
      <c r="A20" s="21" t="s">
        <v>13</v>
      </c>
      <c r="B20" s="14">
        <v>111</v>
      </c>
      <c r="C20" s="8">
        <f>IF(B$3=0,0,B20/B$3)</f>
        <v>0.16894977168949771</v>
      </c>
      <c r="E20" s="29" t="s">
        <v>156</v>
      </c>
      <c r="F20" s="26" t="s">
        <v>157</v>
      </c>
      <c r="G20" s="14">
        <v>2</v>
      </c>
      <c r="H20" s="92">
        <f>IF(B$19=0,0,G20/B$19)</f>
        <v>1.0416666666666666E-2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-1.6178571428571416</v>
      </c>
      <c r="P20" s="81">
        <v>28</v>
      </c>
      <c r="Q20" s="72">
        <v>-45.299999999999962</v>
      </c>
    </row>
    <row r="21" spans="1:17" x14ac:dyDescent="0.45">
      <c r="A21" s="21" t="s">
        <v>12</v>
      </c>
      <c r="B21" s="14">
        <v>80</v>
      </c>
      <c r="C21" s="8">
        <f>IF(B$19=0,0,B21/B$19)</f>
        <v>0.41666666666666669</v>
      </c>
      <c r="E21" s="29" t="s">
        <v>73</v>
      </c>
      <c r="F21" s="26" t="s">
        <v>28</v>
      </c>
      <c r="G21" s="14">
        <v>1</v>
      </c>
      <c r="H21" s="92">
        <f>IF(B$19=0,0,G21/B$19)</f>
        <v>5.208333333333333E-3</v>
      </c>
      <c r="I21" s="60">
        <v>2</v>
      </c>
      <c r="K21" s="7">
        <v>19</v>
      </c>
      <c r="L21" s="65">
        <v>-27.100000000000009</v>
      </c>
      <c r="N21" s="78" t="s">
        <v>193</v>
      </c>
      <c r="O21" s="87">
        <f>IF(P21=0,0,Q21/P21)</f>
        <v>-18.149999999999999</v>
      </c>
      <c r="P21" s="81">
        <v>16</v>
      </c>
      <c r="Q21" s="72">
        <v>-290.39999999999998</v>
      </c>
    </row>
    <row r="22" spans="1:17" x14ac:dyDescent="0.45">
      <c r="A22" s="21" t="s">
        <v>11</v>
      </c>
      <c r="B22" s="14">
        <v>112</v>
      </c>
      <c r="C22" s="8">
        <f>IF(B$19=0,0,B22/B$19)</f>
        <v>0.58333333333333337</v>
      </c>
      <c r="E22" s="29" t="s">
        <v>77</v>
      </c>
      <c r="F22" s="26" t="s">
        <v>32</v>
      </c>
      <c r="G22" s="14">
        <v>1</v>
      </c>
      <c r="H22" s="92">
        <f>IF(B$19=0,0,G22/B$19)</f>
        <v>5.208333333333333E-3</v>
      </c>
      <c r="I22" s="60">
        <v>2</v>
      </c>
      <c r="K22" s="7">
        <v>20</v>
      </c>
      <c r="L22" s="65">
        <v>-28.600000000000009</v>
      </c>
      <c r="N22" s="78" t="s">
        <v>126</v>
      </c>
      <c r="O22" s="87">
        <f>IF(P22=0,0,Q22/P22)</f>
        <v>-21.54</v>
      </c>
      <c r="P22" s="81">
        <v>40</v>
      </c>
      <c r="Q22" s="72">
        <v>-861.59999999999991</v>
      </c>
    </row>
    <row r="23" spans="1:17" x14ac:dyDescent="0.45">
      <c r="A23" s="21" t="s">
        <v>184</v>
      </c>
      <c r="B23" s="14">
        <v>91</v>
      </c>
      <c r="C23" s="8">
        <f>IF(B$19=0,0,B23/B$19)</f>
        <v>0.47395833333333331</v>
      </c>
      <c r="E23" s="29" t="s">
        <v>87</v>
      </c>
      <c r="F23" s="26" t="s">
        <v>42</v>
      </c>
      <c r="G23" s="14">
        <v>1</v>
      </c>
      <c r="H23" s="92">
        <f>IF(B$19=0,0,G23/B$19)</f>
        <v>5.208333333333333E-3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52</v>
      </c>
      <c r="C24" s="8">
        <f>IF(B$19=0,0,B24/B$19)</f>
        <v>0.27083333333333331</v>
      </c>
      <c r="E24" s="29" t="s">
        <v>93</v>
      </c>
      <c r="F24" s="26" t="s">
        <v>48</v>
      </c>
      <c r="G24" s="14">
        <v>1</v>
      </c>
      <c r="H24" s="92">
        <f>IF(B$19=0,0,G24/B$19)</f>
        <v>5.208333333333333E-3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49</v>
      </c>
      <c r="C25" s="8">
        <f>IF(B$19=0,0,B25/B$19)</f>
        <v>0.25520833333333331</v>
      </c>
      <c r="E25" s="29" t="s">
        <v>95</v>
      </c>
      <c r="F25" s="26" t="s">
        <v>50</v>
      </c>
      <c r="G25" s="14">
        <v>1</v>
      </c>
      <c r="H25" s="92">
        <f>IF(B$19=0,0,G25/B$19)</f>
        <v>5.208333333333333E-3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8952.6041666666661</v>
      </c>
      <c r="C26" s="10">
        <v>1718900</v>
      </c>
      <c r="E26" s="29" t="s">
        <v>102</v>
      </c>
      <c r="F26" s="26" t="s">
        <v>57</v>
      </c>
      <c r="G26" s="14">
        <v>1</v>
      </c>
      <c r="H26" s="92">
        <f>IF(B$19=0,0,G26/B$19)</f>
        <v>5.208333333333333E-3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9059.2857142857138</v>
      </c>
      <c r="C27" s="100">
        <v>1268300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8665.3846153846152</v>
      </c>
      <c r="C28" s="100">
        <v>450600</v>
      </c>
      <c r="E28" s="29" t="s">
        <v>75</v>
      </c>
      <c r="F28" s="26" t="s">
        <v>30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-7964.864864864865</v>
      </c>
      <c r="C29" s="100">
        <v>-884100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28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3.0441400304414001E-3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15</v>
      </c>
      <c r="C36" s="102">
        <f t="shared" ref="C36:C48" si="2">IF(B$19=0,0,B36/B$19)</f>
        <v>7.8125E-2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31</v>
      </c>
      <c r="C37" s="8">
        <f t="shared" si="2"/>
        <v>0.16145833333333334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34</v>
      </c>
      <c r="C38" s="8">
        <f t="shared" si="2"/>
        <v>0.17708333333333334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35</v>
      </c>
      <c r="C39" s="8">
        <f t="shared" si="2"/>
        <v>0.18229166666666666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31</v>
      </c>
      <c r="C40" s="8">
        <f t="shared" si="2"/>
        <v>0.16145833333333334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15</v>
      </c>
      <c r="C41" s="8">
        <f t="shared" si="2"/>
        <v>7.8125E-2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14</v>
      </c>
      <c r="C42" s="8">
        <f t="shared" si="2"/>
        <v>7.2916666666666671E-2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3</v>
      </c>
      <c r="C43" s="8">
        <f t="shared" si="2"/>
        <v>1.5625E-2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1.5625E-2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3</v>
      </c>
      <c r="C45" s="8">
        <f t="shared" si="2"/>
        <v>1.5625E-2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5.208333333333333E-3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5.208333333333333E-3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6</v>
      </c>
      <c r="C48" s="11">
        <f t="shared" si="2"/>
        <v>3.125E-2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14</v>
      </c>
      <c r="C2" s="140"/>
      <c r="E2" s="28" t="s">
        <v>66</v>
      </c>
      <c r="F2" s="25" t="s">
        <v>22</v>
      </c>
      <c r="G2" s="13">
        <v>36</v>
      </c>
      <c r="H2" s="91">
        <f>IF(B$19=0,0,G2/B$19)</f>
        <v>1.2413793103448276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1661.5384615384614</v>
      </c>
      <c r="P2" s="80">
        <v>13</v>
      </c>
      <c r="Q2" s="67">
        <v>21600</v>
      </c>
    </row>
    <row r="3" spans="1:17" x14ac:dyDescent="0.45">
      <c r="A3" s="21" t="s">
        <v>8</v>
      </c>
      <c r="B3" s="141">
        <v>111</v>
      </c>
      <c r="C3" s="142"/>
      <c r="E3" s="29" t="s">
        <v>64</v>
      </c>
      <c r="F3" s="26" t="s">
        <v>20</v>
      </c>
      <c r="G3" s="14">
        <v>16</v>
      </c>
      <c r="H3" s="92">
        <f>IF(B$19=0,0,G3/B$19)</f>
        <v>0.55172413793103448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2385.7142857142858</v>
      </c>
      <c r="P3" s="81">
        <v>14</v>
      </c>
      <c r="Q3" s="68">
        <v>33400</v>
      </c>
    </row>
    <row r="4" spans="1:17" x14ac:dyDescent="0.45">
      <c r="A4" s="21" t="s">
        <v>6</v>
      </c>
      <c r="B4" s="143">
        <v>15.100000000000001</v>
      </c>
      <c r="C4" s="144"/>
      <c r="E4" s="29" t="s">
        <v>160</v>
      </c>
      <c r="F4" s="26" t="s">
        <v>161</v>
      </c>
      <c r="G4" s="14">
        <v>15</v>
      </c>
      <c r="H4" s="92">
        <f>IF(B$19=0,0,G4/B$19)</f>
        <v>0.51724137931034486</v>
      </c>
      <c r="I4" s="60">
        <v>3</v>
      </c>
      <c r="K4" s="7">
        <v>2</v>
      </c>
      <c r="L4" s="65">
        <v>32.9</v>
      </c>
      <c r="N4" s="78" t="s">
        <v>130</v>
      </c>
      <c r="O4" s="84">
        <f t="shared" si="0"/>
        <v>-1335.7142857142858</v>
      </c>
      <c r="P4" s="81">
        <v>14</v>
      </c>
      <c r="Q4" s="68">
        <v>-18700</v>
      </c>
    </row>
    <row r="5" spans="1:17" x14ac:dyDescent="0.45">
      <c r="A5" s="21" t="s">
        <v>7</v>
      </c>
      <c r="B5" s="131">
        <f>IF(B$2=0,0,B$4/B$2)</f>
        <v>1.0785714285714287</v>
      </c>
      <c r="C5" s="132"/>
      <c r="E5" s="29" t="s">
        <v>72</v>
      </c>
      <c r="F5" s="26" t="s">
        <v>27</v>
      </c>
      <c r="G5" s="14">
        <v>14</v>
      </c>
      <c r="H5" s="92">
        <f>IF(B$19=0,0,G5/B$19)</f>
        <v>0.48275862068965519</v>
      </c>
      <c r="I5" s="60">
        <v>7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45">
        <f>IF(B$2=0,0,(B$7*1+B$8*2+B$9*3)/B$2)</f>
        <v>1.9285714285714286</v>
      </c>
      <c r="C6" s="146"/>
      <c r="E6" s="29" t="s">
        <v>67</v>
      </c>
      <c r="F6" s="26" t="s">
        <v>23</v>
      </c>
      <c r="G6" s="14">
        <v>8</v>
      </c>
      <c r="H6" s="92">
        <f>IF(B$19=0,0,G6/B$19)</f>
        <v>0.27586206896551724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-666.66666666666663</v>
      </c>
      <c r="P6" s="81">
        <v>12</v>
      </c>
      <c r="Q6" s="68">
        <v>-8000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0.42857142857142855</v>
      </c>
      <c r="E7" s="29" t="s">
        <v>68</v>
      </c>
      <c r="F7" s="26" t="s">
        <v>12</v>
      </c>
      <c r="G7" s="14">
        <v>8</v>
      </c>
      <c r="H7" s="92">
        <f>IF(B$19=0,0,G7/B$19)</f>
        <v>0.27586206896551724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9514.2857142857138</v>
      </c>
      <c r="P7" s="82">
        <v>7</v>
      </c>
      <c r="Q7" s="69">
        <v>66600</v>
      </c>
    </row>
    <row r="8" spans="1:17" x14ac:dyDescent="0.45">
      <c r="A8" s="21" t="s">
        <v>3</v>
      </c>
      <c r="B8" s="14">
        <v>3</v>
      </c>
      <c r="C8" s="8">
        <f t="shared" si="1"/>
        <v>0.21428571428571427</v>
      </c>
      <c r="E8" s="29" t="s">
        <v>65</v>
      </c>
      <c r="F8" s="26" t="s">
        <v>21</v>
      </c>
      <c r="G8" s="14">
        <v>5</v>
      </c>
      <c r="H8" s="92">
        <f>IF(B$19=0,0,G8/B$19)</f>
        <v>0.17241379310344829</v>
      </c>
      <c r="I8" s="60">
        <v>2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0.35714285714285715</v>
      </c>
      <c r="E9" s="29" t="s">
        <v>86</v>
      </c>
      <c r="F9" s="26" t="s">
        <v>41</v>
      </c>
      <c r="G9" s="14">
        <v>5</v>
      </c>
      <c r="H9" s="92">
        <f>IF(B$19=0,0,G9/B$19)</f>
        <v>0.17241379310344829</v>
      </c>
      <c r="I9" s="60">
        <v>1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34.449999999999996</v>
      </c>
      <c r="C10" s="114">
        <v>206.7</v>
      </c>
      <c r="E10" s="29" t="s">
        <v>89</v>
      </c>
      <c r="F10" s="26" t="s">
        <v>44</v>
      </c>
      <c r="G10" s="14">
        <v>5</v>
      </c>
      <c r="H10" s="92">
        <f>IF(B$19=0,0,G10/B$19)</f>
        <v>0.17241379310344829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-8.875</v>
      </c>
      <c r="P10" s="80">
        <v>4</v>
      </c>
      <c r="Q10" s="71">
        <v>-35.5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0.10344827586206896</v>
      </c>
      <c r="I11" s="60">
        <v>6</v>
      </c>
      <c r="K11" s="7">
        <v>9</v>
      </c>
      <c r="L11" s="65">
        <v>33.5</v>
      </c>
      <c r="N11" s="78" t="s">
        <v>153</v>
      </c>
      <c r="O11" s="87">
        <f>IF(P11=0,0,Q11/P11)</f>
        <v>-11.3</v>
      </c>
      <c r="P11" s="81">
        <v>5</v>
      </c>
      <c r="Q11" s="72">
        <v>-56.500000000000007</v>
      </c>
    </row>
    <row r="12" spans="1:17" x14ac:dyDescent="0.45">
      <c r="A12" s="22" t="s">
        <v>187</v>
      </c>
      <c r="B12" s="113">
        <f>IF(B9=0,0,C12/B9)</f>
        <v>-34.36</v>
      </c>
      <c r="C12" s="114">
        <v>-171.79999999999998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31">
        <f>AVERAGE(B10:B12)</f>
        <v>-2.1700000000000017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6.8965517241379309E-2</v>
      </c>
      <c r="I13" s="60">
        <v>3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7.1428571428571425E-2</v>
      </c>
      <c r="E14" s="29" t="s">
        <v>83</v>
      </c>
      <c r="F14" s="26" t="s">
        <v>38</v>
      </c>
      <c r="G14" s="14">
        <v>2</v>
      </c>
      <c r="H14" s="92">
        <f>IF(B$19=0,0,G14/B$19)</f>
        <v>6.8965517241379309E-2</v>
      </c>
      <c r="I14" s="60">
        <v>3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</v>
      </c>
      <c r="C15" s="12">
        <f>IF(B$3=0,0,B15/B$3)</f>
        <v>0.30630630630630629</v>
      </c>
      <c r="E15" s="29" t="s">
        <v>70</v>
      </c>
      <c r="F15" s="26" t="s">
        <v>25</v>
      </c>
      <c r="G15" s="14">
        <v>1</v>
      </c>
      <c r="H15" s="92">
        <f>IF(B$19=0,0,G15/B$19)</f>
        <v>3.4482758620689655E-2</v>
      </c>
      <c r="I15" s="60">
        <v>4</v>
      </c>
      <c r="K15" s="7">
        <v>13</v>
      </c>
      <c r="L15" s="65">
        <v>-33.5</v>
      </c>
      <c r="N15" s="77" t="s">
        <v>205</v>
      </c>
      <c r="O15" s="86">
        <f>IF(P15=0,0,Q15/P15)</f>
        <v>98.7</v>
      </c>
      <c r="P15" s="80">
        <v>1</v>
      </c>
      <c r="Q15" s="71">
        <v>98.7</v>
      </c>
    </row>
    <row r="16" spans="1:17" x14ac:dyDescent="0.45">
      <c r="A16" s="21" t="s">
        <v>118</v>
      </c>
      <c r="B16" s="14">
        <v>23</v>
      </c>
      <c r="C16" s="8">
        <f>IF(B$3=0,0,B16/B$3)</f>
        <v>0.2072072072072072</v>
      </c>
      <c r="E16" s="29" t="s">
        <v>78</v>
      </c>
      <c r="F16" s="26" t="s">
        <v>33</v>
      </c>
      <c r="G16" s="14">
        <v>1</v>
      </c>
      <c r="H16" s="92">
        <f>IF(B$19=0,0,G16/B$19)</f>
        <v>3.4482758620689655E-2</v>
      </c>
      <c r="I16" s="60">
        <v>4</v>
      </c>
      <c r="K16" s="7">
        <v>14</v>
      </c>
      <c r="L16" s="65">
        <v>15.100000000000001</v>
      </c>
      <c r="N16" s="78" t="s">
        <v>189</v>
      </c>
      <c r="O16" s="87">
        <f>IF(P16=0,0,Q16/P16)</f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0.5</v>
      </c>
      <c r="E17" s="29" t="s">
        <v>79</v>
      </c>
      <c r="F17" s="26" t="s">
        <v>34</v>
      </c>
      <c r="G17" s="14">
        <v>1</v>
      </c>
      <c r="H17" s="92">
        <f>IF(B$19=0,0,G17/B$19)</f>
        <v>3.4482758620689655E-2</v>
      </c>
      <c r="I17" s="60">
        <v>2</v>
      </c>
      <c r="N17" s="78" t="s">
        <v>194</v>
      </c>
      <c r="O17" s="87">
        <f>IF(P17=0,0,Q17/P17)</f>
        <v>5.5333333333333341</v>
      </c>
      <c r="P17" s="81">
        <v>3</v>
      </c>
      <c r="Q17" s="72">
        <v>16.600000000000001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0.34782608695652173</v>
      </c>
      <c r="E18" s="29" t="s">
        <v>91</v>
      </c>
      <c r="F18" s="26" t="s">
        <v>46</v>
      </c>
      <c r="G18" s="14">
        <v>1</v>
      </c>
      <c r="H18" s="92">
        <f>IF(B$19=0,0,G18/B$19)</f>
        <v>3.4482758620689655E-2</v>
      </c>
      <c r="I18" s="60">
        <v>1</v>
      </c>
      <c r="N18" s="78" t="s">
        <v>126</v>
      </c>
      <c r="O18" s="87">
        <f>IF(P18=0,0,Q18/P18)</f>
        <v>-4.1800000000000006</v>
      </c>
      <c r="P18" s="81">
        <v>10</v>
      </c>
      <c r="Q18" s="72">
        <v>-41.800000000000004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0.26126126126126126</v>
      </c>
      <c r="E19" s="29" t="s">
        <v>92</v>
      </c>
      <c r="F19" s="26" t="s">
        <v>47</v>
      </c>
      <c r="G19" s="14">
        <v>1</v>
      </c>
      <c r="H19" s="92">
        <f>IF(B$19=0,0,G19/B$19)</f>
        <v>3.4482758620689655E-2</v>
      </c>
      <c r="I19" s="60">
        <v>1</v>
      </c>
      <c r="N19" s="78" t="s">
        <v>192</v>
      </c>
      <c r="O19" s="87">
        <f>IF(P19=0,0,Q19/P19)</f>
        <v>-9.6111111111111089</v>
      </c>
      <c r="P19" s="81">
        <v>9</v>
      </c>
      <c r="Q19" s="72">
        <v>-86.499999999999986</v>
      </c>
    </row>
    <row r="20" spans="1:17" x14ac:dyDescent="0.45">
      <c r="A20" s="21" t="s">
        <v>13</v>
      </c>
      <c r="B20" s="14">
        <v>27</v>
      </c>
      <c r="C20" s="8">
        <f>IF(B$3=0,0,B20/B$3)</f>
        <v>0.24324324324324326</v>
      </c>
      <c r="E20" s="29" t="s">
        <v>156</v>
      </c>
      <c r="F20" s="26" t="s">
        <v>157</v>
      </c>
      <c r="G20" s="14">
        <v>1</v>
      </c>
      <c r="H20" s="92">
        <f>IF(B$19=0,0,G20/B$19)</f>
        <v>3.4482758620689655E-2</v>
      </c>
      <c r="I20" s="60">
        <v>1</v>
      </c>
      <c r="N20" s="78" t="s">
        <v>193</v>
      </c>
      <c r="O20" s="87">
        <f>IF(P20=0,0,Q20/P20)</f>
        <v>-48.4</v>
      </c>
      <c r="P20" s="81">
        <v>1</v>
      </c>
      <c r="Q20" s="72">
        <v>-48.4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0.58620689655172409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0.13793103448275862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11479.310344827587</v>
      </c>
      <c r="C26" s="10">
        <v>332900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11647.619047619048</v>
      </c>
      <c r="C27" s="100">
        <v>244600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11037.5</v>
      </c>
      <c r="C28" s="100">
        <v>88300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-7077.7777777777774</v>
      </c>
      <c r="C29" s="100">
        <v>-191100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20</v>
      </c>
      <c r="C31" s="94">
        <v>10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6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73600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9.0090090090090089E-3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3.4482758620689655E-2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2"/>
        <v>6.8965517241379309E-2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2"/>
        <v>0.34482758620689657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2"/>
        <v>0.20689655172413793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3.4482758620689655E-2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2"/>
        <v>0.13793103448275862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2</v>
      </c>
      <c r="C43" s="8">
        <f t="shared" si="2"/>
        <v>6.8965517241379309E-2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3.4482758620689655E-2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2"/>
        <v>3.4482758620689655E-2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66</v>
      </c>
      <c r="F2" s="25" t="s">
        <v>22</v>
      </c>
      <c r="G2" s="13">
        <v>8</v>
      </c>
      <c r="H2" s="91">
        <f>IF(B$19=0,0,G2/B$19)</f>
        <v>0.8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1100</v>
      </c>
      <c r="P2" s="80">
        <v>4</v>
      </c>
      <c r="Q2" s="67">
        <v>4400</v>
      </c>
    </row>
    <row r="3" spans="1:17" x14ac:dyDescent="0.45">
      <c r="A3" s="21" t="s">
        <v>8</v>
      </c>
      <c r="B3" s="141">
        <v>42</v>
      </c>
      <c r="C3" s="142"/>
      <c r="E3" s="29" t="s">
        <v>64</v>
      </c>
      <c r="F3" s="26" t="s">
        <v>20</v>
      </c>
      <c r="G3" s="14">
        <v>7</v>
      </c>
      <c r="H3" s="92">
        <f>IF(B$19=0,0,G3/B$19)</f>
        <v>0.7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200</v>
      </c>
      <c r="P3" s="81">
        <v>5</v>
      </c>
      <c r="Q3" s="68">
        <v>1000</v>
      </c>
    </row>
    <row r="4" spans="1:17" x14ac:dyDescent="0.45">
      <c r="A4" s="21" t="s">
        <v>6</v>
      </c>
      <c r="B4" s="143">
        <v>-57.899999999999991</v>
      </c>
      <c r="C4" s="144"/>
      <c r="E4" s="29" t="s">
        <v>160</v>
      </c>
      <c r="F4" s="26" t="s">
        <v>161</v>
      </c>
      <c r="G4" s="14">
        <v>6</v>
      </c>
      <c r="H4" s="92">
        <f>IF(B$19=0,0,G4/B$19)</f>
        <v>0.6</v>
      </c>
      <c r="I4" s="60">
        <v>1</v>
      </c>
      <c r="K4" s="7">
        <v>2</v>
      </c>
      <c r="L4" s="65">
        <v>-75.5</v>
      </c>
      <c r="N4" s="78" t="s">
        <v>130</v>
      </c>
      <c r="O4" s="84">
        <f t="shared" si="0"/>
        <v>-7880</v>
      </c>
      <c r="P4" s="81">
        <v>5</v>
      </c>
      <c r="Q4" s="68">
        <v>-39400</v>
      </c>
    </row>
    <row r="5" spans="1:17" x14ac:dyDescent="0.45">
      <c r="A5" s="21" t="s">
        <v>7</v>
      </c>
      <c r="B5" s="131">
        <f>IF(B$2=0,0,B$4/B$2)</f>
        <v>-11.579999999999998</v>
      </c>
      <c r="C5" s="132"/>
      <c r="E5" s="29" t="s">
        <v>72</v>
      </c>
      <c r="F5" s="26" t="s">
        <v>27</v>
      </c>
      <c r="G5" s="14">
        <v>5</v>
      </c>
      <c r="H5" s="92">
        <f>IF(B$19=0,0,G5/B$19)</f>
        <v>0.5</v>
      </c>
      <c r="I5" s="60">
        <v>6</v>
      </c>
      <c r="K5" s="7">
        <v>3</v>
      </c>
      <c r="L5" s="65">
        <v>-90.3</v>
      </c>
      <c r="N5" s="78" t="s">
        <v>131</v>
      </c>
      <c r="O5" s="84">
        <f t="shared" si="0"/>
        <v>3540</v>
      </c>
      <c r="P5" s="81">
        <v>5</v>
      </c>
      <c r="Q5" s="68">
        <v>17700</v>
      </c>
    </row>
    <row r="6" spans="1:17" x14ac:dyDescent="0.45">
      <c r="A6" s="21" t="s">
        <v>1</v>
      </c>
      <c r="B6" s="145">
        <f>IF(B$2=0,0,(B$7*1+B$8*2+B$9*3)/B$2)</f>
        <v>2.2000000000000002</v>
      </c>
      <c r="C6" s="146"/>
      <c r="E6" s="29" t="s">
        <v>68</v>
      </c>
      <c r="F6" s="26" t="s">
        <v>12</v>
      </c>
      <c r="G6" s="14">
        <v>3</v>
      </c>
      <c r="H6" s="92">
        <f>IF(B$19=0,0,G6/B$19)</f>
        <v>0.3</v>
      </c>
      <c r="I6" s="60">
        <v>4</v>
      </c>
      <c r="K6" s="7">
        <v>4</v>
      </c>
      <c r="L6" s="65">
        <v>-83.899999999999991</v>
      </c>
      <c r="N6" s="78" t="s">
        <v>132</v>
      </c>
      <c r="O6" s="84">
        <f t="shared" si="0"/>
        <v>1100</v>
      </c>
      <c r="P6" s="81">
        <v>5</v>
      </c>
      <c r="Q6" s="68">
        <v>5500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65</v>
      </c>
      <c r="F7" s="26" t="s">
        <v>21</v>
      </c>
      <c r="G7" s="14">
        <v>2</v>
      </c>
      <c r="H7" s="92">
        <f>IF(B$19=0,0,G7/B$19)</f>
        <v>0.2</v>
      </c>
      <c r="I7" s="60">
        <v>1</v>
      </c>
      <c r="K7" s="7">
        <v>5</v>
      </c>
      <c r="L7" s="65">
        <v>-57.899999999999991</v>
      </c>
      <c r="N7" s="79" t="s">
        <v>133</v>
      </c>
      <c r="O7" s="85">
        <f t="shared" si="0"/>
        <v>-6275</v>
      </c>
      <c r="P7" s="82">
        <v>4</v>
      </c>
      <c r="Q7" s="69">
        <v>-25100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67</v>
      </c>
      <c r="F8" s="26" t="s">
        <v>23</v>
      </c>
      <c r="G8" s="14">
        <v>2</v>
      </c>
      <c r="H8" s="92">
        <f>IF(B$19=0,0,G8/B$19)</f>
        <v>0.2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2</v>
      </c>
      <c r="H9" s="92">
        <f>IF(B$19=0,0,G9/B$19)</f>
        <v>0.2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26</v>
      </c>
      <c r="C10" s="114">
        <v>26</v>
      </c>
      <c r="E10" s="29" t="s">
        <v>71</v>
      </c>
      <c r="F10" s="26" t="s">
        <v>26</v>
      </c>
      <c r="G10" s="14">
        <v>2</v>
      </c>
      <c r="H10" s="92">
        <f>IF(B$19=0,0,G10/B$19)</f>
        <v>0.2</v>
      </c>
      <c r="I10" s="60">
        <v>1</v>
      </c>
      <c r="N10" s="77" t="s">
        <v>152</v>
      </c>
      <c r="O10" s="86">
        <f>IF(P10=0,0,Q10/P10)</f>
        <v>5.8666666666666671</v>
      </c>
      <c r="P10" s="80">
        <v>3</v>
      </c>
      <c r="Q10" s="71">
        <v>17.600000000000001</v>
      </c>
    </row>
    <row r="11" spans="1:17" x14ac:dyDescent="0.45">
      <c r="A11" s="22" t="s">
        <v>186</v>
      </c>
      <c r="B11" s="113">
        <f>IF(B8=0,0,C11/B8)</f>
        <v>-4.2</v>
      </c>
      <c r="C11" s="114">
        <v>-8.4</v>
      </c>
      <c r="E11" s="29" t="s">
        <v>89</v>
      </c>
      <c r="F11" s="26" t="s">
        <v>44</v>
      </c>
      <c r="G11" s="14">
        <v>2</v>
      </c>
      <c r="H11" s="92">
        <f>IF(B$19=0,0,G11/B$19)</f>
        <v>0.2</v>
      </c>
      <c r="I11" s="60">
        <v>1</v>
      </c>
      <c r="N11" s="78" t="s">
        <v>153</v>
      </c>
      <c r="O11" s="87">
        <f>IF(P11=0,0,Q11/P11)</f>
        <v>-37.75</v>
      </c>
      <c r="P11" s="81">
        <v>2</v>
      </c>
      <c r="Q11" s="72">
        <v>-75.5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0.1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-5.3166666666666664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12</v>
      </c>
      <c r="C15" s="12">
        <f>IF(B$3=0,0,B15/B$3)</f>
        <v>0.2857142857142857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2</v>
      </c>
      <c r="C16" s="8">
        <f>IF(B$3=0,0,B16/B$3)</f>
        <v>4.7619047619047616E-2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-15.100000000000001</v>
      </c>
      <c r="P16" s="81">
        <v>4</v>
      </c>
      <c r="Q16" s="72">
        <v>-60.400000000000006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164</v>
      </c>
      <c r="O17" s="87">
        <f>IF(P17=0,0,Q17/P17)</f>
        <v>-26.674999999999997</v>
      </c>
      <c r="P17" s="81">
        <v>4</v>
      </c>
      <c r="Q17" s="72">
        <v>-106.69999999999999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-64.3</v>
      </c>
      <c r="P18" s="81">
        <v>1</v>
      </c>
      <c r="Q18" s="72">
        <v>-64.3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0.23809523809523808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12</v>
      </c>
      <c r="C20" s="8">
        <f>IF(B$3=0,0,B20/B$3)</f>
        <v>0.2857142857142857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7</v>
      </c>
      <c r="C21" s="8">
        <f>IF(B$19=0,0,B21/B$19)</f>
        <v>0.7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3</v>
      </c>
      <c r="C22" s="8">
        <f>IF(B$19=0,0,B22/B$19)</f>
        <v>0.3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6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0.1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10010</v>
      </c>
      <c r="C26" s="10">
        <v>100100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9122.2222222222226</v>
      </c>
      <c r="C27" s="100">
        <v>82100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18000</v>
      </c>
      <c r="C28" s="100">
        <v>18000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-6866.666666666667</v>
      </c>
      <c r="C29" s="100">
        <v>-82400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8</v>
      </c>
      <c r="C31" s="94">
        <v>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51000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2.3809523809523808E-2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0.3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0.1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20</v>
      </c>
      <c r="C2" s="140"/>
      <c r="E2" s="28" t="s">
        <v>66</v>
      </c>
      <c r="F2" s="25" t="s">
        <v>22</v>
      </c>
      <c r="G2" s="13">
        <v>45</v>
      </c>
      <c r="H2" s="91">
        <f>IF(B$19=0,0,G2/B$19)</f>
        <v>0.77586206896551724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1125</v>
      </c>
      <c r="P2" s="80">
        <v>20</v>
      </c>
      <c r="Q2" s="67">
        <v>22500</v>
      </c>
    </row>
    <row r="3" spans="1:17" x14ac:dyDescent="0.45">
      <c r="A3" s="21" t="s">
        <v>8</v>
      </c>
      <c r="B3" s="141">
        <v>155</v>
      </c>
      <c r="C3" s="142"/>
      <c r="E3" s="29" t="s">
        <v>72</v>
      </c>
      <c r="F3" s="26" t="s">
        <v>27</v>
      </c>
      <c r="G3" s="14">
        <v>30</v>
      </c>
      <c r="H3" s="92">
        <f>IF(B$19=0,0,G3/B$19)</f>
        <v>0.51724137931034486</v>
      </c>
      <c r="I3" s="60">
        <v>5</v>
      </c>
      <c r="K3" s="7">
        <v>1</v>
      </c>
      <c r="L3" s="65">
        <v>39.200000000000003</v>
      </c>
      <c r="N3" s="78" t="s">
        <v>129</v>
      </c>
      <c r="O3" s="84">
        <f t="shared" si="0"/>
        <v>4065</v>
      </c>
      <c r="P3" s="81">
        <v>20</v>
      </c>
      <c r="Q3" s="68">
        <v>81300</v>
      </c>
    </row>
    <row r="4" spans="1:17" x14ac:dyDescent="0.45">
      <c r="A4" s="21" t="s">
        <v>6</v>
      </c>
      <c r="B4" s="143">
        <v>287.2</v>
      </c>
      <c r="C4" s="144"/>
      <c r="E4" s="29" t="s">
        <v>64</v>
      </c>
      <c r="F4" s="26" t="s">
        <v>20</v>
      </c>
      <c r="G4" s="14">
        <v>20</v>
      </c>
      <c r="H4" s="92">
        <f>IF(B$19=0,0,G4/B$19)</f>
        <v>0.34482758620689657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3535</v>
      </c>
      <c r="P4" s="81">
        <v>20</v>
      </c>
      <c r="Q4" s="68">
        <v>70700</v>
      </c>
    </row>
    <row r="5" spans="1:17" x14ac:dyDescent="0.45">
      <c r="A5" s="21" t="s">
        <v>7</v>
      </c>
      <c r="B5" s="131">
        <f>IF(B$2=0,0,B$4/B$2)</f>
        <v>14.36</v>
      </c>
      <c r="C5" s="132"/>
      <c r="E5" s="29" t="s">
        <v>160</v>
      </c>
      <c r="F5" s="26" t="s">
        <v>161</v>
      </c>
      <c r="G5" s="14">
        <v>19</v>
      </c>
      <c r="H5" s="92">
        <f>IF(B$19=0,0,G5/B$19)</f>
        <v>0.32758620689655171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4422.2222222222226</v>
      </c>
      <c r="P5" s="81">
        <v>18</v>
      </c>
      <c r="Q5" s="68">
        <v>79600</v>
      </c>
    </row>
    <row r="6" spans="1:17" x14ac:dyDescent="0.45">
      <c r="A6" s="21" t="s">
        <v>1</v>
      </c>
      <c r="B6" s="145">
        <f>IF(B$2=0,0,(B$7*1+B$8*2+B$9*3)/B$2)</f>
        <v>1.75</v>
      </c>
      <c r="C6" s="146"/>
      <c r="E6" s="29" t="s">
        <v>68</v>
      </c>
      <c r="F6" s="26" t="s">
        <v>12</v>
      </c>
      <c r="G6" s="14">
        <v>16</v>
      </c>
      <c r="H6" s="92">
        <f>IF(B$19=0,0,G6/B$19)</f>
        <v>0.27586206896551724</v>
      </c>
      <c r="I6" s="60">
        <v>6</v>
      </c>
      <c r="K6" s="7">
        <v>4</v>
      </c>
      <c r="L6" s="65">
        <v>101.5</v>
      </c>
      <c r="N6" s="78" t="s">
        <v>132</v>
      </c>
      <c r="O6" s="84">
        <f t="shared" si="0"/>
        <v>-2275</v>
      </c>
      <c r="P6" s="81">
        <v>16</v>
      </c>
      <c r="Q6" s="68">
        <v>-36400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0.45</v>
      </c>
      <c r="E7" s="29" t="s">
        <v>67</v>
      </c>
      <c r="F7" s="26" t="s">
        <v>23</v>
      </c>
      <c r="G7" s="14">
        <v>11</v>
      </c>
      <c r="H7" s="92">
        <f>IF(B$19=0,0,G7/B$19)</f>
        <v>0.18965517241379309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-3020</v>
      </c>
      <c r="P7" s="82">
        <v>10</v>
      </c>
      <c r="Q7" s="69">
        <v>-30200</v>
      </c>
    </row>
    <row r="8" spans="1:17" x14ac:dyDescent="0.45">
      <c r="A8" s="21" t="s">
        <v>3</v>
      </c>
      <c r="B8" s="14">
        <v>7</v>
      </c>
      <c r="C8" s="8">
        <f t="shared" si="1"/>
        <v>0.35</v>
      </c>
      <c r="E8" s="29" t="s">
        <v>89</v>
      </c>
      <c r="F8" s="26" t="s">
        <v>44</v>
      </c>
      <c r="G8" s="14">
        <v>11</v>
      </c>
      <c r="H8" s="92">
        <f>IF(B$19=0,0,G8/B$19)</f>
        <v>0.18965517241379309</v>
      </c>
      <c r="I8" s="60">
        <v>2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0.2</v>
      </c>
      <c r="E9" s="29" t="s">
        <v>69</v>
      </c>
      <c r="F9" s="26" t="s">
        <v>24</v>
      </c>
      <c r="G9" s="14">
        <v>7</v>
      </c>
      <c r="H9" s="92">
        <f>IF(B$19=0,0,G9/B$19)</f>
        <v>0.1206896551724138</v>
      </c>
      <c r="I9" s="60">
        <v>4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45.411111111111111</v>
      </c>
      <c r="C10" s="114">
        <v>408.7</v>
      </c>
      <c r="E10" s="29" t="s">
        <v>86</v>
      </c>
      <c r="F10" s="26" t="s">
        <v>41</v>
      </c>
      <c r="G10" s="14">
        <v>7</v>
      </c>
      <c r="H10" s="92">
        <f>IF(B$19=0,0,G10/B$19)</f>
        <v>0.1206896551724138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5.3999999999999995</v>
      </c>
      <c r="P10" s="80">
        <v>6</v>
      </c>
      <c r="Q10" s="71">
        <v>32.4</v>
      </c>
    </row>
    <row r="11" spans="1:17" x14ac:dyDescent="0.45">
      <c r="A11" s="22" t="s">
        <v>186</v>
      </c>
      <c r="B11" s="113">
        <f>IF(B8=0,0,C11/B8)</f>
        <v>3.6857142857142859</v>
      </c>
      <c r="C11" s="114">
        <v>25.8</v>
      </c>
      <c r="E11" s="29" t="s">
        <v>71</v>
      </c>
      <c r="F11" s="26" t="s">
        <v>26</v>
      </c>
      <c r="G11" s="14">
        <v>5</v>
      </c>
      <c r="H11" s="92">
        <f>IF(B$19=0,0,G11/B$19)</f>
        <v>8.6206896551724144E-2</v>
      </c>
      <c r="I11" s="60">
        <v>5</v>
      </c>
      <c r="K11" s="7">
        <v>9</v>
      </c>
      <c r="L11" s="65">
        <v>151.29999999999998</v>
      </c>
      <c r="N11" s="78" t="s">
        <v>153</v>
      </c>
      <c r="O11" s="87">
        <f>IF(P11=0,0,Q11/P11)</f>
        <v>13.916666666666666</v>
      </c>
      <c r="P11" s="81">
        <v>6</v>
      </c>
      <c r="Q11" s="72">
        <v>83.5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4</v>
      </c>
      <c r="H12" s="92">
        <f>IF(B$19=0,0,G12/B$19)</f>
        <v>6.8965517241379309E-2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21.412500000000001</v>
      </c>
      <c r="P12" s="82">
        <v>8</v>
      </c>
      <c r="Q12" s="73">
        <v>171.3</v>
      </c>
    </row>
    <row r="13" spans="1:17" x14ac:dyDescent="0.45">
      <c r="A13" s="22" t="s">
        <v>188</v>
      </c>
      <c r="B13" s="131">
        <f>AVERAGE(B10:B12)</f>
        <v>4.0906084656084643</v>
      </c>
      <c r="C13" s="132"/>
      <c r="E13" s="29" t="s">
        <v>65</v>
      </c>
      <c r="F13" s="26" t="s">
        <v>21</v>
      </c>
      <c r="G13" s="14">
        <v>3</v>
      </c>
      <c r="H13" s="92">
        <f>IF(B$19=0,0,G13/B$19)</f>
        <v>5.1724137931034482E-2</v>
      </c>
      <c r="I13" s="60">
        <v>8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2</v>
      </c>
      <c r="H14" s="92">
        <f>IF(B$19=0,0,G14/B$19)</f>
        <v>3.4482758620689655E-2</v>
      </c>
      <c r="I14" s="60">
        <v>4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38</v>
      </c>
      <c r="C15" s="12">
        <f>IF(B$3=0,0,B15/B$3)</f>
        <v>0.24516129032258063</v>
      </c>
      <c r="E15" s="29" t="s">
        <v>79</v>
      </c>
      <c r="F15" s="26" t="s">
        <v>34</v>
      </c>
      <c r="G15" s="14">
        <v>2</v>
      </c>
      <c r="H15" s="92">
        <f>IF(B$19=0,0,G15/B$19)</f>
        <v>3.4482758620689655E-2</v>
      </c>
      <c r="I15" s="60">
        <v>2</v>
      </c>
      <c r="K15" s="7">
        <v>13</v>
      </c>
      <c r="L15" s="65">
        <v>197</v>
      </c>
      <c r="N15" s="77" t="s">
        <v>193</v>
      </c>
      <c r="O15" s="86">
        <f>IF(P15=0,0,Q15/P15)</f>
        <v>55.05</v>
      </c>
      <c r="P15" s="80">
        <v>2</v>
      </c>
      <c r="Q15" s="71">
        <v>110.1</v>
      </c>
    </row>
    <row r="16" spans="1:17" x14ac:dyDescent="0.45">
      <c r="A16" s="21" t="s">
        <v>118</v>
      </c>
      <c r="B16" s="14">
        <v>32</v>
      </c>
      <c r="C16" s="8">
        <f>IF(B$3=0,0,B16/B$3)</f>
        <v>0.20645161290322581</v>
      </c>
      <c r="E16" s="29" t="s">
        <v>73</v>
      </c>
      <c r="F16" s="26" t="s">
        <v>28</v>
      </c>
      <c r="G16" s="14">
        <v>1</v>
      </c>
      <c r="H16" s="92">
        <f>IF(B$19=0,0,G16/B$19)</f>
        <v>1.7241379310344827E-2</v>
      </c>
      <c r="I16" s="60">
        <v>1</v>
      </c>
      <c r="K16" s="7">
        <v>14</v>
      </c>
      <c r="L16" s="65">
        <v>249.2</v>
      </c>
      <c r="N16" s="78" t="s">
        <v>194</v>
      </c>
      <c r="O16" s="87">
        <f>IF(P16=0,0,Q16/P16)</f>
        <v>35</v>
      </c>
      <c r="P16" s="81">
        <v>3</v>
      </c>
      <c r="Q16" s="72">
        <v>105</v>
      </c>
    </row>
    <row r="17" spans="1:17" x14ac:dyDescent="0.45">
      <c r="A17" s="20" t="s">
        <v>123</v>
      </c>
      <c r="B17" s="13">
        <f>B23</f>
        <v>22</v>
      </c>
      <c r="C17" s="6">
        <f>IF(B$15=0,0,B17/B$15)</f>
        <v>0.57894736842105265</v>
      </c>
      <c r="E17" s="29" t="s">
        <v>87</v>
      </c>
      <c r="F17" s="26" t="s">
        <v>42</v>
      </c>
      <c r="G17" s="14">
        <v>1</v>
      </c>
      <c r="H17" s="92">
        <f>IF(B$19=0,0,G17/B$19)</f>
        <v>1.7241379310344827E-2</v>
      </c>
      <c r="I17" s="60">
        <v>1</v>
      </c>
      <c r="K17" s="7">
        <v>15</v>
      </c>
      <c r="L17" s="65">
        <v>213.5</v>
      </c>
      <c r="N17" s="78" t="s">
        <v>196</v>
      </c>
      <c r="O17" s="87">
        <f>IF(P17=0,0,Q17/P17)</f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18</v>
      </c>
      <c r="C18" s="6">
        <f>IF(B$16=0,0,B18/B$16)</f>
        <v>0.5625</v>
      </c>
      <c r="E18" s="29" t="s">
        <v>91</v>
      </c>
      <c r="F18" s="26" t="s">
        <v>46</v>
      </c>
      <c r="G18" s="14">
        <v>1</v>
      </c>
      <c r="H18" s="92">
        <f>IF(B$19=0,0,G18/B$19)</f>
        <v>1.7241379310344827E-2</v>
      </c>
      <c r="I18" s="60">
        <v>3</v>
      </c>
      <c r="K18" s="7">
        <v>16</v>
      </c>
      <c r="L18" s="65">
        <v>273.8</v>
      </c>
      <c r="N18" s="78" t="s">
        <v>192</v>
      </c>
      <c r="O18" s="87">
        <f>IF(P18=0,0,Q18/P18)</f>
        <v>27.707142857142856</v>
      </c>
      <c r="P18" s="81">
        <v>14</v>
      </c>
      <c r="Q18" s="72">
        <v>387.9</v>
      </c>
    </row>
    <row r="19" spans="1:17" x14ac:dyDescent="0.45">
      <c r="A19" s="20" t="s">
        <v>10</v>
      </c>
      <c r="B19" s="13">
        <f>B22+B21</f>
        <v>58</v>
      </c>
      <c r="C19" s="6">
        <f>IF(B$3=0,0,B19/B$3)</f>
        <v>0.37419354838709679</v>
      </c>
      <c r="E19" s="29" t="s">
        <v>92</v>
      </c>
      <c r="F19" s="26" t="s">
        <v>47</v>
      </c>
      <c r="G19" s="14">
        <v>1</v>
      </c>
      <c r="H19" s="92">
        <f>IF(B$19=0,0,G19/B$19)</f>
        <v>1.7241379310344827E-2</v>
      </c>
      <c r="I19" s="60">
        <v>3</v>
      </c>
      <c r="K19" s="7">
        <v>17</v>
      </c>
      <c r="L19" s="65">
        <v>242.8</v>
      </c>
      <c r="N19" s="78" t="s">
        <v>205</v>
      </c>
      <c r="O19" s="87">
        <f>IF(P19=0,0,Q19/P19)</f>
        <v>17.32</v>
      </c>
      <c r="P19" s="81">
        <v>5</v>
      </c>
      <c r="Q19" s="72">
        <v>86.6</v>
      </c>
    </row>
    <row r="20" spans="1:17" x14ac:dyDescent="0.45">
      <c r="A20" s="21" t="s">
        <v>13</v>
      </c>
      <c r="B20" s="14">
        <v>20</v>
      </c>
      <c r="C20" s="8">
        <f>IF(B$3=0,0,B20/B$3)</f>
        <v>0.12903225806451613</v>
      </c>
      <c r="E20" s="29" t="s">
        <v>93</v>
      </c>
      <c r="F20" s="26" t="s">
        <v>48</v>
      </c>
      <c r="G20" s="14">
        <v>1</v>
      </c>
      <c r="H20" s="92">
        <f>IF(B$19=0,0,G20/B$19)</f>
        <v>1.7241379310344827E-2</v>
      </c>
      <c r="I20" s="60">
        <v>1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26</v>
      </c>
      <c r="C21" s="8">
        <f>IF(B$19=0,0,B21/B$19)</f>
        <v>0.44827586206896552</v>
      </c>
      <c r="E21" s="29" t="s">
        <v>95</v>
      </c>
      <c r="F21" s="26" t="s">
        <v>50</v>
      </c>
      <c r="G21" s="14">
        <v>1</v>
      </c>
      <c r="H21" s="92">
        <f>IF(B$19=0,0,G21/B$19)</f>
        <v>1.7241379310344827E-2</v>
      </c>
      <c r="I21" s="60">
        <v>1</v>
      </c>
      <c r="K21" s="7">
        <v>19</v>
      </c>
      <c r="L21" s="65">
        <v>281.5</v>
      </c>
      <c r="N21" s="78" t="s">
        <v>164</v>
      </c>
      <c r="O21" s="87">
        <f>IF(P21=0,0,Q21/P21)</f>
        <v>4.1800000000000006</v>
      </c>
      <c r="P21" s="81">
        <v>10</v>
      </c>
      <c r="Q21" s="72">
        <v>41.800000000000004</v>
      </c>
    </row>
    <row r="22" spans="1:17" x14ac:dyDescent="0.45">
      <c r="A22" s="21" t="s">
        <v>11</v>
      </c>
      <c r="B22" s="14">
        <v>32</v>
      </c>
      <c r="C22" s="8">
        <f>IF(B$19=0,0,B22/B$19)</f>
        <v>0.55172413793103448</v>
      </c>
      <c r="E22" s="29" t="s">
        <v>156</v>
      </c>
      <c r="F22" s="26" t="s">
        <v>157</v>
      </c>
      <c r="G22" s="14">
        <v>1</v>
      </c>
      <c r="H22" s="92">
        <f>IF(B$19=0,0,G22/B$19)</f>
        <v>1.7241379310344827E-2</v>
      </c>
      <c r="I22" s="60">
        <v>2</v>
      </c>
      <c r="K22" s="7">
        <v>20</v>
      </c>
      <c r="L22" s="65">
        <v>287.2</v>
      </c>
    </row>
    <row r="23" spans="1:17" x14ac:dyDescent="0.45">
      <c r="A23" s="21" t="s">
        <v>184</v>
      </c>
      <c r="B23" s="14">
        <v>22</v>
      </c>
      <c r="C23" s="8">
        <f>IF(B$19=0,0,B23/B$19)</f>
        <v>0.37931034482758619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18</v>
      </c>
      <c r="C24" s="8">
        <f>IF(B$19=0,0,B24/B$19)</f>
        <v>0.31034482758620691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18</v>
      </c>
      <c r="C25" s="8">
        <f>IF(B$19=0,0,B25/B$19)</f>
        <v>0.31034482758620691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9293.1034482758623</v>
      </c>
      <c r="C26" s="10">
        <v>539000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8982.5</v>
      </c>
      <c r="C27" s="100">
        <v>359300</v>
      </c>
      <c r="E27" s="29" t="s">
        <v>78</v>
      </c>
      <c r="F27" s="26" t="s">
        <v>33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9983.3333333333339</v>
      </c>
      <c r="C28" s="100">
        <v>179700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-9675</v>
      </c>
      <c r="C29" s="100">
        <v>-193500</v>
      </c>
      <c r="E29" s="29" t="s">
        <v>81</v>
      </c>
      <c r="F29" s="26" t="s">
        <v>36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0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6.8965517241379309E-2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2"/>
        <v>0.15517241379310345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10</v>
      </c>
      <c r="C38" s="8">
        <f t="shared" si="2"/>
        <v>0.17241379310344829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12</v>
      </c>
      <c r="C39" s="8">
        <f t="shared" si="2"/>
        <v>0.20689655172413793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2"/>
        <v>0.15517241379310345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0.10344827586206896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5.1724137931034482E-2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1.7241379310344827E-2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1.7241379310344827E-2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3</v>
      </c>
      <c r="C48" s="11">
        <f t="shared" si="2"/>
        <v>5.1724137931034482E-2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64</v>
      </c>
      <c r="F2" s="25" t="s">
        <v>20</v>
      </c>
      <c r="G2" s="13">
        <v>7</v>
      </c>
      <c r="H2" s="91">
        <f>IF(B$19=0,0,G2/B$19)</f>
        <v>0.63636363636363635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-5062.5</v>
      </c>
      <c r="P2" s="80">
        <v>8</v>
      </c>
      <c r="Q2" s="67">
        <v>-40500</v>
      </c>
    </row>
    <row r="3" spans="1:17" x14ac:dyDescent="0.45">
      <c r="A3" s="21" t="s">
        <v>8</v>
      </c>
      <c r="B3" s="141">
        <v>52</v>
      </c>
      <c r="C3" s="142"/>
      <c r="E3" s="29" t="s">
        <v>160</v>
      </c>
      <c r="F3" s="26" t="s">
        <v>161</v>
      </c>
      <c r="G3" s="14">
        <v>6</v>
      </c>
      <c r="H3" s="92">
        <f>IF(B$19=0,0,G3/B$19)</f>
        <v>0.54545454545454541</v>
      </c>
      <c r="I3" s="60">
        <v>2</v>
      </c>
      <c r="K3" s="7">
        <v>1</v>
      </c>
      <c r="L3" s="65">
        <v>-55.5</v>
      </c>
      <c r="N3" s="78" t="s">
        <v>129</v>
      </c>
      <c r="O3" s="84">
        <f t="shared" si="0"/>
        <v>-2512.5</v>
      </c>
      <c r="P3" s="81">
        <v>8</v>
      </c>
      <c r="Q3" s="68">
        <v>-20100</v>
      </c>
    </row>
    <row r="4" spans="1:17" x14ac:dyDescent="0.45">
      <c r="A4" s="21" t="s">
        <v>6</v>
      </c>
      <c r="B4" s="143">
        <v>-157.19999999999999</v>
      </c>
      <c r="C4" s="144"/>
      <c r="E4" s="29" t="s">
        <v>66</v>
      </c>
      <c r="F4" s="26" t="s">
        <v>22</v>
      </c>
      <c r="G4" s="14">
        <v>5</v>
      </c>
      <c r="H4" s="92">
        <f>IF(B$19=0,0,G4/B$19)</f>
        <v>0.45454545454545453</v>
      </c>
      <c r="I4" s="60">
        <v>8</v>
      </c>
      <c r="K4" s="7">
        <v>2</v>
      </c>
      <c r="L4" s="65">
        <v>-106.5</v>
      </c>
      <c r="N4" s="78" t="s">
        <v>130</v>
      </c>
      <c r="O4" s="84">
        <f t="shared" si="0"/>
        <v>-8150</v>
      </c>
      <c r="P4" s="81">
        <v>8</v>
      </c>
      <c r="Q4" s="68">
        <v>-65200</v>
      </c>
    </row>
    <row r="5" spans="1:17" x14ac:dyDescent="0.45">
      <c r="A5" s="21" t="s">
        <v>7</v>
      </c>
      <c r="B5" s="131">
        <f>IF(B$2=0,0,B$4/B$2)</f>
        <v>-19.649999999999999</v>
      </c>
      <c r="C5" s="132"/>
      <c r="E5" s="29" t="s">
        <v>72</v>
      </c>
      <c r="F5" s="26" t="s">
        <v>27</v>
      </c>
      <c r="G5" s="14">
        <v>5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3433.3333333333335</v>
      </c>
      <c r="P5" s="81">
        <v>6</v>
      </c>
      <c r="Q5" s="68">
        <v>20600</v>
      </c>
    </row>
    <row r="6" spans="1:17" x14ac:dyDescent="0.45">
      <c r="A6" s="21" t="s">
        <v>1</v>
      </c>
      <c r="B6" s="145">
        <f>IF(B$2=0,0,(B$7*1+B$8*2+B$9*3)/B$2)</f>
        <v>2.5</v>
      </c>
      <c r="C6" s="146"/>
      <c r="E6" s="29" t="s">
        <v>67</v>
      </c>
      <c r="F6" s="26" t="s">
        <v>23</v>
      </c>
      <c r="G6" s="14">
        <v>4</v>
      </c>
      <c r="H6" s="92">
        <f>IF(B$19=0,0,G6/B$19)</f>
        <v>0.36363636363636365</v>
      </c>
      <c r="I6" s="60">
        <v>1</v>
      </c>
      <c r="K6" s="7">
        <v>4</v>
      </c>
      <c r="L6" s="65">
        <v>-115.5</v>
      </c>
      <c r="N6" s="78" t="s">
        <v>132</v>
      </c>
      <c r="O6" s="84">
        <f t="shared" si="0"/>
        <v>133.33333333333334</v>
      </c>
      <c r="P6" s="81">
        <v>6</v>
      </c>
      <c r="Q6" s="68">
        <v>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4</v>
      </c>
      <c r="H7" s="92">
        <f>IF(B$19=0,0,G7/B$19)</f>
        <v>0.36363636363636365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-2125</v>
      </c>
      <c r="P7" s="82">
        <v>4</v>
      </c>
      <c r="Q7" s="69">
        <v>-8500</v>
      </c>
    </row>
    <row r="8" spans="1:17" x14ac:dyDescent="0.45">
      <c r="A8" s="21" t="s">
        <v>3</v>
      </c>
      <c r="B8" s="14">
        <v>4</v>
      </c>
      <c r="C8" s="8">
        <f t="shared" si="1"/>
        <v>0.5</v>
      </c>
      <c r="E8" s="29" t="s">
        <v>69</v>
      </c>
      <c r="F8" s="26" t="s">
        <v>24</v>
      </c>
      <c r="G8" s="14">
        <v>2</v>
      </c>
      <c r="H8" s="92">
        <f>IF(B$19=0,0,G8/B$19)</f>
        <v>0.18181818181818182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</v>
      </c>
      <c r="E9" s="29" t="s">
        <v>65</v>
      </c>
      <c r="F9" s="26" t="s">
        <v>21</v>
      </c>
      <c r="G9" s="14">
        <v>1</v>
      </c>
      <c r="H9" s="92">
        <f>IF(B$19=0,0,G9/B$19)</f>
        <v>9.0909090909090912E-2</v>
      </c>
      <c r="I9" s="60">
        <v>5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9.0909090909090912E-2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9.0909090909090912E-2</v>
      </c>
      <c r="I11" s="60">
        <v>2</v>
      </c>
      <c r="N11" s="78" t="s">
        <v>153</v>
      </c>
      <c r="O11" s="87">
        <f>IF(P11=0,0,Q11/P11)</f>
        <v>3.1</v>
      </c>
      <c r="P11" s="81">
        <v>3</v>
      </c>
      <c r="Q11" s="72">
        <v>9.3000000000000007</v>
      </c>
    </row>
    <row r="12" spans="1:17" x14ac:dyDescent="0.45">
      <c r="A12" s="22" t="s">
        <v>187</v>
      </c>
      <c r="B12" s="113">
        <f>IF(B9=0,0,C12/B9)</f>
        <v>-39.75</v>
      </c>
      <c r="C12" s="114">
        <v>-159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-30</v>
      </c>
      <c r="P12" s="82">
        <v>1</v>
      </c>
      <c r="Q12" s="73">
        <v>-30</v>
      </c>
    </row>
    <row r="13" spans="1:17" x14ac:dyDescent="0.45">
      <c r="A13" s="22" t="s">
        <v>188</v>
      </c>
      <c r="B13" s="131">
        <f>AVERAGE(B10:B12)</f>
        <v>-13.1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</v>
      </c>
      <c r="C15" s="12">
        <f>IF(B$3=0,0,B15/B$3)</f>
        <v>0.34615384615384615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4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-11.633333333333335</v>
      </c>
      <c r="P16" s="81">
        <v>6</v>
      </c>
      <c r="Q16" s="72">
        <v>-69.800000000000011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0.3888888888888889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-35</v>
      </c>
      <c r="P18" s="81">
        <v>3</v>
      </c>
      <c r="Q18" s="72">
        <v>-105</v>
      </c>
    </row>
    <row r="19" spans="1:17" x14ac:dyDescent="0.45">
      <c r="A19" s="20" t="s">
        <v>10</v>
      </c>
      <c r="B19" s="13">
        <f>B22+B21</f>
        <v>11</v>
      </c>
      <c r="C19" s="6">
        <f>IF(B$3=0,0,B19/B$3)</f>
        <v>0.21153846153846154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-86.566666666666663</v>
      </c>
      <c r="P19" s="81">
        <v>3</v>
      </c>
      <c r="Q19" s="72">
        <v>-259.7</v>
      </c>
    </row>
    <row r="20" spans="1:17" x14ac:dyDescent="0.45">
      <c r="A20" s="21" t="s">
        <v>13</v>
      </c>
      <c r="B20" s="14">
        <v>8</v>
      </c>
      <c r="C20" s="8">
        <f>IF(B$3=0,0,B20/B$3)</f>
        <v>0.15384615384615385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0.36363636363636365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0.63636363636363635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7</v>
      </c>
      <c r="C23" s="8">
        <f>IF(B$19=0,0,B23/B$19)</f>
        <v>0.63636363636363635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</v>
      </c>
      <c r="C24" s="8">
        <f>IF(B$19=0,0,B24/B$19)</f>
        <v>9.0909090909090912E-2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0.27272727272727271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5</v>
      </c>
    </row>
    <row r="26" spans="1:17" x14ac:dyDescent="0.45">
      <c r="A26" s="21" t="s">
        <v>5</v>
      </c>
      <c r="B26" s="18">
        <f>IF(B$19=0,0,C26/B$19)</f>
        <v>5672.727272727273</v>
      </c>
      <c r="C26" s="10">
        <v>62400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6040</v>
      </c>
      <c r="C27" s="100">
        <v>60400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2000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-9187.5</v>
      </c>
      <c r="C29" s="100">
        <v>-73500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14</v>
      </c>
      <c r="C31" s="94">
        <v>14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0.27272727272727271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9.0909090909090912E-2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9.0909090909090912E-2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22</v>
      </c>
      <c r="C2" s="140"/>
      <c r="E2" s="28" t="s">
        <v>72</v>
      </c>
      <c r="F2" s="25" t="s">
        <v>27</v>
      </c>
      <c r="G2" s="13">
        <v>29</v>
      </c>
      <c r="H2" s="91">
        <f>IF(B$19=0,0,G2/B$19)</f>
        <v>0.64444444444444449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1523.8095238095239</v>
      </c>
      <c r="P2" s="80">
        <v>21</v>
      </c>
      <c r="Q2" s="67">
        <v>32000</v>
      </c>
    </row>
    <row r="3" spans="1:17" x14ac:dyDescent="0.45">
      <c r="A3" s="21" t="s">
        <v>8</v>
      </c>
      <c r="B3" s="141">
        <v>165</v>
      </c>
      <c r="C3" s="142"/>
      <c r="E3" s="29" t="s">
        <v>64</v>
      </c>
      <c r="F3" s="26" t="s">
        <v>20</v>
      </c>
      <c r="G3" s="14">
        <v>23</v>
      </c>
      <c r="H3" s="92">
        <f>IF(B$19=0,0,G3/B$19)</f>
        <v>0.51111111111111107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-1927.2727272727273</v>
      </c>
      <c r="P3" s="81">
        <v>22</v>
      </c>
      <c r="Q3" s="68">
        <v>-42400</v>
      </c>
    </row>
    <row r="4" spans="1:17" x14ac:dyDescent="0.45">
      <c r="A4" s="21" t="s">
        <v>6</v>
      </c>
      <c r="B4" s="143">
        <v>-46.699999999999989</v>
      </c>
      <c r="C4" s="144"/>
      <c r="E4" s="29" t="s">
        <v>66</v>
      </c>
      <c r="F4" s="26" t="s">
        <v>22</v>
      </c>
      <c r="G4" s="14">
        <v>22</v>
      </c>
      <c r="H4" s="92">
        <f>IF(B$19=0,0,G4/B$19)</f>
        <v>0.48888888888888887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-9.0909090909090917</v>
      </c>
      <c r="P4" s="81">
        <v>22</v>
      </c>
      <c r="Q4" s="68">
        <v>-200</v>
      </c>
    </row>
    <row r="5" spans="1:17" x14ac:dyDescent="0.45">
      <c r="A5" s="21" t="s">
        <v>7</v>
      </c>
      <c r="B5" s="131">
        <f>IF(B$2=0,0,B$4/B$2)</f>
        <v>-2.1227272727272721</v>
      </c>
      <c r="C5" s="132"/>
      <c r="E5" s="29" t="s">
        <v>160</v>
      </c>
      <c r="F5" s="26" t="s">
        <v>161</v>
      </c>
      <c r="G5" s="14">
        <v>20</v>
      </c>
      <c r="H5" s="92">
        <f>IF(B$19=0,0,G5/B$19)</f>
        <v>0.44444444444444442</v>
      </c>
      <c r="I5" s="60">
        <v>4</v>
      </c>
      <c r="K5" s="7">
        <v>3</v>
      </c>
      <c r="L5" s="65">
        <v>-48.5</v>
      </c>
      <c r="N5" s="78" t="s">
        <v>131</v>
      </c>
      <c r="O5" s="84">
        <f t="shared" si="0"/>
        <v>-835</v>
      </c>
      <c r="P5" s="81">
        <v>20</v>
      </c>
      <c r="Q5" s="68">
        <v>-16700</v>
      </c>
    </row>
    <row r="6" spans="1:17" x14ac:dyDescent="0.45">
      <c r="A6" s="21" t="s">
        <v>1</v>
      </c>
      <c r="B6" s="145">
        <f>IF(B$2=0,0,(B$7*1+B$8*2+B$9*3)/B$2)</f>
        <v>1.9545454545454546</v>
      </c>
      <c r="C6" s="146"/>
      <c r="E6" s="29" t="s">
        <v>68</v>
      </c>
      <c r="F6" s="26" t="s">
        <v>12</v>
      </c>
      <c r="G6" s="14">
        <v>14</v>
      </c>
      <c r="H6" s="92">
        <f>IF(B$19=0,0,G6/B$19)</f>
        <v>0.31111111111111112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-900</v>
      </c>
      <c r="P6" s="81">
        <v>17</v>
      </c>
      <c r="Q6" s="68">
        <v>-15300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0.31818181818181818</v>
      </c>
      <c r="E7" s="29" t="s">
        <v>67</v>
      </c>
      <c r="F7" s="26" t="s">
        <v>23</v>
      </c>
      <c r="G7" s="14">
        <v>13</v>
      </c>
      <c r="H7" s="92">
        <f>IF(B$19=0,0,G7/B$19)</f>
        <v>0.28888888888888886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-300</v>
      </c>
      <c r="P7" s="82">
        <v>11</v>
      </c>
      <c r="Q7" s="69">
        <v>-3300</v>
      </c>
    </row>
    <row r="8" spans="1:17" x14ac:dyDescent="0.45">
      <c r="A8" s="21" t="s">
        <v>3</v>
      </c>
      <c r="B8" s="14">
        <v>9</v>
      </c>
      <c r="C8" s="8">
        <f t="shared" si="1"/>
        <v>0.40909090909090912</v>
      </c>
      <c r="E8" s="29" t="s">
        <v>89</v>
      </c>
      <c r="F8" s="26" t="s">
        <v>44</v>
      </c>
      <c r="G8" s="14">
        <v>8</v>
      </c>
      <c r="H8" s="92">
        <f>IF(B$19=0,0,G8/B$19)</f>
        <v>0.17777777777777778</v>
      </c>
      <c r="I8" s="60">
        <v>3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0.27272727272727271</v>
      </c>
      <c r="E9" s="29" t="s">
        <v>69</v>
      </c>
      <c r="F9" s="26" t="s">
        <v>24</v>
      </c>
      <c r="G9" s="14">
        <v>4</v>
      </c>
      <c r="H9" s="92">
        <f>IF(B$19=0,0,G9/B$19)</f>
        <v>8.8888888888888892E-2</v>
      </c>
      <c r="I9" s="60">
        <v>7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34.74285714285714</v>
      </c>
      <c r="C10" s="114">
        <v>243.2</v>
      </c>
      <c r="E10" s="29" t="s">
        <v>70</v>
      </c>
      <c r="F10" s="26" t="s">
        <v>25</v>
      </c>
      <c r="G10" s="14">
        <v>4</v>
      </c>
      <c r="H10" s="92">
        <f>IF(B$19=0,0,G10/B$19)</f>
        <v>8.8888888888888892E-2</v>
      </c>
      <c r="I10" s="60">
        <v>2</v>
      </c>
      <c r="K10" s="7">
        <v>8</v>
      </c>
      <c r="L10" s="65">
        <v>-28.3</v>
      </c>
      <c r="N10" s="77" t="s">
        <v>152</v>
      </c>
      <c r="O10" s="86">
        <f>IF(P10=0,0,Q10/P10)</f>
        <v>-19.485714285714288</v>
      </c>
      <c r="P10" s="80">
        <v>7</v>
      </c>
      <c r="Q10" s="71">
        <v>-136.4</v>
      </c>
    </row>
    <row r="11" spans="1:17" x14ac:dyDescent="0.45">
      <c r="A11" s="22" t="s">
        <v>186</v>
      </c>
      <c r="B11" s="113">
        <f>IF(B8=0,0,C11/B8)</f>
        <v>-5.2111111111111104</v>
      </c>
      <c r="C11" s="114">
        <v>-46.899999999999991</v>
      </c>
      <c r="E11" s="29" t="s">
        <v>71</v>
      </c>
      <c r="F11" s="26" t="s">
        <v>26</v>
      </c>
      <c r="G11" s="14">
        <v>3</v>
      </c>
      <c r="H11" s="92">
        <f>IF(B$19=0,0,G11/B$19)</f>
        <v>6.6666666666666666E-2</v>
      </c>
      <c r="I11" s="60">
        <v>7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79</v>
      </c>
      <c r="F12" s="26" t="s">
        <v>34</v>
      </c>
      <c r="G12" s="14">
        <v>3</v>
      </c>
      <c r="H12" s="92">
        <f>IF(B$19=0,0,G12/B$19)</f>
        <v>6.6666666666666666E-2</v>
      </c>
      <c r="I12" s="60">
        <v>1</v>
      </c>
      <c r="K12" s="7">
        <v>10</v>
      </c>
      <c r="L12" s="65">
        <v>-14.9</v>
      </c>
      <c r="N12" s="79" t="s">
        <v>154</v>
      </c>
      <c r="O12" s="88">
        <f>IF(P12=0,0,Q12/P12)</f>
        <v>18.566666666666666</v>
      </c>
      <c r="P12" s="82">
        <v>6</v>
      </c>
      <c r="Q12" s="73">
        <v>111.4</v>
      </c>
    </row>
    <row r="13" spans="1:17" x14ac:dyDescent="0.45">
      <c r="A13" s="22" t="s">
        <v>188</v>
      </c>
      <c r="B13" s="131">
        <f>AVERAGE(B10:B12)</f>
        <v>-3.6560846560846563</v>
      </c>
      <c r="C13" s="132"/>
      <c r="E13" s="29" t="s">
        <v>65</v>
      </c>
      <c r="F13" s="26" t="s">
        <v>21</v>
      </c>
      <c r="G13" s="14">
        <v>2</v>
      </c>
      <c r="H13" s="92">
        <f>IF(B$19=0,0,G13/B$19)</f>
        <v>4.4444444444444446E-2</v>
      </c>
      <c r="I13" s="60">
        <v>9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9.0909090909090912E-2</v>
      </c>
      <c r="E14" s="29" t="s">
        <v>78</v>
      </c>
      <c r="F14" s="26" t="s">
        <v>33</v>
      </c>
      <c r="G14" s="14">
        <v>2</v>
      </c>
      <c r="H14" s="92">
        <f>IF(B$19=0,0,G14/B$19)</f>
        <v>4.4444444444444446E-2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47</v>
      </c>
      <c r="C15" s="12">
        <f>IF(B$3=0,0,B15/B$3)</f>
        <v>0.28484848484848485</v>
      </c>
      <c r="E15" s="29" t="s">
        <v>81</v>
      </c>
      <c r="F15" s="26" t="s">
        <v>36</v>
      </c>
      <c r="G15" s="14">
        <v>1</v>
      </c>
      <c r="H15" s="92">
        <f>IF(B$19=0,0,G15/B$19)</f>
        <v>2.2222222222222223E-2</v>
      </c>
      <c r="I15" s="60">
        <v>5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64.3</v>
      </c>
      <c r="P15" s="80">
        <v>1</v>
      </c>
      <c r="Q15" s="71">
        <v>64.3</v>
      </c>
    </row>
    <row r="16" spans="1:17" x14ac:dyDescent="0.45">
      <c r="A16" s="21" t="s">
        <v>118</v>
      </c>
      <c r="B16" s="14">
        <v>36</v>
      </c>
      <c r="C16" s="8">
        <f>IF(B$3=0,0,B16/B$3)</f>
        <v>0.21818181818181817</v>
      </c>
      <c r="E16" s="29" t="s">
        <v>83</v>
      </c>
      <c r="F16" s="26" t="s">
        <v>38</v>
      </c>
      <c r="G16" s="14">
        <v>1</v>
      </c>
      <c r="H16" s="92">
        <f>IF(B$19=0,0,G16/B$19)</f>
        <v>2.2222222222222223E-2</v>
      </c>
      <c r="I16" s="60">
        <v>6</v>
      </c>
      <c r="K16" s="7">
        <v>14</v>
      </c>
      <c r="L16" s="65">
        <v>-149.39999999999998</v>
      </c>
      <c r="N16" s="78" t="s">
        <v>196</v>
      </c>
      <c r="O16" s="87">
        <f t="shared" si="2"/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25</v>
      </c>
      <c r="C17" s="6">
        <f>IF(B$15=0,0,B17/B$15)</f>
        <v>0.53191489361702127</v>
      </c>
      <c r="E17" s="29" t="s">
        <v>91</v>
      </c>
      <c r="F17" s="26" t="s">
        <v>46</v>
      </c>
      <c r="G17" s="14">
        <v>1</v>
      </c>
      <c r="H17" s="92">
        <f>IF(B$19=0,0,G17/B$19)</f>
        <v>2.2222222222222223E-2</v>
      </c>
      <c r="I17" s="60">
        <v>2</v>
      </c>
      <c r="K17" s="7">
        <v>15</v>
      </c>
      <c r="L17" s="65">
        <v>-121.39999999999998</v>
      </c>
      <c r="N17" s="78" t="s">
        <v>194</v>
      </c>
      <c r="O17" s="87">
        <f t="shared" si="2"/>
        <v>11.633333333333335</v>
      </c>
      <c r="P17" s="81">
        <v>6</v>
      </c>
      <c r="Q17" s="72">
        <v>69.800000000000011</v>
      </c>
    </row>
    <row r="18" spans="1:17" x14ac:dyDescent="0.45">
      <c r="A18" s="20" t="s">
        <v>124</v>
      </c>
      <c r="B18" s="13">
        <f>B24</f>
        <v>12</v>
      </c>
      <c r="C18" s="6">
        <f>IF(B$16=0,0,B18/B$16)</f>
        <v>0.33333333333333331</v>
      </c>
      <c r="E18" s="29" t="s">
        <v>92</v>
      </c>
      <c r="F18" s="26" t="s">
        <v>47</v>
      </c>
      <c r="G18" s="14">
        <v>1</v>
      </c>
      <c r="H18" s="92">
        <f>IF(B$19=0,0,G18/B$19)</f>
        <v>2.2222222222222223E-2</v>
      </c>
      <c r="I18" s="60">
        <v>2</v>
      </c>
      <c r="K18" s="7">
        <v>16</v>
      </c>
      <c r="L18" s="65">
        <v>-141.29999999999998</v>
      </c>
      <c r="N18" s="78" t="s">
        <v>164</v>
      </c>
      <c r="O18" s="87">
        <f t="shared" si="2"/>
        <v>9.6111111111111107</v>
      </c>
      <c r="P18" s="81">
        <v>9</v>
      </c>
      <c r="Q18" s="72">
        <v>86.5</v>
      </c>
    </row>
    <row r="19" spans="1:17" x14ac:dyDescent="0.45">
      <c r="A19" s="20" t="s">
        <v>10</v>
      </c>
      <c r="B19" s="13">
        <f>B22+B21</f>
        <v>45</v>
      </c>
      <c r="C19" s="6">
        <f>IF(B$3=0,0,B19/B$3)</f>
        <v>0.27272727272727271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-149.1</v>
      </c>
      <c r="N19" s="78" t="s">
        <v>193</v>
      </c>
      <c r="O19" s="87">
        <f t="shared" si="2"/>
        <v>-3.9857142857142813</v>
      </c>
      <c r="P19" s="81">
        <v>7</v>
      </c>
      <c r="Q19" s="72">
        <v>-27.89999999999997</v>
      </c>
    </row>
    <row r="20" spans="1:17" x14ac:dyDescent="0.45">
      <c r="A20" s="21" t="s">
        <v>13</v>
      </c>
      <c r="B20" s="14">
        <v>23</v>
      </c>
      <c r="C20" s="8">
        <f>IF(B$3=0,0,B20/B$3)</f>
        <v>0.1393939393939394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-201.89999999999998</v>
      </c>
      <c r="N20" s="78" t="s">
        <v>205</v>
      </c>
      <c r="O20" s="87">
        <f t="shared" si="2"/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18</v>
      </c>
      <c r="C21" s="8">
        <f>IF(B$19=0,0,B21/B$19)</f>
        <v>0.4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-152.39999999999998</v>
      </c>
      <c r="N21" s="78" t="s">
        <v>126</v>
      </c>
      <c r="O21" s="87">
        <f t="shared" si="2"/>
        <v>-27.707142857142859</v>
      </c>
      <c r="P21" s="81">
        <v>14</v>
      </c>
      <c r="Q21" s="72">
        <v>-387.90000000000003</v>
      </c>
    </row>
    <row r="22" spans="1:17" x14ac:dyDescent="0.45">
      <c r="A22" s="21" t="s">
        <v>11</v>
      </c>
      <c r="B22" s="14">
        <v>27</v>
      </c>
      <c r="C22" s="8">
        <f>IF(B$19=0,0,B22/B$19)</f>
        <v>0.6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25</v>
      </c>
      <c r="C23" s="8">
        <f>IF(B$19=0,0,B23/B$19)</f>
        <v>0.55555555555555558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12</v>
      </c>
      <c r="C24" s="8">
        <f>IF(B$19=0,0,B24/B$19)</f>
        <v>0.26666666666666666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8</v>
      </c>
      <c r="C25" s="8">
        <f>IF(B$19=0,0,B25/B$19)</f>
        <v>0.17777777777777778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8211.1111111111113</v>
      </c>
      <c r="C26" s="10">
        <v>369500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8572.7272727272721</v>
      </c>
      <c r="C27" s="100">
        <v>282900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7216.666666666667</v>
      </c>
      <c r="C28" s="100">
        <v>86600</v>
      </c>
      <c r="E28" s="29" t="s">
        <v>86</v>
      </c>
      <c r="F28" s="26" t="s">
        <v>41</v>
      </c>
      <c r="G28" s="14">
        <v>0</v>
      </c>
      <c r="H28" s="92">
        <f>IF(B$19=0,0,G28/B$19)</f>
        <v>0</v>
      </c>
      <c r="I28" s="60">
        <v>5</v>
      </c>
    </row>
    <row r="29" spans="1:17" x14ac:dyDescent="0.45">
      <c r="A29" s="22" t="s">
        <v>165</v>
      </c>
      <c r="B29" s="99">
        <f>IF(B$20=0,0,C29/B$20)</f>
        <v>-7804.347826086957</v>
      </c>
      <c r="C29" s="100">
        <v>-179500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88500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6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3"/>
        <v>0.1111111111111111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12</v>
      </c>
      <c r="C38" s="8">
        <f t="shared" si="3"/>
        <v>0.26666666666666666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9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3</v>
      </c>
      <c r="C40" s="8">
        <f t="shared" si="3"/>
        <v>6.6666666666666666E-2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3"/>
        <v>4.4444444444444446E-2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4</v>
      </c>
      <c r="C42" s="8">
        <f t="shared" si="3"/>
        <v>8.8888888888888892E-2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3"/>
        <v>2.2222222222222223E-2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3"/>
        <v>2.2222222222222223E-2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3"/>
        <v>2.2222222222222223E-2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2.2222222222222223E-2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8</v>
      </c>
      <c r="C2" s="140"/>
      <c r="E2" s="28" t="s">
        <v>66</v>
      </c>
      <c r="F2" s="25" t="s">
        <v>22</v>
      </c>
      <c r="G2" s="13">
        <v>18</v>
      </c>
      <c r="H2" s="91">
        <f>IF(B$19=0,0,G2/B$19)</f>
        <v>0.8571428571428571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-4950</v>
      </c>
      <c r="P2" s="80">
        <v>8</v>
      </c>
      <c r="Q2" s="67">
        <v>-39600</v>
      </c>
    </row>
    <row r="3" spans="1:17" x14ac:dyDescent="0.45">
      <c r="A3" s="21" t="s">
        <v>8</v>
      </c>
      <c r="B3" s="141">
        <v>60</v>
      </c>
      <c r="C3" s="142"/>
      <c r="E3" s="29" t="s">
        <v>72</v>
      </c>
      <c r="F3" s="26" t="s">
        <v>27</v>
      </c>
      <c r="G3" s="14">
        <v>17</v>
      </c>
      <c r="H3" s="92">
        <f>IF(B$19=0,0,G3/B$19)</f>
        <v>0.80952380952380953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-1787.5</v>
      </c>
      <c r="P3" s="81">
        <v>8</v>
      </c>
      <c r="Q3" s="68">
        <v>-14300</v>
      </c>
    </row>
    <row r="4" spans="1:17" x14ac:dyDescent="0.45">
      <c r="A4" s="21" t="s">
        <v>6</v>
      </c>
      <c r="B4" s="143">
        <v>96.800000000000011</v>
      </c>
      <c r="C4" s="144"/>
      <c r="E4" s="29" t="s">
        <v>64</v>
      </c>
      <c r="F4" s="26" t="s">
        <v>20</v>
      </c>
      <c r="G4" s="14">
        <v>7</v>
      </c>
      <c r="H4" s="92">
        <f>IF(B$19=0,0,G4/B$19)</f>
        <v>0.33333333333333331</v>
      </c>
      <c r="I4" s="60">
        <v>8</v>
      </c>
      <c r="K4" s="7">
        <v>2</v>
      </c>
      <c r="L4" s="65">
        <v>137.5</v>
      </c>
      <c r="N4" s="78" t="s">
        <v>130</v>
      </c>
      <c r="O4" s="84">
        <f t="shared" si="0"/>
        <v>13250</v>
      </c>
      <c r="P4" s="81">
        <v>8</v>
      </c>
      <c r="Q4" s="68">
        <v>106000</v>
      </c>
    </row>
    <row r="5" spans="1:17" x14ac:dyDescent="0.45">
      <c r="A5" s="21" t="s">
        <v>7</v>
      </c>
      <c r="B5" s="131">
        <f>IF(B$2=0,0,B$4/B$2)</f>
        <v>12.100000000000001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0.33333333333333331</v>
      </c>
      <c r="I5" s="60">
        <v>2</v>
      </c>
      <c r="K5" s="7">
        <v>3</v>
      </c>
      <c r="L5" s="65">
        <v>159</v>
      </c>
      <c r="N5" s="78" t="s">
        <v>131</v>
      </c>
      <c r="O5" s="84">
        <f t="shared" si="0"/>
        <v>-933.33333333333337</v>
      </c>
      <c r="P5" s="81">
        <v>6</v>
      </c>
      <c r="Q5" s="68">
        <v>-5600</v>
      </c>
    </row>
    <row r="6" spans="1:17" x14ac:dyDescent="0.45">
      <c r="A6" s="21" t="s">
        <v>1</v>
      </c>
      <c r="B6" s="145">
        <f>IF(B$2=0,0,(B$7*1+B$8*2+B$9*3)/B$2)</f>
        <v>1.75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0.23809523809523808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7400</v>
      </c>
      <c r="P6" s="81">
        <v>4</v>
      </c>
      <c r="Q6" s="68">
        <v>29600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0.625</v>
      </c>
      <c r="E7" s="29" t="s">
        <v>83</v>
      </c>
      <c r="F7" s="26" t="s">
        <v>38</v>
      </c>
      <c r="G7" s="14">
        <v>3</v>
      </c>
      <c r="H7" s="92">
        <f>IF(B$19=0,0,G7/B$19)</f>
        <v>0.14285714285714285</v>
      </c>
      <c r="I7" s="60">
        <v>1</v>
      </c>
      <c r="K7" s="7">
        <v>5</v>
      </c>
      <c r="L7" s="65">
        <v>140.30000000000001</v>
      </c>
      <c r="N7" s="79" t="s">
        <v>133</v>
      </c>
      <c r="O7" s="85">
        <f t="shared" si="0"/>
        <v>175</v>
      </c>
      <c r="P7" s="82">
        <v>4</v>
      </c>
      <c r="Q7" s="69">
        <v>700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89</v>
      </c>
      <c r="F8" s="26" t="s">
        <v>44</v>
      </c>
      <c r="G8" s="14">
        <v>3</v>
      </c>
      <c r="H8" s="92">
        <f>IF(B$19=0,0,G8/B$19)</f>
        <v>0.14285714285714285</v>
      </c>
      <c r="I8" s="60">
        <v>6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0.375</v>
      </c>
      <c r="E9" s="29" t="s">
        <v>65</v>
      </c>
      <c r="F9" s="26" t="s">
        <v>21</v>
      </c>
      <c r="G9" s="14">
        <v>2</v>
      </c>
      <c r="H9" s="92">
        <f>IF(B$19=0,0,G9/B$19)</f>
        <v>9.5238095238095233E-2</v>
      </c>
      <c r="I9" s="60">
        <v>4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42.78</v>
      </c>
      <c r="C10" s="114">
        <v>213.9</v>
      </c>
      <c r="E10" s="29" t="s">
        <v>81</v>
      </c>
      <c r="F10" s="26" t="s">
        <v>36</v>
      </c>
      <c r="G10" s="14">
        <v>2</v>
      </c>
      <c r="H10" s="92">
        <f>IF(B$19=0,0,G10/B$19)</f>
        <v>9.5238095238095233E-2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-12.55</v>
      </c>
      <c r="P10" s="80">
        <v>2</v>
      </c>
      <c r="Q10" s="71">
        <v>-25.1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69</v>
      </c>
      <c r="F11" s="26" t="s">
        <v>24</v>
      </c>
      <c r="G11" s="14">
        <v>1</v>
      </c>
      <c r="H11" s="92">
        <f>IF(B$19=0,0,G11/B$19)</f>
        <v>4.7619047619047616E-2</v>
      </c>
      <c r="I11" s="60">
        <v>8</v>
      </c>
      <c r="N11" s="78" t="s">
        <v>153</v>
      </c>
      <c r="O11" s="87">
        <f>IF(P11=0,0,Q11/P11)</f>
        <v>-48.9</v>
      </c>
      <c r="P11" s="81">
        <v>1</v>
      </c>
      <c r="Q11" s="72">
        <v>-48.9</v>
      </c>
    </row>
    <row r="12" spans="1:17" x14ac:dyDescent="0.45">
      <c r="A12" s="22" t="s">
        <v>187</v>
      </c>
      <c r="B12" s="113">
        <f>IF(B9=0,0,C12/B9)</f>
        <v>-39.033333333333331</v>
      </c>
      <c r="C12" s="114">
        <v>-117.1</v>
      </c>
      <c r="E12" s="29" t="s">
        <v>78</v>
      </c>
      <c r="F12" s="26" t="s">
        <v>33</v>
      </c>
      <c r="G12" s="14">
        <v>1</v>
      </c>
      <c r="H12" s="92">
        <f>IF(B$19=0,0,G12/B$19)</f>
        <v>4.7619047619047616E-2</v>
      </c>
      <c r="I12" s="60">
        <v>2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31">
        <f>AVERAGE(B10:B12)</f>
        <v>1.2488888888888898</v>
      </c>
      <c r="C13" s="132"/>
      <c r="E13" s="29" t="s">
        <v>102</v>
      </c>
      <c r="F13" s="26" t="s">
        <v>57</v>
      </c>
      <c r="G13" s="14">
        <v>1</v>
      </c>
      <c r="H13" s="92">
        <f>IF(B$19=0,0,G13/B$19)</f>
        <v>4.7619047619047616E-2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0.21666666666666667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8</v>
      </c>
      <c r="N15" s="77" t="s">
        <v>194</v>
      </c>
      <c r="O15" s="86">
        <f>IF(P15=0,0,Q15/P15)</f>
        <v>86.566666666666663</v>
      </c>
      <c r="P15" s="80">
        <v>3</v>
      </c>
      <c r="Q15" s="71">
        <v>259.7</v>
      </c>
    </row>
    <row r="16" spans="1:17" x14ac:dyDescent="0.45">
      <c r="A16" s="21" t="s">
        <v>118</v>
      </c>
      <c r="B16" s="14">
        <v>24</v>
      </c>
      <c r="C16" s="8">
        <f>IF(B$3=0,0,B16/B$3)</f>
        <v>0.4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0.53846153846153844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0.33333333333333331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3.9857142857142813</v>
      </c>
      <c r="P18" s="81">
        <v>7</v>
      </c>
      <c r="Q18" s="72">
        <v>27.89999999999997</v>
      </c>
    </row>
    <row r="19" spans="1:17" x14ac:dyDescent="0.45">
      <c r="A19" s="20" t="s">
        <v>10</v>
      </c>
      <c r="B19" s="13">
        <f>B22+B21</f>
        <v>21</v>
      </c>
      <c r="C19" s="6">
        <f>IF(B$3=0,0,B19/B$3)</f>
        <v>0.35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-55.050000000000004</v>
      </c>
      <c r="P19" s="81">
        <v>2</v>
      </c>
      <c r="Q19" s="72">
        <v>-110.10000000000001</v>
      </c>
    </row>
    <row r="20" spans="1:17" x14ac:dyDescent="0.45">
      <c r="A20" s="21" t="s">
        <v>13</v>
      </c>
      <c r="B20" s="14">
        <v>8</v>
      </c>
      <c r="C20" s="8">
        <f>IF(B$3=0,0,B20/B$3)</f>
        <v>0.13333333333333333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9</v>
      </c>
      <c r="C21" s="8">
        <f>IF(B$19=0,0,B21/B$19)</f>
        <v>0.42857142857142855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5</v>
      </c>
    </row>
    <row r="22" spans="1:17" x14ac:dyDescent="0.45">
      <c r="A22" s="21" t="s">
        <v>11</v>
      </c>
      <c r="B22" s="14">
        <v>12</v>
      </c>
      <c r="C22" s="8">
        <f>IF(B$19=0,0,B22/B$19)</f>
        <v>0.5714285714285714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0.33333333333333331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8</v>
      </c>
      <c r="C24" s="8">
        <f>IF(B$19=0,0,B24/B$19)</f>
        <v>0.38095238095238093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6</v>
      </c>
      <c r="C25" s="8">
        <f>IF(B$19=0,0,B25/B$19)</f>
        <v>0.2857142857142857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9185.7142857142862</v>
      </c>
      <c r="C26" s="10">
        <v>192900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10600</v>
      </c>
      <c r="C27" s="100">
        <v>137800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6887.5</v>
      </c>
      <c r="C28" s="100">
        <v>55100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-8237.5</v>
      </c>
      <c r="C29" s="100">
        <v>-65900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16</v>
      </c>
      <c r="C31" s="94">
        <v>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106500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4.7619047619047616E-2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7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0.2857142857142857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4.7619047619047616E-2</v>
      </c>
      <c r="E41" s="29" t="s">
        <v>103</v>
      </c>
      <c r="F41" s="26" t="s">
        <v>58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4.7619047619047616E-2</v>
      </c>
      <c r="E42" s="29" t="s">
        <v>104</v>
      </c>
      <c r="F42" s="26" t="s">
        <v>59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105</v>
      </c>
      <c r="F43" s="26" t="s">
        <v>112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106</v>
      </c>
      <c r="F44" s="26" t="s">
        <v>113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4.7619047619047616E-2</v>
      </c>
      <c r="E45" s="29" t="s">
        <v>107</v>
      </c>
      <c r="F45" s="26" t="s">
        <v>114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108</v>
      </c>
      <c r="F46" s="26" t="s">
        <v>60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109</v>
      </c>
      <c r="F47" s="26" t="s">
        <v>61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4.7619047619047616E-2</v>
      </c>
      <c r="E48" s="29" t="s">
        <v>110</v>
      </c>
      <c r="F48" s="26" t="s">
        <v>62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111</v>
      </c>
      <c r="F49" s="26" t="s">
        <v>63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156</v>
      </c>
      <c r="F50" s="26" t="s">
        <v>157</v>
      </c>
      <c r="G50" s="14">
        <v>0</v>
      </c>
      <c r="H50" s="92">
        <f>IF(B$19=0,0,G50/B$19)</f>
        <v>0</v>
      </c>
      <c r="I50" s="60">
        <v>4</v>
      </c>
    </row>
    <row r="51" spans="5:9" x14ac:dyDescent="0.45">
      <c r="E51" s="95" t="s">
        <v>160</v>
      </c>
      <c r="F51" s="96" t="s">
        <v>161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41">
        <v>34</v>
      </c>
      <c r="C3" s="142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43">
        <v>-64.400000000000006</v>
      </c>
      <c r="C4" s="144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31">
        <f>IF(B$2=0,0,B$4/B$2)</f>
        <v>-12.88</v>
      </c>
      <c r="C5" s="132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45">
        <f>IF(B$2=0,0,(B$7*1+B$8*2+B$9*3)/B$2)</f>
        <v>2.2000000000000002</v>
      </c>
      <c r="C6" s="146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3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9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8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-8.5666666666666682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66</v>
      </c>
      <c r="F2" s="25" t="s">
        <v>22</v>
      </c>
      <c r="G2" s="13">
        <v>14</v>
      </c>
      <c r="H2" s="91">
        <f>IF(B$19=0,0,G2/B$19)</f>
        <v>1.1666666666666667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-280</v>
      </c>
      <c r="P2" s="80">
        <v>5</v>
      </c>
      <c r="Q2" s="67">
        <v>-1400</v>
      </c>
    </row>
    <row r="3" spans="1:17" x14ac:dyDescent="0.45">
      <c r="A3" s="21" t="s">
        <v>8</v>
      </c>
      <c r="B3" s="141">
        <v>38</v>
      </c>
      <c r="C3" s="142"/>
      <c r="E3" s="29" t="s">
        <v>72</v>
      </c>
      <c r="F3" s="26" t="s">
        <v>27</v>
      </c>
      <c r="G3" s="14">
        <v>9</v>
      </c>
      <c r="H3" s="92">
        <f>IF(B$19=0,0,G3/B$19)</f>
        <v>0.75</v>
      </c>
      <c r="I3" s="60">
        <v>2</v>
      </c>
      <c r="K3" s="7">
        <v>1</v>
      </c>
      <c r="L3" s="65">
        <v>68.2</v>
      </c>
      <c r="N3" s="78" t="s">
        <v>129</v>
      </c>
      <c r="O3" s="84">
        <f t="shared" si="0"/>
        <v>-7780</v>
      </c>
      <c r="P3" s="81">
        <v>5</v>
      </c>
      <c r="Q3" s="68">
        <v>-38900</v>
      </c>
    </row>
    <row r="4" spans="1:17" x14ac:dyDescent="0.45">
      <c r="A4" s="21" t="s">
        <v>6</v>
      </c>
      <c r="B4" s="143">
        <v>-72.899999999999991</v>
      </c>
      <c r="C4" s="144"/>
      <c r="E4" s="29" t="s">
        <v>160</v>
      </c>
      <c r="F4" s="26" t="s">
        <v>161</v>
      </c>
      <c r="G4" s="14">
        <v>5</v>
      </c>
      <c r="H4" s="92">
        <f>IF(B$19=0,0,G4/B$19)</f>
        <v>0.41666666666666669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-1860</v>
      </c>
      <c r="P4" s="81">
        <v>5</v>
      </c>
      <c r="Q4" s="68">
        <v>-9300</v>
      </c>
    </row>
    <row r="5" spans="1:17" x14ac:dyDescent="0.45">
      <c r="A5" s="21" t="s">
        <v>7</v>
      </c>
      <c r="B5" s="131">
        <f>IF(B$2=0,0,B$4/B$2)</f>
        <v>-14.579999999999998</v>
      </c>
      <c r="C5" s="132"/>
      <c r="E5" s="29" t="s">
        <v>64</v>
      </c>
      <c r="F5" s="26" t="s">
        <v>20</v>
      </c>
      <c r="G5" s="14">
        <v>3</v>
      </c>
      <c r="H5" s="92">
        <f>IF(B$19=0,0,G5/B$19)</f>
        <v>0.25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2500</v>
      </c>
      <c r="P5" s="81">
        <v>4</v>
      </c>
      <c r="Q5" s="68">
        <v>10000</v>
      </c>
    </row>
    <row r="6" spans="1:17" x14ac:dyDescent="0.45">
      <c r="A6" s="21" t="s">
        <v>1</v>
      </c>
      <c r="B6" s="145">
        <f>IF(B$2=0,0,(B$7*1+B$8*2+B$9*3)/B$2)</f>
        <v>2.6</v>
      </c>
      <c r="C6" s="146"/>
      <c r="E6" s="29" t="s">
        <v>68</v>
      </c>
      <c r="F6" s="26" t="s">
        <v>12</v>
      </c>
      <c r="G6" s="14">
        <v>3</v>
      </c>
      <c r="H6" s="92">
        <f>IF(B$19=0,0,G6/B$19)</f>
        <v>0.25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2950</v>
      </c>
      <c r="P6" s="81">
        <v>4</v>
      </c>
      <c r="Q6" s="68">
        <v>11800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0.16666666666666666</v>
      </c>
      <c r="I7" s="60">
        <v>3</v>
      </c>
      <c r="K7" s="7">
        <v>5</v>
      </c>
      <c r="L7" s="65">
        <v>-72.899999999999991</v>
      </c>
      <c r="N7" s="79" t="s">
        <v>133</v>
      </c>
      <c r="O7" s="85">
        <f t="shared" si="0"/>
        <v>3633.3333333333335</v>
      </c>
      <c r="P7" s="82">
        <v>3</v>
      </c>
      <c r="Q7" s="69">
        <v>10900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2</v>
      </c>
      <c r="H8" s="92">
        <f>IF(B$19=0,0,G8/B$19)</f>
        <v>0.16666666666666666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0.8</v>
      </c>
      <c r="E9" s="29" t="s">
        <v>71</v>
      </c>
      <c r="F9" s="26" t="s">
        <v>26</v>
      </c>
      <c r="G9" s="14">
        <v>2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68.2</v>
      </c>
      <c r="C10" s="114">
        <v>68.2</v>
      </c>
      <c r="E10" s="29" t="s">
        <v>78</v>
      </c>
      <c r="F10" s="26" t="s">
        <v>33</v>
      </c>
      <c r="G10" s="14">
        <v>2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17.950000000000003</v>
      </c>
      <c r="P10" s="80">
        <v>2</v>
      </c>
      <c r="Q10" s="71">
        <v>35.900000000000006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1</v>
      </c>
      <c r="H11" s="92">
        <f>IF(B$19=0,0,G11/B$19)</f>
        <v>8.3333333333333329E-2</v>
      </c>
      <c r="I11" s="60">
        <v>7</v>
      </c>
      <c r="N11" s="78" t="s">
        <v>153</v>
      </c>
      <c r="O11" s="87">
        <f>IF(P11=0,0,Q11/P11)</f>
        <v>-31.7</v>
      </c>
      <c r="P11" s="81">
        <v>1</v>
      </c>
      <c r="Q11" s="72">
        <v>-31.7</v>
      </c>
    </row>
    <row r="12" spans="1:17" x14ac:dyDescent="0.45">
      <c r="A12" s="22" t="s">
        <v>187</v>
      </c>
      <c r="B12" s="113">
        <f>IF(B9=0,0,C12/B9)</f>
        <v>-35.274999999999999</v>
      </c>
      <c r="C12" s="114">
        <v>-141.1</v>
      </c>
      <c r="E12" s="29" t="s">
        <v>67</v>
      </c>
      <c r="F12" s="26" t="s">
        <v>23</v>
      </c>
      <c r="G12" s="14">
        <v>1</v>
      </c>
      <c r="H12" s="92">
        <f>IF(B$19=0,0,G12/B$19)</f>
        <v>8.3333333333333329E-2</v>
      </c>
      <c r="I12" s="60">
        <v>9</v>
      </c>
      <c r="N12" s="79" t="s">
        <v>154</v>
      </c>
      <c r="O12" s="88">
        <f>IF(P12=0,0,Q12/P12)</f>
        <v>-38.549999999999997</v>
      </c>
      <c r="P12" s="82">
        <v>2</v>
      </c>
      <c r="Q12" s="73">
        <v>-77.099999999999994</v>
      </c>
    </row>
    <row r="13" spans="1:17" x14ac:dyDescent="0.45">
      <c r="A13" s="22" t="s">
        <v>188</v>
      </c>
      <c r="B13" s="131">
        <f>AVERAGE(B10:B12)</f>
        <v>10.975000000000001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8.3333333333333329E-2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0.13157894736842105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13</v>
      </c>
      <c r="C16" s="8">
        <f>IF(B$3=0,0,B16/B$3)</f>
        <v>0.34210526315789475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-17.32</v>
      </c>
      <c r="P16" s="81">
        <v>5</v>
      </c>
      <c r="Q16" s="72">
        <v>-86.6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189</v>
      </c>
      <c r="O17" s="87">
        <f>IF(P17=0,0,Q17/P17)</f>
        <v>-57.7</v>
      </c>
      <c r="P17" s="81">
        <v>1</v>
      </c>
      <c r="Q17" s="72">
        <v>-57.7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0.23076923076923078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  <c r="N18" s="78" t="s">
        <v>164</v>
      </c>
      <c r="O18" s="87">
        <f>IF(P18=0,0,Q18/P18)</f>
        <v>-98.7</v>
      </c>
      <c r="P18" s="81">
        <v>1</v>
      </c>
      <c r="Q18" s="72">
        <v>-98.7</v>
      </c>
    </row>
    <row r="19" spans="1:17" x14ac:dyDescent="0.45">
      <c r="A19" s="20" t="s">
        <v>10</v>
      </c>
      <c r="B19" s="13">
        <f>B22+B21</f>
        <v>12</v>
      </c>
      <c r="C19" s="6">
        <f>IF(B$3=0,0,B19/B$3)</f>
        <v>0.31578947368421051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9</v>
      </c>
      <c r="C20" s="8">
        <f>IF(B$3=0,0,B20/B$3)</f>
        <v>0.23684210526315788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8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3</v>
      </c>
      <c r="C24" s="8">
        <f>IF(B$19=0,0,B24/B$19)</f>
        <v>0.25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6</v>
      </c>
      <c r="C25" s="8">
        <f>IF(B$19=0,0,B25/B$19)</f>
        <v>0.5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7891.666666666667</v>
      </c>
      <c r="C26" s="10">
        <v>94700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5</v>
      </c>
    </row>
    <row r="27" spans="1:17" x14ac:dyDescent="0.45">
      <c r="A27" s="22" t="s">
        <v>166</v>
      </c>
      <c r="B27" s="99">
        <f>IF($B$19-B$18=0,0,C27/($B$19-B$18))</f>
        <v>8311.1111111111113</v>
      </c>
      <c r="C27" s="100">
        <v>74800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6633.333333333333</v>
      </c>
      <c r="C28" s="100">
        <v>19900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-8955.5555555555547</v>
      </c>
      <c r="C29" s="100">
        <v>-80600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2"/>
        <v>0.25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8.3333333333333329E-2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3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2020-04-08T07:41:35Z</dcterms:modified>
</cp:coreProperties>
</file>