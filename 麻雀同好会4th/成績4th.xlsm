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5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6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7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1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2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3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6A5BC471-4474-4A97-93E9-9CDA3CCF4EB6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のり2" sheetId="6133" state="hidden" r:id="rId14"/>
    <sheet name="たかの2" sheetId="6131" state="hidden" r:id="rId15"/>
    <sheet name="まっつん2" sheetId="6129" state="hidden" r:id="rId16"/>
    <sheet name="りくと2" sheetId="6127" state="hidden" r:id="rId17"/>
    <sheet name="だいち2" sheetId="6125" state="hidden" r:id="rId18"/>
    <sheet name="ともき2" sheetId="6123" state="hidden" r:id="rId19"/>
    <sheet name="れんたろう2" sheetId="6121" state="hidden" r:id="rId20"/>
    <sheet name="全体2" sheetId="6119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リーチ率" sheetId="3524" state="hidden" r:id="rId32"/>
    <sheet name="副露率" sheetId="3525" state="hidden" r:id="rId33"/>
    <sheet name="リーチ成功率" sheetId="4841" state="hidden" r:id="rId34"/>
    <sheet name="副露成功率" sheetId="3527" state="hidden" r:id="rId35"/>
    <sheet name="ツモ率" sheetId="3528" state="hidden" r:id="rId36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24" l="1"/>
  <c r="O18" i="6126"/>
  <c r="O17" i="6120"/>
  <c r="O15" i="6120"/>
  <c r="O15" i="6126"/>
  <c r="O18" i="6128"/>
  <c r="O16" i="6132" l="1"/>
  <c r="O17" i="6132"/>
  <c r="O17" i="6128"/>
  <c r="O16" i="6128"/>
  <c r="O17" i="6124"/>
  <c r="O18" i="6124"/>
  <c r="O16" i="6130"/>
  <c r="O15" i="6132"/>
  <c r="O18" i="6132"/>
  <c r="C34" i="6132"/>
  <c r="B29" i="6132"/>
  <c r="B28" i="6132"/>
  <c r="C20" i="6132"/>
  <c r="B19" i="6132"/>
  <c r="H9" i="6132" s="1"/>
  <c r="C18" i="6132"/>
  <c r="B18" i="6132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7" i="6130"/>
  <c r="O15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5" i="6128"/>
  <c r="O19" i="6128"/>
  <c r="C34" i="6128"/>
  <c r="B29" i="6128"/>
  <c r="B28" i="6128"/>
  <c r="C20" i="6128"/>
  <c r="B19" i="6128"/>
  <c r="H51" i="6128" s="1"/>
  <c r="C18" i="6128"/>
  <c r="B18" i="6128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6" i="6126"/>
  <c r="C34" i="6126"/>
  <c r="B29" i="6126"/>
  <c r="C20" i="6126"/>
  <c r="B19" i="6126"/>
  <c r="H50" i="6126" s="1"/>
  <c r="C18" i="6126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8" i="6118"/>
  <c r="H2" i="6126" l="1"/>
  <c r="H49" i="6126"/>
  <c r="H34" i="6126"/>
  <c r="H9" i="6126"/>
  <c r="H40" i="6126"/>
  <c r="H4" i="6126"/>
  <c r="H18" i="6126"/>
  <c r="C21" i="6126"/>
  <c r="H22" i="6126"/>
  <c r="C24" i="6126"/>
  <c r="H12" i="6126"/>
  <c r="H41" i="6126"/>
  <c r="H10" i="6126"/>
  <c r="C40" i="6126"/>
  <c r="C25" i="6126"/>
  <c r="H14" i="6126"/>
  <c r="H44" i="6126"/>
  <c r="H15" i="6126"/>
  <c r="H33" i="6126"/>
  <c r="H51" i="6126"/>
  <c r="H11" i="6126"/>
  <c r="H52" i="6126"/>
  <c r="H3" i="6126"/>
  <c r="H6" i="6126"/>
  <c r="H7" i="6126"/>
  <c r="H31" i="6126"/>
  <c r="C44" i="6126"/>
  <c r="H26" i="6126"/>
  <c r="H36" i="6126"/>
  <c r="H45" i="6126"/>
  <c r="H17" i="6126"/>
  <c r="C19" i="6126"/>
  <c r="C38" i="6126"/>
  <c r="H46" i="6126"/>
  <c r="B26" i="6126"/>
  <c r="H8" i="6126"/>
  <c r="B27" i="6126"/>
  <c r="H39" i="6126"/>
  <c r="C46" i="6126"/>
  <c r="H16" i="6126"/>
  <c r="C22" i="6126"/>
  <c r="H28" i="6126"/>
  <c r="C36" i="6126"/>
  <c r="H42" i="6126"/>
  <c r="H47" i="6126"/>
  <c r="H5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16" i="6128"/>
  <c r="H25" i="6128"/>
  <c r="C24" i="6128"/>
  <c r="H9" i="6128"/>
  <c r="H13" i="6128"/>
  <c r="H31" i="6128"/>
  <c r="H5" i="6128"/>
  <c r="C43" i="6128"/>
  <c r="H20" i="6128"/>
  <c r="H34" i="6128"/>
  <c r="C22" i="6128"/>
  <c r="H41" i="6128"/>
  <c r="H52" i="6132"/>
  <c r="H35" i="6132"/>
  <c r="H39" i="6132"/>
  <c r="H6" i="6132"/>
  <c r="H10" i="6132"/>
  <c r="C24" i="6132"/>
  <c r="H14" i="6132"/>
  <c r="H8" i="6132"/>
  <c r="H43" i="6132"/>
  <c r="C19" i="6132"/>
  <c r="C39" i="6132"/>
  <c r="H19" i="6132"/>
  <c r="C43" i="6132"/>
  <c r="H3" i="6132"/>
  <c r="H22" i="6132"/>
  <c r="H12" i="6132"/>
  <c r="H15" i="6132"/>
  <c r="H29" i="6132"/>
  <c r="H47" i="6132"/>
  <c r="C47" i="6132"/>
  <c r="H21" i="6130"/>
  <c r="C18" i="6130"/>
  <c r="H12" i="6130"/>
  <c r="H4" i="6130"/>
  <c r="H13" i="6130"/>
  <c r="H5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4" i="6132"/>
  <c r="H7" i="6132"/>
  <c r="H21" i="6132"/>
  <c r="H25" i="6132"/>
  <c r="H28" i="6132"/>
  <c r="H34" i="6132"/>
  <c r="C38" i="6132"/>
  <c r="C42" i="6132"/>
  <c r="C46" i="6132"/>
  <c r="H35" i="6130"/>
  <c r="H11" i="6130"/>
  <c r="H18" i="6130"/>
  <c r="C22" i="6130"/>
  <c r="H41" i="6130"/>
  <c r="C46" i="6130"/>
  <c r="H36" i="6130"/>
  <c r="H3" i="6130"/>
  <c r="H14" i="6130"/>
  <c r="C23" i="6130"/>
  <c r="H10" i="6130"/>
  <c r="H46" i="6130"/>
  <c r="H37" i="6130"/>
  <c r="C42" i="6130"/>
  <c r="C47" i="6130"/>
  <c r="H25" i="6130"/>
  <c r="H8" i="6130"/>
  <c r="H19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5" i="6130"/>
  <c r="H16" i="6130"/>
  <c r="C25" i="6130"/>
  <c r="H33" i="6130"/>
  <c r="H39" i="6130"/>
  <c r="H43" i="6130"/>
  <c r="H50" i="6130"/>
  <c r="H15" i="6130"/>
  <c r="H9" i="6130"/>
  <c r="H20" i="6130"/>
  <c r="H22" i="6130"/>
  <c r="B26" i="6130"/>
  <c r="H34" i="6130"/>
  <c r="C39" i="6130"/>
  <c r="H44" i="6130"/>
  <c r="H51" i="6130"/>
  <c r="H6" i="6130"/>
  <c r="H7" i="6130"/>
  <c r="C43" i="6130"/>
  <c r="H17" i="6130"/>
  <c r="C21" i="6130"/>
  <c r="B27" i="6130"/>
  <c r="H40" i="6130"/>
  <c r="H45" i="6130"/>
  <c r="H52" i="6130"/>
  <c r="H23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17" i="6128"/>
  <c r="H12" i="6128"/>
  <c r="C19" i="6128"/>
  <c r="C46" i="6128"/>
  <c r="H6" i="6128"/>
  <c r="C38" i="6128"/>
  <c r="H47" i="6128"/>
  <c r="H11" i="6128"/>
  <c r="H21" i="6128"/>
  <c r="H7" i="6128"/>
  <c r="H29" i="6128"/>
  <c r="H39" i="6128"/>
  <c r="C47" i="6128"/>
  <c r="H14" i="6128"/>
  <c r="H37" i="6128"/>
  <c r="H4" i="6128"/>
  <c r="H15" i="6128"/>
  <c r="H19" i="6128"/>
  <c r="H22" i="6128"/>
  <c r="C39" i="6128"/>
  <c r="H49" i="6128"/>
  <c r="H3" i="6128"/>
  <c r="H26" i="6128"/>
  <c r="H43" i="6128"/>
  <c r="H52" i="6128"/>
  <c r="C21" i="6128"/>
  <c r="C25" i="6128"/>
  <c r="H36" i="6128"/>
  <c r="H40" i="6128"/>
  <c r="H44" i="6128"/>
  <c r="H48" i="6128"/>
  <c r="H2" i="6128"/>
  <c r="H10" i="6128"/>
  <c r="H23" i="6128"/>
  <c r="H27" i="6128"/>
  <c r="H30" i="6128"/>
  <c r="C36" i="6128"/>
  <c r="C40" i="6128"/>
  <c r="C44" i="6128"/>
  <c r="C48" i="6128"/>
  <c r="H24" i="6128"/>
  <c r="H28" i="6128"/>
  <c r="H32" i="6128"/>
  <c r="C37" i="6128"/>
  <c r="C41" i="6128"/>
  <c r="C45" i="6128"/>
  <c r="H50" i="6128"/>
  <c r="H18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5" i="6124"/>
  <c r="O19" i="6124"/>
  <c r="C34" i="6124"/>
  <c r="B29" i="6124"/>
  <c r="C20" i="6124"/>
  <c r="B19" i="6124"/>
  <c r="H16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B13" i="6124" s="1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0" i="6122" s="1"/>
  <c r="C18" i="6122"/>
  <c r="B18" i="6122"/>
  <c r="B17" i="6122"/>
  <c r="C17" i="6122" s="1"/>
  <c r="C16" i="6122"/>
  <c r="C15" i="6122"/>
  <c r="C14" i="6122"/>
  <c r="O12" i="6122"/>
  <c r="B12" i="6122"/>
  <c r="B13" i="6122" s="1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9" i="6118"/>
  <c r="O18" i="6120"/>
  <c r="O16" i="6120"/>
  <c r="C34" i="6120"/>
  <c r="B29" i="6120"/>
  <c r="B28" i="6120"/>
  <c r="C20" i="6120"/>
  <c r="B19" i="6120"/>
  <c r="H51" i="6120" s="1"/>
  <c r="C18" i="6120"/>
  <c r="B18" i="6120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0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0" l="1"/>
  <c r="H39" i="6120"/>
  <c r="C47" i="6120"/>
  <c r="H8" i="6120"/>
  <c r="H47" i="6120"/>
  <c r="H28" i="6120"/>
  <c r="H19" i="6120"/>
  <c r="H23" i="6120"/>
  <c r="C46" i="6120"/>
  <c r="B26" i="6120"/>
  <c r="H2" i="6120"/>
  <c r="H14" i="6120"/>
  <c r="H15" i="6120"/>
  <c r="H9" i="6120"/>
  <c r="H5" i="6120"/>
  <c r="H6" i="6120"/>
  <c r="H22" i="6120"/>
  <c r="H35" i="6120"/>
  <c r="C21" i="6120"/>
  <c r="C36" i="6120"/>
  <c r="C39" i="6120"/>
  <c r="C48" i="6120"/>
  <c r="H30" i="6120"/>
  <c r="H7" i="6120"/>
  <c r="C22" i="6120"/>
  <c r="C40" i="6120"/>
  <c r="H16" i="6120"/>
  <c r="H20" i="6120"/>
  <c r="H10" i="6120"/>
  <c r="H31" i="6120"/>
  <c r="H41" i="6120"/>
  <c r="H11" i="6120"/>
  <c r="H13" i="6120"/>
  <c r="C25" i="6120"/>
  <c r="H34" i="6120"/>
  <c r="C42" i="6120"/>
  <c r="H3" i="6120"/>
  <c r="H12" i="6120"/>
  <c r="H17" i="6120"/>
  <c r="H21" i="6120"/>
  <c r="H26" i="6120"/>
  <c r="H45" i="6120"/>
  <c r="H5" i="6122"/>
  <c r="H18" i="6122"/>
  <c r="C36" i="6122"/>
  <c r="H42" i="6122"/>
  <c r="H48" i="6122"/>
  <c r="H4" i="6122"/>
  <c r="C22" i="6122"/>
  <c r="C25" i="6122"/>
  <c r="H8" i="6122"/>
  <c r="H12" i="6122"/>
  <c r="H15" i="6122"/>
  <c r="H10" i="6122"/>
  <c r="H13" i="6122"/>
  <c r="H24" i="6124"/>
  <c r="H21" i="6124"/>
  <c r="H6" i="6124"/>
  <c r="C18" i="6124"/>
  <c r="H4" i="6124"/>
  <c r="H36" i="6124"/>
  <c r="H18" i="6124"/>
  <c r="H22" i="6124"/>
  <c r="C40" i="6124"/>
  <c r="H37" i="6124"/>
  <c r="C22" i="6124"/>
  <c r="H42" i="6124"/>
  <c r="H14" i="6124"/>
  <c r="H12" i="6124"/>
  <c r="H7" i="6124"/>
  <c r="H48" i="6124"/>
  <c r="C46" i="6124"/>
  <c r="H28" i="6124"/>
  <c r="H31" i="6124"/>
  <c r="C36" i="6124"/>
  <c r="C42" i="6124"/>
  <c r="C47" i="6124"/>
  <c r="H9" i="6124"/>
  <c r="H11" i="6124"/>
  <c r="H19" i="6124"/>
  <c r="C19" i="6124"/>
  <c r="C24" i="6124"/>
  <c r="H38" i="6124"/>
  <c r="H44" i="6124"/>
  <c r="H49" i="6124"/>
  <c r="H25" i="6124"/>
  <c r="C48" i="6124"/>
  <c r="H32" i="6124"/>
  <c r="C38" i="6124"/>
  <c r="H2" i="6124"/>
  <c r="H3" i="6124"/>
  <c r="C25" i="6124"/>
  <c r="H33" i="6124"/>
  <c r="H40" i="6124"/>
  <c r="H45" i="6124"/>
  <c r="H50" i="6124"/>
  <c r="H10" i="6124"/>
  <c r="H17" i="6124"/>
  <c r="H20" i="6124"/>
  <c r="H13" i="6124"/>
  <c r="H26" i="6124"/>
  <c r="H29" i="6124"/>
  <c r="H15" i="6124"/>
  <c r="C39" i="6124"/>
  <c r="C44" i="6124"/>
  <c r="H5" i="6124"/>
  <c r="H8" i="6124"/>
  <c r="C43" i="6124"/>
  <c r="C21" i="6124"/>
  <c r="B26" i="6124"/>
  <c r="H41" i="6124"/>
  <c r="H46" i="6124"/>
  <c r="H52" i="6124"/>
  <c r="H27" i="6124"/>
  <c r="H30" i="6124"/>
  <c r="H34" i="6124"/>
  <c r="C37" i="6124"/>
  <c r="C41" i="6124"/>
  <c r="C45" i="6124"/>
  <c r="H51" i="6124"/>
  <c r="H23" i="6124"/>
  <c r="C23" i="6124"/>
  <c r="B27" i="6124"/>
  <c r="H35" i="6124"/>
  <c r="H39" i="6124"/>
  <c r="H43" i="6124"/>
  <c r="H47" i="6124"/>
  <c r="H3" i="6118"/>
  <c r="C18" i="6118"/>
  <c r="H23" i="6122"/>
  <c r="H28" i="6122"/>
  <c r="H36" i="6122"/>
  <c r="C43" i="6122"/>
  <c r="H51" i="6122"/>
  <c r="H16" i="6122"/>
  <c r="C19" i="6122"/>
  <c r="C24" i="6122"/>
  <c r="C38" i="6122"/>
  <c r="C44" i="6122"/>
  <c r="H52" i="6122"/>
  <c r="H2" i="6122"/>
  <c r="H6" i="6122"/>
  <c r="H19" i="6122"/>
  <c r="H24" i="6122"/>
  <c r="H29" i="6122"/>
  <c r="H38" i="6122"/>
  <c r="H44" i="6122"/>
  <c r="H30" i="6122"/>
  <c r="C39" i="6122"/>
  <c r="C46" i="6122"/>
  <c r="H17" i="6122"/>
  <c r="H20" i="6122"/>
  <c r="H25" i="6122"/>
  <c r="H33" i="6122"/>
  <c r="C40" i="6122"/>
  <c r="H46" i="6122"/>
  <c r="H7" i="6122"/>
  <c r="H11" i="6122"/>
  <c r="H14" i="6122"/>
  <c r="C21" i="6122"/>
  <c r="B26" i="6122"/>
  <c r="H40" i="6122"/>
  <c r="C47" i="6122"/>
  <c r="H3" i="6122"/>
  <c r="H9" i="6122"/>
  <c r="H21" i="6122"/>
  <c r="H27" i="6122"/>
  <c r="H34" i="6122"/>
  <c r="C42" i="6122"/>
  <c r="C48" i="6122"/>
  <c r="H35" i="6122"/>
  <c r="H39" i="6122"/>
  <c r="H43" i="6122"/>
  <c r="H47" i="6122"/>
  <c r="H22" i="6122"/>
  <c r="H26" i="6122"/>
  <c r="H31" i="6122"/>
  <c r="C37" i="6122"/>
  <c r="C41" i="6122"/>
  <c r="C45" i="6122"/>
  <c r="H49" i="6122"/>
  <c r="C23" i="6122"/>
  <c r="B27" i="6122"/>
  <c r="H32" i="6122"/>
  <c r="H37" i="6122"/>
  <c r="H41" i="6122"/>
  <c r="H45" i="6122"/>
  <c r="B13" i="6118"/>
  <c r="C19" i="6118"/>
  <c r="H34" i="6118"/>
  <c r="H45" i="6118"/>
  <c r="H40" i="6118"/>
  <c r="H8" i="6118"/>
  <c r="H21" i="6118"/>
  <c r="C38" i="6118"/>
  <c r="H36" i="6118"/>
  <c r="H48" i="6118"/>
  <c r="H24" i="6118"/>
  <c r="H6" i="6118"/>
  <c r="H17" i="6118"/>
  <c r="H29" i="6118"/>
  <c r="H11" i="6118"/>
  <c r="C25" i="6118"/>
  <c r="H2" i="6118"/>
  <c r="H4" i="6118"/>
  <c r="H15" i="6118"/>
  <c r="H30" i="6118"/>
  <c r="H49" i="6118"/>
  <c r="C21" i="6118"/>
  <c r="C48" i="6118"/>
  <c r="H13" i="6118"/>
  <c r="H33" i="6118"/>
  <c r="H14" i="6118"/>
  <c r="H12" i="6118"/>
  <c r="B26" i="6118"/>
  <c r="H43" i="6118"/>
  <c r="H16" i="6118"/>
  <c r="H38" i="6118"/>
  <c r="C42" i="6118"/>
  <c r="H50" i="6118"/>
  <c r="H39" i="6118"/>
  <c r="C24" i="6118"/>
  <c r="C44" i="6118"/>
  <c r="H10" i="6118"/>
  <c r="H25" i="6118"/>
  <c r="C46" i="6118"/>
  <c r="H41" i="6118"/>
  <c r="H22" i="6118"/>
  <c r="H27" i="6118"/>
  <c r="H18" i="6118"/>
  <c r="H23" i="6118"/>
  <c r="B27" i="6118"/>
  <c r="H7" i="6118"/>
  <c r="H20" i="6118"/>
  <c r="H26" i="6118"/>
  <c r="C22" i="6118"/>
  <c r="H32" i="6118"/>
  <c r="C36" i="6118"/>
  <c r="H44" i="6118"/>
  <c r="H43" i="6120"/>
  <c r="H49" i="6120"/>
  <c r="H25" i="6120"/>
  <c r="H29" i="6120"/>
  <c r="H37" i="6120"/>
  <c r="C43" i="6120"/>
  <c r="H4" i="6120"/>
  <c r="H18" i="6120"/>
  <c r="C19" i="6120"/>
  <c r="C24" i="6120"/>
  <c r="C38" i="6120"/>
  <c r="C44" i="6120"/>
  <c r="H52" i="6120"/>
  <c r="H36" i="6120"/>
  <c r="H40" i="6120"/>
  <c r="H44" i="6120"/>
  <c r="H48" i="6120"/>
  <c r="H24" i="6120"/>
  <c r="H27" i="6120"/>
  <c r="H32" i="6120"/>
  <c r="C37" i="6120"/>
  <c r="C41" i="6120"/>
  <c r="C45" i="6120"/>
  <c r="H50" i="6120"/>
  <c r="C23" i="6120"/>
  <c r="B27" i="6120"/>
  <c r="H33" i="6120"/>
  <c r="H38" i="6120"/>
  <c r="H42" i="6120"/>
  <c r="H46" i="6120"/>
  <c r="H19" i="6118"/>
  <c r="H42" i="6118"/>
  <c r="H46" i="6118"/>
  <c r="H5" i="6118"/>
  <c r="C23" i="6118"/>
  <c r="H9" i="6118"/>
  <c r="H37" i="6118"/>
  <c r="C40" i="6118"/>
  <c r="H47" i="6118"/>
  <c r="H52" i="6118"/>
  <c r="C39" i="6118"/>
  <c r="C43" i="6118"/>
  <c r="C47" i="6118"/>
  <c r="H28" i="6118"/>
  <c r="H31" i="6118"/>
  <c r="H35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<sst xmlns="http://schemas.openxmlformats.org/spreadsheetml/2006/main" count="2115" uniqueCount="201">
  <si>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</si>
  <si>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</si>
  <si>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</si>
  <si>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</si>
  <si>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</si>
  <si>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</si>
  <si>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</si>
  <si>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</si>
  <si>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</si>
  <si>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</si>
  <si>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</si>
  <si>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</si>
  <si>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</si>
  <si>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</si>
  <si>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</si>
  <si>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</si>
  <si>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</si>
  <si>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</si>
  <si>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</si>
  <si>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</si>
  <si>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</si>
  <si>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</si>
  <si>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</si>
  <si>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</si>
  <si>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</si>
  <si>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</si>
  <si>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</si>
  <si>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</si>
  <si>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</si>
  <si>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</si>
  <si>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</si>
  <si>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</si>
  <si>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</si>
  <si>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</si>
  <si>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</si>
  <si>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</si>
  <si>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</si>
  <si>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</si>
  <si>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</si>
  <si>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</si>
  <si>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</si>
  <si>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</si>
  <si>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</si>
  <si>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</si>
  <si>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</si>
  <si>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</si>
  <si>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</si>
  <si>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</si>
  <si>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</si>
  <si>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</si>
  <si>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</si>
  <si>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</si>
  <si>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</si>
  <si>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</si>
  <si>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</si>
  <si>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</si>
  <si>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</si>
  <si>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</si>
  <si>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</si>
  <si>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</si>
  <si>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</si>
  <si>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</si>
  <si>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</si>
  <si>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</si>
  <si>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</si>
  <si>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</si>
  <si>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</si>
  <si>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</si>
  <si>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</si>
  <si>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</si>
  <si>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</si>
  <si>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</si>
  <si>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</si>
  <si>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</si>
  <si>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</si>
  <si>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</si>
  <si>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</si>
  <si>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</si>
  <si>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</si>
  <si>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</si>
  <si>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</si>
  <si>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</si>
  <si>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</si>
  <si>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</si>
  <si>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</si>
  <si>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</si>
  <si>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</si>
  <si>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</si>
  <si>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</si>
  <si>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</si>
  <si>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</si>
  <si>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</si>
  <si>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</si>
  <si>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</si>
  <si>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</si>
  <si>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</si>
  <si>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</si>
  <si>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</si>
  <si>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</si>
  <si>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</si>
  <si>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</si>
  <si>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</si>
  <si>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</si>
  <si>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</si>
  <si>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</si>
  <si>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</si>
  <si>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</si>
  <si>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</si>
  <si>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</si>
  <si>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</si>
  <si>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</si>
  <si>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</si>
  <si>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</si>
  <si>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</si>
  <si>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</si>
  <si>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</si>
  <si>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</si>
  <si>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</si>
  <si>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</si>
  <si>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</si>
  <si>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</si>
  <si>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</si>
  <si>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</si>
  <si>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</si>
  <si>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</si>
  <si>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</si>
  <si>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</si>
  <si>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</si>
  <si>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</si>
  <si>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</si>
  <si>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</si>
  <si>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</si>
  <si>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</si>
  <si>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</si>
  <si>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</si>
  <si>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</si>
  <si>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</si>
  <si>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</si>
  <si>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</si>
  <si>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</si>
  <si>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</si>
  <si>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</si>
  <si>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</si>
  <si>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</si>
  <si>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</si>
  <si>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</si>
  <si>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</si>
  <si>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</si>
  <si>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</si>
  <si>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</si>
  <si>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</si>
  <si>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</si>
  <si>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</si>
  <si>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</si>
  <si>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</si>
  <si>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</si>
  <si>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</si>
  <si>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</si>
  <si>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</si>
  <si>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</si>
  <si>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</si>
  <si>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</si>
  <si>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</si>
  <si>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</si>
  <si>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</si>
  <si>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</si>
  <si>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</si>
  <si>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</si>
  <si>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</si>
  <si>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</si>
  <si>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</si>
  <si>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</si>
  <si>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</si>
  <si>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</si>
  <si>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</si>
  <si>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</si>
  <si>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</si>
  <si>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</si>
  <si>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</si>
  <si>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</si>
  <si>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</si>
  <si>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</si>
  <si>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</si>
  <si>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</si>
  <si>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</si>
  <si>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</si>
  <si>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</si>
  <si>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</si>
  <si>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</si>
  <si>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</si>
  <si>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</si>
  <si>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―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</si>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</sst>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全体!$L$2:$L$32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-142.85714285714286</c:v>
                </c:pt>
                <c:pt idx="5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15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れんたろう!$L$2:$L$6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-625</c:v>
                </c:pt>
                <c:pt idx="1">
                  <c:v>125</c:v>
                </c:pt>
                <c:pt idx="2">
                  <c:v>5350</c:v>
                </c:pt>
                <c:pt idx="3">
                  <c:v>-2325</c:v>
                </c:pt>
                <c:pt idx="4">
                  <c:v>-1425</c:v>
                </c:pt>
                <c:pt idx="5">
                  <c:v>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-2300</c:v>
                </c:pt>
                <c:pt idx="1">
                  <c:v>1000</c:v>
                </c:pt>
                <c:pt idx="2">
                  <c:v>-14750</c:v>
                </c:pt>
                <c:pt idx="3">
                  <c:v>-1700</c:v>
                </c:pt>
                <c:pt idx="4">
                  <c:v>-3250</c:v>
                </c:pt>
                <c:pt idx="5">
                  <c:v>-6750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3800</c:v>
                </c:pt>
                <c:pt idx="1">
                  <c:v>1685.7142857142858</c:v>
                </c:pt>
                <c:pt idx="2">
                  <c:v>4285.7142857142853</c:v>
                </c:pt>
                <c:pt idx="3">
                  <c:v>1733.3333333333333</c:v>
                </c:pt>
                <c:pt idx="4">
                  <c:v>2350</c:v>
                </c:pt>
                <c:pt idx="5">
                  <c:v>4250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-4416.666666666667</c:v>
                </c:pt>
                <c:pt idx="1">
                  <c:v>-2266.6666666666665</c:v>
                </c:pt>
                <c:pt idx="2">
                  <c:v>-9916.6666666666661</c:v>
                </c:pt>
                <c:pt idx="3">
                  <c:v>2150</c:v>
                </c:pt>
                <c:pt idx="4">
                  <c:v>-1800</c:v>
                </c:pt>
                <c:pt idx="5">
                  <c:v>-6750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-116.66666666666667</c:v>
                </c:pt>
                <c:pt idx="1">
                  <c:v>-516.66666666666663</c:v>
                </c:pt>
                <c:pt idx="2">
                  <c:v>-7483.333333333333</c:v>
                </c:pt>
                <c:pt idx="3">
                  <c:v>-825</c:v>
                </c:pt>
                <c:pt idx="4">
                  <c:v>75</c:v>
                </c:pt>
                <c:pt idx="5">
                  <c:v>-833.33333333333337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4350</c:v>
                </c:pt>
                <c:pt idx="1">
                  <c:v>0</c:v>
                </c:pt>
                <c:pt idx="2">
                  <c:v>54400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のり!$L$2:$L$5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-333.33333333333331</c:v>
                </c:pt>
                <c:pt idx="1">
                  <c:v>800</c:v>
                </c:pt>
                <c:pt idx="2">
                  <c:v>-8766.6666666666661</c:v>
                </c:pt>
                <c:pt idx="3">
                  <c:v>-3000</c:v>
                </c:pt>
                <c:pt idx="4">
                  <c:v>2000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-62.8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-75.599999999999994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9-4F65-B760-C1296C22BF1F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89-4F65-B760-C1296C22BF1F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まっつん2!$A$1:$B$2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まっつん</c:v>
                  </c:pt>
                  <c:pt idx="1">
                    <c:v>まっつん</c:v>
                  </c:pt>
                </c:lvl>
              </c:multiLvlStrCache>
            </c:multiLvlStrRef>
          </c:xVal>
          <c:yVal>
            <c:numRef>
              <c:f>まっつん2!$A$9:$B$9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-70.5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89-4F65-B760-C1296C22B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まっつん2!$C$3:$C$9</c:f>
              <c:numCache>
                <c:formatCode>\+0.0;\-0.0;\±0</c:formatCode>
                <c:ptCount val="7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684757858670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まっつん2!$D$3:$D$9</c:f>
              <c:numCache>
                <c:formatCode>0.00\ "位"</c:formatCode>
                <c:ptCount val="7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まっつん2!$E$3:$E$9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まっつん2!$F$3:$F$9</c:f>
              <c:numCache>
                <c:formatCode>0.0%</c:formatCode>
                <c:ptCount val="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まっつん2!$G$3:$G$9</c:f>
              <c:numCache>
                <c:formatCode>0.0%</c:formatCode>
                <c:ptCount val="7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85507246376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まっつん2!$H$3:$H$9</c:f>
              <c:numCache>
                <c:formatCode>0.0%</c:formatCode>
                <c:ptCount val="7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42028985507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まっつん2!$I$3:$I$9</c:f>
              <c:numCache>
                <c:formatCode>0</c:formatCode>
                <c:ptCount val="7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56.6666666666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まっつん2!$J$3:$J$9</c:f>
              <c:numCache>
                <c:formatCode>0</c:formatCode>
                <c:ptCount val="7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27.2727272727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まっつん2!$K$3:$K$9</c:f>
              <c:numCache>
                <c:formatCode>0.0%</c:formatCode>
                <c:ptCount val="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まっつん2!$L$3:$L$9</c:f>
              <c:numCache>
                <c:formatCode>0.0%</c:formatCode>
                <c:ptCount val="7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68599033816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まっつん2!$M$3:$M$9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0434782608695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まっつん2!$N$3:$N$9</c:f>
              <c:numCache>
                <c:formatCode>0.0%</c:formatCode>
                <c:ptCount val="7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8196721311475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まっつん2!$O$3:$O$9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444444444444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</c:f>
              <c:numCache>
                <c:formatCode>0\ "回"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まっつん2!$P$3:$P$9</c:f>
              <c:numCache>
                <c:formatCode>0.0%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7" x14ac:dyDescent="0.45">
      <c r="A1" s="1">
        <v>32874</v>
      </c>
      <c r="B1" s="1">
        <v>2958465</v>
      </c>
    </row>
    <row r="2" spans="1:7" x14ac:dyDescent="0.45">
      <c r="A2" s="2" t="s">
        <v>190</v>
      </c>
      <c r="B2" s="3">
        <v>43926.037199074075</v>
      </c>
      <c r="C2" s="2" t="s">
        <v>127</v>
      </c>
      <c r="D2" s="2" t="s">
        <v>192</v>
      </c>
      <c r="E2" s="2" t="s">
        <v>196</v>
      </c>
      <c r="F2" s="2" t="s">
        <v>198</v>
      </c>
      <c r="G2" s="2" t="s">
        <v>199</v>
      </c>
    </row>
    <row r="3" spans="1:7" x14ac:dyDescent="0.45">
      <c r="A3" s="2" t="s">
        <v>200</v>
      </c>
      <c r="B3" s="3">
        <v>43926.728865740741</v>
      </c>
      <c r="C3" s="2" t="s">
        <v>127</v>
      </c>
      <c r="D3" s="2" t="s">
        <v>192</v>
      </c>
      <c r="E3" s="2" t="s">
        <v>196</v>
      </c>
      <c r="F3" s="2" t="s">
        <v>198</v>
      </c>
      <c r="G3" s="2" t="s">
        <v>199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8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30</v>
      </c>
    </row>
    <row r="2" spans="1:2" x14ac:dyDescent="0.45">
      <c r="A2" t="s">
        <v>164</v>
      </c>
      <c r="B2">
        <v>4</v>
      </c>
    </row>
    <row r="3" spans="1:2" x14ac:dyDescent="0.45">
      <c r="A3" t="s">
        <v>189</v>
      </c>
      <c r="B3">
        <v>2</v>
      </c>
    </row>
    <row r="4" spans="1:2" x14ac:dyDescent="0.45">
      <c r="A4" t="s">
        <v>126</v>
      </c>
      <c r="B4">
        <v>7</v>
      </c>
    </row>
    <row r="5" spans="1:2" x14ac:dyDescent="0.45">
      <c r="A5" t="s">
        <v>195</v>
      </c>
      <c r="B5">
        <v>6</v>
      </c>
    </row>
    <row r="6" spans="1:2" x14ac:dyDescent="0.45">
      <c r="A6" t="s">
        <v>193</v>
      </c>
      <c r="B6">
        <v>6</v>
      </c>
    </row>
    <row r="7" spans="1:2" x14ac:dyDescent="0.45">
      <c r="A7" t="s">
        <v>194</v>
      </c>
      <c r="B7">
        <v>2</v>
      </c>
    </row>
    <row r="8" spans="1:2" x14ac:dyDescent="0.45">
      <c r="A8" t="s">
        <v>197</v>
      </c>
      <c r="B8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0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188</v>
      </c>
      <c r="I1" s="146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5">
      <c r="A2" s="38" t="s">
        <v>149</v>
      </c>
      <c r="B2" s="149" t="s">
        <v>191</v>
      </c>
      <c r="C2" s="150"/>
      <c r="D2" s="147"/>
      <c r="E2" s="148"/>
      <c r="F2" s="147"/>
      <c r="G2" s="148"/>
      <c r="H2" s="149" t="s">
        <v>191</v>
      </c>
      <c r="I2" s="150"/>
      <c r="J2" s="149" t="s">
        <v>191</v>
      </c>
      <c r="K2" s="150"/>
      <c r="L2" s="149" t="s">
        <v>191</v>
      </c>
      <c r="M2" s="150"/>
      <c r="N2" s="149" t="s">
        <v>191</v>
      </c>
      <c r="O2" s="150"/>
      <c r="P2" s="149" t="s">
        <v>191</v>
      </c>
      <c r="Q2" s="150"/>
      <c r="R2" s="149" t="s">
        <v>191</v>
      </c>
      <c r="S2" s="150"/>
      <c r="T2" s="149" t="s">
        <v>191</v>
      </c>
      <c r="U2" s="150"/>
      <c r="V2" s="149" t="s">
        <v>191</v>
      </c>
      <c r="W2" s="150"/>
      <c r="X2" s="149" t="s">
        <v>191</v>
      </c>
      <c r="Y2" s="150"/>
      <c r="Z2" s="149" t="s">
        <v>191</v>
      </c>
      <c r="AA2" s="150"/>
      <c r="AB2" s="149" t="s">
        <v>191</v>
      </c>
      <c r="AC2" s="150"/>
      <c r="AD2" s="149" t="s">
        <v>191</v>
      </c>
      <c r="AE2" s="150"/>
      <c r="AF2" s="149" t="s">
        <v>191</v>
      </c>
      <c r="AG2" s="150"/>
      <c r="AH2" s="149" t="s">
        <v>191</v>
      </c>
      <c r="AI2" s="150"/>
      <c r="AJ2" s="149" t="s">
        <v>191</v>
      </c>
      <c r="AK2" s="150"/>
    </row>
    <row r="3" spans="1:37" x14ac:dyDescent="0.45">
      <c r="A3" s="40">
        <v>1</v>
      </c>
      <c r="B3" s="43" t="s">
        <v>139</v>
      </c>
      <c r="C3" s="117">
        <v>10</v>
      </c>
      <c r="D3" s="41" t="s">
        <v>126</v>
      </c>
      <c r="E3" s="42">
        <v>168.5</v>
      </c>
      <c r="F3" s="43" t="s">
        <v>194</v>
      </c>
      <c r="G3" s="62">
        <v>68.75</v>
      </c>
      <c r="H3" s="43" t="s">
        <v>194</v>
      </c>
      <c r="I3" s="62">
        <v>22.916666666666668</v>
      </c>
      <c r="J3" s="43" t="s">
        <v>194</v>
      </c>
      <c r="K3" s="44">
        <v>1</v>
      </c>
      <c r="L3" s="43" t="s">
        <v>194</v>
      </c>
      <c r="M3" s="45">
        <v>1</v>
      </c>
      <c r="N3" s="43" t="s">
        <v>126</v>
      </c>
      <c r="O3" s="45">
        <v>0</v>
      </c>
      <c r="P3" s="43" t="s">
        <v>194</v>
      </c>
      <c r="Q3" s="46">
        <v>0.75</v>
      </c>
      <c r="R3" s="43" t="s">
        <v>197</v>
      </c>
      <c r="S3" s="46">
        <v>0.05</v>
      </c>
      <c r="T3" s="43" t="s">
        <v>194</v>
      </c>
      <c r="U3" s="47">
        <v>12555.555555555555</v>
      </c>
      <c r="V3" s="43" t="s">
        <v>197</v>
      </c>
      <c r="W3" s="47">
        <v>-3900</v>
      </c>
      <c r="X3" s="43" t="s">
        <v>164</v>
      </c>
      <c r="Y3" s="45">
        <v>0</v>
      </c>
      <c r="Z3" s="43" t="s">
        <v>193</v>
      </c>
      <c r="AA3" s="46">
        <v>0.3888888888888889</v>
      </c>
      <c r="AB3" s="43" t="s">
        <v>194</v>
      </c>
      <c r="AC3" s="46">
        <v>0.25</v>
      </c>
      <c r="AD3" s="43" t="s">
        <v>194</v>
      </c>
      <c r="AE3" s="46">
        <v>1</v>
      </c>
      <c r="AF3" s="43" t="s">
        <v>126</v>
      </c>
      <c r="AG3" s="46">
        <v>0.83333333333333337</v>
      </c>
      <c r="AH3" s="43" t="s">
        <v>189</v>
      </c>
      <c r="AI3" s="46">
        <v>1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126</v>
      </c>
      <c r="C4" s="118">
        <v>7</v>
      </c>
      <c r="D4" s="49" t="s">
        <v>194</v>
      </c>
      <c r="E4" s="50">
        <v>137.5</v>
      </c>
      <c r="F4" s="51" t="s">
        <v>126</v>
      </c>
      <c r="G4" s="63">
        <v>24.071428571428573</v>
      </c>
      <c r="H4" s="51" t="s">
        <v>126</v>
      </c>
      <c r="I4" s="63">
        <v>14.205555555555556</v>
      </c>
      <c r="J4" s="51" t="s">
        <v>126</v>
      </c>
      <c r="K4" s="52">
        <v>1.4285714285714286</v>
      </c>
      <c r="L4" s="51" t="s">
        <v>126</v>
      </c>
      <c r="M4" s="53">
        <v>0.5714285714285714</v>
      </c>
      <c r="N4" s="51" t="s">
        <v>194</v>
      </c>
      <c r="O4" s="53">
        <v>0</v>
      </c>
      <c r="P4" s="51" t="s">
        <v>126</v>
      </c>
      <c r="Q4" s="54">
        <v>0.41176470588235292</v>
      </c>
      <c r="R4" s="51" t="s">
        <v>194</v>
      </c>
      <c r="S4" s="54">
        <v>8.3333333333333329E-2</v>
      </c>
      <c r="T4" s="51" t="s">
        <v>164</v>
      </c>
      <c r="U4" s="55">
        <v>9714.2857142857138</v>
      </c>
      <c r="V4" s="51" t="s">
        <v>164</v>
      </c>
      <c r="W4" s="55">
        <v>-4533.333333333333</v>
      </c>
      <c r="X4" s="51" t="s">
        <v>189</v>
      </c>
      <c r="Y4" s="53">
        <v>0</v>
      </c>
      <c r="Z4" s="51" t="s">
        <v>194</v>
      </c>
      <c r="AA4" s="54">
        <v>0.33333333333333331</v>
      </c>
      <c r="AB4" s="51" t="s">
        <v>126</v>
      </c>
      <c r="AC4" s="54">
        <v>0.23529411764705882</v>
      </c>
      <c r="AD4" s="51" t="s">
        <v>197</v>
      </c>
      <c r="AE4" s="54">
        <v>0.75</v>
      </c>
      <c r="AF4" s="51" t="s">
        <v>194</v>
      </c>
      <c r="AG4" s="54">
        <v>0.66666666666666663</v>
      </c>
      <c r="AH4" s="51" t="s">
        <v>194</v>
      </c>
      <c r="AI4" s="54">
        <v>0.55555555555555558</v>
      </c>
      <c r="AJ4" s="51" t="s">
        <v>194</v>
      </c>
      <c r="AK4" s="58">
        <v>106500</v>
      </c>
    </row>
    <row r="5" spans="1:37" x14ac:dyDescent="0.45">
      <c r="A5" s="48">
        <v>3</v>
      </c>
      <c r="B5" s="51" t="s">
        <v>195</v>
      </c>
      <c r="C5" s="118">
        <v>6</v>
      </c>
      <c r="D5" s="49" t="s">
        <v>164</v>
      </c>
      <c r="E5" s="50">
        <v>27.4</v>
      </c>
      <c r="F5" s="51" t="s">
        <v>164</v>
      </c>
      <c r="G5" s="63">
        <v>6.85</v>
      </c>
      <c r="H5" s="51" t="s">
        <v>139</v>
      </c>
      <c r="I5" s="63">
        <v>0</v>
      </c>
      <c r="J5" s="51" t="s">
        <v>164</v>
      </c>
      <c r="K5" s="52">
        <v>1.75</v>
      </c>
      <c r="L5" s="51" t="s">
        <v>164</v>
      </c>
      <c r="M5" s="53">
        <v>0.5</v>
      </c>
      <c r="N5" s="51" t="s">
        <v>164</v>
      </c>
      <c r="O5" s="53">
        <v>0.25</v>
      </c>
      <c r="P5" s="51" t="s">
        <v>139</v>
      </c>
      <c r="Q5" s="54">
        <v>0.28985507246376813</v>
      </c>
      <c r="R5" s="51" t="s">
        <v>164</v>
      </c>
      <c r="S5" s="54">
        <v>9.6774193548387094E-2</v>
      </c>
      <c r="T5" s="51" t="s">
        <v>193</v>
      </c>
      <c r="U5" s="55">
        <v>8566.6666666666661</v>
      </c>
      <c r="V5" s="51" t="s">
        <v>189</v>
      </c>
      <c r="W5" s="55">
        <v>-6088.8888888888887</v>
      </c>
      <c r="X5" s="51" t="s">
        <v>126</v>
      </c>
      <c r="Y5" s="53">
        <v>0</v>
      </c>
      <c r="Z5" s="51" t="s">
        <v>195</v>
      </c>
      <c r="AA5" s="54">
        <v>0.32432432432432434</v>
      </c>
      <c r="AB5" s="51" t="s">
        <v>164</v>
      </c>
      <c r="AC5" s="54">
        <v>0.22580645161290322</v>
      </c>
      <c r="AD5" s="51" t="s">
        <v>126</v>
      </c>
      <c r="AE5" s="54">
        <v>0.58333333333333337</v>
      </c>
      <c r="AF5" s="51" t="s">
        <v>139</v>
      </c>
      <c r="AG5" s="54">
        <v>0.44444444444444442</v>
      </c>
      <c r="AH5" s="51" t="s">
        <v>139</v>
      </c>
      <c r="AI5" s="54">
        <v>0.45</v>
      </c>
      <c r="AJ5" s="51" t="s">
        <v>126</v>
      </c>
      <c r="AK5" s="58">
        <v>85400</v>
      </c>
    </row>
    <row r="6" spans="1:37" x14ac:dyDescent="0.45">
      <c r="A6" s="48">
        <v>4</v>
      </c>
      <c r="B6" s="51" t="s">
        <v>193</v>
      </c>
      <c r="C6" s="118">
        <v>6</v>
      </c>
      <c r="D6" s="49" t="s">
        <v>139</v>
      </c>
      <c r="E6" s="50">
        <v>-7.1054273576010019E-15</v>
      </c>
      <c r="F6" s="51" t="s">
        <v>139</v>
      </c>
      <c r="G6" s="63">
        <v>-2.3684757858670006E-16</v>
      </c>
      <c r="H6" s="51" t="s">
        <v>164</v>
      </c>
      <c r="I6" s="63">
        <v>-1.599999999999999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193</v>
      </c>
      <c r="Q6" s="54">
        <v>0.25</v>
      </c>
      <c r="R6" s="51" t="s">
        <v>126</v>
      </c>
      <c r="S6" s="54">
        <v>9.8039215686274508E-2</v>
      </c>
      <c r="T6" s="51" t="s">
        <v>139</v>
      </c>
      <c r="U6" s="55">
        <v>8556.6666666666661</v>
      </c>
      <c r="V6" s="51" t="s">
        <v>139</v>
      </c>
      <c r="W6" s="55">
        <v>-7227.272727272727</v>
      </c>
      <c r="X6" s="51" t="s">
        <v>194</v>
      </c>
      <c r="Y6" s="53">
        <v>0</v>
      </c>
      <c r="Z6" s="51" t="s">
        <v>164</v>
      </c>
      <c r="AA6" s="54">
        <v>0.32258064516129031</v>
      </c>
      <c r="AB6" s="51" t="s">
        <v>139</v>
      </c>
      <c r="AC6" s="54">
        <v>0.13043478260869565</v>
      </c>
      <c r="AD6" s="51" t="s">
        <v>139</v>
      </c>
      <c r="AE6" s="54">
        <v>0.50819672131147542</v>
      </c>
      <c r="AF6" s="51" t="s">
        <v>164</v>
      </c>
      <c r="AG6" s="54">
        <v>0</v>
      </c>
      <c r="AH6" s="51" t="s">
        <v>193</v>
      </c>
      <c r="AI6" s="54">
        <v>0.44444444444444442</v>
      </c>
      <c r="AJ6" s="51" t="s">
        <v>164</v>
      </c>
      <c r="AK6" s="58">
        <v>60800</v>
      </c>
    </row>
    <row r="7" spans="1:37" x14ac:dyDescent="0.45">
      <c r="A7" s="48">
        <v>5</v>
      </c>
      <c r="B7" s="51" t="s">
        <v>164</v>
      </c>
      <c r="C7" s="118">
        <v>4</v>
      </c>
      <c r="D7" s="49" t="s">
        <v>197</v>
      </c>
      <c r="E7" s="50">
        <v>-41.400000000000006</v>
      </c>
      <c r="F7" s="51" t="s">
        <v>193</v>
      </c>
      <c r="G7" s="63">
        <v>-11.75</v>
      </c>
      <c r="H7" s="51" t="s">
        <v>193</v>
      </c>
      <c r="I7" s="63">
        <v>-5.7055555555555584</v>
      </c>
      <c r="J7" s="51" t="s">
        <v>193</v>
      </c>
      <c r="K7" s="52">
        <v>2.1666666666666665</v>
      </c>
      <c r="L7" s="51" t="s">
        <v>193</v>
      </c>
      <c r="M7" s="53">
        <v>0.33333333333333331</v>
      </c>
      <c r="N7" s="51" t="s">
        <v>197</v>
      </c>
      <c r="O7" s="53">
        <v>0.33333333333333331</v>
      </c>
      <c r="P7" s="51" t="s">
        <v>164</v>
      </c>
      <c r="Q7" s="54">
        <v>0.22580645161290322</v>
      </c>
      <c r="R7" s="51" t="s">
        <v>139</v>
      </c>
      <c r="S7" s="54">
        <v>0.15942028985507245</v>
      </c>
      <c r="T7" s="51" t="s">
        <v>126</v>
      </c>
      <c r="U7" s="55">
        <v>8552.3809523809523</v>
      </c>
      <c r="V7" s="51" t="s">
        <v>126</v>
      </c>
      <c r="W7" s="55">
        <v>-7320</v>
      </c>
      <c r="X7" s="51" t="s">
        <v>197</v>
      </c>
      <c r="Y7" s="53">
        <v>0</v>
      </c>
      <c r="Z7" s="51" t="s">
        <v>139</v>
      </c>
      <c r="AA7" s="54">
        <v>0.29468599033816423</v>
      </c>
      <c r="AB7" s="51" t="s">
        <v>195</v>
      </c>
      <c r="AC7" s="54">
        <v>5.4054054054054057E-2</v>
      </c>
      <c r="AD7" s="51" t="s">
        <v>164</v>
      </c>
      <c r="AE7" s="54">
        <v>0.5</v>
      </c>
      <c r="AF7" s="51" t="s">
        <v>189</v>
      </c>
      <c r="AG7" s="54">
        <v>0</v>
      </c>
      <c r="AH7" s="51" t="s">
        <v>164</v>
      </c>
      <c r="AI7" s="54">
        <v>0.42857142857142855</v>
      </c>
      <c r="AJ7" s="51" t="s">
        <v>193</v>
      </c>
      <c r="AK7" s="58">
        <v>51000</v>
      </c>
    </row>
    <row r="8" spans="1:37" x14ac:dyDescent="0.45">
      <c r="A8" s="48">
        <v>6</v>
      </c>
      <c r="B8" s="51" t="s">
        <v>197</v>
      </c>
      <c r="C8" s="118">
        <v>3</v>
      </c>
      <c r="D8" s="49" t="s">
        <v>193</v>
      </c>
      <c r="E8" s="50">
        <v>-70.5</v>
      </c>
      <c r="F8" s="51" t="s">
        <v>197</v>
      </c>
      <c r="G8" s="63">
        <v>-13.800000000000002</v>
      </c>
      <c r="H8" s="51" t="s">
        <v>197</v>
      </c>
      <c r="I8" s="63">
        <v>-9.0333333333333332</v>
      </c>
      <c r="J8" s="51" t="s">
        <v>197</v>
      </c>
      <c r="K8" s="52">
        <v>2.3333333333333335</v>
      </c>
      <c r="L8" s="51" t="s">
        <v>189</v>
      </c>
      <c r="M8" s="53">
        <v>0</v>
      </c>
      <c r="N8" s="51" t="s">
        <v>195</v>
      </c>
      <c r="O8" s="53">
        <v>0.5</v>
      </c>
      <c r="P8" s="51" t="s">
        <v>189</v>
      </c>
      <c r="Q8" s="54">
        <v>0.2</v>
      </c>
      <c r="R8" s="51" t="s">
        <v>195</v>
      </c>
      <c r="S8" s="54">
        <v>0.1891891891891892</v>
      </c>
      <c r="T8" s="51" t="s">
        <v>189</v>
      </c>
      <c r="U8" s="55">
        <v>7050</v>
      </c>
      <c r="V8" s="51" t="s">
        <v>195</v>
      </c>
      <c r="W8" s="55">
        <v>-8214.2857142857138</v>
      </c>
      <c r="X8" s="51" t="s">
        <v>139</v>
      </c>
      <c r="Y8" s="53">
        <v>0.1</v>
      </c>
      <c r="Z8" s="51" t="s">
        <v>189</v>
      </c>
      <c r="AA8" s="54">
        <v>0.25</v>
      </c>
      <c r="AB8" s="51" t="s">
        <v>189</v>
      </c>
      <c r="AC8" s="54">
        <v>0.05</v>
      </c>
      <c r="AD8" s="51" t="s">
        <v>193</v>
      </c>
      <c r="AE8" s="54">
        <v>0.5</v>
      </c>
      <c r="AF8" s="51" t="s">
        <v>195</v>
      </c>
      <c r="AG8" s="54">
        <v>0</v>
      </c>
      <c r="AH8" s="51" t="s">
        <v>126</v>
      </c>
      <c r="AI8" s="54">
        <v>0.38095238095238093</v>
      </c>
      <c r="AJ8" s="51" t="s">
        <v>197</v>
      </c>
      <c r="AK8" s="58">
        <v>36900</v>
      </c>
    </row>
    <row r="9" spans="1:37" x14ac:dyDescent="0.45">
      <c r="A9" s="48">
        <v>7</v>
      </c>
      <c r="B9" s="51" t="s">
        <v>189</v>
      </c>
      <c r="C9" s="118">
        <v>2</v>
      </c>
      <c r="D9" s="49" t="s">
        <v>189</v>
      </c>
      <c r="E9" s="50">
        <v>-75.5</v>
      </c>
      <c r="F9" s="51" t="s">
        <v>195</v>
      </c>
      <c r="G9" s="63">
        <v>-24.333333333333332</v>
      </c>
      <c r="H9" s="51" t="s">
        <v>189</v>
      </c>
      <c r="I9" s="63">
        <v>-12.583333333333334</v>
      </c>
      <c r="J9" s="51" t="s">
        <v>195</v>
      </c>
      <c r="K9" s="52">
        <v>2.5</v>
      </c>
      <c r="L9" s="51" t="s">
        <v>195</v>
      </c>
      <c r="M9" s="53">
        <v>0</v>
      </c>
      <c r="N9" s="51" t="s">
        <v>193</v>
      </c>
      <c r="O9" s="53">
        <v>0.5</v>
      </c>
      <c r="P9" s="51" t="s">
        <v>197</v>
      </c>
      <c r="Q9" s="54">
        <v>0.2</v>
      </c>
      <c r="R9" s="51" t="s">
        <v>193</v>
      </c>
      <c r="S9" s="54">
        <v>0.19444444444444445</v>
      </c>
      <c r="T9" s="51" t="s">
        <v>197</v>
      </c>
      <c r="U9" s="55">
        <v>5100</v>
      </c>
      <c r="V9" s="51" t="s">
        <v>193</v>
      </c>
      <c r="W9" s="55">
        <v>-8585.7142857142862</v>
      </c>
      <c r="X9" s="51" t="s">
        <v>193</v>
      </c>
      <c r="Y9" s="53">
        <v>0.16666666666666666</v>
      </c>
      <c r="Z9" s="51" t="s">
        <v>126</v>
      </c>
      <c r="AA9" s="54">
        <v>0.23529411764705882</v>
      </c>
      <c r="AB9" s="51" t="s">
        <v>197</v>
      </c>
      <c r="AC9" s="54">
        <v>0.05</v>
      </c>
      <c r="AD9" s="51" t="s">
        <v>189</v>
      </c>
      <c r="AE9" s="54">
        <v>0.4</v>
      </c>
      <c r="AF9" s="51" t="s">
        <v>193</v>
      </c>
      <c r="AG9" s="54">
        <v>0</v>
      </c>
      <c r="AH9" s="51" t="s">
        <v>195</v>
      </c>
      <c r="AI9" s="54">
        <v>0.33333333333333331</v>
      </c>
      <c r="AJ9" s="51" t="s">
        <v>195</v>
      </c>
      <c r="AK9" s="58">
        <v>34500</v>
      </c>
    </row>
    <row r="10" spans="1:37" x14ac:dyDescent="0.45">
      <c r="A10" s="48">
        <v>8</v>
      </c>
      <c r="B10" s="51" t="s">
        <v>194</v>
      </c>
      <c r="C10" s="118">
        <v>2</v>
      </c>
      <c r="D10" s="49" t="s">
        <v>195</v>
      </c>
      <c r="E10" s="50">
        <v>-146</v>
      </c>
      <c r="F10" s="51" t="s">
        <v>189</v>
      </c>
      <c r="G10" s="63">
        <v>-37.75</v>
      </c>
      <c r="H10" s="51" t="s">
        <v>195</v>
      </c>
      <c r="I10" s="63">
        <v>-16.222222222222221</v>
      </c>
      <c r="J10" s="51" t="s">
        <v>189</v>
      </c>
      <c r="K10" s="52">
        <v>3</v>
      </c>
      <c r="L10" s="51" t="s">
        <v>197</v>
      </c>
      <c r="M10" s="53">
        <v>0</v>
      </c>
      <c r="N10" s="51" t="s">
        <v>189</v>
      </c>
      <c r="O10" s="53">
        <v>1</v>
      </c>
      <c r="P10" s="51" t="s">
        <v>195</v>
      </c>
      <c r="Q10" s="54">
        <v>0.16216216216216217</v>
      </c>
      <c r="R10" s="51" t="s">
        <v>189</v>
      </c>
      <c r="S10" s="54">
        <v>0.45</v>
      </c>
      <c r="T10" s="51" t="s">
        <v>195</v>
      </c>
      <c r="U10" s="55">
        <v>4516.666666666667</v>
      </c>
      <c r="V10" s="51" t="s">
        <v>194</v>
      </c>
      <c r="W10" s="55">
        <v>-12000</v>
      </c>
      <c r="X10" s="51" t="s">
        <v>195</v>
      </c>
      <c r="Y10" s="53">
        <v>0.33333333333333331</v>
      </c>
      <c r="Z10" s="51" t="s">
        <v>197</v>
      </c>
      <c r="AA10" s="54">
        <v>0.2</v>
      </c>
      <c r="AB10" s="51" t="s">
        <v>193</v>
      </c>
      <c r="AC10" s="54">
        <v>2.7777777777777776E-2</v>
      </c>
      <c r="AD10" s="51" t="s">
        <v>195</v>
      </c>
      <c r="AE10" s="54">
        <v>0.25</v>
      </c>
      <c r="AF10" s="51" t="s">
        <v>197</v>
      </c>
      <c r="AG10" s="54">
        <v>0</v>
      </c>
      <c r="AH10" s="51" t="s">
        <v>197</v>
      </c>
      <c r="AI10" s="54">
        <v>0.25</v>
      </c>
      <c r="AJ10" s="51" t="s">
        <v>189</v>
      </c>
      <c r="AK10" s="58">
        <v>8700</v>
      </c>
    </row>
  </sheetData>
  <sortState xmlns:xlrd2="http://schemas.microsoft.com/office/spreadsheetml/2017/richdata2" ref="AJ3:AK36">
    <sortCondition descending="1" ref="AK1"/>
  </sortState>
  <mergeCells count="36"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D1:E1"/>
    <mergeCell ref="F1:G1"/>
    <mergeCell ref="J1:K1"/>
    <mergeCell ref="L1:M1"/>
    <mergeCell ref="B1:C1"/>
    <mergeCell ref="D2:E2"/>
    <mergeCell ref="F2:G2"/>
    <mergeCell ref="J2:K2"/>
    <mergeCell ref="L2:M2"/>
    <mergeCell ref="P2:Q2"/>
    <mergeCell ref="N2:O2"/>
    <mergeCell ref="H2:I2"/>
    <mergeCell ref="P1:Q1"/>
    <mergeCell ref="N1:O1"/>
    <mergeCell ref="H1:I1"/>
    <mergeCell ref="X1:Y1"/>
    <mergeCell ref="AH1:AI1"/>
    <mergeCell ref="Z1:AA1"/>
    <mergeCell ref="AB1:AC1"/>
    <mergeCell ref="AD1:AE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30</v>
      </c>
      <c r="C2" s="136"/>
      <c r="E2" s="28" t="s">
        <v>66</v>
      </c>
      <c r="F2" s="25" t="s">
        <v>22</v>
      </c>
      <c r="G2" s="13">
        <v>47</v>
      </c>
      <c r="H2" s="91">
        <f>IF(B$19=0,0,G2/B$19)</f>
        <v>0.78333333333333333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30</v>
      </c>
      <c r="Q2" s="67">
        <v>0</v>
      </c>
    </row>
    <row r="3" spans="1:17" x14ac:dyDescent="0.45">
      <c r="A3" s="21" t="s">
        <v>8</v>
      </c>
      <c r="B3" s="137">
        <v>207</v>
      </c>
      <c r="C3" s="138"/>
      <c r="E3" s="29" t="s">
        <v>64</v>
      </c>
      <c r="F3" s="26" t="s">
        <v>20</v>
      </c>
      <c r="G3" s="14">
        <v>32</v>
      </c>
      <c r="H3" s="92">
        <f>IF(B$19=0,0,G3/B$19)</f>
        <v>0.53333333333333333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30</v>
      </c>
      <c r="Q3" s="68">
        <v>0</v>
      </c>
    </row>
    <row r="4" spans="1:17" x14ac:dyDescent="0.45">
      <c r="A4" s="21" t="s">
        <v>6</v>
      </c>
      <c r="B4" s="139">
        <v>-7.1054273576010019E-15</v>
      </c>
      <c r="C4" s="140"/>
      <c r="E4" s="29" t="s">
        <v>72</v>
      </c>
      <c r="F4" s="26" t="s">
        <v>27</v>
      </c>
      <c r="G4" s="14">
        <v>31</v>
      </c>
      <c r="H4" s="92">
        <f>IF(B$19=0,0,G4/B$19)</f>
        <v>0.51666666666666672</v>
      </c>
      <c r="I4" s="60">
        <v>3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30</v>
      </c>
      <c r="Q4" s="68">
        <v>0</v>
      </c>
    </row>
    <row r="5" spans="1:17" x14ac:dyDescent="0.45">
      <c r="A5" s="21" t="s">
        <v>7</v>
      </c>
      <c r="B5" s="127">
        <f>IF(B$2=0,0,B$4/B$2)</f>
        <v>-2.3684757858670006E-16</v>
      </c>
      <c r="C5" s="128"/>
      <c r="E5" s="29" t="s">
        <v>160</v>
      </c>
      <c r="F5" s="26" t="s">
        <v>161</v>
      </c>
      <c r="G5" s="14">
        <v>19</v>
      </c>
      <c r="H5" s="92">
        <f>IF(B$19=0,0,G5/B$19)</f>
        <v>0.31666666666666665</v>
      </c>
      <c r="I5" s="60">
        <v>3</v>
      </c>
      <c r="K5" s="7">
        <v>3</v>
      </c>
      <c r="L5" s="65">
        <v>7.1054273576010019E-15</v>
      </c>
      <c r="N5" s="78" t="s">
        <v>131</v>
      </c>
      <c r="O5" s="84">
        <f t="shared" si="0"/>
        <v>0</v>
      </c>
      <c r="P5" s="81">
        <v>21</v>
      </c>
      <c r="Q5" s="68">
        <v>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17</v>
      </c>
      <c r="H6" s="92">
        <f>IF(B$19=0,0,G6/B$19)</f>
        <v>0.28333333333333333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-142.85714285714286</v>
      </c>
      <c r="P6" s="81">
        <v>21</v>
      </c>
      <c r="Q6" s="68">
        <v>-3000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15</v>
      </c>
      <c r="H7" s="92">
        <f>IF(B$19=0,0,G7/B$19)</f>
        <v>0.25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200</v>
      </c>
      <c r="P7" s="82">
        <v>15</v>
      </c>
      <c r="Q7" s="69">
        <v>3000</v>
      </c>
    </row>
    <row r="8" spans="1:17" x14ac:dyDescent="0.45">
      <c r="A8" s="21" t="s">
        <v>3</v>
      </c>
      <c r="B8" s="14">
        <v>10</v>
      </c>
      <c r="C8" s="8">
        <f t="shared" si="1"/>
        <v>0.33333333333333331</v>
      </c>
      <c r="E8" s="29" t="s">
        <v>65</v>
      </c>
      <c r="F8" s="26" t="s">
        <v>21</v>
      </c>
      <c r="G8" s="14">
        <v>10</v>
      </c>
      <c r="H8" s="92">
        <f>IF(B$19=0,0,G8/B$19)</f>
        <v>0.16666666666666666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0.33333333333333331</v>
      </c>
      <c r="E9" s="29" t="s">
        <v>89</v>
      </c>
      <c r="F9" s="26" t="s">
        <v>44</v>
      </c>
      <c r="G9" s="14">
        <v>8</v>
      </c>
      <c r="H9" s="92">
        <f>IF(B$19=0,0,G9/B$19)</f>
        <v>0.13333333333333333</v>
      </c>
      <c r="I9" s="60">
        <v>3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40.480000000000004</v>
      </c>
      <c r="C10" s="114">
        <v>404.8</v>
      </c>
      <c r="E10" s="29" t="s">
        <v>71</v>
      </c>
      <c r="F10" s="26" t="s">
        <v>26</v>
      </c>
      <c r="G10" s="14">
        <v>6</v>
      </c>
      <c r="H10" s="92">
        <f>IF(B$19=0,0,G10/B$19)</f>
        <v>0.1</v>
      </c>
      <c r="I10" s="60">
        <v>4</v>
      </c>
      <c r="K10" s="7">
        <v>8</v>
      </c>
      <c r="L10" s="65">
        <v>-81.5</v>
      </c>
      <c r="N10" s="77" t="s">
        <v>152</v>
      </c>
      <c r="O10" s="86">
        <f>IF(P10=0,0,Q10/P10)</f>
        <v>-8.2800000000000011</v>
      </c>
      <c r="P10" s="80">
        <v>10</v>
      </c>
      <c r="Q10" s="71">
        <v>-82.800000000000011</v>
      </c>
    </row>
    <row r="11" spans="1:17" x14ac:dyDescent="0.45">
      <c r="A11" s="22" t="s">
        <v>186</v>
      </c>
      <c r="B11" s="113">
        <f>IF(B8=0,0,C11/B8)</f>
        <v>-3.56</v>
      </c>
      <c r="C11" s="114">
        <v>-35.6</v>
      </c>
      <c r="E11" s="29" t="s">
        <v>86</v>
      </c>
      <c r="F11" s="26" t="s">
        <v>41</v>
      </c>
      <c r="G11" s="14">
        <v>6</v>
      </c>
      <c r="H11" s="92">
        <f>IF(B$19=0,0,G11/B$19)</f>
        <v>0.1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-18.04</v>
      </c>
      <c r="P11" s="81">
        <v>10</v>
      </c>
      <c r="Q11" s="72">
        <v>-180.4</v>
      </c>
    </row>
    <row r="12" spans="1:17" x14ac:dyDescent="0.45">
      <c r="A12" s="22" t="s">
        <v>187</v>
      </c>
      <c r="B12" s="113">
        <f>IF(B9=0,0,C12/B9)</f>
        <v>-36.92</v>
      </c>
      <c r="C12" s="114">
        <v>-369.20000000000005</v>
      </c>
      <c r="E12" s="29" t="s">
        <v>69</v>
      </c>
      <c r="F12" s="26" t="s">
        <v>24</v>
      </c>
      <c r="G12" s="14">
        <v>5</v>
      </c>
      <c r="H12" s="92">
        <f>IF(B$19=0,0,G12/B$19)</f>
        <v>8.3333333333333329E-2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26.319999999999993</v>
      </c>
      <c r="P12" s="82">
        <v>10</v>
      </c>
      <c r="Q12" s="73">
        <v>263.19999999999993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2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</v>
      </c>
      <c r="E14" s="29" t="s">
        <v>81</v>
      </c>
      <c r="F14" s="26" t="s">
        <v>36</v>
      </c>
      <c r="G14" s="14">
        <v>3</v>
      </c>
      <c r="H14" s="92">
        <f>IF(B$19=0,0,G14/B$19)</f>
        <v>0.05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</v>
      </c>
      <c r="C15" s="12">
        <f>IF(B$3=0,0,B15/B$3)</f>
        <v>0.29468599033816423</v>
      </c>
      <c r="E15" s="29" t="s">
        <v>79</v>
      </c>
      <c r="F15" s="26" t="s">
        <v>34</v>
      </c>
      <c r="G15" s="14">
        <v>1</v>
      </c>
      <c r="H15" s="92">
        <f>IF(B$19=0,0,G15/B$19)</f>
        <v>1.6666666666666666E-2</v>
      </c>
      <c r="I15" s="60">
        <v>2</v>
      </c>
      <c r="K15" s="7">
        <v>13</v>
      </c>
      <c r="L15" s="65">
        <v>14.300000000000002</v>
      </c>
      <c r="N15" s="77" t="s">
        <v>189</v>
      </c>
      <c r="O15" s="86">
        <f>IF(P15=0,0,Q15/P15)</f>
        <v>56.625</v>
      </c>
      <c r="P15" s="80">
        <v>4</v>
      </c>
      <c r="Q15" s="71">
        <v>226.5</v>
      </c>
    </row>
    <row r="16" spans="1:17" x14ac:dyDescent="0.45">
      <c r="A16" s="21" t="s">
        <v>118</v>
      </c>
      <c r="B16" s="14">
        <v>27</v>
      </c>
      <c r="C16" s="8">
        <f>IF(B$3=0,0,B16/B$3)</f>
        <v>0.13043478260869565</v>
      </c>
      <c r="E16" s="29" t="s">
        <v>83</v>
      </c>
      <c r="F16" s="26" t="s">
        <v>38</v>
      </c>
      <c r="G16" s="14">
        <v>1</v>
      </c>
      <c r="H16" s="92">
        <f>IF(B$19=0,0,G16/B$19)</f>
        <v>1.6666666666666666E-2</v>
      </c>
      <c r="I16" s="60">
        <v>2</v>
      </c>
      <c r="K16" s="7">
        <v>14</v>
      </c>
      <c r="L16" s="65">
        <v>12.800000000000002</v>
      </c>
      <c r="N16" s="78" t="s">
        <v>195</v>
      </c>
      <c r="O16" s="87">
        <f>IF(P16=0,0,Q16/P16)</f>
        <v>36.5</v>
      </c>
      <c r="P16" s="81">
        <v>12</v>
      </c>
      <c r="Q16" s="72">
        <v>438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0.50819672131147542</v>
      </c>
      <c r="E17" s="29" t="s">
        <v>95</v>
      </c>
      <c r="F17" s="26" t="s">
        <v>50</v>
      </c>
      <c r="G17" s="14">
        <v>1</v>
      </c>
      <c r="H17" s="92">
        <f>IF(B$19=0,0,G17/B$19)</f>
        <v>1.6666666666666666E-2</v>
      </c>
      <c r="I17" s="60">
        <v>2</v>
      </c>
      <c r="K17" s="7">
        <v>15</v>
      </c>
      <c r="L17" s="65">
        <v>1.7763568394002505E-15</v>
      </c>
      <c r="N17" s="78" t="s">
        <v>197</v>
      </c>
      <c r="O17" s="87">
        <f>IF(P17=0,0,Q17/P17)</f>
        <v>20.7</v>
      </c>
      <c r="P17" s="81">
        <v>6</v>
      </c>
      <c r="Q17" s="72">
        <v>124.19999999999999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0.44444444444444442</v>
      </c>
      <c r="E18" s="29" t="s">
        <v>102</v>
      </c>
      <c r="F18" s="26" t="s">
        <v>57</v>
      </c>
      <c r="G18" s="14">
        <v>1</v>
      </c>
      <c r="H18" s="92">
        <f>IF(B$19=0,0,G18/B$19)</f>
        <v>1.6666666666666666E-2</v>
      </c>
      <c r="I18" s="60">
        <v>2</v>
      </c>
      <c r="K18" s="7">
        <v>16</v>
      </c>
      <c r="L18" s="65">
        <v>3.4000000000000017</v>
      </c>
      <c r="N18" s="78" t="s">
        <v>193</v>
      </c>
      <c r="O18" s="87">
        <f>IF(P18=0,0,Q18/P18)</f>
        <v>17.624999999999989</v>
      </c>
      <c r="P18" s="81">
        <v>12</v>
      </c>
      <c r="Q18" s="72">
        <v>211.49999999999989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0.28985507246376813</v>
      </c>
      <c r="E19" s="29" t="s">
        <v>156</v>
      </c>
      <c r="F19" s="26" t="s">
        <v>157</v>
      </c>
      <c r="G19" s="14">
        <v>1</v>
      </c>
      <c r="H19" s="92">
        <f>IF(B$19=0,0,G19/B$19)</f>
        <v>1.6666666666666666E-2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-10.274999999999999</v>
      </c>
      <c r="P19" s="81">
        <v>8</v>
      </c>
      <c r="Q19" s="72">
        <v>-82.199999999999989</v>
      </c>
    </row>
    <row r="20" spans="1:17" x14ac:dyDescent="0.45">
      <c r="A20" s="21" t="s">
        <v>13</v>
      </c>
      <c r="B20" s="14">
        <v>33</v>
      </c>
      <c r="C20" s="8">
        <f>IF(B$3=0,0,B20/B$3)</f>
        <v>0.15942028985507245</v>
      </c>
      <c r="E20" s="29" t="s">
        <v>73</v>
      </c>
      <c r="F20" s="26" t="s">
        <v>28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-7.1054273576010019E-15</v>
      </c>
      <c r="N20" s="78" t="s">
        <v>126</v>
      </c>
      <c r="O20" s="87">
        <f>IF(P20=0,0,Q20/P20)</f>
        <v>-36.107142857142854</v>
      </c>
      <c r="P20" s="81">
        <v>14</v>
      </c>
      <c r="Q20" s="72">
        <v>-505.49999999999994</v>
      </c>
    </row>
    <row r="21" spans="1:17" x14ac:dyDescent="0.45">
      <c r="A21" s="21" t="s">
        <v>12</v>
      </c>
      <c r="B21" s="14">
        <v>27</v>
      </c>
      <c r="C21" s="8">
        <f>IF(B$19=0,0,B21/B$19)</f>
        <v>0.45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-27.100000000000009</v>
      </c>
      <c r="N21" s="78" t="s">
        <v>194</v>
      </c>
      <c r="O21" s="87">
        <f>IF(P21=0,0,Q21/P21)</f>
        <v>-103.125</v>
      </c>
      <c r="P21" s="81">
        <v>4</v>
      </c>
      <c r="Q21" s="72">
        <v>-412.5</v>
      </c>
    </row>
    <row r="22" spans="1:17" x14ac:dyDescent="0.45">
      <c r="A22" s="21" t="s">
        <v>11</v>
      </c>
      <c r="B22" s="14">
        <v>33</v>
      </c>
      <c r="C22" s="8">
        <f>IF(B$19=0,0,B22/B$19)</f>
        <v>0.55000000000000004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-28.600000000000009</v>
      </c>
    </row>
    <row r="23" spans="1:17" x14ac:dyDescent="0.45">
      <c r="A23" s="21" t="s">
        <v>184</v>
      </c>
      <c r="B23" s="14">
        <v>31</v>
      </c>
      <c r="C23" s="8">
        <f>IF(B$19=0,0,B23/B$19)</f>
        <v>0.51666666666666672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12</v>
      </c>
      <c r="C24" s="8">
        <f>IF(B$19=0,0,B24/B$19)</f>
        <v>0.2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78</v>
      </c>
      <c r="F25" s="26" t="s">
        <v>33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8556.6666666666661</v>
      </c>
      <c r="C26" s="10">
        <v>513400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8393.75</v>
      </c>
      <c r="C27" s="100">
        <v>402900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9208.3333333333339</v>
      </c>
      <c r="C28" s="100">
        <v>110500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-7227.272727272727</v>
      </c>
      <c r="C29" s="100">
        <v>-238500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6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9" x14ac:dyDescent="0.45">
      <c r="A33" s="24" t="s">
        <v>181</v>
      </c>
      <c r="B33" s="131">
        <v>106500</v>
      </c>
      <c r="C33" s="132"/>
      <c r="E33" s="29" t="s">
        <v>91</v>
      </c>
      <c r="F33" s="26" t="s">
        <v>46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4.830917874396135E-3</v>
      </c>
      <c r="E34" s="29" t="s">
        <v>92</v>
      </c>
      <c r="F34" s="26" t="s">
        <v>47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3.3333333333333333E-2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13</v>
      </c>
      <c r="C37" s="8">
        <f t="shared" si="2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15</v>
      </c>
      <c r="C38" s="8">
        <f t="shared" si="2"/>
        <v>0.25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0.11666666666666667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2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5</v>
      </c>
      <c r="C42" s="8">
        <f t="shared" si="2"/>
        <v>8.3333333333333329E-2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2</v>
      </c>
      <c r="C45" s="8">
        <f t="shared" si="2"/>
        <v>3.3333333333333333E-2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2</v>
      </c>
      <c r="C48" s="11">
        <f t="shared" si="2"/>
        <v>3.3333333333333333E-2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</v>
      </c>
      <c r="C2" s="136"/>
      <c r="E2" s="28" t="s">
        <v>66</v>
      </c>
      <c r="F2" s="25" t="s">
        <v>22</v>
      </c>
      <c r="G2" s="13">
        <v>10</v>
      </c>
      <c r="H2" s="91">
        <f>IF(B$19=0,0,G2/B$19)</f>
        <v>1.4285714285714286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-625</v>
      </c>
      <c r="P2" s="80">
        <v>4</v>
      </c>
      <c r="Q2" s="67">
        <v>-2500</v>
      </c>
    </row>
    <row r="3" spans="1:17" x14ac:dyDescent="0.45">
      <c r="A3" s="21" t="s">
        <v>8</v>
      </c>
      <c r="B3" s="137">
        <v>31</v>
      </c>
      <c r="C3" s="138"/>
      <c r="E3" s="29" t="s">
        <v>64</v>
      </c>
      <c r="F3" s="26" t="s">
        <v>20</v>
      </c>
      <c r="G3" s="14">
        <v>5</v>
      </c>
      <c r="H3" s="92">
        <f>IF(B$19=0,0,G3/B$19)</f>
        <v>0.7142857142857143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125</v>
      </c>
      <c r="P3" s="81">
        <v>4</v>
      </c>
      <c r="Q3" s="68">
        <v>500</v>
      </c>
    </row>
    <row r="4" spans="1:17" x14ac:dyDescent="0.45">
      <c r="A4" s="21" t="s">
        <v>6</v>
      </c>
      <c r="B4" s="139">
        <v>27.4</v>
      </c>
      <c r="C4" s="140"/>
      <c r="E4" s="29" t="s">
        <v>160</v>
      </c>
      <c r="F4" s="26" t="s">
        <v>161</v>
      </c>
      <c r="G4" s="14">
        <v>5</v>
      </c>
      <c r="H4" s="92">
        <f>IF(B$19=0,0,G4/B$19)</f>
        <v>0.7142857142857143</v>
      </c>
      <c r="I4" s="60">
        <v>1</v>
      </c>
      <c r="K4" s="7">
        <v>2</v>
      </c>
      <c r="L4" s="65">
        <v>32.9</v>
      </c>
      <c r="N4" s="78" t="s">
        <v>130</v>
      </c>
      <c r="O4" s="84">
        <f t="shared" si="0"/>
        <v>5350</v>
      </c>
      <c r="P4" s="81">
        <v>4</v>
      </c>
      <c r="Q4" s="68">
        <v>21400</v>
      </c>
    </row>
    <row r="5" spans="1:17" x14ac:dyDescent="0.45">
      <c r="A5" s="21" t="s">
        <v>7</v>
      </c>
      <c r="B5" s="127">
        <f>IF(B$2=0,0,B$4/B$2)</f>
        <v>6.85</v>
      </c>
      <c r="C5" s="128"/>
      <c r="E5" s="29" t="s">
        <v>68</v>
      </c>
      <c r="F5" s="26" t="s">
        <v>12</v>
      </c>
      <c r="G5" s="14">
        <v>3</v>
      </c>
      <c r="H5" s="92">
        <f>IF(B$19=0,0,G5/B$19)</f>
        <v>0.42857142857142855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-2325</v>
      </c>
      <c r="P5" s="81">
        <v>4</v>
      </c>
      <c r="Q5" s="68">
        <v>-9300</v>
      </c>
    </row>
    <row r="6" spans="1:17" x14ac:dyDescent="0.45">
      <c r="A6" s="21" t="s">
        <v>1</v>
      </c>
      <c r="B6" s="141">
        <f>IF(B$2=0,0,(B$7*1+B$8*2+B$9*3)/B$2)</f>
        <v>1.75</v>
      </c>
      <c r="C6" s="142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2</v>
      </c>
      <c r="K6" s="7">
        <v>4</v>
      </c>
      <c r="L6" s="65">
        <v>27.4</v>
      </c>
      <c r="N6" s="78" t="s">
        <v>132</v>
      </c>
      <c r="O6" s="84">
        <f t="shared" si="0"/>
        <v>-1425</v>
      </c>
      <c r="P6" s="81">
        <v>4</v>
      </c>
      <c r="Q6" s="68">
        <v>-5700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2</v>
      </c>
      <c r="H7" s="92">
        <f>IF(B$19=0,0,G7/B$19)</f>
        <v>0.2857142857142857</v>
      </c>
      <c r="I7" s="60">
        <v>1</v>
      </c>
      <c r="N7" s="79" t="s">
        <v>133</v>
      </c>
      <c r="O7" s="85">
        <f t="shared" si="0"/>
        <v>7000</v>
      </c>
      <c r="P7" s="82">
        <v>3</v>
      </c>
      <c r="Q7" s="69">
        <v>21000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71</v>
      </c>
      <c r="F8" s="26" t="s">
        <v>26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0.25</v>
      </c>
      <c r="E9" s="29" t="s">
        <v>72</v>
      </c>
      <c r="F9" s="26" t="s">
        <v>27</v>
      </c>
      <c r="G9" s="14">
        <v>2</v>
      </c>
      <c r="H9" s="92">
        <f>IF(B$19=0,0,G9/B$19)</f>
        <v>0.2857142857142857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32.200000000000003</v>
      </c>
      <c r="C10" s="114">
        <v>64.400000000000006</v>
      </c>
      <c r="E10" s="29" t="s">
        <v>86</v>
      </c>
      <c r="F10" s="26" t="s">
        <v>41</v>
      </c>
      <c r="G10" s="14">
        <v>2</v>
      </c>
      <c r="H10" s="92">
        <f>IF(B$19=0,0,G10/B$19)</f>
        <v>0.2857142857142857</v>
      </c>
      <c r="I10" s="60">
        <v>1</v>
      </c>
      <c r="N10" s="77" t="s">
        <v>152</v>
      </c>
      <c r="O10" s="86">
        <f>IF(P10=0,0,Q10/P10)</f>
        <v>-2.9</v>
      </c>
      <c r="P10" s="80">
        <v>1</v>
      </c>
      <c r="Q10" s="71">
        <v>-2.9</v>
      </c>
    </row>
    <row r="11" spans="1:17" x14ac:dyDescent="0.45">
      <c r="A11" s="22" t="s">
        <v>186</v>
      </c>
      <c r="B11" s="113">
        <f>IF(B8=0,0,C11/B8)</f>
        <v>-2.9</v>
      </c>
      <c r="C11" s="114">
        <v>-2.9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7</v>
      </c>
      <c r="N11" s="78" t="s">
        <v>153</v>
      </c>
      <c r="O11" s="87">
        <f>IF(P11=0,0,Q11/P11)</f>
        <v>-34.1</v>
      </c>
      <c r="P11" s="81">
        <v>1</v>
      </c>
      <c r="Q11" s="72">
        <v>-34.1</v>
      </c>
    </row>
    <row r="12" spans="1:17" x14ac:dyDescent="0.45">
      <c r="A12" s="22" t="s">
        <v>187</v>
      </c>
      <c r="B12" s="113">
        <f>IF(B9=0,0,C12/B9)</f>
        <v>-34.1</v>
      </c>
      <c r="C12" s="114">
        <v>-34.1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32.200000000000003</v>
      </c>
      <c r="P12" s="82">
        <v>2</v>
      </c>
      <c r="Q12" s="73">
        <v>64.400000000000006</v>
      </c>
    </row>
    <row r="13" spans="1:17" x14ac:dyDescent="0.45">
      <c r="A13" s="22" t="s">
        <v>188</v>
      </c>
      <c r="B13" s="127">
        <f>AVERAGE(B10:B12)</f>
        <v>-1.599999999999999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0.32258064516129031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193</v>
      </c>
      <c r="O15" s="86">
        <f>IF(P15=0,0,Q15/P15)</f>
        <v>55.7</v>
      </c>
      <c r="P15" s="80">
        <v>1</v>
      </c>
      <c r="Q15" s="71">
        <v>55.7</v>
      </c>
    </row>
    <row r="16" spans="1:17" x14ac:dyDescent="0.45">
      <c r="A16" s="21" t="s">
        <v>118</v>
      </c>
      <c r="B16" s="14">
        <v>7</v>
      </c>
      <c r="C16" s="8">
        <f>IF(B$3=0,0,B16/B$3)</f>
        <v>0.22580645161290322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189</v>
      </c>
      <c r="O16" s="87">
        <f>IF(P16=0,0,Q16/P16)</f>
        <v>54.199999999999996</v>
      </c>
      <c r="P16" s="81">
        <v>2</v>
      </c>
      <c r="Q16" s="72">
        <v>108.39999999999999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195</v>
      </c>
      <c r="O17" s="87">
        <f>IF(P17=0,0,Q17/P17)</f>
        <v>1.75</v>
      </c>
      <c r="P17" s="81">
        <v>2</v>
      </c>
      <c r="Q17" s="72">
        <v>3.5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-28.466666666666669</v>
      </c>
      <c r="P18" s="81">
        <v>3</v>
      </c>
      <c r="Q18" s="72">
        <v>-85.4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0.22580645161290322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3</v>
      </c>
      <c r="C20" s="8">
        <f>IF(B$3=0,0,B20/B$3)</f>
        <v>9.6774193548387094E-2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9714.2857142857138</v>
      </c>
      <c r="C26" s="10">
        <v>68000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9714.2857142857138</v>
      </c>
      <c r="C27" s="100">
        <v>68000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-4533.333333333333</v>
      </c>
      <c r="C29" s="100">
        <v>-13600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20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60800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3.2258064516129031E-2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0.2857142857142857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0.2857142857142857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0.2857142857142857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6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-2300</v>
      </c>
      <c r="P2" s="80">
        <v>2</v>
      </c>
      <c r="Q2" s="67">
        <v>-4600</v>
      </c>
    </row>
    <row r="3" spans="1:17" x14ac:dyDescent="0.45">
      <c r="A3" s="21" t="s">
        <v>8</v>
      </c>
      <c r="B3" s="137">
        <v>20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1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1000</v>
      </c>
      <c r="P3" s="81">
        <v>2</v>
      </c>
      <c r="Q3" s="68">
        <v>2000</v>
      </c>
    </row>
    <row r="4" spans="1:17" x14ac:dyDescent="0.45">
      <c r="A4" s="21" t="s">
        <v>6</v>
      </c>
      <c r="B4" s="139">
        <v>-75.5</v>
      </c>
      <c r="C4" s="140"/>
      <c r="E4" s="29" t="s">
        <v>65</v>
      </c>
      <c r="F4" s="26" t="s">
        <v>21</v>
      </c>
      <c r="G4" s="14">
        <v>2</v>
      </c>
      <c r="H4" s="92">
        <f>IF(B$19=0,0,G4/B$19)</f>
        <v>0.5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-14750</v>
      </c>
      <c r="P4" s="81">
        <v>2</v>
      </c>
      <c r="Q4" s="68">
        <v>-29500</v>
      </c>
    </row>
    <row r="5" spans="1:17" x14ac:dyDescent="0.45">
      <c r="A5" s="21" t="s">
        <v>7</v>
      </c>
      <c r="B5" s="127">
        <f>IF(B$2=0,0,B$4/B$2)</f>
        <v>-37.75</v>
      </c>
      <c r="C5" s="128"/>
      <c r="E5" s="29" t="s">
        <v>68</v>
      </c>
      <c r="F5" s="26" t="s">
        <v>12</v>
      </c>
      <c r="G5" s="14">
        <v>1</v>
      </c>
      <c r="H5" s="92">
        <f>IF(B$19=0,0,G5/B$19)</f>
        <v>0.25</v>
      </c>
      <c r="I5" s="60">
        <v>6</v>
      </c>
      <c r="N5" s="78" t="s">
        <v>131</v>
      </c>
      <c r="O5" s="84">
        <f t="shared" si="0"/>
        <v>-1700</v>
      </c>
      <c r="P5" s="81">
        <v>2</v>
      </c>
      <c r="Q5" s="68">
        <v>-3400</v>
      </c>
    </row>
    <row r="6" spans="1:17" x14ac:dyDescent="0.45">
      <c r="A6" s="21" t="s">
        <v>1</v>
      </c>
      <c r="B6" s="141">
        <f>IF(B$2=0,0,(B$7*1+B$8*2+B$9*3)/B$2)</f>
        <v>3</v>
      </c>
      <c r="C6" s="142"/>
      <c r="E6" s="29" t="s">
        <v>72</v>
      </c>
      <c r="F6" s="26" t="s">
        <v>27</v>
      </c>
      <c r="G6" s="14">
        <v>1</v>
      </c>
      <c r="H6" s="92">
        <f>IF(B$19=0,0,G6/B$19)</f>
        <v>0.25</v>
      </c>
      <c r="I6" s="60">
        <v>7</v>
      </c>
      <c r="N6" s="78" t="s">
        <v>132</v>
      </c>
      <c r="O6" s="84">
        <f t="shared" si="0"/>
        <v>-3250</v>
      </c>
      <c r="P6" s="81">
        <v>2</v>
      </c>
      <c r="Q6" s="68">
        <v>-6500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0</v>
      </c>
      <c r="H7" s="92">
        <f>IF(B$19=0,0,G7/B$19)</f>
        <v>0</v>
      </c>
      <c r="I7" s="60">
        <v>7</v>
      </c>
      <c r="N7" s="79" t="s">
        <v>133</v>
      </c>
      <c r="O7" s="85">
        <f t="shared" si="0"/>
        <v>-6750</v>
      </c>
      <c r="P7" s="82">
        <v>2</v>
      </c>
      <c r="Q7" s="69">
        <v>-13500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0</v>
      </c>
      <c r="H8" s="92">
        <f>IF(B$19=0,0,G8/B$19)</f>
        <v>0</v>
      </c>
      <c r="I8" s="60">
        <v>5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1</v>
      </c>
      <c r="E9" s="29" t="s">
        <v>70</v>
      </c>
      <c r="F9" s="26" t="s">
        <v>25</v>
      </c>
      <c r="G9" s="14">
        <v>0</v>
      </c>
      <c r="H9" s="92">
        <f>IF(B$19=0,0,G9/B$19)</f>
        <v>0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0</v>
      </c>
      <c r="H10" s="92">
        <f>IF(B$19=0,0,G10/B$19)</f>
        <v>0</v>
      </c>
      <c r="I10" s="60">
        <v>6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>IF(B$19=0,0,G11/B$19)</f>
        <v>0</v>
      </c>
      <c r="I11" s="60">
        <v>1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74</v>
      </c>
      <c r="F12" s="26" t="s">
        <v>29</v>
      </c>
      <c r="G12" s="14">
        <v>0</v>
      </c>
      <c r="H12" s="92">
        <f>IF(B$19=0,0,G12/B$19)</f>
        <v>0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-12.583333333333334</v>
      </c>
      <c r="C13" s="128"/>
      <c r="E13" s="29" t="s">
        <v>75</v>
      </c>
      <c r="F13" s="26" t="s">
        <v>30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76</v>
      </c>
      <c r="F14" s="26" t="s">
        <v>31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0.25</v>
      </c>
      <c r="E15" s="29" t="s">
        <v>77</v>
      </c>
      <c r="F15" s="26" t="s">
        <v>32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-54.199999999999996</v>
      </c>
      <c r="P15" s="80">
        <v>2</v>
      </c>
      <c r="Q15" s="71">
        <v>-108.39999999999999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78</v>
      </c>
      <c r="F16" s="26" t="s">
        <v>33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-59.050000000000004</v>
      </c>
      <c r="P16" s="81">
        <v>2</v>
      </c>
      <c r="Q16" s="72">
        <v>-118.10000000000001</v>
      </c>
    </row>
    <row r="17" spans="1:9" x14ac:dyDescent="0.45">
      <c r="A17" s="20" t="s">
        <v>123</v>
      </c>
      <c r="B17" s="13">
        <f>B23</f>
        <v>2</v>
      </c>
      <c r="C17" s="6">
        <f>IF(B$15=0,0,B17/B$15)</f>
        <v>0.4</v>
      </c>
      <c r="E17" s="29" t="s">
        <v>79</v>
      </c>
      <c r="F17" s="26" t="s">
        <v>34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>IF(B$19=0,0,G18/B$19)</f>
        <v>0</v>
      </c>
      <c r="I18" s="60">
        <v>1</v>
      </c>
    </row>
    <row r="19" spans="1:9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81</v>
      </c>
      <c r="F19" s="26" t="s">
        <v>36</v>
      </c>
      <c r="G19" s="14">
        <v>0</v>
      </c>
      <c r="H19" s="92">
        <f>IF(B$19=0,0,G19/B$19)</f>
        <v>0</v>
      </c>
      <c r="I19" s="60">
        <v>4</v>
      </c>
    </row>
    <row r="20" spans="1:9" x14ac:dyDescent="0.45">
      <c r="A20" s="21" t="s">
        <v>13</v>
      </c>
      <c r="B20" s="14">
        <v>9</v>
      </c>
      <c r="C20" s="8">
        <f>IF(B$3=0,0,B20/B$3)</f>
        <v>0.45</v>
      </c>
      <c r="E20" s="29" t="s">
        <v>82</v>
      </c>
      <c r="F20" s="26" t="s">
        <v>37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4</v>
      </c>
      <c r="C21" s="8">
        <f>IF(B$19=0,0,B21/B$19)</f>
        <v>1</v>
      </c>
      <c r="E21" s="29" t="s">
        <v>83</v>
      </c>
      <c r="F21" s="26" t="s">
        <v>38</v>
      </c>
      <c r="G21" s="14">
        <v>0</v>
      </c>
      <c r="H21" s="92">
        <f>IF(B$19=0,0,G21/B$19)</f>
        <v>0</v>
      </c>
      <c r="I21" s="60">
        <v>3</v>
      </c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2</v>
      </c>
      <c r="C23" s="8">
        <f>IF(B$19=0,0,B23/B$19)</f>
        <v>0.5</v>
      </c>
      <c r="E23" s="29" t="s">
        <v>85</v>
      </c>
      <c r="F23" s="26" t="s">
        <v>40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>IF(B$19=0,0,G24/B$19)</f>
        <v>0</v>
      </c>
      <c r="I24" s="60">
        <v>5</v>
      </c>
    </row>
    <row r="25" spans="1:9" x14ac:dyDescent="0.45">
      <c r="A25" s="21" t="s">
        <v>183</v>
      </c>
      <c r="B25" s="14">
        <v>2</v>
      </c>
      <c r="C25" s="8">
        <f>IF(B$19=0,0,B25/B$19)</f>
        <v>0.5</v>
      </c>
      <c r="E25" s="29" t="s">
        <v>87</v>
      </c>
      <c r="F25" s="26" t="s">
        <v>42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7050</v>
      </c>
      <c r="C26" s="10">
        <v>28200</v>
      </c>
      <c r="E26" s="29" t="s">
        <v>88</v>
      </c>
      <c r="F26" s="26" t="s">
        <v>43</v>
      </c>
      <c r="G26" s="14">
        <v>0</v>
      </c>
      <c r="H26" s="92">
        <f>IF(B$19=0,0,G26/B$19)</f>
        <v>0</v>
      </c>
      <c r="I26" s="60">
        <v>1</v>
      </c>
    </row>
    <row r="27" spans="1:9" x14ac:dyDescent="0.45">
      <c r="A27" s="22" t="s">
        <v>166</v>
      </c>
      <c r="B27" s="99">
        <f>IF($B$19-B$18=0,0,C27/($B$19-B$18))</f>
        <v>7050</v>
      </c>
      <c r="C27" s="100">
        <v>28200</v>
      </c>
      <c r="E27" s="29" t="s">
        <v>89</v>
      </c>
      <c r="F27" s="26" t="s">
        <v>44</v>
      </c>
      <c r="G27" s="14">
        <v>0</v>
      </c>
      <c r="H27" s="92">
        <f>IF(B$19=0,0,G27/B$19)</f>
        <v>0</v>
      </c>
      <c r="I27" s="60">
        <v>5</v>
      </c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-6088.8888888888887</v>
      </c>
      <c r="C29" s="100">
        <v>-54800</v>
      </c>
      <c r="E29" s="29" t="s">
        <v>91</v>
      </c>
      <c r="F29" s="26" t="s">
        <v>46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2</v>
      </c>
      <c r="C30" s="94">
        <v>0</v>
      </c>
      <c r="E30" s="29" t="s">
        <v>92</v>
      </c>
      <c r="F30" s="26" t="s">
        <v>47</v>
      </c>
      <c r="G30" s="14">
        <v>0</v>
      </c>
      <c r="H30" s="92">
        <f>IF(B$19=0,0,G30/B$19)</f>
        <v>0</v>
      </c>
      <c r="I30" s="60">
        <v>1</v>
      </c>
    </row>
    <row r="31" spans="1:9" x14ac:dyDescent="0.45">
      <c r="A31" s="21" t="s">
        <v>159</v>
      </c>
      <c r="B31" s="14">
        <v>2</v>
      </c>
      <c r="C31" s="94">
        <v>0</v>
      </c>
      <c r="E31" s="29" t="s">
        <v>93</v>
      </c>
      <c r="F31" s="26" t="s">
        <v>48</v>
      </c>
      <c r="G31" s="14">
        <v>0</v>
      </c>
      <c r="H31" s="92">
        <f>IF(B$19=0,0,G31/B$19)</f>
        <v>0</v>
      </c>
      <c r="I31" s="60">
        <v>1</v>
      </c>
    </row>
    <row r="32" spans="1:9" x14ac:dyDescent="0.45">
      <c r="A32" s="56" t="s">
        <v>136</v>
      </c>
      <c r="B32" s="129">
        <v>3</v>
      </c>
      <c r="C32" s="130"/>
      <c r="E32" s="29" t="s">
        <v>94</v>
      </c>
      <c r="F32" s="26" t="s">
        <v>49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8700</v>
      </c>
      <c r="C33" s="132"/>
      <c r="E33" s="29" t="s">
        <v>95</v>
      </c>
      <c r="F33" s="26" t="s">
        <v>50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97</v>
      </c>
      <c r="F35" s="26" t="s">
        <v>52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98</v>
      </c>
      <c r="F36" s="26" t="s">
        <v>53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0.5</v>
      </c>
      <c r="E37" s="29" t="s">
        <v>99</v>
      </c>
      <c r="F37" s="26" t="s">
        <v>54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100</v>
      </c>
      <c r="F38" s="26" t="s">
        <v>55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101</v>
      </c>
      <c r="F39" s="26" t="s">
        <v>56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0.5</v>
      </c>
      <c r="E40" s="29" t="s">
        <v>102</v>
      </c>
      <c r="F40" s="26" t="s">
        <v>57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173</v>
      </c>
      <c r="B41" s="122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3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7</v>
      </c>
      <c r="C2" s="136"/>
      <c r="E2" s="28" t="s">
        <v>66</v>
      </c>
      <c r="F2" s="25" t="s">
        <v>22</v>
      </c>
      <c r="G2" s="13">
        <v>16</v>
      </c>
      <c r="H2" s="91">
        <f>IF(B$19=0,0,G2/B$19)</f>
        <v>0.76190476190476186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3800</v>
      </c>
      <c r="P2" s="80">
        <v>7</v>
      </c>
      <c r="Q2" s="67">
        <v>26600</v>
      </c>
    </row>
    <row r="3" spans="1:17" x14ac:dyDescent="0.45">
      <c r="A3" s="21" t="s">
        <v>8</v>
      </c>
      <c r="B3" s="137">
        <v>51</v>
      </c>
      <c r="C3" s="138"/>
      <c r="E3" s="29" t="s">
        <v>72</v>
      </c>
      <c r="F3" s="26" t="s">
        <v>27</v>
      </c>
      <c r="G3" s="14">
        <v>15</v>
      </c>
      <c r="H3" s="92">
        <f>IF(B$19=0,0,G3/B$19)</f>
        <v>0.7142857142857143</v>
      </c>
      <c r="I3" s="60">
        <v>1</v>
      </c>
      <c r="K3" s="7">
        <v>1</v>
      </c>
      <c r="L3" s="65">
        <v>39.200000000000003</v>
      </c>
      <c r="N3" s="78" t="s">
        <v>129</v>
      </c>
      <c r="O3" s="84">
        <f t="shared" si="0"/>
        <v>1685.7142857142858</v>
      </c>
      <c r="P3" s="81">
        <v>7</v>
      </c>
      <c r="Q3" s="68">
        <v>11800</v>
      </c>
    </row>
    <row r="4" spans="1:17" x14ac:dyDescent="0.45">
      <c r="A4" s="21" t="s">
        <v>6</v>
      </c>
      <c r="B4" s="139">
        <v>168.5</v>
      </c>
      <c r="C4" s="140"/>
      <c r="E4" s="29" t="s">
        <v>64</v>
      </c>
      <c r="F4" s="26" t="s">
        <v>20</v>
      </c>
      <c r="G4" s="14">
        <v>6</v>
      </c>
      <c r="H4" s="92">
        <f>IF(B$19=0,0,G4/B$19)</f>
        <v>0.2857142857142857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4285.7142857142853</v>
      </c>
      <c r="P4" s="81">
        <v>7</v>
      </c>
      <c r="Q4" s="68">
        <v>30000</v>
      </c>
    </row>
    <row r="5" spans="1:17" x14ac:dyDescent="0.45">
      <c r="A5" s="21" t="s">
        <v>7</v>
      </c>
      <c r="B5" s="127">
        <f>IF(B$2=0,0,B$4/B$2)</f>
        <v>24.071428571428573</v>
      </c>
      <c r="C5" s="128"/>
      <c r="E5" s="29" t="s">
        <v>160</v>
      </c>
      <c r="F5" s="26" t="s">
        <v>161</v>
      </c>
      <c r="G5" s="14">
        <v>6</v>
      </c>
      <c r="H5" s="92">
        <f>IF(B$19=0,0,G5/B$19)</f>
        <v>0.2857142857142857</v>
      </c>
      <c r="I5" s="60">
        <v>4</v>
      </c>
      <c r="K5" s="7">
        <v>3</v>
      </c>
      <c r="L5" s="65">
        <v>98.1</v>
      </c>
      <c r="N5" s="78" t="s">
        <v>131</v>
      </c>
      <c r="O5" s="84">
        <f t="shared" si="0"/>
        <v>1733.3333333333333</v>
      </c>
      <c r="P5" s="81">
        <v>6</v>
      </c>
      <c r="Q5" s="68">
        <v>10400</v>
      </c>
    </row>
    <row r="6" spans="1:17" x14ac:dyDescent="0.45">
      <c r="A6" s="21" t="s">
        <v>1</v>
      </c>
      <c r="B6" s="141">
        <f>IF(B$2=0,0,(B$7*1+B$8*2+B$9*3)/B$2)</f>
        <v>1.4285714285714286</v>
      </c>
      <c r="C6" s="142"/>
      <c r="E6" s="29" t="s">
        <v>67</v>
      </c>
      <c r="F6" s="26" t="s">
        <v>23</v>
      </c>
      <c r="G6" s="14">
        <v>4</v>
      </c>
      <c r="H6" s="92">
        <f>IF(B$19=0,0,G6/B$19)</f>
        <v>0.19047619047619047</v>
      </c>
      <c r="I6" s="60">
        <v>6</v>
      </c>
      <c r="K6" s="7">
        <v>4</v>
      </c>
      <c r="L6" s="65">
        <v>101.5</v>
      </c>
      <c r="N6" s="78" t="s">
        <v>132</v>
      </c>
      <c r="O6" s="84">
        <f t="shared" si="0"/>
        <v>2350</v>
      </c>
      <c r="P6" s="81">
        <v>6</v>
      </c>
      <c r="Q6" s="68">
        <v>14100</v>
      </c>
    </row>
    <row r="7" spans="1:17" x14ac:dyDescent="0.45">
      <c r="A7" s="21" t="s">
        <v>2</v>
      </c>
      <c r="B7" s="14">
        <v>4</v>
      </c>
      <c r="C7" s="8">
        <f t="shared" ref="C7:C14" si="1">IF(B$2=0,0,B7/B$2)</f>
        <v>0.5714285714285714</v>
      </c>
      <c r="E7" s="29" t="s">
        <v>89</v>
      </c>
      <c r="F7" s="26" t="s">
        <v>44</v>
      </c>
      <c r="G7" s="14">
        <v>4</v>
      </c>
      <c r="H7" s="92">
        <f>IF(B$19=0,0,G7/B$19)</f>
        <v>0.19047619047619047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4250</v>
      </c>
      <c r="P7" s="82">
        <v>4</v>
      </c>
      <c r="Q7" s="69">
        <v>17000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3</v>
      </c>
      <c r="H8" s="92">
        <f>IF(B$19=0,0,G8/B$19)</f>
        <v>0.14285714285714285</v>
      </c>
      <c r="I8" s="60">
        <v>5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68</v>
      </c>
      <c r="F9" s="26" t="s">
        <v>12</v>
      </c>
      <c r="G9" s="14">
        <v>3</v>
      </c>
      <c r="H9" s="92">
        <f>IF(B$19=0,0,G9/B$19)</f>
        <v>0.14285714285714285</v>
      </c>
      <c r="I9" s="60">
        <v>8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40.65</v>
      </c>
      <c r="C10" s="114">
        <v>162.6</v>
      </c>
      <c r="E10" s="29" t="s">
        <v>86</v>
      </c>
      <c r="F10" s="26" t="s">
        <v>41</v>
      </c>
      <c r="G10" s="14">
        <v>3</v>
      </c>
      <c r="H10" s="92">
        <f>IF(B$19=0,0,G10/B$19)</f>
        <v>0.14285714285714285</v>
      </c>
      <c r="I10" s="60">
        <v>3</v>
      </c>
      <c r="N10" s="77" t="s">
        <v>152</v>
      </c>
      <c r="O10" s="86">
        <f>IF(P10=0,0,Q10/P10)</f>
        <v>22.599999999999998</v>
      </c>
      <c r="P10" s="80">
        <v>3</v>
      </c>
      <c r="Q10" s="71">
        <v>67.8</v>
      </c>
    </row>
    <row r="11" spans="1:17" x14ac:dyDescent="0.45">
      <c r="A11" s="22" t="s">
        <v>186</v>
      </c>
      <c r="B11" s="113">
        <f>IF(B8=0,0,C11/B8)</f>
        <v>1.9666666666666668</v>
      </c>
      <c r="C11" s="114">
        <v>5.9</v>
      </c>
      <c r="E11" s="29" t="s">
        <v>71</v>
      </c>
      <c r="F11" s="26" t="s">
        <v>26</v>
      </c>
      <c r="G11" s="14">
        <v>2</v>
      </c>
      <c r="H11" s="92">
        <f>IF(B$19=0,0,G11/B$19)</f>
        <v>9.5238095238095233E-2</v>
      </c>
      <c r="I11" s="60">
        <v>5</v>
      </c>
      <c r="N11" s="78" t="s">
        <v>153</v>
      </c>
      <c r="O11" s="87">
        <f>IF(P11=0,0,Q11/P11)</f>
        <v>-1.5</v>
      </c>
      <c r="P11" s="81">
        <v>1</v>
      </c>
      <c r="Q11" s="72">
        <v>-1.5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70</v>
      </c>
      <c r="F12" s="26" t="s">
        <v>25</v>
      </c>
      <c r="G12" s="14">
        <v>1</v>
      </c>
      <c r="H12" s="92">
        <f>IF(B$19=0,0,G12/B$19)</f>
        <v>4.7619047619047616E-2</v>
      </c>
      <c r="I12" s="60">
        <v>3</v>
      </c>
      <c r="N12" s="79" t="s">
        <v>154</v>
      </c>
      <c r="O12" s="88">
        <f>IF(P12=0,0,Q12/P12)</f>
        <v>34.06666666666667</v>
      </c>
      <c r="P12" s="82">
        <v>3</v>
      </c>
      <c r="Q12" s="73">
        <v>102.20000000000002</v>
      </c>
    </row>
    <row r="13" spans="1:17" x14ac:dyDescent="0.45">
      <c r="A13" s="22" t="s">
        <v>188</v>
      </c>
      <c r="B13" s="127">
        <f>AVERAGE(B10:B12)</f>
        <v>14.205555555555556</v>
      </c>
      <c r="C13" s="128"/>
      <c r="E13" s="29" t="s">
        <v>79</v>
      </c>
      <c r="F13" s="26" t="s">
        <v>34</v>
      </c>
      <c r="G13" s="14">
        <v>1</v>
      </c>
      <c r="H13" s="92">
        <f>IF(B$19=0,0,G13/B$19)</f>
        <v>4.7619047619047616E-2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83</v>
      </c>
      <c r="F14" s="26" t="s">
        <v>38</v>
      </c>
      <c r="G14" s="14">
        <v>1</v>
      </c>
      <c r="H14" s="92">
        <f>IF(B$19=0,0,G14/B$19)</f>
        <v>4.7619047619047616E-2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</v>
      </c>
      <c r="C15" s="12">
        <f>IF(B$3=0,0,B15/B$3)</f>
        <v>0.23529411764705882</v>
      </c>
      <c r="E15" s="29" t="s">
        <v>95</v>
      </c>
      <c r="F15" s="26" t="s">
        <v>50</v>
      </c>
      <c r="G15" s="14">
        <v>1</v>
      </c>
      <c r="H15" s="92">
        <f>IF(B$19=0,0,G15/B$19)</f>
        <v>4.7619047619047616E-2</v>
      </c>
      <c r="I15" s="60">
        <v>1</v>
      </c>
      <c r="N15" s="77" t="s">
        <v>189</v>
      </c>
      <c r="O15" s="86">
        <f>IF(P15=0,0,Q15/P15)</f>
        <v>59.050000000000004</v>
      </c>
      <c r="P15" s="80">
        <v>2</v>
      </c>
      <c r="Q15" s="71">
        <v>118.10000000000001</v>
      </c>
    </row>
    <row r="16" spans="1:17" x14ac:dyDescent="0.45">
      <c r="A16" s="21" t="s">
        <v>118</v>
      </c>
      <c r="B16" s="14">
        <v>12</v>
      </c>
      <c r="C16" s="8">
        <f>IF(B$3=0,0,B16/B$3)</f>
        <v>0.23529411764705882</v>
      </c>
      <c r="E16" s="29" t="s">
        <v>156</v>
      </c>
      <c r="F16" s="26" t="s">
        <v>157</v>
      </c>
      <c r="G16" s="14">
        <v>1</v>
      </c>
      <c r="H16" s="92">
        <f>IF(B$19=0,0,G16/B$19)</f>
        <v>4.7619047619047616E-2</v>
      </c>
      <c r="I16" s="60">
        <v>1</v>
      </c>
      <c r="N16" s="78" t="s">
        <v>195</v>
      </c>
      <c r="O16" s="87">
        <f>IF(P16=0,0,Q16/P16)</f>
        <v>35</v>
      </c>
      <c r="P16" s="81">
        <v>3</v>
      </c>
      <c r="Q16" s="72">
        <v>105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0.58333333333333337</v>
      </c>
      <c r="E17" s="29" t="s">
        <v>69</v>
      </c>
      <c r="F17" s="26" t="s">
        <v>24</v>
      </c>
      <c r="G17" s="14">
        <v>0</v>
      </c>
      <c r="H17" s="92">
        <f>IF(B$19=0,0,G17/B$19)</f>
        <v>0</v>
      </c>
      <c r="I17" s="60">
        <v>5</v>
      </c>
      <c r="N17" s="78" t="s">
        <v>197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10</v>
      </c>
      <c r="C18" s="6">
        <f>IF(B$16=0,0,B18/B$16)</f>
        <v>0.83333333333333337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31.799999999999997</v>
      </c>
      <c r="P18" s="81">
        <v>4</v>
      </c>
      <c r="Q18" s="72">
        <v>127.19999999999999</v>
      </c>
    </row>
    <row r="19" spans="1:17" x14ac:dyDescent="0.45">
      <c r="A19" s="20" t="s">
        <v>10</v>
      </c>
      <c r="B19" s="13">
        <f>B22+B21</f>
        <v>21</v>
      </c>
      <c r="C19" s="6">
        <f>IF(B$3=0,0,B19/B$3)</f>
        <v>0.41176470588235292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164</v>
      </c>
      <c r="O19" s="87">
        <f>IF(P19=0,0,Q19/P19)</f>
        <v>28.466666666666669</v>
      </c>
      <c r="P19" s="81">
        <v>3</v>
      </c>
      <c r="Q19" s="72">
        <v>85.4</v>
      </c>
    </row>
    <row r="20" spans="1:17" x14ac:dyDescent="0.45">
      <c r="A20" s="21" t="s">
        <v>13</v>
      </c>
      <c r="B20" s="14">
        <v>5</v>
      </c>
      <c r="C20" s="8">
        <f>IF(B$3=0,0,B20/B$3)</f>
        <v>9.8039215686274508E-2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8</v>
      </c>
      <c r="C21" s="8">
        <f>IF(B$19=0,0,B21/B$19)</f>
        <v>0.38095238095238093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13</v>
      </c>
      <c r="C22" s="8">
        <f>IF(B$19=0,0,B22/B$19)</f>
        <v>0.61904761904761907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0.33333333333333331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10</v>
      </c>
      <c r="C24" s="8">
        <f>IF(B$19=0,0,B24/B$19)</f>
        <v>0.47619047619047616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0.19047619047619047</v>
      </c>
      <c r="E25" s="29" t="s">
        <v>81</v>
      </c>
      <c r="F25" s="26" t="s">
        <v>36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8552.3809523809523</v>
      </c>
      <c r="C26" s="10">
        <v>179600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7190.909090909091</v>
      </c>
      <c r="C27" s="100">
        <v>79100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10050</v>
      </c>
      <c r="C28" s="100">
        <v>100500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-7320</v>
      </c>
      <c r="C29" s="100">
        <v>-36600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85400</v>
      </c>
      <c r="C33" s="13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4.7619047619047616E-2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0.23809523809523808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0.23809523809523808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2"/>
        <v>4.7619047619047616E-2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9.5238095238095233E-2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9.5238095238095233E-2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4.7619047619047616E-2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195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</v>
      </c>
      <c r="C2" s="136"/>
      <c r="E2" s="28" t="s">
        <v>72</v>
      </c>
      <c r="F2" s="25" t="s">
        <v>27</v>
      </c>
      <c r="G2" s="13">
        <v>4</v>
      </c>
      <c r="H2" s="91">
        <f>IF(B$19=0,0,G2/B$19)</f>
        <v>0.66666666666666663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-4416.666666666667</v>
      </c>
      <c r="P2" s="80">
        <v>6</v>
      </c>
      <c r="Q2" s="67">
        <v>-26500</v>
      </c>
    </row>
    <row r="3" spans="1:17" x14ac:dyDescent="0.45">
      <c r="A3" s="21" t="s">
        <v>8</v>
      </c>
      <c r="B3" s="137">
        <v>37</v>
      </c>
      <c r="C3" s="138"/>
      <c r="E3" s="29" t="s">
        <v>64</v>
      </c>
      <c r="F3" s="26" t="s">
        <v>20</v>
      </c>
      <c r="G3" s="14">
        <v>3</v>
      </c>
      <c r="H3" s="92">
        <f>IF(B$19=0,0,G3/B$19)</f>
        <v>0.5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-2266.6666666666665</v>
      </c>
      <c r="P3" s="81">
        <v>6</v>
      </c>
      <c r="Q3" s="68">
        <v>-13600</v>
      </c>
    </row>
    <row r="4" spans="1:17" x14ac:dyDescent="0.45">
      <c r="A4" s="21" t="s">
        <v>6</v>
      </c>
      <c r="B4" s="139">
        <v>-146</v>
      </c>
      <c r="C4" s="140"/>
      <c r="E4" s="29" t="s">
        <v>66</v>
      </c>
      <c r="F4" s="26" t="s">
        <v>22</v>
      </c>
      <c r="G4" s="14">
        <v>2</v>
      </c>
      <c r="H4" s="92">
        <f>IF(B$19=0,0,G4/B$19)</f>
        <v>0.33333333333333331</v>
      </c>
      <c r="I4" s="60">
        <v>7</v>
      </c>
      <c r="K4" s="7">
        <v>2</v>
      </c>
      <c r="L4" s="65">
        <v>-106.5</v>
      </c>
      <c r="N4" s="78" t="s">
        <v>130</v>
      </c>
      <c r="O4" s="84">
        <f t="shared" si="0"/>
        <v>-9916.6666666666661</v>
      </c>
      <c r="P4" s="81">
        <v>6</v>
      </c>
      <c r="Q4" s="68">
        <v>-59500</v>
      </c>
    </row>
    <row r="5" spans="1:17" x14ac:dyDescent="0.45">
      <c r="A5" s="21" t="s">
        <v>7</v>
      </c>
      <c r="B5" s="127">
        <f>IF(B$2=0,0,B$4/B$2)</f>
        <v>-24.333333333333332</v>
      </c>
      <c r="C5" s="128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3</v>
      </c>
      <c r="K5" s="7">
        <v>3</v>
      </c>
      <c r="L5" s="65">
        <v>-108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5">
      <c r="A6" s="21" t="s">
        <v>1</v>
      </c>
      <c r="B6" s="141">
        <f>IF(B$2=0,0,(B$7*1+B$8*2+B$9*3)/B$2)</f>
        <v>2.5</v>
      </c>
      <c r="C6" s="142"/>
      <c r="E6" s="29" t="s">
        <v>68</v>
      </c>
      <c r="F6" s="26" t="s">
        <v>12</v>
      </c>
      <c r="G6" s="14">
        <v>2</v>
      </c>
      <c r="H6" s="92">
        <f>IF(B$19=0,0,G6/B$19)</f>
        <v>0.33333333333333331</v>
      </c>
      <c r="I6" s="60">
        <v>3</v>
      </c>
      <c r="K6" s="7">
        <v>4</v>
      </c>
      <c r="L6" s="65">
        <v>-115.5</v>
      </c>
      <c r="N6" s="78" t="s">
        <v>132</v>
      </c>
      <c r="O6" s="84">
        <f t="shared" si="0"/>
        <v>-1800</v>
      </c>
      <c r="P6" s="81">
        <v>4</v>
      </c>
      <c r="Q6" s="68">
        <v>-7200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71</v>
      </c>
      <c r="F7" s="26" t="s">
        <v>26</v>
      </c>
      <c r="G7" s="14">
        <v>1</v>
      </c>
      <c r="H7" s="92">
        <f>IF(B$19=0,0,G7/B$19)</f>
        <v>0.16666666666666666</v>
      </c>
      <c r="I7" s="60">
        <v>2</v>
      </c>
      <c r="K7" s="7">
        <v>5</v>
      </c>
      <c r="L7" s="65">
        <v>-116</v>
      </c>
      <c r="N7" s="79" t="s">
        <v>133</v>
      </c>
      <c r="O7" s="85">
        <f t="shared" si="0"/>
        <v>-6750</v>
      </c>
      <c r="P7" s="82">
        <v>2</v>
      </c>
      <c r="Q7" s="69">
        <v>-13500</v>
      </c>
    </row>
    <row r="8" spans="1:17" x14ac:dyDescent="0.45">
      <c r="A8" s="21" t="s">
        <v>3</v>
      </c>
      <c r="B8" s="14">
        <v>3</v>
      </c>
      <c r="C8" s="8">
        <f t="shared" si="1"/>
        <v>0.5</v>
      </c>
      <c r="E8" s="29" t="s">
        <v>81</v>
      </c>
      <c r="F8" s="26" t="s">
        <v>36</v>
      </c>
      <c r="G8" s="14">
        <v>1</v>
      </c>
      <c r="H8" s="92">
        <f>IF(B$19=0,0,G8/B$19)</f>
        <v>0.16666666666666666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0.5</v>
      </c>
      <c r="E9" s="29" t="s">
        <v>160</v>
      </c>
      <c r="F9" s="26" t="s">
        <v>161</v>
      </c>
      <c r="G9" s="14">
        <v>1</v>
      </c>
      <c r="H9" s="92">
        <f>IF(B$19=0,0,G9/B$19)</f>
        <v>0.16666666666666666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65</v>
      </c>
      <c r="F10" s="26" t="s">
        <v>21</v>
      </c>
      <c r="G10" s="14">
        <v>0</v>
      </c>
      <c r="H10" s="92">
        <f>IF(B$19=0,0,G10/B$19)</f>
        <v>0</v>
      </c>
      <c r="I10" s="60">
        <v>8</v>
      </c>
      <c r="N10" s="77" t="s">
        <v>152</v>
      </c>
      <c r="O10" s="86">
        <f>IF(P10=0,0,Q10/P10)</f>
        <v>-38</v>
      </c>
      <c r="P10" s="80">
        <v>3</v>
      </c>
      <c r="Q10" s="71">
        <v>-114</v>
      </c>
    </row>
    <row r="11" spans="1:17" x14ac:dyDescent="0.45">
      <c r="A11" s="22" t="s">
        <v>186</v>
      </c>
      <c r="B11" s="113">
        <f>IF(B8=0,0,C11/B8)</f>
        <v>-3.1666666666666665</v>
      </c>
      <c r="C11" s="114">
        <v>-9.5</v>
      </c>
      <c r="E11" s="29" t="s">
        <v>69</v>
      </c>
      <c r="F11" s="26" t="s">
        <v>24</v>
      </c>
      <c r="G11" s="14">
        <v>0</v>
      </c>
      <c r="H11" s="92">
        <f>IF(B$19=0,0,G11/B$19)</f>
        <v>0</v>
      </c>
      <c r="I11" s="60">
        <v>5</v>
      </c>
      <c r="N11" s="78" t="s">
        <v>153</v>
      </c>
      <c r="O11" s="87">
        <f>IF(P11=0,0,Q11/P11)</f>
        <v>-1</v>
      </c>
      <c r="P11" s="81">
        <v>2</v>
      </c>
      <c r="Q11" s="72">
        <v>-2</v>
      </c>
    </row>
    <row r="12" spans="1:17" x14ac:dyDescent="0.45">
      <c r="A12" s="22" t="s">
        <v>187</v>
      </c>
      <c r="B12" s="113">
        <f>IF(B9=0,0,C12/B9)</f>
        <v>-45.5</v>
      </c>
      <c r="C12" s="114">
        <v>-136.5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27">
        <f>AVERAGE(B10:B12)</f>
        <v>-16.222222222222221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0.33333333333333331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</v>
      </c>
      <c r="C15" s="12">
        <f>IF(B$3=0,0,B15/B$3)</f>
        <v>0.32432432432432434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-1.75</v>
      </c>
      <c r="P15" s="80">
        <v>2</v>
      </c>
      <c r="Q15" s="71">
        <v>-3.5</v>
      </c>
    </row>
    <row r="16" spans="1:17" x14ac:dyDescent="0.45">
      <c r="A16" s="21" t="s">
        <v>118</v>
      </c>
      <c r="B16" s="14">
        <v>2</v>
      </c>
      <c r="C16" s="8">
        <f>IF(B$3=0,0,B16/B$3)</f>
        <v>5.4054054054054057E-2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-16.25</v>
      </c>
      <c r="P16" s="81">
        <v>4</v>
      </c>
      <c r="Q16" s="72">
        <v>-65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0.25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197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0.16216216216216217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  <c r="N19" s="78" t="s">
        <v>194</v>
      </c>
      <c r="O19" s="87">
        <f>IF(P19=0,0,Q19/P19)</f>
        <v>-122</v>
      </c>
      <c r="P19" s="81">
        <v>2</v>
      </c>
      <c r="Q19" s="72">
        <v>-244</v>
      </c>
    </row>
    <row r="20" spans="1:17" x14ac:dyDescent="0.45">
      <c r="A20" s="21" t="s">
        <v>13</v>
      </c>
      <c r="B20" s="14">
        <v>7</v>
      </c>
      <c r="C20" s="8">
        <f>IF(B$3=0,0,B20/B$3)</f>
        <v>0.1891891891891892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3</v>
      </c>
      <c r="C23" s="8">
        <f>IF(B$19=0,0,B23/B$19)</f>
        <v>0.5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4516.666666666667</v>
      </c>
      <c r="C26" s="10">
        <v>27100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4516.666666666667</v>
      </c>
      <c r="C27" s="100">
        <v>27100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-8214.2857142857138</v>
      </c>
      <c r="C29" s="100">
        <v>-57500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12</v>
      </c>
      <c r="C31" s="94">
        <v>6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1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34500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</v>
      </c>
      <c r="C2" s="136"/>
      <c r="E2" s="28" t="s">
        <v>64</v>
      </c>
      <c r="F2" s="25" t="s">
        <v>20</v>
      </c>
      <c r="G2" s="13">
        <v>7</v>
      </c>
      <c r="H2" s="91">
        <f>IF(B$19=0,0,G2/B$19)</f>
        <v>0.77777777777777779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-116.66666666666667</v>
      </c>
      <c r="P2" s="80">
        <v>6</v>
      </c>
      <c r="Q2" s="67">
        <v>-700</v>
      </c>
    </row>
    <row r="3" spans="1:17" x14ac:dyDescent="0.45">
      <c r="A3" s="21" t="s">
        <v>8</v>
      </c>
      <c r="B3" s="137">
        <v>36</v>
      </c>
      <c r="C3" s="138"/>
      <c r="E3" s="29" t="s">
        <v>160</v>
      </c>
      <c r="F3" s="26" t="s">
        <v>161</v>
      </c>
      <c r="G3" s="14">
        <v>6</v>
      </c>
      <c r="H3" s="92">
        <f>IF(B$19=0,0,G3/B$19)</f>
        <v>0.66666666666666663</v>
      </c>
      <c r="I3" s="60">
        <v>2</v>
      </c>
      <c r="K3" s="7">
        <v>1</v>
      </c>
      <c r="L3" s="65">
        <v>-0.5</v>
      </c>
      <c r="N3" s="78" t="s">
        <v>129</v>
      </c>
      <c r="O3" s="84">
        <f t="shared" si="0"/>
        <v>-516.66666666666663</v>
      </c>
      <c r="P3" s="81">
        <v>6</v>
      </c>
      <c r="Q3" s="68">
        <v>-3100</v>
      </c>
    </row>
    <row r="4" spans="1:17" x14ac:dyDescent="0.45">
      <c r="A4" s="21" t="s">
        <v>6</v>
      </c>
      <c r="B4" s="139">
        <v>-70.5</v>
      </c>
      <c r="C4" s="140"/>
      <c r="E4" s="29" t="s">
        <v>66</v>
      </c>
      <c r="F4" s="26" t="s">
        <v>22</v>
      </c>
      <c r="G4" s="14">
        <v>4</v>
      </c>
      <c r="H4" s="92">
        <f>IF(B$19=0,0,G4/B$19)</f>
        <v>0.44444444444444442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-7483.333333333333</v>
      </c>
      <c r="P4" s="81">
        <v>6</v>
      </c>
      <c r="Q4" s="68">
        <v>-44900</v>
      </c>
    </row>
    <row r="5" spans="1:17" x14ac:dyDescent="0.45">
      <c r="A5" s="21" t="s">
        <v>7</v>
      </c>
      <c r="B5" s="127">
        <f>IF(B$2=0,0,B$4/B$2)</f>
        <v>-11.75</v>
      </c>
      <c r="C5" s="128"/>
      <c r="E5" s="29" t="s">
        <v>67</v>
      </c>
      <c r="F5" s="26" t="s">
        <v>23</v>
      </c>
      <c r="G5" s="14">
        <v>4</v>
      </c>
      <c r="H5" s="92">
        <f>IF(B$19=0,0,G5/B$19)</f>
        <v>0.44444444444444442</v>
      </c>
      <c r="I5" s="60">
        <v>1</v>
      </c>
      <c r="K5" s="7">
        <v>3</v>
      </c>
      <c r="L5" s="65">
        <v>-48.5</v>
      </c>
      <c r="N5" s="78" t="s">
        <v>131</v>
      </c>
      <c r="O5" s="84">
        <f t="shared" si="0"/>
        <v>-825</v>
      </c>
      <c r="P5" s="81">
        <v>4</v>
      </c>
      <c r="Q5" s="68">
        <v>-3300</v>
      </c>
    </row>
    <row r="6" spans="1:17" x14ac:dyDescent="0.45">
      <c r="A6" s="21" t="s">
        <v>1</v>
      </c>
      <c r="B6" s="141">
        <f>IF(B$2=0,0,(B$7*1+B$8*2+B$9*3)/B$2)</f>
        <v>2.1666666666666665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0.44444444444444442</v>
      </c>
      <c r="I6" s="60">
        <v>1</v>
      </c>
      <c r="K6" s="7">
        <v>4</v>
      </c>
      <c r="L6" s="65">
        <v>-75.599999999999994</v>
      </c>
      <c r="N6" s="78" t="s">
        <v>132</v>
      </c>
      <c r="O6" s="84">
        <f t="shared" si="0"/>
        <v>75</v>
      </c>
      <c r="P6" s="81">
        <v>4</v>
      </c>
      <c r="Q6" s="68">
        <v>300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4</v>
      </c>
      <c r="H7" s="92">
        <f>IF(B$19=0,0,G7/B$19)</f>
        <v>0.44444444444444442</v>
      </c>
      <c r="I7" s="60">
        <v>4</v>
      </c>
      <c r="K7" s="7">
        <v>5</v>
      </c>
      <c r="L7" s="65">
        <v>-96.5</v>
      </c>
      <c r="N7" s="79" t="s">
        <v>133</v>
      </c>
      <c r="O7" s="85">
        <f t="shared" si="0"/>
        <v>-833.33333333333337</v>
      </c>
      <c r="P7" s="82">
        <v>3</v>
      </c>
      <c r="Q7" s="69">
        <v>-2500</v>
      </c>
    </row>
    <row r="8" spans="1:17" x14ac:dyDescent="0.45">
      <c r="A8" s="21" t="s">
        <v>3</v>
      </c>
      <c r="B8" s="14">
        <v>1</v>
      </c>
      <c r="C8" s="8">
        <f t="shared" si="1"/>
        <v>0.16666666666666666</v>
      </c>
      <c r="E8" s="29" t="s">
        <v>89</v>
      </c>
      <c r="F8" s="26" t="s">
        <v>44</v>
      </c>
      <c r="G8" s="14">
        <v>3</v>
      </c>
      <c r="H8" s="92">
        <f>IF(B$19=0,0,G8/B$19)</f>
        <v>0.33333333333333331</v>
      </c>
      <c r="I8" s="60">
        <v>1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0.5</v>
      </c>
      <c r="E9" s="29" t="s">
        <v>69</v>
      </c>
      <c r="F9" s="26" t="s">
        <v>24</v>
      </c>
      <c r="G9" s="14">
        <v>2</v>
      </c>
      <c r="H9" s="92">
        <f>IF(B$19=0,0,G9/B$19)</f>
        <v>0.22222222222222221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20.149999999999999</v>
      </c>
      <c r="C10" s="114">
        <v>40.299999999999997</v>
      </c>
      <c r="E10" s="29" t="s">
        <v>70</v>
      </c>
      <c r="F10" s="26" t="s">
        <v>25</v>
      </c>
      <c r="G10" s="14">
        <v>2</v>
      </c>
      <c r="H10" s="92">
        <f>IF(B$19=0,0,G10/B$19)</f>
        <v>0.22222222222222221</v>
      </c>
      <c r="I10" s="60">
        <v>1</v>
      </c>
      <c r="N10" s="77" t="s">
        <v>152</v>
      </c>
      <c r="O10" s="86">
        <f>IF(P10=0,0,Q10/P10)</f>
        <v>-11.233333333333334</v>
      </c>
      <c r="P10" s="80">
        <v>3</v>
      </c>
      <c r="Q10" s="71">
        <v>-33.700000000000003</v>
      </c>
    </row>
    <row r="11" spans="1:17" x14ac:dyDescent="0.45">
      <c r="A11" s="22" t="s">
        <v>186</v>
      </c>
      <c r="B11" s="113">
        <f>IF(B8=0,0,C11/B8)</f>
        <v>-0.5</v>
      </c>
      <c r="C11" s="114">
        <v>-0.5</v>
      </c>
      <c r="E11" s="29" t="s">
        <v>65</v>
      </c>
      <c r="F11" s="26" t="s">
        <v>21</v>
      </c>
      <c r="G11" s="14">
        <v>1</v>
      </c>
      <c r="H11" s="92">
        <f>IF(B$19=0,0,G11/B$19)</f>
        <v>0.1111111111111111</v>
      </c>
      <c r="I11" s="60">
        <v>6</v>
      </c>
      <c r="N11" s="78" t="s">
        <v>153</v>
      </c>
      <c r="O11" s="87">
        <f>IF(P11=0,0,Q11/P11)</f>
        <v>-12.266666666666666</v>
      </c>
      <c r="P11" s="81">
        <v>3</v>
      </c>
      <c r="Q11" s="72">
        <v>-36.799999999999997</v>
      </c>
    </row>
    <row r="12" spans="1:17" x14ac:dyDescent="0.45">
      <c r="A12" s="22" t="s">
        <v>187</v>
      </c>
      <c r="B12" s="113">
        <f>IF(B9=0,0,C12/B9)</f>
        <v>-36.766666666666673</v>
      </c>
      <c r="C12" s="114">
        <v>-110.30000000000001</v>
      </c>
      <c r="E12" s="29" t="s">
        <v>71</v>
      </c>
      <c r="F12" s="26" t="s">
        <v>26</v>
      </c>
      <c r="G12" s="14">
        <v>1</v>
      </c>
      <c r="H12" s="92">
        <f>IF(B$19=0,0,G12/B$19)</f>
        <v>0.1111111111111111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-5.7055555555555584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0.16666666666666666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</v>
      </c>
      <c r="C15" s="12">
        <f>IF(B$3=0,0,B15/B$3)</f>
        <v>0.3888888888888889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16.25</v>
      </c>
      <c r="P15" s="80">
        <v>4</v>
      </c>
      <c r="Q15" s="71">
        <v>65</v>
      </c>
    </row>
    <row r="16" spans="1:17" x14ac:dyDescent="0.45">
      <c r="A16" s="21" t="s">
        <v>118</v>
      </c>
      <c r="B16" s="14">
        <v>1</v>
      </c>
      <c r="C16" s="8">
        <f>IF(B$3=0,0,B16/B$3)</f>
        <v>2.7777777777777776E-2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-18.550000000000004</v>
      </c>
      <c r="P16" s="81">
        <v>2</v>
      </c>
      <c r="Q16" s="72">
        <v>-37.100000000000009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-31.799999999999997</v>
      </c>
      <c r="P17" s="81">
        <v>4</v>
      </c>
      <c r="Q17" s="72">
        <v>-127.19999999999999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-55.7</v>
      </c>
      <c r="P18" s="81">
        <v>1</v>
      </c>
      <c r="Q18" s="72">
        <v>-55.7</v>
      </c>
    </row>
    <row r="19" spans="1:17" x14ac:dyDescent="0.45">
      <c r="A19" s="20" t="s">
        <v>10</v>
      </c>
      <c r="B19" s="13">
        <f>B22+B21</f>
        <v>9</v>
      </c>
      <c r="C19" s="6">
        <f>IF(B$3=0,0,B19/B$3)</f>
        <v>0.25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  <c r="N19" s="78" t="s">
        <v>194</v>
      </c>
      <c r="O19" s="87">
        <f>IF(P19=0,0,Q19/P19)</f>
        <v>-56.5</v>
      </c>
      <c r="P19" s="81">
        <v>1</v>
      </c>
      <c r="Q19" s="72">
        <v>-56.5</v>
      </c>
    </row>
    <row r="20" spans="1:17" x14ac:dyDescent="0.45">
      <c r="A20" s="21" t="s">
        <v>13</v>
      </c>
      <c r="B20" s="14">
        <v>7</v>
      </c>
      <c r="C20" s="8">
        <f>IF(B$3=0,0,B20/B$3)</f>
        <v>0.19444444444444445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0.44444444444444442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5</v>
      </c>
      <c r="C22" s="8">
        <f>IF(B$19=0,0,B22/B$19)</f>
        <v>0.55555555555555558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0.77777777777777779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0.22222222222222221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8566.6666666666661</v>
      </c>
      <c r="C26" s="10">
        <v>77100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8566.6666666666661</v>
      </c>
      <c r="C27" s="100">
        <v>77100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-8585.7142857142862</v>
      </c>
      <c r="C29" s="100">
        <v>-60100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51000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0.1111111111111111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0.22222222222222221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0.1111111111111111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1</v>
      </c>
      <c r="C42" s="8">
        <f t="shared" si="2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0.1111111111111111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2</v>
      </c>
      <c r="C2" s="136"/>
      <c r="E2" s="28" t="s">
        <v>66</v>
      </c>
      <c r="F2" s="25" t="s">
        <v>22</v>
      </c>
      <c r="G2" s="13">
        <v>8</v>
      </c>
      <c r="H2" s="91">
        <f>IF(B$19=0,0,G2/B$19)</f>
        <v>0.88888888888888884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4350</v>
      </c>
      <c r="P2" s="80">
        <v>2</v>
      </c>
      <c r="Q2" s="67">
        <v>8700</v>
      </c>
    </row>
    <row r="3" spans="1:17" x14ac:dyDescent="0.45">
      <c r="A3" s="21" t="s">
        <v>8</v>
      </c>
      <c r="B3" s="137">
        <v>12</v>
      </c>
      <c r="C3" s="138"/>
      <c r="E3" s="29" t="s">
        <v>64</v>
      </c>
      <c r="F3" s="26" t="s">
        <v>20</v>
      </c>
      <c r="G3" s="14">
        <v>4</v>
      </c>
      <c r="H3" s="92">
        <f>IF(B$19=0,0,G3/B$19)</f>
        <v>0.44444444444444442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0</v>
      </c>
      <c r="P3" s="81">
        <v>2</v>
      </c>
      <c r="Q3" s="68">
        <v>0</v>
      </c>
    </row>
    <row r="4" spans="1:17" x14ac:dyDescent="0.45">
      <c r="A4" s="21" t="s">
        <v>6</v>
      </c>
      <c r="B4" s="139">
        <v>137.5</v>
      </c>
      <c r="C4" s="140"/>
      <c r="E4" s="29" t="s">
        <v>67</v>
      </c>
      <c r="F4" s="26" t="s">
        <v>23</v>
      </c>
      <c r="G4" s="14">
        <v>4</v>
      </c>
      <c r="H4" s="92">
        <f>IF(B$19=0,0,G4/B$19)</f>
        <v>0.44444444444444442</v>
      </c>
      <c r="I4" s="60">
        <v>1</v>
      </c>
      <c r="K4" s="7">
        <v>2</v>
      </c>
      <c r="L4" s="65">
        <v>137.5</v>
      </c>
      <c r="N4" s="78" t="s">
        <v>130</v>
      </c>
      <c r="O4" s="84">
        <f t="shared" si="0"/>
        <v>54400</v>
      </c>
      <c r="P4" s="81">
        <v>2</v>
      </c>
      <c r="Q4" s="68">
        <v>108800</v>
      </c>
    </row>
    <row r="5" spans="1:17" x14ac:dyDescent="0.45">
      <c r="A5" s="21" t="s">
        <v>7</v>
      </c>
      <c r="B5" s="127">
        <f>IF(B$2=0,0,B$4/B$2)</f>
        <v>68.75</v>
      </c>
      <c r="C5" s="128"/>
      <c r="E5" s="29" t="s">
        <v>72</v>
      </c>
      <c r="F5" s="26" t="s">
        <v>27</v>
      </c>
      <c r="G5" s="14">
        <v>4</v>
      </c>
      <c r="H5" s="92">
        <f>IF(B$19=0,0,G5/B$19)</f>
        <v>0.44444444444444442</v>
      </c>
      <c r="I5" s="60">
        <v>4</v>
      </c>
      <c r="N5" s="78" t="s">
        <v>131</v>
      </c>
      <c r="O5" s="84">
        <f t="shared" si="0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1</v>
      </c>
      <c r="C6" s="142"/>
      <c r="E6" s="29" t="s">
        <v>68</v>
      </c>
      <c r="F6" s="26" t="s">
        <v>12</v>
      </c>
      <c r="G6" s="14">
        <v>3</v>
      </c>
      <c r="H6" s="92">
        <f>IF(B$19=0,0,G6/B$19)</f>
        <v>0.33333333333333331</v>
      </c>
      <c r="I6" s="60">
        <v>3</v>
      </c>
      <c r="N6" s="78" t="s">
        <v>132</v>
      </c>
      <c r="O6" s="84">
        <f t="shared" si="0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1</v>
      </c>
      <c r="E7" s="29" t="s">
        <v>81</v>
      </c>
      <c r="F7" s="26" t="s">
        <v>36</v>
      </c>
      <c r="G7" s="14">
        <v>2</v>
      </c>
      <c r="H7" s="92">
        <f>IF(B$19=0,0,G7/B$19)</f>
        <v>0.22222222222222221</v>
      </c>
      <c r="I7" s="60">
        <v>1</v>
      </c>
      <c r="N7" s="79" t="s">
        <v>133</v>
      </c>
      <c r="O7" s="85">
        <f t="shared" si="0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65</v>
      </c>
      <c r="F8" s="26" t="s">
        <v>21</v>
      </c>
      <c r="G8" s="14">
        <v>1</v>
      </c>
      <c r="H8" s="92">
        <f>IF(B$19=0,0,G8/B$19)</f>
        <v>0.1111111111111111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0.1111111111111111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68.75</v>
      </c>
      <c r="C10" s="114">
        <v>137.5</v>
      </c>
      <c r="E10" s="29" t="s">
        <v>89</v>
      </c>
      <c r="F10" s="26" t="s">
        <v>44</v>
      </c>
      <c r="G10" s="14">
        <v>1</v>
      </c>
      <c r="H10" s="92">
        <f>IF(B$19=0,0,G10/B$19)</f>
        <v>0.1111111111111111</v>
      </c>
      <c r="I10" s="60">
        <v>4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102</v>
      </c>
      <c r="F11" s="26" t="s">
        <v>57</v>
      </c>
      <c r="G11" s="14">
        <v>1</v>
      </c>
      <c r="H11" s="92">
        <f>IF(B$19=0,0,G11/B$19)</f>
        <v>0.1111111111111111</v>
      </c>
      <c r="I11" s="60">
        <v>1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4</v>
      </c>
      <c r="N12" s="79" t="s">
        <v>154</v>
      </c>
      <c r="O12" s="88">
        <f>IF(P12=0,0,Q12/P12)</f>
        <v>68.75</v>
      </c>
      <c r="P12" s="82">
        <v>2</v>
      </c>
      <c r="Q12" s="73">
        <v>137.5</v>
      </c>
    </row>
    <row r="13" spans="1:17" x14ac:dyDescent="0.45">
      <c r="A13" s="22" t="s">
        <v>188</v>
      </c>
      <c r="B13" s="127">
        <f>AVERAGE(B10:B12)</f>
        <v>22.916666666666668</v>
      </c>
      <c r="C13" s="128"/>
      <c r="E13" s="29" t="s">
        <v>71</v>
      </c>
      <c r="F13" s="26" t="s">
        <v>26</v>
      </c>
      <c r="G13" s="14">
        <v>0</v>
      </c>
      <c r="H13" s="92">
        <f>IF(B$19=0,0,G13/B$19)</f>
        <v>0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0.33333333333333331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122</v>
      </c>
      <c r="P15" s="80">
        <v>2</v>
      </c>
      <c r="Q15" s="71">
        <v>244</v>
      </c>
    </row>
    <row r="16" spans="1:17" x14ac:dyDescent="0.45">
      <c r="A16" s="21" t="s">
        <v>118</v>
      </c>
      <c r="B16" s="14">
        <v>3</v>
      </c>
      <c r="C16" s="8">
        <f>IF(B$3=0,0,B16/B$3)</f>
        <v>0.25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197</v>
      </c>
      <c r="O16" s="87">
        <f>IF(P16=0,0,Q16/P16)</f>
        <v>112</v>
      </c>
      <c r="P16" s="81">
        <v>1</v>
      </c>
      <c r="Q16" s="72">
        <v>112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1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193</v>
      </c>
      <c r="O17" s="87">
        <f>IF(P17=0,0,Q17/P17)</f>
        <v>56.5</v>
      </c>
      <c r="P17" s="81">
        <v>1</v>
      </c>
      <c r="Q17" s="72">
        <v>56.5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0.66666666666666663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9</v>
      </c>
      <c r="C19" s="6">
        <f>IF(B$3=0,0,B19/B$3)</f>
        <v>0.75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1</v>
      </c>
      <c r="C20" s="8">
        <f>IF(B$3=0,0,B20/B$3)</f>
        <v>8.3333333333333329E-2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5</v>
      </c>
      <c r="C21" s="8">
        <f>IF(B$19=0,0,B21/B$19)</f>
        <v>0.55555555555555558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0.44444444444444442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0.44444444444444442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2</v>
      </c>
      <c r="C24" s="8">
        <f>IF(B$19=0,0,B24/B$19)</f>
        <v>0.22222222222222221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12555.555555555555</v>
      </c>
      <c r="C26" s="10">
        <v>113000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14714.285714285714</v>
      </c>
      <c r="C27" s="100">
        <v>103000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5000</v>
      </c>
      <c r="C28" s="100">
        <v>10000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7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10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106500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2</v>
      </c>
      <c r="C40" s="8">
        <f t="shared" si="2"/>
        <v>0.22222222222222221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0.1111111111111111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0.1111111111111111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3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7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197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</v>
      </c>
      <c r="C2" s="136"/>
      <c r="E2" s="28" t="s">
        <v>64</v>
      </c>
      <c r="F2" s="25" t="s">
        <v>20</v>
      </c>
      <c r="G2" s="13">
        <v>3</v>
      </c>
      <c r="H2" s="91">
        <f>IF(B$19=0,0,G2/B$19)</f>
        <v>0.75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-333.33333333333331</v>
      </c>
      <c r="P2" s="80">
        <v>3</v>
      </c>
      <c r="Q2" s="67">
        <v>-1000</v>
      </c>
    </row>
    <row r="3" spans="1:17" x14ac:dyDescent="0.45">
      <c r="A3" s="21" t="s">
        <v>8</v>
      </c>
      <c r="B3" s="137">
        <v>20</v>
      </c>
      <c r="C3" s="138"/>
      <c r="E3" s="29" t="s">
        <v>65</v>
      </c>
      <c r="F3" s="26" t="s">
        <v>21</v>
      </c>
      <c r="G3" s="14">
        <v>1</v>
      </c>
      <c r="H3" s="92">
        <f>IF(B$19=0,0,G3/B$19)</f>
        <v>0.25</v>
      </c>
      <c r="I3" s="60">
        <v>3</v>
      </c>
      <c r="K3" s="7">
        <v>1</v>
      </c>
      <c r="L3" s="65">
        <v>-30.5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5">
      <c r="A4" s="21" t="s">
        <v>6</v>
      </c>
      <c r="B4" s="139">
        <v>-41.400000000000006</v>
      </c>
      <c r="C4" s="140"/>
      <c r="E4" s="29" t="s">
        <v>66</v>
      </c>
      <c r="F4" s="26" t="s">
        <v>22</v>
      </c>
      <c r="G4" s="14">
        <v>1</v>
      </c>
      <c r="H4" s="92">
        <f>IF(B$19=0,0,G4/B$19)</f>
        <v>0.25</v>
      </c>
      <c r="I4" s="60">
        <v>8</v>
      </c>
      <c r="K4" s="7">
        <v>2</v>
      </c>
      <c r="L4" s="65">
        <v>-28.6</v>
      </c>
      <c r="N4" s="78" t="s">
        <v>130</v>
      </c>
      <c r="O4" s="84">
        <f t="shared" si="0"/>
        <v>-8766.6666666666661</v>
      </c>
      <c r="P4" s="81">
        <v>3</v>
      </c>
      <c r="Q4" s="68">
        <v>-26300</v>
      </c>
    </row>
    <row r="5" spans="1:17" x14ac:dyDescent="0.45">
      <c r="A5" s="21" t="s">
        <v>7</v>
      </c>
      <c r="B5" s="127">
        <f>IF(B$2=0,0,B$4/B$2)</f>
        <v>-13.800000000000002</v>
      </c>
      <c r="C5" s="128"/>
      <c r="E5" s="29" t="s">
        <v>67</v>
      </c>
      <c r="F5" s="26" t="s">
        <v>23</v>
      </c>
      <c r="G5" s="14">
        <v>1</v>
      </c>
      <c r="H5" s="92">
        <f>IF(B$19=0,0,G5/B$19)</f>
        <v>0.25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-3000</v>
      </c>
      <c r="P5" s="81">
        <v>1</v>
      </c>
      <c r="Q5" s="68">
        <v>-3000</v>
      </c>
    </row>
    <row r="6" spans="1:17" x14ac:dyDescent="0.45">
      <c r="A6" s="21" t="s">
        <v>1</v>
      </c>
      <c r="B6" s="141">
        <f>IF(B$2=0,0,(B$7*1+B$8*2+B$9*3)/B$2)</f>
        <v>2.3333333333333335</v>
      </c>
      <c r="C6" s="142"/>
      <c r="E6" s="29" t="s">
        <v>68</v>
      </c>
      <c r="F6" s="26" t="s">
        <v>12</v>
      </c>
      <c r="G6" s="14">
        <v>1</v>
      </c>
      <c r="H6" s="92">
        <f>IF(B$19=0,0,G6/B$19)</f>
        <v>0.25</v>
      </c>
      <c r="I6" s="60">
        <v>6</v>
      </c>
      <c r="N6" s="78" t="s">
        <v>132</v>
      </c>
      <c r="O6" s="84">
        <f t="shared" si="0"/>
        <v>2000</v>
      </c>
      <c r="P6" s="81">
        <v>1</v>
      </c>
      <c r="Q6" s="68">
        <v>2000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72</v>
      </c>
      <c r="F7" s="26" t="s">
        <v>27</v>
      </c>
      <c r="G7" s="14">
        <v>1</v>
      </c>
      <c r="H7" s="92">
        <f>IF(B$19=0,0,G7/B$19)</f>
        <v>0.25</v>
      </c>
      <c r="I7" s="60">
        <v>7</v>
      </c>
      <c r="N7" s="79" t="s">
        <v>133</v>
      </c>
      <c r="O7" s="85">
        <f t="shared" si="0"/>
        <v>-5500</v>
      </c>
      <c r="P7" s="82">
        <v>1</v>
      </c>
      <c r="Q7" s="69">
        <v>-5500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86</v>
      </c>
      <c r="F8" s="26" t="s">
        <v>41</v>
      </c>
      <c r="G8" s="14">
        <v>1</v>
      </c>
      <c r="H8" s="92">
        <f>IF(B$19=0,0,G8/B$19)</f>
        <v>0.25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160</v>
      </c>
      <c r="F9" s="26" t="s">
        <v>161</v>
      </c>
      <c r="G9" s="14">
        <v>1</v>
      </c>
      <c r="H9" s="92">
        <f>IF(B$19=0,0,G9/B$19)</f>
        <v>0.25</v>
      </c>
      <c r="I9" s="60">
        <v>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5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-14.3</v>
      </c>
      <c r="C11" s="114">
        <v>-28.6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4</v>
      </c>
      <c r="N11" s="78" t="s">
        <v>153</v>
      </c>
      <c r="O11" s="87">
        <f>IF(P11=0,0,Q11/P11)</f>
        <v>-30.5</v>
      </c>
      <c r="P11" s="81">
        <v>1</v>
      </c>
      <c r="Q11" s="72">
        <v>-30.5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-9.0333333333333332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</v>
      </c>
      <c r="C16" s="8">
        <f>IF(B$3=0,0,B16/B$3)</f>
        <v>0.05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18.550000000000004</v>
      </c>
      <c r="P16" s="81">
        <v>2</v>
      </c>
      <c r="Q16" s="72">
        <v>37.100000000000009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0.75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-34.9</v>
      </c>
      <c r="P17" s="81">
        <v>2</v>
      </c>
      <c r="Q17" s="72">
        <v>-69.8</v>
      </c>
    </row>
    <row r="18" spans="1:17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</v>
      </c>
      <c r="N18" s="78" t="s">
        <v>194</v>
      </c>
      <c r="O18" s="87">
        <f>IF(P18=0,0,Q18/P18)</f>
        <v>-112</v>
      </c>
      <c r="P18" s="81">
        <v>1</v>
      </c>
      <c r="Q18" s="72">
        <v>-112</v>
      </c>
    </row>
    <row r="19" spans="1:17" x14ac:dyDescent="0.45">
      <c r="A19" s="20" t="s">
        <v>10</v>
      </c>
      <c r="B19" s="13">
        <f>B22+B21</f>
        <v>4</v>
      </c>
      <c r="C19" s="6">
        <f>IF(B$3=0,0,B19/B$3)</f>
        <v>0.2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1</v>
      </c>
      <c r="C20" s="8">
        <f>IF(B$3=0,0,B20/B$3)</f>
        <v>0.05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</v>
      </c>
      <c r="C21" s="8">
        <f>IF(B$19=0,0,B21/B$19)</f>
        <v>0.25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3</v>
      </c>
      <c r="C22" s="8">
        <f>IF(B$19=0,0,B22/B$19)</f>
        <v>0.75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0.75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0</v>
      </c>
      <c r="C24" s="8">
        <f>IF(B$19=0,0,B24/B$19)</f>
        <v>0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5100</v>
      </c>
      <c r="C26" s="10">
        <v>20400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5100</v>
      </c>
      <c r="C27" s="100">
        <v>20400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13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1">
        <v>36900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0.25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2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3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197</v>
      </c>
      <c r="B1" s="36" t="s">
        <v>197</v>
      </c>
      <c r="C1" s="36" t="s">
        <v>197</v>
      </c>
      <c r="D1" s="37" t="s">
        <v>197</v>
      </c>
      <c r="E1" s="36" t="s">
        <v>197</v>
      </c>
      <c r="F1" s="36" t="s">
        <v>197</v>
      </c>
      <c r="G1" s="36" t="s">
        <v>197</v>
      </c>
      <c r="H1" s="36" t="s">
        <v>197</v>
      </c>
      <c r="I1" s="36" t="s">
        <v>197</v>
      </c>
      <c r="J1" s="36" t="s">
        <v>197</v>
      </c>
      <c r="K1" s="36" t="s">
        <v>197</v>
      </c>
      <c r="L1" s="36" t="s">
        <v>197</v>
      </c>
      <c r="M1" s="36" t="s">
        <v>197</v>
      </c>
      <c r="N1" s="36" t="s">
        <v>197</v>
      </c>
      <c r="O1" s="36" t="s">
        <v>197</v>
      </c>
      <c r="P1" s="36" t="s">
        <v>197</v>
      </c>
      <c r="Q1" s="36" t="s">
        <v>197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558</vt:i4>
      </vt:variant>
    </vt:vector>
  </HeadingPairs>
  <TitlesOfParts>
    <vt:vector size="594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2020-04-05T08:30:05Z</dcterms:modified>
</cp:coreProperties>
</file>