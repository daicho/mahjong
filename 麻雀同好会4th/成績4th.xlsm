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84BF5898-B55A-4D09-A604-3F8179C05FB3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74" r:id="rId6"/>
    <sheet name="れんたろう" sheetId="6176" r:id="rId7"/>
    <sheet name="ともき" sheetId="6178" r:id="rId8"/>
    <sheet name="だいち" sheetId="6180" r:id="rId9"/>
    <sheet name="りくと" sheetId="6182" r:id="rId10"/>
    <sheet name="まっつん" sheetId="6184" r:id="rId11"/>
    <sheet name="たかの" sheetId="6186" r:id="rId12"/>
    <sheet name="のり" sheetId="6188" r:id="rId13"/>
    <sheet name="ただ" sheetId="6190" r:id="rId14"/>
    <sheet name="ぱぱ" sheetId="6192" r:id="rId15"/>
    <sheet name="ぱぱ2" sheetId="6193" state="hidden" r:id="rId16"/>
    <sheet name="ただ2" sheetId="6191" state="hidden" r:id="rId17"/>
    <sheet name="のり2" sheetId="6189" state="hidden" r:id="rId18"/>
    <sheet name="たかの2" sheetId="6187" state="hidden" r:id="rId19"/>
    <sheet name="まっつん2" sheetId="6185" state="hidden" r:id="rId20"/>
    <sheet name="りくと2" sheetId="6183" state="hidden" r:id="rId21"/>
    <sheet name="だいち2" sheetId="6181" state="hidden" r:id="rId22"/>
    <sheet name="ともき2" sheetId="6179" state="hidden" r:id="rId23"/>
    <sheet name="れんたろう2" sheetId="6177" state="hidden" r:id="rId24"/>
    <sheet name="全体2" sheetId="6175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9" i="6176" l="1"/>
  <c r="O17" i="6188"/>
  <c r="O15" i="6192" l="1"/>
  <c r="O16" i="6192"/>
  <c r="C34" i="6192"/>
  <c r="B29" i="6192"/>
  <c r="B28" i="6192"/>
  <c r="C20" i="6192"/>
  <c r="B19" i="6192"/>
  <c r="H51" i="6192" s="1"/>
  <c r="C18" i="6192"/>
  <c r="B18" i="6192"/>
  <c r="B17" i="6192"/>
  <c r="C17" i="6192" s="1"/>
  <c r="C16" i="6192"/>
  <c r="C15" i="6192"/>
  <c r="C14" i="6192"/>
  <c r="O12" i="6192"/>
  <c r="B12" i="6192"/>
  <c r="B13" i="6192" s="1"/>
  <c r="O11" i="6192"/>
  <c r="B11" i="6192"/>
  <c r="O10" i="6192"/>
  <c r="B10" i="6192"/>
  <c r="C9" i="6192"/>
  <c r="C8" i="6192"/>
  <c r="O7" i="6192"/>
  <c r="C7" i="6192"/>
  <c r="O6" i="6192"/>
  <c r="B6" i="6192"/>
  <c r="O5" i="6192"/>
  <c r="B5" i="6192"/>
  <c r="O4" i="6192"/>
  <c r="O3" i="6192"/>
  <c r="O2" i="6192"/>
  <c r="O22" i="6180"/>
  <c r="O16" i="6176"/>
  <c r="O17" i="6174"/>
  <c r="H19" i="6192" l="1"/>
  <c r="H2" i="6192"/>
  <c r="C40" i="6192"/>
  <c r="H47" i="6192"/>
  <c r="H35" i="6192"/>
  <c r="H36" i="6192"/>
  <c r="H16" i="6192"/>
  <c r="H24" i="6192"/>
  <c r="H41" i="6192"/>
  <c r="H3" i="6192"/>
  <c r="C22" i="6192"/>
  <c r="H14" i="6192"/>
  <c r="C46" i="6192"/>
  <c r="H10" i="6192"/>
  <c r="H21" i="6192"/>
  <c r="C42" i="6192"/>
  <c r="H20" i="6192"/>
  <c r="C36" i="6192"/>
  <c r="H8" i="6192"/>
  <c r="H17" i="6192"/>
  <c r="H48" i="6192"/>
  <c r="C43" i="6192"/>
  <c r="H26" i="6192"/>
  <c r="C19" i="6192"/>
  <c r="H37" i="6192"/>
  <c r="H22" i="6192"/>
  <c r="H13" i="6192"/>
  <c r="C38" i="6192"/>
  <c r="C48" i="6192"/>
  <c r="C25" i="6192"/>
  <c r="H31" i="6192"/>
  <c r="H39" i="6192"/>
  <c r="H44" i="6192"/>
  <c r="H49" i="6192"/>
  <c r="H29" i="6192"/>
  <c r="C24" i="6192"/>
  <c r="H6" i="6192"/>
  <c r="H5" i="6192"/>
  <c r="H9" i="6192"/>
  <c r="H18" i="6192"/>
  <c r="H27" i="6192"/>
  <c r="C39" i="6192"/>
  <c r="C44" i="6192"/>
  <c r="H7" i="6192"/>
  <c r="C47" i="6192"/>
  <c r="H4" i="6192"/>
  <c r="H15" i="6192"/>
  <c r="H43" i="6192"/>
  <c r="H30" i="6192"/>
  <c r="H11" i="6192"/>
  <c r="H23" i="6192"/>
  <c r="H34" i="6192"/>
  <c r="C21" i="6192"/>
  <c r="B26" i="6192"/>
  <c r="H40" i="6192"/>
  <c r="H45" i="6192"/>
  <c r="H52" i="6192"/>
  <c r="H25" i="6192"/>
  <c r="H28" i="6192"/>
  <c r="H32" i="6192"/>
  <c r="C37" i="6192"/>
  <c r="C41" i="6192"/>
  <c r="C45" i="6192"/>
  <c r="H50" i="6192"/>
  <c r="H12" i="6192"/>
  <c r="C23" i="6192"/>
  <c r="B27" i="6192"/>
  <c r="H33" i="6192"/>
  <c r="H38" i="6192"/>
  <c r="H42" i="6192"/>
  <c r="H46" i="6192"/>
  <c r="O16" i="6182" l="1"/>
  <c r="O16" i="6190"/>
  <c r="O16" i="6178"/>
  <c r="O18" i="6186"/>
  <c r="O19" i="6190" l="1"/>
  <c r="O15" i="6178"/>
  <c r="O17" i="6190"/>
  <c r="O18" i="6176"/>
  <c r="O15" i="6184" l="1"/>
  <c r="O17" i="6178"/>
  <c r="O21" i="6180"/>
  <c r="O19" i="6184"/>
  <c r="O19" i="6174"/>
  <c r="O18" i="6190"/>
  <c r="O15" i="6190"/>
  <c r="C34" i="6190"/>
  <c r="B29" i="6190"/>
  <c r="C20" i="6190"/>
  <c r="B19" i="6190"/>
  <c r="H50" i="6190" s="1"/>
  <c r="B18" i="6190"/>
  <c r="B28" i="6190" s="1"/>
  <c r="B17" i="6190"/>
  <c r="C17" i="6190" s="1"/>
  <c r="C16" i="6190"/>
  <c r="C15" i="6190"/>
  <c r="C14" i="6190"/>
  <c r="O12" i="6190"/>
  <c r="B12" i="6190"/>
  <c r="O11" i="6190"/>
  <c r="B11" i="6190"/>
  <c r="O10" i="6190"/>
  <c r="B10" i="6190"/>
  <c r="C9" i="6190"/>
  <c r="C8" i="6190"/>
  <c r="O7" i="6190"/>
  <c r="C7" i="6190"/>
  <c r="O6" i="6190"/>
  <c r="B6" i="6190"/>
  <c r="O5" i="6190"/>
  <c r="B5" i="6190"/>
  <c r="O4" i="6190"/>
  <c r="O3" i="6190"/>
  <c r="O2" i="6190"/>
  <c r="C18" i="6190" l="1"/>
  <c r="B13" i="6190"/>
  <c r="H12" i="6190"/>
  <c r="H16" i="6190"/>
  <c r="C24" i="6190"/>
  <c r="H31" i="6190"/>
  <c r="H20" i="6190"/>
  <c r="H42" i="6190"/>
  <c r="H33" i="6190"/>
  <c r="H3" i="6190"/>
  <c r="H26" i="6190"/>
  <c r="C42" i="6190"/>
  <c r="H10" i="6190"/>
  <c r="C19" i="6190"/>
  <c r="C25" i="6190"/>
  <c r="H36" i="6190"/>
  <c r="H15" i="6190"/>
  <c r="C36" i="6190"/>
  <c r="H48" i="6190"/>
  <c r="C46" i="6190"/>
  <c r="H14" i="6190"/>
  <c r="H27" i="6190"/>
  <c r="H47" i="6190"/>
  <c r="H18" i="6190"/>
  <c r="H24" i="6190"/>
  <c r="C48" i="6190"/>
  <c r="H2" i="6190"/>
  <c r="H43" i="6190"/>
  <c r="H29" i="6190"/>
  <c r="H37" i="6190"/>
  <c r="H13" i="6190"/>
  <c r="H38" i="6190"/>
  <c r="H7" i="6190"/>
  <c r="H19" i="6190"/>
  <c r="H22" i="6190"/>
  <c r="C21" i="6190"/>
  <c r="H30" i="6190"/>
  <c r="H41" i="6190"/>
  <c r="H49" i="6190"/>
  <c r="C38" i="6190"/>
  <c r="H44" i="6190"/>
  <c r="H6" i="6190"/>
  <c r="H11" i="6190"/>
  <c r="B26" i="6190"/>
  <c r="H34" i="6190"/>
  <c r="H39" i="6190"/>
  <c r="C44" i="6190"/>
  <c r="H51" i="6190"/>
  <c r="H17" i="6190"/>
  <c r="H4" i="6190"/>
  <c r="H8" i="6190"/>
  <c r="H21" i="6190"/>
  <c r="H23" i="6190"/>
  <c r="C22" i="6190"/>
  <c r="B27" i="6190"/>
  <c r="H40" i="6190"/>
  <c r="H45" i="6190"/>
  <c r="H5" i="6190"/>
  <c r="C23" i="6190"/>
  <c r="H9" i="6190"/>
  <c r="H35" i="6190"/>
  <c r="C40" i="6190"/>
  <c r="H46" i="6190"/>
  <c r="H52" i="6190"/>
  <c r="C39" i="6190"/>
  <c r="C43" i="6190"/>
  <c r="C47" i="6190"/>
  <c r="H25" i="6190"/>
  <c r="H28" i="6190"/>
  <c r="H32" i="6190"/>
  <c r="C37" i="6190"/>
  <c r="C41" i="6190"/>
  <c r="C45" i="6190"/>
  <c r="O19" i="6180" l="1"/>
  <c r="O20" i="6186"/>
  <c r="O21" i="6176"/>
  <c r="O16" i="6186"/>
  <c r="O17" i="6180" l="1"/>
  <c r="O19" i="6182"/>
  <c r="O22" i="6176"/>
  <c r="O17" i="6176"/>
  <c r="O15" i="6182"/>
  <c r="O18" i="6184"/>
  <c r="O16" i="6188" l="1"/>
  <c r="O19" i="6188"/>
  <c r="O21" i="6184"/>
  <c r="O20" i="6184"/>
  <c r="O15" i="6180"/>
  <c r="O18" i="6180"/>
  <c r="O17" i="6186"/>
  <c r="O15" i="6188"/>
  <c r="O18" i="6188"/>
  <c r="C34" i="6188"/>
  <c r="B29" i="6188"/>
  <c r="C20" i="6188"/>
  <c r="B19" i="6188"/>
  <c r="H52" i="6188" s="1"/>
  <c r="B18" i="6188"/>
  <c r="B28" i="6188" s="1"/>
  <c r="B17" i="6188"/>
  <c r="C17" i="6188" s="1"/>
  <c r="C16" i="6188"/>
  <c r="C15" i="6188"/>
  <c r="C14" i="6188"/>
  <c r="O12" i="6188"/>
  <c r="B12" i="6188"/>
  <c r="O11" i="6188"/>
  <c r="B11" i="6188"/>
  <c r="O10" i="6188"/>
  <c r="B10" i="6188"/>
  <c r="C9" i="6188"/>
  <c r="C8" i="6188"/>
  <c r="O7" i="6188"/>
  <c r="C7" i="6188"/>
  <c r="O6" i="6188"/>
  <c r="B6" i="6188"/>
  <c r="O5" i="6188"/>
  <c r="B5" i="6188"/>
  <c r="O4" i="6188"/>
  <c r="O3" i="6188"/>
  <c r="O2" i="6188"/>
  <c r="O18" i="6182"/>
  <c r="O21" i="6174"/>
  <c r="O19" i="6186"/>
  <c r="O15" i="6186"/>
  <c r="C34" i="6186"/>
  <c r="B29" i="6186"/>
  <c r="C20" i="6186"/>
  <c r="B19" i="6186"/>
  <c r="H6" i="6186" s="1"/>
  <c r="B18" i="6186"/>
  <c r="B17" i="6186"/>
  <c r="C17" i="6186" s="1"/>
  <c r="C16" i="6186"/>
  <c r="C15" i="6186"/>
  <c r="C14" i="6186"/>
  <c r="O12" i="6186"/>
  <c r="B12" i="6186"/>
  <c r="O11" i="6186"/>
  <c r="B11" i="6186"/>
  <c r="O10" i="6186"/>
  <c r="B10" i="6186"/>
  <c r="C9" i="6186"/>
  <c r="C8" i="6186"/>
  <c r="O7" i="6186"/>
  <c r="C7" i="6186"/>
  <c r="O6" i="6186"/>
  <c r="B6" i="6186"/>
  <c r="O5" i="6186"/>
  <c r="B5" i="6186"/>
  <c r="O4" i="6186"/>
  <c r="O3" i="6186"/>
  <c r="O2" i="6186"/>
  <c r="O16" i="6184"/>
  <c r="O17" i="6184"/>
  <c r="C34" i="6184"/>
  <c r="B29" i="6184"/>
  <c r="C20" i="6184"/>
  <c r="B19" i="6184"/>
  <c r="H51" i="6184" s="1"/>
  <c r="B18" i="6184"/>
  <c r="B28" i="6184" s="1"/>
  <c r="B17" i="6184"/>
  <c r="C17" i="6184" s="1"/>
  <c r="C16" i="6184"/>
  <c r="C15" i="6184"/>
  <c r="C14" i="6184"/>
  <c r="O12" i="6184"/>
  <c r="B12" i="6184"/>
  <c r="O11" i="6184"/>
  <c r="B11" i="6184"/>
  <c r="O10" i="6184"/>
  <c r="B10" i="6184"/>
  <c r="C9" i="6184"/>
  <c r="C8" i="6184"/>
  <c r="O7" i="6184"/>
  <c r="C7" i="6184"/>
  <c r="O6" i="6184"/>
  <c r="B6" i="6184"/>
  <c r="O5" i="6184"/>
  <c r="B5" i="6184"/>
  <c r="O4" i="6184"/>
  <c r="O3" i="6184"/>
  <c r="O2" i="6184"/>
  <c r="O15" i="6174"/>
  <c r="O20" i="6182"/>
  <c r="O17" i="6182"/>
  <c r="C34" i="6182"/>
  <c r="B29" i="6182"/>
  <c r="C20" i="6182"/>
  <c r="B19" i="6182"/>
  <c r="H51" i="6182" s="1"/>
  <c r="B18" i="6182"/>
  <c r="C18" i="6182" s="1"/>
  <c r="B17" i="6182"/>
  <c r="C17" i="6182" s="1"/>
  <c r="C16" i="6182"/>
  <c r="C15" i="6182"/>
  <c r="C14" i="6182"/>
  <c r="O12" i="6182"/>
  <c r="B12" i="6182"/>
  <c r="O11" i="6182"/>
  <c r="B11" i="6182"/>
  <c r="O10" i="6182"/>
  <c r="B10" i="6182"/>
  <c r="C9" i="6182"/>
  <c r="C8" i="6182"/>
  <c r="O7" i="6182"/>
  <c r="C7" i="6182"/>
  <c r="O6" i="6182"/>
  <c r="B6" i="6182"/>
  <c r="O5" i="6182"/>
  <c r="B5" i="6182"/>
  <c r="O4" i="6182"/>
  <c r="O3" i="6182"/>
  <c r="O2" i="6182"/>
  <c r="O22" i="6174"/>
  <c r="O20" i="6174"/>
  <c r="O16" i="6180"/>
  <c r="O20" i="6180"/>
  <c r="C34" i="6180"/>
  <c r="B29" i="6180"/>
  <c r="C20" i="6180"/>
  <c r="B19" i="6180"/>
  <c r="H15" i="6180" s="1"/>
  <c r="B18" i="6180"/>
  <c r="B28" i="6180" s="1"/>
  <c r="B17" i="6180"/>
  <c r="C17" i="6180" s="1"/>
  <c r="C16" i="6180"/>
  <c r="C15" i="6180"/>
  <c r="C14" i="6180"/>
  <c r="O12" i="6180"/>
  <c r="B12" i="6180"/>
  <c r="O11" i="6180"/>
  <c r="B11" i="6180"/>
  <c r="O10" i="6180"/>
  <c r="B10" i="6180"/>
  <c r="C9" i="6180"/>
  <c r="C8" i="6180"/>
  <c r="O7" i="6180"/>
  <c r="C7" i="6180"/>
  <c r="O6" i="6180"/>
  <c r="B6" i="6180"/>
  <c r="O5" i="6180"/>
  <c r="B5" i="6180"/>
  <c r="O4" i="6180"/>
  <c r="O3" i="6180"/>
  <c r="O2" i="6180"/>
  <c r="O18" i="6178"/>
  <c r="O19" i="6178"/>
  <c r="C34" i="6178"/>
  <c r="B29" i="6178"/>
  <c r="C20" i="6178"/>
  <c r="B19" i="6178"/>
  <c r="H51" i="6178" s="1"/>
  <c r="B18" i="6178"/>
  <c r="B28" i="6178" s="1"/>
  <c r="B17" i="6178"/>
  <c r="C17" i="6178" s="1"/>
  <c r="C16" i="6178"/>
  <c r="C15" i="6178"/>
  <c r="C14" i="6178"/>
  <c r="O12" i="6178"/>
  <c r="B12" i="6178"/>
  <c r="O11" i="6178"/>
  <c r="B11" i="6178"/>
  <c r="O10" i="6178"/>
  <c r="B10" i="6178"/>
  <c r="C9" i="6178"/>
  <c r="C8" i="6178"/>
  <c r="O7" i="6178"/>
  <c r="C7" i="6178"/>
  <c r="O6" i="6178"/>
  <c r="B6" i="6178"/>
  <c r="O5" i="6178"/>
  <c r="B5" i="6178"/>
  <c r="O4" i="6178"/>
  <c r="O3" i="6178"/>
  <c r="O2" i="6178"/>
  <c r="O18" i="6174"/>
  <c r="O20" i="6176"/>
  <c r="O15" i="6176"/>
  <c r="C34" i="6176"/>
  <c r="B29" i="6176"/>
  <c r="C20" i="6176"/>
  <c r="B19" i="6176"/>
  <c r="H4" i="6176" s="1"/>
  <c r="B18" i="6176"/>
  <c r="B28" i="6176" s="1"/>
  <c r="B17" i="6176"/>
  <c r="C17" i="6176" s="1"/>
  <c r="C16" i="6176"/>
  <c r="C15" i="6176"/>
  <c r="C14" i="6176"/>
  <c r="O12" i="6176"/>
  <c r="B12" i="6176"/>
  <c r="O11" i="6176"/>
  <c r="B11" i="6176"/>
  <c r="O10" i="6176"/>
  <c r="B10" i="6176"/>
  <c r="C9" i="6176"/>
  <c r="C8" i="6176"/>
  <c r="O7" i="6176"/>
  <c r="C7" i="6176"/>
  <c r="O6" i="6176"/>
  <c r="B6" i="6176"/>
  <c r="O5" i="6176"/>
  <c r="B5" i="6176"/>
  <c r="O4" i="6176"/>
  <c r="O3" i="6176"/>
  <c r="O2" i="6176"/>
  <c r="O23" i="6174"/>
  <c r="O16" i="6174"/>
  <c r="C34" i="6174"/>
  <c r="B29" i="6174"/>
  <c r="C20" i="6174"/>
  <c r="B19" i="6174"/>
  <c r="H51" i="6174" s="1"/>
  <c r="B18" i="6174"/>
  <c r="B28" i="6174" s="1"/>
  <c r="B17" i="6174"/>
  <c r="C17" i="6174" s="1"/>
  <c r="C16" i="6174"/>
  <c r="C15" i="6174"/>
  <c r="C14" i="6174"/>
  <c r="O12" i="6174"/>
  <c r="B12" i="6174"/>
  <c r="O11" i="6174"/>
  <c r="B11" i="6174"/>
  <c r="O10" i="6174"/>
  <c r="B10" i="6174"/>
  <c r="C9" i="6174"/>
  <c r="C8" i="6174"/>
  <c r="O7" i="6174"/>
  <c r="C7" i="6174"/>
  <c r="O6" i="6174"/>
  <c r="B6" i="6174"/>
  <c r="O5" i="6174"/>
  <c r="B5" i="6174"/>
  <c r="O4" i="6174"/>
  <c r="O3" i="6174"/>
  <c r="O2" i="6174"/>
  <c r="H25" i="6182" l="1"/>
  <c r="B28" i="6182"/>
  <c r="C18" i="6178"/>
  <c r="C18" i="6188"/>
  <c r="B13" i="6178"/>
  <c r="B13" i="6184"/>
  <c r="B13" i="6186"/>
  <c r="C18" i="6184"/>
  <c r="C18" i="6176"/>
  <c r="B13" i="6180"/>
  <c r="B13" i="6176"/>
  <c r="H47" i="6176"/>
  <c r="B13" i="6182"/>
  <c r="H49" i="6182"/>
  <c r="H4" i="6182"/>
  <c r="H52" i="6182"/>
  <c r="H22" i="6182"/>
  <c r="C21" i="6182"/>
  <c r="H5" i="6182"/>
  <c r="H35" i="6182"/>
  <c r="H2" i="6182"/>
  <c r="H8" i="6182"/>
  <c r="H24" i="6182"/>
  <c r="C22" i="6182"/>
  <c r="H40" i="6182"/>
  <c r="H18" i="6182"/>
  <c r="H34" i="6182"/>
  <c r="C25" i="6182"/>
  <c r="C40" i="6182"/>
  <c r="H27" i="6182"/>
  <c r="H7" i="6182"/>
  <c r="H21" i="6182"/>
  <c r="H41" i="6182"/>
  <c r="H44" i="6182"/>
  <c r="C44" i="6182"/>
  <c r="H3" i="6182"/>
  <c r="H12" i="6182"/>
  <c r="H23" i="6182"/>
  <c r="B26" i="6182"/>
  <c r="H36" i="6182"/>
  <c r="H45" i="6182"/>
  <c r="H15" i="6182"/>
  <c r="H10" i="6182"/>
  <c r="H39" i="6182"/>
  <c r="C46" i="6182"/>
  <c r="H19" i="6182"/>
  <c r="H16" i="6182"/>
  <c r="H9" i="6182"/>
  <c r="H6" i="6182"/>
  <c r="H13" i="6182"/>
  <c r="H20" i="6182"/>
  <c r="H26" i="6182"/>
  <c r="C39" i="6182"/>
  <c r="H47" i="6182"/>
  <c r="H29" i="6182"/>
  <c r="H31" i="6182"/>
  <c r="C36" i="6182"/>
  <c r="C42" i="6182"/>
  <c r="C47" i="6182"/>
  <c r="H14" i="6182"/>
  <c r="C19" i="6182"/>
  <c r="C24" i="6182"/>
  <c r="H37" i="6182"/>
  <c r="H43" i="6182"/>
  <c r="H48" i="6182"/>
  <c r="H11" i="6182"/>
  <c r="H17" i="6182"/>
  <c r="C38" i="6182"/>
  <c r="C43" i="6182"/>
  <c r="C48" i="6182"/>
  <c r="H27" i="6176"/>
  <c r="H33" i="6176"/>
  <c r="H43" i="6176"/>
  <c r="H23" i="6176"/>
  <c r="H12" i="6176"/>
  <c r="C47" i="6176"/>
  <c r="H48" i="6176"/>
  <c r="H21" i="6176"/>
  <c r="H37" i="6176"/>
  <c r="H7" i="6176"/>
  <c r="C22" i="6176"/>
  <c r="C36" i="6176"/>
  <c r="H26" i="6176"/>
  <c r="H18" i="6176"/>
  <c r="H9" i="6176"/>
  <c r="H15" i="6176"/>
  <c r="B27" i="6176"/>
  <c r="B26" i="6176"/>
  <c r="C40" i="6176"/>
  <c r="H2" i="6176"/>
  <c r="C21" i="6176"/>
  <c r="H5" i="6176"/>
  <c r="H25" i="6176"/>
  <c r="H42" i="6176"/>
  <c r="C40" i="6178"/>
  <c r="C48" i="6178"/>
  <c r="H13" i="6178"/>
  <c r="C22" i="6178"/>
  <c r="H12" i="6178"/>
  <c r="H6" i="6178"/>
  <c r="C47" i="6178"/>
  <c r="H3" i="6178"/>
  <c r="H9" i="6178"/>
  <c r="H30" i="6178"/>
  <c r="H14" i="6178"/>
  <c r="H21" i="6178"/>
  <c r="C39" i="6178"/>
  <c r="H49" i="6178"/>
  <c r="H26" i="6178"/>
  <c r="C19" i="6178"/>
  <c r="C25" i="6178"/>
  <c r="H34" i="6178"/>
  <c r="C42" i="6178"/>
  <c r="H41" i="6178"/>
  <c r="H43" i="6178"/>
  <c r="H4" i="6178"/>
  <c r="H22" i="6178"/>
  <c r="H10" i="6178"/>
  <c r="H17" i="6178"/>
  <c r="B26" i="6178"/>
  <c r="H35" i="6178"/>
  <c r="H45" i="6178"/>
  <c r="H16" i="6178"/>
  <c r="H19" i="6178"/>
  <c r="H20" i="6178"/>
  <c r="H23" i="6178"/>
  <c r="H8" i="6178"/>
  <c r="C36" i="6178"/>
  <c r="C46" i="6178"/>
  <c r="H11" i="6178"/>
  <c r="H31" i="6178"/>
  <c r="H2" i="6178"/>
  <c r="H27" i="6178"/>
  <c r="H7" i="6178"/>
  <c r="H15" i="6178"/>
  <c r="H18" i="6178"/>
  <c r="C21" i="6178"/>
  <c r="H39" i="6178"/>
  <c r="H47" i="6178"/>
  <c r="H30" i="6180"/>
  <c r="H3" i="6188"/>
  <c r="H40" i="6188"/>
  <c r="H18" i="6184"/>
  <c r="H7" i="6184"/>
  <c r="H14" i="6184"/>
  <c r="H26" i="6184"/>
  <c r="H34" i="6184"/>
  <c r="H22" i="6184"/>
  <c r="C42" i="6184"/>
  <c r="H18" i="6188"/>
  <c r="C19" i="6188"/>
  <c r="H29" i="6188"/>
  <c r="H27" i="6188"/>
  <c r="C39" i="6188"/>
  <c r="C48" i="6188"/>
  <c r="H11" i="6188"/>
  <c r="C40" i="6188"/>
  <c r="H23" i="6188"/>
  <c r="H30" i="6188"/>
  <c r="C43" i="6188"/>
  <c r="H44" i="6188"/>
  <c r="H15" i="6188"/>
  <c r="H2" i="6188"/>
  <c r="H16" i="6188"/>
  <c r="H20" i="6188"/>
  <c r="H24" i="6188"/>
  <c r="H35" i="6188"/>
  <c r="C44" i="6188"/>
  <c r="C21" i="6188"/>
  <c r="H9" i="6188"/>
  <c r="H10" i="6188"/>
  <c r="H36" i="6188"/>
  <c r="C47" i="6188"/>
  <c r="H7" i="6188"/>
  <c r="H8" i="6188"/>
  <c r="H4" i="6188"/>
  <c r="C25" i="6188"/>
  <c r="C36" i="6188"/>
  <c r="H48" i="6188"/>
  <c r="H4" i="6186"/>
  <c r="C19" i="6186"/>
  <c r="H23" i="6186"/>
  <c r="H35" i="6186"/>
  <c r="H24" i="6186"/>
  <c r="H38" i="6186"/>
  <c r="H8" i="6186"/>
  <c r="H21" i="6186"/>
  <c r="H9" i="6186"/>
  <c r="C40" i="6186"/>
  <c r="H19" i="6186"/>
  <c r="C23" i="6186"/>
  <c r="H43" i="6186"/>
  <c r="H7" i="6186"/>
  <c r="H13" i="6186"/>
  <c r="H25" i="6186"/>
  <c r="H30" i="6186"/>
  <c r="C22" i="6186"/>
  <c r="B27" i="6186"/>
  <c r="H26" i="6186"/>
  <c r="H32" i="6186"/>
  <c r="B13" i="6188"/>
  <c r="H12" i="6188"/>
  <c r="H21" i="6188"/>
  <c r="C22" i="6188"/>
  <c r="B26" i="6188"/>
  <c r="H31" i="6188"/>
  <c r="H37" i="6188"/>
  <c r="H41" i="6188"/>
  <c r="H45" i="6188"/>
  <c r="H49" i="6188"/>
  <c r="H25" i="6188"/>
  <c r="H28" i="6188"/>
  <c r="H32" i="6188"/>
  <c r="C37" i="6188"/>
  <c r="C41" i="6188"/>
  <c r="C45" i="6188"/>
  <c r="H50" i="6188"/>
  <c r="H19" i="6188"/>
  <c r="C23" i="6188"/>
  <c r="B27" i="6188"/>
  <c r="H33" i="6188"/>
  <c r="H38" i="6188"/>
  <c r="H42" i="6188"/>
  <c r="H46" i="6188"/>
  <c r="H51" i="6188"/>
  <c r="H6" i="6188"/>
  <c r="H22" i="6188"/>
  <c r="H26" i="6188"/>
  <c r="H13" i="6188"/>
  <c r="H34" i="6188"/>
  <c r="C38" i="6188"/>
  <c r="C42" i="6188"/>
  <c r="C46" i="6188"/>
  <c r="H5" i="6188"/>
  <c r="H14" i="6188"/>
  <c r="H17" i="6188"/>
  <c r="C24" i="6188"/>
  <c r="H39" i="6188"/>
  <c r="H43" i="6188"/>
  <c r="H47" i="6188"/>
  <c r="H29" i="6186"/>
  <c r="H37" i="6186"/>
  <c r="C43" i="6186"/>
  <c r="C44" i="6186"/>
  <c r="H5" i="6186"/>
  <c r="B26" i="6186"/>
  <c r="H47" i="6186"/>
  <c r="H11" i="6186"/>
  <c r="H15" i="6186"/>
  <c r="H22" i="6186"/>
  <c r="C36" i="6186"/>
  <c r="H27" i="6186"/>
  <c r="H31" i="6186"/>
  <c r="H40" i="6186"/>
  <c r="H48" i="6186"/>
  <c r="H14" i="6186"/>
  <c r="H3" i="6186"/>
  <c r="H2" i="6186"/>
  <c r="H17" i="6186"/>
  <c r="C21" i="6186"/>
  <c r="C39" i="6186"/>
  <c r="C47" i="6186"/>
  <c r="C18" i="6186"/>
  <c r="H39" i="6186"/>
  <c r="H44" i="6186"/>
  <c r="H49" i="6186"/>
  <c r="C48" i="6186"/>
  <c r="C24" i="6186"/>
  <c r="H33" i="6186"/>
  <c r="H41" i="6186"/>
  <c r="H45" i="6186"/>
  <c r="H50" i="6186"/>
  <c r="H20" i="6186"/>
  <c r="C25" i="6186"/>
  <c r="H42" i="6186"/>
  <c r="H46" i="6186"/>
  <c r="H52" i="6186"/>
  <c r="B28" i="6186"/>
  <c r="H28" i="6186"/>
  <c r="H18" i="6186"/>
  <c r="H34" i="6186"/>
  <c r="C37" i="6186"/>
  <c r="C41" i="6186"/>
  <c r="C45" i="6186"/>
  <c r="H51" i="6186"/>
  <c r="H12" i="6186"/>
  <c r="H16" i="6186"/>
  <c r="H10" i="6186"/>
  <c r="H36" i="6186"/>
  <c r="C38" i="6186"/>
  <c r="C42" i="6186"/>
  <c r="C46" i="6186"/>
  <c r="H34" i="6174"/>
  <c r="H43" i="6184"/>
  <c r="H15" i="6184"/>
  <c r="H35" i="6184"/>
  <c r="C44" i="6184"/>
  <c r="H4" i="6184"/>
  <c r="H11" i="6184"/>
  <c r="H23" i="6184"/>
  <c r="C22" i="6184"/>
  <c r="H46" i="6184"/>
  <c r="H10" i="6184"/>
  <c r="H6" i="6184"/>
  <c r="C23" i="6184"/>
  <c r="C36" i="6184"/>
  <c r="H48" i="6184"/>
  <c r="H38" i="6184"/>
  <c r="H3" i="6184"/>
  <c r="H25" i="6184"/>
  <c r="H30" i="6184"/>
  <c r="H40" i="6184"/>
  <c r="H21" i="6184"/>
  <c r="H2" i="6184"/>
  <c r="C25" i="6184"/>
  <c r="H49" i="6184"/>
  <c r="H27" i="6184"/>
  <c r="H8" i="6184"/>
  <c r="H41" i="6184"/>
  <c r="H5" i="6184"/>
  <c r="H24" i="6184"/>
  <c r="C21" i="6184"/>
  <c r="B26" i="6184"/>
  <c r="C40" i="6184"/>
  <c r="H47" i="6184"/>
  <c r="H52" i="6184"/>
  <c r="H9" i="6184"/>
  <c r="H12" i="6184"/>
  <c r="B27" i="6184"/>
  <c r="H37" i="6184"/>
  <c r="H42" i="6184"/>
  <c r="C46" i="6184"/>
  <c r="H19" i="6184"/>
  <c r="H16" i="6184"/>
  <c r="H39" i="6184"/>
  <c r="H44" i="6184"/>
  <c r="C48" i="6184"/>
  <c r="C19" i="6184"/>
  <c r="C24" i="6184"/>
  <c r="H20" i="6184"/>
  <c r="C38" i="6184"/>
  <c r="H45" i="6184"/>
  <c r="H50" i="6184"/>
  <c r="H13" i="6184"/>
  <c r="H28" i="6184"/>
  <c r="H17" i="6184"/>
  <c r="H32" i="6184"/>
  <c r="H36" i="6184"/>
  <c r="C39" i="6184"/>
  <c r="C43" i="6184"/>
  <c r="C47" i="6184"/>
  <c r="H29" i="6184"/>
  <c r="H31" i="6184"/>
  <c r="H33" i="6184"/>
  <c r="C37" i="6184"/>
  <c r="C41" i="6184"/>
  <c r="C45" i="6184"/>
  <c r="B13" i="6174"/>
  <c r="H48" i="6174"/>
  <c r="H28" i="6182"/>
  <c r="H30" i="6182"/>
  <c r="H32" i="6182"/>
  <c r="C37" i="6182"/>
  <c r="C41" i="6182"/>
  <c r="C45" i="6182"/>
  <c r="H50" i="6182"/>
  <c r="C23" i="6182"/>
  <c r="B27" i="6182"/>
  <c r="H33" i="6182"/>
  <c r="H38" i="6182"/>
  <c r="H42" i="6182"/>
  <c r="H46" i="6182"/>
  <c r="H28" i="6180"/>
  <c r="H24" i="6180"/>
  <c r="H22" i="6180"/>
  <c r="H8" i="6180"/>
  <c r="C18" i="6180"/>
  <c r="H25" i="6180"/>
  <c r="C21" i="6180"/>
  <c r="H29" i="6180"/>
  <c r="H36" i="6180"/>
  <c r="H14" i="6180"/>
  <c r="C40" i="6180"/>
  <c r="H4" i="6180"/>
  <c r="H19" i="6180"/>
  <c r="C22" i="6180"/>
  <c r="H42" i="6180"/>
  <c r="H2" i="6180"/>
  <c r="H27" i="6180"/>
  <c r="H5" i="6180"/>
  <c r="C25" i="6180"/>
  <c r="C42" i="6180"/>
  <c r="H46" i="6180"/>
  <c r="H17" i="6180"/>
  <c r="C46" i="6180"/>
  <c r="B26" i="6180"/>
  <c r="H37" i="6180"/>
  <c r="H48" i="6180"/>
  <c r="H7" i="6180"/>
  <c r="H13" i="6180"/>
  <c r="H9" i="6180"/>
  <c r="H40" i="6180"/>
  <c r="H49" i="6180"/>
  <c r="H31" i="6180"/>
  <c r="H41" i="6180"/>
  <c r="C48" i="6180"/>
  <c r="H32" i="6180"/>
  <c r="H34" i="6180"/>
  <c r="C36" i="6180"/>
  <c r="H44" i="6180"/>
  <c r="H50" i="6180"/>
  <c r="H10" i="6180"/>
  <c r="H6" i="6180"/>
  <c r="H11" i="6180"/>
  <c r="H26" i="6180"/>
  <c r="C19" i="6180"/>
  <c r="C24" i="6180"/>
  <c r="H38" i="6180"/>
  <c r="H45" i="6180"/>
  <c r="H3" i="6180"/>
  <c r="H16" i="6180"/>
  <c r="H12" i="6180"/>
  <c r="H20" i="6180"/>
  <c r="C38" i="6180"/>
  <c r="C44" i="6180"/>
  <c r="H52" i="6180"/>
  <c r="C39" i="6180"/>
  <c r="C43" i="6180"/>
  <c r="C47" i="6180"/>
  <c r="H23" i="6180"/>
  <c r="H33" i="6180"/>
  <c r="H21" i="6180"/>
  <c r="C37" i="6180"/>
  <c r="C41" i="6180"/>
  <c r="C45" i="6180"/>
  <c r="H51" i="6180"/>
  <c r="H18" i="6180"/>
  <c r="C23" i="6180"/>
  <c r="B27" i="6180"/>
  <c r="H35" i="6180"/>
  <c r="H39" i="6180"/>
  <c r="H43" i="6180"/>
  <c r="H47" i="6180"/>
  <c r="C18" i="6174"/>
  <c r="H7" i="6174"/>
  <c r="C36" i="6174"/>
  <c r="H30" i="6174"/>
  <c r="H31" i="6174"/>
  <c r="H43" i="6174"/>
  <c r="H33" i="6174"/>
  <c r="H22" i="6174"/>
  <c r="C23" i="6174"/>
  <c r="C42" i="6174"/>
  <c r="H13" i="6174"/>
  <c r="C22" i="6174"/>
  <c r="H9" i="6174"/>
  <c r="B27" i="6174"/>
  <c r="H8" i="6174"/>
  <c r="C46" i="6174"/>
  <c r="H25" i="6178"/>
  <c r="H29" i="6178"/>
  <c r="H37" i="6178"/>
  <c r="C43" i="6178"/>
  <c r="H5" i="6178"/>
  <c r="C24" i="6178"/>
  <c r="C38" i="6178"/>
  <c r="C44" i="6178"/>
  <c r="H52" i="6178"/>
  <c r="H36" i="6178"/>
  <c r="H40" i="6178"/>
  <c r="H44" i="6178"/>
  <c r="H48" i="6178"/>
  <c r="H24" i="6178"/>
  <c r="H28" i="6178"/>
  <c r="H32" i="6178"/>
  <c r="C37" i="6178"/>
  <c r="C41" i="6178"/>
  <c r="C45" i="6178"/>
  <c r="H50" i="6178"/>
  <c r="C23" i="6178"/>
  <c r="B27" i="6178"/>
  <c r="H33" i="6178"/>
  <c r="H38" i="6178"/>
  <c r="H42" i="6178"/>
  <c r="H46" i="6178"/>
  <c r="C23" i="6176"/>
  <c r="H38" i="6176"/>
  <c r="H44" i="6176"/>
  <c r="H49" i="6176"/>
  <c r="C48" i="6176"/>
  <c r="H39" i="6176"/>
  <c r="C19" i="6176"/>
  <c r="H11" i="6176"/>
  <c r="H19" i="6176"/>
  <c r="H40" i="6176"/>
  <c r="H45" i="6176"/>
  <c r="H50" i="6176"/>
  <c r="H24" i="6176"/>
  <c r="H17" i="6176"/>
  <c r="H10" i="6176"/>
  <c r="H6" i="6176"/>
  <c r="H14" i="6176"/>
  <c r="H35" i="6176"/>
  <c r="C39" i="6176"/>
  <c r="C44" i="6176"/>
  <c r="H22" i="6176"/>
  <c r="C24" i="6176"/>
  <c r="H13" i="6176"/>
  <c r="C43" i="6176"/>
  <c r="C25" i="6176"/>
  <c r="H20" i="6176"/>
  <c r="H28" i="6176"/>
  <c r="H31" i="6176"/>
  <c r="H41" i="6176"/>
  <c r="H46" i="6176"/>
  <c r="H52" i="6176"/>
  <c r="H29" i="6176"/>
  <c r="H32" i="6176"/>
  <c r="H34" i="6176"/>
  <c r="C37" i="6176"/>
  <c r="C41" i="6176"/>
  <c r="C45" i="6176"/>
  <c r="H51" i="6176"/>
  <c r="H3" i="6176"/>
  <c r="H16" i="6176"/>
  <c r="H30" i="6176"/>
  <c r="H8" i="6176"/>
  <c r="H36" i="6176"/>
  <c r="C38" i="6176"/>
  <c r="C42" i="6176"/>
  <c r="C46" i="6176"/>
  <c r="H49" i="6174"/>
  <c r="C48" i="6174"/>
  <c r="C38" i="6174"/>
  <c r="H11" i="6174"/>
  <c r="H21" i="6174"/>
  <c r="H40" i="6174"/>
  <c r="C19" i="6174"/>
  <c r="C24" i="6174"/>
  <c r="H19" i="6174"/>
  <c r="H45" i="6174"/>
  <c r="H10" i="6174"/>
  <c r="H12" i="6174"/>
  <c r="C25" i="6174"/>
  <c r="H20" i="6174"/>
  <c r="H4" i="6174"/>
  <c r="H50" i="6174"/>
  <c r="H6" i="6174"/>
  <c r="H32" i="6174"/>
  <c r="H15" i="6174"/>
  <c r="H16" i="6174"/>
  <c r="H37" i="6174"/>
  <c r="C44" i="6174"/>
  <c r="H29" i="6174"/>
  <c r="H42" i="6174"/>
  <c r="H46" i="6174"/>
  <c r="H5" i="6174"/>
  <c r="H39" i="6174"/>
  <c r="H24" i="6174"/>
  <c r="H17" i="6174"/>
  <c r="H44" i="6174"/>
  <c r="H41" i="6174"/>
  <c r="H25" i="6174"/>
  <c r="H2" i="6174"/>
  <c r="H3" i="6174"/>
  <c r="H23" i="6174"/>
  <c r="C21" i="6174"/>
  <c r="B26" i="6174"/>
  <c r="C40" i="6174"/>
  <c r="H47" i="6174"/>
  <c r="H52" i="6174"/>
  <c r="H18" i="6174"/>
  <c r="H35" i="6174"/>
  <c r="H14" i="6174"/>
  <c r="H36" i="6174"/>
  <c r="H38" i="6174"/>
  <c r="C39" i="6174"/>
  <c r="C43" i="6174"/>
  <c r="C47" i="6174"/>
  <c r="H27" i="6174"/>
  <c r="H28" i="6174"/>
  <c r="H26" i="6174"/>
  <c r="C37" i="6174"/>
  <c r="C41" i="6174"/>
  <c r="C45" i="617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<sst xmlns="http://schemas.openxmlformats.org/spreadsheetml/2006/main" count="2665" uniqueCount="223">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</sst>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全体!$K$2:$K$224</c:f>
              <c:numCache>
                <c:formatCode>General</c:formatCode>
                <c:ptCount val="2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</c:numCache>
            </c:numRef>
          </c:xVal>
          <c:yVal>
            <c:numRef>
              <c:f>全体!$L$2:$L$224</c:f>
              <c:numCache>
                <c:formatCode>\+0.0;\-0.0;\±0</c:formatCode>
                <c:ptCount val="223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8-40BF-BD32-521A8B6D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-9.1324200913242013</c:v>
                </c:pt>
                <c:pt idx="1">
                  <c:v>-9.2592592592592595</c:v>
                </c:pt>
                <c:pt idx="2">
                  <c:v>0</c:v>
                </c:pt>
                <c:pt idx="3">
                  <c:v>16.949152542372882</c:v>
                </c:pt>
                <c:pt idx="4">
                  <c:v>-58.823529411764703</c:v>
                </c:pt>
                <c:pt idx="5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A-4693-ADD3-12326BD5A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39</c:v>
                </c:pt>
                <c:pt idx="1">
                  <c:v>88</c:v>
                </c:pt>
                <c:pt idx="2">
                  <c:v>83</c:v>
                </c:pt>
                <c:pt idx="3">
                  <c:v>93</c:v>
                </c:pt>
                <c:pt idx="4">
                  <c:v>76</c:v>
                </c:pt>
                <c:pt idx="5">
                  <c:v>44</c:v>
                </c:pt>
                <c:pt idx="6">
                  <c:v>32</c:v>
                </c:pt>
                <c:pt idx="7">
                  <c:v>13</c:v>
                </c:pt>
                <c:pt idx="8">
                  <c:v>10</c:v>
                </c:pt>
                <c:pt idx="9">
                  <c:v>6</c:v>
                </c:pt>
                <c:pt idx="10">
                  <c:v>4</c:v>
                </c:pt>
                <c:pt idx="11">
                  <c:v>1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4D-4357-BB7B-56E79DD60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れんたろう!$L$2:$L$43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64-4261-B223-A8F5B6FC0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-2657.5</c:v>
                </c:pt>
                <c:pt idx="1">
                  <c:v>-1440</c:v>
                </c:pt>
                <c:pt idx="2">
                  <c:v>-83.78378378378379</c:v>
                </c:pt>
                <c:pt idx="3">
                  <c:v>-2078.787878787879</c:v>
                </c:pt>
                <c:pt idx="4">
                  <c:v>500</c:v>
                </c:pt>
                <c:pt idx="5">
                  <c:v>3239.1304347826085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18-409C-B334-67833F44C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2</c:v>
                </c:pt>
                <c:pt idx="1">
                  <c:v>12</c:v>
                </c:pt>
                <c:pt idx="2">
                  <c:v>7</c:v>
                </c:pt>
                <c:pt idx="3">
                  <c:v>23</c:v>
                </c:pt>
                <c:pt idx="4">
                  <c:v>17</c:v>
                </c:pt>
                <c:pt idx="5">
                  <c:v>8</c:v>
                </c:pt>
                <c:pt idx="6">
                  <c:v>8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1-4D37-A500-3A6CB5589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FD-4A8D-81E6-47F47B4F9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EA-4A68-AD0E-63598F0C5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43-433D-BD53-0A636C7A1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だいち!$L$2:$L$55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23-4D79-8FB2-8277AD6B1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-298.11320754716979</c:v>
                </c:pt>
                <c:pt idx="1">
                  <c:v>4455.7692307692305</c:v>
                </c:pt>
                <c:pt idx="2">
                  <c:v>4010.204081632653</c:v>
                </c:pt>
                <c:pt idx="3">
                  <c:v>2526.1904761904761</c:v>
                </c:pt>
                <c:pt idx="4">
                  <c:v>-1247.3684210526317</c:v>
                </c:pt>
                <c:pt idx="5">
                  <c:v>1416.6666666666667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6-4841-A7AE-E8410201E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7</c:v>
                </c:pt>
                <c:pt idx="1">
                  <c:v>20</c:v>
                </c:pt>
                <c:pt idx="2">
                  <c:v>19</c:v>
                </c:pt>
                <c:pt idx="3">
                  <c:v>29</c:v>
                </c:pt>
                <c:pt idx="4">
                  <c:v>27</c:v>
                </c:pt>
                <c:pt idx="5">
                  <c:v>10</c:v>
                </c:pt>
                <c:pt idx="6">
                  <c:v>7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EA-4F64-8F87-E7CC28972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りくと!$L$2:$L$24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D-4F73-8F9E-D6B988464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-4395.454545454545</c:v>
                </c:pt>
                <c:pt idx="1">
                  <c:v>938.09523809523807</c:v>
                </c:pt>
                <c:pt idx="2">
                  <c:v>-4905.2631578947367</c:v>
                </c:pt>
                <c:pt idx="3">
                  <c:v>-206.66666666666666</c:v>
                </c:pt>
                <c:pt idx="4">
                  <c:v>1372.7272727272727</c:v>
                </c:pt>
                <c:pt idx="5">
                  <c:v>-4855.5555555555557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74-4845-BAEB-8B2700A69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5</c:v>
                </c:pt>
                <c:pt idx="1">
                  <c:v>8</c:v>
                </c:pt>
                <c:pt idx="2">
                  <c:v>9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51-4DC5-AA5B-FD2746CA0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B0-47EA-BE4A-799B7236A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1343.5897435897436</c:v>
                </c:pt>
                <c:pt idx="1">
                  <c:v>-697.43589743589746</c:v>
                </c:pt>
                <c:pt idx="2">
                  <c:v>-1623.0769230769231</c:v>
                </c:pt>
                <c:pt idx="3">
                  <c:v>1202.7777777777778</c:v>
                </c:pt>
                <c:pt idx="4">
                  <c:v>-2710</c:v>
                </c:pt>
                <c:pt idx="5">
                  <c:v>304.54545454545456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84-47A8-8EC5-541659EAC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9</c:v>
                </c:pt>
                <c:pt idx="1">
                  <c:v>14</c:v>
                </c:pt>
                <c:pt idx="2">
                  <c:v>24</c:v>
                </c:pt>
                <c:pt idx="3">
                  <c:v>14</c:v>
                </c:pt>
                <c:pt idx="4">
                  <c:v>7</c:v>
                </c:pt>
                <c:pt idx="5">
                  <c:v>3</c:v>
                </c:pt>
                <c:pt idx="6">
                  <c:v>7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E-4293-809D-A4E5A1286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たかの!$L$2:$L$28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D7-4A16-A480-63DA4FDB3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-900</c:v>
                </c:pt>
                <c:pt idx="1">
                  <c:v>-1900</c:v>
                </c:pt>
                <c:pt idx="2">
                  <c:v>2950</c:v>
                </c:pt>
                <c:pt idx="3">
                  <c:v>-1273.6842105263158</c:v>
                </c:pt>
                <c:pt idx="4">
                  <c:v>4700</c:v>
                </c:pt>
                <c:pt idx="5">
                  <c:v>-800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33-4E3D-8F14-E36B68656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12</c:v>
                </c:pt>
                <c:pt idx="3">
                  <c:v>9</c:v>
                </c:pt>
                <c:pt idx="4">
                  <c:v>11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9-4829-A1DC-CE8FBE180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05-458C-A97D-8AB4DE9AA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4212.5</c:v>
                </c:pt>
                <c:pt idx="1">
                  <c:v>387.5</c:v>
                </c:pt>
                <c:pt idx="2">
                  <c:v>-4987.5</c:v>
                </c:pt>
                <c:pt idx="3">
                  <c:v>-5850</c:v>
                </c:pt>
                <c:pt idx="4">
                  <c:v>6160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B6-4A30-8390-5DE5AD250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B3-45B2-AC43-4D9B09957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ただ!$L$2:$L$16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5B-4F29-96E4-E6A8A45CF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4850</c:v>
                </c:pt>
                <c:pt idx="1">
                  <c:v>-7700</c:v>
                </c:pt>
                <c:pt idx="2">
                  <c:v>600</c:v>
                </c:pt>
                <c:pt idx="3">
                  <c:v>-2450</c:v>
                </c:pt>
                <c:pt idx="4">
                  <c:v>3755.5555555555557</c:v>
                </c:pt>
                <c:pt idx="5">
                  <c:v>-1200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0-435C-86EC-F14809329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5</c:v>
                </c:pt>
                <c:pt idx="1">
                  <c:v>9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1-425B-AFCF-FDF18F535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5FB-A35C-37C073786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9-4E0F-942D-5383D69DB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D9-428C-9AA7-A87B4B630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まっつん2!$B$3:$B$43</c:f>
              <c:numCache>
                <c:formatCode>\+0.0;\-0.0;\±0</c:formatCode>
                <c:ptCount val="41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まっつん2!$C$3:$C$43</c:f>
              <c:numCache>
                <c:formatCode>\+0.0;\-0.0;\±0</c:formatCode>
                <c:ptCount val="41"/>
                <c:pt idx="1">
                  <c:v>-0.5</c:v>
                </c:pt>
                <c:pt idx="2">
                  <c:v>-31.4</c:v>
                </c:pt>
                <c:pt idx="3">
                  <c:v>-16.166666666666668</c:v>
                </c:pt>
                <c:pt idx="4">
                  <c:v>-18.899999999999999</c:v>
                </c:pt>
                <c:pt idx="5">
                  <c:v>-19.3</c:v>
                </c:pt>
                <c:pt idx="6">
                  <c:v>-11.75</c:v>
                </c:pt>
                <c:pt idx="7">
                  <c:v>-5.5142857142857142</c:v>
                </c:pt>
                <c:pt idx="8">
                  <c:v>-3.5375000000000001</c:v>
                </c:pt>
                <c:pt idx="9">
                  <c:v>-2.2555555555555555</c:v>
                </c:pt>
                <c:pt idx="10">
                  <c:v>-1.49</c:v>
                </c:pt>
                <c:pt idx="11">
                  <c:v>-4.1818181818181817</c:v>
                </c:pt>
                <c:pt idx="12">
                  <c:v>-7.3</c:v>
                </c:pt>
                <c:pt idx="13">
                  <c:v>-9.684615384615384</c:v>
                </c:pt>
                <c:pt idx="14">
                  <c:v>-10.671428571428569</c:v>
                </c:pt>
                <c:pt idx="15">
                  <c:v>-8.0933333333333319</c:v>
                </c:pt>
                <c:pt idx="16">
                  <c:v>-8.8312499999999989</c:v>
                </c:pt>
                <c:pt idx="17">
                  <c:v>-8.7705882352941167</c:v>
                </c:pt>
                <c:pt idx="18">
                  <c:v>-11.216666666666665</c:v>
                </c:pt>
                <c:pt idx="19">
                  <c:v>-8.0210526315789465</c:v>
                </c:pt>
                <c:pt idx="20">
                  <c:v>-7.01</c:v>
                </c:pt>
                <c:pt idx="21">
                  <c:v>-3.6523809523809518</c:v>
                </c:pt>
                <c:pt idx="22">
                  <c:v>-2.1227272727272721</c:v>
                </c:pt>
                <c:pt idx="23">
                  <c:v>-1.878260869565217</c:v>
                </c:pt>
                <c:pt idx="24">
                  <c:v>-0.38333333333333286</c:v>
                </c:pt>
                <c:pt idx="25">
                  <c:v>-0.52799999999999958</c:v>
                </c:pt>
                <c:pt idx="26">
                  <c:v>-0.94999999999999951</c:v>
                </c:pt>
                <c:pt idx="27">
                  <c:v>-2.1518518518518515</c:v>
                </c:pt>
                <c:pt idx="28">
                  <c:v>-4.1321428571428571</c:v>
                </c:pt>
                <c:pt idx="29">
                  <c:v>-5.6482758620689646</c:v>
                </c:pt>
                <c:pt idx="30">
                  <c:v>-6.7</c:v>
                </c:pt>
                <c:pt idx="31">
                  <c:v>-5.8677419354838714</c:v>
                </c:pt>
                <c:pt idx="32">
                  <c:v>-4.296875</c:v>
                </c:pt>
                <c:pt idx="33">
                  <c:v>-4.3090909090909086</c:v>
                </c:pt>
                <c:pt idx="34">
                  <c:v>-4.670588235294117</c:v>
                </c:pt>
                <c:pt idx="35">
                  <c:v>-5.2142857142857135</c:v>
                </c:pt>
                <c:pt idx="36">
                  <c:v>-5.8666666666666654</c:v>
                </c:pt>
                <c:pt idx="37">
                  <c:v>-4.6243243243243235</c:v>
                </c:pt>
                <c:pt idx="38">
                  <c:v>-2.563157894736841</c:v>
                </c:pt>
                <c:pt idx="39">
                  <c:v>-1.9999999999999993</c:v>
                </c:pt>
                <c:pt idx="40">
                  <c:v>-1.7874999999999992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601928861622976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まっつん2!$D$3:$D$43</c:f>
              <c:numCache>
                <c:formatCode>0.00\ "位"</c:formatCode>
                <c:ptCount val="41"/>
                <c:pt idx="1">
                  <c:v>2</c:v>
                </c:pt>
                <c:pt idx="2">
                  <c:v>2.5</c:v>
                </c:pt>
                <c:pt idx="3">
                  <c:v>2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2.0833333333333335</c:v>
                </c:pt>
                <c:pt idx="13">
                  <c:v>2.1538461538461537</c:v>
                </c:pt>
                <c:pt idx="14">
                  <c:v>2.1428571428571428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2.0526315789473686</c:v>
                </c:pt>
                <c:pt idx="20">
                  <c:v>2.0499999999999998</c:v>
                </c:pt>
                <c:pt idx="21">
                  <c:v>2</c:v>
                </c:pt>
                <c:pt idx="22">
                  <c:v>1.9545454545454546</c:v>
                </c:pt>
                <c:pt idx="23">
                  <c:v>1.9565217391304348</c:v>
                </c:pt>
                <c:pt idx="24">
                  <c:v>1.9166666666666667</c:v>
                </c:pt>
                <c:pt idx="25">
                  <c:v>1.92</c:v>
                </c:pt>
                <c:pt idx="26">
                  <c:v>1.9230769230769231</c:v>
                </c:pt>
                <c:pt idx="27">
                  <c:v>1.962962962962963</c:v>
                </c:pt>
                <c:pt idx="28">
                  <c:v>2</c:v>
                </c:pt>
                <c:pt idx="29">
                  <c:v>2.0344827586206895</c:v>
                </c:pt>
                <c:pt idx="30">
                  <c:v>2.0666666666666669</c:v>
                </c:pt>
                <c:pt idx="31">
                  <c:v>2.032258064516129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2.0285714285714285</c:v>
                </c:pt>
                <c:pt idx="36">
                  <c:v>2.0277777777777777</c:v>
                </c:pt>
                <c:pt idx="37">
                  <c:v>2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1.9750000000000001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まっつん2!$E$3:$E$43</c:f>
              <c:numCache>
                <c:formatCode>0.0%</c:formatCode>
                <c:ptCount val="41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0.27586206896551724</c:v>
                </c:pt>
                <c:pt idx="30">
                  <c:v>0.26666666666666666</c:v>
                </c:pt>
                <c:pt idx="31">
                  <c:v>0.29032258064516131</c:v>
                </c:pt>
                <c:pt idx="32">
                  <c:v>0.3125</c:v>
                </c:pt>
                <c:pt idx="33">
                  <c:v>0.30303030303030304</c:v>
                </c:pt>
                <c:pt idx="34">
                  <c:v>0.29411764705882354</c:v>
                </c:pt>
                <c:pt idx="35">
                  <c:v>0.2857142857142857</c:v>
                </c:pt>
                <c:pt idx="36">
                  <c:v>0.27777777777777779</c:v>
                </c:pt>
                <c:pt idx="37">
                  <c:v>0.29729729729729731</c:v>
                </c:pt>
                <c:pt idx="38">
                  <c:v>0.31578947368421051</c:v>
                </c:pt>
                <c:pt idx="39">
                  <c:v>0.30769230769230771</c:v>
                </c:pt>
                <c:pt idx="4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まっつん2!$F$3:$F$43</c:f>
              <c:numCache>
                <c:formatCode>0.0%</c:formatCode>
                <c:ptCount val="41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0.24</c:v>
                </c:pt>
                <c:pt idx="26">
                  <c:v>0.23076923076923078</c:v>
                </c:pt>
                <c:pt idx="27">
                  <c:v>0.25925925925925924</c:v>
                </c:pt>
                <c:pt idx="28">
                  <c:v>0.2857142857142857</c:v>
                </c:pt>
                <c:pt idx="29">
                  <c:v>0.31034482758620691</c:v>
                </c:pt>
                <c:pt idx="30">
                  <c:v>0.33333333333333331</c:v>
                </c:pt>
                <c:pt idx="31">
                  <c:v>0.32258064516129031</c:v>
                </c:pt>
                <c:pt idx="32">
                  <c:v>0.3125</c:v>
                </c:pt>
                <c:pt idx="33">
                  <c:v>0.30303030303030304</c:v>
                </c:pt>
                <c:pt idx="34">
                  <c:v>0.29411764705882354</c:v>
                </c:pt>
                <c:pt idx="35">
                  <c:v>0.31428571428571428</c:v>
                </c:pt>
                <c:pt idx="36">
                  <c:v>0.30555555555555558</c:v>
                </c:pt>
                <c:pt idx="37">
                  <c:v>0.29729729729729731</c:v>
                </c:pt>
                <c:pt idx="38">
                  <c:v>0.28947368421052633</c:v>
                </c:pt>
                <c:pt idx="39">
                  <c:v>0.28205128205128205</c:v>
                </c:pt>
                <c:pt idx="40">
                  <c:v>0.27500000000000002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まっつん2!$G$3:$G$43</c:f>
              <c:numCache>
                <c:formatCode>0.0%</c:formatCode>
                <c:ptCount val="41"/>
                <c:pt idx="1">
                  <c:v>0.5</c:v>
                </c:pt>
                <c:pt idx="2">
                  <c:v>0.2</c:v>
                </c:pt>
                <c:pt idx="3">
                  <c:v>0.25</c:v>
                </c:pt>
                <c:pt idx="4">
                  <c:v>0.22727272727272727</c:v>
                </c:pt>
                <c:pt idx="5">
                  <c:v>0.20689655172413793</c:v>
                </c:pt>
                <c:pt idx="6">
                  <c:v>0.25</c:v>
                </c:pt>
                <c:pt idx="7">
                  <c:v>0.28888888888888886</c:v>
                </c:pt>
                <c:pt idx="8">
                  <c:v>0.2857142857142857</c:v>
                </c:pt>
                <c:pt idx="9">
                  <c:v>0.27692307692307694</c:v>
                </c:pt>
                <c:pt idx="10">
                  <c:v>0.30263157894736842</c:v>
                </c:pt>
                <c:pt idx="11">
                  <c:v>0.28915662650602408</c:v>
                </c:pt>
                <c:pt idx="12">
                  <c:v>0.26881720430107525</c:v>
                </c:pt>
                <c:pt idx="13">
                  <c:v>0.25252525252525254</c:v>
                </c:pt>
                <c:pt idx="14">
                  <c:v>0.24299065420560748</c:v>
                </c:pt>
                <c:pt idx="15">
                  <c:v>0.25663716814159293</c:v>
                </c:pt>
                <c:pt idx="16">
                  <c:v>0.24193548387096775</c:v>
                </c:pt>
                <c:pt idx="17">
                  <c:v>0.23846153846153847</c:v>
                </c:pt>
                <c:pt idx="18">
                  <c:v>0.22794117647058823</c:v>
                </c:pt>
                <c:pt idx="19">
                  <c:v>0.23943661971830985</c:v>
                </c:pt>
                <c:pt idx="20">
                  <c:v>0.23841059602649006</c:v>
                </c:pt>
                <c:pt idx="21">
                  <c:v>0.26114649681528662</c:v>
                </c:pt>
                <c:pt idx="22">
                  <c:v>0.27272727272727271</c:v>
                </c:pt>
                <c:pt idx="23">
                  <c:v>0.27218934911242604</c:v>
                </c:pt>
                <c:pt idx="24">
                  <c:v>0.2824858757062147</c:v>
                </c:pt>
                <c:pt idx="25">
                  <c:v>0.27624309392265195</c:v>
                </c:pt>
                <c:pt idx="26">
                  <c:v>0.27419354838709675</c:v>
                </c:pt>
                <c:pt idx="27">
                  <c:v>0.27179487179487177</c:v>
                </c:pt>
                <c:pt idx="28">
                  <c:v>0.26829268292682928</c:v>
                </c:pt>
                <c:pt idx="29">
                  <c:v>0.26511627906976742</c:v>
                </c:pt>
                <c:pt idx="30">
                  <c:v>0.26106194690265488</c:v>
                </c:pt>
                <c:pt idx="31">
                  <c:v>0.26495726495726496</c:v>
                </c:pt>
                <c:pt idx="32">
                  <c:v>0.27459016393442626</c:v>
                </c:pt>
                <c:pt idx="33">
                  <c:v>0.26984126984126983</c:v>
                </c:pt>
                <c:pt idx="34">
                  <c:v>0.26848249027237353</c:v>
                </c:pt>
                <c:pt idx="35">
                  <c:v>0.26865671641791045</c:v>
                </c:pt>
                <c:pt idx="36">
                  <c:v>0.26353790613718414</c:v>
                </c:pt>
                <c:pt idx="37">
                  <c:v>0.26829268292682928</c:v>
                </c:pt>
                <c:pt idx="38">
                  <c:v>0.28135593220338984</c:v>
                </c:pt>
                <c:pt idx="39">
                  <c:v>0.28196721311475409</c:v>
                </c:pt>
                <c:pt idx="40">
                  <c:v>0.27619047619047621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98245614035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まっつん2!$H$3:$H$43</c:f>
              <c:numCache>
                <c:formatCode>0.0%</c:formatCode>
                <c:ptCount val="41"/>
                <c:pt idx="1">
                  <c:v>0</c:v>
                </c:pt>
                <c:pt idx="2">
                  <c:v>0.2</c:v>
                </c:pt>
                <c:pt idx="3">
                  <c:v>0.25</c:v>
                </c:pt>
                <c:pt idx="4">
                  <c:v>0.22727272727272727</c:v>
                </c:pt>
                <c:pt idx="5">
                  <c:v>0.20689655172413793</c:v>
                </c:pt>
                <c:pt idx="6">
                  <c:v>0.19444444444444445</c:v>
                </c:pt>
                <c:pt idx="7">
                  <c:v>0.15555555555555556</c:v>
                </c:pt>
                <c:pt idx="8">
                  <c:v>0.14285714285714285</c:v>
                </c:pt>
                <c:pt idx="9">
                  <c:v>0.12307692307692308</c:v>
                </c:pt>
                <c:pt idx="10">
                  <c:v>0.11842105263157894</c:v>
                </c:pt>
                <c:pt idx="11">
                  <c:v>0.10843373493975904</c:v>
                </c:pt>
                <c:pt idx="12">
                  <c:v>0.13978494623655913</c:v>
                </c:pt>
                <c:pt idx="13">
                  <c:v>0.15151515151515152</c:v>
                </c:pt>
                <c:pt idx="14">
                  <c:v>0.14953271028037382</c:v>
                </c:pt>
                <c:pt idx="15">
                  <c:v>0.1415929203539823</c:v>
                </c:pt>
                <c:pt idx="16">
                  <c:v>0.15322580645161291</c:v>
                </c:pt>
                <c:pt idx="17">
                  <c:v>0.14615384615384616</c:v>
                </c:pt>
                <c:pt idx="18">
                  <c:v>0.15441176470588236</c:v>
                </c:pt>
                <c:pt idx="19">
                  <c:v>0.14788732394366197</c:v>
                </c:pt>
                <c:pt idx="20">
                  <c:v>0.13907284768211919</c:v>
                </c:pt>
                <c:pt idx="21">
                  <c:v>0.14012738853503184</c:v>
                </c:pt>
                <c:pt idx="22">
                  <c:v>0.1393939393939394</c:v>
                </c:pt>
                <c:pt idx="23">
                  <c:v>0.13609467455621302</c:v>
                </c:pt>
                <c:pt idx="24">
                  <c:v>0.13559322033898305</c:v>
                </c:pt>
                <c:pt idx="25">
                  <c:v>0.13259668508287292</c:v>
                </c:pt>
                <c:pt idx="26">
                  <c:v>0.12903225806451613</c:v>
                </c:pt>
                <c:pt idx="27">
                  <c:v>0.13333333333333333</c:v>
                </c:pt>
                <c:pt idx="28">
                  <c:v>0.13658536585365855</c:v>
                </c:pt>
                <c:pt idx="29">
                  <c:v>0.13488372093023257</c:v>
                </c:pt>
                <c:pt idx="30">
                  <c:v>0.13716814159292035</c:v>
                </c:pt>
                <c:pt idx="31">
                  <c:v>0.13247863247863248</c:v>
                </c:pt>
                <c:pt idx="32">
                  <c:v>0.12704918032786885</c:v>
                </c:pt>
                <c:pt idx="33">
                  <c:v>0.12301587301587301</c:v>
                </c:pt>
                <c:pt idx="34">
                  <c:v>0.12062256809338522</c:v>
                </c:pt>
                <c:pt idx="35">
                  <c:v>0.12686567164179105</c:v>
                </c:pt>
                <c:pt idx="36">
                  <c:v>0.1263537906137184</c:v>
                </c:pt>
                <c:pt idx="37">
                  <c:v>0.12195121951219512</c:v>
                </c:pt>
                <c:pt idx="38">
                  <c:v>0.12203389830508475</c:v>
                </c:pt>
                <c:pt idx="39">
                  <c:v>0.11803278688524591</c:v>
                </c:pt>
                <c:pt idx="40">
                  <c:v>0.11428571428571428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0818713450292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まっつん2!$I$3:$I$43</c:f>
              <c:numCache>
                <c:formatCode>0</c:formatCode>
                <c:ptCount val="41"/>
                <c:pt idx="1">
                  <c:v>14000</c:v>
                </c:pt>
                <c:pt idx="2">
                  <c:v>14000</c:v>
                </c:pt>
                <c:pt idx="3">
                  <c:v>12000</c:v>
                </c:pt>
                <c:pt idx="4">
                  <c:v>10160</c:v>
                </c:pt>
                <c:pt idx="5">
                  <c:v>8900</c:v>
                </c:pt>
                <c:pt idx="6">
                  <c:v>8566.6666666666661</c:v>
                </c:pt>
                <c:pt idx="7">
                  <c:v>8769.2307692307695</c:v>
                </c:pt>
                <c:pt idx="8">
                  <c:v>9431.25</c:v>
                </c:pt>
                <c:pt idx="9">
                  <c:v>9316.6666666666661</c:v>
                </c:pt>
                <c:pt idx="10">
                  <c:v>8526.0869565217399</c:v>
                </c:pt>
                <c:pt idx="11">
                  <c:v>8225</c:v>
                </c:pt>
                <c:pt idx="12">
                  <c:v>7960</c:v>
                </c:pt>
                <c:pt idx="13">
                  <c:v>7960</c:v>
                </c:pt>
                <c:pt idx="14">
                  <c:v>7753.8461538461543</c:v>
                </c:pt>
                <c:pt idx="15">
                  <c:v>7813.7931034482763</c:v>
                </c:pt>
                <c:pt idx="16">
                  <c:v>7683.333333333333</c:v>
                </c:pt>
                <c:pt idx="17">
                  <c:v>7564.5161290322585</c:v>
                </c:pt>
                <c:pt idx="18">
                  <c:v>7564.5161290322585</c:v>
                </c:pt>
                <c:pt idx="19">
                  <c:v>7994.1176470588234</c:v>
                </c:pt>
                <c:pt idx="20">
                  <c:v>7994.4444444444443</c:v>
                </c:pt>
                <c:pt idx="21">
                  <c:v>8363.414634146342</c:v>
                </c:pt>
                <c:pt idx="22">
                  <c:v>8211.1111111111113</c:v>
                </c:pt>
                <c:pt idx="23">
                  <c:v>8206.5217391304341</c:v>
                </c:pt>
                <c:pt idx="24">
                  <c:v>8070</c:v>
                </c:pt>
                <c:pt idx="25">
                  <c:v>8070</c:v>
                </c:pt>
                <c:pt idx="26">
                  <c:v>8147.0588235294117</c:v>
                </c:pt>
                <c:pt idx="27">
                  <c:v>8015.0943396226412</c:v>
                </c:pt>
                <c:pt idx="28">
                  <c:v>7890.909090909091</c:v>
                </c:pt>
                <c:pt idx="29">
                  <c:v>7773.6842105263158</c:v>
                </c:pt>
                <c:pt idx="30">
                  <c:v>7681.3559322033898</c:v>
                </c:pt>
                <c:pt idx="31">
                  <c:v>7474.1935483870966</c:v>
                </c:pt>
                <c:pt idx="32">
                  <c:v>7502.9850746268658</c:v>
                </c:pt>
                <c:pt idx="33">
                  <c:v>7411.7647058823532</c:v>
                </c:pt>
                <c:pt idx="34">
                  <c:v>7360.869565217391</c:v>
                </c:pt>
                <c:pt idx="35">
                  <c:v>7419.4444444444443</c:v>
                </c:pt>
                <c:pt idx="36">
                  <c:v>7353.4246575342468</c:v>
                </c:pt>
                <c:pt idx="37">
                  <c:v>7484.4155844155848</c:v>
                </c:pt>
                <c:pt idx="38">
                  <c:v>7691.5662650602408</c:v>
                </c:pt>
                <c:pt idx="39">
                  <c:v>7840.6976744186049</c:v>
                </c:pt>
                <c:pt idx="40">
                  <c:v>7796.5517241379312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093.21357285429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まっつん2!$J$3:$J$43</c:f>
              <c:numCache>
                <c:formatCode>0</c:formatCode>
                <c:ptCount val="41"/>
                <c:pt idx="1">
                  <c:v>0</c:v>
                </c:pt>
                <c:pt idx="2">
                  <c:v>-17950</c:v>
                </c:pt>
                <c:pt idx="3">
                  <c:v>-11775</c:v>
                </c:pt>
                <c:pt idx="4">
                  <c:v>-9940</c:v>
                </c:pt>
                <c:pt idx="5">
                  <c:v>-9150</c:v>
                </c:pt>
                <c:pt idx="6">
                  <c:v>-8585.7142857142862</c:v>
                </c:pt>
                <c:pt idx="7">
                  <c:v>-8585.7142857142862</c:v>
                </c:pt>
                <c:pt idx="8">
                  <c:v>-8475</c:v>
                </c:pt>
                <c:pt idx="9">
                  <c:v>-8475</c:v>
                </c:pt>
                <c:pt idx="10">
                  <c:v>-11088.888888888889</c:v>
                </c:pt>
                <c:pt idx="11">
                  <c:v>-11088.888888888889</c:v>
                </c:pt>
                <c:pt idx="12">
                  <c:v>-9323.0769230769238</c:v>
                </c:pt>
                <c:pt idx="13">
                  <c:v>-8700</c:v>
                </c:pt>
                <c:pt idx="14">
                  <c:v>-8881.25</c:v>
                </c:pt>
                <c:pt idx="15">
                  <c:v>-8881.25</c:v>
                </c:pt>
                <c:pt idx="16">
                  <c:v>-8157.894736842105</c:v>
                </c:pt>
                <c:pt idx="17">
                  <c:v>-8157.894736842105</c:v>
                </c:pt>
                <c:pt idx="18">
                  <c:v>-8300</c:v>
                </c:pt>
                <c:pt idx="19">
                  <c:v>-8300</c:v>
                </c:pt>
                <c:pt idx="20">
                  <c:v>-8300</c:v>
                </c:pt>
                <c:pt idx="21">
                  <c:v>-8040.909090909091</c:v>
                </c:pt>
                <c:pt idx="22">
                  <c:v>-7804.347826086957</c:v>
                </c:pt>
                <c:pt idx="23">
                  <c:v>-7804.347826086957</c:v>
                </c:pt>
                <c:pt idx="24">
                  <c:v>-7541.666666666667</c:v>
                </c:pt>
                <c:pt idx="25">
                  <c:v>-7541.666666666667</c:v>
                </c:pt>
                <c:pt idx="26">
                  <c:v>-7541.666666666667</c:v>
                </c:pt>
                <c:pt idx="27">
                  <c:v>-7623.0769230769229</c:v>
                </c:pt>
                <c:pt idx="28">
                  <c:v>-7782.1428571428569</c:v>
                </c:pt>
                <c:pt idx="29">
                  <c:v>-7779.3103448275861</c:v>
                </c:pt>
                <c:pt idx="30">
                  <c:v>-7790.322580645161</c:v>
                </c:pt>
                <c:pt idx="31">
                  <c:v>-7790.322580645161</c:v>
                </c:pt>
                <c:pt idx="32">
                  <c:v>-7790.322580645161</c:v>
                </c:pt>
                <c:pt idx="33">
                  <c:v>-7790.322580645161</c:v>
                </c:pt>
                <c:pt idx="34">
                  <c:v>-7790.322580645161</c:v>
                </c:pt>
                <c:pt idx="35">
                  <c:v>-7879.411764705882</c:v>
                </c:pt>
                <c:pt idx="36">
                  <c:v>-7997.1428571428569</c:v>
                </c:pt>
                <c:pt idx="37">
                  <c:v>-7997.1428571428569</c:v>
                </c:pt>
                <c:pt idx="38">
                  <c:v>-7855.5555555555557</c:v>
                </c:pt>
                <c:pt idx="39">
                  <c:v>-7855.5555555555557</c:v>
                </c:pt>
                <c:pt idx="40">
                  <c:v>-7855.5555555555557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90.5454545454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まっつん2!$K$3:$K$43</c:f>
              <c:numCache>
                <c:formatCode>0.0%</c:formatCode>
                <c:ptCount val="41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96396396396396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まっつん2!$L$3:$L$43</c:f>
              <c:numCache>
                <c:formatCode>0.0%</c:formatCode>
                <c:ptCount val="41"/>
                <c:pt idx="1">
                  <c:v>0.5</c:v>
                </c:pt>
                <c:pt idx="2">
                  <c:v>0.5</c:v>
                </c:pt>
                <c:pt idx="3">
                  <c:v>0.375</c:v>
                </c:pt>
                <c:pt idx="4">
                  <c:v>0.40909090909090912</c:v>
                </c:pt>
                <c:pt idx="5">
                  <c:v>0.34482758620689657</c:v>
                </c:pt>
                <c:pt idx="6">
                  <c:v>0.3888888888888889</c:v>
                </c:pt>
                <c:pt idx="7">
                  <c:v>0.35555555555555557</c:v>
                </c:pt>
                <c:pt idx="8">
                  <c:v>0.32142857142857145</c:v>
                </c:pt>
                <c:pt idx="9">
                  <c:v>0.30769230769230771</c:v>
                </c:pt>
                <c:pt idx="10">
                  <c:v>0.31578947368421051</c:v>
                </c:pt>
                <c:pt idx="11">
                  <c:v>0.3253012048192771</c:v>
                </c:pt>
                <c:pt idx="12">
                  <c:v>0.30107526881720431</c:v>
                </c:pt>
                <c:pt idx="13">
                  <c:v>0.30303030303030304</c:v>
                </c:pt>
                <c:pt idx="14">
                  <c:v>0.29906542056074764</c:v>
                </c:pt>
                <c:pt idx="15">
                  <c:v>0.29203539823008851</c:v>
                </c:pt>
                <c:pt idx="16">
                  <c:v>0.2661290322580645</c:v>
                </c:pt>
                <c:pt idx="17">
                  <c:v>0.26923076923076922</c:v>
                </c:pt>
                <c:pt idx="18">
                  <c:v>0.26470588235294118</c:v>
                </c:pt>
                <c:pt idx="19">
                  <c:v>0.26760563380281688</c:v>
                </c:pt>
                <c:pt idx="20">
                  <c:v>0.27152317880794702</c:v>
                </c:pt>
                <c:pt idx="21">
                  <c:v>0.28662420382165604</c:v>
                </c:pt>
                <c:pt idx="22">
                  <c:v>0.28484848484848485</c:v>
                </c:pt>
                <c:pt idx="23">
                  <c:v>0.28402366863905326</c:v>
                </c:pt>
                <c:pt idx="24">
                  <c:v>0.2768361581920904</c:v>
                </c:pt>
                <c:pt idx="25">
                  <c:v>0.27071823204419887</c:v>
                </c:pt>
                <c:pt idx="26">
                  <c:v>0.27419354838709675</c:v>
                </c:pt>
                <c:pt idx="27">
                  <c:v>0.28205128205128205</c:v>
                </c:pt>
                <c:pt idx="28">
                  <c:v>0.27317073170731709</c:v>
                </c:pt>
                <c:pt idx="29">
                  <c:v>0.26511627906976742</c:v>
                </c:pt>
                <c:pt idx="30">
                  <c:v>0.26991150442477874</c:v>
                </c:pt>
                <c:pt idx="31">
                  <c:v>0.26923076923076922</c:v>
                </c:pt>
                <c:pt idx="32">
                  <c:v>0.27049180327868855</c:v>
                </c:pt>
                <c:pt idx="33">
                  <c:v>0.26190476190476192</c:v>
                </c:pt>
                <c:pt idx="34">
                  <c:v>0.26070038910505838</c:v>
                </c:pt>
                <c:pt idx="35">
                  <c:v>0.2574626865671642</c:v>
                </c:pt>
                <c:pt idx="36">
                  <c:v>0.2563176895306859</c:v>
                </c:pt>
                <c:pt idx="37">
                  <c:v>0.25783972125435539</c:v>
                </c:pt>
                <c:pt idx="38">
                  <c:v>0.25762711864406779</c:v>
                </c:pt>
                <c:pt idx="39">
                  <c:v>0.25245901639344265</c:v>
                </c:pt>
                <c:pt idx="40">
                  <c:v>0.25079365079365079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9707602339181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まっつん2!$M$3:$M$43</c:f>
              <c:numCache>
                <c:formatCode>0.0%</c:formatCode>
                <c:ptCount val="41"/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4.5454545454545456E-2</c:v>
                </c:pt>
                <c:pt idx="5">
                  <c:v>3.4482758620689655E-2</c:v>
                </c:pt>
                <c:pt idx="6">
                  <c:v>2.7777777777777776E-2</c:v>
                </c:pt>
                <c:pt idx="7">
                  <c:v>8.8888888888888892E-2</c:v>
                </c:pt>
                <c:pt idx="8">
                  <c:v>0.14285714285714285</c:v>
                </c:pt>
                <c:pt idx="9">
                  <c:v>0.15384615384615385</c:v>
                </c:pt>
                <c:pt idx="10">
                  <c:v>0.17105263157894737</c:v>
                </c:pt>
                <c:pt idx="11">
                  <c:v>0.18072289156626506</c:v>
                </c:pt>
                <c:pt idx="12">
                  <c:v>0.19354838709677419</c:v>
                </c:pt>
                <c:pt idx="13">
                  <c:v>0.19191919191919191</c:v>
                </c:pt>
                <c:pt idx="14">
                  <c:v>0.18691588785046728</c:v>
                </c:pt>
                <c:pt idx="15">
                  <c:v>0.21238938053097345</c:v>
                </c:pt>
                <c:pt idx="16">
                  <c:v>0.22580645161290322</c:v>
                </c:pt>
                <c:pt idx="17">
                  <c:v>0.23076923076923078</c:v>
                </c:pt>
                <c:pt idx="18">
                  <c:v>0.22794117647058823</c:v>
                </c:pt>
                <c:pt idx="19">
                  <c:v>0.23239436619718309</c:v>
                </c:pt>
                <c:pt idx="20">
                  <c:v>0.23178807947019867</c:v>
                </c:pt>
                <c:pt idx="21">
                  <c:v>0.22929936305732485</c:v>
                </c:pt>
                <c:pt idx="22">
                  <c:v>0.21818181818181817</c:v>
                </c:pt>
                <c:pt idx="23">
                  <c:v>0.21301775147928995</c:v>
                </c:pt>
                <c:pt idx="24">
                  <c:v>0.22033898305084745</c:v>
                </c:pt>
                <c:pt idx="25">
                  <c:v>0.22099447513812154</c:v>
                </c:pt>
                <c:pt idx="26">
                  <c:v>0.22043010752688172</c:v>
                </c:pt>
                <c:pt idx="27">
                  <c:v>0.22051282051282051</c:v>
                </c:pt>
                <c:pt idx="28">
                  <c:v>0.22439024390243903</c:v>
                </c:pt>
                <c:pt idx="29">
                  <c:v>0.22790697674418606</c:v>
                </c:pt>
                <c:pt idx="30">
                  <c:v>0.22566371681415928</c:v>
                </c:pt>
                <c:pt idx="31">
                  <c:v>0.22222222222222221</c:v>
                </c:pt>
                <c:pt idx="32">
                  <c:v>0.22540983606557377</c:v>
                </c:pt>
                <c:pt idx="33">
                  <c:v>0.23015873015873015</c:v>
                </c:pt>
                <c:pt idx="34">
                  <c:v>0.22957198443579765</c:v>
                </c:pt>
                <c:pt idx="35">
                  <c:v>0.23134328358208955</c:v>
                </c:pt>
                <c:pt idx="36">
                  <c:v>0.23104693140794225</c:v>
                </c:pt>
                <c:pt idx="37">
                  <c:v>0.23344947735191637</c:v>
                </c:pt>
                <c:pt idx="38">
                  <c:v>0.2440677966101695</c:v>
                </c:pt>
                <c:pt idx="39">
                  <c:v>0.24918032786885247</c:v>
                </c:pt>
                <c:pt idx="40">
                  <c:v>0.24444444444444444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292397660818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まっつん2!$N$3:$N$43</c:f>
              <c:numCache>
                <c:formatCode>0.0%</c:formatCode>
                <c:ptCount val="41"/>
                <c:pt idx="1">
                  <c:v>1</c:v>
                </c:pt>
                <c:pt idx="2">
                  <c:v>0.4</c:v>
                </c:pt>
                <c:pt idx="3">
                  <c:v>0.5</c:v>
                </c:pt>
                <c:pt idx="4">
                  <c:v>0.44444444444444442</c:v>
                </c:pt>
                <c:pt idx="5">
                  <c:v>0.4</c:v>
                </c:pt>
                <c:pt idx="6">
                  <c:v>0.5</c:v>
                </c:pt>
                <c:pt idx="7">
                  <c:v>0.5625</c:v>
                </c:pt>
                <c:pt idx="8">
                  <c:v>0.55555555555555558</c:v>
                </c:pt>
                <c:pt idx="9">
                  <c:v>0.55000000000000004</c:v>
                </c:pt>
                <c:pt idx="10">
                  <c:v>0.54166666666666663</c:v>
                </c:pt>
                <c:pt idx="11">
                  <c:v>0.51851851851851849</c:v>
                </c:pt>
                <c:pt idx="12">
                  <c:v>0.5</c:v>
                </c:pt>
                <c:pt idx="13">
                  <c:v>0.46666666666666667</c:v>
                </c:pt>
                <c:pt idx="14">
                  <c:v>0.46875</c:v>
                </c:pt>
                <c:pt idx="15">
                  <c:v>0.48484848484848486</c:v>
                </c:pt>
                <c:pt idx="16">
                  <c:v>0.48484848484848486</c:v>
                </c:pt>
                <c:pt idx="17">
                  <c:v>0.48571428571428571</c:v>
                </c:pt>
                <c:pt idx="18">
                  <c:v>0.47222222222222221</c:v>
                </c:pt>
                <c:pt idx="19">
                  <c:v>0.5</c:v>
                </c:pt>
                <c:pt idx="20">
                  <c:v>0.48780487804878048</c:v>
                </c:pt>
                <c:pt idx="21">
                  <c:v>0.53333333333333333</c:v>
                </c:pt>
                <c:pt idx="22">
                  <c:v>0.53191489361702127</c:v>
                </c:pt>
                <c:pt idx="23">
                  <c:v>0.54166666666666663</c:v>
                </c:pt>
                <c:pt idx="24">
                  <c:v>0.55102040816326525</c:v>
                </c:pt>
                <c:pt idx="25">
                  <c:v>0.55102040816326525</c:v>
                </c:pt>
                <c:pt idx="26">
                  <c:v>0.5490196078431373</c:v>
                </c:pt>
                <c:pt idx="27">
                  <c:v>0.54545454545454541</c:v>
                </c:pt>
                <c:pt idx="28">
                  <c:v>0.5357142857142857</c:v>
                </c:pt>
                <c:pt idx="29">
                  <c:v>0.54385964912280704</c:v>
                </c:pt>
                <c:pt idx="30">
                  <c:v>0.52459016393442626</c:v>
                </c:pt>
                <c:pt idx="31">
                  <c:v>0.53968253968253965</c:v>
                </c:pt>
                <c:pt idx="32">
                  <c:v>0.56060606060606055</c:v>
                </c:pt>
                <c:pt idx="33">
                  <c:v>0.56060606060606055</c:v>
                </c:pt>
                <c:pt idx="34">
                  <c:v>0.55223880597014929</c:v>
                </c:pt>
                <c:pt idx="35">
                  <c:v>0.53623188405797106</c:v>
                </c:pt>
                <c:pt idx="36">
                  <c:v>0.53521126760563376</c:v>
                </c:pt>
                <c:pt idx="37">
                  <c:v>0.52702702702702697</c:v>
                </c:pt>
                <c:pt idx="38">
                  <c:v>0.53947368421052633</c:v>
                </c:pt>
                <c:pt idx="39">
                  <c:v>0.54545454545454541</c:v>
                </c:pt>
                <c:pt idx="40">
                  <c:v>0.54430379746835444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7377049180327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まっつん2!$O$3:$O$43</c:f>
              <c:numCache>
                <c:formatCode>0.0%</c:formatCode>
                <c:ptCount val="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0.25</c:v>
                </c:pt>
                <c:pt idx="8">
                  <c:v>0.375</c:v>
                </c:pt>
                <c:pt idx="9">
                  <c:v>0.4</c:v>
                </c:pt>
                <c:pt idx="10">
                  <c:v>0.53846153846153844</c:v>
                </c:pt>
                <c:pt idx="11">
                  <c:v>0.46666666666666667</c:v>
                </c:pt>
                <c:pt idx="12">
                  <c:v>0.3888888888888889</c:v>
                </c:pt>
                <c:pt idx="13">
                  <c:v>0.36842105263157893</c:v>
                </c:pt>
                <c:pt idx="14">
                  <c:v>0.35</c:v>
                </c:pt>
                <c:pt idx="15">
                  <c:v>0.375</c:v>
                </c:pt>
                <c:pt idx="16">
                  <c:v>0.35714285714285715</c:v>
                </c:pt>
                <c:pt idx="17">
                  <c:v>0.33333333333333331</c:v>
                </c:pt>
                <c:pt idx="18">
                  <c:v>0.32258064516129031</c:v>
                </c:pt>
                <c:pt idx="19">
                  <c:v>0.33333333333333331</c:v>
                </c:pt>
                <c:pt idx="20">
                  <c:v>0.34285714285714286</c:v>
                </c:pt>
                <c:pt idx="21">
                  <c:v>0.33333333333333331</c:v>
                </c:pt>
                <c:pt idx="22">
                  <c:v>0.33333333333333331</c:v>
                </c:pt>
                <c:pt idx="23">
                  <c:v>0.33333333333333331</c:v>
                </c:pt>
                <c:pt idx="24">
                  <c:v>0.33333333333333331</c:v>
                </c:pt>
                <c:pt idx="25">
                  <c:v>0.32500000000000001</c:v>
                </c:pt>
                <c:pt idx="26">
                  <c:v>0.31707317073170732</c:v>
                </c:pt>
                <c:pt idx="27">
                  <c:v>0.30232558139534882</c:v>
                </c:pt>
                <c:pt idx="28">
                  <c:v>0.30434782608695654</c:v>
                </c:pt>
                <c:pt idx="29">
                  <c:v>0.30612244897959184</c:v>
                </c:pt>
                <c:pt idx="30">
                  <c:v>0.29411764705882354</c:v>
                </c:pt>
                <c:pt idx="31">
                  <c:v>0.30769230769230771</c:v>
                </c:pt>
                <c:pt idx="32">
                  <c:v>0.30909090909090908</c:v>
                </c:pt>
                <c:pt idx="33">
                  <c:v>0.29310344827586204</c:v>
                </c:pt>
                <c:pt idx="34">
                  <c:v>0.30508474576271188</c:v>
                </c:pt>
                <c:pt idx="35">
                  <c:v>0.32258064516129031</c:v>
                </c:pt>
                <c:pt idx="36">
                  <c:v>0.3125</c:v>
                </c:pt>
                <c:pt idx="37">
                  <c:v>0.34328358208955223</c:v>
                </c:pt>
                <c:pt idx="38">
                  <c:v>0.3611111111111111</c:v>
                </c:pt>
                <c:pt idx="39">
                  <c:v>0.36842105263157893</c:v>
                </c:pt>
                <c:pt idx="40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9855907780979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まっつん2!$P$3:$P$43</c:f>
              <c:numCache>
                <c:formatCode>0.0%</c:formatCode>
                <c:ptCount val="41"/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0.6</c:v>
                </c:pt>
                <c:pt idx="5">
                  <c:v>0.5</c:v>
                </c:pt>
                <c:pt idx="6">
                  <c:v>0.44444444444444442</c:v>
                </c:pt>
                <c:pt idx="7">
                  <c:v>0.38461538461538464</c:v>
                </c:pt>
                <c:pt idx="8">
                  <c:v>0.375</c:v>
                </c:pt>
                <c:pt idx="9">
                  <c:v>0.3888888888888889</c:v>
                </c:pt>
                <c:pt idx="10">
                  <c:v>0.30434782608695654</c:v>
                </c:pt>
                <c:pt idx="11">
                  <c:v>0.29166666666666669</c:v>
                </c:pt>
                <c:pt idx="12">
                  <c:v>0.32</c:v>
                </c:pt>
                <c:pt idx="13">
                  <c:v>0.32</c:v>
                </c:pt>
                <c:pt idx="14">
                  <c:v>0.30769230769230771</c:v>
                </c:pt>
                <c:pt idx="15">
                  <c:v>0.31034482758620691</c:v>
                </c:pt>
                <c:pt idx="16">
                  <c:v>0.3</c:v>
                </c:pt>
                <c:pt idx="17">
                  <c:v>0.32258064516129031</c:v>
                </c:pt>
                <c:pt idx="18">
                  <c:v>0.32258064516129031</c:v>
                </c:pt>
                <c:pt idx="19">
                  <c:v>0.35294117647058826</c:v>
                </c:pt>
                <c:pt idx="20">
                  <c:v>0.3611111111111111</c:v>
                </c:pt>
                <c:pt idx="21">
                  <c:v>0.34146341463414637</c:v>
                </c:pt>
                <c:pt idx="22">
                  <c:v>0.4</c:v>
                </c:pt>
                <c:pt idx="23">
                  <c:v>0.39130434782608697</c:v>
                </c:pt>
                <c:pt idx="24">
                  <c:v>0.4</c:v>
                </c:pt>
                <c:pt idx="25">
                  <c:v>0.4</c:v>
                </c:pt>
                <c:pt idx="26">
                  <c:v>0.39215686274509803</c:v>
                </c:pt>
                <c:pt idx="27">
                  <c:v>0.37735849056603776</c:v>
                </c:pt>
                <c:pt idx="28">
                  <c:v>0.4</c:v>
                </c:pt>
                <c:pt idx="29">
                  <c:v>0.38596491228070173</c:v>
                </c:pt>
                <c:pt idx="30">
                  <c:v>0.38983050847457629</c:v>
                </c:pt>
                <c:pt idx="31">
                  <c:v>0.38709677419354838</c:v>
                </c:pt>
                <c:pt idx="32">
                  <c:v>0.38805970149253732</c:v>
                </c:pt>
                <c:pt idx="33">
                  <c:v>0.38235294117647056</c:v>
                </c:pt>
                <c:pt idx="34">
                  <c:v>0.37681159420289856</c:v>
                </c:pt>
                <c:pt idx="35">
                  <c:v>0.3888888888888889</c:v>
                </c:pt>
                <c:pt idx="36">
                  <c:v>0.38356164383561642</c:v>
                </c:pt>
                <c:pt idx="37">
                  <c:v>0.38961038961038963</c:v>
                </c:pt>
                <c:pt idx="38">
                  <c:v>0.39759036144578314</c:v>
                </c:pt>
                <c:pt idx="39">
                  <c:v>0.39534883720930231</c:v>
                </c:pt>
                <c:pt idx="40">
                  <c:v>0.40229885057471265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9101796407185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8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  <row r="7" spans="1:12" x14ac:dyDescent="0.45">
      <c r="A7" s="2" t="s">
        <v>210</v>
      </c>
      <c r="B7" s="3">
        <v>43931.044166666667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211</v>
      </c>
      <c r="B8" s="3">
        <v>43931.497708333336</v>
      </c>
      <c r="C8" s="2" t="s">
        <v>127</v>
      </c>
    </row>
    <row r="9" spans="1:12" x14ac:dyDescent="0.45">
      <c r="A9" s="2" t="s">
        <v>212</v>
      </c>
      <c r="B9" s="3">
        <v>43982.706192129626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214</v>
      </c>
      <c r="B10" s="3">
        <v>43987.962800925925</v>
      </c>
      <c r="C10" s="2" t="s">
        <v>127</v>
      </c>
      <c r="D10" s="2" t="s">
        <v>191</v>
      </c>
    </row>
    <row r="11" spans="1:12" x14ac:dyDescent="0.45">
      <c r="A11" s="2" t="s">
        <v>215</v>
      </c>
      <c r="B11" s="3">
        <v>43988.969351851854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216</v>
      </c>
      <c r="B12" s="3">
        <v>43989.615729166668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217</v>
      </c>
      <c r="B13" s="3">
        <v>43990.614918981482</v>
      </c>
      <c r="C13" s="2" t="s">
        <v>127</v>
      </c>
      <c r="D13" s="2" t="s">
        <v>191</v>
      </c>
    </row>
    <row r="14" spans="1:12" x14ac:dyDescent="0.45">
      <c r="A14" s="2" t="s">
        <v>218</v>
      </c>
      <c r="B14" s="3">
        <v>43991.976631944446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219</v>
      </c>
      <c r="B15" s="3">
        <v>43992.982615740744</v>
      </c>
      <c r="C15" s="2" t="s">
        <v>127</v>
      </c>
      <c r="D15" s="2" t="s">
        <v>191</v>
      </c>
    </row>
    <row r="16" spans="1:12" x14ac:dyDescent="0.45">
      <c r="A16" s="2" t="s">
        <v>220</v>
      </c>
      <c r="B16" s="3">
        <v>43995.997442129628</v>
      </c>
      <c r="C16" s="2" t="s">
        <v>127</v>
      </c>
    </row>
    <row r="17" spans="1:5" x14ac:dyDescent="0.45">
      <c r="A17" s="2" t="s">
        <v>221</v>
      </c>
      <c r="B17" s="3">
        <v>43997.010659722226</v>
      </c>
      <c r="C17" s="2" t="s">
        <v>127</v>
      </c>
      <c r="D17" s="2" t="s">
        <v>191</v>
      </c>
    </row>
    <row r="18" spans="1:5" x14ac:dyDescent="0.45">
      <c r="A18" s="2" t="s">
        <v>222</v>
      </c>
      <c r="B18" s="3">
        <v>43998.009212962963</v>
      </c>
      <c r="C18" s="2" t="s">
        <v>127</v>
      </c>
      <c r="D18" s="2" t="s">
        <v>191</v>
      </c>
      <c r="E18" s="2" t="s">
        <v>195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222</v>
      </c>
    </row>
    <row r="2" spans="1:2" x14ac:dyDescent="0.45">
      <c r="A2" t="s">
        <v>164</v>
      </c>
      <c r="B2">
        <v>41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53</v>
      </c>
    </row>
    <row r="5" spans="1:2" x14ac:dyDescent="0.45">
      <c r="A5" t="s">
        <v>194</v>
      </c>
      <c r="B5">
        <v>22</v>
      </c>
    </row>
    <row r="6" spans="1:2" x14ac:dyDescent="0.45">
      <c r="A6" t="s">
        <v>192</v>
      </c>
      <c r="B6">
        <v>40</v>
      </c>
    </row>
    <row r="7" spans="1:2" x14ac:dyDescent="0.45">
      <c r="A7" t="s">
        <v>193</v>
      </c>
      <c r="B7">
        <v>26</v>
      </c>
    </row>
    <row r="8" spans="1:2" x14ac:dyDescent="0.45">
      <c r="A8" t="s">
        <v>196</v>
      </c>
      <c r="B8">
        <v>8</v>
      </c>
    </row>
    <row r="9" spans="1:2" x14ac:dyDescent="0.45">
      <c r="A9" t="s">
        <v>205</v>
      </c>
      <c r="B9">
        <v>14</v>
      </c>
    </row>
    <row r="10" spans="1:2" x14ac:dyDescent="0.45">
      <c r="A10" t="s">
        <v>213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43" t="s">
        <v>9</v>
      </c>
      <c r="C1" s="144"/>
      <c r="D1" s="141" t="s">
        <v>6</v>
      </c>
      <c r="E1" s="142"/>
      <c r="F1" s="141" t="s">
        <v>7</v>
      </c>
      <c r="G1" s="142"/>
      <c r="H1" s="143" t="s">
        <v>188</v>
      </c>
      <c r="I1" s="144"/>
      <c r="J1" s="141" t="s">
        <v>15</v>
      </c>
      <c r="K1" s="142"/>
      <c r="L1" s="141" t="s">
        <v>14</v>
      </c>
      <c r="M1" s="142"/>
      <c r="N1" s="141" t="s">
        <v>150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181</v>
      </c>
      <c r="AK1" s="142"/>
    </row>
    <row r="2" spans="1:37" x14ac:dyDescent="0.45">
      <c r="A2" s="38" t="s">
        <v>149</v>
      </c>
      <c r="B2" s="139">
        <v>0.61677912266668489</v>
      </c>
      <c r="C2" s="140"/>
      <c r="D2" s="145"/>
      <c r="E2" s="146"/>
      <c r="F2" s="145"/>
      <c r="G2" s="146"/>
      <c r="H2" s="139">
        <v>8.9247318987052699E-3</v>
      </c>
      <c r="I2" s="140"/>
      <c r="J2" s="139">
        <v>0.87220413119570284</v>
      </c>
      <c r="K2" s="140"/>
      <c r="L2" s="139">
        <v>0.7386052096669129</v>
      </c>
      <c r="M2" s="140"/>
      <c r="N2" s="139">
        <v>0.83547058445565947</v>
      </c>
      <c r="O2" s="140"/>
      <c r="P2" s="139">
        <v>0.62693271696389263</v>
      </c>
      <c r="Q2" s="140"/>
      <c r="R2" s="139">
        <v>0.30621724812579187</v>
      </c>
      <c r="S2" s="140"/>
      <c r="T2" s="139">
        <v>0.43092501700937058</v>
      </c>
      <c r="U2" s="140"/>
      <c r="V2" s="139">
        <v>-1.2055990267018419E-2</v>
      </c>
      <c r="W2" s="140"/>
      <c r="X2" s="139">
        <v>0.7381417445433891</v>
      </c>
      <c r="Y2" s="140"/>
      <c r="Z2" s="139">
        <v>-4.7615736754386774E-2</v>
      </c>
      <c r="AA2" s="140"/>
      <c r="AB2" s="139">
        <v>-2.148611312817901E-2</v>
      </c>
      <c r="AC2" s="140"/>
      <c r="AD2" s="139">
        <v>0.5463318675214347</v>
      </c>
      <c r="AE2" s="140"/>
      <c r="AF2" s="139">
        <v>0.43666267354041927</v>
      </c>
      <c r="AG2" s="140"/>
      <c r="AH2" s="139">
        <v>0.67860772954633886</v>
      </c>
      <c r="AI2" s="140"/>
      <c r="AJ2" s="139">
        <v>-0.12341532776232148</v>
      </c>
      <c r="AK2" s="140"/>
    </row>
    <row r="3" spans="1:37" x14ac:dyDescent="0.45">
      <c r="A3" s="40">
        <v>1</v>
      </c>
      <c r="B3" s="43" t="s">
        <v>139</v>
      </c>
      <c r="C3" s="117">
        <v>74</v>
      </c>
      <c r="D3" s="41" t="s">
        <v>126</v>
      </c>
      <c r="E3" s="42">
        <v>605.20000000000005</v>
      </c>
      <c r="F3" s="43" t="s">
        <v>126</v>
      </c>
      <c r="G3" s="62">
        <v>11.418867924528303</v>
      </c>
      <c r="H3" s="43" t="s">
        <v>196</v>
      </c>
      <c r="I3" s="62">
        <v>7.6166666666666663</v>
      </c>
      <c r="J3" s="43" t="s">
        <v>126</v>
      </c>
      <c r="K3" s="44">
        <v>1.7735849056603774</v>
      </c>
      <c r="L3" s="43" t="s">
        <v>126</v>
      </c>
      <c r="M3" s="45">
        <v>0.43396226415094341</v>
      </c>
      <c r="N3" s="43" t="s">
        <v>196</v>
      </c>
      <c r="O3" s="45">
        <v>0.125</v>
      </c>
      <c r="P3" s="43" t="s">
        <v>205</v>
      </c>
      <c r="Q3" s="46">
        <v>0.35238095238095241</v>
      </c>
      <c r="R3" s="43" t="s">
        <v>196</v>
      </c>
      <c r="S3" s="46">
        <v>7.6923076923076927E-2</v>
      </c>
      <c r="T3" s="43" t="s">
        <v>164</v>
      </c>
      <c r="U3" s="47">
        <v>10467.441860465116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213</v>
      </c>
      <c r="AA3" s="46">
        <v>0.32432432432432434</v>
      </c>
      <c r="AB3" s="43" t="s">
        <v>205</v>
      </c>
      <c r="AC3" s="46">
        <v>0.32380952380952382</v>
      </c>
      <c r="AD3" s="43" t="s">
        <v>213</v>
      </c>
      <c r="AE3" s="46">
        <v>0.70833333333333337</v>
      </c>
      <c r="AF3" s="43" t="s">
        <v>213</v>
      </c>
      <c r="AG3" s="46">
        <v>0.5714285714285714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53</v>
      </c>
      <c r="D4" s="49" t="s">
        <v>193</v>
      </c>
      <c r="E4" s="50">
        <v>86.8</v>
      </c>
      <c r="F4" s="51" t="s">
        <v>193</v>
      </c>
      <c r="G4" s="63">
        <v>3.3384615384615381</v>
      </c>
      <c r="H4" s="51" t="s">
        <v>194</v>
      </c>
      <c r="I4" s="63">
        <v>4.9628787878787888</v>
      </c>
      <c r="J4" s="51" t="s">
        <v>196</v>
      </c>
      <c r="K4" s="52">
        <v>1.875</v>
      </c>
      <c r="L4" s="51" t="s">
        <v>193</v>
      </c>
      <c r="M4" s="53">
        <v>0.38461538461538464</v>
      </c>
      <c r="N4" s="51" t="s">
        <v>126</v>
      </c>
      <c r="O4" s="53">
        <v>0.20754716981132076</v>
      </c>
      <c r="P4" s="51" t="s">
        <v>126</v>
      </c>
      <c r="Q4" s="54">
        <v>0.33169533169533172</v>
      </c>
      <c r="R4" s="51" t="s">
        <v>192</v>
      </c>
      <c r="S4" s="54">
        <v>0.11428571428571428</v>
      </c>
      <c r="T4" s="51" t="s">
        <v>126</v>
      </c>
      <c r="U4" s="55">
        <v>10108.888888888889</v>
      </c>
      <c r="V4" s="51" t="s">
        <v>189</v>
      </c>
      <c r="W4" s="55">
        <v>-7317.6470588235297</v>
      </c>
      <c r="X4" s="51" t="s">
        <v>213</v>
      </c>
      <c r="Y4" s="53">
        <v>0</v>
      </c>
      <c r="Z4" s="51" t="s">
        <v>164</v>
      </c>
      <c r="AA4" s="54">
        <v>0.29283489096573206</v>
      </c>
      <c r="AB4" s="51" t="s">
        <v>193</v>
      </c>
      <c r="AC4" s="54">
        <v>0.31413612565445026</v>
      </c>
      <c r="AD4" s="51" t="s">
        <v>205</v>
      </c>
      <c r="AE4" s="54">
        <v>0.68421052631578949</v>
      </c>
      <c r="AF4" s="51" t="s">
        <v>126</v>
      </c>
      <c r="AG4" s="54">
        <v>0.5074626865671642</v>
      </c>
      <c r="AH4" s="51" t="s">
        <v>196</v>
      </c>
      <c r="AI4" s="54">
        <v>0.52941176470588236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41</v>
      </c>
      <c r="D5" s="49" t="s">
        <v>196</v>
      </c>
      <c r="E5" s="50">
        <v>7.4999999999999858</v>
      </c>
      <c r="F5" s="51" t="s">
        <v>196</v>
      </c>
      <c r="G5" s="63">
        <v>0.93749999999999822</v>
      </c>
      <c r="H5" s="51" t="s">
        <v>213</v>
      </c>
      <c r="I5" s="63">
        <v>2.1361111111111115</v>
      </c>
      <c r="J5" s="51" t="s">
        <v>193</v>
      </c>
      <c r="K5" s="52">
        <v>1.9615384615384615</v>
      </c>
      <c r="L5" s="51" t="s">
        <v>164</v>
      </c>
      <c r="M5" s="53">
        <v>0.36585365853658536</v>
      </c>
      <c r="N5" s="51" t="s">
        <v>192</v>
      </c>
      <c r="O5" s="53">
        <v>0.27500000000000002</v>
      </c>
      <c r="P5" s="51" t="s">
        <v>193</v>
      </c>
      <c r="Q5" s="54">
        <v>0.31413612565445026</v>
      </c>
      <c r="R5" s="51" t="s">
        <v>193</v>
      </c>
      <c r="S5" s="54">
        <v>0.14136125654450263</v>
      </c>
      <c r="T5" s="51" t="s">
        <v>205</v>
      </c>
      <c r="U5" s="55">
        <v>9108.1081081081084</v>
      </c>
      <c r="V5" s="51" t="s">
        <v>193</v>
      </c>
      <c r="W5" s="55">
        <v>-7514.8148148148148</v>
      </c>
      <c r="X5" s="51" t="s">
        <v>126</v>
      </c>
      <c r="Y5" s="53">
        <v>5.6603773584905662E-2</v>
      </c>
      <c r="Z5" s="51" t="s">
        <v>196</v>
      </c>
      <c r="AA5" s="54">
        <v>0.29230769230769232</v>
      </c>
      <c r="AB5" s="51" t="s">
        <v>192</v>
      </c>
      <c r="AC5" s="54">
        <v>0.24444444444444444</v>
      </c>
      <c r="AD5" s="51" t="s">
        <v>196</v>
      </c>
      <c r="AE5" s="54">
        <v>0.68421052631578949</v>
      </c>
      <c r="AF5" s="51" t="s">
        <v>189</v>
      </c>
      <c r="AG5" s="54">
        <v>0.5</v>
      </c>
      <c r="AH5" s="51" t="s">
        <v>213</v>
      </c>
      <c r="AI5" s="54">
        <v>0.52173913043478259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192</v>
      </c>
      <c r="C6" s="118">
        <v>40</v>
      </c>
      <c r="D6" s="49" t="s">
        <v>139</v>
      </c>
      <c r="E6" s="50">
        <v>-2.1316282072803006E-14</v>
      </c>
      <c r="F6" s="51" t="s">
        <v>139</v>
      </c>
      <c r="G6" s="63">
        <v>-9.601928861622976E-17</v>
      </c>
      <c r="H6" s="51" t="s">
        <v>126</v>
      </c>
      <c r="I6" s="63">
        <v>1.8268358643644664</v>
      </c>
      <c r="J6" s="51" t="s">
        <v>192</v>
      </c>
      <c r="K6" s="52">
        <v>1.9750000000000001</v>
      </c>
      <c r="L6" s="51" t="s">
        <v>205</v>
      </c>
      <c r="M6" s="53">
        <v>0.35714285714285715</v>
      </c>
      <c r="N6" s="51" t="s">
        <v>139</v>
      </c>
      <c r="O6" s="53">
        <v>0.33333333333333331</v>
      </c>
      <c r="P6" s="51" t="s">
        <v>213</v>
      </c>
      <c r="Q6" s="54">
        <v>0.3108108108108108</v>
      </c>
      <c r="R6" s="51" t="s">
        <v>126</v>
      </c>
      <c r="S6" s="54">
        <v>0.14496314496314497</v>
      </c>
      <c r="T6" s="51" t="s">
        <v>139</v>
      </c>
      <c r="U6" s="55">
        <v>9093.2135728542908</v>
      </c>
      <c r="V6" s="51" t="s">
        <v>192</v>
      </c>
      <c r="W6" s="55">
        <v>-7855.5555555555557</v>
      </c>
      <c r="X6" s="51" t="s">
        <v>192</v>
      </c>
      <c r="Y6" s="53">
        <v>0.1</v>
      </c>
      <c r="Z6" s="51" t="s">
        <v>189</v>
      </c>
      <c r="AA6" s="54">
        <v>0.28378378378378377</v>
      </c>
      <c r="AB6" s="51" t="s">
        <v>164</v>
      </c>
      <c r="AC6" s="54">
        <v>0.21183800623052959</v>
      </c>
      <c r="AD6" s="51" t="s">
        <v>193</v>
      </c>
      <c r="AE6" s="54">
        <v>0.62962962962962965</v>
      </c>
      <c r="AF6" s="51" t="s">
        <v>194</v>
      </c>
      <c r="AG6" s="54">
        <v>0.47368421052631576</v>
      </c>
      <c r="AH6" s="51" t="s">
        <v>126</v>
      </c>
      <c r="AI6" s="54">
        <v>0.51851851851851849</v>
      </c>
      <c r="AJ6" s="51" t="s">
        <v>194</v>
      </c>
      <c r="AK6" s="58">
        <v>104100</v>
      </c>
    </row>
    <row r="7" spans="1:37" x14ac:dyDescent="0.45">
      <c r="A7" s="48">
        <v>5</v>
      </c>
      <c r="B7" s="51" t="s">
        <v>193</v>
      </c>
      <c r="C7" s="118">
        <v>26</v>
      </c>
      <c r="D7" s="49" t="s">
        <v>213</v>
      </c>
      <c r="E7" s="50">
        <v>-41.599999999999994</v>
      </c>
      <c r="F7" s="51" t="s">
        <v>192</v>
      </c>
      <c r="G7" s="63">
        <v>-1.7874999999999992</v>
      </c>
      <c r="H7" s="51" t="s">
        <v>193</v>
      </c>
      <c r="I7" s="63">
        <v>1.7602645502645515</v>
      </c>
      <c r="J7" s="51" t="s">
        <v>139</v>
      </c>
      <c r="K7" s="52">
        <v>2</v>
      </c>
      <c r="L7" s="51" t="s">
        <v>139</v>
      </c>
      <c r="M7" s="53">
        <v>0.33333333333333331</v>
      </c>
      <c r="N7" s="51" t="s">
        <v>213</v>
      </c>
      <c r="O7" s="53">
        <v>0.33333333333333331</v>
      </c>
      <c r="P7" s="51" t="s">
        <v>139</v>
      </c>
      <c r="Q7" s="54">
        <v>0.2929824561403509</v>
      </c>
      <c r="R7" s="51" t="s">
        <v>139</v>
      </c>
      <c r="S7" s="54">
        <v>0.16081871345029239</v>
      </c>
      <c r="T7" s="51" t="s">
        <v>189</v>
      </c>
      <c r="U7" s="55">
        <v>9062.5</v>
      </c>
      <c r="V7" s="51" t="s">
        <v>139</v>
      </c>
      <c r="W7" s="55">
        <v>-8290.545454545454</v>
      </c>
      <c r="X7" s="51" t="s">
        <v>189</v>
      </c>
      <c r="Y7" s="53">
        <v>0.1111111111111111</v>
      </c>
      <c r="Z7" s="51" t="s">
        <v>126</v>
      </c>
      <c r="AA7" s="54">
        <v>0.25798525798525801</v>
      </c>
      <c r="AB7" s="51" t="s">
        <v>139</v>
      </c>
      <c r="AC7" s="54">
        <v>0.20292397660818715</v>
      </c>
      <c r="AD7" s="51" t="s">
        <v>126</v>
      </c>
      <c r="AE7" s="54">
        <v>0.62857142857142856</v>
      </c>
      <c r="AF7" s="51" t="s">
        <v>193</v>
      </c>
      <c r="AG7" s="54">
        <v>0.43333333333333335</v>
      </c>
      <c r="AH7" s="51" t="s">
        <v>193</v>
      </c>
      <c r="AI7" s="54">
        <v>0.46666666666666667</v>
      </c>
      <c r="AJ7" s="51" t="s">
        <v>126</v>
      </c>
      <c r="AK7" s="58">
        <v>102700</v>
      </c>
    </row>
    <row r="8" spans="1:37" x14ac:dyDescent="0.45">
      <c r="A8" s="48">
        <v>6</v>
      </c>
      <c r="B8" s="51" t="s">
        <v>194</v>
      </c>
      <c r="C8" s="118">
        <v>22</v>
      </c>
      <c r="D8" s="49" t="s">
        <v>205</v>
      </c>
      <c r="E8" s="50">
        <v>-42.4</v>
      </c>
      <c r="F8" s="51" t="s">
        <v>205</v>
      </c>
      <c r="G8" s="63">
        <v>-3.0285714285714285</v>
      </c>
      <c r="H8" s="51" t="s">
        <v>205</v>
      </c>
      <c r="I8" s="63">
        <v>0.30222222222221973</v>
      </c>
      <c r="J8" s="51" t="s">
        <v>205</v>
      </c>
      <c r="K8" s="52">
        <v>2.0714285714285716</v>
      </c>
      <c r="L8" s="51" t="s">
        <v>192</v>
      </c>
      <c r="M8" s="53">
        <v>0.3</v>
      </c>
      <c r="N8" s="51" t="s">
        <v>193</v>
      </c>
      <c r="O8" s="53">
        <v>0.34615384615384615</v>
      </c>
      <c r="P8" s="51" t="s">
        <v>192</v>
      </c>
      <c r="Q8" s="54">
        <v>0.27619047619047621</v>
      </c>
      <c r="R8" s="51" t="s">
        <v>194</v>
      </c>
      <c r="S8" s="54">
        <v>0.16455696202531644</v>
      </c>
      <c r="T8" s="51" t="s">
        <v>193</v>
      </c>
      <c r="U8" s="55">
        <v>8308.3333333333339</v>
      </c>
      <c r="V8" s="51" t="s">
        <v>164</v>
      </c>
      <c r="W8" s="55">
        <v>-8425</v>
      </c>
      <c r="X8" s="51" t="s">
        <v>139</v>
      </c>
      <c r="Y8" s="53">
        <v>0.13963963963963963</v>
      </c>
      <c r="Z8" s="51" t="s">
        <v>192</v>
      </c>
      <c r="AA8" s="54">
        <v>0.25079365079365079</v>
      </c>
      <c r="AB8" s="51" t="s">
        <v>126</v>
      </c>
      <c r="AC8" s="54">
        <v>0.16461916461916462</v>
      </c>
      <c r="AD8" s="51" t="s">
        <v>139</v>
      </c>
      <c r="AE8" s="54">
        <v>0.55737704918032782</v>
      </c>
      <c r="AF8" s="51" t="s">
        <v>139</v>
      </c>
      <c r="AG8" s="54">
        <v>0.41498559077809799</v>
      </c>
      <c r="AH8" s="51" t="s">
        <v>139</v>
      </c>
      <c r="AI8" s="54">
        <v>0.44910179640718562</v>
      </c>
      <c r="AJ8" s="51" t="s">
        <v>192</v>
      </c>
      <c r="AK8" s="58">
        <v>98700</v>
      </c>
    </row>
    <row r="9" spans="1:37" x14ac:dyDescent="0.45">
      <c r="A9" s="48">
        <v>7</v>
      </c>
      <c r="B9" s="51" t="s">
        <v>205</v>
      </c>
      <c r="C9" s="118">
        <v>14</v>
      </c>
      <c r="D9" s="49" t="s">
        <v>192</v>
      </c>
      <c r="E9" s="50">
        <v>-71.499999999999972</v>
      </c>
      <c r="F9" s="51" t="s">
        <v>164</v>
      </c>
      <c r="G9" s="63">
        <v>-3.6146341463414644</v>
      </c>
      <c r="H9" s="51" t="s">
        <v>139</v>
      </c>
      <c r="I9" s="63">
        <v>0</v>
      </c>
      <c r="J9" s="51" t="s">
        <v>164</v>
      </c>
      <c r="K9" s="52">
        <v>2.0731707317073171</v>
      </c>
      <c r="L9" s="51" t="s">
        <v>196</v>
      </c>
      <c r="M9" s="53">
        <v>0.25</v>
      </c>
      <c r="N9" s="51" t="s">
        <v>205</v>
      </c>
      <c r="O9" s="53">
        <v>0.42857142857142855</v>
      </c>
      <c r="P9" s="51" t="s">
        <v>164</v>
      </c>
      <c r="Q9" s="54">
        <v>0.26791277258566976</v>
      </c>
      <c r="R9" s="51" t="s">
        <v>213</v>
      </c>
      <c r="S9" s="54">
        <v>0.1891891891891892</v>
      </c>
      <c r="T9" s="51" t="s">
        <v>194</v>
      </c>
      <c r="U9" s="55">
        <v>8085</v>
      </c>
      <c r="V9" s="51" t="s">
        <v>194</v>
      </c>
      <c r="W9" s="55">
        <v>-8438.461538461539</v>
      </c>
      <c r="X9" s="51" t="s">
        <v>164</v>
      </c>
      <c r="Y9" s="53">
        <v>0.1951219512195122</v>
      </c>
      <c r="Z9" s="51" t="s">
        <v>139</v>
      </c>
      <c r="AA9" s="54">
        <v>0.24970760233918129</v>
      </c>
      <c r="AB9" s="51" t="s">
        <v>196</v>
      </c>
      <c r="AC9" s="54">
        <v>0.13846153846153847</v>
      </c>
      <c r="AD9" s="51" t="s">
        <v>192</v>
      </c>
      <c r="AE9" s="54">
        <v>0.54430379746835444</v>
      </c>
      <c r="AF9" s="51" t="s">
        <v>164</v>
      </c>
      <c r="AG9" s="54">
        <v>0.39705882352941174</v>
      </c>
      <c r="AH9" s="51" t="s">
        <v>164</v>
      </c>
      <c r="AI9" s="54">
        <v>0.40697674418604651</v>
      </c>
      <c r="AJ9" s="51" t="s">
        <v>213</v>
      </c>
      <c r="AK9" s="58">
        <v>95000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189</v>
      </c>
      <c r="E10" s="50">
        <v>-105.5</v>
      </c>
      <c r="F10" s="51" t="s">
        <v>213</v>
      </c>
      <c r="G10" s="63">
        <v>-4.6222222222222218</v>
      </c>
      <c r="H10" s="51" t="s">
        <v>164</v>
      </c>
      <c r="I10" s="63">
        <v>-1.2090740740740646</v>
      </c>
      <c r="J10" s="51" t="s">
        <v>213</v>
      </c>
      <c r="K10" s="52">
        <v>2.1111111111111112</v>
      </c>
      <c r="L10" s="51" t="s">
        <v>189</v>
      </c>
      <c r="M10" s="53">
        <v>0.22222222222222221</v>
      </c>
      <c r="N10" s="51" t="s">
        <v>164</v>
      </c>
      <c r="O10" s="53">
        <v>0.43902439024390244</v>
      </c>
      <c r="P10" s="51" t="s">
        <v>196</v>
      </c>
      <c r="Q10" s="54">
        <v>0.26153846153846155</v>
      </c>
      <c r="R10" s="51" t="s">
        <v>164</v>
      </c>
      <c r="S10" s="54">
        <v>0.21183800623052959</v>
      </c>
      <c r="T10" s="51" t="s">
        <v>196</v>
      </c>
      <c r="U10" s="55">
        <v>7964.7058823529414</v>
      </c>
      <c r="V10" s="51" t="s">
        <v>126</v>
      </c>
      <c r="W10" s="55">
        <v>-8622.0338983050842</v>
      </c>
      <c r="X10" s="51" t="s">
        <v>205</v>
      </c>
      <c r="Y10" s="53">
        <v>0.21428571428571427</v>
      </c>
      <c r="Z10" s="51" t="s">
        <v>194</v>
      </c>
      <c r="AA10" s="54">
        <v>0.24683544303797469</v>
      </c>
      <c r="AB10" s="51" t="s">
        <v>194</v>
      </c>
      <c r="AC10" s="54">
        <v>0.12025316455696203</v>
      </c>
      <c r="AD10" s="51" t="s">
        <v>194</v>
      </c>
      <c r="AE10" s="54">
        <v>0.48717948717948717</v>
      </c>
      <c r="AF10" s="51" t="s">
        <v>192</v>
      </c>
      <c r="AG10" s="54">
        <v>0.36363636363636365</v>
      </c>
      <c r="AH10" s="51" t="s">
        <v>192</v>
      </c>
      <c r="AI10" s="54">
        <v>0.40229885057471265</v>
      </c>
      <c r="AJ10" s="51" t="s">
        <v>205</v>
      </c>
      <c r="AK10" s="58">
        <v>93200</v>
      </c>
    </row>
    <row r="11" spans="1:37" x14ac:dyDescent="0.45">
      <c r="A11" s="48">
        <v>9</v>
      </c>
      <c r="B11" s="51" t="s">
        <v>213</v>
      </c>
      <c r="C11" s="118">
        <v>9</v>
      </c>
      <c r="D11" s="49" t="s">
        <v>164</v>
      </c>
      <c r="E11" s="50">
        <v>-148.20000000000005</v>
      </c>
      <c r="F11" s="51" t="s">
        <v>189</v>
      </c>
      <c r="G11" s="63">
        <v>-11.722222222222221</v>
      </c>
      <c r="H11" s="51" t="s">
        <v>192</v>
      </c>
      <c r="I11" s="63">
        <v>-2.4266934046345816</v>
      </c>
      <c r="J11" s="51" t="s">
        <v>189</v>
      </c>
      <c r="K11" s="52">
        <v>2.2222222222222223</v>
      </c>
      <c r="L11" s="51" t="s">
        <v>213</v>
      </c>
      <c r="M11" s="53">
        <v>0.22222222222222221</v>
      </c>
      <c r="N11" s="51" t="s">
        <v>189</v>
      </c>
      <c r="O11" s="53">
        <v>0.44444444444444442</v>
      </c>
      <c r="P11" s="51" t="s">
        <v>194</v>
      </c>
      <c r="Q11" s="54">
        <v>0.25316455696202533</v>
      </c>
      <c r="R11" s="51" t="s">
        <v>205</v>
      </c>
      <c r="S11" s="54">
        <v>0.21904761904761905</v>
      </c>
      <c r="T11" s="51" t="s">
        <v>192</v>
      </c>
      <c r="U11" s="55">
        <v>7796.5517241379312</v>
      </c>
      <c r="V11" s="51" t="s">
        <v>213</v>
      </c>
      <c r="W11" s="55">
        <v>-8671.4285714285706</v>
      </c>
      <c r="X11" s="51" t="s">
        <v>193</v>
      </c>
      <c r="Y11" s="53">
        <v>0.23076923076923078</v>
      </c>
      <c r="Z11" s="51" t="s">
        <v>205</v>
      </c>
      <c r="AA11" s="54">
        <v>0.18095238095238095</v>
      </c>
      <c r="AB11" s="51" t="s">
        <v>213</v>
      </c>
      <c r="AC11" s="54">
        <v>9.45945945945946E-2</v>
      </c>
      <c r="AD11" s="51" t="s">
        <v>189</v>
      </c>
      <c r="AE11" s="54">
        <v>0.47619047619047616</v>
      </c>
      <c r="AF11" s="51" t="s">
        <v>196</v>
      </c>
      <c r="AG11" s="54">
        <v>0.33333333333333331</v>
      </c>
      <c r="AH11" s="51" t="s">
        <v>194</v>
      </c>
      <c r="AI11" s="54">
        <v>0.4</v>
      </c>
      <c r="AJ11" s="51" t="s">
        <v>196</v>
      </c>
      <c r="AK11" s="58">
        <v>89000</v>
      </c>
    </row>
    <row r="12" spans="1:37" x14ac:dyDescent="0.45">
      <c r="A12" s="48">
        <v>10</v>
      </c>
      <c r="B12" s="51" t="s">
        <v>196</v>
      </c>
      <c r="C12" s="118">
        <v>8</v>
      </c>
      <c r="D12" s="49" t="s">
        <v>194</v>
      </c>
      <c r="E12" s="50">
        <v>-290.29999999999995</v>
      </c>
      <c r="F12" s="51" t="s">
        <v>194</v>
      </c>
      <c r="G12" s="63">
        <v>-13.195454545454544</v>
      </c>
      <c r="H12" s="51" t="s">
        <v>189</v>
      </c>
      <c r="I12" s="63">
        <v>-3.6805555555555549</v>
      </c>
      <c r="J12" s="51" t="s">
        <v>194</v>
      </c>
      <c r="K12" s="52">
        <v>2.3636363636363638</v>
      </c>
      <c r="L12" s="51" t="s">
        <v>194</v>
      </c>
      <c r="M12" s="53">
        <v>0.13636363636363635</v>
      </c>
      <c r="N12" s="51" t="s">
        <v>194</v>
      </c>
      <c r="O12" s="53">
        <v>0.5</v>
      </c>
      <c r="P12" s="51" t="s">
        <v>189</v>
      </c>
      <c r="Q12" s="54">
        <v>0.21621621621621623</v>
      </c>
      <c r="R12" s="51" t="s">
        <v>189</v>
      </c>
      <c r="S12" s="54">
        <v>0.22972972972972974</v>
      </c>
      <c r="T12" s="51" t="s">
        <v>213</v>
      </c>
      <c r="U12" s="55">
        <v>7530.434782608696</v>
      </c>
      <c r="V12" s="51" t="s">
        <v>205</v>
      </c>
      <c r="W12" s="55">
        <v>-9821.7391304347821</v>
      </c>
      <c r="X12" s="51" t="s">
        <v>194</v>
      </c>
      <c r="Y12" s="53">
        <v>0.27272727272727271</v>
      </c>
      <c r="Z12" s="51" t="s">
        <v>193</v>
      </c>
      <c r="AA12" s="54">
        <v>0.14136125654450263</v>
      </c>
      <c r="AB12" s="51" t="s">
        <v>189</v>
      </c>
      <c r="AC12" s="54">
        <v>8.1081081081081086E-2</v>
      </c>
      <c r="AD12" s="51" t="s">
        <v>164</v>
      </c>
      <c r="AE12" s="54">
        <v>0.42553191489361702</v>
      </c>
      <c r="AF12" s="51" t="s">
        <v>205</v>
      </c>
      <c r="AG12" s="54">
        <v>0.29411764705882354</v>
      </c>
      <c r="AH12" s="51" t="s">
        <v>205</v>
      </c>
      <c r="AI12" s="54">
        <v>0.29729729729729731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8C6FA-9EE5-437A-AEC3-34E84746D074}">
  <sheetPr codeName="Sheet4"/>
  <dimension ref="A1:Q224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222</v>
      </c>
      <c r="C2" s="132"/>
      <c r="E2" s="28" t="s">
        <v>66</v>
      </c>
      <c r="F2" s="25" t="s">
        <v>22</v>
      </c>
      <c r="G2" s="13">
        <v>362</v>
      </c>
      <c r="H2" s="91">
        <f>IF(B$19=0,0,G2/B$19)</f>
        <v>0.72255489021956087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-9.1324200913242013</v>
      </c>
      <c r="P2" s="80">
        <v>219</v>
      </c>
      <c r="Q2" s="67">
        <v>-2000</v>
      </c>
    </row>
    <row r="3" spans="1:17" x14ac:dyDescent="0.45">
      <c r="A3" s="21" t="s">
        <v>8</v>
      </c>
      <c r="B3" s="133">
        <v>1710</v>
      </c>
      <c r="C3" s="134"/>
      <c r="E3" s="29" t="s">
        <v>72</v>
      </c>
      <c r="F3" s="26" t="s">
        <v>27</v>
      </c>
      <c r="G3" s="14">
        <v>277</v>
      </c>
      <c r="H3" s="92">
        <f>IF(B$19=0,0,G3/B$19)</f>
        <v>0.55289421157684626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-9.2592592592592595</v>
      </c>
      <c r="P3" s="81">
        <v>216</v>
      </c>
      <c r="Q3" s="68">
        <v>-2000</v>
      </c>
    </row>
    <row r="4" spans="1:17" x14ac:dyDescent="0.45">
      <c r="A4" s="21" t="s">
        <v>6</v>
      </c>
      <c r="B4" s="135">
        <v>-2.1316282072803006E-14</v>
      </c>
      <c r="C4" s="136"/>
      <c r="E4" s="29" t="s">
        <v>64</v>
      </c>
      <c r="F4" s="26" t="s">
        <v>20</v>
      </c>
      <c r="G4" s="14">
        <v>229</v>
      </c>
      <c r="H4" s="92">
        <f>IF(B$19=0,0,G4/B$19)</f>
        <v>0.45708582834331335</v>
      </c>
      <c r="I4" s="60">
        <v>7</v>
      </c>
      <c r="K4" s="7">
        <v>2</v>
      </c>
      <c r="L4" s="65">
        <v>-39.199999999999996</v>
      </c>
      <c r="N4" s="78" t="s">
        <v>130</v>
      </c>
      <c r="O4" s="84">
        <f t="shared" si="0"/>
        <v>0</v>
      </c>
      <c r="P4" s="81">
        <v>204</v>
      </c>
      <c r="Q4" s="68">
        <v>0</v>
      </c>
    </row>
    <row r="5" spans="1:17" x14ac:dyDescent="0.45">
      <c r="A5" s="21" t="s">
        <v>7</v>
      </c>
      <c r="B5" s="123">
        <f>IF(B$2=0,0,B$4/B$2)</f>
        <v>-9.601928861622976E-17</v>
      </c>
      <c r="C5" s="124"/>
      <c r="E5" s="29" t="s">
        <v>160</v>
      </c>
      <c r="F5" s="26" t="s">
        <v>161</v>
      </c>
      <c r="G5" s="14">
        <v>209</v>
      </c>
      <c r="H5" s="92">
        <f>IF(B$19=0,0,G5/B$19)</f>
        <v>0.41716566866267463</v>
      </c>
      <c r="I5" s="60">
        <v>5</v>
      </c>
      <c r="K5" s="7">
        <v>3</v>
      </c>
      <c r="L5" s="65">
        <v>7.1054273576010019E-15</v>
      </c>
      <c r="N5" s="78" t="s">
        <v>131</v>
      </c>
      <c r="O5" s="84">
        <f t="shared" si="0"/>
        <v>16.949152542372882</v>
      </c>
      <c r="P5" s="81">
        <v>177</v>
      </c>
      <c r="Q5" s="68">
        <v>3000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156</v>
      </c>
      <c r="H6" s="92">
        <f>IF(B$19=0,0,G6/B$19)</f>
        <v>0.31137724550898205</v>
      </c>
      <c r="I6" s="60">
        <v>5</v>
      </c>
      <c r="K6" s="7">
        <v>4</v>
      </c>
      <c r="L6" s="65">
        <v>-55.499999999999993</v>
      </c>
      <c r="N6" s="78" t="s">
        <v>132</v>
      </c>
      <c r="O6" s="84">
        <f t="shared" si="0"/>
        <v>-58.823529411764703</v>
      </c>
      <c r="P6" s="81">
        <v>153</v>
      </c>
      <c r="Q6" s="68">
        <v>-9000</v>
      </c>
    </row>
    <row r="7" spans="1:17" x14ac:dyDescent="0.45">
      <c r="A7" s="21" t="s">
        <v>2</v>
      </c>
      <c r="B7" s="14">
        <v>74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123</v>
      </c>
      <c r="H7" s="92">
        <f>IF(B$19=0,0,G7/B$19)</f>
        <v>0.24550898203592814</v>
      </c>
      <c r="I7" s="60">
        <v>5</v>
      </c>
      <c r="K7" s="7">
        <v>5</v>
      </c>
      <c r="L7" s="65">
        <v>-55.999999999999993</v>
      </c>
      <c r="N7" s="79" t="s">
        <v>133</v>
      </c>
      <c r="O7" s="85">
        <f t="shared" si="0"/>
        <v>75</v>
      </c>
      <c r="P7" s="82">
        <v>120</v>
      </c>
      <c r="Q7" s="69">
        <v>9000</v>
      </c>
    </row>
    <row r="8" spans="1:17" x14ac:dyDescent="0.45">
      <c r="A8" s="21" t="s">
        <v>3</v>
      </c>
      <c r="B8" s="14">
        <v>74</v>
      </c>
      <c r="C8" s="8">
        <f t="shared" si="1"/>
        <v>0.33333333333333331</v>
      </c>
      <c r="E8" s="29" t="s">
        <v>89</v>
      </c>
      <c r="F8" s="26" t="s">
        <v>44</v>
      </c>
      <c r="G8" s="14">
        <v>70</v>
      </c>
      <c r="H8" s="92">
        <f>IF(B$19=0,0,G8/B$19)</f>
        <v>0.13972055888223553</v>
      </c>
      <c r="I8" s="60">
        <v>6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74</v>
      </c>
      <c r="C9" s="9">
        <f t="shared" si="1"/>
        <v>0.33333333333333331</v>
      </c>
      <c r="E9" s="29" t="s">
        <v>69</v>
      </c>
      <c r="F9" s="26" t="s">
        <v>24</v>
      </c>
      <c r="G9" s="14">
        <v>66</v>
      </c>
      <c r="H9" s="92">
        <f>IF(B$19=0,0,G9/B$19)</f>
        <v>0.1317365269461078</v>
      </c>
      <c r="I9" s="60">
        <v>5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42.949999999999989</v>
      </c>
      <c r="C10" s="114">
        <v>3178.2999999999993</v>
      </c>
      <c r="E10" s="29" t="s">
        <v>65</v>
      </c>
      <c r="F10" s="26" t="s">
        <v>21</v>
      </c>
      <c r="G10" s="14">
        <v>49</v>
      </c>
      <c r="H10" s="92">
        <f>IF(B$19=0,0,G10/B$19)</f>
        <v>9.7804391217564873E-2</v>
      </c>
      <c r="I10" s="60">
        <v>7</v>
      </c>
      <c r="K10" s="7">
        <v>8</v>
      </c>
      <c r="L10" s="65">
        <v>-81.5</v>
      </c>
      <c r="N10" s="77" t="s">
        <v>152</v>
      </c>
      <c r="O10" s="86">
        <f>IF(P10=0,0,Q10/P10)</f>
        <v>-6.0932432432432417</v>
      </c>
      <c r="P10" s="80">
        <v>74</v>
      </c>
      <c r="Q10" s="71">
        <v>-450.89999999999986</v>
      </c>
    </row>
    <row r="11" spans="1:17" x14ac:dyDescent="0.45">
      <c r="A11" s="22" t="s">
        <v>186</v>
      </c>
      <c r="B11" s="113">
        <f>IF(B8=0,0,C11/B8)</f>
        <v>-3.800000000000002</v>
      </c>
      <c r="C11" s="114">
        <v>-281.20000000000016</v>
      </c>
      <c r="E11" s="29" t="s">
        <v>70</v>
      </c>
      <c r="F11" s="26" t="s">
        <v>25</v>
      </c>
      <c r="G11" s="14">
        <v>39</v>
      </c>
      <c r="H11" s="92">
        <f>IF(B$19=0,0,G11/B$19)</f>
        <v>7.7844311377245512E-2</v>
      </c>
      <c r="I11" s="60">
        <v>4</v>
      </c>
      <c r="K11" s="7">
        <v>9</v>
      </c>
      <c r="L11" s="65">
        <v>0</v>
      </c>
      <c r="N11" s="78" t="s">
        <v>153</v>
      </c>
      <c r="O11" s="87">
        <f>IF(P11=0,0,Q11/P11)</f>
        <v>0.15135135135135072</v>
      </c>
      <c r="P11" s="81">
        <v>74</v>
      </c>
      <c r="Q11" s="72">
        <v>11.199999999999953</v>
      </c>
    </row>
    <row r="12" spans="1:17" x14ac:dyDescent="0.45">
      <c r="A12" s="22" t="s">
        <v>187</v>
      </c>
      <c r="B12" s="113">
        <f>IF(B9=0,0,C12/B9)</f>
        <v>-39.15</v>
      </c>
      <c r="C12" s="114">
        <v>-2897.1</v>
      </c>
      <c r="E12" s="29" t="s">
        <v>71</v>
      </c>
      <c r="F12" s="26" t="s">
        <v>26</v>
      </c>
      <c r="G12" s="14">
        <v>35</v>
      </c>
      <c r="H12" s="92">
        <f>IF(B$19=0,0,G12/B$19)</f>
        <v>6.9860279441117765E-2</v>
      </c>
      <c r="I12" s="60">
        <v>6</v>
      </c>
      <c r="K12" s="7">
        <v>10</v>
      </c>
      <c r="L12" s="65">
        <v>60.4</v>
      </c>
      <c r="N12" s="79" t="s">
        <v>154</v>
      </c>
      <c r="O12" s="88">
        <f>IF(P12=0,0,Q12/P12)</f>
        <v>5.941891891891891</v>
      </c>
      <c r="P12" s="82">
        <v>74</v>
      </c>
      <c r="Q12" s="73">
        <v>439.69999999999993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83</v>
      </c>
      <c r="F13" s="26" t="s">
        <v>38</v>
      </c>
      <c r="G13" s="14">
        <v>30</v>
      </c>
      <c r="H13" s="92">
        <f>IF(B$19=0,0,G13/B$19)</f>
        <v>5.9880239520958084E-2</v>
      </c>
      <c r="I13" s="60">
        <v>5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31</v>
      </c>
      <c r="C14" s="11">
        <f t="shared" si="1"/>
        <v>0.13963963963963963</v>
      </c>
      <c r="E14" s="29" t="s">
        <v>86</v>
      </c>
      <c r="F14" s="26" t="s">
        <v>41</v>
      </c>
      <c r="G14" s="14">
        <v>28</v>
      </c>
      <c r="H14" s="92">
        <f>IF(B$19=0,0,G14/B$19)</f>
        <v>5.588822355289421E-2</v>
      </c>
      <c r="I14" s="60">
        <v>5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427</v>
      </c>
      <c r="C15" s="12">
        <f>IF(B$3=0,0,B15/B$3)</f>
        <v>0.24970760233918129</v>
      </c>
      <c r="E15" s="29" t="s">
        <v>78</v>
      </c>
      <c r="F15" s="26" t="s">
        <v>33</v>
      </c>
      <c r="G15" s="14">
        <v>15</v>
      </c>
      <c r="H15" s="92">
        <f>IF(B$19=0,0,G15/B$19)</f>
        <v>2.9940119760479042E-2</v>
      </c>
      <c r="I15" s="60">
        <v>5</v>
      </c>
      <c r="K15" s="7">
        <v>13</v>
      </c>
      <c r="L15" s="65">
        <v>14.300000000000002</v>
      </c>
      <c r="N15" s="77" t="s">
        <v>194</v>
      </c>
      <c r="O15" s="86">
        <f>IF(P15=0,0,Q15/P15)</f>
        <v>19.793181818181811</v>
      </c>
      <c r="P15" s="80">
        <v>44</v>
      </c>
      <c r="Q15" s="71">
        <v>870.89999999999975</v>
      </c>
    </row>
    <row r="16" spans="1:17" x14ac:dyDescent="0.45">
      <c r="A16" s="21" t="s">
        <v>118</v>
      </c>
      <c r="B16" s="14">
        <v>347</v>
      </c>
      <c r="C16" s="8">
        <f>IF(B$3=0,0,B16/B$3)</f>
        <v>0.20292397660818715</v>
      </c>
      <c r="E16" s="29" t="s">
        <v>81</v>
      </c>
      <c r="F16" s="26" t="s">
        <v>36</v>
      </c>
      <c r="G16" s="14">
        <v>13</v>
      </c>
      <c r="H16" s="92">
        <f>IF(B$19=0,0,G16/B$19)</f>
        <v>2.5948103792415168E-2</v>
      </c>
      <c r="I16" s="60">
        <v>4</v>
      </c>
      <c r="K16" s="7">
        <v>14</v>
      </c>
      <c r="L16" s="65">
        <v>12.800000000000002</v>
      </c>
      <c r="N16" s="78" t="s">
        <v>189</v>
      </c>
      <c r="O16" s="87">
        <f>IF(P16=0,0,Q16/P16)</f>
        <v>17.583333333333336</v>
      </c>
      <c r="P16" s="81">
        <v>18</v>
      </c>
      <c r="Q16" s="72">
        <v>316.50000000000006</v>
      </c>
    </row>
    <row r="17" spans="1:17" x14ac:dyDescent="0.45">
      <c r="A17" s="20" t="s">
        <v>123</v>
      </c>
      <c r="B17" s="13">
        <f>B23</f>
        <v>238</v>
      </c>
      <c r="C17" s="6">
        <f>IF(B$15=0,0,B17/B$15)</f>
        <v>0.55737704918032782</v>
      </c>
      <c r="E17" s="29" t="s">
        <v>91</v>
      </c>
      <c r="F17" s="26" t="s">
        <v>46</v>
      </c>
      <c r="G17" s="14">
        <v>13</v>
      </c>
      <c r="H17" s="92">
        <f>IF(B$19=0,0,G17/B$19)</f>
        <v>2.5948103792415168E-2</v>
      </c>
      <c r="I17" s="60">
        <v>3</v>
      </c>
      <c r="K17" s="7">
        <v>15</v>
      </c>
      <c r="L17" s="65">
        <v>1.7763568394002505E-15</v>
      </c>
      <c r="N17" s="78" t="s">
        <v>213</v>
      </c>
      <c r="O17" s="87">
        <f>IF(P17=0,0,Q17/P17)</f>
        <v>6.9333333333333345</v>
      </c>
      <c r="P17" s="81">
        <v>18</v>
      </c>
      <c r="Q17" s="72">
        <v>124.80000000000003</v>
      </c>
    </row>
    <row r="18" spans="1:17" x14ac:dyDescent="0.45">
      <c r="A18" s="20" t="s">
        <v>124</v>
      </c>
      <c r="B18" s="13">
        <f>B24</f>
        <v>144</v>
      </c>
      <c r="C18" s="6">
        <f>IF(B$16=0,0,B18/B$16)</f>
        <v>0.41498559077809799</v>
      </c>
      <c r="E18" s="29" t="s">
        <v>79</v>
      </c>
      <c r="F18" s="26" t="s">
        <v>34</v>
      </c>
      <c r="G18" s="14">
        <v>12</v>
      </c>
      <c r="H18" s="92">
        <f>IF(B$19=0,0,G18/B$19)</f>
        <v>2.3952095808383235E-2</v>
      </c>
      <c r="I18" s="60">
        <v>4</v>
      </c>
      <c r="K18" s="7">
        <v>16</v>
      </c>
      <c r="L18" s="65">
        <v>3.4000000000000017</v>
      </c>
      <c r="N18" s="78" t="s">
        <v>164</v>
      </c>
      <c r="O18" s="87">
        <f>IF(P18=0,0,Q18/P18)</f>
        <v>5.4219512195121924</v>
      </c>
      <c r="P18" s="81">
        <v>82</v>
      </c>
      <c r="Q18" s="72">
        <v>444.5999999999998</v>
      </c>
    </row>
    <row r="19" spans="1:17" x14ac:dyDescent="0.45">
      <c r="A19" s="20" t="s">
        <v>10</v>
      </c>
      <c r="B19" s="13">
        <f>B22+B21</f>
        <v>501</v>
      </c>
      <c r="C19" s="6">
        <f>IF(B$3=0,0,B19/B$3)</f>
        <v>0.2929824561403509</v>
      </c>
      <c r="E19" s="29" t="s">
        <v>92</v>
      </c>
      <c r="F19" s="26" t="s">
        <v>47</v>
      </c>
      <c r="G19" s="14">
        <v>7</v>
      </c>
      <c r="H19" s="92">
        <f>IF(B$19=0,0,G19/B$19)</f>
        <v>1.3972055888223553E-2</v>
      </c>
      <c r="I19" s="60">
        <v>4</v>
      </c>
      <c r="K19" s="7">
        <v>17</v>
      </c>
      <c r="L19" s="65">
        <v>-35.800000000000004</v>
      </c>
      <c r="N19" s="78" t="s">
        <v>205</v>
      </c>
      <c r="O19" s="87">
        <f>IF(P19=0,0,Q19/P19)</f>
        <v>4.5428571428571427</v>
      </c>
      <c r="P19" s="81">
        <v>28</v>
      </c>
      <c r="Q19" s="72">
        <v>127.19999999999999</v>
      </c>
    </row>
    <row r="20" spans="1:17" x14ac:dyDescent="0.45">
      <c r="A20" s="21" t="s">
        <v>13</v>
      </c>
      <c r="B20" s="14">
        <v>275</v>
      </c>
      <c r="C20" s="8">
        <f>IF(B$3=0,0,B20/B$3)</f>
        <v>0.16081871345029239</v>
      </c>
      <c r="E20" s="29" t="s">
        <v>156</v>
      </c>
      <c r="F20" s="26" t="s">
        <v>157</v>
      </c>
      <c r="G20" s="14">
        <v>7</v>
      </c>
      <c r="H20" s="92">
        <f>IF(B$19=0,0,G20/B$19)</f>
        <v>1.3972055888223553E-2</v>
      </c>
      <c r="I20" s="60">
        <v>3</v>
      </c>
      <c r="K20" s="7">
        <v>18</v>
      </c>
      <c r="L20" s="65">
        <v>-7.1054273576010019E-15</v>
      </c>
      <c r="N20" s="78" t="s">
        <v>192</v>
      </c>
      <c r="O20" s="87">
        <f>IF(P20=0,0,Q20/P20)</f>
        <v>2.6812500000000052</v>
      </c>
      <c r="P20" s="81">
        <v>80</v>
      </c>
      <c r="Q20" s="72">
        <v>214.50000000000043</v>
      </c>
    </row>
    <row r="21" spans="1:17" x14ac:dyDescent="0.45">
      <c r="A21" s="21" t="s">
        <v>12</v>
      </c>
      <c r="B21" s="14">
        <v>225</v>
      </c>
      <c r="C21" s="8">
        <f>IF(B$19=0,0,B21/B$19)</f>
        <v>0.44910179640718562</v>
      </c>
      <c r="E21" s="29" t="s">
        <v>85</v>
      </c>
      <c r="F21" s="26" t="s">
        <v>40</v>
      </c>
      <c r="G21" s="14">
        <v>3</v>
      </c>
      <c r="H21" s="92">
        <f>IF(B$19=0,0,G21/B$19)</f>
        <v>5.9880239520958087E-3</v>
      </c>
      <c r="I21" s="60">
        <v>3</v>
      </c>
      <c r="K21" s="7">
        <v>19</v>
      </c>
      <c r="L21" s="65">
        <v>-27.100000000000009</v>
      </c>
      <c r="N21" s="78" t="s">
        <v>196</v>
      </c>
      <c r="O21" s="87">
        <f>IF(P21=0,0,Q21/P21)</f>
        <v>-1.4062500000000027</v>
      </c>
      <c r="P21" s="81">
        <v>16</v>
      </c>
      <c r="Q21" s="72">
        <v>-22.500000000000043</v>
      </c>
    </row>
    <row r="22" spans="1:17" x14ac:dyDescent="0.45">
      <c r="A22" s="21" t="s">
        <v>11</v>
      </c>
      <c r="B22" s="14">
        <v>276</v>
      </c>
      <c r="C22" s="8">
        <f>IF(B$19=0,0,B22/B$19)</f>
        <v>0.55089820359281438</v>
      </c>
      <c r="E22" s="29" t="s">
        <v>73</v>
      </c>
      <c r="F22" s="26" t="s">
        <v>28</v>
      </c>
      <c r="G22" s="14">
        <v>2</v>
      </c>
      <c r="H22" s="92">
        <f>IF(B$19=0,0,G22/B$19)</f>
        <v>3.9920159680638719E-3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>IF(P22=0,0,Q22/P22)</f>
        <v>-5.0076923076923077</v>
      </c>
      <c r="P22" s="81">
        <v>52</v>
      </c>
      <c r="Q22" s="72">
        <v>-260.39999999999998</v>
      </c>
    </row>
    <row r="23" spans="1:17" x14ac:dyDescent="0.45">
      <c r="A23" s="21" t="s">
        <v>184</v>
      </c>
      <c r="B23" s="14">
        <v>238</v>
      </c>
      <c r="C23" s="8">
        <f>IF(B$19=0,0,B23/B$19)</f>
        <v>0.47504990019960081</v>
      </c>
      <c r="E23" s="29" t="s">
        <v>75</v>
      </c>
      <c r="F23" s="26" t="s">
        <v>30</v>
      </c>
      <c r="G23" s="14">
        <v>2</v>
      </c>
      <c r="H23" s="92">
        <f>IF(B$19=0,0,G23/B$19)</f>
        <v>3.9920159680638719E-3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-17.128301886792439</v>
      </c>
      <c r="P23" s="81">
        <v>106</v>
      </c>
      <c r="Q23" s="72">
        <v>-1815.5999999999985</v>
      </c>
    </row>
    <row r="24" spans="1:17" x14ac:dyDescent="0.45">
      <c r="A24" s="21" t="s">
        <v>182</v>
      </c>
      <c r="B24" s="14">
        <v>144</v>
      </c>
      <c r="C24" s="8">
        <f>IF(B$19=0,0,B24/B$19)</f>
        <v>0.28742514970059879</v>
      </c>
      <c r="E24" s="29" t="s">
        <v>77</v>
      </c>
      <c r="F24" s="26" t="s">
        <v>32</v>
      </c>
      <c r="G24" s="14">
        <v>2</v>
      </c>
      <c r="H24" s="92">
        <f>IF(B$19=0,0,G24/B$19)</f>
        <v>3.9920159680638719E-3</v>
      </c>
      <c r="I24" s="60">
        <v>3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119</v>
      </c>
      <c r="C25" s="8">
        <f>IF(B$19=0,0,B25/B$19)</f>
        <v>0.2375249500998004</v>
      </c>
      <c r="E25" s="29" t="s">
        <v>87</v>
      </c>
      <c r="F25" s="26" t="s">
        <v>42</v>
      </c>
      <c r="G25" s="14">
        <v>2</v>
      </c>
      <c r="H25" s="92">
        <f>IF(B$19=0,0,G25/B$19)</f>
        <v>3.9920159680638719E-3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9093.2135728542908</v>
      </c>
      <c r="C26" s="10">
        <v>4555700</v>
      </c>
      <c r="E26" s="29" t="s">
        <v>93</v>
      </c>
      <c r="F26" s="26" t="s">
        <v>48</v>
      </c>
      <c r="G26" s="14">
        <v>2</v>
      </c>
      <c r="H26" s="92">
        <f>IF(B$19=0,0,G26/B$19)</f>
        <v>3.9920159680638719E-3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9468.0672268907565</v>
      </c>
      <c r="C27" s="100">
        <v>3380100</v>
      </c>
      <c r="E27" s="29" t="s">
        <v>84</v>
      </c>
      <c r="F27" s="26" t="s">
        <v>39</v>
      </c>
      <c r="G27" s="14">
        <v>1</v>
      </c>
      <c r="H27" s="92">
        <f>IF(B$19=0,0,G27/B$19)</f>
        <v>1.996007984031936E-3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8163.8888888888887</v>
      </c>
      <c r="C28" s="100">
        <v>1175600</v>
      </c>
      <c r="E28" s="29" t="s">
        <v>88</v>
      </c>
      <c r="F28" s="26" t="s">
        <v>43</v>
      </c>
      <c r="G28" s="14">
        <v>1</v>
      </c>
      <c r="H28" s="92">
        <f>IF(B$19=0,0,G28/B$19)</f>
        <v>1.996007984031936E-3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-8290.545454545454</v>
      </c>
      <c r="C29" s="100">
        <v>-2279900</v>
      </c>
      <c r="E29" s="29" t="s">
        <v>95</v>
      </c>
      <c r="F29" s="26" t="s">
        <v>50</v>
      </c>
      <c r="G29" s="14">
        <v>1</v>
      </c>
      <c r="H29" s="92">
        <f>IF(B$19=0,0,G29/B$19)</f>
        <v>1.996007984031936E-3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2</v>
      </c>
      <c r="E30" s="29" t="s">
        <v>97</v>
      </c>
      <c r="F30" s="26" t="s">
        <v>52</v>
      </c>
      <c r="G30" s="14">
        <v>1</v>
      </c>
      <c r="H30" s="92">
        <f>IF(B$19=0,0,G30/B$19)</f>
        <v>1.996007984031936E-3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34</v>
      </c>
      <c r="C31" s="94">
        <v>3</v>
      </c>
      <c r="E31" s="29" t="s">
        <v>102</v>
      </c>
      <c r="F31" s="26" t="s">
        <v>57</v>
      </c>
      <c r="G31" s="14">
        <v>1</v>
      </c>
      <c r="H31" s="92">
        <f>IF(B$19=0,0,G31/B$19)</f>
        <v>1.996007984031936E-3</v>
      </c>
      <c r="I31" s="60">
        <v>2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6</v>
      </c>
      <c r="C32" s="126"/>
      <c r="E32" s="29" t="s">
        <v>74</v>
      </c>
      <c r="F32" s="26" t="s">
        <v>29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76</v>
      </c>
      <c r="F33" s="26" t="s">
        <v>31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4</v>
      </c>
      <c r="C34" s="11">
        <f>IF(B$3=0,0,B34/B$3)</f>
        <v>2.3391812865497076E-3</v>
      </c>
      <c r="E34" s="29" t="s">
        <v>80</v>
      </c>
      <c r="F34" s="26" t="s">
        <v>35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82</v>
      </c>
      <c r="F35" s="26" t="s">
        <v>37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39</v>
      </c>
      <c r="C36" s="102">
        <f t="shared" ref="C36:C48" si="2">IF(B$19=0,0,B36/B$19)</f>
        <v>7.7844311377245512E-2</v>
      </c>
      <c r="E36" s="29" t="s">
        <v>90</v>
      </c>
      <c r="F36" s="26" t="s">
        <v>45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88</v>
      </c>
      <c r="C37" s="8">
        <f t="shared" si="2"/>
        <v>0.17564870259481039</v>
      </c>
      <c r="E37" s="29" t="s">
        <v>94</v>
      </c>
      <c r="F37" s="26" t="s">
        <v>49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83</v>
      </c>
      <c r="C38" s="8">
        <f t="shared" si="2"/>
        <v>0.16566866267465069</v>
      </c>
      <c r="E38" s="29" t="s">
        <v>96</v>
      </c>
      <c r="F38" s="26" t="s">
        <v>51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93</v>
      </c>
      <c r="C39" s="8">
        <f t="shared" si="2"/>
        <v>0.18562874251497005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76</v>
      </c>
      <c r="C40" s="8">
        <f t="shared" si="2"/>
        <v>0.15169660678642716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44</v>
      </c>
      <c r="C41" s="8">
        <f t="shared" si="2"/>
        <v>8.7824351297405193E-2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32</v>
      </c>
      <c r="C42" s="8">
        <f t="shared" si="2"/>
        <v>6.3872255489021951E-2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13</v>
      </c>
      <c r="C43" s="8">
        <f t="shared" si="2"/>
        <v>2.5948103792415168E-2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10</v>
      </c>
      <c r="C44" s="8">
        <f t="shared" si="2"/>
        <v>1.9960079840319361E-2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6</v>
      </c>
      <c r="C45" s="8">
        <f t="shared" si="2"/>
        <v>1.1976047904191617E-2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2"/>
        <v>7.9840319361277438E-3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1</v>
      </c>
      <c r="C47" s="8">
        <f t="shared" si="2"/>
        <v>1.996007984031936E-3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12</v>
      </c>
      <c r="C48" s="11">
        <f t="shared" si="2"/>
        <v>2.3952095808383235E-2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  <row r="216" spans="11:12" x14ac:dyDescent="0.45">
      <c r="K216" s="7">
        <v>214</v>
      </c>
      <c r="L216" s="65">
        <v>73.699999999999989</v>
      </c>
    </row>
    <row r="217" spans="11:12" x14ac:dyDescent="0.45">
      <c r="K217" s="7">
        <v>215</v>
      </c>
      <c r="L217" s="65">
        <v>51.199999999999989</v>
      </c>
    </row>
    <row r="218" spans="11:12" x14ac:dyDescent="0.45">
      <c r="K218" s="7">
        <v>216</v>
      </c>
      <c r="L218" s="65">
        <v>-1.4210854715202004E-14</v>
      </c>
    </row>
    <row r="219" spans="11:12" x14ac:dyDescent="0.45">
      <c r="K219" s="7">
        <v>217</v>
      </c>
      <c r="L219" s="65">
        <v>-65.200000000000017</v>
      </c>
    </row>
    <row r="220" spans="11:12" x14ac:dyDescent="0.45">
      <c r="K220" s="7">
        <v>218</v>
      </c>
      <c r="L220" s="65">
        <v>-45.800000000000018</v>
      </c>
    </row>
    <row r="221" spans="11:12" x14ac:dyDescent="0.45">
      <c r="K221" s="7">
        <v>219</v>
      </c>
      <c r="L221" s="65">
        <v>-2.1316282072803006E-14</v>
      </c>
    </row>
    <row r="222" spans="11:12" x14ac:dyDescent="0.45">
      <c r="K222" s="7">
        <v>220</v>
      </c>
      <c r="L222" s="65">
        <v>6.4999999999999787</v>
      </c>
    </row>
    <row r="223" spans="11:12" x14ac:dyDescent="0.45">
      <c r="K223" s="7">
        <v>221</v>
      </c>
      <c r="L223" s="65">
        <v>-32.500000000000021</v>
      </c>
    </row>
    <row r="224" spans="11:12" x14ac:dyDescent="0.45">
      <c r="K224" s="7">
        <v>222</v>
      </c>
      <c r="L224" s="65">
        <v>-2.1316282072803006E-14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8D65C-B606-4D70-86A4-57219BECBEDF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41</v>
      </c>
      <c r="C2" s="132"/>
      <c r="E2" s="28" t="s">
        <v>66</v>
      </c>
      <c r="F2" s="25" t="s">
        <v>22</v>
      </c>
      <c r="G2" s="13">
        <v>73</v>
      </c>
      <c r="H2" s="91">
        <f>IF(B$19=0,0,G2/B$19)</f>
        <v>0.84883720930232553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-2657.5</v>
      </c>
      <c r="P2" s="80">
        <v>40</v>
      </c>
      <c r="Q2" s="67">
        <v>-106300</v>
      </c>
    </row>
    <row r="3" spans="1:17" x14ac:dyDescent="0.45">
      <c r="A3" s="21" t="s">
        <v>8</v>
      </c>
      <c r="B3" s="133">
        <v>321</v>
      </c>
      <c r="C3" s="134"/>
      <c r="E3" s="29" t="s">
        <v>72</v>
      </c>
      <c r="F3" s="26" t="s">
        <v>27</v>
      </c>
      <c r="G3" s="14">
        <v>45</v>
      </c>
      <c r="H3" s="92">
        <f>IF(B$19=0,0,G3/B$19)</f>
        <v>0.52325581395348841</v>
      </c>
      <c r="I3" s="60">
        <v>6</v>
      </c>
      <c r="K3" s="7">
        <v>1</v>
      </c>
      <c r="L3" s="65">
        <v>-2.9</v>
      </c>
      <c r="N3" s="78" t="s">
        <v>129</v>
      </c>
      <c r="O3" s="84">
        <f t="shared" si="0"/>
        <v>-1440</v>
      </c>
      <c r="P3" s="81">
        <v>40</v>
      </c>
      <c r="Q3" s="68">
        <v>-57600</v>
      </c>
    </row>
    <row r="4" spans="1:17" x14ac:dyDescent="0.45">
      <c r="A4" s="21" t="s">
        <v>6</v>
      </c>
      <c r="B4" s="135">
        <v>-148.20000000000005</v>
      </c>
      <c r="C4" s="136"/>
      <c r="E4" s="29" t="s">
        <v>160</v>
      </c>
      <c r="F4" s="26" t="s">
        <v>161</v>
      </c>
      <c r="G4" s="14">
        <v>44</v>
      </c>
      <c r="H4" s="92">
        <f>IF(B$19=0,0,G4/B$19)</f>
        <v>0.51162790697674421</v>
      </c>
      <c r="I4" s="60">
        <v>2</v>
      </c>
      <c r="K4" s="7">
        <v>2</v>
      </c>
      <c r="L4" s="65">
        <v>32.9</v>
      </c>
      <c r="N4" s="78" t="s">
        <v>130</v>
      </c>
      <c r="O4" s="84">
        <f t="shared" si="0"/>
        <v>-83.78378378378379</v>
      </c>
      <c r="P4" s="81">
        <v>37</v>
      </c>
      <c r="Q4" s="68">
        <v>-3100</v>
      </c>
    </row>
    <row r="5" spans="1:17" x14ac:dyDescent="0.45">
      <c r="A5" s="21" t="s">
        <v>7</v>
      </c>
      <c r="B5" s="123">
        <f>IF(B$2=0,0,B$4/B$2)</f>
        <v>-3.6146341463414644</v>
      </c>
      <c r="C5" s="124"/>
      <c r="E5" s="29" t="s">
        <v>64</v>
      </c>
      <c r="F5" s="26" t="s">
        <v>20</v>
      </c>
      <c r="G5" s="14">
        <v>41</v>
      </c>
      <c r="H5" s="92">
        <f>IF(B$19=0,0,G5/B$19)</f>
        <v>0.47674418604651164</v>
      </c>
      <c r="I5" s="60">
        <v>4</v>
      </c>
      <c r="K5" s="7">
        <v>3</v>
      </c>
      <c r="L5" s="65">
        <v>61.5</v>
      </c>
      <c r="N5" s="78" t="s">
        <v>131</v>
      </c>
      <c r="O5" s="84">
        <f t="shared" si="0"/>
        <v>-2078.787878787879</v>
      </c>
      <c r="P5" s="81">
        <v>33</v>
      </c>
      <c r="Q5" s="68">
        <v>-68600</v>
      </c>
    </row>
    <row r="6" spans="1:17" x14ac:dyDescent="0.45">
      <c r="A6" s="21" t="s">
        <v>1</v>
      </c>
      <c r="B6" s="137">
        <f>IF(B$2=0,0,(B$7*1+B$8*2+B$9*3)/B$2)</f>
        <v>2.0731707317073171</v>
      </c>
      <c r="C6" s="138"/>
      <c r="E6" s="29" t="s">
        <v>68</v>
      </c>
      <c r="F6" s="26" t="s">
        <v>12</v>
      </c>
      <c r="G6" s="14">
        <v>21</v>
      </c>
      <c r="H6" s="92">
        <f>IF(B$19=0,0,G6/B$19)</f>
        <v>0.2441860465116279</v>
      </c>
      <c r="I6" s="60">
        <v>9</v>
      </c>
      <c r="K6" s="7">
        <v>4</v>
      </c>
      <c r="L6" s="65">
        <v>27.4</v>
      </c>
      <c r="N6" s="78" t="s">
        <v>132</v>
      </c>
      <c r="O6" s="84">
        <f t="shared" si="0"/>
        <v>500</v>
      </c>
      <c r="P6" s="81">
        <v>31</v>
      </c>
      <c r="Q6" s="68">
        <v>15500</v>
      </c>
    </row>
    <row r="7" spans="1:17" x14ac:dyDescent="0.45">
      <c r="A7" s="21" t="s">
        <v>2</v>
      </c>
      <c r="B7" s="14">
        <v>15</v>
      </c>
      <c r="C7" s="8">
        <f t="shared" ref="C7:C14" si="1">IF(B$2=0,0,B7/B$2)</f>
        <v>0.36585365853658536</v>
      </c>
      <c r="E7" s="29" t="s">
        <v>67</v>
      </c>
      <c r="F7" s="26" t="s">
        <v>23</v>
      </c>
      <c r="G7" s="14">
        <v>19</v>
      </c>
      <c r="H7" s="92">
        <f>IF(B$19=0,0,G7/B$19)</f>
        <v>0.22093023255813954</v>
      </c>
      <c r="I7" s="60">
        <v>7</v>
      </c>
      <c r="K7" s="7">
        <v>5</v>
      </c>
      <c r="L7" s="65">
        <v>18</v>
      </c>
      <c r="N7" s="79" t="s">
        <v>133</v>
      </c>
      <c r="O7" s="85">
        <f t="shared" si="0"/>
        <v>3239.1304347826085</v>
      </c>
      <c r="P7" s="82">
        <v>23</v>
      </c>
      <c r="Q7" s="69">
        <v>74500</v>
      </c>
    </row>
    <row r="8" spans="1:17" x14ac:dyDescent="0.45">
      <c r="A8" s="21" t="s">
        <v>3</v>
      </c>
      <c r="B8" s="14">
        <v>8</v>
      </c>
      <c r="C8" s="8">
        <f t="shared" si="1"/>
        <v>0.1951219512195122</v>
      </c>
      <c r="E8" s="29" t="s">
        <v>89</v>
      </c>
      <c r="F8" s="26" t="s">
        <v>44</v>
      </c>
      <c r="G8" s="14">
        <v>13</v>
      </c>
      <c r="H8" s="92">
        <f>IF(B$19=0,0,G8/B$19)</f>
        <v>0.15116279069767441</v>
      </c>
      <c r="I8" s="60">
        <v>4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18</v>
      </c>
      <c r="C9" s="9">
        <f t="shared" si="1"/>
        <v>0.43902439024390244</v>
      </c>
      <c r="E9" s="29" t="s">
        <v>70</v>
      </c>
      <c r="F9" s="26" t="s">
        <v>25</v>
      </c>
      <c r="G9" s="14">
        <v>10</v>
      </c>
      <c r="H9" s="92">
        <f>IF(B$19=0,0,G9/B$19)</f>
        <v>0.11627906976744186</v>
      </c>
      <c r="I9" s="60">
        <v>3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41.053333333333349</v>
      </c>
      <c r="C10" s="114">
        <v>615.80000000000018</v>
      </c>
      <c r="E10" s="29" t="s">
        <v>65</v>
      </c>
      <c r="F10" s="26" t="s">
        <v>21</v>
      </c>
      <c r="G10" s="14">
        <v>9</v>
      </c>
      <c r="H10" s="92">
        <f>IF(B$19=0,0,G10/B$19)</f>
        <v>0.10465116279069768</v>
      </c>
      <c r="I10" s="60">
        <v>4</v>
      </c>
      <c r="K10" s="7">
        <v>8</v>
      </c>
      <c r="L10" s="65">
        <v>-9.9999999999999964</v>
      </c>
      <c r="N10" s="77" t="s">
        <v>152</v>
      </c>
      <c r="O10" s="86">
        <f>IF(P10=0,0,Q10/P10)</f>
        <v>-11.82666666666667</v>
      </c>
      <c r="P10" s="80">
        <v>15</v>
      </c>
      <c r="Q10" s="71">
        <v>-177.40000000000003</v>
      </c>
    </row>
    <row r="11" spans="1:17" x14ac:dyDescent="0.45">
      <c r="A11" s="22" t="s">
        <v>186</v>
      </c>
      <c r="B11" s="113">
        <f>IF(B8=0,0,C11/B8)</f>
        <v>-4.0250000000000004</v>
      </c>
      <c r="C11" s="114">
        <v>-32.200000000000003</v>
      </c>
      <c r="E11" s="29" t="s">
        <v>86</v>
      </c>
      <c r="F11" s="26" t="s">
        <v>41</v>
      </c>
      <c r="G11" s="14">
        <v>8</v>
      </c>
      <c r="H11" s="92">
        <f>IF(B$19=0,0,G11/B$19)</f>
        <v>9.3023255813953487E-2</v>
      </c>
      <c r="I11" s="60">
        <v>2</v>
      </c>
      <c r="K11" s="7">
        <v>9</v>
      </c>
      <c r="L11" s="65">
        <v>33.5</v>
      </c>
      <c r="N11" s="78" t="s">
        <v>153</v>
      </c>
      <c r="O11" s="87">
        <f>IF(P11=0,0,Q11/P11)</f>
        <v>7.5399999999999974</v>
      </c>
      <c r="P11" s="81">
        <v>10</v>
      </c>
      <c r="Q11" s="72">
        <v>75.399999999999977</v>
      </c>
    </row>
    <row r="12" spans="1:17" x14ac:dyDescent="0.45">
      <c r="A12" s="22" t="s">
        <v>187</v>
      </c>
      <c r="B12" s="113">
        <f>IF(B9=0,0,C12/B9)</f>
        <v>-40.655555555555544</v>
      </c>
      <c r="C12" s="114">
        <v>-731.79999999999984</v>
      </c>
      <c r="E12" s="29" t="s">
        <v>69</v>
      </c>
      <c r="F12" s="26" t="s">
        <v>24</v>
      </c>
      <c r="G12" s="14">
        <v>7</v>
      </c>
      <c r="H12" s="92">
        <f>IF(B$19=0,0,G12/B$19)</f>
        <v>8.1395348837209308E-2</v>
      </c>
      <c r="I12" s="60">
        <v>9</v>
      </c>
      <c r="K12" s="7">
        <v>10</v>
      </c>
      <c r="L12" s="65">
        <v>26</v>
      </c>
      <c r="N12" s="79" t="s">
        <v>154</v>
      </c>
      <c r="O12" s="88">
        <f>IF(P12=0,0,Q12/P12)</f>
        <v>-2.8874999999999993</v>
      </c>
      <c r="P12" s="82">
        <v>16</v>
      </c>
      <c r="Q12" s="73">
        <v>-46.199999999999989</v>
      </c>
    </row>
    <row r="13" spans="1:17" x14ac:dyDescent="0.45">
      <c r="A13" s="22" t="s">
        <v>188</v>
      </c>
      <c r="B13" s="123">
        <f>AVERAGE(B10:B12)</f>
        <v>-1.2090740740740646</v>
      </c>
      <c r="C13" s="124"/>
      <c r="E13" s="29" t="s">
        <v>91</v>
      </c>
      <c r="F13" s="26" t="s">
        <v>46</v>
      </c>
      <c r="G13" s="14">
        <v>7</v>
      </c>
      <c r="H13" s="92">
        <f>IF(B$19=0,0,G13/B$19)</f>
        <v>8.1395348837209308E-2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8</v>
      </c>
      <c r="C14" s="11">
        <f t="shared" si="1"/>
        <v>0.1951219512195122</v>
      </c>
      <c r="E14" s="29" t="s">
        <v>71</v>
      </c>
      <c r="F14" s="26" t="s">
        <v>26</v>
      </c>
      <c r="G14" s="14">
        <v>5</v>
      </c>
      <c r="H14" s="92">
        <f>IF(B$19=0,0,G14/B$19)</f>
        <v>5.8139534883720929E-2</v>
      </c>
      <c r="I14" s="60">
        <v>7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94</v>
      </c>
      <c r="C15" s="12">
        <f>IF(B$3=0,0,B15/B$3)</f>
        <v>0.29283489096573206</v>
      </c>
      <c r="E15" s="29" t="s">
        <v>79</v>
      </c>
      <c r="F15" s="26" t="s">
        <v>34</v>
      </c>
      <c r="G15" s="14">
        <v>3</v>
      </c>
      <c r="H15" s="92">
        <f>IF(B$19=0,0,G15/B$19)</f>
        <v>3.4883720930232558E-2</v>
      </c>
      <c r="I15" s="60">
        <v>3</v>
      </c>
      <c r="K15" s="7">
        <v>13</v>
      </c>
      <c r="L15" s="65">
        <v>-33.5</v>
      </c>
      <c r="N15" s="77" t="s">
        <v>189</v>
      </c>
      <c r="O15" s="86">
        <f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68</v>
      </c>
      <c r="C16" s="8">
        <f>IF(B$3=0,0,B16/B$3)</f>
        <v>0.21183800623052959</v>
      </c>
      <c r="E16" s="29" t="s">
        <v>81</v>
      </c>
      <c r="F16" s="26" t="s">
        <v>36</v>
      </c>
      <c r="G16" s="14">
        <v>3</v>
      </c>
      <c r="H16" s="92">
        <f>IF(B$19=0,0,G16/B$19)</f>
        <v>3.4883720930232558E-2</v>
      </c>
      <c r="I16" s="60">
        <v>2</v>
      </c>
      <c r="K16" s="7">
        <v>14</v>
      </c>
      <c r="L16" s="65">
        <v>15.100000000000001</v>
      </c>
      <c r="N16" s="78" t="s">
        <v>213</v>
      </c>
      <c r="O16" s="87">
        <f>IF(P16=0,0,Q16/P16)</f>
        <v>9.1222222222222218</v>
      </c>
      <c r="P16" s="81">
        <v>9</v>
      </c>
      <c r="Q16" s="72">
        <v>82.1</v>
      </c>
    </row>
    <row r="17" spans="1:17" x14ac:dyDescent="0.45">
      <c r="A17" s="20" t="s">
        <v>123</v>
      </c>
      <c r="B17" s="13">
        <f>B23</f>
        <v>40</v>
      </c>
      <c r="C17" s="6">
        <f>IF(B$15=0,0,B17/B$15)</f>
        <v>0.42553191489361702</v>
      </c>
      <c r="E17" s="29" t="s">
        <v>78</v>
      </c>
      <c r="F17" s="26" t="s">
        <v>33</v>
      </c>
      <c r="G17" s="14">
        <v>2</v>
      </c>
      <c r="H17" s="92">
        <f>IF(B$19=0,0,G17/B$19)</f>
        <v>2.3255813953488372E-2</v>
      </c>
      <c r="I17" s="60">
        <v>7</v>
      </c>
      <c r="K17" s="7">
        <v>15</v>
      </c>
      <c r="L17" s="65">
        <v>-33.1</v>
      </c>
      <c r="N17" s="78" t="s">
        <v>192</v>
      </c>
      <c r="O17" s="87">
        <f>IF(P17=0,0,Q17/P17)</f>
        <v>6.9411764705882337</v>
      </c>
      <c r="P17" s="81">
        <v>17</v>
      </c>
      <c r="Q17" s="72">
        <v>117.99999999999997</v>
      </c>
    </row>
    <row r="18" spans="1:17" x14ac:dyDescent="0.45">
      <c r="A18" s="20" t="s">
        <v>124</v>
      </c>
      <c r="B18" s="13">
        <f>B24</f>
        <v>27</v>
      </c>
      <c r="C18" s="6">
        <f>IF(B$16=0,0,B18/B$16)</f>
        <v>0.39705882352941174</v>
      </c>
      <c r="E18" s="29" t="s">
        <v>83</v>
      </c>
      <c r="F18" s="26" t="s">
        <v>38</v>
      </c>
      <c r="G18" s="14">
        <v>2</v>
      </c>
      <c r="H18" s="92">
        <f>IF(B$19=0,0,G18/B$19)</f>
        <v>2.3255813953488372E-2</v>
      </c>
      <c r="I18" s="60">
        <v>7</v>
      </c>
      <c r="K18" s="7">
        <v>16</v>
      </c>
      <c r="L18" s="65">
        <v>-10.8</v>
      </c>
      <c r="N18" s="78" t="s">
        <v>205</v>
      </c>
      <c r="O18" s="87">
        <f>IF(P18=0,0,Q18/P18)</f>
        <v>5.5333333333333323</v>
      </c>
      <c r="P18" s="81">
        <v>6</v>
      </c>
      <c r="Q18" s="72">
        <v>33.199999999999996</v>
      </c>
    </row>
    <row r="19" spans="1:17" x14ac:dyDescent="0.45">
      <c r="A19" s="20" t="s">
        <v>10</v>
      </c>
      <c r="B19" s="13">
        <f>B22+B21</f>
        <v>86</v>
      </c>
      <c r="C19" s="6">
        <f>IF(B$3=0,0,B19/B$3)</f>
        <v>0.26791277258566976</v>
      </c>
      <c r="E19" s="29" t="s">
        <v>92</v>
      </c>
      <c r="F19" s="26" t="s">
        <v>47</v>
      </c>
      <c r="G19" s="14">
        <v>2</v>
      </c>
      <c r="H19" s="92">
        <f>IF(B$19=0,0,G19/B$19)</f>
        <v>2.3255813953488372E-2</v>
      </c>
      <c r="I19" s="60">
        <v>2</v>
      </c>
      <c r="K19" s="7">
        <v>17</v>
      </c>
      <c r="L19" s="65">
        <v>-32.900000000000006</v>
      </c>
      <c r="N19" s="78" t="s">
        <v>196</v>
      </c>
      <c r="O19" s="87">
        <f>IF(P19=0,0,Q19/P19)</f>
        <v>-0.29999999999999244</v>
      </c>
      <c r="P19" s="81">
        <v>3</v>
      </c>
      <c r="Q19" s="72">
        <v>-0.89999999999997726</v>
      </c>
    </row>
    <row r="20" spans="1:17" x14ac:dyDescent="0.45">
      <c r="A20" s="21" t="s">
        <v>13</v>
      </c>
      <c r="B20" s="14">
        <v>68</v>
      </c>
      <c r="C20" s="8">
        <f>IF(B$3=0,0,B20/B$3)</f>
        <v>0.21183800623052959</v>
      </c>
      <c r="E20" s="29" t="s">
        <v>75</v>
      </c>
      <c r="F20" s="26" t="s">
        <v>30</v>
      </c>
      <c r="G20" s="14">
        <v>1</v>
      </c>
      <c r="H20" s="92">
        <f>IF(B$19=0,0,G20/B$19)</f>
        <v>1.1627906976744186E-2</v>
      </c>
      <c r="I20" s="60">
        <v>2</v>
      </c>
      <c r="K20" s="7">
        <v>18</v>
      </c>
      <c r="L20" s="65">
        <v>-69.300000000000011</v>
      </c>
      <c r="N20" s="78" t="s">
        <v>126</v>
      </c>
      <c r="O20" s="87">
        <f>IF(P20=0,0,Q20/P20)</f>
        <v>-10.993548387096766</v>
      </c>
      <c r="P20" s="81">
        <v>31</v>
      </c>
      <c r="Q20" s="72">
        <v>-340.79999999999973</v>
      </c>
    </row>
    <row r="21" spans="1:17" x14ac:dyDescent="0.45">
      <c r="A21" s="21" t="s">
        <v>12</v>
      </c>
      <c r="B21" s="14">
        <v>35</v>
      </c>
      <c r="C21" s="8">
        <f>IF(B$19=0,0,B21/B$19)</f>
        <v>0.40697674418604651</v>
      </c>
      <c r="E21" s="29" t="s">
        <v>97</v>
      </c>
      <c r="F21" s="26" t="s">
        <v>52</v>
      </c>
      <c r="G21" s="14">
        <v>1</v>
      </c>
      <c r="H21" s="92">
        <f>IF(B$19=0,0,G21/B$19)</f>
        <v>1.1627906976744186E-2</v>
      </c>
      <c r="I21" s="60">
        <v>1</v>
      </c>
      <c r="K21" s="7">
        <v>19</v>
      </c>
      <c r="L21" s="65">
        <v>-44.500000000000014</v>
      </c>
      <c r="N21" s="78" t="s">
        <v>193</v>
      </c>
      <c r="O21" s="87">
        <f>IF(P21=0,0,Q21/P21)</f>
        <v>-33.971428571428568</v>
      </c>
      <c r="P21" s="81">
        <v>7</v>
      </c>
      <c r="Q21" s="72">
        <v>-237.79999999999998</v>
      </c>
    </row>
    <row r="22" spans="1:17" x14ac:dyDescent="0.45">
      <c r="A22" s="21" t="s">
        <v>11</v>
      </c>
      <c r="B22" s="14">
        <v>51</v>
      </c>
      <c r="C22" s="8">
        <f>IF(B$19=0,0,B22/B$19)</f>
        <v>0.59302325581395354</v>
      </c>
      <c r="E22" s="29" t="s">
        <v>156</v>
      </c>
      <c r="F22" s="26" t="s">
        <v>157</v>
      </c>
      <c r="G22" s="14">
        <v>1</v>
      </c>
      <c r="H22" s="92">
        <f>IF(B$19=0,0,G22/B$19)</f>
        <v>1.1627906976744186E-2</v>
      </c>
      <c r="I22" s="60">
        <v>4</v>
      </c>
      <c r="K22" s="7">
        <v>20</v>
      </c>
      <c r="L22" s="65">
        <v>-72.000000000000014</v>
      </c>
      <c r="N22" s="78" t="s">
        <v>194</v>
      </c>
      <c r="O22" s="87">
        <f>IF(P22=0,0,Q22/P22)</f>
        <v>-41.02</v>
      </c>
      <c r="P22" s="81">
        <v>5</v>
      </c>
      <c r="Q22" s="72">
        <v>-205.10000000000002</v>
      </c>
    </row>
    <row r="23" spans="1:17" x14ac:dyDescent="0.45">
      <c r="A23" s="21" t="s">
        <v>184</v>
      </c>
      <c r="B23" s="14">
        <v>40</v>
      </c>
      <c r="C23" s="8">
        <f>IF(B$19=0,0,B23/B$19)</f>
        <v>0.46511627906976744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27</v>
      </c>
      <c r="C24" s="8">
        <f>IF(B$19=0,0,B24/B$19)</f>
        <v>0.31395348837209303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19</v>
      </c>
      <c r="C25" s="8">
        <f>IF(B$19=0,0,B25/B$19)</f>
        <v>0.22093023255813954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10467.441860465116</v>
      </c>
      <c r="C26" s="10">
        <v>900200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11325.423728813559</v>
      </c>
      <c r="C27" s="100">
        <v>668200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8592.5925925925931</v>
      </c>
      <c r="C28" s="100">
        <v>232000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-8425</v>
      </c>
      <c r="C29" s="100">
        <v>-572900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2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20</v>
      </c>
      <c r="C31" s="94">
        <v>3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6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2</v>
      </c>
      <c r="C34" s="11">
        <f>IF(B$3=0,0,B34/B$3)</f>
        <v>6.2305295950155761E-3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2</v>
      </c>
      <c r="C36" s="102">
        <f t="shared" ref="C36:C48" si="2">IF(B$19=0,0,B36/B$19)</f>
        <v>2.3255813953488372E-2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12</v>
      </c>
      <c r="C37" s="8">
        <f t="shared" si="2"/>
        <v>0.13953488372093023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7</v>
      </c>
      <c r="C38" s="8">
        <f t="shared" si="2"/>
        <v>8.1395348837209308E-2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23</v>
      </c>
      <c r="C39" s="8">
        <f t="shared" si="2"/>
        <v>0.26744186046511625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17</v>
      </c>
      <c r="C40" s="8">
        <f t="shared" si="2"/>
        <v>0.19767441860465115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8</v>
      </c>
      <c r="C41" s="8">
        <f t="shared" si="2"/>
        <v>9.3023255813953487E-2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8</v>
      </c>
      <c r="C42" s="8">
        <f t="shared" si="2"/>
        <v>9.3023255813953487E-2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4</v>
      </c>
      <c r="C43" s="8">
        <f t="shared" si="2"/>
        <v>4.6511627906976744E-2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5">
      <c r="A44" s="21" t="s">
        <v>176</v>
      </c>
      <c r="B44" s="122">
        <v>1</v>
      </c>
      <c r="C44" s="8">
        <f t="shared" si="2"/>
        <v>1.1627906976744186E-2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1</v>
      </c>
      <c r="C47" s="8">
        <f t="shared" si="2"/>
        <v>1.1627906976744186E-2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3</v>
      </c>
      <c r="C48" s="11">
        <f t="shared" si="2"/>
        <v>3.4883720930232558E-2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4F0F-E2E4-4296-A85D-5D9CA8D53836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7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10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2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7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1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9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92668-9C47-448B-932A-92682CA73ED9}">
  <sheetPr codeName="Sheet11"/>
  <dimension ref="A1:Q55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53</v>
      </c>
      <c r="C2" s="132"/>
      <c r="E2" s="28" t="s">
        <v>66</v>
      </c>
      <c r="F2" s="25" t="s">
        <v>22</v>
      </c>
      <c r="G2" s="13">
        <v>95</v>
      </c>
      <c r="H2" s="91">
        <f>IF(B$19=0,0,G2/B$19)</f>
        <v>0.70370370370370372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-298.11320754716979</v>
      </c>
      <c r="P2" s="80">
        <v>53</v>
      </c>
      <c r="Q2" s="67">
        <v>-15800</v>
      </c>
    </row>
    <row r="3" spans="1:17" x14ac:dyDescent="0.45">
      <c r="A3" s="21" t="s">
        <v>8</v>
      </c>
      <c r="B3" s="133">
        <v>407</v>
      </c>
      <c r="C3" s="134"/>
      <c r="E3" s="29" t="s">
        <v>160</v>
      </c>
      <c r="F3" s="26" t="s">
        <v>161</v>
      </c>
      <c r="G3" s="14">
        <v>62</v>
      </c>
      <c r="H3" s="92">
        <f>IF(B$19=0,0,G3/B$19)</f>
        <v>0.45925925925925926</v>
      </c>
      <c r="I3" s="60">
        <v>3</v>
      </c>
      <c r="K3" s="7">
        <v>1</v>
      </c>
      <c r="L3" s="65">
        <v>39.200000000000003</v>
      </c>
      <c r="N3" s="78" t="s">
        <v>129</v>
      </c>
      <c r="O3" s="84">
        <f t="shared" si="0"/>
        <v>4455.7692307692305</v>
      </c>
      <c r="P3" s="81">
        <v>52</v>
      </c>
      <c r="Q3" s="68">
        <v>231700</v>
      </c>
    </row>
    <row r="4" spans="1:17" x14ac:dyDescent="0.45">
      <c r="A4" s="21" t="s">
        <v>6</v>
      </c>
      <c r="B4" s="135">
        <v>605.20000000000005</v>
      </c>
      <c r="C4" s="136"/>
      <c r="E4" s="29" t="s">
        <v>72</v>
      </c>
      <c r="F4" s="26" t="s">
        <v>27</v>
      </c>
      <c r="G4" s="14">
        <v>61</v>
      </c>
      <c r="H4" s="92">
        <f>IF(B$19=0,0,G4/B$19)</f>
        <v>0.45185185185185184</v>
      </c>
      <c r="I4" s="60">
        <v>8</v>
      </c>
      <c r="K4" s="7">
        <v>2</v>
      </c>
      <c r="L4" s="65">
        <v>99.6</v>
      </c>
      <c r="N4" s="78" t="s">
        <v>130</v>
      </c>
      <c r="O4" s="84">
        <f t="shared" si="0"/>
        <v>4010.204081632653</v>
      </c>
      <c r="P4" s="81">
        <v>49</v>
      </c>
      <c r="Q4" s="68">
        <v>196500</v>
      </c>
    </row>
    <row r="5" spans="1:17" x14ac:dyDescent="0.45">
      <c r="A5" s="21" t="s">
        <v>7</v>
      </c>
      <c r="B5" s="123">
        <f>IF(B$2=0,0,B$4/B$2)</f>
        <v>11.418867924528303</v>
      </c>
      <c r="C5" s="124"/>
      <c r="E5" s="29" t="s">
        <v>64</v>
      </c>
      <c r="F5" s="26" t="s">
        <v>20</v>
      </c>
      <c r="G5" s="14">
        <v>60</v>
      </c>
      <c r="H5" s="92">
        <f>IF(B$19=0,0,G5/B$19)</f>
        <v>0.44444444444444442</v>
      </c>
      <c r="I5" s="60">
        <v>8</v>
      </c>
      <c r="K5" s="7">
        <v>3</v>
      </c>
      <c r="L5" s="65">
        <v>98.1</v>
      </c>
      <c r="N5" s="78" t="s">
        <v>131</v>
      </c>
      <c r="O5" s="84">
        <f t="shared" si="0"/>
        <v>2526.1904761904761</v>
      </c>
      <c r="P5" s="81">
        <v>42</v>
      </c>
      <c r="Q5" s="68">
        <v>106100</v>
      </c>
    </row>
    <row r="6" spans="1:17" x14ac:dyDescent="0.45">
      <c r="A6" s="21" t="s">
        <v>1</v>
      </c>
      <c r="B6" s="137">
        <f>IF(B$2=0,0,(B$7*1+B$8*2+B$9*3)/B$2)</f>
        <v>1.7735849056603774</v>
      </c>
      <c r="C6" s="138"/>
      <c r="E6" s="29" t="s">
        <v>68</v>
      </c>
      <c r="F6" s="26" t="s">
        <v>12</v>
      </c>
      <c r="G6" s="14">
        <v>53</v>
      </c>
      <c r="H6" s="92">
        <f>IF(B$19=0,0,G6/B$19)</f>
        <v>0.3925925925925926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-1247.3684210526317</v>
      </c>
      <c r="P6" s="81">
        <v>38</v>
      </c>
      <c r="Q6" s="68">
        <v>-47400</v>
      </c>
    </row>
    <row r="7" spans="1:17" x14ac:dyDescent="0.45">
      <c r="A7" s="21" t="s">
        <v>2</v>
      </c>
      <c r="B7" s="14">
        <v>23</v>
      </c>
      <c r="C7" s="8">
        <f t="shared" ref="C7:C14" si="1">IF(B$2=0,0,B7/B$2)</f>
        <v>0.43396226415094341</v>
      </c>
      <c r="E7" s="29" t="s">
        <v>67</v>
      </c>
      <c r="F7" s="26" t="s">
        <v>23</v>
      </c>
      <c r="G7" s="14">
        <v>35</v>
      </c>
      <c r="H7" s="92">
        <f>IF(B$19=0,0,G7/B$19)</f>
        <v>0.25925925925925924</v>
      </c>
      <c r="I7" s="60">
        <v>3</v>
      </c>
      <c r="K7" s="7">
        <v>5</v>
      </c>
      <c r="L7" s="65">
        <v>143.1</v>
      </c>
      <c r="N7" s="79" t="s">
        <v>133</v>
      </c>
      <c r="O7" s="85">
        <f t="shared" si="0"/>
        <v>1416.6666666666667</v>
      </c>
      <c r="P7" s="82">
        <v>30</v>
      </c>
      <c r="Q7" s="69">
        <v>42500</v>
      </c>
    </row>
    <row r="8" spans="1:17" x14ac:dyDescent="0.45">
      <c r="A8" s="21" t="s">
        <v>3</v>
      </c>
      <c r="B8" s="14">
        <v>19</v>
      </c>
      <c r="C8" s="8">
        <f t="shared" si="1"/>
        <v>0.35849056603773582</v>
      </c>
      <c r="E8" s="29" t="s">
        <v>69</v>
      </c>
      <c r="F8" s="26" t="s">
        <v>24</v>
      </c>
      <c r="G8" s="14">
        <v>25</v>
      </c>
      <c r="H8" s="92">
        <f>IF(B$19=0,0,G8/B$19)</f>
        <v>0.18518518518518517</v>
      </c>
      <c r="I8" s="60">
        <v>1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11</v>
      </c>
      <c r="C9" s="9">
        <f t="shared" si="1"/>
        <v>0.20754716981132076</v>
      </c>
      <c r="E9" s="29" t="s">
        <v>89</v>
      </c>
      <c r="F9" s="26" t="s">
        <v>44</v>
      </c>
      <c r="G9" s="14">
        <v>22</v>
      </c>
      <c r="H9" s="92">
        <f>IF(B$19=0,0,G9/B$19)</f>
        <v>0.16296296296296298</v>
      </c>
      <c r="I9" s="60">
        <v>3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45.013043478260869</v>
      </c>
      <c r="C10" s="114">
        <v>1035.3</v>
      </c>
      <c r="E10" s="29" t="s">
        <v>65</v>
      </c>
      <c r="F10" s="26" t="s">
        <v>21</v>
      </c>
      <c r="G10" s="14">
        <v>14</v>
      </c>
      <c r="H10" s="92">
        <f>IF(B$19=0,0,G10/B$19)</f>
        <v>0.1037037037037037</v>
      </c>
      <c r="I10" s="60">
        <v>5</v>
      </c>
      <c r="K10" s="7">
        <v>8</v>
      </c>
      <c r="L10" s="65">
        <v>132.6</v>
      </c>
      <c r="N10" s="77" t="s">
        <v>152</v>
      </c>
      <c r="O10" s="86">
        <f>IF(P10=0,0,Q10/P10)</f>
        <v>-0.29333333333333322</v>
      </c>
      <c r="P10" s="80">
        <v>15</v>
      </c>
      <c r="Q10" s="71">
        <v>-4.3999999999999986</v>
      </c>
    </row>
    <row r="11" spans="1:17" x14ac:dyDescent="0.45">
      <c r="A11" s="22" t="s">
        <v>186</v>
      </c>
      <c r="B11" s="113">
        <f>IF(B8=0,0,C11/B8)</f>
        <v>0.59473684210526323</v>
      </c>
      <c r="C11" s="114">
        <v>11.3</v>
      </c>
      <c r="E11" s="29" t="s">
        <v>71</v>
      </c>
      <c r="F11" s="26" t="s">
        <v>26</v>
      </c>
      <c r="G11" s="14">
        <v>13</v>
      </c>
      <c r="H11" s="92">
        <f>IF(B$19=0,0,G11/B$19)</f>
        <v>9.6296296296296297E-2</v>
      </c>
      <c r="I11" s="60">
        <v>3</v>
      </c>
      <c r="K11" s="7">
        <v>9</v>
      </c>
      <c r="L11" s="65">
        <v>151.29999999999998</v>
      </c>
      <c r="N11" s="78" t="s">
        <v>153</v>
      </c>
      <c r="O11" s="87">
        <f>IF(P11=0,0,Q11/P11)</f>
        <v>11.644999999999996</v>
      </c>
      <c r="P11" s="81">
        <v>20</v>
      </c>
      <c r="Q11" s="72">
        <v>232.89999999999992</v>
      </c>
    </row>
    <row r="12" spans="1:17" x14ac:dyDescent="0.45">
      <c r="A12" s="22" t="s">
        <v>187</v>
      </c>
      <c r="B12" s="113">
        <f>IF(B9=0,0,C12/B9)</f>
        <v>-40.127272727272732</v>
      </c>
      <c r="C12" s="114">
        <v>-441.40000000000003</v>
      </c>
      <c r="E12" s="29" t="s">
        <v>86</v>
      </c>
      <c r="F12" s="26" t="s">
        <v>41</v>
      </c>
      <c r="G12" s="14">
        <v>11</v>
      </c>
      <c r="H12" s="92">
        <f>IF(B$19=0,0,G12/B$19)</f>
        <v>8.1481481481481488E-2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20.927777777777784</v>
      </c>
      <c r="P12" s="82">
        <v>18</v>
      </c>
      <c r="Q12" s="73">
        <v>376.7000000000001</v>
      </c>
    </row>
    <row r="13" spans="1:17" x14ac:dyDescent="0.45">
      <c r="A13" s="22" t="s">
        <v>188</v>
      </c>
      <c r="B13" s="123">
        <f>AVERAGE(B10:B12)</f>
        <v>1.8268358643644664</v>
      </c>
      <c r="C13" s="124"/>
      <c r="E13" s="29" t="s">
        <v>70</v>
      </c>
      <c r="F13" s="26" t="s">
        <v>25</v>
      </c>
      <c r="G13" s="14">
        <v>10</v>
      </c>
      <c r="H13" s="92">
        <f>IF(B$19=0,0,G13/B$19)</f>
        <v>7.407407407407407E-2</v>
      </c>
      <c r="I13" s="60">
        <v>5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5.6603773584905662E-2</v>
      </c>
      <c r="E14" s="29" t="s">
        <v>83</v>
      </c>
      <c r="F14" s="26" t="s">
        <v>38</v>
      </c>
      <c r="G14" s="14">
        <v>7</v>
      </c>
      <c r="H14" s="92">
        <f>IF(B$19=0,0,G14/B$19)</f>
        <v>5.185185185185185E-2</v>
      </c>
      <c r="I14" s="60">
        <v>6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105</v>
      </c>
      <c r="C15" s="12">
        <f>IF(B$3=0,0,B15/B$3)</f>
        <v>0.25798525798525801</v>
      </c>
      <c r="E15" s="29" t="s">
        <v>156</v>
      </c>
      <c r="F15" s="26" t="s">
        <v>157</v>
      </c>
      <c r="G15" s="14">
        <v>4</v>
      </c>
      <c r="H15" s="92">
        <f>IF(B$19=0,0,G15/B$19)</f>
        <v>2.9629629629629631E-2</v>
      </c>
      <c r="I15" s="60">
        <v>1</v>
      </c>
      <c r="K15" s="7">
        <v>13</v>
      </c>
      <c r="L15" s="65">
        <v>197</v>
      </c>
      <c r="N15" s="77" t="s">
        <v>196</v>
      </c>
      <c r="O15" s="86">
        <f>IF(P15=0,0,Q15/P15)</f>
        <v>34.9</v>
      </c>
      <c r="P15" s="80">
        <v>2</v>
      </c>
      <c r="Q15" s="71">
        <v>69.8</v>
      </c>
    </row>
    <row r="16" spans="1:17" x14ac:dyDescent="0.45">
      <c r="A16" s="21" t="s">
        <v>118</v>
      </c>
      <c r="B16" s="14">
        <v>67</v>
      </c>
      <c r="C16" s="8">
        <f>IF(B$3=0,0,B16/B$3)</f>
        <v>0.16461916461916462</v>
      </c>
      <c r="E16" s="29" t="s">
        <v>81</v>
      </c>
      <c r="F16" s="26" t="s">
        <v>36</v>
      </c>
      <c r="G16" s="14">
        <v>3</v>
      </c>
      <c r="H16" s="92">
        <f>IF(B$19=0,0,G16/B$19)</f>
        <v>2.2222222222222223E-2</v>
      </c>
      <c r="I16" s="60">
        <v>6</v>
      </c>
      <c r="K16" s="7">
        <v>14</v>
      </c>
      <c r="L16" s="65">
        <v>249.2</v>
      </c>
      <c r="N16" s="78" t="s">
        <v>189</v>
      </c>
      <c r="O16" s="87">
        <f>IF(P16=0,0,Q16/P16)</f>
        <v>29.983333333333331</v>
      </c>
      <c r="P16" s="81">
        <v>6</v>
      </c>
      <c r="Q16" s="72">
        <v>179.89999999999998</v>
      </c>
    </row>
    <row r="17" spans="1:17" x14ac:dyDescent="0.45">
      <c r="A17" s="20" t="s">
        <v>123</v>
      </c>
      <c r="B17" s="13">
        <f>B23</f>
        <v>66</v>
      </c>
      <c r="C17" s="6">
        <f>IF(B$15=0,0,B17/B$15)</f>
        <v>0.62857142857142856</v>
      </c>
      <c r="E17" s="29" t="s">
        <v>92</v>
      </c>
      <c r="F17" s="26" t="s">
        <v>47</v>
      </c>
      <c r="G17" s="14">
        <v>3</v>
      </c>
      <c r="H17" s="92">
        <f>IF(B$19=0,0,G17/B$19)</f>
        <v>2.2222222222222223E-2</v>
      </c>
      <c r="I17" s="60">
        <v>3</v>
      </c>
      <c r="K17" s="7">
        <v>15</v>
      </c>
      <c r="L17" s="65">
        <v>213.5</v>
      </c>
      <c r="N17" s="78" t="s">
        <v>194</v>
      </c>
      <c r="O17" s="87">
        <f>IF(P17=0,0,Q17/P17)</f>
        <v>28.627272727272736</v>
      </c>
      <c r="P17" s="81">
        <v>11</v>
      </c>
      <c r="Q17" s="72">
        <v>314.90000000000009</v>
      </c>
    </row>
    <row r="18" spans="1:17" x14ac:dyDescent="0.45">
      <c r="A18" s="20" t="s">
        <v>124</v>
      </c>
      <c r="B18" s="13">
        <f>B24</f>
        <v>34</v>
      </c>
      <c r="C18" s="6">
        <f>IF(B$16=0,0,B18/B$16)</f>
        <v>0.5074626865671642</v>
      </c>
      <c r="E18" s="29" t="s">
        <v>78</v>
      </c>
      <c r="F18" s="26" t="s">
        <v>33</v>
      </c>
      <c r="G18" s="14">
        <v>2</v>
      </c>
      <c r="H18" s="92">
        <f>IF(B$19=0,0,G18/B$19)</f>
        <v>1.4814814814814815E-2</v>
      </c>
      <c r="I18" s="60">
        <v>8</v>
      </c>
      <c r="K18" s="7">
        <v>16</v>
      </c>
      <c r="L18" s="65">
        <v>273.8</v>
      </c>
      <c r="N18" s="78" t="s">
        <v>192</v>
      </c>
      <c r="O18" s="87">
        <f>IF(P18=0,0,Q18/P18)</f>
        <v>22.24545454545455</v>
      </c>
      <c r="P18" s="81">
        <v>22</v>
      </c>
      <c r="Q18" s="72">
        <v>489.40000000000009</v>
      </c>
    </row>
    <row r="19" spans="1:17" x14ac:dyDescent="0.45">
      <c r="A19" s="20" t="s">
        <v>10</v>
      </c>
      <c r="B19" s="13">
        <f>B22+B21</f>
        <v>135</v>
      </c>
      <c r="C19" s="6">
        <f>IF(B$3=0,0,B19/B$3)</f>
        <v>0.33169533169533172</v>
      </c>
      <c r="E19" s="29" t="s">
        <v>79</v>
      </c>
      <c r="F19" s="26" t="s">
        <v>34</v>
      </c>
      <c r="G19" s="14">
        <v>2</v>
      </c>
      <c r="H19" s="92">
        <f>IF(B$19=0,0,G19/B$19)</f>
        <v>1.4814814814814815E-2</v>
      </c>
      <c r="I19" s="60">
        <v>5</v>
      </c>
      <c r="K19" s="7">
        <v>17</v>
      </c>
      <c r="L19" s="65">
        <v>242.8</v>
      </c>
      <c r="N19" s="78" t="s">
        <v>193</v>
      </c>
      <c r="O19" s="87">
        <f>IF(P19=0,0,Q19/P19)</f>
        <v>21.374999999999996</v>
      </c>
      <c r="P19" s="81">
        <v>12</v>
      </c>
      <c r="Q19" s="72">
        <v>256.49999999999994</v>
      </c>
    </row>
    <row r="20" spans="1:17" x14ac:dyDescent="0.45">
      <c r="A20" s="21" t="s">
        <v>13</v>
      </c>
      <c r="B20" s="14">
        <v>59</v>
      </c>
      <c r="C20" s="8">
        <f>IF(B$3=0,0,B20/B$3)</f>
        <v>0.14496314496314497</v>
      </c>
      <c r="E20" s="29" t="s">
        <v>91</v>
      </c>
      <c r="F20" s="26" t="s">
        <v>46</v>
      </c>
      <c r="G20" s="14">
        <v>2</v>
      </c>
      <c r="H20" s="92">
        <f>IF(B$19=0,0,G20/B$19)</f>
        <v>1.4814814814814815E-2</v>
      </c>
      <c r="I20" s="60">
        <v>5</v>
      </c>
      <c r="K20" s="7">
        <v>18</v>
      </c>
      <c r="L20" s="65">
        <v>280</v>
      </c>
      <c r="N20" s="78" t="s">
        <v>164</v>
      </c>
      <c r="O20" s="87">
        <f>IF(P20=0,0,Q20/P20)</f>
        <v>10.993548387096769</v>
      </c>
      <c r="P20" s="81">
        <v>31</v>
      </c>
      <c r="Q20" s="72">
        <v>340.79999999999984</v>
      </c>
    </row>
    <row r="21" spans="1:17" x14ac:dyDescent="0.45">
      <c r="A21" s="21" t="s">
        <v>12</v>
      </c>
      <c r="B21" s="14">
        <v>70</v>
      </c>
      <c r="C21" s="8">
        <f>IF(B$19=0,0,B21/B$19)</f>
        <v>0.51851851851851849</v>
      </c>
      <c r="E21" s="29" t="s">
        <v>93</v>
      </c>
      <c r="F21" s="26" t="s">
        <v>48</v>
      </c>
      <c r="G21" s="14">
        <v>2</v>
      </c>
      <c r="H21" s="92">
        <f>IF(B$19=0,0,G21/B$19)</f>
        <v>1.4814814814814815E-2</v>
      </c>
      <c r="I21" s="60">
        <v>1</v>
      </c>
      <c r="K21" s="7">
        <v>19</v>
      </c>
      <c r="L21" s="65">
        <v>281.5</v>
      </c>
      <c r="N21" s="78" t="s">
        <v>205</v>
      </c>
      <c r="O21" s="87">
        <f>IF(P21=0,0,Q21/P21)</f>
        <v>9.3538461538461526</v>
      </c>
      <c r="P21" s="81">
        <v>13</v>
      </c>
      <c r="Q21" s="72">
        <v>121.6</v>
      </c>
    </row>
    <row r="22" spans="1:17" x14ac:dyDescent="0.45">
      <c r="A22" s="21" t="s">
        <v>11</v>
      </c>
      <c r="B22" s="14">
        <v>65</v>
      </c>
      <c r="C22" s="8">
        <f>IF(B$19=0,0,B22/B$19)</f>
        <v>0.48148148148148145</v>
      </c>
      <c r="E22" s="29" t="s">
        <v>73</v>
      </c>
      <c r="F22" s="26" t="s">
        <v>28</v>
      </c>
      <c r="G22" s="14">
        <v>1</v>
      </c>
      <c r="H22" s="92">
        <f>IF(B$19=0,0,G22/B$19)</f>
        <v>7.4074074074074077E-3</v>
      </c>
      <c r="I22" s="60">
        <v>2</v>
      </c>
      <c r="K22" s="7">
        <v>20</v>
      </c>
      <c r="L22" s="65">
        <v>287.2</v>
      </c>
      <c r="N22" s="78" t="s">
        <v>213</v>
      </c>
      <c r="O22" s="87">
        <f>IF(P22=0,0,Q22/P22)</f>
        <v>4.7444444444444436</v>
      </c>
      <c r="P22" s="81">
        <v>9</v>
      </c>
      <c r="Q22" s="72">
        <v>42.699999999999989</v>
      </c>
    </row>
    <row r="23" spans="1:17" x14ac:dyDescent="0.45">
      <c r="A23" s="21" t="s">
        <v>184</v>
      </c>
      <c r="B23" s="14">
        <v>66</v>
      </c>
      <c r="C23" s="8">
        <f>IF(B$19=0,0,B23/B$19)</f>
        <v>0.48888888888888887</v>
      </c>
      <c r="E23" s="29" t="s">
        <v>84</v>
      </c>
      <c r="F23" s="26" t="s">
        <v>39</v>
      </c>
      <c r="G23" s="14">
        <v>1</v>
      </c>
      <c r="H23" s="92">
        <f>IF(B$19=0,0,G23/B$19)</f>
        <v>7.4074074074074077E-3</v>
      </c>
      <c r="I23" s="60">
        <v>1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34</v>
      </c>
      <c r="C24" s="8">
        <f>IF(B$19=0,0,B24/B$19)</f>
        <v>0.25185185185185183</v>
      </c>
      <c r="E24" s="29" t="s">
        <v>87</v>
      </c>
      <c r="F24" s="26" t="s">
        <v>42</v>
      </c>
      <c r="G24" s="14">
        <v>1</v>
      </c>
      <c r="H24" s="92">
        <f>IF(B$19=0,0,G24/B$19)</f>
        <v>7.4074074074074077E-3</v>
      </c>
      <c r="I24" s="60">
        <v>2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35</v>
      </c>
      <c r="C25" s="8">
        <f>IF(B$19=0,0,B25/B$19)</f>
        <v>0.25925925925925924</v>
      </c>
      <c r="E25" s="29" t="s">
        <v>95</v>
      </c>
      <c r="F25" s="26" t="s">
        <v>50</v>
      </c>
      <c r="G25" s="14">
        <v>1</v>
      </c>
      <c r="H25" s="92">
        <f>IF(B$19=0,0,G25/B$19)</f>
        <v>7.4074074074074077E-3</v>
      </c>
      <c r="I25" s="60">
        <v>1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10108.888888888889</v>
      </c>
      <c r="C26" s="10">
        <v>1364700</v>
      </c>
      <c r="E26" s="29" t="s">
        <v>74</v>
      </c>
      <c r="F26" s="26" t="s">
        <v>29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10403.960396039603</v>
      </c>
      <c r="C27" s="100">
        <v>1050800</v>
      </c>
      <c r="E27" s="29" t="s">
        <v>75</v>
      </c>
      <c r="F27" s="26" t="s">
        <v>30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9232.3529411764703</v>
      </c>
      <c r="C28" s="100">
        <v>313900</v>
      </c>
      <c r="E28" s="29" t="s">
        <v>76</v>
      </c>
      <c r="F28" s="26" t="s">
        <v>31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-8622.0338983050842</v>
      </c>
      <c r="C29" s="100">
        <v>-508700</v>
      </c>
      <c r="E29" s="29" t="s">
        <v>77</v>
      </c>
      <c r="F29" s="26" t="s">
        <v>32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0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4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583.00000000000011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7</v>
      </c>
      <c r="C36" s="102">
        <f t="shared" ref="C36:C48" si="2">IF(B$19=0,0,B36/B$19)</f>
        <v>5.185185185185185E-2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20</v>
      </c>
      <c r="C37" s="8">
        <f t="shared" si="2"/>
        <v>0.14814814814814814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19</v>
      </c>
      <c r="C38" s="8">
        <f t="shared" si="2"/>
        <v>0.14074074074074075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29</v>
      </c>
      <c r="C39" s="8">
        <f t="shared" si="2"/>
        <v>0.21481481481481482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27</v>
      </c>
      <c r="C40" s="8">
        <f t="shared" si="2"/>
        <v>0.2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10</v>
      </c>
      <c r="C41" s="8">
        <f t="shared" si="2"/>
        <v>7.407407407407407E-2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7</v>
      </c>
      <c r="C42" s="8">
        <f t="shared" si="2"/>
        <v>5.185185185185185E-2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3</v>
      </c>
      <c r="C43" s="8">
        <f t="shared" si="2"/>
        <v>2.2222222222222223E-2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4</v>
      </c>
      <c r="C44" s="8">
        <f t="shared" si="2"/>
        <v>2.9629629629629631E-2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2</v>
      </c>
      <c r="C45" s="8">
        <f t="shared" si="2"/>
        <v>1.4814814814814815E-2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2"/>
        <v>7.4074074074074077E-3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6</v>
      </c>
      <c r="C48" s="11">
        <f t="shared" si="2"/>
        <v>4.4444444444444446E-2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  <row r="55" spans="5:12" x14ac:dyDescent="0.45">
      <c r="K55" s="7">
        <v>53</v>
      </c>
      <c r="L55" s="65">
        <v>605.20000000000005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A8B83-181D-4514-89CF-E448BF8F5106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22</v>
      </c>
      <c r="C2" s="132"/>
      <c r="E2" s="28" t="s">
        <v>66</v>
      </c>
      <c r="F2" s="25" t="s">
        <v>22</v>
      </c>
      <c r="G2" s="13">
        <v>28</v>
      </c>
      <c r="H2" s="91">
        <f>IF(B$19=0,0,G2/B$19)</f>
        <v>0.7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-4395.454545454545</v>
      </c>
      <c r="P2" s="80">
        <v>22</v>
      </c>
      <c r="Q2" s="67">
        <v>-96700</v>
      </c>
    </row>
    <row r="3" spans="1:17" x14ac:dyDescent="0.45">
      <c r="A3" s="21" t="s">
        <v>8</v>
      </c>
      <c r="B3" s="133">
        <v>158</v>
      </c>
      <c r="C3" s="134"/>
      <c r="E3" s="29" t="s">
        <v>64</v>
      </c>
      <c r="F3" s="26" t="s">
        <v>20</v>
      </c>
      <c r="G3" s="14">
        <v>19</v>
      </c>
      <c r="H3" s="92">
        <f>IF(B$19=0,0,G3/B$19)</f>
        <v>0.47499999999999998</v>
      </c>
      <c r="I3" s="60">
        <v>5</v>
      </c>
      <c r="K3" s="7">
        <v>1</v>
      </c>
      <c r="L3" s="65">
        <v>-55.5</v>
      </c>
      <c r="N3" s="78" t="s">
        <v>129</v>
      </c>
      <c r="O3" s="84">
        <f t="shared" si="0"/>
        <v>938.09523809523807</v>
      </c>
      <c r="P3" s="81">
        <v>21</v>
      </c>
      <c r="Q3" s="68">
        <v>19700</v>
      </c>
    </row>
    <row r="4" spans="1:17" x14ac:dyDescent="0.45">
      <c r="A4" s="21" t="s">
        <v>6</v>
      </c>
      <c r="B4" s="135">
        <v>-290.29999999999995</v>
      </c>
      <c r="C4" s="136"/>
      <c r="E4" s="29" t="s">
        <v>72</v>
      </c>
      <c r="F4" s="26" t="s">
        <v>27</v>
      </c>
      <c r="G4" s="14">
        <v>18</v>
      </c>
      <c r="H4" s="92">
        <f>IF(B$19=0,0,G4/B$19)</f>
        <v>0.45</v>
      </c>
      <c r="I4" s="60">
        <v>9</v>
      </c>
      <c r="K4" s="7">
        <v>2</v>
      </c>
      <c r="L4" s="65">
        <v>-106.5</v>
      </c>
      <c r="N4" s="78" t="s">
        <v>130</v>
      </c>
      <c r="O4" s="84">
        <f t="shared" si="0"/>
        <v>-4905.2631578947367</v>
      </c>
      <c r="P4" s="81">
        <v>19</v>
      </c>
      <c r="Q4" s="68">
        <v>-93200</v>
      </c>
    </row>
    <row r="5" spans="1:17" x14ac:dyDescent="0.45">
      <c r="A5" s="21" t="s">
        <v>7</v>
      </c>
      <c r="B5" s="123">
        <f>IF(B$2=0,0,B$4/B$2)</f>
        <v>-13.195454545454544</v>
      </c>
      <c r="C5" s="124"/>
      <c r="E5" s="29" t="s">
        <v>160</v>
      </c>
      <c r="F5" s="26" t="s">
        <v>161</v>
      </c>
      <c r="G5" s="14">
        <v>16</v>
      </c>
      <c r="H5" s="92">
        <f>IF(B$19=0,0,G5/B$19)</f>
        <v>0.4</v>
      </c>
      <c r="I5" s="60">
        <v>8</v>
      </c>
      <c r="K5" s="7">
        <v>3</v>
      </c>
      <c r="L5" s="65">
        <v>-108</v>
      </c>
      <c r="N5" s="78" t="s">
        <v>131</v>
      </c>
      <c r="O5" s="84">
        <f t="shared" si="0"/>
        <v>-206.66666666666666</v>
      </c>
      <c r="P5" s="81">
        <v>15</v>
      </c>
      <c r="Q5" s="68">
        <v>-3100</v>
      </c>
    </row>
    <row r="6" spans="1:17" x14ac:dyDescent="0.45">
      <c r="A6" s="21" t="s">
        <v>1</v>
      </c>
      <c r="B6" s="137">
        <f>IF(B$2=0,0,(B$7*1+B$8*2+B$9*3)/B$2)</f>
        <v>2.3636363636363638</v>
      </c>
      <c r="C6" s="138"/>
      <c r="E6" s="29" t="s">
        <v>68</v>
      </c>
      <c r="F6" s="26" t="s">
        <v>12</v>
      </c>
      <c r="G6" s="14">
        <v>13</v>
      </c>
      <c r="H6" s="92">
        <f>IF(B$19=0,0,G6/B$19)</f>
        <v>0.32500000000000001</v>
      </c>
      <c r="I6" s="60">
        <v>4</v>
      </c>
      <c r="K6" s="7">
        <v>4</v>
      </c>
      <c r="L6" s="65">
        <v>-115.5</v>
      </c>
      <c r="N6" s="78" t="s">
        <v>132</v>
      </c>
      <c r="O6" s="84">
        <f t="shared" si="0"/>
        <v>1372.7272727272727</v>
      </c>
      <c r="P6" s="81">
        <v>11</v>
      </c>
      <c r="Q6" s="68">
        <v>15100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0.13636363636363635</v>
      </c>
      <c r="E7" s="29" t="s">
        <v>67</v>
      </c>
      <c r="F7" s="26" t="s">
        <v>23</v>
      </c>
      <c r="G7" s="14">
        <v>9</v>
      </c>
      <c r="H7" s="92">
        <f>IF(B$19=0,0,G7/B$19)</f>
        <v>0.22500000000000001</v>
      </c>
      <c r="I7" s="60">
        <v>6</v>
      </c>
      <c r="K7" s="7">
        <v>5</v>
      </c>
      <c r="L7" s="65">
        <v>-116</v>
      </c>
      <c r="N7" s="79" t="s">
        <v>133</v>
      </c>
      <c r="O7" s="85">
        <f t="shared" si="0"/>
        <v>-4855.5555555555557</v>
      </c>
      <c r="P7" s="82">
        <v>9</v>
      </c>
      <c r="Q7" s="69">
        <v>-43700</v>
      </c>
    </row>
    <row r="8" spans="1:17" x14ac:dyDescent="0.45">
      <c r="A8" s="21" t="s">
        <v>3</v>
      </c>
      <c r="B8" s="14">
        <v>8</v>
      </c>
      <c r="C8" s="8">
        <f t="shared" si="1"/>
        <v>0.36363636363636365</v>
      </c>
      <c r="E8" s="29" t="s">
        <v>69</v>
      </c>
      <c r="F8" s="26" t="s">
        <v>24</v>
      </c>
      <c r="G8" s="14">
        <v>6</v>
      </c>
      <c r="H8" s="92">
        <f>IF(B$19=0,0,G8/B$19)</f>
        <v>0.15</v>
      </c>
      <c r="I8" s="60">
        <v>2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11</v>
      </c>
      <c r="C9" s="9">
        <f t="shared" si="1"/>
        <v>0.5</v>
      </c>
      <c r="E9" s="29" t="s">
        <v>65</v>
      </c>
      <c r="F9" s="26" t="s">
        <v>21</v>
      </c>
      <c r="G9" s="14">
        <v>4</v>
      </c>
      <c r="H9" s="92">
        <f>IF(B$19=0,0,G9/B$19)</f>
        <v>0.1</v>
      </c>
      <c r="I9" s="60">
        <v>6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58.4</v>
      </c>
      <c r="C10" s="114">
        <v>175.2</v>
      </c>
      <c r="E10" s="29" t="s">
        <v>89</v>
      </c>
      <c r="F10" s="26" t="s">
        <v>44</v>
      </c>
      <c r="G10" s="14">
        <v>4</v>
      </c>
      <c r="H10" s="92">
        <f>IF(B$19=0,0,G10/B$19)</f>
        <v>0.1</v>
      </c>
      <c r="I10" s="60">
        <v>7</v>
      </c>
      <c r="K10" s="7">
        <v>8</v>
      </c>
      <c r="L10" s="65">
        <v>-157.19999999999999</v>
      </c>
      <c r="N10" s="77" t="s">
        <v>152</v>
      </c>
      <c r="O10" s="86">
        <f>IF(P10=0,0,Q10/P10)</f>
        <v>-36.949999999999996</v>
      </c>
      <c r="P10" s="80">
        <v>6</v>
      </c>
      <c r="Q10" s="71">
        <v>-221.7</v>
      </c>
    </row>
    <row r="11" spans="1:17" x14ac:dyDescent="0.45">
      <c r="A11" s="22" t="s">
        <v>186</v>
      </c>
      <c r="B11" s="113">
        <f>IF(B8=0,0,C11/B8)</f>
        <v>-4.375</v>
      </c>
      <c r="C11" s="114">
        <v>-35</v>
      </c>
      <c r="E11" s="29" t="s">
        <v>86</v>
      </c>
      <c r="F11" s="26" t="s">
        <v>41</v>
      </c>
      <c r="G11" s="14">
        <v>3</v>
      </c>
      <c r="H11" s="92">
        <f>IF(B$19=0,0,G11/B$19)</f>
        <v>7.4999999999999997E-2</v>
      </c>
      <c r="I11" s="60">
        <v>4</v>
      </c>
      <c r="K11" s="7">
        <v>9</v>
      </c>
      <c r="L11" s="65">
        <v>-172.39999999999998</v>
      </c>
      <c r="N11" s="78" t="s">
        <v>153</v>
      </c>
      <c r="O11" s="87">
        <f>IF(P11=0,0,Q11/P11)</f>
        <v>-9.15</v>
      </c>
      <c r="P11" s="81">
        <v>10</v>
      </c>
      <c r="Q11" s="72">
        <v>-91.5</v>
      </c>
    </row>
    <row r="12" spans="1:17" x14ac:dyDescent="0.45">
      <c r="A12" s="22" t="s">
        <v>187</v>
      </c>
      <c r="B12" s="113">
        <f>IF(B9=0,0,C12/B9)</f>
        <v>-39.136363636363633</v>
      </c>
      <c r="C12" s="114">
        <v>-430.5</v>
      </c>
      <c r="E12" s="29" t="s">
        <v>70</v>
      </c>
      <c r="F12" s="26" t="s">
        <v>25</v>
      </c>
      <c r="G12" s="14">
        <v>2</v>
      </c>
      <c r="H12" s="92">
        <f>IF(B$19=0,0,G12/B$19)</f>
        <v>0.05</v>
      </c>
      <c r="I12" s="60">
        <v>6</v>
      </c>
      <c r="K12" s="7">
        <v>10</v>
      </c>
      <c r="L12" s="65">
        <v>-217.59999999999997</v>
      </c>
      <c r="N12" s="79" t="s">
        <v>154</v>
      </c>
      <c r="O12" s="88">
        <f>IF(P12=0,0,Q12/P12)</f>
        <v>3.816666666666666</v>
      </c>
      <c r="P12" s="82">
        <v>6</v>
      </c>
      <c r="Q12" s="73">
        <v>22.899999999999995</v>
      </c>
    </row>
    <row r="13" spans="1:17" x14ac:dyDescent="0.45">
      <c r="A13" s="22" t="s">
        <v>188</v>
      </c>
      <c r="B13" s="123">
        <f>AVERAGE(B10:B12)</f>
        <v>4.9628787878787888</v>
      </c>
      <c r="C13" s="124"/>
      <c r="E13" s="29" t="s">
        <v>71</v>
      </c>
      <c r="F13" s="26" t="s">
        <v>26</v>
      </c>
      <c r="G13" s="14">
        <v>1</v>
      </c>
      <c r="H13" s="92">
        <f>IF(B$19=0,0,G13/B$19)</f>
        <v>2.5000000000000001E-2</v>
      </c>
      <c r="I13" s="60">
        <v>9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0.27272727272727271</v>
      </c>
      <c r="E14" s="29" t="s">
        <v>78</v>
      </c>
      <c r="F14" s="26" t="s">
        <v>33</v>
      </c>
      <c r="G14" s="14">
        <v>1</v>
      </c>
      <c r="H14" s="92">
        <f>IF(B$19=0,0,G14/B$19)</f>
        <v>2.5000000000000001E-2</v>
      </c>
      <c r="I14" s="60">
        <v>6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39</v>
      </c>
      <c r="C15" s="12">
        <f>IF(B$3=0,0,B15/B$3)</f>
        <v>0.24683544303797469</v>
      </c>
      <c r="E15" s="29" t="s">
        <v>81</v>
      </c>
      <c r="F15" s="26" t="s">
        <v>36</v>
      </c>
      <c r="G15" s="14">
        <v>1</v>
      </c>
      <c r="H15" s="92">
        <f>IF(B$19=0,0,G15/B$19)</f>
        <v>2.5000000000000001E-2</v>
      </c>
      <c r="I15" s="60">
        <v>5</v>
      </c>
      <c r="K15" s="7">
        <v>13</v>
      </c>
      <c r="L15" s="65">
        <v>-280.59999999999997</v>
      </c>
      <c r="N15" s="77" t="s">
        <v>164</v>
      </c>
      <c r="O15" s="86">
        <f>IF(P15=0,0,Q15/P15)</f>
        <v>41.02</v>
      </c>
      <c r="P15" s="80">
        <v>5</v>
      </c>
      <c r="Q15" s="71">
        <v>205.10000000000002</v>
      </c>
    </row>
    <row r="16" spans="1:17" x14ac:dyDescent="0.45">
      <c r="A16" s="21" t="s">
        <v>118</v>
      </c>
      <c r="B16" s="14">
        <v>19</v>
      </c>
      <c r="C16" s="8">
        <f>IF(B$3=0,0,B16/B$3)</f>
        <v>0.12025316455696203</v>
      </c>
      <c r="E16" s="29" t="s">
        <v>87</v>
      </c>
      <c r="F16" s="26" t="s">
        <v>42</v>
      </c>
      <c r="G16" s="14">
        <v>1</v>
      </c>
      <c r="H16" s="92">
        <f>IF(B$19=0,0,G16/B$19)</f>
        <v>2.5000000000000001E-2</v>
      </c>
      <c r="I16" s="60">
        <v>1</v>
      </c>
      <c r="K16" s="7">
        <v>14</v>
      </c>
      <c r="L16" s="65">
        <v>-330.7</v>
      </c>
      <c r="N16" s="78" t="s">
        <v>205</v>
      </c>
      <c r="O16" s="87">
        <f>IF(P16=0,0,Q16/P16)</f>
        <v>-8.9499999999999993</v>
      </c>
      <c r="P16" s="81">
        <v>4</v>
      </c>
      <c r="Q16" s="72">
        <v>-35.799999999999997</v>
      </c>
    </row>
    <row r="17" spans="1:17" x14ac:dyDescent="0.45">
      <c r="A17" s="20" t="s">
        <v>123</v>
      </c>
      <c r="B17" s="13">
        <f>B23</f>
        <v>19</v>
      </c>
      <c r="C17" s="6">
        <f>IF(B$15=0,0,B17/B$15)</f>
        <v>0.48717948717948717</v>
      </c>
      <c r="E17" s="29" t="s">
        <v>91</v>
      </c>
      <c r="F17" s="26" t="s">
        <v>46</v>
      </c>
      <c r="G17" s="14">
        <v>1</v>
      </c>
      <c r="H17" s="92">
        <f>IF(B$19=0,0,G17/B$19)</f>
        <v>2.5000000000000001E-2</v>
      </c>
      <c r="I17" s="60">
        <v>4</v>
      </c>
      <c r="K17" s="7">
        <v>15</v>
      </c>
      <c r="L17" s="65">
        <v>-284.09999999999997</v>
      </c>
      <c r="N17" s="78" t="s">
        <v>192</v>
      </c>
      <c r="O17" s="87">
        <f>IF(P17=0,0,Q17/P17)</f>
        <v>-19.7</v>
      </c>
      <c r="P17" s="81">
        <v>12</v>
      </c>
      <c r="Q17" s="72">
        <v>-236.4</v>
      </c>
    </row>
    <row r="18" spans="1:17" x14ac:dyDescent="0.45">
      <c r="A18" s="20" t="s">
        <v>124</v>
      </c>
      <c r="B18" s="13">
        <f>B24</f>
        <v>9</v>
      </c>
      <c r="C18" s="6">
        <f>IF(B$16=0,0,B18/B$16)</f>
        <v>0.47368421052631576</v>
      </c>
      <c r="E18" s="29" t="s">
        <v>92</v>
      </c>
      <c r="F18" s="26" t="s">
        <v>47</v>
      </c>
      <c r="G18" s="14">
        <v>1</v>
      </c>
      <c r="H18" s="92">
        <f>IF(B$19=0,0,G18/B$19)</f>
        <v>2.5000000000000001E-2</v>
      </c>
      <c r="I18" s="60">
        <v>1</v>
      </c>
      <c r="K18" s="7">
        <v>16</v>
      </c>
      <c r="L18" s="65">
        <v>-234.59999999999997</v>
      </c>
      <c r="N18" s="78" t="s">
        <v>196</v>
      </c>
      <c r="O18" s="87">
        <f>IF(P18=0,0,Q18/P18)</f>
        <v>-20.5</v>
      </c>
      <c r="P18" s="81">
        <v>1</v>
      </c>
      <c r="Q18" s="72">
        <v>-20.5</v>
      </c>
    </row>
    <row r="19" spans="1:17" x14ac:dyDescent="0.45">
      <c r="A19" s="20" t="s">
        <v>10</v>
      </c>
      <c r="B19" s="13">
        <f>B22+B21</f>
        <v>40</v>
      </c>
      <c r="C19" s="6">
        <f>IF(B$3=0,0,B19/B$3)</f>
        <v>0.25316455696202533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-233.19999999999996</v>
      </c>
      <c r="N19" s="78" t="s">
        <v>126</v>
      </c>
      <c r="O19" s="87">
        <f>IF(P19=0,0,Q19/P19)</f>
        <v>-28.627272727272736</v>
      </c>
      <c r="P19" s="81">
        <v>11</v>
      </c>
      <c r="Q19" s="72">
        <v>-314.90000000000009</v>
      </c>
    </row>
    <row r="20" spans="1:17" x14ac:dyDescent="0.45">
      <c r="A20" s="21" t="s">
        <v>13</v>
      </c>
      <c r="B20" s="14">
        <v>26</v>
      </c>
      <c r="C20" s="8">
        <f>IF(B$3=0,0,B20/B$3)</f>
        <v>0.16455696202531644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-154.09999999999997</v>
      </c>
      <c r="N20" s="78" t="s">
        <v>193</v>
      </c>
      <c r="O20" s="87">
        <f>IF(P20=0,0,Q20/P20)</f>
        <v>-42.581818181818178</v>
      </c>
      <c r="P20" s="81">
        <v>11</v>
      </c>
      <c r="Q20" s="72">
        <v>-468.4</v>
      </c>
    </row>
    <row r="21" spans="1:17" x14ac:dyDescent="0.45">
      <c r="A21" s="21" t="s">
        <v>12</v>
      </c>
      <c r="B21" s="14">
        <v>16</v>
      </c>
      <c r="C21" s="8">
        <f>IF(B$19=0,0,B21/B$19)</f>
        <v>0.4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-167.29999999999995</v>
      </c>
    </row>
    <row r="22" spans="1:17" x14ac:dyDescent="0.45">
      <c r="A22" s="21" t="s">
        <v>11</v>
      </c>
      <c r="B22" s="14">
        <v>24</v>
      </c>
      <c r="C22" s="8">
        <f>IF(B$19=0,0,B22/B$19)</f>
        <v>0.6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19</v>
      </c>
      <c r="C23" s="8">
        <f>IF(B$19=0,0,B23/B$19)</f>
        <v>0.47499999999999998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-225.09999999999997</v>
      </c>
    </row>
    <row r="24" spans="1:17" x14ac:dyDescent="0.45">
      <c r="A24" s="21" t="s">
        <v>182</v>
      </c>
      <c r="B24" s="14">
        <v>9</v>
      </c>
      <c r="C24" s="8">
        <f>IF(B$19=0,0,B24/B$19)</f>
        <v>0.22500000000000001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6</v>
      </c>
      <c r="K24" s="7">
        <v>22</v>
      </c>
      <c r="L24" s="65">
        <v>-290.29999999999995</v>
      </c>
    </row>
    <row r="25" spans="1:17" x14ac:dyDescent="0.45">
      <c r="A25" s="21" t="s">
        <v>183</v>
      </c>
      <c r="B25" s="14">
        <v>12</v>
      </c>
      <c r="C25" s="8">
        <f>IF(B$19=0,0,B25/B$19)</f>
        <v>0.3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8085</v>
      </c>
      <c r="C26" s="10">
        <v>323400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9335.4838709677424</v>
      </c>
      <c r="C27" s="100">
        <v>289400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</row>
    <row r="28" spans="1:17" x14ac:dyDescent="0.45">
      <c r="A28" s="22" t="s">
        <v>167</v>
      </c>
      <c r="B28" s="99">
        <f>IF(B$18=0,0,C28/B$18)</f>
        <v>3777.7777777777778</v>
      </c>
      <c r="C28" s="100">
        <v>34000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-8438.461538461539</v>
      </c>
      <c r="C29" s="100">
        <v>-219400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</row>
    <row r="31" spans="1:17" x14ac:dyDescent="0.45">
      <c r="A31" s="21" t="s">
        <v>159</v>
      </c>
      <c r="B31" s="14">
        <v>26</v>
      </c>
      <c r="C31" s="94">
        <v>0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5</v>
      </c>
      <c r="C36" s="102">
        <f t="shared" ref="C36:C48" si="2">IF(B$19=0,0,B36/B$19)</f>
        <v>0.125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8</v>
      </c>
      <c r="C37" s="8">
        <f t="shared" si="2"/>
        <v>0.2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9</v>
      </c>
      <c r="C38" s="8">
        <f t="shared" si="2"/>
        <v>0.22500000000000001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5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7.4999999999999997E-2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6</v>
      </c>
      <c r="C41" s="8">
        <f t="shared" si="2"/>
        <v>0.15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2.5000000000000001E-2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2.5000000000000001E-2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2.5000000000000001E-2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2.5000000000000001E-2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0E361-138A-4DA3-BAAE-BCC5FB1F620A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40</v>
      </c>
      <c r="C2" s="132"/>
      <c r="E2" s="28" t="s">
        <v>72</v>
      </c>
      <c r="F2" s="25" t="s">
        <v>27</v>
      </c>
      <c r="G2" s="13">
        <v>58</v>
      </c>
      <c r="H2" s="91">
        <f>IF(B$19=0,0,G2/B$19)</f>
        <v>0.66666666666666663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1343.5897435897436</v>
      </c>
      <c r="P2" s="80">
        <v>39</v>
      </c>
      <c r="Q2" s="67">
        <v>52400</v>
      </c>
    </row>
    <row r="3" spans="1:17" x14ac:dyDescent="0.45">
      <c r="A3" s="21" t="s">
        <v>8</v>
      </c>
      <c r="B3" s="133">
        <v>315</v>
      </c>
      <c r="C3" s="134"/>
      <c r="E3" s="29" t="s">
        <v>66</v>
      </c>
      <c r="F3" s="26" t="s">
        <v>22</v>
      </c>
      <c r="G3" s="14">
        <v>50</v>
      </c>
      <c r="H3" s="92">
        <f>IF(B$19=0,0,G3/B$19)</f>
        <v>0.57471264367816088</v>
      </c>
      <c r="I3" s="60">
        <v>9</v>
      </c>
      <c r="K3" s="7">
        <v>1</v>
      </c>
      <c r="L3" s="65">
        <v>-0.5</v>
      </c>
      <c r="N3" s="78" t="s">
        <v>129</v>
      </c>
      <c r="O3" s="84">
        <f t="shared" si="0"/>
        <v>-697.43589743589746</v>
      </c>
      <c r="P3" s="81">
        <v>39</v>
      </c>
      <c r="Q3" s="68">
        <v>-27200</v>
      </c>
    </row>
    <row r="4" spans="1:17" x14ac:dyDescent="0.45">
      <c r="A4" s="21" t="s">
        <v>6</v>
      </c>
      <c r="B4" s="135">
        <v>-71.499999999999972</v>
      </c>
      <c r="C4" s="136"/>
      <c r="E4" s="29" t="s">
        <v>64</v>
      </c>
      <c r="F4" s="26" t="s">
        <v>20</v>
      </c>
      <c r="G4" s="14">
        <v>40</v>
      </c>
      <c r="H4" s="92">
        <f>IF(B$19=0,0,G4/B$19)</f>
        <v>0.45977011494252873</v>
      </c>
      <c r="I4" s="60">
        <v>6</v>
      </c>
      <c r="K4" s="7">
        <v>2</v>
      </c>
      <c r="L4" s="65">
        <v>-62.8</v>
      </c>
      <c r="N4" s="78" t="s">
        <v>130</v>
      </c>
      <c r="O4" s="84">
        <f t="shared" si="0"/>
        <v>-1623.0769230769231</v>
      </c>
      <c r="P4" s="81">
        <v>39</v>
      </c>
      <c r="Q4" s="68">
        <v>-63300</v>
      </c>
    </row>
    <row r="5" spans="1:17" x14ac:dyDescent="0.45">
      <c r="A5" s="21" t="s">
        <v>7</v>
      </c>
      <c r="B5" s="123">
        <f>IF(B$2=0,0,B$4/B$2)</f>
        <v>-1.7874999999999992</v>
      </c>
      <c r="C5" s="124"/>
      <c r="E5" s="29" t="s">
        <v>160</v>
      </c>
      <c r="F5" s="26" t="s">
        <v>161</v>
      </c>
      <c r="G5" s="14">
        <v>35</v>
      </c>
      <c r="H5" s="92">
        <f>IF(B$19=0,0,G5/B$19)</f>
        <v>0.40229885057471265</v>
      </c>
      <c r="I5" s="60">
        <v>7</v>
      </c>
      <c r="K5" s="7">
        <v>3</v>
      </c>
      <c r="L5" s="65">
        <v>-48.5</v>
      </c>
      <c r="N5" s="78" t="s">
        <v>131</v>
      </c>
      <c r="O5" s="84">
        <f t="shared" si="0"/>
        <v>1202.7777777777778</v>
      </c>
      <c r="P5" s="81">
        <v>36</v>
      </c>
      <c r="Q5" s="68">
        <v>43300</v>
      </c>
    </row>
    <row r="6" spans="1:17" x14ac:dyDescent="0.45">
      <c r="A6" s="21" t="s">
        <v>1</v>
      </c>
      <c r="B6" s="137">
        <f>IF(B$2=0,0,(B$7*1+B$8*2+B$9*3)/B$2)</f>
        <v>1.9750000000000001</v>
      </c>
      <c r="C6" s="138"/>
      <c r="E6" s="29" t="s">
        <v>68</v>
      </c>
      <c r="F6" s="26" t="s">
        <v>12</v>
      </c>
      <c r="G6" s="14">
        <v>24</v>
      </c>
      <c r="H6" s="92">
        <f>IF(B$19=0,0,G6/B$19)</f>
        <v>0.27586206896551724</v>
      </c>
      <c r="I6" s="60">
        <v>6</v>
      </c>
      <c r="K6" s="7">
        <v>4</v>
      </c>
      <c r="L6" s="65">
        <v>-75.599999999999994</v>
      </c>
      <c r="N6" s="78" t="s">
        <v>132</v>
      </c>
      <c r="O6" s="84">
        <f t="shared" si="0"/>
        <v>-2710</v>
      </c>
      <c r="P6" s="81">
        <v>30</v>
      </c>
      <c r="Q6" s="68">
        <v>-81300</v>
      </c>
    </row>
    <row r="7" spans="1:17" x14ac:dyDescent="0.45">
      <c r="A7" s="21" t="s">
        <v>2</v>
      </c>
      <c r="B7" s="14">
        <v>12</v>
      </c>
      <c r="C7" s="8">
        <f t="shared" ref="C7:C14" si="1">IF(B$2=0,0,B7/B$2)</f>
        <v>0.3</v>
      </c>
      <c r="E7" s="29" t="s">
        <v>67</v>
      </c>
      <c r="F7" s="26" t="s">
        <v>23</v>
      </c>
      <c r="G7" s="14">
        <v>22</v>
      </c>
      <c r="H7" s="92">
        <f>IF(B$19=0,0,G7/B$19)</f>
        <v>0.25287356321839083</v>
      </c>
      <c r="I7" s="60">
        <v>4</v>
      </c>
      <c r="K7" s="7">
        <v>5</v>
      </c>
      <c r="L7" s="65">
        <v>-96.5</v>
      </c>
      <c r="N7" s="79" t="s">
        <v>133</v>
      </c>
      <c r="O7" s="85">
        <f t="shared" si="0"/>
        <v>304.54545454545456</v>
      </c>
      <c r="P7" s="82">
        <v>22</v>
      </c>
      <c r="Q7" s="69">
        <v>6700</v>
      </c>
    </row>
    <row r="8" spans="1:17" x14ac:dyDescent="0.45">
      <c r="A8" s="21" t="s">
        <v>3</v>
      </c>
      <c r="B8" s="14">
        <v>17</v>
      </c>
      <c r="C8" s="8">
        <f t="shared" si="1"/>
        <v>0.42499999999999999</v>
      </c>
      <c r="E8" s="29" t="s">
        <v>89</v>
      </c>
      <c r="F8" s="26" t="s">
        <v>44</v>
      </c>
      <c r="G8" s="14">
        <v>13</v>
      </c>
      <c r="H8" s="92">
        <f>IF(B$19=0,0,G8/B$19)</f>
        <v>0.14942528735632185</v>
      </c>
      <c r="I8" s="60">
        <v>5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11</v>
      </c>
      <c r="C9" s="9">
        <f t="shared" si="1"/>
        <v>0.27500000000000002</v>
      </c>
      <c r="E9" s="29" t="s">
        <v>69</v>
      </c>
      <c r="F9" s="26" t="s">
        <v>24</v>
      </c>
      <c r="G9" s="14">
        <v>9</v>
      </c>
      <c r="H9" s="92">
        <f>IF(B$19=0,0,G9/B$19)</f>
        <v>0.10344827586206896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37.875</v>
      </c>
      <c r="C10" s="114">
        <v>454.5</v>
      </c>
      <c r="E10" s="29" t="s">
        <v>65</v>
      </c>
      <c r="F10" s="26" t="s">
        <v>21</v>
      </c>
      <c r="G10" s="14">
        <v>7</v>
      </c>
      <c r="H10" s="92">
        <f>IF(B$19=0,0,G10/B$19)</f>
        <v>8.0459770114942528E-2</v>
      </c>
      <c r="I10" s="60">
        <v>10</v>
      </c>
      <c r="K10" s="7">
        <v>8</v>
      </c>
      <c r="L10" s="65">
        <v>-28.3</v>
      </c>
      <c r="N10" s="77" t="s">
        <v>152</v>
      </c>
      <c r="O10" s="86">
        <f>IF(P10=0,0,Q10/P10)</f>
        <v>-5.9384615384615387</v>
      </c>
      <c r="P10" s="80">
        <v>13</v>
      </c>
      <c r="Q10" s="71">
        <v>-77.2</v>
      </c>
    </row>
    <row r="11" spans="1:17" x14ac:dyDescent="0.45">
      <c r="A11" s="22" t="s">
        <v>186</v>
      </c>
      <c r="B11" s="113">
        <f>IF(B8=0,0,C11/B8)</f>
        <v>-4.882352941176471</v>
      </c>
      <c r="C11" s="114">
        <v>-83</v>
      </c>
      <c r="E11" s="29" t="s">
        <v>71</v>
      </c>
      <c r="F11" s="26" t="s">
        <v>26</v>
      </c>
      <c r="G11" s="14">
        <v>7</v>
      </c>
      <c r="H11" s="92">
        <f>IF(B$19=0,0,G11/B$19)</f>
        <v>8.0459770114942528E-2</v>
      </c>
      <c r="I11" s="60">
        <v>5</v>
      </c>
      <c r="K11" s="7">
        <v>9</v>
      </c>
      <c r="L11" s="65">
        <v>-20.3</v>
      </c>
      <c r="N11" s="78" t="s">
        <v>153</v>
      </c>
      <c r="O11" s="87">
        <f>IF(P11=0,0,Q11/P11)</f>
        <v>-5.6076923076923082</v>
      </c>
      <c r="P11" s="81">
        <v>13</v>
      </c>
      <c r="Q11" s="72">
        <v>-72.900000000000006</v>
      </c>
    </row>
    <row r="12" spans="1:17" x14ac:dyDescent="0.45">
      <c r="A12" s="22" t="s">
        <v>187</v>
      </c>
      <c r="B12" s="113">
        <f>IF(B9=0,0,C12/B9)</f>
        <v>-40.272727272727273</v>
      </c>
      <c r="C12" s="114">
        <v>-443</v>
      </c>
      <c r="E12" s="29" t="s">
        <v>83</v>
      </c>
      <c r="F12" s="26" t="s">
        <v>38</v>
      </c>
      <c r="G12" s="14">
        <v>6</v>
      </c>
      <c r="H12" s="92">
        <f>IF(B$19=0,0,G12/B$19)</f>
        <v>6.8965517241379309E-2</v>
      </c>
      <c r="I12" s="60">
        <v>3</v>
      </c>
      <c r="K12" s="7">
        <v>10</v>
      </c>
      <c r="L12" s="65">
        <v>-14.9</v>
      </c>
      <c r="N12" s="79" t="s">
        <v>154</v>
      </c>
      <c r="O12" s="88">
        <f>IF(P12=0,0,Q12/P12)</f>
        <v>5.6142857142857157</v>
      </c>
      <c r="P12" s="82">
        <v>14</v>
      </c>
      <c r="Q12" s="73">
        <v>78.600000000000023</v>
      </c>
    </row>
    <row r="13" spans="1:17" x14ac:dyDescent="0.45">
      <c r="A13" s="22" t="s">
        <v>188</v>
      </c>
      <c r="B13" s="123">
        <f>AVERAGE(B10:B12)</f>
        <v>-2.4266934046345816</v>
      </c>
      <c r="C13" s="124"/>
      <c r="E13" s="29" t="s">
        <v>79</v>
      </c>
      <c r="F13" s="26" t="s">
        <v>34</v>
      </c>
      <c r="G13" s="14">
        <v>5</v>
      </c>
      <c r="H13" s="92">
        <f>IF(B$19=0,0,G13/B$19)</f>
        <v>5.7471264367816091E-2</v>
      </c>
      <c r="I13" s="60">
        <v>2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0.1</v>
      </c>
      <c r="E14" s="29" t="s">
        <v>70</v>
      </c>
      <c r="F14" s="26" t="s">
        <v>25</v>
      </c>
      <c r="G14" s="14">
        <v>4</v>
      </c>
      <c r="H14" s="92">
        <f>IF(B$19=0,0,G14/B$19)</f>
        <v>4.5977011494252873E-2</v>
      </c>
      <c r="I14" s="60">
        <v>8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79</v>
      </c>
      <c r="C15" s="12">
        <f>IF(B$3=0,0,B15/B$3)</f>
        <v>0.25079365079365079</v>
      </c>
      <c r="E15" s="29" t="s">
        <v>78</v>
      </c>
      <c r="F15" s="26" t="s">
        <v>33</v>
      </c>
      <c r="G15" s="14">
        <v>3</v>
      </c>
      <c r="H15" s="92">
        <f>IF(B$19=0,0,G15/B$19)</f>
        <v>3.4482758620689655E-2</v>
      </c>
      <c r="I15" s="60">
        <v>4</v>
      </c>
      <c r="K15" s="7">
        <v>13</v>
      </c>
      <c r="L15" s="65">
        <v>-125.89999999999999</v>
      </c>
      <c r="N15" s="77" t="s">
        <v>189</v>
      </c>
      <c r="O15" s="86">
        <f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77</v>
      </c>
      <c r="C16" s="8">
        <f>IF(B$3=0,0,B16/B$3)</f>
        <v>0.24444444444444444</v>
      </c>
      <c r="E16" s="29" t="s">
        <v>91</v>
      </c>
      <c r="F16" s="26" t="s">
        <v>46</v>
      </c>
      <c r="G16" s="14">
        <v>3</v>
      </c>
      <c r="H16" s="92">
        <f>IF(B$19=0,0,G16/B$19)</f>
        <v>3.4482758620689655E-2</v>
      </c>
      <c r="I16" s="60">
        <v>2</v>
      </c>
      <c r="K16" s="7">
        <v>14</v>
      </c>
      <c r="L16" s="65">
        <v>-149.39999999999998</v>
      </c>
      <c r="N16" s="78" t="s">
        <v>194</v>
      </c>
      <c r="O16" s="87">
        <f>IF(P16=0,0,Q16/P16)</f>
        <v>19.700000000000003</v>
      </c>
      <c r="P16" s="81">
        <v>12</v>
      </c>
      <c r="Q16" s="72">
        <v>236.40000000000003</v>
      </c>
    </row>
    <row r="17" spans="1:17" x14ac:dyDescent="0.45">
      <c r="A17" s="20" t="s">
        <v>123</v>
      </c>
      <c r="B17" s="13">
        <f>B23</f>
        <v>43</v>
      </c>
      <c r="C17" s="6">
        <f>IF(B$15=0,0,B17/B$15)</f>
        <v>0.54430379746835444</v>
      </c>
      <c r="E17" s="29" t="s">
        <v>86</v>
      </c>
      <c r="F17" s="26" t="s">
        <v>41</v>
      </c>
      <c r="G17" s="14">
        <v>2</v>
      </c>
      <c r="H17" s="92">
        <f>IF(B$19=0,0,G17/B$19)</f>
        <v>2.2988505747126436E-2</v>
      </c>
      <c r="I17" s="60">
        <v>8</v>
      </c>
      <c r="K17" s="7">
        <v>15</v>
      </c>
      <c r="L17" s="65">
        <v>-121.39999999999998</v>
      </c>
      <c r="N17" s="78" t="s">
        <v>193</v>
      </c>
      <c r="O17" s="87">
        <f>IF(P17=0,0,Q17/P17)</f>
        <v>18.040000000000003</v>
      </c>
      <c r="P17" s="81">
        <v>15</v>
      </c>
      <c r="Q17" s="72">
        <v>270.60000000000002</v>
      </c>
    </row>
    <row r="18" spans="1:17" x14ac:dyDescent="0.45">
      <c r="A18" s="20" t="s">
        <v>124</v>
      </c>
      <c r="B18" s="13">
        <f>B24</f>
        <v>28</v>
      </c>
      <c r="C18" s="6">
        <f>IF(B$16=0,0,B18/B$16)</f>
        <v>0.36363636363636365</v>
      </c>
      <c r="E18" s="29" t="s">
        <v>81</v>
      </c>
      <c r="F18" s="26" t="s">
        <v>36</v>
      </c>
      <c r="G18" s="14">
        <v>1</v>
      </c>
      <c r="H18" s="92">
        <f>IF(B$19=0,0,G18/B$19)</f>
        <v>1.1494252873563218E-2</v>
      </c>
      <c r="I18" s="60">
        <v>7</v>
      </c>
      <c r="K18" s="7">
        <v>16</v>
      </c>
      <c r="L18" s="65">
        <v>-141.29999999999998</v>
      </c>
      <c r="N18" s="78" t="s">
        <v>164</v>
      </c>
      <c r="O18" s="87">
        <f>IF(P18=0,0,Q18/P18)</f>
        <v>-6.9411764705882337</v>
      </c>
      <c r="P18" s="81">
        <v>17</v>
      </c>
      <c r="Q18" s="72">
        <v>-117.99999999999997</v>
      </c>
    </row>
    <row r="19" spans="1:17" x14ac:dyDescent="0.45">
      <c r="A19" s="20" t="s">
        <v>10</v>
      </c>
      <c r="B19" s="13">
        <f>B22+B21</f>
        <v>87</v>
      </c>
      <c r="C19" s="6">
        <f>IF(B$3=0,0,B19/B$3)</f>
        <v>0.27619047619047621</v>
      </c>
      <c r="E19" s="29" t="s">
        <v>85</v>
      </c>
      <c r="F19" s="26" t="s">
        <v>40</v>
      </c>
      <c r="G19" s="14">
        <v>1</v>
      </c>
      <c r="H19" s="92">
        <f>IF(B$19=0,0,G19/B$19)</f>
        <v>1.1494252873563218E-2</v>
      </c>
      <c r="I19" s="60">
        <v>2</v>
      </c>
      <c r="K19" s="7">
        <v>17</v>
      </c>
      <c r="L19" s="65">
        <v>-149.1</v>
      </c>
      <c r="N19" s="78" t="s">
        <v>205</v>
      </c>
      <c r="O19" s="87">
        <f>IF(P19=0,0,Q19/P19)</f>
        <v>-12.375</v>
      </c>
      <c r="P19" s="81">
        <v>4</v>
      </c>
      <c r="Q19" s="72">
        <v>-49.5</v>
      </c>
    </row>
    <row r="20" spans="1:17" x14ac:dyDescent="0.45">
      <c r="A20" s="21" t="s">
        <v>13</v>
      </c>
      <c r="B20" s="14">
        <v>36</v>
      </c>
      <c r="C20" s="8">
        <f>IF(B$3=0,0,B20/B$3)</f>
        <v>0.11428571428571428</v>
      </c>
      <c r="E20" s="29" t="s">
        <v>92</v>
      </c>
      <c r="F20" s="26" t="s">
        <v>47</v>
      </c>
      <c r="G20" s="14">
        <v>1</v>
      </c>
      <c r="H20" s="92">
        <f>IF(B$19=0,0,G20/B$19)</f>
        <v>1.1494252873563218E-2</v>
      </c>
      <c r="I20" s="60">
        <v>5</v>
      </c>
      <c r="K20" s="7">
        <v>18</v>
      </c>
      <c r="L20" s="65">
        <v>-201.89999999999998</v>
      </c>
      <c r="N20" s="78" t="s">
        <v>196</v>
      </c>
      <c r="O20" s="87">
        <f>IF(P20=0,0,Q20/P20)</f>
        <v>-19.342857142857145</v>
      </c>
      <c r="P20" s="81">
        <v>7</v>
      </c>
      <c r="Q20" s="72">
        <v>-135.4</v>
      </c>
    </row>
    <row r="21" spans="1:17" x14ac:dyDescent="0.45">
      <c r="A21" s="21" t="s">
        <v>12</v>
      </c>
      <c r="B21" s="14">
        <v>35</v>
      </c>
      <c r="C21" s="8">
        <f>IF(B$19=0,0,B21/B$19)</f>
        <v>0.40229885057471265</v>
      </c>
      <c r="E21" s="29" t="s">
        <v>156</v>
      </c>
      <c r="F21" s="26" t="s">
        <v>157</v>
      </c>
      <c r="G21" s="14">
        <v>1</v>
      </c>
      <c r="H21" s="92">
        <f>IF(B$19=0,0,G21/B$19)</f>
        <v>1.1494252873563218E-2</v>
      </c>
      <c r="I21" s="60">
        <v>5</v>
      </c>
      <c r="K21" s="7">
        <v>19</v>
      </c>
      <c r="L21" s="65">
        <v>-152.39999999999998</v>
      </c>
      <c r="N21" s="78" t="s">
        <v>126</v>
      </c>
      <c r="O21" s="87">
        <f>IF(P21=0,0,Q21/P21)</f>
        <v>-22.24545454545455</v>
      </c>
      <c r="P21" s="81">
        <v>22</v>
      </c>
      <c r="Q21" s="72">
        <v>-489.40000000000009</v>
      </c>
    </row>
    <row r="22" spans="1:17" x14ac:dyDescent="0.45">
      <c r="A22" s="21" t="s">
        <v>11</v>
      </c>
      <c r="B22" s="14">
        <v>52</v>
      </c>
      <c r="C22" s="8">
        <f>IF(B$19=0,0,B22/B$19)</f>
        <v>0.5977011494252874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43</v>
      </c>
      <c r="C23" s="8">
        <f>IF(B$19=0,0,B23/B$19)</f>
        <v>0.4942528735632184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28</v>
      </c>
      <c r="C24" s="8">
        <f>IF(B$19=0,0,B24/B$19)</f>
        <v>0.32183908045977011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16</v>
      </c>
      <c r="C25" s="8">
        <f>IF(B$19=0,0,B25/B$19)</f>
        <v>0.18390804597701149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7796.5517241379312</v>
      </c>
      <c r="C26" s="10">
        <v>678300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4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7935.593220338983</v>
      </c>
      <c r="C27" s="100">
        <v>468200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7503.5714285714284</v>
      </c>
      <c r="C28" s="100">
        <v>210100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-7855.5555555555557</v>
      </c>
      <c r="C29" s="100">
        <v>-282800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26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98700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9</v>
      </c>
      <c r="C36" s="102">
        <f t="shared" ref="C36:C48" si="2">IF(B$19=0,0,B36/B$19)</f>
        <v>0.10344827586206896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14</v>
      </c>
      <c r="C37" s="8">
        <f t="shared" si="2"/>
        <v>0.16091954022988506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24</v>
      </c>
      <c r="C38" s="8">
        <f t="shared" si="2"/>
        <v>0.27586206896551724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14</v>
      </c>
      <c r="C39" s="8">
        <f t="shared" si="2"/>
        <v>0.16091954022988506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7</v>
      </c>
      <c r="C40" s="8">
        <f t="shared" si="2"/>
        <v>8.0459770114942528E-2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5">
      <c r="A41" s="21" t="s">
        <v>173</v>
      </c>
      <c r="B41" s="122">
        <v>3</v>
      </c>
      <c r="C41" s="8">
        <f t="shared" si="2"/>
        <v>3.4482758620689655E-2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5">
      <c r="A42" s="21" t="s">
        <v>174</v>
      </c>
      <c r="B42" s="122">
        <v>7</v>
      </c>
      <c r="C42" s="8">
        <f t="shared" si="2"/>
        <v>8.0459770114942528E-2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5">
      <c r="A43" s="21" t="s">
        <v>175</v>
      </c>
      <c r="B43" s="122">
        <v>3</v>
      </c>
      <c r="C43" s="8">
        <f t="shared" si="2"/>
        <v>3.4482758620689655E-2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2</v>
      </c>
      <c r="C44" s="8">
        <f t="shared" si="2"/>
        <v>2.2988505747126436E-2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2</v>
      </c>
      <c r="C45" s="8">
        <f t="shared" si="2"/>
        <v>2.2988505747126436E-2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1</v>
      </c>
      <c r="C46" s="8">
        <f t="shared" si="2"/>
        <v>1.1494252873563218E-2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1.1494252873563218E-2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AC75A-7516-46AC-AFA9-97BA426C6D61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26</v>
      </c>
      <c r="C2" s="132"/>
      <c r="E2" s="28" t="s">
        <v>72</v>
      </c>
      <c r="F2" s="25" t="s">
        <v>27</v>
      </c>
      <c r="G2" s="13">
        <v>43</v>
      </c>
      <c r="H2" s="91">
        <f>IF(B$19=0,0,G2/B$19)</f>
        <v>0.71666666666666667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-900</v>
      </c>
      <c r="P2" s="80">
        <v>26</v>
      </c>
      <c r="Q2" s="67">
        <v>-23400</v>
      </c>
    </row>
    <row r="3" spans="1:17" x14ac:dyDescent="0.45">
      <c r="A3" s="21" t="s">
        <v>8</v>
      </c>
      <c r="B3" s="133">
        <v>191</v>
      </c>
      <c r="C3" s="134"/>
      <c r="E3" s="29" t="s">
        <v>66</v>
      </c>
      <c r="F3" s="26" t="s">
        <v>22</v>
      </c>
      <c r="G3" s="14">
        <v>40</v>
      </c>
      <c r="H3" s="92">
        <f>IF(B$19=0,0,G3/B$19)</f>
        <v>0.66666666666666663</v>
      </c>
      <c r="I3" s="60">
        <v>7</v>
      </c>
      <c r="K3" s="7">
        <v>1</v>
      </c>
      <c r="L3" s="65">
        <v>56</v>
      </c>
      <c r="N3" s="78" t="s">
        <v>129</v>
      </c>
      <c r="O3" s="84">
        <f t="shared" si="0"/>
        <v>-1900</v>
      </c>
      <c r="P3" s="81">
        <v>25</v>
      </c>
      <c r="Q3" s="68">
        <v>-47500</v>
      </c>
    </row>
    <row r="4" spans="1:17" x14ac:dyDescent="0.45">
      <c r="A4" s="21" t="s">
        <v>6</v>
      </c>
      <c r="B4" s="135">
        <v>86.8</v>
      </c>
      <c r="C4" s="136"/>
      <c r="E4" s="29" t="s">
        <v>64</v>
      </c>
      <c r="F4" s="26" t="s">
        <v>20</v>
      </c>
      <c r="G4" s="14">
        <v>17</v>
      </c>
      <c r="H4" s="92">
        <f>IF(B$19=0,0,G4/B$19)</f>
        <v>0.28333333333333333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2950</v>
      </c>
      <c r="P4" s="81">
        <v>22</v>
      </c>
      <c r="Q4" s="68">
        <v>64900</v>
      </c>
    </row>
    <row r="5" spans="1:17" x14ac:dyDescent="0.45">
      <c r="A5" s="21" t="s">
        <v>7</v>
      </c>
      <c r="B5" s="123">
        <f>IF(B$2=0,0,B$4/B$2)</f>
        <v>3.3384615384615381</v>
      </c>
      <c r="C5" s="124"/>
      <c r="E5" s="29" t="s">
        <v>68</v>
      </c>
      <c r="F5" s="26" t="s">
        <v>12</v>
      </c>
      <c r="G5" s="14">
        <v>15</v>
      </c>
      <c r="H5" s="92">
        <f>IF(B$19=0,0,G5/B$19)</f>
        <v>0.25</v>
      </c>
      <c r="I5" s="60">
        <v>7</v>
      </c>
      <c r="K5" s="7">
        <v>3</v>
      </c>
      <c r="L5" s="65">
        <v>159</v>
      </c>
      <c r="N5" s="78" t="s">
        <v>131</v>
      </c>
      <c r="O5" s="84">
        <f t="shared" si="0"/>
        <v>-1273.6842105263158</v>
      </c>
      <c r="P5" s="81">
        <v>19</v>
      </c>
      <c r="Q5" s="68">
        <v>-24200</v>
      </c>
    </row>
    <row r="6" spans="1:17" x14ac:dyDescent="0.45">
      <c r="A6" s="21" t="s">
        <v>1</v>
      </c>
      <c r="B6" s="137">
        <f>IF(B$2=0,0,(B$7*1+B$8*2+B$9*3)/B$2)</f>
        <v>1.9615384615384615</v>
      </c>
      <c r="C6" s="138"/>
      <c r="E6" s="29" t="s">
        <v>160</v>
      </c>
      <c r="F6" s="26" t="s">
        <v>161</v>
      </c>
      <c r="G6" s="14">
        <v>15</v>
      </c>
      <c r="H6" s="92">
        <f>IF(B$19=0,0,G6/B$19)</f>
        <v>0.25</v>
      </c>
      <c r="I6" s="60">
        <v>10</v>
      </c>
      <c r="K6" s="7">
        <v>4</v>
      </c>
      <c r="L6" s="65">
        <v>112.4</v>
      </c>
      <c r="N6" s="78" t="s">
        <v>132</v>
      </c>
      <c r="O6" s="84">
        <f t="shared" si="0"/>
        <v>4700</v>
      </c>
      <c r="P6" s="81">
        <v>14</v>
      </c>
      <c r="Q6" s="68">
        <v>65800</v>
      </c>
    </row>
    <row r="7" spans="1:17" x14ac:dyDescent="0.45">
      <c r="A7" s="21" t="s">
        <v>2</v>
      </c>
      <c r="B7" s="14">
        <v>10</v>
      </c>
      <c r="C7" s="8">
        <f t="shared" ref="C7:C14" si="1">IF(B$2=0,0,B7/B$2)</f>
        <v>0.38461538461538464</v>
      </c>
      <c r="E7" s="29" t="s">
        <v>67</v>
      </c>
      <c r="F7" s="26" t="s">
        <v>23</v>
      </c>
      <c r="G7" s="14">
        <v>12</v>
      </c>
      <c r="H7" s="92">
        <f>IF(B$19=0,0,G7/B$19)</f>
        <v>0.2</v>
      </c>
      <c r="I7" s="60">
        <v>8</v>
      </c>
      <c r="K7" s="7">
        <v>5</v>
      </c>
      <c r="L7" s="65">
        <v>140.30000000000001</v>
      </c>
      <c r="N7" s="79" t="s">
        <v>133</v>
      </c>
      <c r="O7" s="85">
        <f t="shared" si="0"/>
        <v>-800</v>
      </c>
      <c r="P7" s="82">
        <v>11</v>
      </c>
      <c r="Q7" s="69">
        <v>-8800</v>
      </c>
    </row>
    <row r="8" spans="1:17" x14ac:dyDescent="0.45">
      <c r="A8" s="21" t="s">
        <v>3</v>
      </c>
      <c r="B8" s="14">
        <v>7</v>
      </c>
      <c r="C8" s="8">
        <f t="shared" si="1"/>
        <v>0.26923076923076922</v>
      </c>
      <c r="E8" s="29" t="s">
        <v>69</v>
      </c>
      <c r="F8" s="26" t="s">
        <v>24</v>
      </c>
      <c r="G8" s="14">
        <v>9</v>
      </c>
      <c r="H8" s="92">
        <f>IF(B$19=0,0,G8/B$19)</f>
        <v>0.15</v>
      </c>
      <c r="I8" s="60">
        <v>2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9</v>
      </c>
      <c r="C9" s="9">
        <f t="shared" si="1"/>
        <v>0.34615384615384615</v>
      </c>
      <c r="E9" s="29" t="s">
        <v>83</v>
      </c>
      <c r="F9" s="26" t="s">
        <v>38</v>
      </c>
      <c r="G9" s="14">
        <v>9</v>
      </c>
      <c r="H9" s="92">
        <f>IF(B$19=0,0,G9/B$19)</f>
        <v>0.15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43.13</v>
      </c>
      <c r="C10" s="114">
        <v>431.3</v>
      </c>
      <c r="E10" s="29" t="s">
        <v>89</v>
      </c>
      <c r="F10" s="26" t="s">
        <v>44</v>
      </c>
      <c r="G10" s="14">
        <v>6</v>
      </c>
      <c r="H10" s="92">
        <f>IF(B$19=0,0,G10/B$19)</f>
        <v>0.1</v>
      </c>
      <c r="I10" s="60">
        <v>7</v>
      </c>
      <c r="K10" s="7">
        <v>8</v>
      </c>
      <c r="L10" s="65">
        <v>96.800000000000011</v>
      </c>
      <c r="N10" s="77" t="s">
        <v>152</v>
      </c>
      <c r="O10" s="86">
        <f>IF(P10=0,0,Q10/P10)</f>
        <v>-7.5</v>
      </c>
      <c r="P10" s="80">
        <v>8</v>
      </c>
      <c r="Q10" s="71">
        <v>-60</v>
      </c>
    </row>
    <row r="11" spans="1:17" x14ac:dyDescent="0.45">
      <c r="A11" s="22" t="s">
        <v>186</v>
      </c>
      <c r="B11" s="113">
        <f>IF(B8=0,0,C11/B8)</f>
        <v>1.9285714285714282</v>
      </c>
      <c r="C11" s="114">
        <v>13.499999999999996</v>
      </c>
      <c r="E11" s="29" t="s">
        <v>65</v>
      </c>
      <c r="F11" s="26" t="s">
        <v>21</v>
      </c>
      <c r="G11" s="14">
        <v>5</v>
      </c>
      <c r="H11" s="92">
        <f>IF(B$19=0,0,G11/B$19)</f>
        <v>8.3333333333333329E-2</v>
      </c>
      <c r="I11" s="60">
        <v>8</v>
      </c>
      <c r="K11" s="7">
        <v>9</v>
      </c>
      <c r="L11" s="65">
        <v>51.600000000000009</v>
      </c>
      <c r="N11" s="78" t="s">
        <v>153</v>
      </c>
      <c r="O11" s="87">
        <f>IF(P11=0,0,Q11/P11)</f>
        <v>3.3749999999999991</v>
      </c>
      <c r="P11" s="81">
        <v>8</v>
      </c>
      <c r="Q11" s="72">
        <v>26.999999999999993</v>
      </c>
    </row>
    <row r="12" spans="1:17" x14ac:dyDescent="0.45">
      <c r="A12" s="22" t="s">
        <v>187</v>
      </c>
      <c r="B12" s="113">
        <f>IF(B9=0,0,C12/B9)</f>
        <v>-39.777777777777779</v>
      </c>
      <c r="C12" s="114">
        <v>-358</v>
      </c>
      <c r="E12" s="29" t="s">
        <v>81</v>
      </c>
      <c r="F12" s="26" t="s">
        <v>36</v>
      </c>
      <c r="G12" s="14">
        <v>4</v>
      </c>
      <c r="H12" s="92">
        <f>IF(B$19=0,0,G12/B$19)</f>
        <v>6.6666666666666666E-2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11.98</v>
      </c>
      <c r="P12" s="82">
        <v>10</v>
      </c>
      <c r="Q12" s="73">
        <v>119.8</v>
      </c>
    </row>
    <row r="13" spans="1:17" x14ac:dyDescent="0.45">
      <c r="A13" s="22" t="s">
        <v>188</v>
      </c>
      <c r="B13" s="123">
        <f>AVERAGE(B10:B12)</f>
        <v>1.7602645502645515</v>
      </c>
      <c r="C13" s="124"/>
      <c r="E13" s="29" t="s">
        <v>70</v>
      </c>
      <c r="F13" s="26" t="s">
        <v>25</v>
      </c>
      <c r="G13" s="14">
        <v>3</v>
      </c>
      <c r="H13" s="92">
        <f>IF(B$19=0,0,G13/B$19)</f>
        <v>0.05</v>
      </c>
      <c r="I13" s="60">
        <v>6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0.23076923076923078</v>
      </c>
      <c r="E14" s="29" t="s">
        <v>78</v>
      </c>
      <c r="F14" s="26" t="s">
        <v>33</v>
      </c>
      <c r="G14" s="14">
        <v>3</v>
      </c>
      <c r="H14" s="92">
        <f>IF(B$19=0,0,G14/B$19)</f>
        <v>0.05</v>
      </c>
      <c r="I14" s="60">
        <v>2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27</v>
      </c>
      <c r="C15" s="12">
        <f>IF(B$3=0,0,B15/B$3)</f>
        <v>0.14136125654450263</v>
      </c>
      <c r="E15" s="29" t="s">
        <v>71</v>
      </c>
      <c r="F15" s="26" t="s">
        <v>26</v>
      </c>
      <c r="G15" s="14">
        <v>2</v>
      </c>
      <c r="H15" s="92">
        <f>IF(B$19=0,0,G15/B$19)</f>
        <v>3.3333333333333333E-2</v>
      </c>
      <c r="I15" s="60">
        <v>8</v>
      </c>
      <c r="K15" s="7">
        <v>13</v>
      </c>
      <c r="L15" s="65">
        <v>83.1</v>
      </c>
      <c r="N15" s="77" t="s">
        <v>194</v>
      </c>
      <c r="O15" s="86">
        <f>IF(P15=0,0,Q15/P15)</f>
        <v>42.581818181818178</v>
      </c>
      <c r="P15" s="80">
        <v>11</v>
      </c>
      <c r="Q15" s="71">
        <v>468.4</v>
      </c>
    </row>
    <row r="16" spans="1:17" x14ac:dyDescent="0.45">
      <c r="A16" s="21" t="s">
        <v>118</v>
      </c>
      <c r="B16" s="14">
        <v>60</v>
      </c>
      <c r="C16" s="8">
        <f>IF(B$3=0,0,B16/B$3)</f>
        <v>0.31413612565445026</v>
      </c>
      <c r="E16" s="29" t="s">
        <v>85</v>
      </c>
      <c r="F16" s="26" t="s">
        <v>40</v>
      </c>
      <c r="G16" s="14">
        <v>2</v>
      </c>
      <c r="H16" s="92">
        <f>IF(B$19=0,0,G16/B$19)</f>
        <v>3.3333333333333333E-2</v>
      </c>
      <c r="I16" s="60">
        <v>1</v>
      </c>
      <c r="K16" s="7">
        <v>14</v>
      </c>
      <c r="L16" s="65">
        <v>89.399999999999991</v>
      </c>
      <c r="N16" s="78" t="s">
        <v>164</v>
      </c>
      <c r="O16" s="87">
        <f>IF(P16=0,0,Q16/P16)</f>
        <v>33.971428571428568</v>
      </c>
      <c r="P16" s="81">
        <v>7</v>
      </c>
      <c r="Q16" s="72">
        <v>237.79999999999998</v>
      </c>
    </row>
    <row r="17" spans="1:17" x14ac:dyDescent="0.45">
      <c r="A17" s="20" t="s">
        <v>123</v>
      </c>
      <c r="B17" s="13">
        <f>B23</f>
        <v>17</v>
      </c>
      <c r="C17" s="6">
        <f>IF(B$15=0,0,B17/B$15)</f>
        <v>0.62962962962962965</v>
      </c>
      <c r="E17" s="29" t="s">
        <v>75</v>
      </c>
      <c r="F17" s="26" t="s">
        <v>30</v>
      </c>
      <c r="G17" s="14">
        <v>1</v>
      </c>
      <c r="H17" s="92">
        <f>IF(B$19=0,0,G17/B$19)</f>
        <v>1.6666666666666666E-2</v>
      </c>
      <c r="I17" s="60">
        <v>1</v>
      </c>
      <c r="K17" s="7">
        <v>15</v>
      </c>
      <c r="L17" s="65">
        <v>112.6</v>
      </c>
      <c r="N17" s="78" t="s">
        <v>196</v>
      </c>
      <c r="O17" s="87">
        <f>IF(P17=0,0,Q17/P17)</f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26</v>
      </c>
      <c r="C18" s="6">
        <f>IF(B$16=0,0,B18/B$16)</f>
        <v>0.43333333333333335</v>
      </c>
      <c r="E18" s="29" t="s">
        <v>88</v>
      </c>
      <c r="F18" s="26" t="s">
        <v>43</v>
      </c>
      <c r="G18" s="14">
        <v>1</v>
      </c>
      <c r="H18" s="92">
        <f>IF(B$19=0,0,G18/B$19)</f>
        <v>1.6666666666666666E-2</v>
      </c>
      <c r="I18" s="60">
        <v>1</v>
      </c>
      <c r="K18" s="7">
        <v>16</v>
      </c>
      <c r="L18" s="65">
        <v>119.3</v>
      </c>
      <c r="N18" s="78" t="s">
        <v>189</v>
      </c>
      <c r="O18" s="87">
        <f>IF(P18=0,0,Q18/P18)</f>
        <v>4.2000000000000011</v>
      </c>
      <c r="P18" s="81">
        <v>4</v>
      </c>
      <c r="Q18" s="72">
        <v>16.800000000000004</v>
      </c>
    </row>
    <row r="19" spans="1:17" x14ac:dyDescent="0.45">
      <c r="A19" s="20" t="s">
        <v>10</v>
      </c>
      <c r="B19" s="13">
        <f>B22+B21</f>
        <v>60</v>
      </c>
      <c r="C19" s="6">
        <f>IF(B$3=0,0,B19/B$3)</f>
        <v>0.31413612565445026</v>
      </c>
      <c r="E19" s="29" t="s">
        <v>102</v>
      </c>
      <c r="F19" s="26" t="s">
        <v>57</v>
      </c>
      <c r="G19" s="14">
        <v>1</v>
      </c>
      <c r="H19" s="92">
        <f>IF(B$19=0,0,G19/B$19)</f>
        <v>1.6666666666666666E-2</v>
      </c>
      <c r="I19" s="60">
        <v>1</v>
      </c>
      <c r="K19" s="7">
        <v>17</v>
      </c>
      <c r="L19" s="65">
        <v>71.699999999999989</v>
      </c>
      <c r="N19" s="78" t="s">
        <v>192</v>
      </c>
      <c r="O19" s="87">
        <f>IF(P19=0,0,Q19/P19)</f>
        <v>-18.040000000000003</v>
      </c>
      <c r="P19" s="81">
        <v>15</v>
      </c>
      <c r="Q19" s="72">
        <v>-270.60000000000002</v>
      </c>
    </row>
    <row r="20" spans="1:17" x14ac:dyDescent="0.45">
      <c r="A20" s="21" t="s">
        <v>13</v>
      </c>
      <c r="B20" s="14">
        <v>27</v>
      </c>
      <c r="C20" s="8">
        <f>IF(B$3=0,0,B20/B$3)</f>
        <v>0.14136125654450263</v>
      </c>
      <c r="E20" s="29" t="s">
        <v>156</v>
      </c>
      <c r="F20" s="26" t="s">
        <v>157</v>
      </c>
      <c r="G20" s="14">
        <v>1</v>
      </c>
      <c r="H20" s="92">
        <f>IF(B$19=0,0,G20/B$19)</f>
        <v>1.6666666666666666E-2</v>
      </c>
      <c r="I20" s="60">
        <v>2</v>
      </c>
      <c r="K20" s="7">
        <v>18</v>
      </c>
      <c r="L20" s="65">
        <v>45.399999999999991</v>
      </c>
      <c r="N20" s="78" t="s">
        <v>126</v>
      </c>
      <c r="O20" s="87">
        <f>IF(P20=0,0,Q20/P20)</f>
        <v>-21.374999999999996</v>
      </c>
      <c r="P20" s="81">
        <v>12</v>
      </c>
      <c r="Q20" s="72">
        <v>-256.49999999999994</v>
      </c>
    </row>
    <row r="21" spans="1:17" x14ac:dyDescent="0.45">
      <c r="A21" s="21" t="s">
        <v>12</v>
      </c>
      <c r="B21" s="14">
        <v>28</v>
      </c>
      <c r="C21" s="8">
        <f>IF(B$19=0,0,B21/B$19)</f>
        <v>0.46666666666666667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100.1</v>
      </c>
    </row>
    <row r="22" spans="1:17" x14ac:dyDescent="0.45">
      <c r="A22" s="21" t="s">
        <v>11</v>
      </c>
      <c r="B22" s="14">
        <v>32</v>
      </c>
      <c r="C22" s="8">
        <f>IF(B$19=0,0,B22/B$19)</f>
        <v>0.53333333333333333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17</v>
      </c>
      <c r="C23" s="8">
        <f>IF(B$19=0,0,B23/B$19)</f>
        <v>0.28333333333333333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26</v>
      </c>
      <c r="C24" s="8">
        <f>IF(B$19=0,0,B24/B$19)</f>
        <v>0.43333333333333335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17</v>
      </c>
      <c r="C25" s="8">
        <f>IF(B$19=0,0,B25/B$19)</f>
        <v>0.28333333333333333</v>
      </c>
      <c r="E25" s="29" t="s">
        <v>79</v>
      </c>
      <c r="F25" s="26" t="s">
        <v>34</v>
      </c>
      <c r="G25" s="14">
        <v>0</v>
      </c>
      <c r="H25" s="92">
        <f>IF(B$19=0,0,G25/B$19)</f>
        <v>0</v>
      </c>
      <c r="I25" s="60">
        <v>6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8308.3333333333339</v>
      </c>
      <c r="C26" s="10">
        <v>498500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9094.1176470588234</v>
      </c>
      <c r="C27" s="100">
        <v>309200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41</v>
      </c>
    </row>
    <row r="28" spans="1:17" x14ac:dyDescent="0.45">
      <c r="A28" s="22" t="s">
        <v>167</v>
      </c>
      <c r="B28" s="99">
        <f>IF(B$18=0,0,C28/B$18)</f>
        <v>7280.7692307692305</v>
      </c>
      <c r="C28" s="100">
        <v>189300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86.8</v>
      </c>
    </row>
    <row r="29" spans="1:17" x14ac:dyDescent="0.45">
      <c r="A29" s="22" t="s">
        <v>165</v>
      </c>
      <c r="B29" s="99">
        <f>IF(B$20=0,0,C29/B$20)</f>
        <v>-7514.8148148148148</v>
      </c>
      <c r="C29" s="100">
        <v>-202900</v>
      </c>
      <c r="E29" s="29" t="s">
        <v>86</v>
      </c>
      <c r="F29" s="26" t="s">
        <v>41</v>
      </c>
      <c r="G29" s="14">
        <v>0</v>
      </c>
      <c r="H29" s="92">
        <f>IF(B$19=0,0,G29/B$19)</f>
        <v>0</v>
      </c>
      <c r="I29" s="60">
        <v>9</v>
      </c>
    </row>
    <row r="30" spans="1:17" x14ac:dyDescent="0.45">
      <c r="A30" s="21" t="s">
        <v>158</v>
      </c>
      <c r="B30" s="14">
        <v>7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</row>
    <row r="31" spans="1:17" x14ac:dyDescent="0.45">
      <c r="A31" s="21" t="s">
        <v>159</v>
      </c>
      <c r="B31" s="14">
        <v>27</v>
      </c>
      <c r="C31" s="94">
        <v>4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25">
        <v>6</v>
      </c>
      <c r="C32" s="126"/>
      <c r="E32" s="29" t="s">
        <v>91</v>
      </c>
      <c r="F32" s="26" t="s">
        <v>46</v>
      </c>
      <c r="G32" s="14">
        <v>0</v>
      </c>
      <c r="H32" s="92">
        <f>IF(B$19=0,0,G32/B$19)</f>
        <v>0</v>
      </c>
      <c r="I32" s="60">
        <v>6</v>
      </c>
    </row>
    <row r="33" spans="1:9" x14ac:dyDescent="0.45">
      <c r="A33" s="24" t="s">
        <v>181</v>
      </c>
      <c r="B33" s="127">
        <v>106500</v>
      </c>
      <c r="C33" s="128"/>
      <c r="E33" s="29" t="s">
        <v>92</v>
      </c>
      <c r="F33" s="26" t="s">
        <v>47</v>
      </c>
      <c r="G33" s="14">
        <v>0</v>
      </c>
      <c r="H33" s="92">
        <f>IF(B$19=0,0,G33/B$19)</f>
        <v>0</v>
      </c>
      <c r="I33" s="60">
        <v>6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6</v>
      </c>
      <c r="C36" s="102">
        <f t="shared" ref="C36:C48" si="2">IF(B$19=0,0,B36/B$19)</f>
        <v>0.1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13</v>
      </c>
      <c r="C37" s="8">
        <f t="shared" si="2"/>
        <v>0.21666666666666667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12</v>
      </c>
      <c r="C38" s="8">
        <f t="shared" si="2"/>
        <v>0.2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</row>
    <row r="39" spans="1:9" x14ac:dyDescent="0.45">
      <c r="A39" s="21" t="s">
        <v>170</v>
      </c>
      <c r="B39" s="122">
        <v>9</v>
      </c>
      <c r="C39" s="8">
        <f t="shared" si="2"/>
        <v>0.15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11</v>
      </c>
      <c r="C40" s="8">
        <f t="shared" si="2"/>
        <v>0.18333333333333332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2"/>
        <v>0.05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2"/>
        <v>0.05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2"/>
        <v>1.6666666666666666E-2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1.6666666666666666E-2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1.6666666666666666E-2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C8FB2-0A5A-42EF-9D29-723890FAE1FF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0.70588235294117652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4212.5</v>
      </c>
      <c r="P2" s="80">
        <v>8</v>
      </c>
      <c r="Q2" s="67">
        <v>33700</v>
      </c>
    </row>
    <row r="3" spans="1:17" x14ac:dyDescent="0.45">
      <c r="A3" s="21" t="s">
        <v>8</v>
      </c>
      <c r="B3" s="133">
        <v>65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0.58823529411764708</v>
      </c>
      <c r="I3" s="60">
        <v>8</v>
      </c>
      <c r="K3" s="7">
        <v>1</v>
      </c>
      <c r="L3" s="65">
        <v>-30.5</v>
      </c>
      <c r="N3" s="78" t="s">
        <v>129</v>
      </c>
      <c r="O3" s="84">
        <f t="shared" si="0"/>
        <v>387.5</v>
      </c>
      <c r="P3" s="81">
        <v>8</v>
      </c>
      <c r="Q3" s="68">
        <v>3100</v>
      </c>
    </row>
    <row r="4" spans="1:17" x14ac:dyDescent="0.45">
      <c r="A4" s="21" t="s">
        <v>6</v>
      </c>
      <c r="B4" s="135">
        <v>7.4999999999999858</v>
      </c>
      <c r="C4" s="136"/>
      <c r="E4" s="29" t="s">
        <v>68</v>
      </c>
      <c r="F4" s="26" t="s">
        <v>12</v>
      </c>
      <c r="G4" s="14">
        <v>8</v>
      </c>
      <c r="H4" s="92">
        <f>IF(B$19=0,0,G4/B$19)</f>
        <v>0.47058823529411764</v>
      </c>
      <c r="I4" s="60">
        <v>2</v>
      </c>
      <c r="K4" s="7">
        <v>2</v>
      </c>
      <c r="L4" s="65">
        <v>-28.6</v>
      </c>
      <c r="N4" s="78" t="s">
        <v>130</v>
      </c>
      <c r="O4" s="84">
        <f t="shared" si="0"/>
        <v>-4987.5</v>
      </c>
      <c r="P4" s="81">
        <v>8</v>
      </c>
      <c r="Q4" s="68">
        <v>-39900</v>
      </c>
    </row>
    <row r="5" spans="1:17" x14ac:dyDescent="0.45">
      <c r="A5" s="21" t="s">
        <v>7</v>
      </c>
      <c r="B5" s="123">
        <f>IF(B$2=0,0,B$4/B$2)</f>
        <v>0.93749999999999822</v>
      </c>
      <c r="C5" s="124"/>
      <c r="E5" s="29" t="s">
        <v>160</v>
      </c>
      <c r="F5" s="26" t="s">
        <v>161</v>
      </c>
      <c r="G5" s="14">
        <v>7</v>
      </c>
      <c r="H5" s="92">
        <f>IF(B$19=0,0,G5/B$19)</f>
        <v>0.41176470588235292</v>
      </c>
      <c r="I5" s="60">
        <v>6</v>
      </c>
      <c r="K5" s="7">
        <v>3</v>
      </c>
      <c r="L5" s="65">
        <v>-41.400000000000006</v>
      </c>
      <c r="N5" s="78" t="s">
        <v>131</v>
      </c>
      <c r="O5" s="84">
        <f t="shared" si="0"/>
        <v>-5850</v>
      </c>
      <c r="P5" s="81">
        <v>6</v>
      </c>
      <c r="Q5" s="68">
        <v>-35100</v>
      </c>
    </row>
    <row r="6" spans="1:17" x14ac:dyDescent="0.45">
      <c r="A6" s="21" t="s">
        <v>1</v>
      </c>
      <c r="B6" s="137">
        <f>IF(B$2=0,0,(B$7*1+B$8*2+B$9*3)/B$2)</f>
        <v>1.875</v>
      </c>
      <c r="C6" s="138"/>
      <c r="E6" s="29" t="s">
        <v>72</v>
      </c>
      <c r="F6" s="26" t="s">
        <v>27</v>
      </c>
      <c r="G6" s="14">
        <v>6</v>
      </c>
      <c r="H6" s="92">
        <f>IF(B$19=0,0,G6/B$19)</f>
        <v>0.35294117647058826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6160</v>
      </c>
      <c r="P6" s="81">
        <v>5</v>
      </c>
      <c r="Q6" s="68">
        <v>30800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0.25</v>
      </c>
      <c r="E7" s="29" t="s">
        <v>67</v>
      </c>
      <c r="F7" s="26" t="s">
        <v>23</v>
      </c>
      <c r="G7" s="14">
        <v>5</v>
      </c>
      <c r="H7" s="92">
        <f>IF(B$19=0,0,G7/B$19)</f>
        <v>0.29411764705882354</v>
      </c>
      <c r="I7" s="60">
        <v>2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5</v>
      </c>
      <c r="C8" s="8">
        <f t="shared" si="1"/>
        <v>0.625</v>
      </c>
      <c r="E8" s="29" t="s">
        <v>65</v>
      </c>
      <c r="F8" s="26" t="s">
        <v>21</v>
      </c>
      <c r="G8" s="14">
        <v>2</v>
      </c>
      <c r="H8" s="92">
        <f>IF(B$19=0,0,G8/B$19)</f>
        <v>0.11764705882352941</v>
      </c>
      <c r="I8" s="60">
        <v>3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0.125</v>
      </c>
      <c r="E9" s="29" t="s">
        <v>71</v>
      </c>
      <c r="F9" s="26" t="s">
        <v>26</v>
      </c>
      <c r="G9" s="14">
        <v>2</v>
      </c>
      <c r="H9" s="92">
        <f>IF(B$19=0,0,G9/B$19)</f>
        <v>0.11764705882352941</v>
      </c>
      <c r="I9" s="60">
        <v>2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0.11764705882352941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5.333333333333333</v>
      </c>
      <c r="P10" s="80">
        <v>3</v>
      </c>
      <c r="Q10" s="71">
        <v>16</v>
      </c>
    </row>
    <row r="11" spans="1:17" x14ac:dyDescent="0.45">
      <c r="A11" s="22" t="s">
        <v>186</v>
      </c>
      <c r="B11" s="113">
        <f>IF(B8=0,0,C11/B8)</f>
        <v>-17</v>
      </c>
      <c r="C11" s="114">
        <v>-85</v>
      </c>
      <c r="E11" s="29" t="s">
        <v>73</v>
      </c>
      <c r="F11" s="26" t="s">
        <v>28</v>
      </c>
      <c r="G11" s="14">
        <v>1</v>
      </c>
      <c r="H11" s="92">
        <f>IF(B$19=0,0,G11/B$19)</f>
        <v>5.8823529411764705E-2</v>
      </c>
      <c r="I11" s="60">
        <v>1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77</v>
      </c>
      <c r="F12" s="26" t="s">
        <v>32</v>
      </c>
      <c r="G12" s="14">
        <v>1</v>
      </c>
      <c r="H12" s="92">
        <f>IF(B$19=0,0,G12/B$19)</f>
        <v>5.8823529411764705E-2</v>
      </c>
      <c r="I12" s="60">
        <v>2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7.6166666666666663</v>
      </c>
      <c r="C13" s="124"/>
      <c r="E13" s="29" t="s">
        <v>89</v>
      </c>
      <c r="F13" s="26" t="s">
        <v>44</v>
      </c>
      <c r="G13" s="14">
        <v>1</v>
      </c>
      <c r="H13" s="92">
        <f>IF(B$19=0,0,G13/B$19)</f>
        <v>5.8823529411764705E-2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69</v>
      </c>
      <c r="F14" s="26" t="s">
        <v>24</v>
      </c>
      <c r="G14" s="14">
        <v>0</v>
      </c>
      <c r="H14" s="92">
        <f>IF(B$19=0,0,G14/B$19)</f>
        <v>0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0.29230769230769232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9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9</v>
      </c>
      <c r="C16" s="8">
        <f>IF(B$3=0,0,B16/B$3)</f>
        <v>0.13846153846153847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19.342857142857149</v>
      </c>
      <c r="P16" s="81">
        <v>7</v>
      </c>
      <c r="Q16" s="72">
        <v>135.40000000000003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0.68421052631578949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164</v>
      </c>
      <c r="O17" s="87">
        <f>IF(P17=0,0,Q17/P17)</f>
        <v>0.29999999999999832</v>
      </c>
      <c r="P17" s="81">
        <v>3</v>
      </c>
      <c r="Q17" s="72">
        <v>0.89999999999999503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17</v>
      </c>
      <c r="C19" s="6">
        <f>IF(B$3=0,0,B19/B$3)</f>
        <v>0.26153846153846155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7.6923076923076927E-2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0.52941176470588236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8</v>
      </c>
      <c r="C22" s="8">
        <f>IF(B$19=0,0,B22/B$19)</f>
        <v>0.47058823529411764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0.76470588235294112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0.17647058823529413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1</v>
      </c>
      <c r="C25" s="8">
        <f>IF(B$19=0,0,B25/B$19)</f>
        <v>5.8823529411764705E-2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7964.7058823529414</v>
      </c>
      <c r="C26" s="10">
        <v>135400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8221.4285714285706</v>
      </c>
      <c r="C27" s="100">
        <v>115100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6766.666666666667</v>
      </c>
      <c r="C28" s="100">
        <v>20300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18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0.11764705882352941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0.17647058823529413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2"/>
        <v>0.29411764705882354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0.17647058823529413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5.8823529411764705E-2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0.11764705882352941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5.8823529411764705E-2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F11D9-06F1-4160-901B-87898ED5DA9E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14</v>
      </c>
      <c r="C2" s="132"/>
      <c r="E2" s="28" t="s">
        <v>66</v>
      </c>
      <c r="F2" s="25" t="s">
        <v>22</v>
      </c>
      <c r="G2" s="13">
        <v>41</v>
      </c>
      <c r="H2" s="91">
        <f>IF(B$19=0,0,G2/B$19)</f>
        <v>1.1081081081081081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4850</v>
      </c>
      <c r="P2" s="80">
        <v>14</v>
      </c>
      <c r="Q2" s="67">
        <v>67900</v>
      </c>
    </row>
    <row r="3" spans="1:17" x14ac:dyDescent="0.45">
      <c r="A3" s="21" t="s">
        <v>8</v>
      </c>
      <c r="B3" s="133">
        <v>105</v>
      </c>
      <c r="C3" s="134"/>
      <c r="E3" s="29" t="s">
        <v>72</v>
      </c>
      <c r="F3" s="26" t="s">
        <v>27</v>
      </c>
      <c r="G3" s="14">
        <v>24</v>
      </c>
      <c r="H3" s="92">
        <f>IF(B$19=0,0,G3/B$19)</f>
        <v>0.64864864864864868</v>
      </c>
      <c r="I3" s="60">
        <v>4</v>
      </c>
      <c r="K3" s="7">
        <v>1</v>
      </c>
      <c r="L3" s="65">
        <v>68.2</v>
      </c>
      <c r="N3" s="78" t="s">
        <v>129</v>
      </c>
      <c r="O3" s="84">
        <f t="shared" si="0"/>
        <v>-7700</v>
      </c>
      <c r="P3" s="81">
        <v>14</v>
      </c>
      <c r="Q3" s="68">
        <v>-107800</v>
      </c>
    </row>
    <row r="4" spans="1:17" x14ac:dyDescent="0.45">
      <c r="A4" s="21" t="s">
        <v>6</v>
      </c>
      <c r="B4" s="135">
        <v>-42.4</v>
      </c>
      <c r="C4" s="136"/>
      <c r="E4" s="29" t="s">
        <v>64</v>
      </c>
      <c r="F4" s="26" t="s">
        <v>20</v>
      </c>
      <c r="G4" s="14">
        <v>12</v>
      </c>
      <c r="H4" s="92">
        <f>IF(B$19=0,0,G4/B$19)</f>
        <v>0.32432432432432434</v>
      </c>
      <c r="I4" s="60">
        <v>9</v>
      </c>
      <c r="K4" s="7">
        <v>2</v>
      </c>
      <c r="L4" s="65">
        <v>41.2</v>
      </c>
      <c r="N4" s="78" t="s">
        <v>130</v>
      </c>
      <c r="O4" s="84">
        <f t="shared" si="0"/>
        <v>600</v>
      </c>
      <c r="P4" s="81">
        <v>13</v>
      </c>
      <c r="Q4" s="68">
        <v>7800</v>
      </c>
    </row>
    <row r="5" spans="1:17" x14ac:dyDescent="0.45">
      <c r="A5" s="21" t="s">
        <v>7</v>
      </c>
      <c r="B5" s="123">
        <f>IF(B$2=0,0,B$4/B$2)</f>
        <v>-3.0285714285714285</v>
      </c>
      <c r="C5" s="124"/>
      <c r="E5" s="29" t="s">
        <v>160</v>
      </c>
      <c r="F5" s="26" t="s">
        <v>161</v>
      </c>
      <c r="G5" s="14">
        <v>11</v>
      </c>
      <c r="H5" s="92">
        <f>IF(B$19=0,0,G5/B$19)</f>
        <v>0.29729729729729731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-2450</v>
      </c>
      <c r="P5" s="81">
        <v>10</v>
      </c>
      <c r="Q5" s="68">
        <v>-24500</v>
      </c>
    </row>
    <row r="6" spans="1:17" x14ac:dyDescent="0.45">
      <c r="A6" s="21" t="s">
        <v>1</v>
      </c>
      <c r="B6" s="137">
        <f>IF(B$2=0,0,(B$7*1+B$8*2+B$9*3)/B$2)</f>
        <v>2.0714285714285716</v>
      </c>
      <c r="C6" s="138"/>
      <c r="E6" s="29" t="s">
        <v>67</v>
      </c>
      <c r="F6" s="26" t="s">
        <v>23</v>
      </c>
      <c r="G6" s="14">
        <v>7</v>
      </c>
      <c r="H6" s="92">
        <f>IF(B$19=0,0,G6/B$19)</f>
        <v>0.1891891891891892</v>
      </c>
      <c r="I6" s="60">
        <v>9</v>
      </c>
      <c r="K6" s="7">
        <v>4</v>
      </c>
      <c r="L6" s="65">
        <v>-41.199999999999996</v>
      </c>
      <c r="N6" s="78" t="s">
        <v>132</v>
      </c>
      <c r="O6" s="84">
        <f t="shared" si="0"/>
        <v>3755.5555555555557</v>
      </c>
      <c r="P6" s="81">
        <v>9</v>
      </c>
      <c r="Q6" s="68">
        <v>33800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0.35714285714285715</v>
      </c>
      <c r="E7" s="29" t="s">
        <v>68</v>
      </c>
      <c r="F7" s="26" t="s">
        <v>12</v>
      </c>
      <c r="G7" s="14">
        <v>7</v>
      </c>
      <c r="H7" s="92">
        <f>IF(B$19=0,0,G7/B$19)</f>
        <v>0.1891891891891892</v>
      </c>
      <c r="I7" s="60">
        <v>10</v>
      </c>
      <c r="K7" s="7">
        <v>5</v>
      </c>
      <c r="L7" s="65">
        <v>-72.899999999999991</v>
      </c>
      <c r="N7" s="79" t="s">
        <v>133</v>
      </c>
      <c r="O7" s="85">
        <f t="shared" si="0"/>
        <v>-1200</v>
      </c>
      <c r="P7" s="82">
        <v>8</v>
      </c>
      <c r="Q7" s="69">
        <v>-9600</v>
      </c>
    </row>
    <row r="8" spans="1:17" x14ac:dyDescent="0.45">
      <c r="A8" s="21" t="s">
        <v>3</v>
      </c>
      <c r="B8" s="14">
        <v>3</v>
      </c>
      <c r="C8" s="8">
        <f t="shared" si="1"/>
        <v>0.21428571428571427</v>
      </c>
      <c r="E8" s="29" t="s">
        <v>70</v>
      </c>
      <c r="F8" s="26" t="s">
        <v>25</v>
      </c>
      <c r="G8" s="14">
        <v>7</v>
      </c>
      <c r="H8" s="92">
        <f>IF(B$19=0,0,G8/B$19)</f>
        <v>0.1891891891891892</v>
      </c>
      <c r="I8" s="60">
        <v>1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6</v>
      </c>
      <c r="C9" s="9">
        <f t="shared" si="1"/>
        <v>0.42857142857142855</v>
      </c>
      <c r="E9" s="29" t="s">
        <v>89</v>
      </c>
      <c r="F9" s="26" t="s">
        <v>44</v>
      </c>
      <c r="G9" s="14">
        <v>7</v>
      </c>
      <c r="H9" s="92">
        <f>IF(B$19=0,0,G9/B$19)</f>
        <v>0.1891891891891892</v>
      </c>
      <c r="I9" s="60">
        <v>1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40.239999999999995</v>
      </c>
      <c r="C10" s="114">
        <v>201.2</v>
      </c>
      <c r="E10" s="29" t="s">
        <v>69</v>
      </c>
      <c r="F10" s="26" t="s">
        <v>24</v>
      </c>
      <c r="G10" s="14">
        <v>5</v>
      </c>
      <c r="H10" s="92">
        <f>IF(B$19=0,0,G10/B$19)</f>
        <v>0.13513513513513514</v>
      </c>
      <c r="I10" s="60">
        <v>4</v>
      </c>
      <c r="K10" s="7">
        <v>8</v>
      </c>
      <c r="L10" s="65">
        <v>-128.6</v>
      </c>
      <c r="N10" s="77" t="s">
        <v>152</v>
      </c>
      <c r="O10" s="86">
        <f>IF(P10=0,0,Q10/P10)</f>
        <v>9.0500000000000007</v>
      </c>
      <c r="P10" s="80">
        <v>6</v>
      </c>
      <c r="Q10" s="71">
        <v>54.300000000000004</v>
      </c>
    </row>
    <row r="11" spans="1:17" x14ac:dyDescent="0.45">
      <c r="A11" s="22" t="s">
        <v>186</v>
      </c>
      <c r="B11" s="113">
        <f>IF(B8=0,0,C11/B8)</f>
        <v>2.5333333333333337</v>
      </c>
      <c r="C11" s="114">
        <v>7.6000000000000014</v>
      </c>
      <c r="E11" s="29" t="s">
        <v>83</v>
      </c>
      <c r="F11" s="26" t="s">
        <v>38</v>
      </c>
      <c r="G11" s="14">
        <v>5</v>
      </c>
      <c r="H11" s="92">
        <f>IF(B$19=0,0,G11/B$19)</f>
        <v>0.13513513513513514</v>
      </c>
      <c r="I11" s="60">
        <v>2</v>
      </c>
      <c r="K11" s="7">
        <v>9</v>
      </c>
      <c r="L11" s="65">
        <v>-120</v>
      </c>
      <c r="N11" s="78" t="s">
        <v>153</v>
      </c>
      <c r="O11" s="87">
        <f>IF(P11=0,0,Q11/P11)</f>
        <v>-10.9</v>
      </c>
      <c r="P11" s="81">
        <v>3</v>
      </c>
      <c r="Q11" s="72">
        <v>-32.700000000000003</v>
      </c>
    </row>
    <row r="12" spans="1:17" x14ac:dyDescent="0.45">
      <c r="A12" s="22" t="s">
        <v>187</v>
      </c>
      <c r="B12" s="113">
        <f>IF(B9=0,0,C12/B9)</f>
        <v>-41.866666666666667</v>
      </c>
      <c r="C12" s="114">
        <v>-251.2</v>
      </c>
      <c r="E12" s="29" t="s">
        <v>65</v>
      </c>
      <c r="F12" s="26" t="s">
        <v>21</v>
      </c>
      <c r="G12" s="14">
        <v>3</v>
      </c>
      <c r="H12" s="92">
        <f>IF(B$19=0,0,G12/B$19)</f>
        <v>8.1081081081081086E-2</v>
      </c>
      <c r="I12" s="60">
        <v>9</v>
      </c>
      <c r="K12" s="7">
        <v>10</v>
      </c>
      <c r="L12" s="65">
        <v>-112.8</v>
      </c>
      <c r="N12" s="79" t="s">
        <v>154</v>
      </c>
      <c r="O12" s="88">
        <f>IF(P12=0,0,Q12/P12)</f>
        <v>-12.8</v>
      </c>
      <c r="P12" s="82">
        <v>5</v>
      </c>
      <c r="Q12" s="73">
        <v>-64</v>
      </c>
    </row>
    <row r="13" spans="1:17" x14ac:dyDescent="0.45">
      <c r="A13" s="22" t="s">
        <v>188</v>
      </c>
      <c r="B13" s="123">
        <f>AVERAGE(B10:B12)</f>
        <v>0.30222222222221973</v>
      </c>
      <c r="C13" s="124"/>
      <c r="E13" s="29" t="s">
        <v>71</v>
      </c>
      <c r="F13" s="26" t="s">
        <v>26</v>
      </c>
      <c r="G13" s="14">
        <v>3</v>
      </c>
      <c r="H13" s="92">
        <f>IF(B$19=0,0,G13/B$19)</f>
        <v>8.1081081081081086E-2</v>
      </c>
      <c r="I13" s="60">
        <v>4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0.21428571428571427</v>
      </c>
      <c r="E14" s="29" t="s">
        <v>78</v>
      </c>
      <c r="F14" s="26" t="s">
        <v>33</v>
      </c>
      <c r="G14" s="14">
        <v>3</v>
      </c>
      <c r="H14" s="92">
        <f>IF(B$19=0,0,G14/B$19)</f>
        <v>8.1081081081081086E-2</v>
      </c>
      <c r="I14" s="60">
        <v>1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0.18095238095238095</v>
      </c>
      <c r="E15" s="29" t="s">
        <v>81</v>
      </c>
      <c r="F15" s="26" t="s">
        <v>36</v>
      </c>
      <c r="G15" s="14">
        <v>1</v>
      </c>
      <c r="H15" s="92">
        <f>IF(B$19=0,0,G15/B$19)</f>
        <v>2.7027027027027029E-2</v>
      </c>
      <c r="I15" s="60">
        <v>3</v>
      </c>
      <c r="K15" s="7">
        <v>13</v>
      </c>
      <c r="L15" s="65">
        <v>-63.4</v>
      </c>
      <c r="N15" s="77" t="s">
        <v>192</v>
      </c>
      <c r="O15" s="86">
        <f>IF(P15=0,0,Q15/P15)</f>
        <v>12.375</v>
      </c>
      <c r="P15" s="80">
        <v>4</v>
      </c>
      <c r="Q15" s="71">
        <v>49.5</v>
      </c>
    </row>
    <row r="16" spans="1:17" x14ac:dyDescent="0.45">
      <c r="A16" s="21" t="s">
        <v>118</v>
      </c>
      <c r="B16" s="14">
        <v>34</v>
      </c>
      <c r="C16" s="8">
        <f>IF(B$3=0,0,B16/B$3)</f>
        <v>0.32380952380952382</v>
      </c>
      <c r="E16" s="29" t="s">
        <v>86</v>
      </c>
      <c r="F16" s="26" t="s">
        <v>41</v>
      </c>
      <c r="G16" s="14">
        <v>1</v>
      </c>
      <c r="H16" s="92">
        <f>IF(B$19=0,0,G16/B$19)</f>
        <v>2.7027027027027029E-2</v>
      </c>
      <c r="I16" s="60">
        <v>7</v>
      </c>
      <c r="K16" s="7">
        <v>14</v>
      </c>
      <c r="L16" s="65">
        <v>-42.4</v>
      </c>
      <c r="N16" s="78" t="s">
        <v>194</v>
      </c>
      <c r="O16" s="87">
        <f>IF(P16=0,0,Q16/P16)</f>
        <v>8.9499999999999993</v>
      </c>
      <c r="P16" s="81">
        <v>4</v>
      </c>
      <c r="Q16" s="72">
        <v>35.799999999999997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0.68421052631578949</v>
      </c>
      <c r="E17" s="29" t="s">
        <v>73</v>
      </c>
      <c r="F17" s="26" t="s">
        <v>28</v>
      </c>
      <c r="G17" s="14">
        <v>0</v>
      </c>
      <c r="H17" s="92">
        <f>IF(B$19=0,0,G17/B$19)</f>
        <v>0</v>
      </c>
      <c r="I17" s="60">
        <v>4</v>
      </c>
      <c r="N17" s="78" t="s">
        <v>164</v>
      </c>
      <c r="O17" s="87">
        <f>IF(P17=0,0,Q17/P17)</f>
        <v>-5.5333333333333377</v>
      </c>
      <c r="P17" s="81">
        <v>6</v>
      </c>
      <c r="Q17" s="72">
        <v>-33.200000000000024</v>
      </c>
    </row>
    <row r="18" spans="1:17" x14ac:dyDescent="0.45">
      <c r="A18" s="20" t="s">
        <v>124</v>
      </c>
      <c r="B18" s="13">
        <f>B24</f>
        <v>10</v>
      </c>
      <c r="C18" s="6">
        <f>IF(B$16=0,0,B18/B$16)</f>
        <v>0.29411764705882354</v>
      </c>
      <c r="E18" s="29" t="s">
        <v>74</v>
      </c>
      <c r="F18" s="26" t="s">
        <v>29</v>
      </c>
      <c r="G18" s="14">
        <v>0</v>
      </c>
      <c r="H18" s="92">
        <f>IF(B$19=0,0,G18/B$19)</f>
        <v>0</v>
      </c>
      <c r="I18" s="60">
        <v>1</v>
      </c>
      <c r="N18" s="78" t="s">
        <v>126</v>
      </c>
      <c r="O18" s="87">
        <f>IF(P18=0,0,Q18/P18)</f>
        <v>-9.3538461538461579</v>
      </c>
      <c r="P18" s="81">
        <v>13</v>
      </c>
      <c r="Q18" s="72">
        <v>-121.60000000000005</v>
      </c>
    </row>
    <row r="19" spans="1:17" x14ac:dyDescent="0.45">
      <c r="A19" s="20" t="s">
        <v>10</v>
      </c>
      <c r="B19" s="13">
        <f>B22+B21</f>
        <v>37</v>
      </c>
      <c r="C19" s="6">
        <f>IF(B$3=0,0,B19/B$3)</f>
        <v>0.35238095238095241</v>
      </c>
      <c r="E19" s="29" t="s">
        <v>75</v>
      </c>
      <c r="F19" s="26" t="s">
        <v>30</v>
      </c>
      <c r="G19" s="14">
        <v>0</v>
      </c>
      <c r="H19" s="92">
        <f>IF(B$19=0,0,G19/B$19)</f>
        <v>0</v>
      </c>
      <c r="I19" s="60">
        <v>4</v>
      </c>
      <c r="N19" s="78" t="s">
        <v>189</v>
      </c>
      <c r="O19" s="87">
        <f>IF(P19=0,0,Q19/P19)</f>
        <v>-57.7</v>
      </c>
      <c r="P19" s="81">
        <v>1</v>
      </c>
      <c r="Q19" s="72">
        <v>-57.7</v>
      </c>
    </row>
    <row r="20" spans="1:17" x14ac:dyDescent="0.45">
      <c r="A20" s="21" t="s">
        <v>13</v>
      </c>
      <c r="B20" s="14">
        <v>23</v>
      </c>
      <c r="C20" s="8">
        <f>IF(B$3=0,0,B20/B$3)</f>
        <v>0.21904761904761905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11</v>
      </c>
      <c r="C21" s="8">
        <f>IF(B$19=0,0,B21/B$19)</f>
        <v>0.29729729729729731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4</v>
      </c>
    </row>
    <row r="22" spans="1:17" x14ac:dyDescent="0.45">
      <c r="A22" s="21" t="s">
        <v>11</v>
      </c>
      <c r="B22" s="14">
        <v>26</v>
      </c>
      <c r="C22" s="8">
        <f>IF(B$19=0,0,B22/B$19)</f>
        <v>0.70270270270270274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6</v>
      </c>
    </row>
    <row r="23" spans="1:17" x14ac:dyDescent="0.45">
      <c r="A23" s="21" t="s">
        <v>184</v>
      </c>
      <c r="B23" s="14">
        <v>13</v>
      </c>
      <c r="C23" s="8">
        <f>IF(B$19=0,0,B23/B$19)</f>
        <v>0.35135135135135137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10</v>
      </c>
      <c r="C24" s="8">
        <f>IF(B$19=0,0,B24/B$19)</f>
        <v>0.27027027027027029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14</v>
      </c>
      <c r="C25" s="8">
        <f>IF(B$19=0,0,B25/B$19)</f>
        <v>0.3783783783783784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9108.1081081081084</v>
      </c>
      <c r="C26" s="10">
        <v>337000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8840.7407407407409</v>
      </c>
      <c r="C27" s="100">
        <v>238700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9830</v>
      </c>
      <c r="C28" s="100">
        <v>98300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-9821.7391304347821</v>
      </c>
      <c r="C29" s="100">
        <v>-225900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10</v>
      </c>
      <c r="C31" s="94">
        <v>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5</v>
      </c>
      <c r="C36" s="102">
        <f t="shared" ref="C36:C48" si="2">IF(B$19=0,0,B36/B$19)</f>
        <v>0.13513513513513514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9</v>
      </c>
      <c r="C37" s="8">
        <f t="shared" si="2"/>
        <v>0.24324324324324326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3</v>
      </c>
      <c r="C38" s="8">
        <f t="shared" si="2"/>
        <v>8.1081081081081086E-2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5</v>
      </c>
      <c r="C39" s="8">
        <f t="shared" si="2"/>
        <v>0.13513513513513514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4</v>
      </c>
      <c r="C40" s="8">
        <f t="shared" si="2"/>
        <v>0.10810810810810811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2"/>
        <v>8.1081081081081086E-2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3</v>
      </c>
      <c r="C42" s="8">
        <f t="shared" si="2"/>
        <v>8.1081081081081086E-2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2</v>
      </c>
      <c r="C43" s="8">
        <f t="shared" si="2"/>
        <v>5.4054054054054057E-2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2.7027027027027029E-2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2</v>
      </c>
      <c r="C46" s="8">
        <f t="shared" si="2"/>
        <v>5.4054054054054057E-2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CD8D6-8B85-4697-9DB4-6B662179F271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7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4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6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2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3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4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6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6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9643-D32B-4786-9A74-C8CE7B847A91}">
  <sheetPr codeName="Sheet24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213</v>
      </c>
      <c r="B1" s="36" t="s">
        <v>213</v>
      </c>
      <c r="C1" s="36" t="s">
        <v>213</v>
      </c>
      <c r="D1" s="37" t="s">
        <v>213</v>
      </c>
      <c r="E1" s="36" t="s">
        <v>213</v>
      </c>
      <c r="F1" s="36" t="s">
        <v>213</v>
      </c>
      <c r="G1" s="36" t="s">
        <v>213</v>
      </c>
      <c r="H1" s="36" t="s">
        <v>213</v>
      </c>
      <c r="I1" s="36" t="s">
        <v>213</v>
      </c>
      <c r="J1" s="36" t="s">
        <v>213</v>
      </c>
      <c r="K1" s="36" t="s">
        <v>213</v>
      </c>
      <c r="L1" s="36" t="s">
        <v>213</v>
      </c>
      <c r="M1" s="36" t="s">
        <v>213</v>
      </c>
      <c r="N1" s="36" t="s">
        <v>213</v>
      </c>
      <c r="O1" s="36" t="s">
        <v>213</v>
      </c>
      <c r="P1" s="36" t="s">
        <v>213</v>
      </c>
      <c r="Q1" s="36" t="s">
        <v>213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6FFD8-738C-45B5-98A6-6C73FC1D9DEB}">
  <sheetPr codeName="Sheet22"/>
  <dimension ref="A1:Q1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F5429-DF6C-40B8-9CF4-1066A16074E1}">
  <sheetPr codeName="Sheet20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C179A-8756-49C0-BD33-4EEA96C0D57A}">
  <sheetPr codeName="Sheet18"/>
  <dimension ref="A1:Q29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5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5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E654-2900-4EDC-9EE1-9CC5F2C70CB1}">
  <sheetPr codeName="Sheet16"/>
  <dimension ref="A1:Q4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5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5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5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36A24-DE2D-43CC-A0CF-AD1848468B32}">
  <sheetPr codeName="Sheet14"/>
  <dimension ref="A1:Q2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5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5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73FEB-1E08-4577-B68D-C4F42684FC0D}">
  <sheetPr codeName="Sheet12"/>
  <dimension ref="A1:Q5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5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6B25-625F-4E86-A808-6031B39D28A2}">
  <sheetPr codeName="Sheet10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1C3E4-15CE-42DC-B805-ABCB5CF2957D}">
  <sheetPr codeName="Sheet8"/>
  <dimension ref="A1:Q4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5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6D08D-88BC-4907-8864-C6AE0DE4B074}">
  <sheetPr codeName="Sheet6"/>
  <dimension ref="A1:Q7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5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5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5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2020-06-15T15:14:35Z</dcterms:modified>
</cp:coreProperties>
</file>