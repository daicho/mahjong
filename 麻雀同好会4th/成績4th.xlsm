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5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6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7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8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9.xml" ContentType="application/vnd.openxmlformats-officedocument.drawing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0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11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2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13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14.xml" ContentType="application/vnd.openxmlformats-officedocument.drawing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15.xml" ContentType="application/vnd.openxmlformats-officedocument.drawing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16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17.xml" ContentType="application/vnd.openxmlformats-officedocument.drawing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18.xml" ContentType="application/vnd.openxmlformats-officedocument.drawing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19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20.xml" ContentType="application/vnd.openxmlformats-officedocument.drawing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21.xml" ContentType="application/vnd.openxmlformats-officedocument.drawing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22.xml" ContentType="application/vnd.openxmlformats-officedocument.drawing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23.xml" ContentType="application/vnd.openxmlformats-officedocument.drawing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drawings/drawing24.xml" ContentType="application/vnd.openxmlformats-officedocument.drawing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25.xml" ContentType="application/vnd.openxmlformats-officedocument.drawing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drawings/drawing26.xml" ContentType="application/vnd.openxmlformats-officedocument.drawing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drawings/drawing27.xml" ContentType="application/vnd.openxmlformats-officedocument.drawing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4th\"/>
    </mc:Choice>
  </mc:AlternateContent>
  <xr:revisionPtr revIDLastSave="0" documentId="13_ncr:1_{5E7CB7A3-3852-4B2C-A255-96D95E1EAEAB}" xr6:coauthVersionLast="44" xr6:coauthVersionMax="44" xr10:uidLastSave="{00000000-0000-0000-0000-000000000000}"/>
  <bookViews>
    <workbookView xWindow="-108" yWindow="-108" windowWidth="23256" windowHeight="12720" tabRatio="663" firstSheet="4" activeTab="4" xr2:uid="{4FDB0271-42AC-4C1F-BA12-2E989A379038}"/>
  </bookViews>
  <sheets>
    <sheet name="Cache" sheetId="2227" state="hidden" r:id="rId1"/>
    <sheet name="Template2" sheetId="3002" state="hidden" r:id="rId2"/>
    <sheet name="Players" sheetId="3285" state="hidden" r:id="rId3"/>
    <sheet name="Template1" sheetId="6023" state="hidden" r:id="rId4"/>
    <sheet name="ランキング" sheetId="3332" r:id="rId5"/>
    <sheet name="全体" sheetId="6174" r:id="rId6"/>
    <sheet name="れんたろう" sheetId="6176" r:id="rId7"/>
    <sheet name="ともき" sheetId="6178" r:id="rId8"/>
    <sheet name="だいち" sheetId="6180" r:id="rId9"/>
    <sheet name="りくと" sheetId="6182" r:id="rId10"/>
    <sheet name="まっつん" sheetId="6184" r:id="rId11"/>
    <sheet name="たかの" sheetId="6186" r:id="rId12"/>
    <sheet name="のり" sheetId="6188" r:id="rId13"/>
    <sheet name="ただ" sheetId="6190" r:id="rId14"/>
    <sheet name="ぱぱ" sheetId="6192" r:id="rId15"/>
    <sheet name="ぱぱ2" sheetId="6193" state="hidden" r:id="rId16"/>
    <sheet name="ただ2" sheetId="6191" state="hidden" r:id="rId17"/>
    <sheet name="のり2" sheetId="6189" state="hidden" r:id="rId18"/>
    <sheet name="たかの2" sheetId="6187" state="hidden" r:id="rId19"/>
    <sheet name="まっつん2" sheetId="6185" state="hidden" r:id="rId20"/>
    <sheet name="りくと2" sheetId="6183" state="hidden" r:id="rId21"/>
    <sheet name="だいち2" sheetId="6181" state="hidden" r:id="rId22"/>
    <sheet name="ともき2" sheetId="6179" state="hidden" r:id="rId23"/>
    <sheet name="れんたろう2" sheetId="6177" state="hidden" r:id="rId24"/>
    <sheet name="全体2" sheetId="6175" state="hidden" r:id="rId25"/>
    <sheet name="通算スコア" sheetId="3331" state="hidden" r:id="rId26"/>
    <sheet name="平均スコア" sheetId="3493" state="hidden" r:id="rId27"/>
    <sheet name="平均順位" sheetId="3183" state="hidden" r:id="rId28"/>
    <sheet name="トップ率" sheetId="3185" state="hidden" r:id="rId29"/>
    <sheet name="ラス率" sheetId="4886" state="hidden" r:id="rId30"/>
    <sheet name="アガリ率" sheetId="3189" state="hidden" r:id="rId31"/>
    <sheet name="放銃率" sheetId="3190" state="hidden" r:id="rId32"/>
    <sheet name="平均アガリ点" sheetId="3520" state="hidden" r:id="rId33"/>
    <sheet name="平均放銃点" sheetId="3521" state="hidden" r:id="rId34"/>
    <sheet name="ふっとび率" sheetId="3522" state="hidden" r:id="rId35"/>
    <sheet name="リーチ率" sheetId="3524" state="hidden" r:id="rId36"/>
    <sheet name="副露率" sheetId="3525" state="hidden" r:id="rId37"/>
    <sheet name="リーチ成功率" sheetId="4841" state="hidden" r:id="rId38"/>
    <sheet name="副露成功率" sheetId="3527" state="hidden" r:id="rId39"/>
    <sheet name="ツモ率" sheetId="3528" state="hidden" r:id="rId40"/>
  </sheets>
  <definedNames>
    <definedName name="アガリ数" localSheetId="3">Template1!$B$19</definedName>
    <definedName name="アガリ数" localSheetId="8">だいち!$B$19</definedName>
    <definedName name="アガリ数" localSheetId="11">たかの!$B$19</definedName>
    <definedName name="アガリ数" localSheetId="13">ただ!$B$19</definedName>
    <definedName name="アガリ数" localSheetId="7">ともき!$B$19</definedName>
    <definedName name="アガリ数" localSheetId="12">のり!$B$19</definedName>
    <definedName name="アガリ数" localSheetId="14">ぱぱ!$B$19</definedName>
    <definedName name="アガリ数" localSheetId="10">まっつん!$B$19</definedName>
    <definedName name="アガリ数" localSheetId="9">りくと!$B$19</definedName>
    <definedName name="アガリ数" localSheetId="6">れんたろう!$B$19</definedName>
    <definedName name="アガリ数" localSheetId="5">全体!$B$19</definedName>
    <definedName name="アガリ数">#REF!</definedName>
    <definedName name="アガリ率" localSheetId="3">Template1!$C$19</definedName>
    <definedName name="アガリ率" localSheetId="8">だいち!$C$19</definedName>
    <definedName name="アガリ率" localSheetId="11">たかの!$C$19</definedName>
    <definedName name="アガリ率" localSheetId="13">ただ!$C$19</definedName>
    <definedName name="アガリ率" localSheetId="7">ともき!$C$19</definedName>
    <definedName name="アガリ率" localSheetId="12">のり!$C$19</definedName>
    <definedName name="アガリ率" localSheetId="14">ぱぱ!$C$19</definedName>
    <definedName name="アガリ率" localSheetId="10">まっつん!$C$19</definedName>
    <definedName name="アガリ率" localSheetId="9">りくと!$C$19</definedName>
    <definedName name="アガリ率" localSheetId="6">れんたろう!$C$19</definedName>
    <definedName name="アガリ率" localSheetId="5">全体!$C$19</definedName>
    <definedName name="アガリ率">#REF!</definedName>
    <definedName name="ダマアガリ数" localSheetId="3">Template1!$B$25</definedName>
    <definedName name="ダマアガリ数" localSheetId="8">だいち!$B$25</definedName>
    <definedName name="ダマアガリ数" localSheetId="11">たかの!$B$25</definedName>
    <definedName name="ダマアガリ数" localSheetId="13">ただ!$B$25</definedName>
    <definedName name="ダマアガリ数" localSheetId="7">ともき!$B$25</definedName>
    <definedName name="ダマアガリ数" localSheetId="12">のり!$B$25</definedName>
    <definedName name="ダマアガリ数" localSheetId="14">ぱぱ!$B$25</definedName>
    <definedName name="ダマアガリ数" localSheetId="10">まっつん!$B$25</definedName>
    <definedName name="ダマアガリ数" localSheetId="9">りくと!$B$25</definedName>
    <definedName name="ダマアガリ数" localSheetId="6">れんたろう!$B$25</definedName>
    <definedName name="ダマアガリ数" localSheetId="5">全体!$B$25</definedName>
    <definedName name="ダマアガリ数">#REF!</definedName>
    <definedName name="ダマアガリ点">#REF!</definedName>
    <definedName name="ダマアガリ率" localSheetId="3">Template1!$C$25</definedName>
    <definedName name="ダマアガリ率" localSheetId="8">だいち!$C$25</definedName>
    <definedName name="ダマアガリ率" localSheetId="11">たかの!$C$25</definedName>
    <definedName name="ダマアガリ率" localSheetId="13">ただ!$C$25</definedName>
    <definedName name="ダマアガリ率" localSheetId="7">ともき!$C$25</definedName>
    <definedName name="ダマアガリ率" localSheetId="12">のり!$C$25</definedName>
    <definedName name="ダマアガリ率" localSheetId="14">ぱぱ!$C$25</definedName>
    <definedName name="ダマアガリ率" localSheetId="10">まっつん!$C$25</definedName>
    <definedName name="ダマアガリ率" localSheetId="9">りくと!$C$25</definedName>
    <definedName name="ダマアガリ率" localSheetId="6">れんたろう!$C$25</definedName>
    <definedName name="ダマアガリ率" localSheetId="5">全体!$C$25</definedName>
    <definedName name="ダマアガリ率">#REF!</definedName>
    <definedName name="チョンボ数" localSheetId="3">Template1!$B$34</definedName>
    <definedName name="チョンボ数" localSheetId="8">だいち!$B$34</definedName>
    <definedName name="チョンボ数" localSheetId="11">たかの!$B$34</definedName>
    <definedName name="チョンボ数" localSheetId="13">ただ!$B$34</definedName>
    <definedName name="チョンボ数" localSheetId="7">ともき!$B$34</definedName>
    <definedName name="チョンボ数" localSheetId="12">のり!$B$34</definedName>
    <definedName name="チョンボ数" localSheetId="14">ぱぱ!$B$34</definedName>
    <definedName name="チョンボ数" localSheetId="10">まっつん!$B$34</definedName>
    <definedName name="チョンボ数" localSheetId="9">りくと!$B$34</definedName>
    <definedName name="チョンボ数" localSheetId="6">れんたろう!$B$34</definedName>
    <definedName name="チョンボ数" localSheetId="5">全体!$B$34</definedName>
    <definedName name="チョンボ数">#REF!</definedName>
    <definedName name="チョンボ率" localSheetId="3">Template1!$C$34</definedName>
    <definedName name="チョンボ率" localSheetId="8">だいち!$C$34</definedName>
    <definedName name="チョンボ率" localSheetId="11">たかの!$C$34</definedName>
    <definedName name="チョンボ率" localSheetId="13">ただ!$C$34</definedName>
    <definedName name="チョンボ率" localSheetId="7">ともき!$C$34</definedName>
    <definedName name="チョンボ率" localSheetId="12">のり!$C$34</definedName>
    <definedName name="チョンボ率" localSheetId="14">ぱぱ!$C$34</definedName>
    <definedName name="チョンボ率" localSheetId="10">まっつん!$C$34</definedName>
    <definedName name="チョンボ率" localSheetId="9">りくと!$C$34</definedName>
    <definedName name="チョンボ率" localSheetId="6">れんたろう!$C$34</definedName>
    <definedName name="チョンボ率" localSheetId="5">全体!$C$34</definedName>
    <definedName name="チョンボ率">#REF!</definedName>
    <definedName name="ツモ数" localSheetId="3">Template1!$B$21</definedName>
    <definedName name="ツモ数" localSheetId="8">だいち!$B$21</definedName>
    <definedName name="ツモ数" localSheetId="11">たかの!$B$21</definedName>
    <definedName name="ツモ数" localSheetId="13">ただ!$B$21</definedName>
    <definedName name="ツモ数" localSheetId="7">ともき!$B$21</definedName>
    <definedName name="ツモ数" localSheetId="12">のり!$B$21</definedName>
    <definedName name="ツモ数" localSheetId="14">ぱぱ!$B$21</definedName>
    <definedName name="ツモ数" localSheetId="10">まっつん!$B$21</definedName>
    <definedName name="ツモ数" localSheetId="9">りくと!$B$21</definedName>
    <definedName name="ツモ数" localSheetId="6">れんたろう!$B$21</definedName>
    <definedName name="ツモ数" localSheetId="5">全体!$B$21</definedName>
    <definedName name="ツモ数">#REF!</definedName>
    <definedName name="ツモ率" localSheetId="3">Template1!$C$21</definedName>
    <definedName name="ツモ率" localSheetId="8">だいち!$C$21</definedName>
    <definedName name="ツモ率" localSheetId="11">たかの!$C$21</definedName>
    <definedName name="ツモ率" localSheetId="13">ただ!$C$21</definedName>
    <definedName name="ツモ率" localSheetId="7">ともき!$C$21</definedName>
    <definedName name="ツモ率" localSheetId="12">のり!$C$21</definedName>
    <definedName name="ツモ率" localSheetId="14">ぱぱ!$C$21</definedName>
    <definedName name="ツモ率" localSheetId="10">まっつん!$C$21</definedName>
    <definedName name="ツモ率" localSheetId="9">りくと!$C$21</definedName>
    <definedName name="ツモ率" localSheetId="6">れんたろう!$C$21</definedName>
    <definedName name="ツモ率" localSheetId="5">全体!$C$21</definedName>
    <definedName name="ツモ率">#REF!</definedName>
    <definedName name="トップ数" localSheetId="3">Template1!$B$7</definedName>
    <definedName name="トップ数" localSheetId="8">だいち!$B$7</definedName>
    <definedName name="トップ数" localSheetId="11">たかの!$B$7</definedName>
    <definedName name="トップ数" localSheetId="13">ただ!$B$7</definedName>
    <definedName name="トップ数" localSheetId="7">ともき!$B$7</definedName>
    <definedName name="トップ数" localSheetId="12">のり!$B$7</definedName>
    <definedName name="トップ数" localSheetId="14">ぱぱ!$B$7</definedName>
    <definedName name="トップ数" localSheetId="10">まっつん!$B$7</definedName>
    <definedName name="トップ数" localSheetId="9">りくと!$B$7</definedName>
    <definedName name="トップ数" localSheetId="6">れんたろう!$B$7</definedName>
    <definedName name="トップ数" localSheetId="5">全体!$B$7</definedName>
    <definedName name="トップ数">#REF!</definedName>
    <definedName name="トップ率" localSheetId="3">Template1!$C$7</definedName>
    <definedName name="トップ率" localSheetId="8">だいち!$C$7</definedName>
    <definedName name="トップ率" localSheetId="11">たかの!$C$7</definedName>
    <definedName name="トップ率" localSheetId="13">ただ!$C$7</definedName>
    <definedName name="トップ率" localSheetId="7">ともき!$C$7</definedName>
    <definedName name="トップ率" localSheetId="12">のり!$C$7</definedName>
    <definedName name="トップ率" localSheetId="14">ぱぱ!$C$7</definedName>
    <definedName name="トップ率" localSheetId="10">まっつん!$C$7</definedName>
    <definedName name="トップ率" localSheetId="9">りくと!$C$7</definedName>
    <definedName name="トップ率" localSheetId="6">れんたろう!$C$7</definedName>
    <definedName name="トップ率" localSheetId="5">全体!$C$7</definedName>
    <definedName name="トップ率">#REF!</definedName>
    <definedName name="バランス" localSheetId="8">だいち!$B$13</definedName>
    <definedName name="バランス" localSheetId="11">たかの!$B$13</definedName>
    <definedName name="バランス" localSheetId="13">ただ!$B$13</definedName>
    <definedName name="バランス" localSheetId="7">ともき!$B$13</definedName>
    <definedName name="バランス" localSheetId="12">のり!$B$13</definedName>
    <definedName name="バランス" localSheetId="14">ぱぱ!$B$13</definedName>
    <definedName name="バランス" localSheetId="10">まっつん!$B$13</definedName>
    <definedName name="バランス" localSheetId="9">りくと!$B$13</definedName>
    <definedName name="バランス" localSheetId="6">れんたろう!$B$13</definedName>
    <definedName name="バランス" localSheetId="5">全体!$B$13</definedName>
    <definedName name="バランス">Template1!$B$13</definedName>
    <definedName name="ふっとばし数">#REF!</definedName>
    <definedName name="ふっとばし率">#REF!</definedName>
    <definedName name="ふっとび数" localSheetId="3">Template1!$B$14</definedName>
    <definedName name="ふっとび数" localSheetId="8">だいち!$B$14</definedName>
    <definedName name="ふっとび数" localSheetId="11">たかの!$B$14</definedName>
    <definedName name="ふっとび数" localSheetId="13">ただ!$B$14</definedName>
    <definedName name="ふっとび数" localSheetId="7">ともき!$B$14</definedName>
    <definedName name="ふっとび数" localSheetId="12">のり!$B$14</definedName>
    <definedName name="ふっとび数" localSheetId="14">ぱぱ!$B$14</definedName>
    <definedName name="ふっとび数" localSheetId="10">まっつん!$B$14</definedName>
    <definedName name="ふっとび数" localSheetId="9">りくと!$B$14</definedName>
    <definedName name="ふっとび数" localSheetId="6">れんたろう!$B$14</definedName>
    <definedName name="ふっとび数" localSheetId="5">全体!$B$14</definedName>
    <definedName name="ふっとび数">#REF!</definedName>
    <definedName name="ふっとび率" localSheetId="3">Template1!$C$14</definedName>
    <definedName name="ふっとび率" localSheetId="8">だいち!$C$14</definedName>
    <definedName name="ふっとび率" localSheetId="11">たかの!$C$14</definedName>
    <definedName name="ふっとび率" localSheetId="13">ただ!$C$14</definedName>
    <definedName name="ふっとび率" localSheetId="7">ともき!$C$14</definedName>
    <definedName name="ふっとび率" localSheetId="12">のり!$C$14</definedName>
    <definedName name="ふっとび率" localSheetId="14">ぱぱ!$C$14</definedName>
    <definedName name="ふっとび率" localSheetId="10">まっつん!$C$14</definedName>
    <definedName name="ふっとび率" localSheetId="9">りくと!$C$14</definedName>
    <definedName name="ふっとび率" localSheetId="6">れんたろう!$C$14</definedName>
    <definedName name="ふっとび率" localSheetId="5">全体!$C$14</definedName>
    <definedName name="ふっとび率">#REF!</definedName>
    <definedName name="ラス数" localSheetId="3">Template1!$B$9</definedName>
    <definedName name="ラス数" localSheetId="8">だいち!$B$9</definedName>
    <definedName name="ラス数" localSheetId="11">たかの!$B$9</definedName>
    <definedName name="ラス数" localSheetId="13">ただ!$B$9</definedName>
    <definedName name="ラス数" localSheetId="7">ともき!$B$9</definedName>
    <definedName name="ラス数" localSheetId="12">のり!$B$9</definedName>
    <definedName name="ラス数" localSheetId="14">ぱぱ!$B$9</definedName>
    <definedName name="ラス数" localSheetId="10">まっつん!$B$9</definedName>
    <definedName name="ラス数" localSheetId="9">りくと!$B$9</definedName>
    <definedName name="ラス数" localSheetId="6">れんたろう!$B$9</definedName>
    <definedName name="ラス数" localSheetId="5">全体!$B$9</definedName>
    <definedName name="ラス数">#REF!</definedName>
    <definedName name="ラス率" localSheetId="3">Template1!$C$9</definedName>
    <definedName name="ラス率" localSheetId="8">だいち!$C$9</definedName>
    <definedName name="ラス率" localSheetId="11">たかの!$C$9</definedName>
    <definedName name="ラス率" localSheetId="13">ただ!$C$9</definedName>
    <definedName name="ラス率" localSheetId="7">ともき!$C$9</definedName>
    <definedName name="ラス率" localSheetId="12">のり!$C$9</definedName>
    <definedName name="ラス率" localSheetId="14">ぱぱ!$C$9</definedName>
    <definedName name="ラス率" localSheetId="10">まっつん!$C$9</definedName>
    <definedName name="ラス率" localSheetId="9">りくと!$C$9</definedName>
    <definedName name="ラス率" localSheetId="6">れんたろう!$C$9</definedName>
    <definedName name="ラス率" localSheetId="5">全体!$C$9</definedName>
    <definedName name="ラス率">#REF!</definedName>
    <definedName name="リーチアガリ数" localSheetId="3">Template1!$B$23</definedName>
    <definedName name="リーチアガリ数" localSheetId="8">だいち!$B$23</definedName>
    <definedName name="リーチアガリ数" localSheetId="11">たかの!$B$23</definedName>
    <definedName name="リーチアガリ数" localSheetId="13">ただ!$B$23</definedName>
    <definedName name="リーチアガリ数" localSheetId="7">ともき!$B$23</definedName>
    <definedName name="リーチアガリ数" localSheetId="12">のり!$B$23</definedName>
    <definedName name="リーチアガリ数" localSheetId="14">ぱぱ!$B$23</definedName>
    <definedName name="リーチアガリ数" localSheetId="10">まっつん!$B$23</definedName>
    <definedName name="リーチアガリ数" localSheetId="9">りくと!$B$23</definedName>
    <definedName name="リーチアガリ数" localSheetId="6">れんたろう!$B$23</definedName>
    <definedName name="リーチアガリ数" localSheetId="5">全体!$B$23</definedName>
    <definedName name="リーチアガリ数">#REF!</definedName>
    <definedName name="リーチアガリ率" localSheetId="3">Template1!$C$23</definedName>
    <definedName name="リーチアガリ率" localSheetId="8">だいち!$C$23</definedName>
    <definedName name="リーチアガリ率" localSheetId="11">たかの!$C$23</definedName>
    <definedName name="リーチアガリ率" localSheetId="13">ただ!$C$23</definedName>
    <definedName name="リーチアガリ率" localSheetId="7">ともき!$C$23</definedName>
    <definedName name="リーチアガリ率" localSheetId="12">のり!$C$23</definedName>
    <definedName name="リーチアガリ率" localSheetId="14">ぱぱ!$C$23</definedName>
    <definedName name="リーチアガリ率" localSheetId="10">まっつん!$C$23</definedName>
    <definedName name="リーチアガリ率" localSheetId="9">りくと!$C$23</definedName>
    <definedName name="リーチアガリ率" localSheetId="6">れんたろう!$C$23</definedName>
    <definedName name="リーチアガリ率" localSheetId="5">全体!$C$23</definedName>
    <definedName name="リーチアガリ率">#REF!</definedName>
    <definedName name="リーチ数" localSheetId="3">Template1!$B$15</definedName>
    <definedName name="リーチ数" localSheetId="8">だいち!$B$15</definedName>
    <definedName name="リーチ数" localSheetId="11">たかの!$B$15</definedName>
    <definedName name="リーチ数" localSheetId="13">ただ!$B$15</definedName>
    <definedName name="リーチ数" localSheetId="7">ともき!$B$15</definedName>
    <definedName name="リーチ数" localSheetId="12">のり!$B$15</definedName>
    <definedName name="リーチ数" localSheetId="14">ぱぱ!$B$15</definedName>
    <definedName name="リーチ数" localSheetId="10">まっつん!$B$15</definedName>
    <definedName name="リーチ数" localSheetId="9">りくと!$B$15</definedName>
    <definedName name="リーチ数" localSheetId="6">れんたろう!$B$15</definedName>
    <definedName name="リーチ数" localSheetId="5">全体!$B$15</definedName>
    <definedName name="リーチ数">#REF!</definedName>
    <definedName name="リーチ成功数" localSheetId="3">Template1!$B$17</definedName>
    <definedName name="リーチ成功数" localSheetId="8">だいち!$B$17</definedName>
    <definedName name="リーチ成功数" localSheetId="11">たかの!$B$17</definedName>
    <definedName name="リーチ成功数" localSheetId="13">ただ!$B$17</definedName>
    <definedName name="リーチ成功数" localSheetId="7">ともき!$B$17</definedName>
    <definedName name="リーチ成功数" localSheetId="12">のり!$B$17</definedName>
    <definedName name="リーチ成功数" localSheetId="14">ぱぱ!$B$17</definedName>
    <definedName name="リーチ成功数" localSheetId="10">まっつん!$B$17</definedName>
    <definedName name="リーチ成功数" localSheetId="9">りくと!$B$17</definedName>
    <definedName name="リーチ成功数" localSheetId="6">れんたろう!$B$17</definedName>
    <definedName name="リーチ成功数" localSheetId="5">全体!$B$17</definedName>
    <definedName name="リーチ成功数">#REF!</definedName>
    <definedName name="リーチ成功率" localSheetId="3">Template1!$C$17</definedName>
    <definedName name="リーチ成功率" localSheetId="8">だいち!$C$17</definedName>
    <definedName name="リーチ成功率" localSheetId="11">たかの!$C$17</definedName>
    <definedName name="リーチ成功率" localSheetId="13">ただ!$C$17</definedName>
    <definedName name="リーチ成功率" localSheetId="7">ともき!$C$17</definedName>
    <definedName name="リーチ成功率" localSheetId="12">のり!$C$17</definedName>
    <definedName name="リーチ成功率" localSheetId="14">ぱぱ!$C$17</definedName>
    <definedName name="リーチ成功率" localSheetId="10">まっつん!$C$17</definedName>
    <definedName name="リーチ成功率" localSheetId="9">りくと!$C$17</definedName>
    <definedName name="リーチ成功率" localSheetId="6">れんたろう!$C$17</definedName>
    <definedName name="リーチ成功率" localSheetId="5">全体!$C$17</definedName>
    <definedName name="リーチ成功率">#REF!</definedName>
    <definedName name="リーチ率" localSheetId="3">Template1!$C$15</definedName>
    <definedName name="リーチ率" localSheetId="8">だいち!$C$15</definedName>
    <definedName name="リーチ率" localSheetId="11">たかの!$C$15</definedName>
    <definedName name="リーチ率" localSheetId="13">ただ!$C$15</definedName>
    <definedName name="リーチ率" localSheetId="7">ともき!$C$15</definedName>
    <definedName name="リーチ率" localSheetId="12">のり!$C$15</definedName>
    <definedName name="リーチ率" localSheetId="14">ぱぱ!$C$15</definedName>
    <definedName name="リーチ率" localSheetId="10">まっつん!$C$15</definedName>
    <definedName name="リーチ率" localSheetId="9">りくと!$C$15</definedName>
    <definedName name="リーチ率" localSheetId="6">れんたろう!$C$15</definedName>
    <definedName name="リーチ率" localSheetId="5">全体!$C$15</definedName>
    <definedName name="リーチ率">#REF!</definedName>
    <definedName name="ロン数" localSheetId="3">Template1!$B$22</definedName>
    <definedName name="ロン数" localSheetId="8">だいち!$B$22</definedName>
    <definedName name="ロン数" localSheetId="11">たかの!$B$22</definedName>
    <definedName name="ロン数" localSheetId="13">ただ!$B$22</definedName>
    <definedName name="ロン数" localSheetId="7">ともき!$B$22</definedName>
    <definedName name="ロン数" localSheetId="12">のり!$B$22</definedName>
    <definedName name="ロン数" localSheetId="14">ぱぱ!$B$22</definedName>
    <definedName name="ロン数" localSheetId="10">まっつん!$B$22</definedName>
    <definedName name="ロン数" localSheetId="9">りくと!$B$22</definedName>
    <definedName name="ロン数" localSheetId="6">れんたろう!$B$22</definedName>
    <definedName name="ロン数" localSheetId="5">全体!$B$22</definedName>
    <definedName name="ロン数">#REF!</definedName>
    <definedName name="ロン率" localSheetId="3">Template1!$C$22</definedName>
    <definedName name="ロン率" localSheetId="8">だいち!$C$22</definedName>
    <definedName name="ロン率" localSheetId="11">たかの!$C$22</definedName>
    <definedName name="ロン率" localSheetId="13">ただ!$C$22</definedName>
    <definedName name="ロン率" localSheetId="7">ともき!$C$22</definedName>
    <definedName name="ロン率" localSheetId="12">のり!$C$22</definedName>
    <definedName name="ロン率" localSheetId="14">ぱぱ!$C$22</definedName>
    <definedName name="ロン率" localSheetId="10">まっつん!$C$22</definedName>
    <definedName name="ロン率" localSheetId="9">りくと!$C$22</definedName>
    <definedName name="ロン率" localSheetId="6">れんたろう!$C$22</definedName>
    <definedName name="ロン率" localSheetId="5">全体!$C$22</definedName>
    <definedName name="ロン率">#REF!</definedName>
    <definedName name="一位スコア" localSheetId="8">だいち!$B$10</definedName>
    <definedName name="一位スコア" localSheetId="11">たかの!$B$10</definedName>
    <definedName name="一位スコア" localSheetId="13">ただ!$B$10</definedName>
    <definedName name="一位スコア" localSheetId="7">ともき!$B$10</definedName>
    <definedName name="一位スコア" localSheetId="12">のり!$B$10</definedName>
    <definedName name="一位スコア" localSheetId="14">ぱぱ!$B$10</definedName>
    <definedName name="一位スコア" localSheetId="10">まっつん!$B$10</definedName>
    <definedName name="一位スコア" localSheetId="9">りくと!$B$10</definedName>
    <definedName name="一位スコア" localSheetId="6">れんたろう!$B$10</definedName>
    <definedName name="一位スコア" localSheetId="5">全体!$B$10</definedName>
    <definedName name="一位スコア">Template1!$B$10</definedName>
    <definedName name="一位通算スコア" localSheetId="8">だいち!$C$10</definedName>
    <definedName name="一位通算スコア" localSheetId="11">たかの!$C$10</definedName>
    <definedName name="一位通算スコア" localSheetId="13">ただ!$C$10</definedName>
    <definedName name="一位通算スコア" localSheetId="7">ともき!$C$10</definedName>
    <definedName name="一位通算スコア" localSheetId="12">のり!$C$10</definedName>
    <definedName name="一位通算スコア" localSheetId="14">ぱぱ!$C$10</definedName>
    <definedName name="一位通算スコア" localSheetId="10">まっつん!$C$10</definedName>
    <definedName name="一位通算スコア" localSheetId="9">りくと!$C$10</definedName>
    <definedName name="一位通算スコア" localSheetId="6">れんたろう!$C$10</definedName>
    <definedName name="一位通算スコア" localSheetId="5">全体!$C$10</definedName>
    <definedName name="一位通算スコア">Template1!$C$10</definedName>
    <definedName name="一翻数" localSheetId="8">だいち!$B$36</definedName>
    <definedName name="一翻数" localSheetId="11">たかの!$B$36</definedName>
    <definedName name="一翻数" localSheetId="13">ただ!$B$36</definedName>
    <definedName name="一翻数" localSheetId="7">ともき!$B$36</definedName>
    <definedName name="一翻数" localSheetId="12">のり!$B$36</definedName>
    <definedName name="一翻数" localSheetId="14">ぱぱ!$B$36</definedName>
    <definedName name="一翻数" localSheetId="10">まっつん!$B$36</definedName>
    <definedName name="一翻数" localSheetId="9">りくと!$B$36</definedName>
    <definedName name="一翻数" localSheetId="6">れんたろう!$B$36</definedName>
    <definedName name="一翻数" localSheetId="5">全体!$B$36</definedName>
    <definedName name="一翻数">Template1!$B$36</definedName>
    <definedName name="一翻率" localSheetId="8">だいち!$C$36</definedName>
    <definedName name="一翻率" localSheetId="11">たかの!$C$36</definedName>
    <definedName name="一翻率" localSheetId="13">ただ!$C$36</definedName>
    <definedName name="一翻率" localSheetId="7">ともき!$C$36</definedName>
    <definedName name="一翻率" localSheetId="12">のり!$C$36</definedName>
    <definedName name="一翻率" localSheetId="14">ぱぱ!$C$36</definedName>
    <definedName name="一翻率" localSheetId="10">まっつん!$C$36</definedName>
    <definedName name="一翻率" localSheetId="9">りくと!$C$36</definedName>
    <definedName name="一翻率" localSheetId="6">れんたろう!$C$36</definedName>
    <definedName name="一翻率" localSheetId="5">全体!$C$36</definedName>
    <definedName name="一翻率">Template1!$C$36</definedName>
    <definedName name="逆転数">#REF!</definedName>
    <definedName name="逆転率">#REF!</definedName>
    <definedName name="現行連続アガリ" localSheetId="3">Template1!$C$30</definedName>
    <definedName name="現行連続アガリ" localSheetId="8">だいち!$C$30</definedName>
    <definedName name="現行連続アガリ" localSheetId="11">たかの!$C$30</definedName>
    <definedName name="現行連続アガリ" localSheetId="13">ただ!$C$30</definedName>
    <definedName name="現行連続アガリ" localSheetId="7">ともき!$C$30</definedName>
    <definedName name="現行連続アガリ" localSheetId="12">のり!$C$30</definedName>
    <definedName name="現行連続アガリ" localSheetId="14">ぱぱ!$C$30</definedName>
    <definedName name="現行連続アガリ" localSheetId="10">まっつん!$C$30</definedName>
    <definedName name="現行連続アガリ" localSheetId="9">りくと!$C$30</definedName>
    <definedName name="現行連続アガリ" localSheetId="6">れんたろう!$C$30</definedName>
    <definedName name="現行連続アガリ" localSheetId="5">全体!$C$30</definedName>
    <definedName name="現行連続アガリ">#REF!</definedName>
    <definedName name="現行連続無放銃" localSheetId="3">Template1!$C$31</definedName>
    <definedName name="現行連続無放銃" localSheetId="8">だいち!$C$31</definedName>
    <definedName name="現行連続無放銃" localSheetId="11">たかの!$C$31</definedName>
    <definedName name="現行連続無放銃" localSheetId="13">ただ!$C$31</definedName>
    <definedName name="現行連続無放銃" localSheetId="7">ともき!$C$31</definedName>
    <definedName name="現行連続無放銃" localSheetId="12">のり!$C$31</definedName>
    <definedName name="現行連続無放銃" localSheetId="14">ぱぱ!$C$31</definedName>
    <definedName name="現行連続無放銃" localSheetId="10">まっつん!$C$31</definedName>
    <definedName name="現行連続無放銃" localSheetId="9">りくと!$C$31</definedName>
    <definedName name="現行連続無放銃" localSheetId="6">れんたろう!$C$31</definedName>
    <definedName name="現行連続無放銃" localSheetId="5">全体!$C$31</definedName>
    <definedName name="現行連続無放銃">#REF!</definedName>
    <definedName name="最高点" localSheetId="3">Template1!$B$33</definedName>
    <definedName name="最高点" localSheetId="8">だいち!$B$33</definedName>
    <definedName name="最高点" localSheetId="11">たかの!$B$33</definedName>
    <definedName name="最高点" localSheetId="13">ただ!$B$33</definedName>
    <definedName name="最高点" localSheetId="7">ともき!$B$33</definedName>
    <definedName name="最高点" localSheetId="12">のり!$B$33</definedName>
    <definedName name="最高点" localSheetId="14">ぱぱ!$B$33</definedName>
    <definedName name="最高点" localSheetId="10">まっつん!$B$33</definedName>
    <definedName name="最高点" localSheetId="9">りくと!$B$33</definedName>
    <definedName name="最高点" localSheetId="6">れんたろう!$B$33</definedName>
    <definedName name="最高点" localSheetId="5">全体!$B$33</definedName>
    <definedName name="最高点">#REF!</definedName>
    <definedName name="最大ドラ数" localSheetId="3">Template1!$B$32</definedName>
    <definedName name="最大ドラ数" localSheetId="8">だいち!$B$32</definedName>
    <definedName name="最大ドラ数" localSheetId="11">たかの!$B$32</definedName>
    <definedName name="最大ドラ数" localSheetId="13">ただ!$B$32</definedName>
    <definedName name="最大ドラ数" localSheetId="7">ともき!$B$32</definedName>
    <definedName name="最大ドラ数" localSheetId="12">のり!$B$32</definedName>
    <definedName name="最大ドラ数" localSheetId="14">ぱぱ!$B$32</definedName>
    <definedName name="最大ドラ数" localSheetId="10">まっつん!$B$32</definedName>
    <definedName name="最大ドラ数" localSheetId="9">りくと!$B$32</definedName>
    <definedName name="最大ドラ数" localSheetId="6">れんたろう!$B$32</definedName>
    <definedName name="最大ドラ数" localSheetId="5">全体!$B$32</definedName>
    <definedName name="最大ドラ数">#REF!</definedName>
    <definedName name="最大点数" localSheetId="3">Template1!$B$33</definedName>
    <definedName name="最大点数" localSheetId="8">だいち!$B$33</definedName>
    <definedName name="最大点数" localSheetId="11">たかの!$B$33</definedName>
    <definedName name="最大点数" localSheetId="13">ただ!$B$33</definedName>
    <definedName name="最大点数" localSheetId="7">ともき!$B$33</definedName>
    <definedName name="最大点数" localSheetId="12">のり!$B$33</definedName>
    <definedName name="最大点数" localSheetId="14">ぱぱ!$B$33</definedName>
    <definedName name="最大点数" localSheetId="10">まっつん!$B$33</definedName>
    <definedName name="最大点数" localSheetId="9">りくと!$B$33</definedName>
    <definedName name="最大点数" localSheetId="6">れんたろう!$B$33</definedName>
    <definedName name="最大点数" localSheetId="5">全体!$B$33</definedName>
    <definedName name="最大点数">#REF!</definedName>
    <definedName name="三位スコア" localSheetId="8">だいち!$B$12</definedName>
    <definedName name="三位スコア" localSheetId="11">たかの!$B$12</definedName>
    <definedName name="三位スコア" localSheetId="13">ただ!$B$12</definedName>
    <definedName name="三位スコア" localSheetId="7">ともき!$B$12</definedName>
    <definedName name="三位スコア" localSheetId="12">のり!$B$12</definedName>
    <definedName name="三位スコア" localSheetId="14">ぱぱ!$B$12</definedName>
    <definedName name="三位スコア" localSheetId="10">まっつん!$B$12</definedName>
    <definedName name="三位スコア" localSheetId="9">りくと!$B$12</definedName>
    <definedName name="三位スコア" localSheetId="6">れんたろう!$B$12</definedName>
    <definedName name="三位スコア" localSheetId="5">全体!$B$12</definedName>
    <definedName name="三位スコア">Template1!$B$12</definedName>
    <definedName name="三位通算スコア" localSheetId="8">だいち!$C$12</definedName>
    <definedName name="三位通算スコア" localSheetId="11">たかの!$C$12</definedName>
    <definedName name="三位通算スコア" localSheetId="13">ただ!$C$12</definedName>
    <definedName name="三位通算スコア" localSheetId="7">ともき!$C$12</definedName>
    <definedName name="三位通算スコア" localSheetId="12">のり!$C$12</definedName>
    <definedName name="三位通算スコア" localSheetId="14">ぱぱ!$C$12</definedName>
    <definedName name="三位通算スコア" localSheetId="10">まっつん!$C$12</definedName>
    <definedName name="三位通算スコア" localSheetId="9">りくと!$C$12</definedName>
    <definedName name="三位通算スコア" localSheetId="6">れんたろう!$C$12</definedName>
    <definedName name="三位通算スコア" localSheetId="5">全体!$C$12</definedName>
    <definedName name="三位通算スコア">Template1!$C$12</definedName>
    <definedName name="総局数" localSheetId="3">Template1!$B$3</definedName>
    <definedName name="総局数" localSheetId="8">だいち!$B$3</definedName>
    <definedName name="総局数" localSheetId="11">たかの!$B$3</definedName>
    <definedName name="総局数" localSheetId="13">ただ!$B$3</definedName>
    <definedName name="総局数" localSheetId="7">ともき!$B$3</definedName>
    <definedName name="総局数" localSheetId="12">のり!$B$3</definedName>
    <definedName name="総局数" localSheetId="14">ぱぱ!$B$3</definedName>
    <definedName name="総局数" localSheetId="10">まっつん!$B$3</definedName>
    <definedName name="総局数" localSheetId="9">りくと!$B$3</definedName>
    <definedName name="総局数" localSheetId="6">れんたろう!$B$3</definedName>
    <definedName name="総局数" localSheetId="5">全体!$B$3</definedName>
    <definedName name="総局数">#REF!</definedName>
    <definedName name="対戦数" localSheetId="3">Template1!$B$2</definedName>
    <definedName name="対戦数" localSheetId="8">だいち!$B$2</definedName>
    <definedName name="対戦数" localSheetId="11">たかの!$B$2</definedName>
    <definedName name="対戦数" localSheetId="13">ただ!$B$2</definedName>
    <definedName name="対戦数" localSheetId="7">ともき!$B$2</definedName>
    <definedName name="対戦数" localSheetId="12">のり!$B$2</definedName>
    <definedName name="対戦数" localSheetId="14">ぱぱ!$B$2</definedName>
    <definedName name="対戦数" localSheetId="10">まっつん!$B$2</definedName>
    <definedName name="対戦数" localSheetId="9">りくと!$B$2</definedName>
    <definedName name="対戦数" localSheetId="6">れんたろう!$B$2</definedName>
    <definedName name="対戦数" localSheetId="5">全体!$B$2</definedName>
    <definedName name="対戦数">#REF!</definedName>
    <definedName name="通算アガリ点" localSheetId="3">Template1!$C$26</definedName>
    <definedName name="通算アガリ点" localSheetId="8">だいち!$C$26</definedName>
    <definedName name="通算アガリ点" localSheetId="11">たかの!$C$26</definedName>
    <definedName name="通算アガリ点" localSheetId="13">ただ!$C$26</definedName>
    <definedName name="通算アガリ点" localSheetId="7">ともき!$C$26</definedName>
    <definedName name="通算アガリ点" localSheetId="12">のり!$C$26</definedName>
    <definedName name="通算アガリ点" localSheetId="14">ぱぱ!$C$26</definedName>
    <definedName name="通算アガリ点" localSheetId="10">まっつん!$C$26</definedName>
    <definedName name="通算アガリ点" localSheetId="9">りくと!$C$26</definedName>
    <definedName name="通算アガリ点" localSheetId="6">れんたろう!$C$26</definedName>
    <definedName name="通算アガリ点" localSheetId="5">全体!$C$26</definedName>
    <definedName name="通算アガリ点">#REF!</definedName>
    <definedName name="通算スコア" localSheetId="3">Template1!$B$4</definedName>
    <definedName name="通算スコア" localSheetId="8">だいち!$B$4</definedName>
    <definedName name="通算スコア" localSheetId="11">たかの!$B$4</definedName>
    <definedName name="通算スコア" localSheetId="13">ただ!$B$4</definedName>
    <definedName name="通算スコア" localSheetId="7">ともき!$B$4</definedName>
    <definedName name="通算スコア" localSheetId="12">のり!$B$4</definedName>
    <definedName name="通算スコア" localSheetId="14">ぱぱ!$B$4</definedName>
    <definedName name="通算スコア" localSheetId="10">まっつん!$B$4</definedName>
    <definedName name="通算スコア" localSheetId="9">りくと!$B$4</definedName>
    <definedName name="通算スコア" localSheetId="6">れんたろう!$B$4</definedName>
    <definedName name="通算スコア" localSheetId="5">全体!$B$4</definedName>
    <definedName name="通算スコア">#REF!</definedName>
    <definedName name="通算副露アガリ点" localSheetId="3">Template1!$C$28</definedName>
    <definedName name="通算副露アガリ点" localSheetId="8">だいち!$C$28</definedName>
    <definedName name="通算副露アガリ点" localSheetId="11">たかの!$C$28</definedName>
    <definedName name="通算副露アガリ点" localSheetId="13">ただ!$C$28</definedName>
    <definedName name="通算副露アガリ点" localSheetId="7">ともき!$C$28</definedName>
    <definedName name="通算副露アガリ点" localSheetId="12">のり!$C$28</definedName>
    <definedName name="通算副露アガリ点" localSheetId="14">ぱぱ!$C$28</definedName>
    <definedName name="通算副露アガリ点" localSheetId="10">まっつん!$C$28</definedName>
    <definedName name="通算副露アガリ点" localSheetId="9">りくと!$C$28</definedName>
    <definedName name="通算副露アガリ点" localSheetId="6">れんたろう!$C$28</definedName>
    <definedName name="通算副露アガリ点" localSheetId="5">全体!$C$28</definedName>
    <definedName name="通算副露アガリ点">#REF!</definedName>
    <definedName name="通算放銃点" localSheetId="3">Template1!$C$29</definedName>
    <definedName name="通算放銃点" localSheetId="8">だいち!$C$29</definedName>
    <definedName name="通算放銃点" localSheetId="11">たかの!$C$29</definedName>
    <definedName name="通算放銃点" localSheetId="13">ただ!$C$29</definedName>
    <definedName name="通算放銃点" localSheetId="7">ともき!$C$29</definedName>
    <definedName name="通算放銃点" localSheetId="12">のり!$C$29</definedName>
    <definedName name="通算放銃点" localSheetId="14">ぱぱ!$C$29</definedName>
    <definedName name="通算放銃点" localSheetId="10">まっつん!$C$29</definedName>
    <definedName name="通算放銃点" localSheetId="9">りくと!$C$29</definedName>
    <definedName name="通算放銃点" localSheetId="6">れんたろう!$C$29</definedName>
    <definedName name="通算放銃点" localSheetId="5">全体!$C$29</definedName>
    <definedName name="通算放銃点">#REF!</definedName>
    <definedName name="通算門前アガリ点" localSheetId="3">Template1!$C$27</definedName>
    <definedName name="通算門前アガリ点" localSheetId="8">だいち!$C$27</definedName>
    <definedName name="通算門前アガリ点" localSheetId="11">たかの!$C$27</definedName>
    <definedName name="通算門前アガリ点" localSheetId="13">ただ!$C$27</definedName>
    <definedName name="通算門前アガリ点" localSheetId="7">ともき!$C$27</definedName>
    <definedName name="通算門前アガリ点" localSheetId="12">のり!$C$27</definedName>
    <definedName name="通算門前アガリ点" localSheetId="14">ぱぱ!$C$27</definedName>
    <definedName name="通算門前アガリ点" localSheetId="10">まっつん!$C$27</definedName>
    <definedName name="通算門前アガリ点" localSheetId="9">りくと!$C$27</definedName>
    <definedName name="通算門前アガリ点" localSheetId="6">れんたろう!$C$27</definedName>
    <definedName name="通算門前アガリ点" localSheetId="5">全体!$C$27</definedName>
    <definedName name="通算門前アガリ点">#REF!</definedName>
    <definedName name="二位スコア" localSheetId="8">だいち!$B$11</definedName>
    <definedName name="二位スコア" localSheetId="11">たかの!$B$11</definedName>
    <definedName name="二位スコア" localSheetId="13">ただ!$B$11</definedName>
    <definedName name="二位スコア" localSheetId="7">ともき!$B$11</definedName>
    <definedName name="二位スコア" localSheetId="12">のり!$B$11</definedName>
    <definedName name="二位スコア" localSheetId="14">ぱぱ!$B$11</definedName>
    <definedName name="二位スコア" localSheetId="10">まっつん!$B$11</definedName>
    <definedName name="二位スコア" localSheetId="9">りくと!$B$11</definedName>
    <definedName name="二位スコア" localSheetId="6">れんたろう!$B$11</definedName>
    <definedName name="二位スコア" localSheetId="5">全体!$B$11</definedName>
    <definedName name="二位スコア">Template1!$B$11</definedName>
    <definedName name="二位数" localSheetId="3">Template1!$B$8</definedName>
    <definedName name="二位数" localSheetId="8">だいち!$B$8</definedName>
    <definedName name="二位数" localSheetId="11">たかの!$B$8</definedName>
    <definedName name="二位数" localSheetId="13">ただ!$B$8</definedName>
    <definedName name="二位数" localSheetId="7">ともき!$B$8</definedName>
    <definedName name="二位数" localSheetId="12">のり!$B$8</definedName>
    <definedName name="二位数" localSheetId="14">ぱぱ!$B$8</definedName>
    <definedName name="二位数" localSheetId="10">まっつん!$B$8</definedName>
    <definedName name="二位数" localSheetId="9">りくと!$B$8</definedName>
    <definedName name="二位数" localSheetId="6">れんたろう!$B$8</definedName>
    <definedName name="二位数" localSheetId="5">全体!$B$8</definedName>
    <definedName name="二位数">#REF!</definedName>
    <definedName name="二位通算スコア" localSheetId="8">だいち!$C$11</definedName>
    <definedName name="二位通算スコア" localSheetId="11">たかの!$C$11</definedName>
    <definedName name="二位通算スコア" localSheetId="13">ただ!$C$11</definedName>
    <definedName name="二位通算スコア" localSheetId="7">ともき!$C$11</definedName>
    <definedName name="二位通算スコア" localSheetId="12">のり!$C$11</definedName>
    <definedName name="二位通算スコア" localSheetId="14">ぱぱ!$C$11</definedName>
    <definedName name="二位通算スコア" localSheetId="10">まっつん!$C$11</definedName>
    <definedName name="二位通算スコア" localSheetId="9">りくと!$C$11</definedName>
    <definedName name="二位通算スコア" localSheetId="6">れんたろう!$C$11</definedName>
    <definedName name="二位通算スコア" localSheetId="5">全体!$C$11</definedName>
    <definedName name="二位通算スコア">Template1!$C$11</definedName>
    <definedName name="二位率" localSheetId="3">Template1!$C$8</definedName>
    <definedName name="二位率" localSheetId="8">だいち!$C$8</definedName>
    <definedName name="二位率" localSheetId="11">たかの!$C$8</definedName>
    <definedName name="二位率" localSheetId="13">ただ!$C$8</definedName>
    <definedName name="二位率" localSheetId="7">ともき!$C$8</definedName>
    <definedName name="二位率" localSheetId="12">のり!$C$8</definedName>
    <definedName name="二位率" localSheetId="14">ぱぱ!$C$8</definedName>
    <definedName name="二位率" localSheetId="10">まっつん!$C$8</definedName>
    <definedName name="二位率" localSheetId="9">りくと!$C$8</definedName>
    <definedName name="二位率" localSheetId="6">れんたろう!$C$8</definedName>
    <definedName name="二位率" localSheetId="5">全体!$C$8</definedName>
    <definedName name="二位率">#REF!</definedName>
    <definedName name="副露アガリ数" localSheetId="3">Template1!$B$24</definedName>
    <definedName name="副露アガリ数" localSheetId="8">だいち!$B$24</definedName>
    <definedName name="副露アガリ数" localSheetId="11">たかの!$B$24</definedName>
    <definedName name="副露アガリ数" localSheetId="13">ただ!$B$24</definedName>
    <definedName name="副露アガリ数" localSheetId="7">ともき!$B$24</definedName>
    <definedName name="副露アガリ数" localSheetId="12">のり!$B$24</definedName>
    <definedName name="副露アガリ数" localSheetId="14">ぱぱ!$B$24</definedName>
    <definedName name="副露アガリ数" localSheetId="10">まっつん!$B$24</definedName>
    <definedName name="副露アガリ数" localSheetId="9">りくと!$B$24</definedName>
    <definedName name="副露アガリ数" localSheetId="6">れんたろう!$B$24</definedName>
    <definedName name="副露アガリ数" localSheetId="5">全体!$B$24</definedName>
    <definedName name="副露アガリ数">#REF!</definedName>
    <definedName name="副露アガリ点" localSheetId="3">Template1!$B$28</definedName>
    <definedName name="副露アガリ点" localSheetId="8">だいち!$B$28</definedName>
    <definedName name="副露アガリ点" localSheetId="11">たかの!$B$28</definedName>
    <definedName name="副露アガリ点" localSheetId="13">ただ!$B$28</definedName>
    <definedName name="副露アガリ点" localSheetId="7">ともき!$B$28</definedName>
    <definedName name="副露アガリ点" localSheetId="12">のり!$B$28</definedName>
    <definedName name="副露アガリ点" localSheetId="14">ぱぱ!$B$28</definedName>
    <definedName name="副露アガリ点" localSheetId="10">まっつん!$B$28</definedName>
    <definedName name="副露アガリ点" localSheetId="9">りくと!$B$28</definedName>
    <definedName name="副露アガリ点" localSheetId="6">れんたろう!$B$28</definedName>
    <definedName name="副露アガリ点" localSheetId="5">全体!$B$28</definedName>
    <definedName name="副露アガリ点">#REF!</definedName>
    <definedName name="副露アガリ率" localSheetId="3">Template1!$C$24</definedName>
    <definedName name="副露アガリ率" localSheetId="8">だいち!$C$24</definedName>
    <definedName name="副露アガリ率" localSheetId="11">たかの!$C$24</definedName>
    <definedName name="副露アガリ率" localSheetId="13">ただ!$C$24</definedName>
    <definedName name="副露アガリ率" localSheetId="7">ともき!$C$24</definedName>
    <definedName name="副露アガリ率" localSheetId="12">のり!$C$24</definedName>
    <definedName name="副露アガリ率" localSheetId="14">ぱぱ!$C$24</definedName>
    <definedName name="副露アガリ率" localSheetId="10">まっつん!$C$24</definedName>
    <definedName name="副露アガリ率" localSheetId="9">りくと!$C$24</definedName>
    <definedName name="副露アガリ率" localSheetId="6">れんたろう!$C$24</definedName>
    <definedName name="副露アガリ率" localSheetId="5">全体!$C$24</definedName>
    <definedName name="副露アガリ率">#REF!</definedName>
    <definedName name="副露数" localSheetId="3">Template1!$B$16</definedName>
    <definedName name="副露数" localSheetId="8">だいち!$B$16</definedName>
    <definedName name="副露数" localSheetId="11">たかの!$B$16</definedName>
    <definedName name="副露数" localSheetId="13">ただ!$B$16</definedName>
    <definedName name="副露数" localSheetId="7">ともき!$B$16</definedName>
    <definedName name="副露数" localSheetId="12">のり!$B$16</definedName>
    <definedName name="副露数" localSheetId="14">ぱぱ!$B$16</definedName>
    <definedName name="副露数" localSheetId="10">まっつん!$B$16</definedName>
    <definedName name="副露数" localSheetId="9">りくと!$B$16</definedName>
    <definedName name="副露数" localSheetId="6">れんたろう!$B$16</definedName>
    <definedName name="副露数" localSheetId="5">全体!$B$16</definedName>
    <definedName name="副露数">#REF!</definedName>
    <definedName name="副露成功数" localSheetId="3">Template1!$B$18</definedName>
    <definedName name="副露成功数" localSheetId="8">だいち!$B$18</definedName>
    <definedName name="副露成功数" localSheetId="11">たかの!$B$18</definedName>
    <definedName name="副露成功数" localSheetId="13">ただ!$B$18</definedName>
    <definedName name="副露成功数" localSheetId="7">ともき!$B$18</definedName>
    <definedName name="副露成功数" localSheetId="12">のり!$B$18</definedName>
    <definedName name="副露成功数" localSheetId="14">ぱぱ!$B$18</definedName>
    <definedName name="副露成功数" localSheetId="10">まっつん!$B$18</definedName>
    <definedName name="副露成功数" localSheetId="9">りくと!$B$18</definedName>
    <definedName name="副露成功数" localSheetId="6">れんたろう!$B$18</definedName>
    <definedName name="副露成功数" localSheetId="5">全体!$B$18</definedName>
    <definedName name="副露成功数">#REF!</definedName>
    <definedName name="副露成功率" localSheetId="3">Template1!$C$18</definedName>
    <definedName name="副露成功率" localSheetId="8">だいち!$C$18</definedName>
    <definedName name="副露成功率" localSheetId="11">たかの!$C$18</definedName>
    <definedName name="副露成功率" localSheetId="13">ただ!$C$18</definedName>
    <definedName name="副露成功率" localSheetId="7">ともき!$C$18</definedName>
    <definedName name="副露成功率" localSheetId="12">のり!$C$18</definedName>
    <definedName name="副露成功率" localSheetId="14">ぱぱ!$C$18</definedName>
    <definedName name="副露成功率" localSheetId="10">まっつん!$C$18</definedName>
    <definedName name="副露成功率" localSheetId="9">りくと!$C$18</definedName>
    <definedName name="副露成功率" localSheetId="6">れんたろう!$C$18</definedName>
    <definedName name="副露成功率" localSheetId="5">全体!$C$18</definedName>
    <definedName name="副露成功率">#REF!</definedName>
    <definedName name="副露率" localSheetId="3">Template1!$C$16</definedName>
    <definedName name="副露率" localSheetId="8">だいち!$C$16</definedName>
    <definedName name="副露率" localSheetId="11">たかの!$C$16</definedName>
    <definedName name="副露率" localSheetId="13">ただ!$C$16</definedName>
    <definedName name="副露率" localSheetId="7">ともき!$C$16</definedName>
    <definedName name="副露率" localSheetId="12">のり!$C$16</definedName>
    <definedName name="副露率" localSheetId="14">ぱぱ!$C$16</definedName>
    <definedName name="副露率" localSheetId="10">まっつん!$C$16</definedName>
    <definedName name="副露率" localSheetId="9">りくと!$C$16</definedName>
    <definedName name="副露率" localSheetId="6">れんたろう!$C$16</definedName>
    <definedName name="副露率" localSheetId="5">全体!$C$16</definedName>
    <definedName name="副露率">#REF!</definedName>
    <definedName name="平均アガリ点" localSheetId="3">Template1!$B$26</definedName>
    <definedName name="平均アガリ点" localSheetId="8">だいち!$B$26</definedName>
    <definedName name="平均アガリ点" localSheetId="11">たかの!$B$26</definedName>
    <definedName name="平均アガリ点" localSheetId="13">ただ!$B$26</definedName>
    <definedName name="平均アガリ点" localSheetId="7">ともき!$B$26</definedName>
    <definedName name="平均アガリ点" localSheetId="12">のり!$B$26</definedName>
    <definedName name="平均アガリ点" localSheetId="14">ぱぱ!$B$26</definedName>
    <definedName name="平均アガリ点" localSheetId="10">まっつん!$B$26</definedName>
    <definedName name="平均アガリ点" localSheetId="9">りくと!$B$26</definedName>
    <definedName name="平均アガリ点" localSheetId="6">れんたろう!$B$26</definedName>
    <definedName name="平均アガリ点" localSheetId="5">全体!$B$26</definedName>
    <definedName name="平均アガリ点">#REF!</definedName>
    <definedName name="平均スコア" localSheetId="3">Template1!$B$5</definedName>
    <definedName name="平均スコア" localSheetId="8">だいち!$B$5</definedName>
    <definedName name="平均スコア" localSheetId="11">たかの!$B$5</definedName>
    <definedName name="平均スコア" localSheetId="13">ただ!$B$5</definedName>
    <definedName name="平均スコア" localSheetId="7">ともき!$B$5</definedName>
    <definedName name="平均スコア" localSheetId="12">のり!$B$5</definedName>
    <definedName name="平均スコア" localSheetId="14">ぱぱ!$B$5</definedName>
    <definedName name="平均スコア" localSheetId="10">まっつん!$B$5</definedName>
    <definedName name="平均スコア" localSheetId="9">りくと!$B$5</definedName>
    <definedName name="平均スコア" localSheetId="6">れんたろう!$B$5</definedName>
    <definedName name="平均スコア" localSheetId="5">全体!$B$5</definedName>
    <definedName name="平均スコア">#REF!</definedName>
    <definedName name="平均順位" localSheetId="3">Template1!$B$6</definedName>
    <definedName name="平均順位" localSheetId="8">だいち!$B$6</definedName>
    <definedName name="平均順位" localSheetId="11">たかの!$B$6</definedName>
    <definedName name="平均順位" localSheetId="13">ただ!$B$6</definedName>
    <definedName name="平均順位" localSheetId="7">ともき!$B$6</definedName>
    <definedName name="平均順位" localSheetId="12">のり!$B$6</definedName>
    <definedName name="平均順位" localSheetId="14">ぱぱ!$B$6</definedName>
    <definedName name="平均順位" localSheetId="10">まっつん!$B$6</definedName>
    <definedName name="平均順位" localSheetId="9">りくと!$B$6</definedName>
    <definedName name="平均順位" localSheetId="6">れんたろう!$B$6</definedName>
    <definedName name="平均順位" localSheetId="5">全体!$B$6</definedName>
    <definedName name="平均順位">#REF!</definedName>
    <definedName name="平均放銃点" localSheetId="3">Template1!$B$29</definedName>
    <definedName name="平均放銃点" localSheetId="8">だいち!$B$29</definedName>
    <definedName name="平均放銃点" localSheetId="11">たかの!$B$29</definedName>
    <definedName name="平均放銃点" localSheetId="13">ただ!$B$29</definedName>
    <definedName name="平均放銃点" localSheetId="7">ともき!$B$29</definedName>
    <definedName name="平均放銃点" localSheetId="12">のり!$B$29</definedName>
    <definedName name="平均放銃点" localSheetId="14">ぱぱ!$B$29</definedName>
    <definedName name="平均放銃点" localSheetId="10">まっつん!$B$29</definedName>
    <definedName name="平均放銃点" localSheetId="9">りくと!$B$29</definedName>
    <definedName name="平均放銃点" localSheetId="6">れんたろう!$B$29</definedName>
    <definedName name="平均放銃点" localSheetId="5">全体!$B$29</definedName>
    <definedName name="平均放銃点">#REF!</definedName>
    <definedName name="放銃数" localSheetId="3">Template1!$B$20</definedName>
    <definedName name="放銃数" localSheetId="8">だいち!$B$20</definedName>
    <definedName name="放銃数" localSheetId="11">たかの!$B$20</definedName>
    <definedName name="放銃数" localSheetId="13">ただ!$B$20</definedName>
    <definedName name="放銃数" localSheetId="7">ともき!$B$20</definedName>
    <definedName name="放銃数" localSheetId="12">のり!$B$20</definedName>
    <definedName name="放銃数" localSheetId="14">ぱぱ!$B$20</definedName>
    <definedName name="放銃数" localSheetId="10">まっつん!$B$20</definedName>
    <definedName name="放銃数" localSheetId="9">りくと!$B$20</definedName>
    <definedName name="放銃数" localSheetId="6">れんたろう!$B$20</definedName>
    <definedName name="放銃数" localSheetId="5">全体!$B$20</definedName>
    <definedName name="放銃数">#REF!</definedName>
    <definedName name="放銃率" localSheetId="3">Template1!$C$20</definedName>
    <definedName name="放銃率" localSheetId="8">だいち!$C$20</definedName>
    <definedName name="放銃率" localSheetId="11">たかの!$C$20</definedName>
    <definedName name="放銃率" localSheetId="13">ただ!$C$20</definedName>
    <definedName name="放銃率" localSheetId="7">ともき!$C$20</definedName>
    <definedName name="放銃率" localSheetId="12">のり!$C$20</definedName>
    <definedName name="放銃率" localSheetId="14">ぱぱ!$C$20</definedName>
    <definedName name="放銃率" localSheetId="10">まっつん!$C$20</definedName>
    <definedName name="放銃率" localSheetId="9">りくと!$C$20</definedName>
    <definedName name="放銃率" localSheetId="6">れんたろう!$C$20</definedName>
    <definedName name="放銃率" localSheetId="5">全体!$C$20</definedName>
    <definedName name="放銃率">#REF!</definedName>
    <definedName name="名前" localSheetId="3">Template1!$B$1</definedName>
    <definedName name="名前" localSheetId="8">だいち!$B$1</definedName>
    <definedName name="名前" localSheetId="11">たかの!$B$1</definedName>
    <definedName name="名前" localSheetId="13">ただ!$B$1</definedName>
    <definedName name="名前" localSheetId="7">ともき!$B$1</definedName>
    <definedName name="名前" localSheetId="12">のり!$B$1</definedName>
    <definedName name="名前" localSheetId="14">ぱぱ!$B$1</definedName>
    <definedName name="名前" localSheetId="10">まっつん!$B$1</definedName>
    <definedName name="名前" localSheetId="9">りくと!$B$1</definedName>
    <definedName name="名前" localSheetId="6">れんたろう!$B$1</definedName>
    <definedName name="名前" localSheetId="5">全体!$B$1</definedName>
    <definedName name="名前">#REF!</definedName>
    <definedName name="門前アガリ点" localSheetId="3">Template1!$B$27</definedName>
    <definedName name="門前アガリ点" localSheetId="8">だいち!$B$27</definedName>
    <definedName name="門前アガリ点" localSheetId="11">たかの!$B$27</definedName>
    <definedName name="門前アガリ点" localSheetId="13">ただ!$B$27</definedName>
    <definedName name="門前アガリ点" localSheetId="7">ともき!$B$27</definedName>
    <definedName name="門前アガリ点" localSheetId="12">のり!$B$27</definedName>
    <definedName name="門前アガリ点" localSheetId="14">ぱぱ!$B$27</definedName>
    <definedName name="門前アガリ点" localSheetId="10">まっつん!$B$27</definedName>
    <definedName name="門前アガリ点" localSheetId="9">りくと!$B$27</definedName>
    <definedName name="門前アガリ点" localSheetId="6">れんたろう!$B$27</definedName>
    <definedName name="門前アガリ点" localSheetId="5">全体!$B$27</definedName>
    <definedName name="門前アガリ点">#REF!</definedName>
    <definedName name="連続アガリ" localSheetId="3">Template1!$B$30</definedName>
    <definedName name="連続アガリ" localSheetId="8">だいち!$B$30</definedName>
    <definedName name="連続アガリ" localSheetId="11">たかの!$B$30</definedName>
    <definedName name="連続アガリ" localSheetId="13">ただ!$B$30</definedName>
    <definedName name="連続アガリ" localSheetId="7">ともき!$B$30</definedName>
    <definedName name="連続アガリ" localSheetId="12">のり!$B$30</definedName>
    <definedName name="連続アガリ" localSheetId="14">ぱぱ!$B$30</definedName>
    <definedName name="連続アガリ" localSheetId="10">まっつん!$B$30</definedName>
    <definedName name="連続アガリ" localSheetId="9">りくと!$B$30</definedName>
    <definedName name="連続アガリ" localSheetId="6">れんたろう!$B$30</definedName>
    <definedName name="連続アガリ" localSheetId="5">全体!$B$30</definedName>
    <definedName name="連続アガリ">#REF!</definedName>
    <definedName name="連続無放銃" localSheetId="3">Template1!$B$31</definedName>
    <definedName name="連続無放銃" localSheetId="8">だいち!$B$31</definedName>
    <definedName name="連続無放銃" localSheetId="11">たかの!$B$31</definedName>
    <definedName name="連続無放銃" localSheetId="13">ただ!$B$31</definedName>
    <definedName name="連続無放銃" localSheetId="7">ともき!$B$31</definedName>
    <definedName name="連続無放銃" localSheetId="12">のり!$B$31</definedName>
    <definedName name="連続無放銃" localSheetId="14">ぱぱ!$B$31</definedName>
    <definedName name="連続無放銃" localSheetId="10">まっつん!$B$31</definedName>
    <definedName name="連続無放銃" localSheetId="9">りくと!$B$31</definedName>
    <definedName name="連続無放銃" localSheetId="6">れんたろう!$B$31</definedName>
    <definedName name="連続無放銃" localSheetId="5">全体!$B$31</definedName>
    <definedName name="連続無放銃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O19" i="6176" l="1"/>
  <c r="O17" i="6188"/>
  <c r="O15" i="6192" l="1"/>
  <c r="O16" i="6192"/>
  <c r="C34" i="6192"/>
  <c r="B29" i="6192"/>
  <c r="B28" i="6192"/>
  <c r="C20" i="6192"/>
  <c r="B19" i="6192"/>
  <c r="H51" i="6192" s="1"/>
  <c r="C18" i="6192"/>
  <c r="B18" i="6192"/>
  <c r="B17" i="6192"/>
  <c r="C17" i="6192" s="1"/>
  <c r="C16" i="6192"/>
  <c r="C15" i="6192"/>
  <c r="C14" i="6192"/>
  <c r="O12" i="6192"/>
  <c r="B12" i="6192"/>
  <c r="B13" i="6192" s="1"/>
  <c r="O11" i="6192"/>
  <c r="B11" i="6192"/>
  <c r="O10" i="6192"/>
  <c r="B10" i="6192"/>
  <c r="C9" i="6192"/>
  <c r="C8" i="6192"/>
  <c r="O7" i="6192"/>
  <c r="C7" i="6192"/>
  <c r="O6" i="6192"/>
  <c r="B6" i="6192"/>
  <c r="O5" i="6192"/>
  <c r="B5" i="6192"/>
  <c r="O4" i="6192"/>
  <c r="O3" i="6192"/>
  <c r="O2" i="6192"/>
  <c r="O20" i="6180"/>
  <c r="O17" i="6176"/>
  <c r="O17" i="6174"/>
  <c r="H19" i="6192" l="1"/>
  <c r="H2" i="6192"/>
  <c r="C40" i="6192"/>
  <c r="H47" i="6192"/>
  <c r="H35" i="6192"/>
  <c r="H36" i="6192"/>
  <c r="H16" i="6192"/>
  <c r="H24" i="6192"/>
  <c r="H41" i="6192"/>
  <c r="H3" i="6192"/>
  <c r="C22" i="6192"/>
  <c r="H14" i="6192"/>
  <c r="C46" i="6192"/>
  <c r="H10" i="6192"/>
  <c r="H21" i="6192"/>
  <c r="C42" i="6192"/>
  <c r="H20" i="6192"/>
  <c r="C36" i="6192"/>
  <c r="H8" i="6192"/>
  <c r="H17" i="6192"/>
  <c r="H48" i="6192"/>
  <c r="C43" i="6192"/>
  <c r="H26" i="6192"/>
  <c r="C19" i="6192"/>
  <c r="H37" i="6192"/>
  <c r="H22" i="6192"/>
  <c r="H13" i="6192"/>
  <c r="C38" i="6192"/>
  <c r="C48" i="6192"/>
  <c r="C25" i="6192"/>
  <c r="H31" i="6192"/>
  <c r="H39" i="6192"/>
  <c r="H44" i="6192"/>
  <c r="H49" i="6192"/>
  <c r="H29" i="6192"/>
  <c r="C24" i="6192"/>
  <c r="H6" i="6192"/>
  <c r="H5" i="6192"/>
  <c r="H9" i="6192"/>
  <c r="H18" i="6192"/>
  <c r="H27" i="6192"/>
  <c r="C39" i="6192"/>
  <c r="C44" i="6192"/>
  <c r="H7" i="6192"/>
  <c r="C47" i="6192"/>
  <c r="H4" i="6192"/>
  <c r="H15" i="6192"/>
  <c r="H43" i="6192"/>
  <c r="H30" i="6192"/>
  <c r="H11" i="6192"/>
  <c r="H23" i="6192"/>
  <c r="H34" i="6192"/>
  <c r="C21" i="6192"/>
  <c r="B26" i="6192"/>
  <c r="H40" i="6192"/>
  <c r="H45" i="6192"/>
  <c r="H52" i="6192"/>
  <c r="H25" i="6192"/>
  <c r="H28" i="6192"/>
  <c r="H32" i="6192"/>
  <c r="C37" i="6192"/>
  <c r="C41" i="6192"/>
  <c r="C45" i="6192"/>
  <c r="H50" i="6192"/>
  <c r="H12" i="6192"/>
  <c r="C23" i="6192"/>
  <c r="B27" i="6192"/>
  <c r="H33" i="6192"/>
  <c r="H38" i="6192"/>
  <c r="H42" i="6192"/>
  <c r="H46" i="6192"/>
  <c r="O16" i="6182" l="1"/>
  <c r="O17" i="6190"/>
  <c r="O16" i="6178"/>
  <c r="O18" i="6186"/>
  <c r="O19" i="6190" l="1"/>
  <c r="O15" i="6178"/>
  <c r="O18" i="6190"/>
  <c r="O16" i="6176"/>
  <c r="O15" i="6184" l="1"/>
  <c r="O17" i="6178"/>
  <c r="O22" i="6180"/>
  <c r="O18" i="6184"/>
  <c r="O18" i="6174"/>
  <c r="O16" i="6190"/>
  <c r="O15" i="6190"/>
  <c r="C34" i="6190"/>
  <c r="B29" i="6190"/>
  <c r="C20" i="6190"/>
  <c r="B19" i="6190"/>
  <c r="H50" i="6190" s="1"/>
  <c r="B18" i="6190"/>
  <c r="B28" i="6190" s="1"/>
  <c r="B17" i="6190"/>
  <c r="C17" i="6190" s="1"/>
  <c r="C16" i="6190"/>
  <c r="C15" i="6190"/>
  <c r="C14" i="6190"/>
  <c r="O12" i="6190"/>
  <c r="B12" i="6190"/>
  <c r="O11" i="6190"/>
  <c r="B11" i="6190"/>
  <c r="O10" i="6190"/>
  <c r="B10" i="6190"/>
  <c r="C9" i="6190"/>
  <c r="C8" i="6190"/>
  <c r="O7" i="6190"/>
  <c r="C7" i="6190"/>
  <c r="O6" i="6190"/>
  <c r="B6" i="6190"/>
  <c r="O5" i="6190"/>
  <c r="B5" i="6190"/>
  <c r="O4" i="6190"/>
  <c r="O3" i="6190"/>
  <c r="O2" i="6190"/>
  <c r="C18" i="6190" l="1"/>
  <c r="B13" i="6190"/>
  <c r="H11" i="6190"/>
  <c r="H15" i="6190"/>
  <c r="C24" i="6190"/>
  <c r="H17" i="6190"/>
  <c r="H21" i="6190"/>
  <c r="H42" i="6190"/>
  <c r="H33" i="6190"/>
  <c r="H3" i="6190"/>
  <c r="H27" i="6190"/>
  <c r="C42" i="6190"/>
  <c r="H9" i="6190"/>
  <c r="C19" i="6190"/>
  <c r="C25" i="6190"/>
  <c r="H36" i="6190"/>
  <c r="H16" i="6190"/>
  <c r="C36" i="6190"/>
  <c r="H48" i="6190"/>
  <c r="C46" i="6190"/>
  <c r="H14" i="6190"/>
  <c r="H28" i="6190"/>
  <c r="H47" i="6190"/>
  <c r="H19" i="6190"/>
  <c r="H25" i="6190"/>
  <c r="C48" i="6190"/>
  <c r="H2" i="6190"/>
  <c r="H43" i="6190"/>
  <c r="H30" i="6190"/>
  <c r="H37" i="6190"/>
  <c r="H13" i="6190"/>
  <c r="H38" i="6190"/>
  <c r="H7" i="6190"/>
  <c r="H20" i="6190"/>
  <c r="H23" i="6190"/>
  <c r="C21" i="6190"/>
  <c r="H31" i="6190"/>
  <c r="H41" i="6190"/>
  <c r="H49" i="6190"/>
  <c r="C38" i="6190"/>
  <c r="H44" i="6190"/>
  <c r="H8" i="6190"/>
  <c r="H12" i="6190"/>
  <c r="B26" i="6190"/>
  <c r="H34" i="6190"/>
  <c r="H39" i="6190"/>
  <c r="C44" i="6190"/>
  <c r="H51" i="6190"/>
  <c r="H18" i="6190"/>
  <c r="H4" i="6190"/>
  <c r="H10" i="6190"/>
  <c r="H22" i="6190"/>
  <c r="H24" i="6190"/>
  <c r="C22" i="6190"/>
  <c r="B27" i="6190"/>
  <c r="H40" i="6190"/>
  <c r="H45" i="6190"/>
  <c r="H5" i="6190"/>
  <c r="C23" i="6190"/>
  <c r="H6" i="6190"/>
  <c r="H35" i="6190"/>
  <c r="C40" i="6190"/>
  <c r="H46" i="6190"/>
  <c r="H52" i="6190"/>
  <c r="C39" i="6190"/>
  <c r="C43" i="6190"/>
  <c r="C47" i="6190"/>
  <c r="H26" i="6190"/>
  <c r="H29" i="6190"/>
  <c r="H32" i="6190"/>
  <c r="C37" i="6190"/>
  <c r="C41" i="6190"/>
  <c r="C45" i="6190"/>
  <c r="O18" i="6180" l="1"/>
  <c r="O20" i="6186"/>
  <c r="O22" i="6176"/>
  <c r="O16" i="6186"/>
  <c r="O17" i="6180" l="1"/>
  <c r="O19" i="6182"/>
  <c r="O21" i="6176"/>
  <c r="O18" i="6176"/>
  <c r="O15" i="6182"/>
  <c r="O19" i="6184"/>
  <c r="O16" i="6188" l="1"/>
  <c r="O19" i="6188"/>
  <c r="O20" i="6184"/>
  <c r="O21" i="6184"/>
  <c r="O15" i="6180"/>
  <c r="O19" i="6180"/>
  <c r="O17" i="6186"/>
  <c r="O15" i="6188"/>
  <c r="O18" i="6188"/>
  <c r="C34" i="6188"/>
  <c r="B29" i="6188"/>
  <c r="C20" i="6188"/>
  <c r="B19" i="6188"/>
  <c r="H52" i="6188" s="1"/>
  <c r="B18" i="6188"/>
  <c r="B28" i="6188" s="1"/>
  <c r="B17" i="6188"/>
  <c r="C17" i="6188" s="1"/>
  <c r="C16" i="6188"/>
  <c r="C15" i="6188"/>
  <c r="C14" i="6188"/>
  <c r="O12" i="6188"/>
  <c r="B12" i="6188"/>
  <c r="O11" i="6188"/>
  <c r="B11" i="6188"/>
  <c r="O10" i="6188"/>
  <c r="B10" i="6188"/>
  <c r="C9" i="6188"/>
  <c r="C8" i="6188"/>
  <c r="O7" i="6188"/>
  <c r="C7" i="6188"/>
  <c r="O6" i="6188"/>
  <c r="B6" i="6188"/>
  <c r="O5" i="6188"/>
  <c r="B5" i="6188"/>
  <c r="O4" i="6188"/>
  <c r="O3" i="6188"/>
  <c r="O2" i="6188"/>
  <c r="O18" i="6182"/>
  <c r="O21" i="6174"/>
  <c r="O19" i="6186"/>
  <c r="O15" i="6186"/>
  <c r="C34" i="6186"/>
  <c r="B29" i="6186"/>
  <c r="C20" i="6186"/>
  <c r="B19" i="6186"/>
  <c r="H6" i="6186" s="1"/>
  <c r="B18" i="6186"/>
  <c r="B17" i="6186"/>
  <c r="C17" i="6186" s="1"/>
  <c r="C16" i="6186"/>
  <c r="C15" i="6186"/>
  <c r="C14" i="6186"/>
  <c r="O12" i="6186"/>
  <c r="B12" i="6186"/>
  <c r="O11" i="6186"/>
  <c r="B11" i="6186"/>
  <c r="O10" i="6186"/>
  <c r="B10" i="6186"/>
  <c r="C9" i="6186"/>
  <c r="C8" i="6186"/>
  <c r="O7" i="6186"/>
  <c r="C7" i="6186"/>
  <c r="O6" i="6186"/>
  <c r="B6" i="6186"/>
  <c r="O5" i="6186"/>
  <c r="B5" i="6186"/>
  <c r="O4" i="6186"/>
  <c r="O3" i="6186"/>
  <c r="O2" i="6186"/>
  <c r="O17" i="6184"/>
  <c r="O16" i="6184"/>
  <c r="C34" i="6184"/>
  <c r="B29" i="6184"/>
  <c r="C20" i="6184"/>
  <c r="B19" i="6184"/>
  <c r="H51" i="6184" s="1"/>
  <c r="B18" i="6184"/>
  <c r="B28" i="6184" s="1"/>
  <c r="B17" i="6184"/>
  <c r="C17" i="6184" s="1"/>
  <c r="C16" i="6184"/>
  <c r="C15" i="6184"/>
  <c r="C14" i="6184"/>
  <c r="O12" i="6184"/>
  <c r="B12" i="6184"/>
  <c r="O11" i="6184"/>
  <c r="B11" i="6184"/>
  <c r="O10" i="6184"/>
  <c r="B10" i="6184"/>
  <c r="C9" i="6184"/>
  <c r="C8" i="6184"/>
  <c r="O7" i="6184"/>
  <c r="C7" i="6184"/>
  <c r="O6" i="6184"/>
  <c r="B6" i="6184"/>
  <c r="O5" i="6184"/>
  <c r="B5" i="6184"/>
  <c r="O4" i="6184"/>
  <c r="O3" i="6184"/>
  <c r="O2" i="6184"/>
  <c r="O16" i="6174"/>
  <c r="O20" i="6182"/>
  <c r="O17" i="6182"/>
  <c r="C34" i="6182"/>
  <c r="B29" i="6182"/>
  <c r="C20" i="6182"/>
  <c r="B19" i="6182"/>
  <c r="H51" i="6182" s="1"/>
  <c r="B18" i="6182"/>
  <c r="C18" i="6182" s="1"/>
  <c r="B17" i="6182"/>
  <c r="C17" i="6182" s="1"/>
  <c r="C16" i="6182"/>
  <c r="C15" i="6182"/>
  <c r="C14" i="6182"/>
  <c r="O12" i="6182"/>
  <c r="B12" i="6182"/>
  <c r="O11" i="6182"/>
  <c r="B11" i="6182"/>
  <c r="O10" i="6182"/>
  <c r="B10" i="6182"/>
  <c r="C9" i="6182"/>
  <c r="C8" i="6182"/>
  <c r="O7" i="6182"/>
  <c r="C7" i="6182"/>
  <c r="O6" i="6182"/>
  <c r="B6" i="6182"/>
  <c r="O5" i="6182"/>
  <c r="B5" i="6182"/>
  <c r="O4" i="6182"/>
  <c r="O3" i="6182"/>
  <c r="O2" i="6182"/>
  <c r="O22" i="6174"/>
  <c r="O20" i="6174"/>
  <c r="O16" i="6180"/>
  <c r="O21" i="6180"/>
  <c r="C34" i="6180"/>
  <c r="B29" i="6180"/>
  <c r="C20" i="6180"/>
  <c r="B19" i="6180"/>
  <c r="H16" i="6180" s="1"/>
  <c r="B18" i="6180"/>
  <c r="B28" i="6180" s="1"/>
  <c r="B17" i="6180"/>
  <c r="C17" i="6180" s="1"/>
  <c r="C16" i="6180"/>
  <c r="C15" i="6180"/>
  <c r="C14" i="6180"/>
  <c r="O12" i="6180"/>
  <c r="B12" i="6180"/>
  <c r="O11" i="6180"/>
  <c r="B11" i="6180"/>
  <c r="O10" i="6180"/>
  <c r="B10" i="6180"/>
  <c r="C9" i="6180"/>
  <c r="C8" i="6180"/>
  <c r="O7" i="6180"/>
  <c r="C7" i="6180"/>
  <c r="O6" i="6180"/>
  <c r="B6" i="6180"/>
  <c r="O5" i="6180"/>
  <c r="B5" i="6180"/>
  <c r="O4" i="6180"/>
  <c r="O3" i="6180"/>
  <c r="O2" i="6180"/>
  <c r="O18" i="6178"/>
  <c r="O19" i="6178"/>
  <c r="C34" i="6178"/>
  <c r="B29" i="6178"/>
  <c r="C20" i="6178"/>
  <c r="B19" i="6178"/>
  <c r="H51" i="6178" s="1"/>
  <c r="B18" i="6178"/>
  <c r="B28" i="6178" s="1"/>
  <c r="B17" i="6178"/>
  <c r="C17" i="6178" s="1"/>
  <c r="C16" i="6178"/>
  <c r="C15" i="6178"/>
  <c r="C14" i="6178"/>
  <c r="O12" i="6178"/>
  <c r="B12" i="6178"/>
  <c r="O11" i="6178"/>
  <c r="B11" i="6178"/>
  <c r="O10" i="6178"/>
  <c r="B10" i="6178"/>
  <c r="C9" i="6178"/>
  <c r="C8" i="6178"/>
  <c r="O7" i="6178"/>
  <c r="C7" i="6178"/>
  <c r="O6" i="6178"/>
  <c r="B6" i="6178"/>
  <c r="O5" i="6178"/>
  <c r="B5" i="6178"/>
  <c r="O4" i="6178"/>
  <c r="O3" i="6178"/>
  <c r="O2" i="6178"/>
  <c r="O19" i="6174"/>
  <c r="O20" i="6176"/>
  <c r="O15" i="6176"/>
  <c r="C34" i="6176"/>
  <c r="B29" i="6176"/>
  <c r="C20" i="6176"/>
  <c r="B19" i="6176"/>
  <c r="H5" i="6176" s="1"/>
  <c r="B18" i="6176"/>
  <c r="B28" i="6176" s="1"/>
  <c r="B17" i="6176"/>
  <c r="C17" i="6176" s="1"/>
  <c r="C16" i="6176"/>
  <c r="C15" i="6176"/>
  <c r="C14" i="6176"/>
  <c r="O12" i="6176"/>
  <c r="B12" i="6176"/>
  <c r="O11" i="6176"/>
  <c r="B11" i="6176"/>
  <c r="O10" i="6176"/>
  <c r="B10" i="6176"/>
  <c r="C9" i="6176"/>
  <c r="C8" i="6176"/>
  <c r="O7" i="6176"/>
  <c r="C7" i="6176"/>
  <c r="O6" i="6176"/>
  <c r="B6" i="6176"/>
  <c r="O5" i="6176"/>
  <c r="B5" i="6176"/>
  <c r="O4" i="6176"/>
  <c r="O3" i="6176"/>
  <c r="O2" i="6176"/>
  <c r="O23" i="6174"/>
  <c r="O15" i="6174"/>
  <c r="C34" i="6174"/>
  <c r="B29" i="6174"/>
  <c r="C20" i="6174"/>
  <c r="B19" i="6174"/>
  <c r="H51" i="6174" s="1"/>
  <c r="B18" i="6174"/>
  <c r="B28" i="6174" s="1"/>
  <c r="B17" i="6174"/>
  <c r="C17" i="6174" s="1"/>
  <c r="C16" i="6174"/>
  <c r="C15" i="6174"/>
  <c r="C14" i="6174"/>
  <c r="O12" i="6174"/>
  <c r="B12" i="6174"/>
  <c r="O11" i="6174"/>
  <c r="B11" i="6174"/>
  <c r="O10" i="6174"/>
  <c r="B10" i="6174"/>
  <c r="C9" i="6174"/>
  <c r="C8" i="6174"/>
  <c r="O7" i="6174"/>
  <c r="C7" i="6174"/>
  <c r="O6" i="6174"/>
  <c r="B6" i="6174"/>
  <c r="O5" i="6174"/>
  <c r="B5" i="6174"/>
  <c r="O4" i="6174"/>
  <c r="O3" i="6174"/>
  <c r="O2" i="6174"/>
  <c r="H25" i="6182" l="1"/>
  <c r="B28" i="6182"/>
  <c r="C18" i="6178"/>
  <c r="C18" i="6188"/>
  <c r="B13" i="6178"/>
  <c r="B13" i="6184"/>
  <c r="B13" i="6186"/>
  <c r="C18" i="6184"/>
  <c r="C18" i="6176"/>
  <c r="B13" i="6180"/>
  <c r="B13" i="6176"/>
  <c r="H47" i="6176"/>
  <c r="B13" i="6182"/>
  <c r="H49" i="6182"/>
  <c r="H3" i="6182"/>
  <c r="H52" i="6182"/>
  <c r="H22" i="6182"/>
  <c r="C21" i="6182"/>
  <c r="H4" i="6182"/>
  <c r="H35" i="6182"/>
  <c r="H2" i="6182"/>
  <c r="H9" i="6182"/>
  <c r="H24" i="6182"/>
  <c r="C22" i="6182"/>
  <c r="H40" i="6182"/>
  <c r="H18" i="6182"/>
  <c r="H34" i="6182"/>
  <c r="C25" i="6182"/>
  <c r="C40" i="6182"/>
  <c r="H27" i="6182"/>
  <c r="H7" i="6182"/>
  <c r="H21" i="6182"/>
  <c r="H41" i="6182"/>
  <c r="H44" i="6182"/>
  <c r="C44" i="6182"/>
  <c r="H5" i="6182"/>
  <c r="H10" i="6182"/>
  <c r="H23" i="6182"/>
  <c r="B26" i="6182"/>
  <c r="H36" i="6182"/>
  <c r="H45" i="6182"/>
  <c r="H15" i="6182"/>
  <c r="H8" i="6182"/>
  <c r="H39" i="6182"/>
  <c r="C46" i="6182"/>
  <c r="H19" i="6182"/>
  <c r="H16" i="6182"/>
  <c r="H11" i="6182"/>
  <c r="H6" i="6182"/>
  <c r="H12" i="6182"/>
  <c r="H20" i="6182"/>
  <c r="H26" i="6182"/>
  <c r="C39" i="6182"/>
  <c r="H47" i="6182"/>
  <c r="H29" i="6182"/>
  <c r="H31" i="6182"/>
  <c r="C36" i="6182"/>
  <c r="C42" i="6182"/>
  <c r="C47" i="6182"/>
  <c r="H14" i="6182"/>
  <c r="C19" i="6182"/>
  <c r="C24" i="6182"/>
  <c r="H37" i="6182"/>
  <c r="H43" i="6182"/>
  <c r="H48" i="6182"/>
  <c r="H13" i="6182"/>
  <c r="H17" i="6182"/>
  <c r="C38" i="6182"/>
  <c r="C43" i="6182"/>
  <c r="C48" i="6182"/>
  <c r="H27" i="6176"/>
  <c r="H33" i="6176"/>
  <c r="H43" i="6176"/>
  <c r="H23" i="6176"/>
  <c r="H11" i="6176"/>
  <c r="C47" i="6176"/>
  <c r="H48" i="6176"/>
  <c r="H21" i="6176"/>
  <c r="H37" i="6176"/>
  <c r="H7" i="6176"/>
  <c r="C22" i="6176"/>
  <c r="C36" i="6176"/>
  <c r="H26" i="6176"/>
  <c r="H18" i="6176"/>
  <c r="H9" i="6176"/>
  <c r="H17" i="6176"/>
  <c r="B27" i="6176"/>
  <c r="B26" i="6176"/>
  <c r="C40" i="6176"/>
  <c r="H2" i="6176"/>
  <c r="C21" i="6176"/>
  <c r="H3" i="6176"/>
  <c r="H25" i="6176"/>
  <c r="H42" i="6176"/>
  <c r="C40" i="6178"/>
  <c r="C48" i="6178"/>
  <c r="H13" i="6178"/>
  <c r="C22" i="6178"/>
  <c r="H12" i="6178"/>
  <c r="H6" i="6178"/>
  <c r="C47" i="6178"/>
  <c r="H3" i="6178"/>
  <c r="H9" i="6178"/>
  <c r="H30" i="6178"/>
  <c r="H14" i="6178"/>
  <c r="H21" i="6178"/>
  <c r="C39" i="6178"/>
  <c r="H49" i="6178"/>
  <c r="H26" i="6178"/>
  <c r="C19" i="6178"/>
  <c r="C25" i="6178"/>
  <c r="H34" i="6178"/>
  <c r="C42" i="6178"/>
  <c r="H41" i="6178"/>
  <c r="H43" i="6178"/>
  <c r="H4" i="6178"/>
  <c r="H22" i="6178"/>
  <c r="H10" i="6178"/>
  <c r="H17" i="6178"/>
  <c r="B26" i="6178"/>
  <c r="H35" i="6178"/>
  <c r="H45" i="6178"/>
  <c r="H16" i="6178"/>
  <c r="H19" i="6178"/>
  <c r="H20" i="6178"/>
  <c r="H23" i="6178"/>
  <c r="H8" i="6178"/>
  <c r="C36" i="6178"/>
  <c r="C46" i="6178"/>
  <c r="H11" i="6178"/>
  <c r="H31" i="6178"/>
  <c r="H2" i="6178"/>
  <c r="H27" i="6178"/>
  <c r="H7" i="6178"/>
  <c r="H15" i="6178"/>
  <c r="H18" i="6178"/>
  <c r="C21" i="6178"/>
  <c r="H39" i="6178"/>
  <c r="H47" i="6178"/>
  <c r="H30" i="6180"/>
  <c r="H3" i="6188"/>
  <c r="H40" i="6188"/>
  <c r="H17" i="6184"/>
  <c r="H6" i="6184"/>
  <c r="H13" i="6184"/>
  <c r="H26" i="6184"/>
  <c r="H34" i="6184"/>
  <c r="H22" i="6184"/>
  <c r="C42" i="6184"/>
  <c r="H18" i="6188"/>
  <c r="C19" i="6188"/>
  <c r="H29" i="6188"/>
  <c r="H27" i="6188"/>
  <c r="C39" i="6188"/>
  <c r="C48" i="6188"/>
  <c r="H11" i="6188"/>
  <c r="C40" i="6188"/>
  <c r="H23" i="6188"/>
  <c r="H30" i="6188"/>
  <c r="C43" i="6188"/>
  <c r="H44" i="6188"/>
  <c r="H15" i="6188"/>
  <c r="H2" i="6188"/>
  <c r="H16" i="6188"/>
  <c r="H20" i="6188"/>
  <c r="H24" i="6188"/>
  <c r="H35" i="6188"/>
  <c r="C44" i="6188"/>
  <c r="C21" i="6188"/>
  <c r="H9" i="6188"/>
  <c r="H10" i="6188"/>
  <c r="H36" i="6188"/>
  <c r="C47" i="6188"/>
  <c r="H7" i="6188"/>
  <c r="H8" i="6188"/>
  <c r="H4" i="6188"/>
  <c r="C25" i="6188"/>
  <c r="C36" i="6188"/>
  <c r="H48" i="6188"/>
  <c r="H4" i="6186"/>
  <c r="C19" i="6186"/>
  <c r="H23" i="6186"/>
  <c r="H35" i="6186"/>
  <c r="H24" i="6186"/>
  <c r="H38" i="6186"/>
  <c r="H8" i="6186"/>
  <c r="H21" i="6186"/>
  <c r="H9" i="6186"/>
  <c r="C40" i="6186"/>
  <c r="H19" i="6186"/>
  <c r="C23" i="6186"/>
  <c r="H43" i="6186"/>
  <c r="H7" i="6186"/>
  <c r="H13" i="6186"/>
  <c r="H25" i="6186"/>
  <c r="H30" i="6186"/>
  <c r="C22" i="6186"/>
  <c r="B27" i="6186"/>
  <c r="H26" i="6186"/>
  <c r="H32" i="6186"/>
  <c r="B13" i="6188"/>
  <c r="H12" i="6188"/>
  <c r="H21" i="6188"/>
  <c r="C22" i="6188"/>
  <c r="B26" i="6188"/>
  <c r="H31" i="6188"/>
  <c r="H37" i="6188"/>
  <c r="H41" i="6188"/>
  <c r="H45" i="6188"/>
  <c r="H49" i="6188"/>
  <c r="H25" i="6188"/>
  <c r="H28" i="6188"/>
  <c r="H32" i="6188"/>
  <c r="C37" i="6188"/>
  <c r="C41" i="6188"/>
  <c r="C45" i="6188"/>
  <c r="H50" i="6188"/>
  <c r="H19" i="6188"/>
  <c r="C23" i="6188"/>
  <c r="B27" i="6188"/>
  <c r="H33" i="6188"/>
  <c r="H38" i="6188"/>
  <c r="H42" i="6188"/>
  <c r="H46" i="6188"/>
  <c r="H51" i="6188"/>
  <c r="H6" i="6188"/>
  <c r="H22" i="6188"/>
  <c r="H26" i="6188"/>
  <c r="H13" i="6188"/>
  <c r="H34" i="6188"/>
  <c r="C38" i="6188"/>
  <c r="C42" i="6188"/>
  <c r="C46" i="6188"/>
  <c r="H5" i="6188"/>
  <c r="H14" i="6188"/>
  <c r="H17" i="6188"/>
  <c r="C24" i="6188"/>
  <c r="H39" i="6188"/>
  <c r="H43" i="6188"/>
  <c r="H47" i="6188"/>
  <c r="H29" i="6186"/>
  <c r="H37" i="6186"/>
  <c r="C43" i="6186"/>
  <c r="C44" i="6186"/>
  <c r="H5" i="6186"/>
  <c r="B26" i="6186"/>
  <c r="H47" i="6186"/>
  <c r="H11" i="6186"/>
  <c r="H15" i="6186"/>
  <c r="H22" i="6186"/>
  <c r="C36" i="6186"/>
  <c r="H27" i="6186"/>
  <c r="H31" i="6186"/>
  <c r="H40" i="6186"/>
  <c r="H48" i="6186"/>
  <c r="H14" i="6186"/>
  <c r="H3" i="6186"/>
  <c r="H2" i="6186"/>
  <c r="H17" i="6186"/>
  <c r="C21" i="6186"/>
  <c r="C39" i="6186"/>
  <c r="C47" i="6186"/>
  <c r="C18" i="6186"/>
  <c r="H39" i="6186"/>
  <c r="H44" i="6186"/>
  <c r="H49" i="6186"/>
  <c r="C48" i="6186"/>
  <c r="C24" i="6186"/>
  <c r="H33" i="6186"/>
  <c r="H41" i="6186"/>
  <c r="H45" i="6186"/>
  <c r="H50" i="6186"/>
  <c r="H20" i="6186"/>
  <c r="C25" i="6186"/>
  <c r="H42" i="6186"/>
  <c r="H46" i="6186"/>
  <c r="H52" i="6186"/>
  <c r="B28" i="6186"/>
  <c r="H28" i="6186"/>
  <c r="H18" i="6186"/>
  <c r="H34" i="6186"/>
  <c r="C37" i="6186"/>
  <c r="C41" i="6186"/>
  <c r="C45" i="6186"/>
  <c r="H51" i="6186"/>
  <c r="H12" i="6186"/>
  <c r="H16" i="6186"/>
  <c r="H10" i="6186"/>
  <c r="H36" i="6186"/>
  <c r="C38" i="6186"/>
  <c r="C42" i="6186"/>
  <c r="C46" i="6186"/>
  <c r="H34" i="6174"/>
  <c r="H43" i="6184"/>
  <c r="H15" i="6184"/>
  <c r="H35" i="6184"/>
  <c r="C44" i="6184"/>
  <c r="H4" i="6184"/>
  <c r="H11" i="6184"/>
  <c r="H23" i="6184"/>
  <c r="C22" i="6184"/>
  <c r="H46" i="6184"/>
  <c r="H10" i="6184"/>
  <c r="H7" i="6184"/>
  <c r="C23" i="6184"/>
  <c r="C36" i="6184"/>
  <c r="H48" i="6184"/>
  <c r="H38" i="6184"/>
  <c r="H3" i="6184"/>
  <c r="H25" i="6184"/>
  <c r="H30" i="6184"/>
  <c r="H40" i="6184"/>
  <c r="H21" i="6184"/>
  <c r="H2" i="6184"/>
  <c r="C25" i="6184"/>
  <c r="H49" i="6184"/>
  <c r="H27" i="6184"/>
  <c r="H8" i="6184"/>
  <c r="H41" i="6184"/>
  <c r="H5" i="6184"/>
  <c r="H24" i="6184"/>
  <c r="C21" i="6184"/>
  <c r="B26" i="6184"/>
  <c r="C40" i="6184"/>
  <c r="H47" i="6184"/>
  <c r="H52" i="6184"/>
  <c r="H9" i="6184"/>
  <c r="H12" i="6184"/>
  <c r="B27" i="6184"/>
  <c r="H37" i="6184"/>
  <c r="H42" i="6184"/>
  <c r="C46" i="6184"/>
  <c r="H19" i="6184"/>
  <c r="H16" i="6184"/>
  <c r="H39" i="6184"/>
  <c r="H44" i="6184"/>
  <c r="C48" i="6184"/>
  <c r="C19" i="6184"/>
  <c r="C24" i="6184"/>
  <c r="H20" i="6184"/>
  <c r="C38" i="6184"/>
  <c r="H45" i="6184"/>
  <c r="H50" i="6184"/>
  <c r="H14" i="6184"/>
  <c r="H28" i="6184"/>
  <c r="H18" i="6184"/>
  <c r="H32" i="6184"/>
  <c r="H36" i="6184"/>
  <c r="C39" i="6184"/>
  <c r="C43" i="6184"/>
  <c r="C47" i="6184"/>
  <c r="H29" i="6184"/>
  <c r="H31" i="6184"/>
  <c r="H33" i="6184"/>
  <c r="C37" i="6184"/>
  <c r="C41" i="6184"/>
  <c r="C45" i="6184"/>
  <c r="B13" i="6174"/>
  <c r="H48" i="6174"/>
  <c r="H28" i="6182"/>
  <c r="H30" i="6182"/>
  <c r="H32" i="6182"/>
  <c r="C37" i="6182"/>
  <c r="C41" i="6182"/>
  <c r="C45" i="6182"/>
  <c r="H50" i="6182"/>
  <c r="C23" i="6182"/>
  <c r="B27" i="6182"/>
  <c r="H33" i="6182"/>
  <c r="H38" i="6182"/>
  <c r="H42" i="6182"/>
  <c r="H46" i="6182"/>
  <c r="H28" i="6180"/>
  <c r="H24" i="6180"/>
  <c r="H22" i="6180"/>
  <c r="H9" i="6180"/>
  <c r="C18" i="6180"/>
  <c r="H25" i="6180"/>
  <c r="C21" i="6180"/>
  <c r="H29" i="6180"/>
  <c r="H36" i="6180"/>
  <c r="H14" i="6180"/>
  <c r="C40" i="6180"/>
  <c r="H3" i="6180"/>
  <c r="H17" i="6180"/>
  <c r="C22" i="6180"/>
  <c r="H42" i="6180"/>
  <c r="H2" i="6180"/>
  <c r="H27" i="6180"/>
  <c r="H4" i="6180"/>
  <c r="C25" i="6180"/>
  <c r="C42" i="6180"/>
  <c r="H46" i="6180"/>
  <c r="H18" i="6180"/>
  <c r="C46" i="6180"/>
  <c r="B26" i="6180"/>
  <c r="H37" i="6180"/>
  <c r="H48" i="6180"/>
  <c r="H7" i="6180"/>
  <c r="H13" i="6180"/>
  <c r="H8" i="6180"/>
  <c r="H40" i="6180"/>
  <c r="H49" i="6180"/>
  <c r="H31" i="6180"/>
  <c r="H41" i="6180"/>
  <c r="C48" i="6180"/>
  <c r="H32" i="6180"/>
  <c r="H34" i="6180"/>
  <c r="C36" i="6180"/>
  <c r="H44" i="6180"/>
  <c r="H50" i="6180"/>
  <c r="H10" i="6180"/>
  <c r="H6" i="6180"/>
  <c r="H11" i="6180"/>
  <c r="H26" i="6180"/>
  <c r="C19" i="6180"/>
  <c r="C24" i="6180"/>
  <c r="H38" i="6180"/>
  <c r="H45" i="6180"/>
  <c r="H5" i="6180"/>
  <c r="H15" i="6180"/>
  <c r="H12" i="6180"/>
  <c r="H20" i="6180"/>
  <c r="C38" i="6180"/>
  <c r="C44" i="6180"/>
  <c r="H52" i="6180"/>
  <c r="C39" i="6180"/>
  <c r="C43" i="6180"/>
  <c r="C47" i="6180"/>
  <c r="H23" i="6180"/>
  <c r="H33" i="6180"/>
  <c r="H21" i="6180"/>
  <c r="C37" i="6180"/>
  <c r="C41" i="6180"/>
  <c r="C45" i="6180"/>
  <c r="H51" i="6180"/>
  <c r="H19" i="6180"/>
  <c r="C23" i="6180"/>
  <c r="B27" i="6180"/>
  <c r="H35" i="6180"/>
  <c r="H39" i="6180"/>
  <c r="H43" i="6180"/>
  <c r="H47" i="6180"/>
  <c r="C18" i="6174"/>
  <c r="H7" i="6174"/>
  <c r="C36" i="6174"/>
  <c r="H30" i="6174"/>
  <c r="H31" i="6174"/>
  <c r="H43" i="6174"/>
  <c r="H33" i="6174"/>
  <c r="H22" i="6174"/>
  <c r="C23" i="6174"/>
  <c r="C42" i="6174"/>
  <c r="H14" i="6174"/>
  <c r="C22" i="6174"/>
  <c r="H9" i="6174"/>
  <c r="B27" i="6174"/>
  <c r="H8" i="6174"/>
  <c r="C46" i="6174"/>
  <c r="H25" i="6178"/>
  <c r="H29" i="6178"/>
  <c r="H37" i="6178"/>
  <c r="C43" i="6178"/>
  <c r="H5" i="6178"/>
  <c r="C24" i="6178"/>
  <c r="C38" i="6178"/>
  <c r="C44" i="6178"/>
  <c r="H52" i="6178"/>
  <c r="H36" i="6178"/>
  <c r="H40" i="6178"/>
  <c r="H44" i="6178"/>
  <c r="H48" i="6178"/>
  <c r="H24" i="6178"/>
  <c r="H28" i="6178"/>
  <c r="H32" i="6178"/>
  <c r="C37" i="6178"/>
  <c r="C41" i="6178"/>
  <c r="C45" i="6178"/>
  <c r="H50" i="6178"/>
  <c r="C23" i="6178"/>
  <c r="B27" i="6178"/>
  <c r="H33" i="6178"/>
  <c r="H38" i="6178"/>
  <c r="H42" i="6178"/>
  <c r="H46" i="6178"/>
  <c r="C23" i="6176"/>
  <c r="H38" i="6176"/>
  <c r="H44" i="6176"/>
  <c r="H49" i="6176"/>
  <c r="C48" i="6176"/>
  <c r="H39" i="6176"/>
  <c r="C19" i="6176"/>
  <c r="H12" i="6176"/>
  <c r="H19" i="6176"/>
  <c r="H40" i="6176"/>
  <c r="H45" i="6176"/>
  <c r="H50" i="6176"/>
  <c r="H24" i="6176"/>
  <c r="H15" i="6176"/>
  <c r="H10" i="6176"/>
  <c r="H6" i="6176"/>
  <c r="H14" i="6176"/>
  <c r="H35" i="6176"/>
  <c r="C39" i="6176"/>
  <c r="C44" i="6176"/>
  <c r="H22" i="6176"/>
  <c r="C24" i="6176"/>
  <c r="H13" i="6176"/>
  <c r="C43" i="6176"/>
  <c r="C25" i="6176"/>
  <c r="H20" i="6176"/>
  <c r="H28" i="6176"/>
  <c r="H31" i="6176"/>
  <c r="H41" i="6176"/>
  <c r="H46" i="6176"/>
  <c r="H52" i="6176"/>
  <c r="H29" i="6176"/>
  <c r="H32" i="6176"/>
  <c r="H34" i="6176"/>
  <c r="C37" i="6176"/>
  <c r="C41" i="6176"/>
  <c r="C45" i="6176"/>
  <c r="H51" i="6176"/>
  <c r="H4" i="6176"/>
  <c r="H16" i="6176"/>
  <c r="H30" i="6176"/>
  <c r="H8" i="6176"/>
  <c r="H36" i="6176"/>
  <c r="C38" i="6176"/>
  <c r="C42" i="6176"/>
  <c r="C46" i="6176"/>
  <c r="H49" i="6174"/>
  <c r="C48" i="6174"/>
  <c r="C38" i="6174"/>
  <c r="H11" i="6174"/>
  <c r="H21" i="6174"/>
  <c r="H40" i="6174"/>
  <c r="C19" i="6174"/>
  <c r="C24" i="6174"/>
  <c r="H19" i="6174"/>
  <c r="H45" i="6174"/>
  <c r="H10" i="6174"/>
  <c r="H12" i="6174"/>
  <c r="C25" i="6174"/>
  <c r="H20" i="6174"/>
  <c r="H4" i="6174"/>
  <c r="H50" i="6174"/>
  <c r="H6" i="6174"/>
  <c r="H32" i="6174"/>
  <c r="H15" i="6174"/>
  <c r="H16" i="6174"/>
  <c r="H37" i="6174"/>
  <c r="C44" i="6174"/>
  <c r="H29" i="6174"/>
  <c r="H42" i="6174"/>
  <c r="H46" i="6174"/>
  <c r="H5" i="6174"/>
  <c r="H39" i="6174"/>
  <c r="H24" i="6174"/>
  <c r="H18" i="6174"/>
  <c r="H44" i="6174"/>
  <c r="H41" i="6174"/>
  <c r="H25" i="6174"/>
  <c r="H2" i="6174"/>
  <c r="H3" i="6174"/>
  <c r="H23" i="6174"/>
  <c r="C21" i="6174"/>
  <c r="B26" i="6174"/>
  <c r="C40" i="6174"/>
  <c r="H47" i="6174"/>
  <c r="H52" i="6174"/>
  <c r="H17" i="6174"/>
  <c r="H35" i="6174"/>
  <c r="H13" i="6174"/>
  <c r="H36" i="6174"/>
  <c r="H38" i="6174"/>
  <c r="C39" i="6174"/>
  <c r="C43" i="6174"/>
  <c r="C47" i="6174"/>
  <c r="H27" i="6174"/>
  <c r="H28" i="6174"/>
  <c r="H26" i="6174"/>
  <c r="C37" i="6174"/>
  <c r="C41" i="6174"/>
  <c r="C45" i="6174"/>
  <c r="C34" i="6023" l="1"/>
  <c r="B29" i="6023"/>
  <c r="C20" i="6023"/>
  <c r="C19" i="6023"/>
  <c r="B19" i="6023"/>
  <c r="H52" i="6023" s="1"/>
  <c r="C18" i="6023"/>
  <c r="B18" i="6023"/>
  <c r="B28" i="6023" s="1"/>
  <c r="C17" i="6023"/>
  <c r="B17" i="6023"/>
  <c r="C16" i="6023"/>
  <c r="C15" i="6023"/>
  <c r="C14" i="6023"/>
  <c r="O12" i="6023"/>
  <c r="H12" i="6023"/>
  <c r="B12" i="6023"/>
  <c r="O11" i="6023"/>
  <c r="B11" i="6023"/>
  <c r="O10" i="6023"/>
  <c r="B10" i="6023"/>
  <c r="B13" i="6023" s="1"/>
  <c r="H9" i="6023"/>
  <c r="C9" i="6023"/>
  <c r="C8" i="6023"/>
  <c r="O7" i="6023"/>
  <c r="C7" i="6023"/>
  <c r="O6" i="6023"/>
  <c r="H6" i="6023"/>
  <c r="B6" i="6023"/>
  <c r="O5" i="6023"/>
  <c r="B5" i="6023"/>
  <c r="O4" i="6023"/>
  <c r="O3" i="6023"/>
  <c r="H3" i="6023"/>
  <c r="O2" i="6023"/>
  <c r="H17" i="6023" l="1"/>
  <c r="H20" i="6023"/>
  <c r="H24" i="6023"/>
  <c r="H28" i="6023"/>
  <c r="H31" i="6023"/>
  <c r="C37" i="6023"/>
  <c r="C39" i="6023"/>
  <c r="C43" i="6023"/>
  <c r="C47" i="6023"/>
  <c r="H11" i="6023"/>
  <c r="H14" i="6023"/>
  <c r="C21" i="6023"/>
  <c r="B27" i="6023"/>
  <c r="H32" i="6023"/>
  <c r="H45" i="6023"/>
  <c r="H19" i="6023"/>
  <c r="H21" i="6023"/>
  <c r="H23" i="6023"/>
  <c r="H25" i="6023"/>
  <c r="H27" i="6023"/>
  <c r="H29" i="6023"/>
  <c r="H33" i="6023"/>
  <c r="C36" i="6023"/>
  <c r="C38" i="6023"/>
  <c r="C40" i="6023"/>
  <c r="C42" i="6023"/>
  <c r="C44" i="6023"/>
  <c r="C46" i="6023"/>
  <c r="C48" i="6023"/>
  <c r="H51" i="6023"/>
  <c r="H22" i="6023"/>
  <c r="H26" i="6023"/>
  <c r="H34" i="6023"/>
  <c r="C41" i="6023"/>
  <c r="C45" i="6023"/>
  <c r="H49" i="6023"/>
  <c r="H5" i="6023"/>
  <c r="H16" i="6023"/>
  <c r="C23" i="6023"/>
  <c r="C25" i="6023"/>
  <c r="H35" i="6023"/>
  <c r="H37" i="6023"/>
  <c r="H39" i="6023"/>
  <c r="H41" i="6023"/>
  <c r="H43" i="6023"/>
  <c r="H47" i="6023"/>
  <c r="H50" i="6023"/>
  <c r="H2" i="6023"/>
  <c r="H4" i="6023"/>
  <c r="H8" i="6023"/>
  <c r="H10" i="6023"/>
  <c r="H7" i="6023"/>
  <c r="H13" i="6023"/>
  <c r="H15" i="6023"/>
  <c r="H18" i="6023"/>
  <c r="C22" i="6023"/>
  <c r="C24" i="6023"/>
  <c r="B26" i="6023"/>
  <c r="H30" i="6023"/>
  <c r="H36" i="6023"/>
  <c r="H38" i="6023"/>
  <c r="H40" i="6023"/>
  <c r="H42" i="6023"/>
  <c r="H44" i="6023"/>
  <c r="H46" i="6023"/>
  <c r="H48" i="6023"/>
</calcChain>
</file>

<file path=xl/sharedStrings.xml><?xml version="1.0" encoding="utf-8"?>
<sst xmlns="http://schemas.openxmlformats.org/spreadsheetml/2006/main" count="2684" uniqueCount="230">
  <si>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</si>
  <si>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</si>
  <si>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</si>
  <si>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</si>
  <si>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</si>
  <si>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</si>
  <si>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</si>
  <si>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</si>
  <si>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</si>
  <si>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</si>
  <si>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</si>
  <si>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</si>
  <si>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</si>
  <si>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</si>
  <si>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</si>
  <si>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</si>
  <si>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</si>
  <si>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</si>
  <si>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</si>
  <si>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</si>
  <si>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</si>
  <si>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</si>
  <si>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</si>
  <si>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</si>
  <si>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</si>
  <si>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</si>
  <si>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</si>
  <si>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</si>
  <si>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</si>
  <si>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</si>
  <si>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</si>
  <si>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</si>
  <si>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</si>
  <si>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</si>
  <si>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</si>
  <si>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</si>
  <si>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</si>
  <si>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</si>
  <si>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</si>
  <si>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</si>
  <si>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</si>
  <si>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</si>
  <si>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</si>
  <si>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</si>
  <si>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</si>
  <si>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</si>
  <si>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</si>
  <si>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</si>
  <si>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</si>
  <si>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</si>
  <si>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</si>
  <si>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</si>
  <si>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</si>
  <si>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</si>
  <si>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</si>
  <si>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</si>
  <si>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</si>
  <si>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</si>
  <si>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</si>
  <si>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</si>
  <si>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</si>
  <si>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</si>
  <si>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</si>
  <si>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</si>
  <si>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</si>
  <si>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</si>
  <si>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</si>
  <si>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</si>
  <si>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</si>
  <si>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</si>
  <si>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</si>
  <si>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</si>
  <si>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</si>
  <si>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</si>
  <si>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</si>
  <si>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</si>
  <si>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</si>
  <si>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</si>
  <si>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</si>
  <si>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</si>
  <si>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</si>
  <si>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</si>
  <si>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</si>
  <si>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</si>
  <si>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</si>
  <si>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</si>
  <si>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</si>
  <si>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</si>
  <si>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</si>
  <si>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</si>
  <si>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</si>
  <si>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</si>
  <si>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</si>
  <si>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</si>
  <si>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</si>
  <si>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</si>
  <si>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</si>
  <si>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</si>
  <si>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</si>
  <si>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</si>
  <si>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</si>
  <si>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</si>
  <si>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</si>
  <si>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</si>
  <si>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</si>
  <si>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</si>
  <si>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</si>
  <si>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</si>
  <si>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</si>
  <si>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</si>
  <si>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</si>
  <si>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</si>
  <si>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</si>
  <si>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</si>
  <si>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</si>
  <si>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</si>
  <si>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</si>
  <si>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</si>
  <si>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</si>
  <si>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</si>
  <si>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</si>
  <si>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</si>
  <si>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</si>
  <si>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</si>
  <si>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</si>
  <si>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</si>
  <si>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だいち</t>
  </si>
  <si>
    <t>Sheet1</t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</si>
  <si>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</si>
  <si>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</si>
  <si>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</si>
  <si>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</si>
  <si>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</si>
  <si>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</si>
  <si>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</si>
  <si>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</si>
  <si>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</si>
  <si>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</si>
  <si>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</si>
  <si>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全体</t>
  </si>
  <si>
    <t>放銃率</t>
    <rPh sb="0" eb="2">
      <t>ホウジュウ</t>
    </rPh>
    <rPh sb="2" eb="3">
      <t>リツ</t>
    </rPh>
    <phoneticPr fontId="1"/>
  </si>
  <si>
    <t>アガリ率</t>
    <rPh sb="3" eb="4">
      <t>リツ</t>
    </rPh>
    <phoneticPr fontId="1"/>
  </si>
  <si>
    <t>副露成功率</t>
    <rPh sb="0" eb="2">
      <t>フーロ</t>
    </rPh>
    <rPh sb="2" eb="4">
      <t>セイコウ</t>
    </rPh>
    <rPh sb="4" eb="5">
      <t>リツ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</si>
  <si>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</si>
  <si>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</si>
  <si>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</si>
  <si>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</si>
  <si>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</si>
  <si>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合計</t>
    <rPh sb="0" eb="2">
      <t>ゴウケイ</t>
    </rPh>
    <phoneticPr fontId="1"/>
  </si>
  <si>
    <t>相関</t>
    <rPh sb="0" eb="2">
      <t>ソウカン</t>
    </rPh>
    <phoneticPr fontId="1"/>
  </si>
  <si>
    <t>ラス率</t>
    <rPh sb="2" eb="3">
      <t>リツ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</si>
  <si>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</si>
  <si>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</si>
  <si>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</si>
  <si>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</si>
  <si>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</si>
  <si>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51</t>
    <phoneticPr fontId="1"/>
  </si>
  <si>
    <t>オープン立直</t>
    <rPh sb="4" eb="6">
      <t>リーチ</t>
    </rPh>
    <phoneticPr fontId="1"/>
  </si>
  <si>
    <t>連続アガリ</t>
    <rPh sb="0" eb="2">
      <t>レンゾク</t>
    </rPh>
    <phoneticPr fontId="1"/>
  </si>
  <si>
    <t>連続無放銃</t>
    <rPh sb="0" eb="2">
      <t>レンゾク</t>
    </rPh>
    <rPh sb="2" eb="5">
      <t>ムホウジュウ</t>
    </rPh>
    <phoneticPr fontId="1"/>
  </si>
  <si>
    <t>52</t>
  </si>
  <si>
    <t>赤ドラ</t>
  </si>
  <si>
    <t>53</t>
    <phoneticPr fontId="1"/>
  </si>
  <si>
    <t>十三不塔</t>
    <rPh sb="0" eb="4">
      <t>シー</t>
    </rPh>
    <phoneticPr fontId="1"/>
  </si>
  <si>
    <t>れんたろう</t>
  </si>
  <si>
    <t>平均放銃点</t>
  </si>
  <si>
    <t>門前アガリ点</t>
    <rPh sb="0" eb="2">
      <t>メンゼン</t>
    </rPh>
    <rPh sb="5" eb="6">
      <t>テン</t>
    </rPh>
    <phoneticPr fontId="1"/>
  </si>
  <si>
    <t>副露アガリ点</t>
    <rPh sb="0" eb="2">
      <t>フーロ</t>
    </rPh>
    <rPh sb="5" eb="6">
      <t>テン</t>
    </rPh>
    <phoneticPr fontId="1"/>
  </si>
  <si>
    <t>2翻</t>
    <phoneticPr fontId="1"/>
  </si>
  <si>
    <t>3翻</t>
    <rPh sb="1" eb="2">
      <t>ホン</t>
    </rPh>
    <phoneticPr fontId="1"/>
  </si>
  <si>
    <t>4翻</t>
    <phoneticPr fontId="1"/>
  </si>
  <si>
    <t>5翻</t>
    <rPh sb="1" eb="2">
      <t>ホン</t>
    </rPh>
    <phoneticPr fontId="1"/>
  </si>
  <si>
    <t>1翻</t>
    <rPh sb="1" eb="2">
      <t>ホン</t>
    </rPh>
    <phoneticPr fontId="1"/>
  </si>
  <si>
    <t>6翻</t>
    <phoneticPr fontId="1"/>
  </si>
  <si>
    <t>7翻</t>
    <rPh sb="1" eb="2">
      <t>ホン</t>
    </rPh>
    <phoneticPr fontId="1"/>
  </si>
  <si>
    <t>8翻</t>
    <phoneticPr fontId="1"/>
  </si>
  <si>
    <t>9翻</t>
    <rPh sb="1" eb="2">
      <t>ホン</t>
    </rPh>
    <phoneticPr fontId="1"/>
  </si>
  <si>
    <t>10翻</t>
    <phoneticPr fontId="1"/>
  </si>
  <si>
    <t>11翻</t>
    <rPh sb="2" eb="3">
      <t>ホン</t>
    </rPh>
    <phoneticPr fontId="1"/>
  </si>
  <si>
    <t>12翻</t>
    <phoneticPr fontId="1"/>
  </si>
  <si>
    <t>13翻～</t>
    <rPh sb="2" eb="3">
      <t>ホン</t>
    </rPh>
    <phoneticPr fontId="1"/>
  </si>
  <si>
    <t>最高点</t>
    <rPh sb="0" eb="3">
      <t>サイコウテン</t>
    </rPh>
    <phoneticPr fontId="1"/>
  </si>
  <si>
    <t>副露アガリ</t>
    <rPh sb="0" eb="2">
      <t>フーロ</t>
    </rPh>
    <phoneticPr fontId="1"/>
  </si>
  <si>
    <t>ダマアガリ</t>
    <phoneticPr fontId="1"/>
  </si>
  <si>
    <t>リーチアガリ</t>
    <phoneticPr fontId="1"/>
  </si>
  <si>
    <t>1位スコア</t>
    <rPh sb="1" eb="2">
      <t>イ</t>
    </rPh>
    <phoneticPr fontId="1"/>
  </si>
  <si>
    <t>2位スコア</t>
    <phoneticPr fontId="1"/>
  </si>
  <si>
    <t>3位スコア</t>
    <phoneticPr fontId="1"/>
  </si>
  <si>
    <t>バランス</t>
    <phoneticPr fontId="1"/>
  </si>
  <si>
    <t>ともき</t>
  </si>
  <si>
    <t>2020-04-04@1.xlsm</t>
  </si>
  <si>
    <t>Sheet2</t>
  </si>
  <si>
    <t>まっつん</t>
  </si>
  <si>
    <t>たかの</t>
  </si>
  <si>
    <t>りくと</t>
  </si>
  <si>
    <t>Sheet3</t>
  </si>
  <si>
    <t>のり</t>
  </si>
  <si>
    <t>Sheet4</t>
  </si>
  <si>
    <t>Sheet5</t>
  </si>
  <si>
    <t>2020-04-05@0.xlsm</t>
  </si>
  <si>
    <t>Sheet6</t>
  </si>
  <si>
    <t>Sheet7</t>
  </si>
  <si>
    <t>Sheet8</t>
  </si>
  <si>
    <t>2020-04-06@0.xlsm</t>
  </si>
  <si>
    <t>2020-04-07@0.xlsm</t>
  </si>
  <si>
    <t>ただ</t>
  </si>
  <si>
    <t>Sheet9</t>
  </si>
  <si>
    <t>Sheet10</t>
  </si>
  <si>
    <t>2020-04-08@0.xlsm</t>
  </si>
  <si>
    <t xml:space="preserve"> </t>
    <phoneticPr fontId="1"/>
  </si>
  <si>
    <t>2020-04-09@0.xlsm</t>
  </si>
  <si>
    <t>2020-04-10@0.xlsm</t>
  </si>
  <si>
    <t>2020-05-31@Ina.xlsm</t>
  </si>
  <si>
    <t>ぱぱ</t>
  </si>
  <si>
    <t>2020-06-05@0.xlsm</t>
  </si>
  <si>
    <t>2020-06-06@0.xlsm</t>
  </si>
  <si>
    <t>2020-06-07@0.xlsm</t>
  </si>
  <si>
    <t>2020-06-08@0.xlsm</t>
  </si>
  <si>
    <t>2020-06-09@0.xlsm</t>
  </si>
  <si>
    <t>2020-06-10@0.xlsm</t>
  </si>
  <si>
    <t>2020-06-13@0.xlsm</t>
  </si>
  <si>
    <t>2020-06-14@0.xlsm</t>
  </si>
  <si>
    <t>2020-06-15@0.xlsm</t>
  </si>
  <si>
    <t>2020-06-16@0.xlsm</t>
  </si>
  <si>
    <t>2020-06-18@0.xlsm</t>
  </si>
  <si>
    <t>2020-06-19@0.xlsm</t>
  </si>
  <si>
    <t>2020-06-20@0.xlsm</t>
  </si>
  <si>
    <t>2020-06-22@0.xlsm</t>
  </si>
  <si>
    <t>2020-06-24@0.xlsm</t>
  </si>
  <si>
    <t>2020-06-26@0.xlsm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</si>
</sst>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\ hh:mm"/>
    <numFmt numFmtId="181" formatCode="0\ &quot;個&quot;"/>
    <numFmt numFmtId="182" formatCode="0&quot;位&quot;"/>
    <numFmt numFmtId="183" formatCode="0\ &quot;位&quot;"/>
    <numFmt numFmtId="184" formatCode="\+0.00;\-0.00;\±0"/>
    <numFmt numFmtId="185" formatCode="\+0;\-0;\±0"/>
    <numFmt numFmtId="186" formatCode="0.0000"/>
    <numFmt numFmtId="187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7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47">
    <xf numFmtId="0" fontId="0" fillId="0" borderId="0" xfId="0">
      <alignment vertical="center"/>
    </xf>
    <xf numFmtId="14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0" fontId="0" fillId="0" borderId="0" xfId="0" applyNumberFormat="1" applyBorder="1" applyAlignment="1">
      <alignment horizontal="left" vertical="center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77" fontId="0" fillId="0" borderId="0" xfId="0" applyNumberFormat="1" applyAlignment="1">
      <alignment horizontal="center" vertical="center" shrinkToFit="1"/>
    </xf>
    <xf numFmtId="179" fontId="0" fillId="0" borderId="0" xfId="0" applyNumberFormat="1" applyAlignment="1">
      <alignment horizontal="center" vertical="center" shrinkToFit="1"/>
    </xf>
    <xf numFmtId="1" fontId="0" fillId="0" borderId="0" xfId="0" applyNumberFormat="1" applyAlignment="1">
      <alignment horizontal="center" vertical="center" shrinkToFit="1"/>
    </xf>
    <xf numFmtId="176" fontId="0" fillId="0" borderId="0" xfId="0" applyNumberFormat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178" fontId="0" fillId="0" borderId="0" xfId="0" applyNumberFormat="1" applyAlignment="1">
      <alignment horizontal="center" vertical="center" shrinkToFit="1"/>
    </xf>
    <xf numFmtId="182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2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2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3" fontId="0" fillId="0" borderId="6" xfId="0" applyNumberFormat="1" applyBorder="1" applyAlignment="1">
      <alignment horizontal="center" vertical="center" shrinkToFit="1"/>
    </xf>
    <xf numFmtId="183" fontId="0" fillId="0" borderId="3" xfId="0" applyNumberFormat="1" applyBorder="1" applyAlignment="1">
      <alignment horizontal="center" vertical="center" shrinkToFit="1"/>
    </xf>
    <xf numFmtId="183" fontId="0" fillId="0" borderId="5" xfId="0" applyNumberFormat="1" applyBorder="1" applyAlignment="1">
      <alignment horizontal="center" vertical="center" shrinkToFit="1"/>
    </xf>
    <xf numFmtId="184" fontId="0" fillId="0" borderId="32" xfId="0" applyNumberFormat="1" applyBorder="1" applyAlignment="1">
      <alignment horizontal="center" vertical="center" shrinkToFit="1"/>
    </xf>
    <xf numFmtId="184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2" fillId="0" borderId="48" xfId="0" applyFont="1" applyBorder="1" applyAlignment="1">
      <alignment horizontal="center" vertical="center" shrinkToFit="1"/>
    </xf>
    <xf numFmtId="1" fontId="2" fillId="0" borderId="49" xfId="0" applyNumberFormat="1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1" fontId="2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176" fontId="4" fillId="0" borderId="41" xfId="0" applyNumberFormat="1" applyFont="1" applyBorder="1" applyAlignment="1">
      <alignment horizontal="center" vertical="center" shrinkToFit="1"/>
    </xf>
    <xf numFmtId="176" fontId="4" fillId="0" borderId="42" xfId="0" applyNumberFormat="1" applyFont="1" applyBorder="1" applyAlignment="1">
      <alignment horizontal="center" vertical="center" shrinkToFit="1"/>
    </xf>
    <xf numFmtId="176" fontId="4" fillId="0" borderId="43" xfId="0" applyNumberFormat="1" applyFon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4" fontId="0" fillId="0" borderId="1" xfId="0" applyNumberFormat="1" applyBorder="1" applyAlignment="1">
      <alignment horizontal="center" vertical="center" shrinkToFit="1"/>
    </xf>
    <xf numFmtId="184" fontId="0" fillId="0" borderId="2" xfId="0" applyNumberFormat="1" applyBorder="1" applyAlignment="1">
      <alignment horizontal="center" vertical="center" shrinkToFit="1"/>
    </xf>
    <xf numFmtId="184" fontId="0" fillId="0" borderId="4" xfId="0" applyNumberFormat="1" applyBorder="1" applyAlignment="1">
      <alignment horizontal="center" vertical="center" shrinkToFit="1"/>
    </xf>
    <xf numFmtId="185" fontId="0" fillId="0" borderId="40" xfId="0" applyNumberForma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2" fillId="0" borderId="3" xfId="0" applyNumberFormat="1" applyFont="1" applyBorder="1" applyAlignment="1">
      <alignment horizontal="center" vertical="center" shrinkToFit="1"/>
    </xf>
    <xf numFmtId="49" fontId="3" fillId="0" borderId="54" xfId="0" applyNumberFormat="1" applyFont="1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10" fontId="0" fillId="0" borderId="55" xfId="0" applyNumberFormat="1" applyBorder="1" applyAlignment="1">
      <alignment horizontal="center" vertical="center" shrinkToFit="1"/>
    </xf>
    <xf numFmtId="183" fontId="0" fillId="0" borderId="7" xfId="0" applyNumberFormat="1" applyBorder="1" applyAlignment="1">
      <alignment horizontal="center" vertical="center" shrinkToFit="1"/>
    </xf>
    <xf numFmtId="1" fontId="0" fillId="0" borderId="16" xfId="0" applyNumberFormat="1" applyBorder="1" applyAlignment="1">
      <alignment horizontal="center" vertical="center" shrinkToFit="1"/>
    </xf>
    <xf numFmtId="1" fontId="2" fillId="0" borderId="7" xfId="0" applyNumberFormat="1" applyFon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9" fontId="0" fillId="0" borderId="5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0" fontId="0" fillId="0" borderId="0" xfId="0" applyAlignment="1">
      <alignment vertical="center" shrinkToFit="1"/>
    </xf>
    <xf numFmtId="0" fontId="3" fillId="0" borderId="10" xfId="0" applyFont="1" applyBorder="1" applyAlignment="1">
      <alignment horizontal="center" vertical="center" shrinkToFit="1"/>
    </xf>
    <xf numFmtId="187" fontId="0" fillId="0" borderId="0" xfId="0" applyNumberFormat="1" applyAlignment="1">
      <alignment vertical="center" shrinkToFit="1"/>
    </xf>
    <xf numFmtId="0" fontId="4" fillId="0" borderId="40" xfId="0" applyFont="1" applyBorder="1" applyAlignment="1">
      <alignment horizontal="center" vertical="center" shrinkToFit="1"/>
    </xf>
    <xf numFmtId="0" fontId="0" fillId="0" borderId="0" xfId="0" applyAlignment="1">
      <alignment horizontal="center" vertical="center" shrinkToFit="1"/>
    </xf>
    <xf numFmtId="176" fontId="4" fillId="0" borderId="0" xfId="0" applyNumberFormat="1" applyFont="1" applyAlignment="1">
      <alignment horizontal="center" vertical="center" shrinkToFit="1"/>
    </xf>
    <xf numFmtId="184" fontId="0" fillId="0" borderId="16" xfId="0" applyNumberFormat="1" applyBorder="1" applyAlignment="1">
      <alignment horizontal="center" vertical="center" shrinkToFit="1"/>
    </xf>
    <xf numFmtId="184" fontId="2" fillId="0" borderId="7" xfId="0" applyNumberFormat="1" applyFont="1" applyBorder="1" applyAlignment="1">
      <alignment horizontal="center" vertical="center" shrinkToFit="1"/>
    </xf>
    <xf numFmtId="0" fontId="4" fillId="0" borderId="0" xfId="0" applyFont="1" applyAlignment="1">
      <alignment vertical="center" shrinkToFit="1"/>
    </xf>
    <xf numFmtId="49" fontId="4" fillId="0" borderId="0" xfId="0" applyNumberFormat="1" applyFont="1" applyAlignment="1">
      <alignment horizontal="center" vertical="center" shrinkToFit="1"/>
    </xf>
    <xf numFmtId="176" fontId="0" fillId="0" borderId="32" xfId="0" applyNumberFormat="1" applyBorder="1" applyAlignment="1">
      <alignment horizontal="center" vertical="center" shrinkToFit="1"/>
    </xf>
    <xf numFmtId="176" fontId="0" fillId="0" borderId="35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84" fontId="0" fillId="0" borderId="25" xfId="0" applyNumberFormat="1" applyBorder="1" applyAlignment="1">
      <alignment horizontal="center" vertical="center" shrinkToFit="1"/>
    </xf>
    <xf numFmtId="184" fontId="0" fillId="0" borderId="26" xfId="0" applyNumberFormat="1" applyBorder="1" applyAlignment="1">
      <alignment horizontal="center" vertical="center" shrinkToFit="1"/>
    </xf>
    <xf numFmtId="181" fontId="0" fillId="0" borderId="23" xfId="0" applyNumberFormat="1" applyBorder="1" applyAlignment="1">
      <alignment horizontal="center" vertical="center" shrinkToFit="1"/>
    </xf>
    <xf numFmtId="181" fontId="0" fillId="0" borderId="24" xfId="0" applyNumberFormat="1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186" fontId="0" fillId="0" borderId="29" xfId="0" applyNumberFormat="1" applyBorder="1" applyAlignment="1">
      <alignment horizontal="center" vertical="center" shrinkToFit="1"/>
    </xf>
    <xf numFmtId="186" fontId="0" fillId="0" borderId="30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0" fontId="0" fillId="0" borderId="29" xfId="0" applyBorder="1" applyAlignment="1">
      <alignment horizontal="center" vertical="center" shrinkToFit="1"/>
    </xf>
    <xf numFmtId="0" fontId="0" fillId="0" borderId="30" xfId="0" applyBorder="1" applyAlignment="1">
      <alignment horizontal="center" vertical="center" shrinkToFit="1"/>
    </xf>
    <xf numFmtId="186" fontId="0" fillId="0" borderId="38" xfId="0" applyNumberFormat="1" applyBorder="1" applyAlignment="1">
      <alignment horizontal="center" vertical="center" shrinkToFit="1"/>
    </xf>
    <xf numFmtId="186" fontId="0" fillId="0" borderId="39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hartsheet" Target="chartsheets/sheet1.xml"/><Relationship Id="rId39" Type="http://schemas.openxmlformats.org/officeDocument/2006/relationships/chartsheet" Target="chartsheets/sheet14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hartsheet" Target="chartsheets/sheet9.xml"/><Relationship Id="rId42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hartsheet" Target="chartsheets/sheet8.xml"/><Relationship Id="rId38" Type="http://schemas.openxmlformats.org/officeDocument/2006/relationships/chartsheet" Target="chartsheets/sheet13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hartsheet" Target="chartsheets/sheet4.xml"/><Relationship Id="rId41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hartsheet" Target="chartsheets/sheet7.xml"/><Relationship Id="rId37" Type="http://schemas.openxmlformats.org/officeDocument/2006/relationships/chartsheet" Target="chartsheets/sheet12.xml"/><Relationship Id="rId40" Type="http://schemas.openxmlformats.org/officeDocument/2006/relationships/chartsheet" Target="chartsheets/sheet15.xml"/><Relationship Id="rId45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hartsheet" Target="chartsheets/sheet3.xml"/><Relationship Id="rId36" Type="http://schemas.openxmlformats.org/officeDocument/2006/relationships/chartsheet" Target="chartsheets/sheet1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hartsheet" Target="chartsheets/sheet6.xml"/><Relationship Id="rId44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hartsheet" Target="chartsheets/sheet2.xml"/><Relationship Id="rId30" Type="http://schemas.openxmlformats.org/officeDocument/2006/relationships/chartsheet" Target="chartsheets/sheet5.xml"/><Relationship Id="rId35" Type="http://schemas.openxmlformats.org/officeDocument/2006/relationships/chartsheet" Target="chartsheets/sheet10.xml"/><Relationship Id="rId43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Template1!$L$2:$L$9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3-4198-83CC-4E91FF118A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Template1!$O$1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Template1!$N$2:$N$7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Template1!$O$2:$O$7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222-4FF8-B778-E9F0B94751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Template1!$A$36:$A$48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Template1!$B$36:$B$48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739-40D6-AC41-B4DBEBCBEB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全体!$K$2:$K$260</c:f>
              <c:numCache>
                <c:formatCode>General</c:formatCode>
                <c:ptCount val="25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</c:numCache>
            </c:numRef>
          </c:xVal>
          <c:yVal>
            <c:numRef>
              <c:f>全体!$L$2:$L$260</c:f>
              <c:numCache>
                <c:formatCode>\+0.0;\-0.0;\±0</c:formatCode>
                <c:ptCount val="259"/>
                <c:pt idx="0">
                  <c:v>0</c:v>
                </c:pt>
                <c:pt idx="1">
                  <c:v>-2.9</c:v>
                </c:pt>
                <c:pt idx="2">
                  <c:v>-39.199999999999996</c:v>
                </c:pt>
                <c:pt idx="3">
                  <c:v>7.1054273576010019E-15</c:v>
                </c:pt>
                <c:pt idx="4">
                  <c:v>-55.499999999999993</c:v>
                </c:pt>
                <c:pt idx="5">
                  <c:v>-55.999999999999993</c:v>
                </c:pt>
                <c:pt idx="6">
                  <c:v>7.1054273576010019E-15</c:v>
                </c:pt>
                <c:pt idx="7">
                  <c:v>-50.999999999999993</c:v>
                </c:pt>
                <c:pt idx="8">
                  <c:v>-81.5</c:v>
                </c:pt>
                <c:pt idx="9">
                  <c:v>0</c:v>
                </c:pt>
                <c:pt idx="10">
                  <c:v>60.4</c:v>
                </c:pt>
                <c:pt idx="11">
                  <c:v>-1.8999999999999986</c:v>
                </c:pt>
                <c:pt idx="12">
                  <c:v>1.3322676295501878E-15</c:v>
                </c:pt>
                <c:pt idx="13">
                  <c:v>14.300000000000002</c:v>
                </c:pt>
                <c:pt idx="14">
                  <c:v>12.800000000000002</c:v>
                </c:pt>
                <c:pt idx="15">
                  <c:v>1.7763568394002505E-15</c:v>
                </c:pt>
                <c:pt idx="16">
                  <c:v>3.4000000000000017</c:v>
                </c:pt>
                <c:pt idx="17">
                  <c:v>-35.800000000000004</c:v>
                </c:pt>
                <c:pt idx="18">
                  <c:v>-7.1054273576010019E-15</c:v>
                </c:pt>
                <c:pt idx="19">
                  <c:v>-27.100000000000009</c:v>
                </c:pt>
                <c:pt idx="20">
                  <c:v>-28.600000000000009</c:v>
                </c:pt>
                <c:pt idx="21">
                  <c:v>-7.1054273576010019E-15</c:v>
                </c:pt>
                <c:pt idx="22">
                  <c:v>-7.5000000000000071</c:v>
                </c:pt>
                <c:pt idx="23">
                  <c:v>-41.600000000000009</c:v>
                </c:pt>
                <c:pt idx="24">
                  <c:v>-7.1054273576010019E-15</c:v>
                </c:pt>
                <c:pt idx="25">
                  <c:v>-20.900000000000006</c:v>
                </c:pt>
                <c:pt idx="26">
                  <c:v>-21.400000000000006</c:v>
                </c:pt>
                <c:pt idx="27">
                  <c:v>-7.1054273576010019E-15</c:v>
                </c:pt>
                <c:pt idx="28">
                  <c:v>3.9999999999999929</c:v>
                </c:pt>
                <c:pt idx="29">
                  <c:v>29.999999999999993</c:v>
                </c:pt>
                <c:pt idx="30">
                  <c:v>-7.1054273576010019E-15</c:v>
                </c:pt>
                <c:pt idx="31">
                  <c:v>-22.500000000000007</c:v>
                </c:pt>
                <c:pt idx="32">
                  <c:v>-31.900000000000006</c:v>
                </c:pt>
                <c:pt idx="33">
                  <c:v>-7.1054273576010019E-15</c:v>
                </c:pt>
                <c:pt idx="34">
                  <c:v>-35.900000000000006</c:v>
                </c:pt>
                <c:pt idx="35">
                  <c:v>-25.600000000000005</c:v>
                </c:pt>
                <c:pt idx="36">
                  <c:v>-3.5527136788005009E-15</c:v>
                </c:pt>
                <c:pt idx="37">
                  <c:v>-26.700000000000003</c:v>
                </c:pt>
                <c:pt idx="38">
                  <c:v>-18.700000000000003</c:v>
                </c:pt>
                <c:pt idx="39">
                  <c:v>-3.5527136788005009E-15</c:v>
                </c:pt>
                <c:pt idx="40">
                  <c:v>21.499999999999996</c:v>
                </c:pt>
                <c:pt idx="41">
                  <c:v>-5.4000000000000021</c:v>
                </c:pt>
                <c:pt idx="42">
                  <c:v>-1.7763568394002505E-15</c:v>
                </c:pt>
                <c:pt idx="43">
                  <c:v>-46.6</c:v>
                </c:pt>
                <c:pt idx="44">
                  <c:v>31.1</c:v>
                </c:pt>
                <c:pt idx="45">
                  <c:v>0</c:v>
                </c:pt>
                <c:pt idx="46">
                  <c:v>-41.6</c:v>
                </c:pt>
                <c:pt idx="47">
                  <c:v>-27.900000000000002</c:v>
                </c:pt>
                <c:pt idx="48">
                  <c:v>-3.5527136788005009E-15</c:v>
                </c:pt>
                <c:pt idx="49">
                  <c:v>-38.299999999999997</c:v>
                </c:pt>
                <c:pt idx="50">
                  <c:v>-26.999999999999996</c:v>
                </c:pt>
                <c:pt idx="51">
                  <c:v>3.5527136788005009E-15</c:v>
                </c:pt>
                <c:pt idx="52">
                  <c:v>68.2</c:v>
                </c:pt>
                <c:pt idx="53">
                  <c:v>44.7</c:v>
                </c:pt>
                <c:pt idx="54">
                  <c:v>0</c:v>
                </c:pt>
                <c:pt idx="55">
                  <c:v>-1</c:v>
                </c:pt>
                <c:pt idx="56">
                  <c:v>27</c:v>
                </c:pt>
                <c:pt idx="57">
                  <c:v>0</c:v>
                </c:pt>
                <c:pt idx="58">
                  <c:v>-32.299999999999997</c:v>
                </c:pt>
                <c:pt idx="59">
                  <c:v>-52.199999999999996</c:v>
                </c:pt>
                <c:pt idx="60">
                  <c:v>7.1054273576010019E-15</c:v>
                </c:pt>
                <c:pt idx="61">
                  <c:v>43.500000000000007</c:v>
                </c:pt>
                <c:pt idx="62">
                  <c:v>7.8000000000000043</c:v>
                </c:pt>
                <c:pt idx="63">
                  <c:v>4.4408920985006262E-15</c:v>
                </c:pt>
                <c:pt idx="64">
                  <c:v>-52.79999999999999</c:v>
                </c:pt>
                <c:pt idx="65">
                  <c:v>7.5000000000000071</c:v>
                </c:pt>
                <c:pt idx="66">
                  <c:v>7.1054273576010019E-15</c:v>
                </c:pt>
                <c:pt idx="67">
                  <c:v>-14.799999999999994</c:v>
                </c:pt>
                <c:pt idx="68">
                  <c:v>-49.5</c:v>
                </c:pt>
                <c:pt idx="69">
                  <c:v>0</c:v>
                </c:pt>
                <c:pt idx="70">
                  <c:v>6.4</c:v>
                </c:pt>
                <c:pt idx="71">
                  <c:v>-24.6</c:v>
                </c:pt>
                <c:pt idx="72">
                  <c:v>0</c:v>
                </c:pt>
                <c:pt idx="73">
                  <c:v>-49.4</c:v>
                </c:pt>
                <c:pt idx="74">
                  <c:v>-37.200000000000003</c:v>
                </c:pt>
                <c:pt idx="75">
                  <c:v>0</c:v>
                </c:pt>
                <c:pt idx="76">
                  <c:v>-14.6</c:v>
                </c:pt>
                <c:pt idx="77">
                  <c:v>-63.5</c:v>
                </c:pt>
                <c:pt idx="78">
                  <c:v>0</c:v>
                </c:pt>
                <c:pt idx="79">
                  <c:v>30</c:v>
                </c:pt>
                <c:pt idx="80">
                  <c:v>21.6</c:v>
                </c:pt>
                <c:pt idx="81">
                  <c:v>0</c:v>
                </c:pt>
                <c:pt idx="82">
                  <c:v>1.5</c:v>
                </c:pt>
                <c:pt idx="83">
                  <c:v>50.1</c:v>
                </c:pt>
                <c:pt idx="84">
                  <c:v>0</c:v>
                </c:pt>
                <c:pt idx="85">
                  <c:v>26</c:v>
                </c:pt>
                <c:pt idx="86">
                  <c:v>-5.6999999999999993</c:v>
                </c:pt>
                <c:pt idx="87">
                  <c:v>8.8817841970012523E-16</c:v>
                </c:pt>
                <c:pt idx="88">
                  <c:v>-45.2</c:v>
                </c:pt>
                <c:pt idx="89">
                  <c:v>-3.5</c:v>
                </c:pt>
                <c:pt idx="90">
                  <c:v>0</c:v>
                </c:pt>
                <c:pt idx="91">
                  <c:v>-10.7</c:v>
                </c:pt>
                <c:pt idx="92">
                  <c:v>-34</c:v>
                </c:pt>
                <c:pt idx="93">
                  <c:v>0</c:v>
                </c:pt>
                <c:pt idx="94">
                  <c:v>-0.9</c:v>
                </c:pt>
                <c:pt idx="95">
                  <c:v>15.200000000000001</c:v>
                </c:pt>
                <c:pt idx="96">
                  <c:v>1.7763568394002505E-15</c:v>
                </c:pt>
                <c:pt idx="97">
                  <c:v>-12.599999999999998</c:v>
                </c:pt>
                <c:pt idx="98">
                  <c:v>-57.8</c:v>
                </c:pt>
                <c:pt idx="99">
                  <c:v>0</c:v>
                </c:pt>
                <c:pt idx="100">
                  <c:v>-4</c:v>
                </c:pt>
                <c:pt idx="101">
                  <c:v>47.3</c:v>
                </c:pt>
                <c:pt idx="102">
                  <c:v>0</c:v>
                </c:pt>
                <c:pt idx="103">
                  <c:v>-57.1</c:v>
                </c:pt>
                <c:pt idx="104">
                  <c:v>-52.800000000000004</c:v>
                </c:pt>
                <c:pt idx="105">
                  <c:v>-7.1054273576010019E-15</c:v>
                </c:pt>
                <c:pt idx="106">
                  <c:v>-20.000000000000007</c:v>
                </c:pt>
                <c:pt idx="107">
                  <c:v>52.999999999999993</c:v>
                </c:pt>
                <c:pt idx="108">
                  <c:v>-7.1054273576010019E-15</c:v>
                </c:pt>
                <c:pt idx="109">
                  <c:v>54.399999999999991</c:v>
                </c:pt>
                <c:pt idx="110">
                  <c:v>4.2999999999999901</c:v>
                </c:pt>
                <c:pt idx="111">
                  <c:v>-9.7699626167013776E-15</c:v>
                </c:pt>
                <c:pt idx="112">
                  <c:v>-48.20000000000001</c:v>
                </c:pt>
                <c:pt idx="113">
                  <c:v>11.499999999999993</c:v>
                </c:pt>
                <c:pt idx="114">
                  <c:v>-7.1054273576010019E-15</c:v>
                </c:pt>
                <c:pt idx="115">
                  <c:v>22.299999999999994</c:v>
                </c:pt>
                <c:pt idx="116">
                  <c:v>27.299999999999994</c:v>
                </c:pt>
                <c:pt idx="117">
                  <c:v>-7.1054273576010019E-15</c:v>
                </c:pt>
                <c:pt idx="118">
                  <c:v>-9.5000000000000071</c:v>
                </c:pt>
                <c:pt idx="119">
                  <c:v>22.099999999999994</c:v>
                </c:pt>
                <c:pt idx="120">
                  <c:v>-7.1054273576010019E-15</c:v>
                </c:pt>
                <c:pt idx="121">
                  <c:v>-36.400000000000006</c:v>
                </c:pt>
                <c:pt idx="122">
                  <c:v>-61.600000000000009</c:v>
                </c:pt>
                <c:pt idx="123">
                  <c:v>-7.1054273576010019E-15</c:v>
                </c:pt>
                <c:pt idx="124">
                  <c:v>-2.3000000000000069</c:v>
                </c:pt>
                <c:pt idx="125">
                  <c:v>-24.800000000000008</c:v>
                </c:pt>
                <c:pt idx="126">
                  <c:v>-7.1054273576010019E-15</c:v>
                </c:pt>
                <c:pt idx="127">
                  <c:v>-27.500000000000007</c:v>
                </c:pt>
                <c:pt idx="128">
                  <c:v>-22.000000000000007</c:v>
                </c:pt>
                <c:pt idx="129">
                  <c:v>-7.1054273576010019E-15</c:v>
                </c:pt>
                <c:pt idx="130">
                  <c:v>70</c:v>
                </c:pt>
                <c:pt idx="131">
                  <c:v>46.5</c:v>
                </c:pt>
                <c:pt idx="132">
                  <c:v>0</c:v>
                </c:pt>
                <c:pt idx="133">
                  <c:v>-5.4</c:v>
                </c:pt>
                <c:pt idx="134">
                  <c:v>31.9</c:v>
                </c:pt>
                <c:pt idx="135">
                  <c:v>0</c:v>
                </c:pt>
                <c:pt idx="136">
                  <c:v>1.3</c:v>
                </c:pt>
                <c:pt idx="137">
                  <c:v>-13.799999999999999</c:v>
                </c:pt>
                <c:pt idx="138">
                  <c:v>1.7763568394002505E-15</c:v>
                </c:pt>
                <c:pt idx="139">
                  <c:v>87.3</c:v>
                </c:pt>
                <c:pt idx="140">
                  <c:v>65</c:v>
                </c:pt>
                <c:pt idx="141">
                  <c:v>0</c:v>
                </c:pt>
                <c:pt idx="142">
                  <c:v>6.3</c:v>
                </c:pt>
                <c:pt idx="143">
                  <c:v>52.9</c:v>
                </c:pt>
                <c:pt idx="144">
                  <c:v>0</c:v>
                </c:pt>
                <c:pt idx="145">
                  <c:v>-72.7</c:v>
                </c:pt>
                <c:pt idx="146">
                  <c:v>-49.5</c:v>
                </c:pt>
                <c:pt idx="147">
                  <c:v>0</c:v>
                </c:pt>
                <c:pt idx="148">
                  <c:v>8.6</c:v>
                </c:pt>
                <c:pt idx="149">
                  <c:v>46.6</c:v>
                </c:pt>
                <c:pt idx="150">
                  <c:v>0</c:v>
                </c:pt>
                <c:pt idx="151">
                  <c:v>-40.799999999999997</c:v>
                </c:pt>
                <c:pt idx="152">
                  <c:v>-33.599999999999994</c:v>
                </c:pt>
                <c:pt idx="153">
                  <c:v>7.1054273576010019E-15</c:v>
                </c:pt>
                <c:pt idx="154">
                  <c:v>-33.399999999999991</c:v>
                </c:pt>
                <c:pt idx="155">
                  <c:v>-41.599999999999994</c:v>
                </c:pt>
                <c:pt idx="156">
                  <c:v>7.1054273576010019E-15</c:v>
                </c:pt>
                <c:pt idx="157">
                  <c:v>-33.399999999999991</c:v>
                </c:pt>
                <c:pt idx="158">
                  <c:v>57.600000000000009</c:v>
                </c:pt>
                <c:pt idx="159">
                  <c:v>7.1054273576010019E-15</c:v>
                </c:pt>
                <c:pt idx="160">
                  <c:v>6.8000000000000069</c:v>
                </c:pt>
                <c:pt idx="161">
                  <c:v>48.1</c:v>
                </c:pt>
                <c:pt idx="162">
                  <c:v>0</c:v>
                </c:pt>
                <c:pt idx="163">
                  <c:v>64</c:v>
                </c:pt>
                <c:pt idx="164">
                  <c:v>26.799999999999997</c:v>
                </c:pt>
                <c:pt idx="165">
                  <c:v>-3.5527136788005009E-15</c:v>
                </c:pt>
                <c:pt idx="166">
                  <c:v>-25.800000000000004</c:v>
                </c:pt>
                <c:pt idx="167">
                  <c:v>-19.100000000000005</c:v>
                </c:pt>
                <c:pt idx="168">
                  <c:v>-3.5527136788005009E-15</c:v>
                </c:pt>
                <c:pt idx="169">
                  <c:v>3.1999999999999966</c:v>
                </c:pt>
                <c:pt idx="170">
                  <c:v>-44.400000000000006</c:v>
                </c:pt>
                <c:pt idx="171">
                  <c:v>-7.1054273576010019E-15</c:v>
                </c:pt>
                <c:pt idx="172">
                  <c:v>-26.300000000000008</c:v>
                </c:pt>
                <c:pt idx="173">
                  <c:v>-25.500000000000007</c:v>
                </c:pt>
                <c:pt idx="174">
                  <c:v>-7.1054273576010019E-15</c:v>
                </c:pt>
                <c:pt idx="175">
                  <c:v>54.699999999999996</c:v>
                </c:pt>
                <c:pt idx="176">
                  <c:v>50.3</c:v>
                </c:pt>
                <c:pt idx="177">
                  <c:v>0</c:v>
                </c:pt>
                <c:pt idx="178">
                  <c:v>8.6</c:v>
                </c:pt>
                <c:pt idx="179">
                  <c:v>47.300000000000004</c:v>
                </c:pt>
                <c:pt idx="180">
                  <c:v>7.1054273576010019E-15</c:v>
                </c:pt>
                <c:pt idx="181">
                  <c:v>-11.799999999999994</c:v>
                </c:pt>
                <c:pt idx="182">
                  <c:v>-44.8</c:v>
                </c:pt>
                <c:pt idx="183">
                  <c:v>0</c:v>
                </c:pt>
                <c:pt idx="184">
                  <c:v>-45.6</c:v>
                </c:pt>
                <c:pt idx="185">
                  <c:v>3.8999999999999986</c:v>
                </c:pt>
                <c:pt idx="186">
                  <c:v>-1.3322676295501878E-15</c:v>
                </c:pt>
                <c:pt idx="187">
                  <c:v>45.3</c:v>
                </c:pt>
                <c:pt idx="188">
                  <c:v>40.599999999999994</c:v>
                </c:pt>
                <c:pt idx="189">
                  <c:v>-7.1054273576010019E-15</c:v>
                </c:pt>
                <c:pt idx="190">
                  <c:v>-54.400000000000006</c:v>
                </c:pt>
                <c:pt idx="191">
                  <c:v>16.599999999999994</c:v>
                </c:pt>
                <c:pt idx="192">
                  <c:v>-7.1054273576010019E-15</c:v>
                </c:pt>
                <c:pt idx="193">
                  <c:v>-23.700000000000006</c:v>
                </c:pt>
                <c:pt idx="194">
                  <c:v>-22.300000000000008</c:v>
                </c:pt>
                <c:pt idx="195">
                  <c:v>-7.1054273576010019E-15</c:v>
                </c:pt>
                <c:pt idx="196">
                  <c:v>-50.400000000000006</c:v>
                </c:pt>
                <c:pt idx="197">
                  <c:v>-79.100000000000009</c:v>
                </c:pt>
                <c:pt idx="198">
                  <c:v>-1.4210854715202004E-14</c:v>
                </c:pt>
                <c:pt idx="199">
                  <c:v>29.399999999999984</c:v>
                </c:pt>
                <c:pt idx="200">
                  <c:v>-6.5000000000000142</c:v>
                </c:pt>
                <c:pt idx="201">
                  <c:v>-1.4210854715202004E-14</c:v>
                </c:pt>
                <c:pt idx="202">
                  <c:v>12.499999999999986</c:v>
                </c:pt>
                <c:pt idx="203">
                  <c:v>13.199999999999985</c:v>
                </c:pt>
                <c:pt idx="204">
                  <c:v>-1.4210854715202004E-14</c:v>
                </c:pt>
                <c:pt idx="205">
                  <c:v>40.099999999999987</c:v>
                </c:pt>
                <c:pt idx="206">
                  <c:v>4.7999999999999901</c:v>
                </c:pt>
                <c:pt idx="207">
                  <c:v>-9.7699626167013776E-15</c:v>
                </c:pt>
                <c:pt idx="208">
                  <c:v>5.4999999999999902</c:v>
                </c:pt>
                <c:pt idx="209">
                  <c:v>-45.100000000000009</c:v>
                </c:pt>
                <c:pt idx="210">
                  <c:v>-7.1054273576010019E-15</c:v>
                </c:pt>
                <c:pt idx="211">
                  <c:v>-25.900000000000006</c:v>
                </c:pt>
                <c:pt idx="212">
                  <c:v>-21.000000000000007</c:v>
                </c:pt>
                <c:pt idx="213">
                  <c:v>-7.1054273576010019E-15</c:v>
                </c:pt>
                <c:pt idx="214">
                  <c:v>73.699999999999989</c:v>
                </c:pt>
                <c:pt idx="215">
                  <c:v>51.199999999999989</c:v>
                </c:pt>
                <c:pt idx="216">
                  <c:v>-1.4210854715202004E-14</c:v>
                </c:pt>
                <c:pt idx="217">
                  <c:v>-65.200000000000017</c:v>
                </c:pt>
                <c:pt idx="218">
                  <c:v>-45.800000000000018</c:v>
                </c:pt>
                <c:pt idx="219">
                  <c:v>-2.1316282072803006E-14</c:v>
                </c:pt>
                <c:pt idx="220">
                  <c:v>6.4999999999999787</c:v>
                </c:pt>
                <c:pt idx="221">
                  <c:v>-32.500000000000021</c:v>
                </c:pt>
                <c:pt idx="222">
                  <c:v>-2.1316282072803006E-14</c:v>
                </c:pt>
                <c:pt idx="223">
                  <c:v>-23.300000000000022</c:v>
                </c:pt>
                <c:pt idx="224">
                  <c:v>-57.90000000000002</c:v>
                </c:pt>
                <c:pt idx="225">
                  <c:v>-2.1316282072803006E-14</c:v>
                </c:pt>
                <c:pt idx="226">
                  <c:v>-39.100000000000023</c:v>
                </c:pt>
                <c:pt idx="227">
                  <c:v>-25.300000000000022</c:v>
                </c:pt>
                <c:pt idx="228">
                  <c:v>-2.1316282072803006E-14</c:v>
                </c:pt>
                <c:pt idx="229">
                  <c:v>-6.3000000000000211</c:v>
                </c:pt>
                <c:pt idx="230">
                  <c:v>45.59999999999998</c:v>
                </c:pt>
                <c:pt idx="231">
                  <c:v>-2.1316282072803006E-14</c:v>
                </c:pt>
                <c:pt idx="232">
                  <c:v>28.499999999999979</c:v>
                </c:pt>
                <c:pt idx="233">
                  <c:v>8.2999999999999794</c:v>
                </c:pt>
                <c:pt idx="234">
                  <c:v>-2.1316282072803006E-14</c:v>
                </c:pt>
                <c:pt idx="235">
                  <c:v>-25.700000000000021</c:v>
                </c:pt>
                <c:pt idx="236">
                  <c:v>-18.600000000000023</c:v>
                </c:pt>
                <c:pt idx="237">
                  <c:v>-2.1316282072803006E-14</c:v>
                </c:pt>
                <c:pt idx="238">
                  <c:v>-1.4000000000000212</c:v>
                </c:pt>
                <c:pt idx="239">
                  <c:v>21.799999999999979</c:v>
                </c:pt>
                <c:pt idx="240">
                  <c:v>-2.1316282072803006E-14</c:v>
                </c:pt>
                <c:pt idx="241">
                  <c:v>-33.000000000000021</c:v>
                </c:pt>
                <c:pt idx="242">
                  <c:v>-40.90000000000002</c:v>
                </c:pt>
                <c:pt idx="243">
                  <c:v>-2.1316282072803006E-14</c:v>
                </c:pt>
                <c:pt idx="244">
                  <c:v>-3.4000000000000212</c:v>
                </c:pt>
                <c:pt idx="245">
                  <c:v>14.499999999999977</c:v>
                </c:pt>
                <c:pt idx="246">
                  <c:v>-2.3092638912203256E-14</c:v>
                </c:pt>
                <c:pt idx="247">
                  <c:v>-29.800000000000026</c:v>
                </c:pt>
                <c:pt idx="248">
                  <c:v>4.099999999999973</c:v>
                </c:pt>
                <c:pt idx="249">
                  <c:v>-2.6645352591003757E-14</c:v>
                </c:pt>
                <c:pt idx="250">
                  <c:v>13.499999999999973</c:v>
                </c:pt>
                <c:pt idx="251">
                  <c:v>-34.500000000000028</c:v>
                </c:pt>
                <c:pt idx="252">
                  <c:v>-2.8421709430404007E-14</c:v>
                </c:pt>
                <c:pt idx="253">
                  <c:v>-46.300000000000026</c:v>
                </c:pt>
                <c:pt idx="254">
                  <c:v>-43.500000000000028</c:v>
                </c:pt>
                <c:pt idx="255">
                  <c:v>-2.8421709430404007E-14</c:v>
                </c:pt>
                <c:pt idx="256">
                  <c:v>-23.60000000000003</c:v>
                </c:pt>
                <c:pt idx="257">
                  <c:v>45.499999999999964</c:v>
                </c:pt>
                <c:pt idx="258">
                  <c:v>-3.5527136788005009E-14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9F8-40BF-BD32-521A8B6D91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全体!$O$2:$O$7</c:f>
              <c:numCache>
                <c:formatCode>\+0;\-0;\±0</c:formatCode>
                <c:ptCount val="6"/>
                <c:pt idx="0">
                  <c:v>-11.764705882352942</c:v>
                </c:pt>
                <c:pt idx="1">
                  <c:v>-4.0160642570281126</c:v>
                </c:pt>
                <c:pt idx="2">
                  <c:v>-8.5470085470085468</c:v>
                </c:pt>
                <c:pt idx="3">
                  <c:v>24.154589371980677</c:v>
                </c:pt>
                <c:pt idx="4">
                  <c:v>-72.222222222222229</c:v>
                </c:pt>
                <c:pt idx="5">
                  <c:v>96.296296296296291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E9A-4693-ADD3-12326BD5A4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全体!$A$36:$A$48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全体!$B$36:$B$48</c:f>
              <c:numCache>
                <c:formatCode>0\ "回"</c:formatCode>
                <c:ptCount val="13"/>
                <c:pt idx="0">
                  <c:v>47</c:v>
                </c:pt>
                <c:pt idx="1">
                  <c:v>103</c:v>
                </c:pt>
                <c:pt idx="2">
                  <c:v>102</c:v>
                </c:pt>
                <c:pt idx="3">
                  <c:v>109</c:v>
                </c:pt>
                <c:pt idx="4">
                  <c:v>85</c:v>
                </c:pt>
                <c:pt idx="5">
                  <c:v>57</c:v>
                </c:pt>
                <c:pt idx="6">
                  <c:v>37</c:v>
                </c:pt>
                <c:pt idx="7">
                  <c:v>15</c:v>
                </c:pt>
                <c:pt idx="8">
                  <c:v>10</c:v>
                </c:pt>
                <c:pt idx="9">
                  <c:v>8</c:v>
                </c:pt>
                <c:pt idx="10">
                  <c:v>4</c:v>
                </c:pt>
                <c:pt idx="11">
                  <c:v>2</c:v>
                </c:pt>
                <c:pt idx="12">
                  <c:v>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34D-4357-BB7B-56E79DD606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れんたろう!$K$2:$K$50</c:f>
              <c:numCache>
                <c:formatCode>General</c:formatCode>
                <c:ptCount val="4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</c:numCache>
            </c:numRef>
          </c:xVal>
          <c:yVal>
            <c:numRef>
              <c:f>れんたろう!$L$2:$L$50</c:f>
              <c:numCache>
                <c:formatCode>\+0.0;\-0.0;\±0</c:formatCode>
                <c:ptCount val="49"/>
                <c:pt idx="0">
                  <c:v>0</c:v>
                </c:pt>
                <c:pt idx="1">
                  <c:v>-2.9</c:v>
                </c:pt>
                <c:pt idx="2">
                  <c:v>32.9</c:v>
                </c:pt>
                <c:pt idx="3">
                  <c:v>61.5</c:v>
                </c:pt>
                <c:pt idx="4">
                  <c:v>27.4</c:v>
                </c:pt>
                <c:pt idx="5">
                  <c:v>18</c:v>
                </c:pt>
                <c:pt idx="6">
                  <c:v>43.6</c:v>
                </c:pt>
                <c:pt idx="7">
                  <c:v>16.900000000000002</c:v>
                </c:pt>
                <c:pt idx="8">
                  <c:v>-9.9999999999999964</c:v>
                </c:pt>
                <c:pt idx="9">
                  <c:v>33.5</c:v>
                </c:pt>
                <c:pt idx="10">
                  <c:v>26</c:v>
                </c:pt>
                <c:pt idx="11">
                  <c:v>-8.7000000000000028</c:v>
                </c:pt>
                <c:pt idx="12">
                  <c:v>15.899999999999999</c:v>
                </c:pt>
                <c:pt idx="13">
                  <c:v>-33.5</c:v>
                </c:pt>
                <c:pt idx="14">
                  <c:v>15.100000000000001</c:v>
                </c:pt>
                <c:pt idx="15">
                  <c:v>-33.1</c:v>
                </c:pt>
                <c:pt idx="16">
                  <c:v>-10.8</c:v>
                </c:pt>
                <c:pt idx="17">
                  <c:v>-32.900000000000006</c:v>
                </c:pt>
                <c:pt idx="18">
                  <c:v>-69.300000000000011</c:v>
                </c:pt>
                <c:pt idx="19">
                  <c:v>-44.500000000000014</c:v>
                </c:pt>
                <c:pt idx="20">
                  <c:v>-72.000000000000014</c:v>
                </c:pt>
                <c:pt idx="21">
                  <c:v>-118.50000000000001</c:v>
                </c:pt>
                <c:pt idx="22">
                  <c:v>-81.200000000000017</c:v>
                </c:pt>
                <c:pt idx="23">
                  <c:v>-79.90000000000002</c:v>
                </c:pt>
                <c:pt idx="24">
                  <c:v>7.3999999999999773</c:v>
                </c:pt>
                <c:pt idx="25">
                  <c:v>-45.500000000000021</c:v>
                </c:pt>
                <c:pt idx="26">
                  <c:v>-118.20000000000002</c:v>
                </c:pt>
                <c:pt idx="27">
                  <c:v>-164.8</c:v>
                </c:pt>
                <c:pt idx="28">
                  <c:v>-131.20000000000002</c:v>
                </c:pt>
                <c:pt idx="29">
                  <c:v>-89.600000000000023</c:v>
                </c:pt>
                <c:pt idx="30">
                  <c:v>1.3999999999999773</c:v>
                </c:pt>
                <c:pt idx="31">
                  <c:v>8.199999999999978</c:v>
                </c:pt>
                <c:pt idx="32">
                  <c:v>-18.600000000000023</c:v>
                </c:pt>
                <c:pt idx="33">
                  <c:v>-17.800000000000022</c:v>
                </c:pt>
                <c:pt idx="34">
                  <c:v>-68.100000000000023</c:v>
                </c:pt>
                <c:pt idx="35">
                  <c:v>-29.40000000000002</c:v>
                </c:pt>
                <c:pt idx="36">
                  <c:v>-70.000000000000028</c:v>
                </c:pt>
                <c:pt idx="37">
                  <c:v>-124.40000000000003</c:v>
                </c:pt>
                <c:pt idx="38">
                  <c:v>-160.30000000000004</c:v>
                </c:pt>
                <c:pt idx="39">
                  <c:v>-154.80000000000004</c:v>
                </c:pt>
                <c:pt idx="40">
                  <c:v>-180.70000000000005</c:v>
                </c:pt>
                <c:pt idx="41">
                  <c:v>-148.20000000000005</c:v>
                </c:pt>
                <c:pt idx="42">
                  <c:v>-193.80000000000004</c:v>
                </c:pt>
                <c:pt idx="43">
                  <c:v>-202.10000000000005</c:v>
                </c:pt>
                <c:pt idx="44">
                  <c:v>-184.20000000000005</c:v>
                </c:pt>
                <c:pt idx="45">
                  <c:v>-214.00000000000006</c:v>
                </c:pt>
                <c:pt idx="46">
                  <c:v>-200.50000000000006</c:v>
                </c:pt>
                <c:pt idx="47">
                  <c:v>-157.00000000000006</c:v>
                </c:pt>
                <c:pt idx="48">
                  <c:v>-87.900000000000063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64-4261-B223-A8F5B6FC0C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れんたろう!$O$2:$O$7</c:f>
              <c:numCache>
                <c:formatCode>\+0;\-0;\±0</c:formatCode>
                <c:ptCount val="6"/>
                <c:pt idx="0">
                  <c:v>-1295.7446808510638</c:v>
                </c:pt>
                <c:pt idx="1">
                  <c:v>-1700</c:v>
                </c:pt>
                <c:pt idx="2">
                  <c:v>604.76190476190482</c:v>
                </c:pt>
                <c:pt idx="3">
                  <c:v>-1710.5263157894738</c:v>
                </c:pt>
                <c:pt idx="4">
                  <c:v>302.85714285714283</c:v>
                </c:pt>
                <c:pt idx="5">
                  <c:v>3638.4615384615386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E18-409C-B334-67833F44C7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れんたろう!$A$36:$A$48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れんたろう!$B$36:$B$48</c:f>
              <c:numCache>
                <c:formatCode>0\ "回"</c:formatCode>
                <c:ptCount val="13"/>
                <c:pt idx="0">
                  <c:v>4</c:v>
                </c:pt>
                <c:pt idx="1">
                  <c:v>13</c:v>
                </c:pt>
                <c:pt idx="2">
                  <c:v>10</c:v>
                </c:pt>
                <c:pt idx="3">
                  <c:v>30</c:v>
                </c:pt>
                <c:pt idx="4">
                  <c:v>20</c:v>
                </c:pt>
                <c:pt idx="5">
                  <c:v>11</c:v>
                </c:pt>
                <c:pt idx="6">
                  <c:v>9</c:v>
                </c:pt>
                <c:pt idx="7">
                  <c:v>4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2</c:v>
                </c:pt>
                <c:pt idx="12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691-4D37-A500-3A6CB55891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ともき!$L$1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ともき!$L$2:$L$11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-36.299999999999997</c:v>
                </c:pt>
                <c:pt idx="2">
                  <c:v>-75.5</c:v>
                </c:pt>
                <c:pt idx="3">
                  <c:v>-90.3</c:v>
                </c:pt>
                <c:pt idx="4">
                  <c:v>-83.899999999999991</c:v>
                </c:pt>
                <c:pt idx="5">
                  <c:v>-57.899999999999991</c:v>
                </c:pt>
                <c:pt idx="6">
                  <c:v>-16.199999999999989</c:v>
                </c:pt>
                <c:pt idx="7">
                  <c:v>-26.899999999999988</c:v>
                </c:pt>
                <c:pt idx="8">
                  <c:v>-59.899999999999991</c:v>
                </c:pt>
                <c:pt idx="9">
                  <c:v>-105.5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1FD-4A8D-81E6-47F47B4F90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ともき!$O$1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ともき!$N$2:$N$7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ともき!$O$2:$O$7</c:f>
              <c:numCache>
                <c:formatCode>\+0;\-0;\±0</c:formatCode>
                <c:ptCount val="6"/>
                <c:pt idx="0">
                  <c:v>850</c:v>
                </c:pt>
                <c:pt idx="1">
                  <c:v>-1444.4444444444443</c:v>
                </c:pt>
                <c:pt idx="2">
                  <c:v>-3011.1111111111113</c:v>
                </c:pt>
                <c:pt idx="3">
                  <c:v>2188.8888888888887</c:v>
                </c:pt>
                <c:pt idx="4">
                  <c:v>-1237.5</c:v>
                </c:pt>
                <c:pt idx="5">
                  <c:v>-7642.8571428571431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5EA-4A68-AD0E-63598F0C59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ともき!$A$36:$A$48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ともき!$B$36:$B$48</c:f>
              <c:numCache>
                <c:formatCode>0\ "回"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0</c:v>
                </c:pt>
                <c:pt idx="3">
                  <c:v>2</c:v>
                </c:pt>
                <c:pt idx="4">
                  <c:v>3</c:v>
                </c:pt>
                <c:pt idx="5">
                  <c:v>5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043-433D-BD53-0A636C7A18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だいち!$K$2:$K$65</c:f>
              <c:numCache>
                <c:formatCode>General</c:formatCode>
                <c:ptCount val="6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</c:numCache>
            </c:numRef>
          </c:xVal>
          <c:yVal>
            <c:numRef>
              <c:f>だいち!$L$2:$L$65</c:f>
              <c:numCache>
                <c:formatCode>\+0.0;\-0.0;\±0</c:formatCode>
                <c:ptCount val="64"/>
                <c:pt idx="0">
                  <c:v>0</c:v>
                </c:pt>
                <c:pt idx="1">
                  <c:v>39.200000000000003</c:v>
                </c:pt>
                <c:pt idx="2">
                  <c:v>99.6</c:v>
                </c:pt>
                <c:pt idx="3">
                  <c:v>98.1</c:v>
                </c:pt>
                <c:pt idx="4">
                  <c:v>101.5</c:v>
                </c:pt>
                <c:pt idx="5">
                  <c:v>143.1</c:v>
                </c:pt>
                <c:pt idx="6">
                  <c:v>164.5</c:v>
                </c:pt>
                <c:pt idx="7">
                  <c:v>168.5</c:v>
                </c:pt>
                <c:pt idx="8">
                  <c:v>132.6</c:v>
                </c:pt>
                <c:pt idx="9">
                  <c:v>151.29999999999998</c:v>
                </c:pt>
                <c:pt idx="10">
                  <c:v>229</c:v>
                </c:pt>
                <c:pt idx="11">
                  <c:v>242.7</c:v>
                </c:pt>
                <c:pt idx="12">
                  <c:v>198</c:v>
                </c:pt>
                <c:pt idx="13">
                  <c:v>197</c:v>
                </c:pt>
                <c:pt idx="14">
                  <c:v>249.2</c:v>
                </c:pt>
                <c:pt idx="15">
                  <c:v>213.5</c:v>
                </c:pt>
                <c:pt idx="16">
                  <c:v>273.8</c:v>
                </c:pt>
                <c:pt idx="17">
                  <c:v>242.8</c:v>
                </c:pt>
                <c:pt idx="18">
                  <c:v>280</c:v>
                </c:pt>
                <c:pt idx="19">
                  <c:v>281.5</c:v>
                </c:pt>
                <c:pt idx="20">
                  <c:v>287.2</c:v>
                </c:pt>
                <c:pt idx="21">
                  <c:v>286.3</c:v>
                </c:pt>
                <c:pt idx="22">
                  <c:v>344.1</c:v>
                </c:pt>
                <c:pt idx="23">
                  <c:v>396.90000000000003</c:v>
                </c:pt>
                <c:pt idx="24">
                  <c:v>469.90000000000003</c:v>
                </c:pt>
                <c:pt idx="25">
                  <c:v>465.6</c:v>
                </c:pt>
                <c:pt idx="26">
                  <c:v>525.30000000000007</c:v>
                </c:pt>
                <c:pt idx="27">
                  <c:v>530.30000000000007</c:v>
                </c:pt>
                <c:pt idx="28">
                  <c:v>561.90000000000009</c:v>
                </c:pt>
                <c:pt idx="29">
                  <c:v>623.50000000000011</c:v>
                </c:pt>
                <c:pt idx="30">
                  <c:v>601.00000000000011</c:v>
                </c:pt>
                <c:pt idx="31">
                  <c:v>606.50000000000011</c:v>
                </c:pt>
                <c:pt idx="32">
                  <c:v>583.00000000000011</c:v>
                </c:pt>
                <c:pt idx="33">
                  <c:v>577.60000000000014</c:v>
                </c:pt>
                <c:pt idx="34">
                  <c:v>591.40000000000009</c:v>
                </c:pt>
                <c:pt idx="35">
                  <c:v>526.40000000000009</c:v>
                </c:pt>
                <c:pt idx="36">
                  <c:v>564.40000000000009</c:v>
                </c:pt>
                <c:pt idx="37">
                  <c:v>523.60000000000014</c:v>
                </c:pt>
                <c:pt idx="38">
                  <c:v>497.80000000000013</c:v>
                </c:pt>
                <c:pt idx="39">
                  <c:v>501.00000000000011</c:v>
                </c:pt>
                <c:pt idx="40">
                  <c:v>526.50000000000011</c:v>
                </c:pt>
                <c:pt idx="41">
                  <c:v>522.10000000000014</c:v>
                </c:pt>
                <c:pt idx="42">
                  <c:v>530.70000000000016</c:v>
                </c:pt>
                <c:pt idx="43">
                  <c:v>575.50000000000011</c:v>
                </c:pt>
                <c:pt idx="44">
                  <c:v>571.60000000000014</c:v>
                </c:pt>
                <c:pt idx="45">
                  <c:v>616.90000000000009</c:v>
                </c:pt>
                <c:pt idx="46">
                  <c:v>687.90000000000009</c:v>
                </c:pt>
                <c:pt idx="47">
                  <c:v>710.2</c:v>
                </c:pt>
                <c:pt idx="48">
                  <c:v>659.80000000000007</c:v>
                </c:pt>
                <c:pt idx="49">
                  <c:v>689.2</c:v>
                </c:pt>
                <c:pt idx="50">
                  <c:v>689.90000000000009</c:v>
                </c:pt>
                <c:pt idx="51">
                  <c:v>639.30000000000007</c:v>
                </c:pt>
                <c:pt idx="52">
                  <c:v>644.20000000000005</c:v>
                </c:pt>
                <c:pt idx="53">
                  <c:v>605.20000000000005</c:v>
                </c:pt>
                <c:pt idx="54">
                  <c:v>598.90000000000009</c:v>
                </c:pt>
                <c:pt idx="55">
                  <c:v>627.40000000000009</c:v>
                </c:pt>
                <c:pt idx="56">
                  <c:v>646.00000000000011</c:v>
                </c:pt>
                <c:pt idx="57">
                  <c:v>644.60000000000014</c:v>
                </c:pt>
                <c:pt idx="58">
                  <c:v>636.70000000000016</c:v>
                </c:pt>
                <c:pt idx="59">
                  <c:v>633.30000000000018</c:v>
                </c:pt>
                <c:pt idx="60">
                  <c:v>629.20000000000016</c:v>
                </c:pt>
                <c:pt idx="61">
                  <c:v>581.20000000000016</c:v>
                </c:pt>
                <c:pt idx="62">
                  <c:v>534.9000000000002</c:v>
                </c:pt>
                <c:pt idx="63">
                  <c:v>511.30000000000018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723-4D79-8FB2-8277AD6B17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だいち!$O$2:$O$7</c:f>
              <c:numCache>
                <c:formatCode>\+0;\-0;\±0</c:formatCode>
                <c:ptCount val="6"/>
                <c:pt idx="0">
                  <c:v>-6.3492063492063489</c:v>
                </c:pt>
                <c:pt idx="1">
                  <c:v>3801.6393442622953</c:v>
                </c:pt>
                <c:pt idx="2">
                  <c:v>3221.0526315789475</c:v>
                </c:pt>
                <c:pt idx="3">
                  <c:v>1848</c:v>
                </c:pt>
                <c:pt idx="4">
                  <c:v>-1508.8888888888889</c:v>
                </c:pt>
                <c:pt idx="5">
                  <c:v>740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546-4841-A7AE-E8410201E7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だいち!$A$36:$A$48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だいち!$B$36:$B$48</c:f>
              <c:numCache>
                <c:formatCode>0\ "回"</c:formatCode>
                <c:ptCount val="13"/>
                <c:pt idx="0">
                  <c:v>8</c:v>
                </c:pt>
                <c:pt idx="1">
                  <c:v>23</c:v>
                </c:pt>
                <c:pt idx="2">
                  <c:v>24</c:v>
                </c:pt>
                <c:pt idx="3">
                  <c:v>29</c:v>
                </c:pt>
                <c:pt idx="4">
                  <c:v>27</c:v>
                </c:pt>
                <c:pt idx="5">
                  <c:v>14</c:v>
                </c:pt>
                <c:pt idx="6">
                  <c:v>8</c:v>
                </c:pt>
                <c:pt idx="7">
                  <c:v>5</c:v>
                </c:pt>
                <c:pt idx="8">
                  <c:v>4</c:v>
                </c:pt>
                <c:pt idx="9">
                  <c:v>3</c:v>
                </c:pt>
                <c:pt idx="10">
                  <c:v>1</c:v>
                </c:pt>
                <c:pt idx="11">
                  <c:v>0</c:v>
                </c:pt>
                <c:pt idx="12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2EA-4F64-8F87-E7CC289725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りくと!$K$2:$K$29</c:f>
              <c:numCache>
                <c:formatCode>General</c:formatCode>
                <c:ptCount val="2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</c:numCache>
            </c:numRef>
          </c:xVal>
          <c:yVal>
            <c:numRef>
              <c:f>りくと!$L$2:$L$29</c:f>
              <c:numCache>
                <c:formatCode>\+0.0;\-0.0;\±0</c:formatCode>
                <c:ptCount val="28"/>
                <c:pt idx="0">
                  <c:v>0</c:v>
                </c:pt>
                <c:pt idx="1">
                  <c:v>-55.5</c:v>
                </c:pt>
                <c:pt idx="2">
                  <c:v>-106.5</c:v>
                </c:pt>
                <c:pt idx="3">
                  <c:v>-108</c:v>
                </c:pt>
                <c:pt idx="4">
                  <c:v>-115.5</c:v>
                </c:pt>
                <c:pt idx="5">
                  <c:v>-116</c:v>
                </c:pt>
                <c:pt idx="6">
                  <c:v>-146</c:v>
                </c:pt>
                <c:pt idx="7">
                  <c:v>-168.5</c:v>
                </c:pt>
                <c:pt idx="8">
                  <c:v>-157.19999999999999</c:v>
                </c:pt>
                <c:pt idx="9">
                  <c:v>-172.39999999999998</c:v>
                </c:pt>
                <c:pt idx="10">
                  <c:v>-217.59999999999997</c:v>
                </c:pt>
                <c:pt idx="11">
                  <c:v>-264.89999999999998</c:v>
                </c:pt>
                <c:pt idx="12">
                  <c:v>-260.59999999999997</c:v>
                </c:pt>
                <c:pt idx="13">
                  <c:v>-280.59999999999997</c:v>
                </c:pt>
                <c:pt idx="14">
                  <c:v>-330.7</c:v>
                </c:pt>
                <c:pt idx="15">
                  <c:v>-284.09999999999997</c:v>
                </c:pt>
                <c:pt idx="16">
                  <c:v>-234.59999999999997</c:v>
                </c:pt>
                <c:pt idx="17">
                  <c:v>-233.19999999999996</c:v>
                </c:pt>
                <c:pt idx="18">
                  <c:v>-154.09999999999997</c:v>
                </c:pt>
                <c:pt idx="19">
                  <c:v>-167.29999999999995</c:v>
                </c:pt>
                <c:pt idx="20">
                  <c:v>-202.59999999999997</c:v>
                </c:pt>
                <c:pt idx="21">
                  <c:v>-225.09999999999997</c:v>
                </c:pt>
                <c:pt idx="22">
                  <c:v>-290.29999999999995</c:v>
                </c:pt>
                <c:pt idx="23">
                  <c:v>-232.39999999999995</c:v>
                </c:pt>
                <c:pt idx="24">
                  <c:v>-207.09999999999994</c:v>
                </c:pt>
                <c:pt idx="25">
                  <c:v>-227.29999999999993</c:v>
                </c:pt>
                <c:pt idx="26">
                  <c:v>-260.29999999999995</c:v>
                </c:pt>
                <c:pt idx="27">
                  <c:v>-225.79999999999995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C7D-4F73-8F9E-D6B9884647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りくと!$O$2:$O$7</c:f>
              <c:numCache>
                <c:formatCode>\+0;\-0;\±0</c:formatCode>
                <c:ptCount val="6"/>
                <c:pt idx="0">
                  <c:v>-4062.962962962963</c:v>
                </c:pt>
                <c:pt idx="1">
                  <c:v>1930.7692307692307</c:v>
                </c:pt>
                <c:pt idx="2">
                  <c:v>-3573.913043478261</c:v>
                </c:pt>
                <c:pt idx="3">
                  <c:v>-457.89473684210526</c:v>
                </c:pt>
                <c:pt idx="4">
                  <c:v>1473.3333333333333</c:v>
                </c:pt>
                <c:pt idx="5">
                  <c:v>-4370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174-4845-BAEB-8B2700A69F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りくと!$A$36:$A$48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りくと!$B$36:$B$48</c:f>
              <c:numCache>
                <c:formatCode>0\ "回"</c:formatCode>
                <c:ptCount val="13"/>
                <c:pt idx="0">
                  <c:v>8</c:v>
                </c:pt>
                <c:pt idx="1">
                  <c:v>10</c:v>
                </c:pt>
                <c:pt idx="2">
                  <c:v>13</c:v>
                </c:pt>
                <c:pt idx="3">
                  <c:v>6</c:v>
                </c:pt>
                <c:pt idx="4">
                  <c:v>5</c:v>
                </c:pt>
                <c:pt idx="5">
                  <c:v>9</c:v>
                </c:pt>
                <c:pt idx="6">
                  <c:v>3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151-4DC5-AA5B-FD2746CA06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まっつん!$K$2:$K$47</c:f>
              <c:numCache>
                <c:formatCode>General</c:formatCode>
                <c:ptCount val="4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</c:numCache>
            </c:numRef>
          </c:xVal>
          <c:yVal>
            <c:numRef>
              <c:f>まっつん!$L$2:$L$47</c:f>
              <c:numCache>
                <c:formatCode>\+0.0;\-0.0;\±0</c:formatCode>
                <c:ptCount val="46"/>
                <c:pt idx="0">
                  <c:v>0</c:v>
                </c:pt>
                <c:pt idx="1">
                  <c:v>-0.5</c:v>
                </c:pt>
                <c:pt idx="2">
                  <c:v>-62.8</c:v>
                </c:pt>
                <c:pt idx="3">
                  <c:v>-48.5</c:v>
                </c:pt>
                <c:pt idx="4">
                  <c:v>-75.599999999999994</c:v>
                </c:pt>
                <c:pt idx="5">
                  <c:v>-96.5</c:v>
                </c:pt>
                <c:pt idx="6">
                  <c:v>-70.5</c:v>
                </c:pt>
                <c:pt idx="7">
                  <c:v>-38.6</c:v>
                </c:pt>
                <c:pt idx="8">
                  <c:v>-28.3</c:v>
                </c:pt>
                <c:pt idx="9">
                  <c:v>-20.3</c:v>
                </c:pt>
                <c:pt idx="10">
                  <c:v>-14.9</c:v>
                </c:pt>
                <c:pt idx="11">
                  <c:v>-46</c:v>
                </c:pt>
                <c:pt idx="12">
                  <c:v>-87.6</c:v>
                </c:pt>
                <c:pt idx="13">
                  <c:v>-125.89999999999999</c:v>
                </c:pt>
                <c:pt idx="14">
                  <c:v>-149.39999999999998</c:v>
                </c:pt>
                <c:pt idx="15">
                  <c:v>-121.39999999999998</c:v>
                </c:pt>
                <c:pt idx="16">
                  <c:v>-141.29999999999998</c:v>
                </c:pt>
                <c:pt idx="17">
                  <c:v>-149.1</c:v>
                </c:pt>
                <c:pt idx="18">
                  <c:v>-201.89999999999998</c:v>
                </c:pt>
                <c:pt idx="19">
                  <c:v>-152.39999999999998</c:v>
                </c:pt>
                <c:pt idx="20">
                  <c:v>-140.19999999999999</c:v>
                </c:pt>
                <c:pt idx="21">
                  <c:v>-76.699999999999989</c:v>
                </c:pt>
                <c:pt idx="22">
                  <c:v>-46.699999999999989</c:v>
                </c:pt>
                <c:pt idx="23">
                  <c:v>-43.199999999999989</c:v>
                </c:pt>
                <c:pt idx="24">
                  <c:v>-9.1999999999999886</c:v>
                </c:pt>
                <c:pt idx="25">
                  <c:v>-13.199999999999989</c:v>
                </c:pt>
                <c:pt idx="26">
                  <c:v>-24.699999999999989</c:v>
                </c:pt>
                <c:pt idx="27">
                  <c:v>-58.099999999999987</c:v>
                </c:pt>
                <c:pt idx="28">
                  <c:v>-115.69999999999999</c:v>
                </c:pt>
                <c:pt idx="29">
                  <c:v>-163.79999999999998</c:v>
                </c:pt>
                <c:pt idx="30">
                  <c:v>-201</c:v>
                </c:pt>
                <c:pt idx="31">
                  <c:v>-181.9</c:v>
                </c:pt>
                <c:pt idx="32">
                  <c:v>-137.5</c:v>
                </c:pt>
                <c:pt idx="33">
                  <c:v>-142.19999999999999</c:v>
                </c:pt>
                <c:pt idx="34">
                  <c:v>-158.79999999999998</c:v>
                </c:pt>
                <c:pt idx="35">
                  <c:v>-182.49999999999997</c:v>
                </c:pt>
                <c:pt idx="36">
                  <c:v>-211.19999999999996</c:v>
                </c:pt>
                <c:pt idx="37">
                  <c:v>-171.09999999999997</c:v>
                </c:pt>
                <c:pt idx="38">
                  <c:v>-97.399999999999963</c:v>
                </c:pt>
                <c:pt idx="39">
                  <c:v>-77.999999999999972</c:v>
                </c:pt>
                <c:pt idx="40">
                  <c:v>-71.499999999999972</c:v>
                </c:pt>
                <c:pt idx="41">
                  <c:v>-106.09999999999997</c:v>
                </c:pt>
                <c:pt idx="42">
                  <c:v>-92.299999999999969</c:v>
                </c:pt>
                <c:pt idx="43">
                  <c:v>-117.99999999999997</c:v>
                </c:pt>
                <c:pt idx="44">
                  <c:v>-94.799999999999969</c:v>
                </c:pt>
                <c:pt idx="45">
                  <c:v>-60.89999999999997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B0-47EA-BE4A-799B7236A8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まっつん!$O$2:$O$7</c:f>
              <c:numCache>
                <c:formatCode>\+0;\-0;\±0</c:formatCode>
                <c:ptCount val="6"/>
                <c:pt idx="0">
                  <c:v>602.27272727272725</c:v>
                </c:pt>
                <c:pt idx="1">
                  <c:v>-406.81818181818181</c:v>
                </c:pt>
                <c:pt idx="2">
                  <c:v>-1200</c:v>
                </c:pt>
                <c:pt idx="3">
                  <c:v>960.97560975609758</c:v>
                </c:pt>
                <c:pt idx="4">
                  <c:v>-1591.4285714285713</c:v>
                </c:pt>
                <c:pt idx="5">
                  <c:v>532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A84-47A8-8EC5-541659EAC3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まっつん!$A$36:$A$48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まっつん!$B$36:$B$48</c:f>
              <c:numCache>
                <c:formatCode>0\ "回"</c:formatCode>
                <c:ptCount val="13"/>
                <c:pt idx="0">
                  <c:v>11</c:v>
                </c:pt>
                <c:pt idx="1">
                  <c:v>17</c:v>
                </c:pt>
                <c:pt idx="2">
                  <c:v>28</c:v>
                </c:pt>
                <c:pt idx="3">
                  <c:v>15</c:v>
                </c:pt>
                <c:pt idx="4">
                  <c:v>9</c:v>
                </c:pt>
                <c:pt idx="5">
                  <c:v>4</c:v>
                </c:pt>
                <c:pt idx="6">
                  <c:v>8</c:v>
                </c:pt>
                <c:pt idx="7">
                  <c:v>3</c:v>
                </c:pt>
                <c:pt idx="8">
                  <c:v>2</c:v>
                </c:pt>
                <c:pt idx="9">
                  <c:v>2</c:v>
                </c:pt>
                <c:pt idx="10">
                  <c:v>1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0EE-4293-809D-A4E5A1286E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たかの!$K$2:$K$28</c:f>
              <c:numCache>
                <c:formatCode>General</c:formatCode>
                <c:ptCount val="2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</c:numCache>
            </c:numRef>
          </c:xVal>
          <c:yVal>
            <c:numRef>
              <c:f>たかの!$L$2:$L$28</c:f>
              <c:numCache>
                <c:formatCode>\+0.0;\-0.0;\±0</c:formatCode>
                <c:ptCount val="27"/>
                <c:pt idx="0">
                  <c:v>0</c:v>
                </c:pt>
                <c:pt idx="1">
                  <c:v>56</c:v>
                </c:pt>
                <c:pt idx="2">
                  <c:v>137.5</c:v>
                </c:pt>
                <c:pt idx="3">
                  <c:v>159</c:v>
                </c:pt>
                <c:pt idx="4">
                  <c:v>112.4</c:v>
                </c:pt>
                <c:pt idx="5">
                  <c:v>140.30000000000001</c:v>
                </c:pt>
                <c:pt idx="6">
                  <c:v>167.3</c:v>
                </c:pt>
                <c:pt idx="7">
                  <c:v>118.4</c:v>
                </c:pt>
                <c:pt idx="8">
                  <c:v>96.800000000000011</c:v>
                </c:pt>
                <c:pt idx="9">
                  <c:v>51.600000000000009</c:v>
                </c:pt>
                <c:pt idx="10">
                  <c:v>28.300000000000008</c:v>
                </c:pt>
                <c:pt idx="11">
                  <c:v>44.400000000000006</c:v>
                </c:pt>
                <c:pt idx="12">
                  <c:v>31.800000000000004</c:v>
                </c:pt>
                <c:pt idx="13">
                  <c:v>83.1</c:v>
                </c:pt>
                <c:pt idx="14">
                  <c:v>89.399999999999991</c:v>
                </c:pt>
                <c:pt idx="15">
                  <c:v>112.6</c:v>
                </c:pt>
                <c:pt idx="16">
                  <c:v>119.3</c:v>
                </c:pt>
                <c:pt idx="17">
                  <c:v>71.699999999999989</c:v>
                </c:pt>
                <c:pt idx="18">
                  <c:v>45.399999999999991</c:v>
                </c:pt>
                <c:pt idx="19">
                  <c:v>100.1</c:v>
                </c:pt>
                <c:pt idx="20">
                  <c:v>52.8</c:v>
                </c:pt>
                <c:pt idx="21">
                  <c:v>41</c:v>
                </c:pt>
                <c:pt idx="22">
                  <c:v>90.5</c:v>
                </c:pt>
                <c:pt idx="23">
                  <c:v>97</c:v>
                </c:pt>
                <c:pt idx="24">
                  <c:v>92.2</c:v>
                </c:pt>
                <c:pt idx="25">
                  <c:v>41</c:v>
                </c:pt>
                <c:pt idx="26">
                  <c:v>86.8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ED7-4A16-A480-63DA4FDB3C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たかの!$O$2:$O$7</c:f>
              <c:numCache>
                <c:formatCode>\+0;\-0;\±0</c:formatCode>
                <c:ptCount val="6"/>
                <c:pt idx="0">
                  <c:v>-900</c:v>
                </c:pt>
                <c:pt idx="1">
                  <c:v>-1900</c:v>
                </c:pt>
                <c:pt idx="2">
                  <c:v>2950</c:v>
                </c:pt>
                <c:pt idx="3">
                  <c:v>-1273.6842105263158</c:v>
                </c:pt>
                <c:pt idx="4">
                  <c:v>4700</c:v>
                </c:pt>
                <c:pt idx="5">
                  <c:v>-800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133-4E3D-8F14-E36B686561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たかの!$A$36:$A$48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たかの!$B$36:$B$48</c:f>
              <c:numCache>
                <c:formatCode>0\ "回"</c:formatCode>
                <c:ptCount val="13"/>
                <c:pt idx="0">
                  <c:v>6</c:v>
                </c:pt>
                <c:pt idx="1">
                  <c:v>13</c:v>
                </c:pt>
                <c:pt idx="2">
                  <c:v>12</c:v>
                </c:pt>
                <c:pt idx="3">
                  <c:v>9</c:v>
                </c:pt>
                <c:pt idx="4">
                  <c:v>11</c:v>
                </c:pt>
                <c:pt idx="5">
                  <c:v>3</c:v>
                </c:pt>
                <c:pt idx="6">
                  <c:v>3</c:v>
                </c:pt>
                <c:pt idx="7">
                  <c:v>1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659-4829-A1DC-CE8FBE1809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のり!$L$1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のり!$K$2:$K$10</c:f>
              <c:numCache>
                <c:formatCode>General</c:formatCode>
                <c:ptCount val="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</c:numCache>
            </c:numRef>
          </c:xVal>
          <c:yVal>
            <c:numRef>
              <c:f>のり!$L$2:$L$10</c:f>
              <c:numCache>
                <c:formatCode>\+0.0;\-0.0;\±0</c:formatCode>
                <c:ptCount val="9"/>
                <c:pt idx="0">
                  <c:v>0</c:v>
                </c:pt>
                <c:pt idx="1">
                  <c:v>-30.5</c:v>
                </c:pt>
                <c:pt idx="2">
                  <c:v>-28.6</c:v>
                </c:pt>
                <c:pt idx="3">
                  <c:v>-41.400000000000006</c:v>
                </c:pt>
                <c:pt idx="4">
                  <c:v>-56.000000000000007</c:v>
                </c:pt>
                <c:pt idx="5">
                  <c:v>-64.400000000000006</c:v>
                </c:pt>
                <c:pt idx="6">
                  <c:v>-97.800000000000011</c:v>
                </c:pt>
                <c:pt idx="7">
                  <c:v>-56.500000000000014</c:v>
                </c:pt>
                <c:pt idx="8">
                  <c:v>7.4999999999999858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D05-458C-A97D-8AB4DE9AAE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のり!$O$1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のり!$N$2:$N$7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のり!$O$2:$O$7</c:f>
              <c:numCache>
                <c:formatCode>\+0;\-0;\±0</c:formatCode>
                <c:ptCount val="6"/>
                <c:pt idx="0">
                  <c:v>4212.5</c:v>
                </c:pt>
                <c:pt idx="1">
                  <c:v>387.5</c:v>
                </c:pt>
                <c:pt idx="2">
                  <c:v>-4987.5</c:v>
                </c:pt>
                <c:pt idx="3">
                  <c:v>-5850</c:v>
                </c:pt>
                <c:pt idx="4">
                  <c:v>6160</c:v>
                </c:pt>
                <c:pt idx="5">
                  <c:v>1633.3333333333333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9B6-4A30-8390-5DE5AD2500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のり!$A$36:$A$48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のり!$B$36:$B$48</c:f>
              <c:numCache>
                <c:formatCode>0\ "回"</c:formatCode>
                <c:ptCount val="13"/>
                <c:pt idx="0">
                  <c:v>2</c:v>
                </c:pt>
                <c:pt idx="1">
                  <c:v>3</c:v>
                </c:pt>
                <c:pt idx="2">
                  <c:v>5</c:v>
                </c:pt>
                <c:pt idx="3">
                  <c:v>3</c:v>
                </c:pt>
                <c:pt idx="4">
                  <c:v>1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8B3-45B2-AC43-4D9B09957D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ただ!$K$2:$K$25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xVal>
          <c:yVal>
            <c:numRef>
              <c:f>ただ!$L$2:$L$25</c:f>
              <c:numCache>
                <c:formatCode>\+0.0;\-0.0;\±0</c:formatCode>
                <c:ptCount val="24"/>
                <c:pt idx="0">
                  <c:v>0</c:v>
                </c:pt>
                <c:pt idx="1">
                  <c:v>68.2</c:v>
                </c:pt>
                <c:pt idx="2">
                  <c:v>41.2</c:v>
                </c:pt>
                <c:pt idx="3">
                  <c:v>8.9000000000000057</c:v>
                </c:pt>
                <c:pt idx="4">
                  <c:v>-41.199999999999996</c:v>
                </c:pt>
                <c:pt idx="5">
                  <c:v>-72.899999999999991</c:v>
                </c:pt>
                <c:pt idx="6">
                  <c:v>-130</c:v>
                </c:pt>
                <c:pt idx="7">
                  <c:v>-183</c:v>
                </c:pt>
                <c:pt idx="8">
                  <c:v>-128.6</c:v>
                </c:pt>
                <c:pt idx="9">
                  <c:v>-120</c:v>
                </c:pt>
                <c:pt idx="10">
                  <c:v>-112.8</c:v>
                </c:pt>
                <c:pt idx="11">
                  <c:v>-121</c:v>
                </c:pt>
                <c:pt idx="12">
                  <c:v>-108.5</c:v>
                </c:pt>
                <c:pt idx="13">
                  <c:v>-63.4</c:v>
                </c:pt>
                <c:pt idx="14">
                  <c:v>-42.4</c:v>
                </c:pt>
                <c:pt idx="15">
                  <c:v>-65.7</c:v>
                </c:pt>
                <c:pt idx="16">
                  <c:v>-104.80000000000001</c:v>
                </c:pt>
                <c:pt idx="17">
                  <c:v>-52.900000000000013</c:v>
                </c:pt>
                <c:pt idx="18">
                  <c:v>-45.800000000000011</c:v>
                </c:pt>
                <c:pt idx="19">
                  <c:v>-67.600000000000009</c:v>
                </c:pt>
                <c:pt idx="20">
                  <c:v>-26.70000000000001</c:v>
                </c:pt>
                <c:pt idx="21">
                  <c:v>-41.20000000000001</c:v>
                </c:pt>
                <c:pt idx="22">
                  <c:v>-38.400000000000013</c:v>
                </c:pt>
                <c:pt idx="23">
                  <c:v>-83.9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75B-4F29-96E4-E6A8A45CF9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ただ!$O$2:$O$7</c:f>
              <c:numCache>
                <c:formatCode>\+0;\-0;\±0</c:formatCode>
                <c:ptCount val="6"/>
                <c:pt idx="0">
                  <c:v>1956.5217391304348</c:v>
                </c:pt>
                <c:pt idx="1">
                  <c:v>-5736.363636363636</c:v>
                </c:pt>
                <c:pt idx="2">
                  <c:v>-1490.4761904761904</c:v>
                </c:pt>
                <c:pt idx="3">
                  <c:v>-161.11111111111111</c:v>
                </c:pt>
                <c:pt idx="4">
                  <c:v>1412.5</c:v>
                </c:pt>
                <c:pt idx="5">
                  <c:v>-1427.2727272727273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580-435C-86EC-F14809329B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ただ!$A$36:$A$48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ただ!$B$36:$B$48</c:f>
              <c:numCache>
                <c:formatCode>0\ "回"</c:formatCode>
                <c:ptCount val="13"/>
                <c:pt idx="0">
                  <c:v>5</c:v>
                </c:pt>
                <c:pt idx="1">
                  <c:v>15</c:v>
                </c:pt>
                <c:pt idx="2">
                  <c:v>6</c:v>
                </c:pt>
                <c:pt idx="3">
                  <c:v>12</c:v>
                </c:pt>
                <c:pt idx="4">
                  <c:v>6</c:v>
                </c:pt>
                <c:pt idx="5">
                  <c:v>5</c:v>
                </c:pt>
                <c:pt idx="6">
                  <c:v>3</c:v>
                </c:pt>
                <c:pt idx="7">
                  <c:v>2</c:v>
                </c:pt>
                <c:pt idx="8">
                  <c:v>1</c:v>
                </c:pt>
                <c:pt idx="9">
                  <c:v>1</c:v>
                </c:pt>
                <c:pt idx="10">
                  <c:v>2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761-425B-AFCF-FDF18F535D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ぱぱ!$L$1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ぱぱ!$L$2:$L$11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-27.3</c:v>
                </c:pt>
                <c:pt idx="2">
                  <c:v>-36.799999999999997</c:v>
                </c:pt>
                <c:pt idx="3">
                  <c:v>-62</c:v>
                </c:pt>
                <c:pt idx="4">
                  <c:v>-64.3</c:v>
                </c:pt>
                <c:pt idx="5">
                  <c:v>-42.3</c:v>
                </c:pt>
                <c:pt idx="6">
                  <c:v>27.700000000000003</c:v>
                </c:pt>
                <c:pt idx="7">
                  <c:v>-4.1999999999999957</c:v>
                </c:pt>
                <c:pt idx="8">
                  <c:v>-19.299999999999997</c:v>
                </c:pt>
                <c:pt idx="9">
                  <c:v>-41.599999999999994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196-45FB-A35C-37C0737865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ぱぱ!$O$1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ぱぱ!$N$2:$N$7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ぱぱ!$O$2:$O$7</c:f>
              <c:numCache>
                <c:formatCode>\+0;\-0;\±0</c:formatCode>
                <c:ptCount val="6"/>
                <c:pt idx="0">
                  <c:v>8822.2222222222226</c:v>
                </c:pt>
                <c:pt idx="1">
                  <c:v>-425</c:v>
                </c:pt>
                <c:pt idx="2">
                  <c:v>-5325</c:v>
                </c:pt>
                <c:pt idx="3">
                  <c:v>-1514.2857142857142</c:v>
                </c:pt>
                <c:pt idx="4">
                  <c:v>-4485.7142857142853</c:v>
                </c:pt>
                <c:pt idx="5">
                  <c:v>-571.42857142857144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649-4E0F-942D-5383D69DB0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ぱぱ!$A$36:$A$48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ぱぱ!$B$36:$B$48</c:f>
              <c:numCache>
                <c:formatCode>0\ "回"</c:formatCode>
                <c:ptCount val="13"/>
                <c:pt idx="0">
                  <c:v>3</c:v>
                </c:pt>
                <c:pt idx="1">
                  <c:v>4</c:v>
                </c:pt>
                <c:pt idx="2">
                  <c:v>4</c:v>
                </c:pt>
                <c:pt idx="3">
                  <c:v>3</c:v>
                </c:pt>
                <c:pt idx="4">
                  <c:v>3</c:v>
                </c:pt>
                <c:pt idx="5">
                  <c:v>4</c:v>
                </c:pt>
                <c:pt idx="6">
                  <c:v>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FD9-428C-9AA7-A87B4B6309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ただ2!$B$1:$B$2</c:f>
              <c:strCache>
                <c:ptCount val="2"/>
                <c:pt idx="0">
                  <c:v>ただ</c:v>
                </c:pt>
                <c:pt idx="1">
                  <c:v>通算スコア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ただ2!$A$3:$A$26</c:f>
              <c:numCache>
                <c:formatCode>0\ "回"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xVal>
          <c:yVal>
            <c:numRef>
              <c:f>ただ2!$B$3:$B$26</c:f>
              <c:numCache>
                <c:formatCode>\+0.0;\-0.0;\±0</c:formatCode>
                <c:ptCount val="24"/>
                <c:pt idx="0">
                  <c:v>0</c:v>
                </c:pt>
                <c:pt idx="1">
                  <c:v>68.2</c:v>
                </c:pt>
                <c:pt idx="2">
                  <c:v>41.2</c:v>
                </c:pt>
                <c:pt idx="3">
                  <c:v>8.9000000000000057</c:v>
                </c:pt>
                <c:pt idx="4">
                  <c:v>-41.199999999999996</c:v>
                </c:pt>
                <c:pt idx="5">
                  <c:v>-72.899999999999991</c:v>
                </c:pt>
                <c:pt idx="6">
                  <c:v>-130</c:v>
                </c:pt>
                <c:pt idx="7">
                  <c:v>-183</c:v>
                </c:pt>
                <c:pt idx="8">
                  <c:v>-128.6</c:v>
                </c:pt>
                <c:pt idx="9">
                  <c:v>-120</c:v>
                </c:pt>
                <c:pt idx="10">
                  <c:v>-112.8</c:v>
                </c:pt>
                <c:pt idx="11">
                  <c:v>-121</c:v>
                </c:pt>
                <c:pt idx="12">
                  <c:v>-108.5</c:v>
                </c:pt>
                <c:pt idx="13">
                  <c:v>-63.4</c:v>
                </c:pt>
                <c:pt idx="14">
                  <c:v>-42.4</c:v>
                </c:pt>
                <c:pt idx="15">
                  <c:v>-65.7</c:v>
                </c:pt>
                <c:pt idx="16">
                  <c:v>-104.80000000000001</c:v>
                </c:pt>
                <c:pt idx="17">
                  <c:v>-52.900000000000013</c:v>
                </c:pt>
                <c:pt idx="18">
                  <c:v>-45.800000000000011</c:v>
                </c:pt>
                <c:pt idx="19">
                  <c:v>-67.600000000000009</c:v>
                </c:pt>
                <c:pt idx="20">
                  <c:v>-26.70000000000001</c:v>
                </c:pt>
                <c:pt idx="21">
                  <c:v>-41.20000000000001</c:v>
                </c:pt>
                <c:pt idx="22">
                  <c:v>-38.400000000000013</c:v>
                </c:pt>
                <c:pt idx="23">
                  <c:v>-83.9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48-4FE8-A8B2-4ECB92B9A4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3.5527136788005009E-1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ただ2!$C$1:$C$2</c:f>
              <c:strCache>
                <c:ptCount val="2"/>
                <c:pt idx="0">
                  <c:v>ただ</c:v>
                </c:pt>
                <c:pt idx="1">
                  <c:v>平均スコア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ただ2!$A$3:$A$26</c:f>
              <c:numCache>
                <c:formatCode>0\ "回"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xVal>
          <c:yVal>
            <c:numRef>
              <c:f>ただ2!$C$3:$C$26</c:f>
              <c:numCache>
                <c:formatCode>\+0.0;\-0.0;\±0</c:formatCode>
                <c:ptCount val="24"/>
                <c:pt idx="1">
                  <c:v>68.2</c:v>
                </c:pt>
                <c:pt idx="2">
                  <c:v>20.6</c:v>
                </c:pt>
                <c:pt idx="3">
                  <c:v>2.9666666666666686</c:v>
                </c:pt>
                <c:pt idx="4">
                  <c:v>-10.299999999999999</c:v>
                </c:pt>
                <c:pt idx="5">
                  <c:v>-14.579999999999998</c:v>
                </c:pt>
                <c:pt idx="6">
                  <c:v>-21.666666666666668</c:v>
                </c:pt>
                <c:pt idx="7">
                  <c:v>-26.142857142857142</c:v>
                </c:pt>
                <c:pt idx="8">
                  <c:v>-16.074999999999999</c:v>
                </c:pt>
                <c:pt idx="9">
                  <c:v>-13.333333333333334</c:v>
                </c:pt>
                <c:pt idx="10">
                  <c:v>-11.28</c:v>
                </c:pt>
                <c:pt idx="11">
                  <c:v>-11</c:v>
                </c:pt>
                <c:pt idx="12">
                  <c:v>-9.0416666666666661</c:v>
                </c:pt>
                <c:pt idx="13">
                  <c:v>-4.8769230769230765</c:v>
                </c:pt>
                <c:pt idx="14">
                  <c:v>-3.0285714285714285</c:v>
                </c:pt>
                <c:pt idx="15">
                  <c:v>-4.38</c:v>
                </c:pt>
                <c:pt idx="16">
                  <c:v>-6.5500000000000007</c:v>
                </c:pt>
                <c:pt idx="17">
                  <c:v>-3.1117647058823539</c:v>
                </c:pt>
                <c:pt idx="18">
                  <c:v>-2.5444444444444452</c:v>
                </c:pt>
                <c:pt idx="19">
                  <c:v>-3.5578947368421057</c:v>
                </c:pt>
                <c:pt idx="20">
                  <c:v>-1.3350000000000004</c:v>
                </c:pt>
                <c:pt idx="21">
                  <c:v>-1.9619047619047625</c:v>
                </c:pt>
                <c:pt idx="22">
                  <c:v>-1.745454545454546</c:v>
                </c:pt>
                <c:pt idx="23">
                  <c:v>-3.6478260869565218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C-43E6-BBBF-C5F3C62A5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1.3770208057366282E-1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5.0866323827072416E-2"/>
          <c:y val="9.5976502261529054E-2"/>
          <c:w val="0.92789967068874057"/>
          <c:h val="0.85767024934613867"/>
        </c:manualLayout>
      </c:layout>
      <c:scatterChart>
        <c:scatterStyle val="lineMarker"/>
        <c:varyColors val="0"/>
        <c:ser>
          <c:idx val="0"/>
          <c:order val="0"/>
          <c:tx>
            <c:strRef>
              <c:f>ただ2!$D$1:$D$2</c:f>
              <c:strCache>
                <c:ptCount val="2"/>
                <c:pt idx="0">
                  <c:v>ただ</c:v>
                </c:pt>
                <c:pt idx="1">
                  <c:v>平均順位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ただ2!$A$3:$A$26</c:f>
              <c:numCache>
                <c:formatCode>0\ "回"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xVal>
          <c:yVal>
            <c:numRef>
              <c:f>ただ2!$D$3:$D$26</c:f>
              <c:numCache>
                <c:formatCode>0.00\ "位"</c:formatCode>
                <c:ptCount val="24"/>
                <c:pt idx="1">
                  <c:v>1</c:v>
                </c:pt>
                <c:pt idx="2">
                  <c:v>2</c:v>
                </c:pt>
                <c:pt idx="3">
                  <c:v>2.3333333333333335</c:v>
                </c:pt>
                <c:pt idx="4">
                  <c:v>2.5</c:v>
                </c:pt>
                <c:pt idx="5">
                  <c:v>2.6</c:v>
                </c:pt>
                <c:pt idx="6">
                  <c:v>2.6666666666666665</c:v>
                </c:pt>
                <c:pt idx="7">
                  <c:v>2.7142857142857144</c:v>
                </c:pt>
                <c:pt idx="8">
                  <c:v>2.5</c:v>
                </c:pt>
                <c:pt idx="9">
                  <c:v>2.4444444444444446</c:v>
                </c:pt>
                <c:pt idx="10">
                  <c:v>2.4</c:v>
                </c:pt>
                <c:pt idx="11">
                  <c:v>2.3636363636363638</c:v>
                </c:pt>
                <c:pt idx="12">
                  <c:v>2.25</c:v>
                </c:pt>
                <c:pt idx="13">
                  <c:v>2.1538461538461537</c:v>
                </c:pt>
                <c:pt idx="14">
                  <c:v>2.0714285714285716</c:v>
                </c:pt>
                <c:pt idx="15">
                  <c:v>2.0666666666666669</c:v>
                </c:pt>
                <c:pt idx="16">
                  <c:v>2.125</c:v>
                </c:pt>
                <c:pt idx="17">
                  <c:v>2.0588235294117645</c:v>
                </c:pt>
                <c:pt idx="18">
                  <c:v>2.0555555555555554</c:v>
                </c:pt>
                <c:pt idx="19">
                  <c:v>2.1052631578947367</c:v>
                </c:pt>
                <c:pt idx="20">
                  <c:v>2.0499999999999998</c:v>
                </c:pt>
                <c:pt idx="21">
                  <c:v>2.0952380952380953</c:v>
                </c:pt>
                <c:pt idx="22">
                  <c:v>2.0909090909090908</c:v>
                </c:pt>
                <c:pt idx="23">
                  <c:v>2.1304347826086958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A-4B73-A478-5CECE427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t"/>
        <c:numFmt formatCode="0" sourceLinked="0"/>
        <c:majorTickMark val="none"/>
        <c:minorTickMark val="none"/>
        <c:tickLblPos val="high"/>
        <c:spPr>
          <a:noFill/>
          <a:ln w="19050">
            <a:solidFill>
              <a:schemeClr val="tx1">
                <a:lumMod val="65000"/>
                <a:lumOff val="3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2"/>
        <c:crossBetween val="midCat"/>
      </c:valAx>
      <c:valAx>
        <c:axId val="575703272"/>
        <c:scaling>
          <c:orientation val="maxMin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位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ただ2!$E$1:$E$2</c:f>
              <c:strCache>
                <c:ptCount val="2"/>
                <c:pt idx="0">
                  <c:v>ただ</c:v>
                </c:pt>
                <c:pt idx="1">
                  <c:v>トップ率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ただ2!$A$3:$A$26</c:f>
              <c:numCache>
                <c:formatCode>0\ "回"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xVal>
          <c:yVal>
            <c:numRef>
              <c:f>ただ2!$E$3:$E$26</c:f>
              <c:numCache>
                <c:formatCode>0.0%</c:formatCode>
                <c:ptCount val="24"/>
                <c:pt idx="1">
                  <c:v>1</c:v>
                </c:pt>
                <c:pt idx="2">
                  <c:v>0.5</c:v>
                </c:pt>
                <c:pt idx="3">
                  <c:v>0.33333333333333331</c:v>
                </c:pt>
                <c:pt idx="4">
                  <c:v>0.25</c:v>
                </c:pt>
                <c:pt idx="5">
                  <c:v>0.2</c:v>
                </c:pt>
                <c:pt idx="6">
                  <c:v>0.16666666666666666</c:v>
                </c:pt>
                <c:pt idx="7">
                  <c:v>0.14285714285714285</c:v>
                </c:pt>
                <c:pt idx="8">
                  <c:v>0.25</c:v>
                </c:pt>
                <c:pt idx="9">
                  <c:v>0.22222222222222221</c:v>
                </c:pt>
                <c:pt idx="10">
                  <c:v>0.2</c:v>
                </c:pt>
                <c:pt idx="11">
                  <c:v>0.18181818181818182</c:v>
                </c:pt>
                <c:pt idx="12">
                  <c:v>0.25</c:v>
                </c:pt>
                <c:pt idx="13">
                  <c:v>0.30769230769230771</c:v>
                </c:pt>
                <c:pt idx="14">
                  <c:v>0.35714285714285715</c:v>
                </c:pt>
                <c:pt idx="15">
                  <c:v>0.33333333333333331</c:v>
                </c:pt>
                <c:pt idx="16">
                  <c:v>0.3125</c:v>
                </c:pt>
                <c:pt idx="17">
                  <c:v>0.35294117647058826</c:v>
                </c:pt>
                <c:pt idx="18">
                  <c:v>0.33333333333333331</c:v>
                </c:pt>
                <c:pt idx="19">
                  <c:v>0.31578947368421051</c:v>
                </c:pt>
                <c:pt idx="20">
                  <c:v>0.35</c:v>
                </c:pt>
                <c:pt idx="21">
                  <c:v>0.33333333333333331</c:v>
                </c:pt>
                <c:pt idx="22">
                  <c:v>0.31818181818181818</c:v>
                </c:pt>
                <c:pt idx="23">
                  <c:v>0.30434782608695654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1A-49FC-A7F1-1C9BECE13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ただ2!$F$1:$F$2</c:f>
              <c:strCache>
                <c:ptCount val="2"/>
                <c:pt idx="0">
                  <c:v>ただ</c:v>
                </c:pt>
                <c:pt idx="1">
                  <c:v>ラス率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ただ2!$A$3:$A$26</c:f>
              <c:numCache>
                <c:formatCode>0\ "回"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xVal>
          <c:yVal>
            <c:numRef>
              <c:f>ただ2!$F$3:$F$26</c:f>
              <c:numCache>
                <c:formatCode>0.0%</c:formatCode>
                <c:ptCount val="24"/>
                <c:pt idx="1">
                  <c:v>0</c:v>
                </c:pt>
                <c:pt idx="2">
                  <c:v>0.5</c:v>
                </c:pt>
                <c:pt idx="3">
                  <c:v>0.66666666666666663</c:v>
                </c:pt>
                <c:pt idx="4">
                  <c:v>0.75</c:v>
                </c:pt>
                <c:pt idx="5">
                  <c:v>0.8</c:v>
                </c:pt>
                <c:pt idx="6">
                  <c:v>0.83333333333333337</c:v>
                </c:pt>
                <c:pt idx="7">
                  <c:v>0.8571428571428571</c:v>
                </c:pt>
                <c:pt idx="8">
                  <c:v>0.75</c:v>
                </c:pt>
                <c:pt idx="9">
                  <c:v>0.66666666666666663</c:v>
                </c:pt>
                <c:pt idx="10">
                  <c:v>0.6</c:v>
                </c:pt>
                <c:pt idx="11">
                  <c:v>0.54545454545454541</c:v>
                </c:pt>
                <c:pt idx="12">
                  <c:v>0.5</c:v>
                </c:pt>
                <c:pt idx="13">
                  <c:v>0.46153846153846156</c:v>
                </c:pt>
                <c:pt idx="14">
                  <c:v>0.42857142857142855</c:v>
                </c:pt>
                <c:pt idx="15">
                  <c:v>0.4</c:v>
                </c:pt>
                <c:pt idx="16">
                  <c:v>0.4375</c:v>
                </c:pt>
                <c:pt idx="17">
                  <c:v>0.41176470588235292</c:v>
                </c:pt>
                <c:pt idx="18">
                  <c:v>0.3888888888888889</c:v>
                </c:pt>
                <c:pt idx="19">
                  <c:v>0.42105263157894735</c:v>
                </c:pt>
                <c:pt idx="20">
                  <c:v>0.4</c:v>
                </c:pt>
                <c:pt idx="21">
                  <c:v>0.42857142857142855</c:v>
                </c:pt>
                <c:pt idx="22">
                  <c:v>0.40909090909090912</c:v>
                </c:pt>
                <c:pt idx="23">
                  <c:v>0.43478260869565216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6E-41BF-A266-1116E0BBF4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ただ2!$G$1:$G$2</c:f>
              <c:strCache>
                <c:ptCount val="2"/>
                <c:pt idx="0">
                  <c:v>ただ</c:v>
                </c:pt>
                <c:pt idx="1">
                  <c:v>アガリ率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ただ2!$A$3:$A$26</c:f>
              <c:numCache>
                <c:formatCode>0\ "回"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xVal>
          <c:yVal>
            <c:numRef>
              <c:f>ただ2!$G$3:$G$26</c:f>
              <c:numCache>
                <c:formatCode>0.0%</c:formatCode>
                <c:ptCount val="24"/>
                <c:pt idx="1">
                  <c:v>0.75</c:v>
                </c:pt>
                <c:pt idx="2">
                  <c:v>0.5</c:v>
                </c:pt>
                <c:pt idx="3">
                  <c:v>0.4</c:v>
                </c:pt>
                <c:pt idx="4">
                  <c:v>0.33333333333333331</c:v>
                </c:pt>
                <c:pt idx="5">
                  <c:v>0.31578947368421051</c:v>
                </c:pt>
                <c:pt idx="6">
                  <c:v>0.2978723404255319</c:v>
                </c:pt>
                <c:pt idx="7">
                  <c:v>0.27450980392156865</c:v>
                </c:pt>
                <c:pt idx="8">
                  <c:v>0.32203389830508472</c:v>
                </c:pt>
                <c:pt idx="9">
                  <c:v>0.31818181818181818</c:v>
                </c:pt>
                <c:pt idx="10">
                  <c:v>0.32876712328767121</c:v>
                </c:pt>
                <c:pt idx="11">
                  <c:v>0.31707317073170732</c:v>
                </c:pt>
                <c:pt idx="12">
                  <c:v>0.32222222222222224</c:v>
                </c:pt>
                <c:pt idx="13">
                  <c:v>0.34375</c:v>
                </c:pt>
                <c:pt idx="14">
                  <c:v>0.35238095238095241</c:v>
                </c:pt>
                <c:pt idx="15">
                  <c:v>0.33913043478260868</c:v>
                </c:pt>
                <c:pt idx="16">
                  <c:v>0.32258064516129031</c:v>
                </c:pt>
                <c:pt idx="17">
                  <c:v>0.328125</c:v>
                </c:pt>
                <c:pt idx="18">
                  <c:v>0.32846715328467152</c:v>
                </c:pt>
                <c:pt idx="19">
                  <c:v>0.32167832167832167</c:v>
                </c:pt>
                <c:pt idx="20">
                  <c:v>0.33774834437086093</c:v>
                </c:pt>
                <c:pt idx="21">
                  <c:v>0.34375</c:v>
                </c:pt>
                <c:pt idx="22">
                  <c:v>0.33720930232558138</c:v>
                </c:pt>
                <c:pt idx="23">
                  <c:v>0.32240437158469948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CD-49E2-985A-5C6FC7504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91052114060963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ただ2!$H$1:$H$2</c:f>
              <c:strCache>
                <c:ptCount val="2"/>
                <c:pt idx="0">
                  <c:v>ただ</c:v>
                </c:pt>
                <c:pt idx="1">
                  <c:v>放銃率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ただ2!$A$3:$A$26</c:f>
              <c:numCache>
                <c:formatCode>0\ "回"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xVal>
          <c:yVal>
            <c:numRef>
              <c:f>ただ2!$H$3:$H$26</c:f>
              <c:numCache>
                <c:formatCode>0.0%</c:formatCode>
                <c:ptCount val="24"/>
                <c:pt idx="1">
                  <c:v>0.25</c:v>
                </c:pt>
                <c:pt idx="2">
                  <c:v>0.21428571428571427</c:v>
                </c:pt>
                <c:pt idx="3">
                  <c:v>0.2</c:v>
                </c:pt>
                <c:pt idx="4">
                  <c:v>0.23333333333333334</c:v>
                </c:pt>
                <c:pt idx="5">
                  <c:v>0.23684210526315788</c:v>
                </c:pt>
                <c:pt idx="6">
                  <c:v>0.25531914893617019</c:v>
                </c:pt>
                <c:pt idx="7">
                  <c:v>0.27450980392156865</c:v>
                </c:pt>
                <c:pt idx="8">
                  <c:v>0.2711864406779661</c:v>
                </c:pt>
                <c:pt idx="9">
                  <c:v>0.24242424242424243</c:v>
                </c:pt>
                <c:pt idx="10">
                  <c:v>0.24657534246575341</c:v>
                </c:pt>
                <c:pt idx="11">
                  <c:v>0.24390243902439024</c:v>
                </c:pt>
                <c:pt idx="12">
                  <c:v>0.24444444444444444</c:v>
                </c:pt>
                <c:pt idx="13">
                  <c:v>0.22916666666666666</c:v>
                </c:pt>
                <c:pt idx="14">
                  <c:v>0.21904761904761905</c:v>
                </c:pt>
                <c:pt idx="15">
                  <c:v>0.21739130434782608</c:v>
                </c:pt>
                <c:pt idx="16">
                  <c:v>0.22580645161290322</c:v>
                </c:pt>
                <c:pt idx="17">
                  <c:v>0.2265625</c:v>
                </c:pt>
                <c:pt idx="18">
                  <c:v>0.21897810218978103</c:v>
                </c:pt>
                <c:pt idx="19">
                  <c:v>0.21678321678321677</c:v>
                </c:pt>
                <c:pt idx="20">
                  <c:v>0.20529801324503311</c:v>
                </c:pt>
                <c:pt idx="21">
                  <c:v>0.2</c:v>
                </c:pt>
                <c:pt idx="22">
                  <c:v>0.19767441860465115</c:v>
                </c:pt>
                <c:pt idx="23">
                  <c:v>0.19672131147540983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B4-4F77-82F7-F0F3CF1D6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5535889872173059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ただ2!$I$1:$I$2</c:f>
              <c:strCache>
                <c:ptCount val="2"/>
                <c:pt idx="0">
                  <c:v>ただ</c:v>
                </c:pt>
                <c:pt idx="1">
                  <c:v>平均アガリ点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ただ2!$A$3:$A$26</c:f>
              <c:numCache>
                <c:formatCode>0\ "回"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xVal>
          <c:yVal>
            <c:numRef>
              <c:f>ただ2!$I$3:$I$26</c:f>
              <c:numCache>
                <c:formatCode>0</c:formatCode>
                <c:ptCount val="24"/>
                <c:pt idx="1">
                  <c:v>10350</c:v>
                </c:pt>
                <c:pt idx="2">
                  <c:v>9442.8571428571431</c:v>
                </c:pt>
                <c:pt idx="3">
                  <c:v>7870</c:v>
                </c:pt>
                <c:pt idx="4">
                  <c:v>7870</c:v>
                </c:pt>
                <c:pt idx="5">
                  <c:v>7891.666666666667</c:v>
                </c:pt>
                <c:pt idx="6">
                  <c:v>8464.2857142857138</c:v>
                </c:pt>
                <c:pt idx="7">
                  <c:v>8464.2857142857138</c:v>
                </c:pt>
                <c:pt idx="8">
                  <c:v>9442.105263157895</c:v>
                </c:pt>
                <c:pt idx="9">
                  <c:v>9809.5238095238092</c:v>
                </c:pt>
                <c:pt idx="10">
                  <c:v>9712.5</c:v>
                </c:pt>
                <c:pt idx="11">
                  <c:v>9503.8461538461543</c:v>
                </c:pt>
                <c:pt idx="12">
                  <c:v>8979.310344827587</c:v>
                </c:pt>
                <c:pt idx="13">
                  <c:v>9090.9090909090901</c:v>
                </c:pt>
                <c:pt idx="14">
                  <c:v>9108.1081081081084</c:v>
                </c:pt>
                <c:pt idx="15">
                  <c:v>9082.0512820512813</c:v>
                </c:pt>
                <c:pt idx="16">
                  <c:v>8987.5</c:v>
                </c:pt>
                <c:pt idx="17">
                  <c:v>9978.5714285714294</c:v>
                </c:pt>
                <c:pt idx="18">
                  <c:v>9720</c:v>
                </c:pt>
                <c:pt idx="19">
                  <c:v>9676.0869565217399</c:v>
                </c:pt>
                <c:pt idx="20">
                  <c:v>9411.7647058823532</c:v>
                </c:pt>
                <c:pt idx="21">
                  <c:v>9172.7272727272721</c:v>
                </c:pt>
                <c:pt idx="22">
                  <c:v>9141.3793103448279</c:v>
                </c:pt>
                <c:pt idx="23">
                  <c:v>9116.9491525423728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C9-4B64-9205-41354802B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9005.067567567568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ただ2!$J$1:$J$2</c:f>
              <c:strCache>
                <c:ptCount val="2"/>
                <c:pt idx="0">
                  <c:v>ただ</c:v>
                </c:pt>
                <c:pt idx="1">
                  <c:v>平均放銃点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ただ2!$A$3:$A$26</c:f>
              <c:numCache>
                <c:formatCode>0\ "回"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xVal>
          <c:yVal>
            <c:numRef>
              <c:f>ただ2!$J$3:$J$26</c:f>
              <c:numCache>
                <c:formatCode>0</c:formatCode>
                <c:ptCount val="24"/>
                <c:pt idx="1">
                  <c:v>-1950</c:v>
                </c:pt>
                <c:pt idx="2">
                  <c:v>-5300</c:v>
                </c:pt>
                <c:pt idx="3">
                  <c:v>-8760</c:v>
                </c:pt>
                <c:pt idx="4">
                  <c:v>-9628.5714285714294</c:v>
                </c:pt>
                <c:pt idx="5">
                  <c:v>-8955.5555555555547</c:v>
                </c:pt>
                <c:pt idx="6">
                  <c:v>-11600</c:v>
                </c:pt>
                <c:pt idx="7">
                  <c:v>-11657.142857142857</c:v>
                </c:pt>
                <c:pt idx="8">
                  <c:v>-11700</c:v>
                </c:pt>
                <c:pt idx="9">
                  <c:v>-11700</c:v>
                </c:pt>
                <c:pt idx="10">
                  <c:v>-11227.777777777777</c:v>
                </c:pt>
                <c:pt idx="11">
                  <c:v>-10365</c:v>
                </c:pt>
                <c:pt idx="12">
                  <c:v>-9904.545454545454</c:v>
                </c:pt>
                <c:pt idx="13">
                  <c:v>-9904.545454545454</c:v>
                </c:pt>
                <c:pt idx="14">
                  <c:v>-9821.7391304347821</c:v>
                </c:pt>
                <c:pt idx="15">
                  <c:v>-9836</c:v>
                </c:pt>
                <c:pt idx="16">
                  <c:v>-9542.8571428571431</c:v>
                </c:pt>
                <c:pt idx="17">
                  <c:v>-9479.310344827587</c:v>
                </c:pt>
                <c:pt idx="18">
                  <c:v>-9336.6666666666661</c:v>
                </c:pt>
                <c:pt idx="19">
                  <c:v>-9551.6129032258068</c:v>
                </c:pt>
                <c:pt idx="20">
                  <c:v>-9551.6129032258068</c:v>
                </c:pt>
                <c:pt idx="21">
                  <c:v>-9753.125</c:v>
                </c:pt>
                <c:pt idx="22">
                  <c:v>-9464.7058823529405</c:v>
                </c:pt>
                <c:pt idx="23">
                  <c:v>-9605.5555555555547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0C-48CE-B085-A862FAE71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8253.48101265822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ただ2!$K$1:$K$2</c:f>
              <c:strCache>
                <c:ptCount val="2"/>
                <c:pt idx="0">
                  <c:v>ただ</c:v>
                </c:pt>
                <c:pt idx="1">
                  <c:v>ふっとび率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ただ2!$A$3:$A$26</c:f>
              <c:numCache>
                <c:formatCode>0\ "回"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xVal>
          <c:yVal>
            <c:numRef>
              <c:f>ただ2!$K$3:$K$26</c:f>
              <c:numCache>
                <c:formatCode>0.0%</c:formatCode>
                <c:ptCount val="24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0.25</c:v>
                </c:pt>
                <c:pt idx="5">
                  <c:v>0.2</c:v>
                </c:pt>
                <c:pt idx="6">
                  <c:v>0.33333333333333331</c:v>
                </c:pt>
                <c:pt idx="7">
                  <c:v>0.42857142857142855</c:v>
                </c:pt>
                <c:pt idx="8">
                  <c:v>0.375</c:v>
                </c:pt>
                <c:pt idx="9">
                  <c:v>0.33333333333333331</c:v>
                </c:pt>
                <c:pt idx="10">
                  <c:v>0.3</c:v>
                </c:pt>
                <c:pt idx="11">
                  <c:v>0.27272727272727271</c:v>
                </c:pt>
                <c:pt idx="12">
                  <c:v>0.25</c:v>
                </c:pt>
                <c:pt idx="13">
                  <c:v>0.23076923076923078</c:v>
                </c:pt>
                <c:pt idx="14">
                  <c:v>0.21428571428571427</c:v>
                </c:pt>
                <c:pt idx="15">
                  <c:v>0.2</c:v>
                </c:pt>
                <c:pt idx="16">
                  <c:v>0.1875</c:v>
                </c:pt>
                <c:pt idx="17">
                  <c:v>0.17647058823529413</c:v>
                </c:pt>
                <c:pt idx="18">
                  <c:v>0.16666666666666666</c:v>
                </c:pt>
                <c:pt idx="19">
                  <c:v>0.15789473684210525</c:v>
                </c:pt>
                <c:pt idx="20">
                  <c:v>0.15</c:v>
                </c:pt>
                <c:pt idx="21">
                  <c:v>0.14285714285714285</c:v>
                </c:pt>
                <c:pt idx="22">
                  <c:v>0.13636363636363635</c:v>
                </c:pt>
                <c:pt idx="23">
                  <c:v>0.17391304347826086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9F-483C-8BF9-3EEEDDBC1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356589147286821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ただ2!$L$1:$L$2</c:f>
              <c:strCache>
                <c:ptCount val="2"/>
                <c:pt idx="0">
                  <c:v>ただ</c:v>
                </c:pt>
                <c:pt idx="1">
                  <c:v>リーチ率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ただ2!$A$3:$A$26</c:f>
              <c:numCache>
                <c:formatCode>0\ "回"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xVal>
          <c:yVal>
            <c:numRef>
              <c:f>ただ2!$L$3:$L$26</c:f>
              <c:numCache>
                <c:formatCode>0.0%</c:formatCode>
                <c:ptCount val="24"/>
                <c:pt idx="1">
                  <c:v>0.25</c:v>
                </c:pt>
                <c:pt idx="2">
                  <c:v>0.21428571428571427</c:v>
                </c:pt>
                <c:pt idx="3">
                  <c:v>0.2</c:v>
                </c:pt>
                <c:pt idx="4">
                  <c:v>0.16666666666666666</c:v>
                </c:pt>
                <c:pt idx="5">
                  <c:v>0.13157894736842105</c:v>
                </c:pt>
                <c:pt idx="6">
                  <c:v>0.1276595744680851</c:v>
                </c:pt>
                <c:pt idx="7">
                  <c:v>0.11764705882352941</c:v>
                </c:pt>
                <c:pt idx="8">
                  <c:v>0.15254237288135594</c:v>
                </c:pt>
                <c:pt idx="9">
                  <c:v>0.16666666666666666</c:v>
                </c:pt>
                <c:pt idx="10">
                  <c:v>0.16438356164383561</c:v>
                </c:pt>
                <c:pt idx="11">
                  <c:v>0.15853658536585366</c:v>
                </c:pt>
                <c:pt idx="12">
                  <c:v>0.14444444444444443</c:v>
                </c:pt>
                <c:pt idx="13">
                  <c:v>0.17708333333333334</c:v>
                </c:pt>
                <c:pt idx="14">
                  <c:v>0.18095238095238095</c:v>
                </c:pt>
                <c:pt idx="15">
                  <c:v>0.17391304347826086</c:v>
                </c:pt>
                <c:pt idx="16">
                  <c:v>0.19354838709677419</c:v>
                </c:pt>
                <c:pt idx="17">
                  <c:v>0.1953125</c:v>
                </c:pt>
                <c:pt idx="18">
                  <c:v>0.18978102189781021</c:v>
                </c:pt>
                <c:pt idx="19">
                  <c:v>0.18181818181818182</c:v>
                </c:pt>
                <c:pt idx="20">
                  <c:v>0.19205298013245034</c:v>
                </c:pt>
                <c:pt idx="21">
                  <c:v>0.20624999999999999</c:v>
                </c:pt>
                <c:pt idx="22">
                  <c:v>0.19186046511627908</c:v>
                </c:pt>
                <c:pt idx="23">
                  <c:v>0.18579234972677597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8D-4737-A6AF-5494A4274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468043264503441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ただ2!$M$1:$M$2</c:f>
              <c:strCache>
                <c:ptCount val="2"/>
                <c:pt idx="0">
                  <c:v>ただ</c:v>
                </c:pt>
                <c:pt idx="1">
                  <c:v>副露率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ただ2!$A$3:$A$26</c:f>
              <c:numCache>
                <c:formatCode>0\ "回"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xVal>
          <c:yVal>
            <c:numRef>
              <c:f>ただ2!$M$3:$M$26</c:f>
              <c:numCache>
                <c:formatCode>0.0%</c:formatCode>
                <c:ptCount val="24"/>
                <c:pt idx="1">
                  <c:v>0.125</c:v>
                </c:pt>
                <c:pt idx="2">
                  <c:v>0.14285714285714285</c:v>
                </c:pt>
                <c:pt idx="3">
                  <c:v>0.16</c:v>
                </c:pt>
                <c:pt idx="4">
                  <c:v>0.23333333333333334</c:v>
                </c:pt>
                <c:pt idx="5">
                  <c:v>0.34210526315789475</c:v>
                </c:pt>
                <c:pt idx="6">
                  <c:v>0.34042553191489361</c:v>
                </c:pt>
                <c:pt idx="7">
                  <c:v>0.35294117647058826</c:v>
                </c:pt>
                <c:pt idx="8">
                  <c:v>0.3728813559322034</c:v>
                </c:pt>
                <c:pt idx="9">
                  <c:v>0.34848484848484851</c:v>
                </c:pt>
                <c:pt idx="10">
                  <c:v>0.34246575342465752</c:v>
                </c:pt>
                <c:pt idx="11">
                  <c:v>0.32926829268292684</c:v>
                </c:pt>
                <c:pt idx="12">
                  <c:v>0.34444444444444444</c:v>
                </c:pt>
                <c:pt idx="13">
                  <c:v>0.33333333333333331</c:v>
                </c:pt>
                <c:pt idx="14">
                  <c:v>0.32380952380952382</c:v>
                </c:pt>
                <c:pt idx="15">
                  <c:v>0.31304347826086959</c:v>
                </c:pt>
                <c:pt idx="16">
                  <c:v>0.30645161290322581</c:v>
                </c:pt>
                <c:pt idx="17">
                  <c:v>0.3046875</c:v>
                </c:pt>
                <c:pt idx="18">
                  <c:v>0.29927007299270075</c:v>
                </c:pt>
                <c:pt idx="19">
                  <c:v>0.30769230769230771</c:v>
                </c:pt>
                <c:pt idx="20">
                  <c:v>0.31125827814569534</c:v>
                </c:pt>
                <c:pt idx="21">
                  <c:v>0.30625000000000002</c:v>
                </c:pt>
                <c:pt idx="22">
                  <c:v>0.31395348837209303</c:v>
                </c:pt>
                <c:pt idx="23">
                  <c:v>0.31693989071038253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AD-4CCE-BF2B-5C9AEAB8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045231071779744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ただ2!$N$1:$N$2</c:f>
              <c:strCache>
                <c:ptCount val="2"/>
                <c:pt idx="0">
                  <c:v>ただ</c:v>
                </c:pt>
                <c:pt idx="1">
                  <c:v>リーチ成功率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ただ2!$A$3:$A$26</c:f>
              <c:numCache>
                <c:formatCode>0\ "回"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xVal>
          <c:yVal>
            <c:numRef>
              <c:f>ただ2!$N$3:$N$26</c:f>
              <c:numCache>
                <c:formatCode>0.0%</c:formatCode>
                <c:ptCount val="24"/>
                <c:pt idx="1">
                  <c:v>1</c:v>
                </c:pt>
                <c:pt idx="2">
                  <c:v>0.66666666666666663</c:v>
                </c:pt>
                <c:pt idx="3">
                  <c:v>0.6</c:v>
                </c:pt>
                <c:pt idx="4">
                  <c:v>0.6</c:v>
                </c:pt>
                <c:pt idx="5">
                  <c:v>0.6</c:v>
                </c:pt>
                <c:pt idx="6">
                  <c:v>0.66666666666666663</c:v>
                </c:pt>
                <c:pt idx="7">
                  <c:v>0.66666666666666663</c:v>
                </c:pt>
                <c:pt idx="8">
                  <c:v>0.77777777777777779</c:v>
                </c:pt>
                <c:pt idx="9">
                  <c:v>0.72727272727272729</c:v>
                </c:pt>
                <c:pt idx="10">
                  <c:v>0.75</c:v>
                </c:pt>
                <c:pt idx="11">
                  <c:v>0.69230769230769229</c:v>
                </c:pt>
                <c:pt idx="12">
                  <c:v>0.69230769230769229</c:v>
                </c:pt>
                <c:pt idx="13">
                  <c:v>0.6470588235294118</c:v>
                </c:pt>
                <c:pt idx="14">
                  <c:v>0.68421052631578949</c:v>
                </c:pt>
                <c:pt idx="15">
                  <c:v>0.65</c:v>
                </c:pt>
                <c:pt idx="16">
                  <c:v>0.58333333333333337</c:v>
                </c:pt>
                <c:pt idx="17">
                  <c:v>0.6</c:v>
                </c:pt>
                <c:pt idx="18">
                  <c:v>0.57692307692307687</c:v>
                </c:pt>
                <c:pt idx="19">
                  <c:v>0.57692307692307687</c:v>
                </c:pt>
                <c:pt idx="20">
                  <c:v>0.62068965517241381</c:v>
                </c:pt>
                <c:pt idx="21">
                  <c:v>0.63636363636363635</c:v>
                </c:pt>
                <c:pt idx="22">
                  <c:v>0.63636363636363635</c:v>
                </c:pt>
                <c:pt idx="23">
                  <c:v>0.61764705882352944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12-4F93-81A3-2013D91069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5517928286852589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ただ2!$O$1:$O$2</c:f>
              <c:strCache>
                <c:ptCount val="2"/>
                <c:pt idx="0">
                  <c:v>ただ</c:v>
                </c:pt>
                <c:pt idx="1">
                  <c:v>副露成功率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ただ2!$A$3:$A$26</c:f>
              <c:numCache>
                <c:formatCode>0\ "回"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xVal>
          <c:yVal>
            <c:numRef>
              <c:f>ただ2!$O$3:$O$26</c:f>
              <c:numCache>
                <c:formatCode>0.0%</c:formatCode>
                <c:ptCount val="24"/>
                <c:pt idx="1">
                  <c:v>1</c:v>
                </c:pt>
                <c:pt idx="2">
                  <c:v>0.5</c:v>
                </c:pt>
                <c:pt idx="3">
                  <c:v>0.25</c:v>
                </c:pt>
                <c:pt idx="4">
                  <c:v>0.14285714285714285</c:v>
                </c:pt>
                <c:pt idx="5">
                  <c:v>0.23076923076923078</c:v>
                </c:pt>
                <c:pt idx="6">
                  <c:v>0.25</c:v>
                </c:pt>
                <c:pt idx="7">
                  <c:v>0.22222222222222221</c:v>
                </c:pt>
                <c:pt idx="8">
                  <c:v>0.22727272727272727</c:v>
                </c:pt>
                <c:pt idx="9">
                  <c:v>0.2608695652173913</c:v>
                </c:pt>
                <c:pt idx="10">
                  <c:v>0.24</c:v>
                </c:pt>
                <c:pt idx="11">
                  <c:v>0.25925925925925924</c:v>
                </c:pt>
                <c:pt idx="12">
                  <c:v>0.25806451612903225</c:v>
                </c:pt>
                <c:pt idx="13">
                  <c:v>0.28125</c:v>
                </c:pt>
                <c:pt idx="14">
                  <c:v>0.29411764705882354</c:v>
                </c:pt>
                <c:pt idx="15">
                  <c:v>0.30555555555555558</c:v>
                </c:pt>
                <c:pt idx="16">
                  <c:v>0.28947368421052633</c:v>
                </c:pt>
                <c:pt idx="17">
                  <c:v>0.28205128205128205</c:v>
                </c:pt>
                <c:pt idx="18">
                  <c:v>0.29268292682926828</c:v>
                </c:pt>
                <c:pt idx="19">
                  <c:v>0.29545454545454547</c:v>
                </c:pt>
                <c:pt idx="20">
                  <c:v>0.2978723404255319</c:v>
                </c:pt>
                <c:pt idx="21">
                  <c:v>0.2857142857142857</c:v>
                </c:pt>
                <c:pt idx="22">
                  <c:v>0.29629629629629628</c:v>
                </c:pt>
                <c:pt idx="23">
                  <c:v>0.29310344827586204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B5-4210-90DD-8BD1D614F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086538461538461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ただ2!$P$1:$P$2</c:f>
              <c:strCache>
                <c:ptCount val="2"/>
                <c:pt idx="0">
                  <c:v>ただ</c:v>
                </c:pt>
                <c:pt idx="1">
                  <c:v>ツモ率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ただ2!$A$3:$A$26</c:f>
              <c:numCache>
                <c:formatCode>0\ "回"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xVal>
          <c:yVal>
            <c:numRef>
              <c:f>ただ2!$P$3:$P$26</c:f>
              <c:numCache>
                <c:formatCode>0.0%</c:formatCode>
                <c:ptCount val="24"/>
                <c:pt idx="1">
                  <c:v>0.33333333333333331</c:v>
                </c:pt>
                <c:pt idx="2">
                  <c:v>0.42857142857142855</c:v>
                </c:pt>
                <c:pt idx="3">
                  <c:v>0.4</c:v>
                </c:pt>
                <c:pt idx="4">
                  <c:v>0.4</c:v>
                </c:pt>
                <c:pt idx="5">
                  <c:v>0.33333333333333331</c:v>
                </c:pt>
                <c:pt idx="6">
                  <c:v>0.35714285714285715</c:v>
                </c:pt>
                <c:pt idx="7">
                  <c:v>0.35714285714285715</c:v>
                </c:pt>
                <c:pt idx="8">
                  <c:v>0.36842105263157893</c:v>
                </c:pt>
                <c:pt idx="9">
                  <c:v>0.38095238095238093</c:v>
                </c:pt>
                <c:pt idx="10">
                  <c:v>0.375</c:v>
                </c:pt>
                <c:pt idx="11">
                  <c:v>0.34615384615384615</c:v>
                </c:pt>
                <c:pt idx="12">
                  <c:v>0.34482758620689657</c:v>
                </c:pt>
                <c:pt idx="13">
                  <c:v>0.33333333333333331</c:v>
                </c:pt>
                <c:pt idx="14">
                  <c:v>0.29729729729729731</c:v>
                </c:pt>
                <c:pt idx="15">
                  <c:v>0.30769230769230771</c:v>
                </c:pt>
                <c:pt idx="16">
                  <c:v>0.32500000000000001</c:v>
                </c:pt>
                <c:pt idx="17">
                  <c:v>0.35714285714285715</c:v>
                </c:pt>
                <c:pt idx="18">
                  <c:v>0.35555555555555557</c:v>
                </c:pt>
                <c:pt idx="19">
                  <c:v>0.36956521739130432</c:v>
                </c:pt>
                <c:pt idx="20">
                  <c:v>0.35294117647058826</c:v>
                </c:pt>
                <c:pt idx="21">
                  <c:v>0.36363636363636365</c:v>
                </c:pt>
                <c:pt idx="22">
                  <c:v>0.37931034482758619</c:v>
                </c:pt>
                <c:pt idx="23">
                  <c:v>0.3728813559322034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D4-46D3-9A87-4D49E92CB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645270270270270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8DAB81F-B507-474C-8D8B-DB860531E829}">
  <sheetPr codeName="グラフ25"/>
  <sheetViews>
    <sheetView zoomScale="12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A0C9280-4942-49E0-8F9D-75380B045F17}">
  <sheetPr codeName="グラフ26"/>
  <sheetViews>
    <sheetView zoomScale="122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4723981-49EE-48B1-BCB7-B429207C980C}">
  <sheetPr codeName="グラフ11"/>
  <sheetViews>
    <sheetView zoomScale="122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8AF8B8E-18E6-4D45-8842-AD6B185B1DF1}">
  <sheetPr codeName="グラフ12"/>
  <sheetViews>
    <sheetView zoomScale="122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F4C223D-DB87-4162-9163-A21ED8DED6C0}">
  <sheetPr codeName="グラフ21"/>
  <sheetViews>
    <sheetView zoomScale="122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717A0A4-B5B2-4036-9115-D2707E42B987}">
  <sheetPr codeName="グラフ13"/>
  <sheetViews>
    <sheetView zoomScale="122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CA186E-FAC7-43D2-B5EC-98EE5D89B0F4}">
  <sheetPr codeName="グラフ14"/>
  <sheetViews>
    <sheetView zoomScale="122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9DEC94D-A0B4-4D52-ADFA-EBB7D1847F78}">
  <sheetPr codeName="グラフ15"/>
  <sheetViews>
    <sheetView zoomScale="122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1891DCD-354E-4AD2-BAEE-3F58C05B2E44}">
  <sheetPr codeName="グラフ16"/>
  <sheetViews>
    <sheetView zoomScale="122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486C32-CD1C-480C-B360-20B23A5B59B7}">
  <sheetPr codeName="グラフ17"/>
  <sheetViews>
    <sheetView zoomScale="122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F6232C9-A680-4D32-92D3-41314363256C}">
  <sheetPr codeName="グラフ19"/>
  <sheetViews>
    <sheetView zoomScale="122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4321832-619A-41F8-B4FC-63960B9825E7}">
  <sheetPr codeName="グラフ20"/>
  <sheetViews>
    <sheetView zoomScale="122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B312A6CF-DA23-4E8E-8527-53CE5D2198AC}">
  <sheetPr codeName="グラフ27"/>
  <sheetViews>
    <sheetView zoomScale="115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4CAB09A-FFF4-44E1-BDEB-CB1A99BD4045}">
  <sheetPr codeName="グラフ22"/>
  <sheetViews>
    <sheetView zoomScale="122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2ECB117-108C-4447-B3EC-09099EA4D221}">
  <sheetPr codeName="グラフ23"/>
  <sheetViews>
    <sheetView zoomScale="12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1.xml"/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.xml"/><Relationship Id="rId2" Type="http://schemas.openxmlformats.org/officeDocument/2006/relationships/chart" Target="../charts/chart23.xml"/><Relationship Id="rId1" Type="http://schemas.openxmlformats.org/officeDocument/2006/relationships/chart" Target="../charts/chart22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3.xml"/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0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1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2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3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4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5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6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7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30480</xdr:colOff>
          <xdr:row>0</xdr:row>
          <xdr:rowOff>22860</xdr:rowOff>
        </xdr:from>
        <xdr:to>
          <xdr:col>0</xdr:col>
          <xdr:colOff>426720</xdr:colOff>
          <xdr:row>0</xdr:row>
          <xdr:rowOff>220980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4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absoluteAnchor>
    <xdr:pos x="0" y="0"/>
    <xdr:ext cx="9294395" cy="6075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3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5.xml><?xml version="1.0" encoding="utf-8"?>
<xdr:wsDr xmlns:xdr="http://schemas.openxmlformats.org/drawingml/2006/spreadsheetDrawing" xmlns:a="http://schemas.openxmlformats.org/drawingml/2006/main">
  <xdr:absoluteAnchor>
    <xdr:pos x="0" y="0"/>
    <xdr:ext cx="9289774" cy="606287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L25"/>
  <sheetViews>
    <sheetView workbookViewId="0"/>
  </sheetViews>
  <sheetFormatPr defaultColWidth="9" defaultRowHeight="18" x14ac:dyDescent="0.45"/>
  <cols>
    <col min="1" max="1" width="19.19921875" style="2" customWidth="1"/>
    <col min="2" max="2" width="19.19921875" style="3" customWidth="1"/>
    <col min="3" max="16384" width="9" style="2"/>
  </cols>
  <sheetData>
    <row r="1" spans="1:12" x14ac:dyDescent="0.45">
      <c r="A1" s="1">
        <v>32874</v>
      </c>
      <c r="B1" s="1">
        <v>2958465</v>
      </c>
    </row>
    <row r="2" spans="1:12" x14ac:dyDescent="0.45">
      <c r="A2" s="2" t="s">
        <v>190</v>
      </c>
      <c r="B2" s="3">
        <v>43926.037199074075</v>
      </c>
      <c r="C2" s="2" t="s">
        <v>127</v>
      </c>
      <c r="D2" s="2" t="s">
        <v>191</v>
      </c>
      <c r="E2" s="2" t="s">
        <v>195</v>
      </c>
      <c r="F2" s="2" t="s">
        <v>197</v>
      </c>
      <c r="G2" s="2" t="s">
        <v>198</v>
      </c>
    </row>
    <row r="3" spans="1:12" x14ac:dyDescent="0.45">
      <c r="A3" s="2" t="s">
        <v>199</v>
      </c>
      <c r="B3" s="3">
        <v>43926.858425925922</v>
      </c>
      <c r="C3" s="2" t="s">
        <v>127</v>
      </c>
      <c r="D3" s="2" t="s">
        <v>191</v>
      </c>
      <c r="E3" s="2" t="s">
        <v>195</v>
      </c>
      <c r="F3" s="2" t="s">
        <v>197</v>
      </c>
      <c r="G3" s="2" t="s">
        <v>198</v>
      </c>
      <c r="H3" s="2" t="s">
        <v>200</v>
      </c>
      <c r="I3" s="2" t="s">
        <v>201</v>
      </c>
      <c r="J3" s="2" t="s">
        <v>202</v>
      </c>
    </row>
    <row r="4" spans="1:12" x14ac:dyDescent="0.45">
      <c r="A4" s="2" t="s">
        <v>203</v>
      </c>
      <c r="B4" s="3">
        <v>43927.722013888888</v>
      </c>
      <c r="C4" s="2" t="s">
        <v>127</v>
      </c>
      <c r="D4" s="2" t="s">
        <v>191</v>
      </c>
      <c r="E4" s="2" t="s">
        <v>195</v>
      </c>
      <c r="F4" s="2" t="s">
        <v>197</v>
      </c>
    </row>
    <row r="5" spans="1:12" x14ac:dyDescent="0.45">
      <c r="A5" s="2" t="s">
        <v>204</v>
      </c>
      <c r="B5" s="3">
        <v>43928.995057870372</v>
      </c>
      <c r="C5" s="2" t="s">
        <v>127</v>
      </c>
      <c r="D5" s="2" t="s">
        <v>191</v>
      </c>
      <c r="E5" s="2" t="s">
        <v>195</v>
      </c>
      <c r="F5" s="2" t="s">
        <v>197</v>
      </c>
      <c r="G5" s="2" t="s">
        <v>198</v>
      </c>
      <c r="H5" s="2" t="s">
        <v>200</v>
      </c>
      <c r="I5" s="2" t="s">
        <v>201</v>
      </c>
      <c r="J5" s="2" t="s">
        <v>202</v>
      </c>
      <c r="K5" s="2" t="s">
        <v>206</v>
      </c>
      <c r="L5" s="2" t="s">
        <v>207</v>
      </c>
    </row>
    <row r="6" spans="1:12" x14ac:dyDescent="0.45">
      <c r="A6" s="2" t="s">
        <v>208</v>
      </c>
      <c r="B6" s="3">
        <v>43929.693796296298</v>
      </c>
      <c r="C6" s="2" t="s">
        <v>127</v>
      </c>
      <c r="D6" s="2" t="s">
        <v>191</v>
      </c>
    </row>
    <row r="7" spans="1:12" x14ac:dyDescent="0.45">
      <c r="A7" s="2" t="s">
        <v>210</v>
      </c>
      <c r="B7" s="3">
        <v>43931.044166666667</v>
      </c>
      <c r="C7" s="2" t="s">
        <v>127</v>
      </c>
      <c r="D7" s="2" t="s">
        <v>191</v>
      </c>
      <c r="E7" s="2" t="s">
        <v>195</v>
      </c>
      <c r="F7" s="2" t="s">
        <v>197</v>
      </c>
      <c r="G7" s="2" t="s">
        <v>198</v>
      </c>
      <c r="H7" s="2" t="s">
        <v>200</v>
      </c>
      <c r="I7" s="2" t="s">
        <v>201</v>
      </c>
      <c r="J7" s="2" t="s">
        <v>202</v>
      </c>
    </row>
    <row r="8" spans="1:12" x14ac:dyDescent="0.45">
      <c r="A8" s="2" t="s">
        <v>211</v>
      </c>
      <c r="B8" s="3">
        <v>43931.497708333336</v>
      </c>
      <c r="C8" s="2" t="s">
        <v>127</v>
      </c>
    </row>
    <row r="9" spans="1:12" x14ac:dyDescent="0.45">
      <c r="A9" s="2" t="s">
        <v>212</v>
      </c>
      <c r="B9" s="3">
        <v>43982.706192129626</v>
      </c>
      <c r="C9" s="2" t="s">
        <v>127</v>
      </c>
      <c r="D9" s="2" t="s">
        <v>191</v>
      </c>
      <c r="E9" s="2" t="s">
        <v>195</v>
      </c>
      <c r="F9" s="2" t="s">
        <v>197</v>
      </c>
      <c r="G9" s="2" t="s">
        <v>198</v>
      </c>
      <c r="H9" s="2" t="s">
        <v>200</v>
      </c>
      <c r="I9" s="2" t="s">
        <v>201</v>
      </c>
      <c r="J9" s="2" t="s">
        <v>202</v>
      </c>
      <c r="K9" s="2" t="s">
        <v>206</v>
      </c>
    </row>
    <row r="10" spans="1:12" x14ac:dyDescent="0.45">
      <c r="A10" s="2" t="s">
        <v>214</v>
      </c>
      <c r="B10" s="3">
        <v>43987.962800925925</v>
      </c>
      <c r="C10" s="2" t="s">
        <v>127</v>
      </c>
      <c r="D10" s="2" t="s">
        <v>191</v>
      </c>
    </row>
    <row r="11" spans="1:12" x14ac:dyDescent="0.45">
      <c r="A11" s="2" t="s">
        <v>215</v>
      </c>
      <c r="B11" s="3">
        <v>43988.969351851854</v>
      </c>
      <c r="C11" s="2" t="s">
        <v>127</v>
      </c>
      <c r="D11" s="2" t="s">
        <v>191</v>
      </c>
      <c r="E11" s="2" t="s">
        <v>195</v>
      </c>
      <c r="F11" s="2" t="s">
        <v>197</v>
      </c>
      <c r="G11" s="2" t="s">
        <v>198</v>
      </c>
      <c r="H11" s="2" t="s">
        <v>200</v>
      </c>
      <c r="I11" s="2" t="s">
        <v>201</v>
      </c>
      <c r="J11" s="2" t="s">
        <v>202</v>
      </c>
    </row>
    <row r="12" spans="1:12" x14ac:dyDescent="0.45">
      <c r="A12" s="2" t="s">
        <v>216</v>
      </c>
      <c r="B12" s="3">
        <v>43989.615729166668</v>
      </c>
      <c r="C12" s="2" t="s">
        <v>127</v>
      </c>
      <c r="D12" s="2" t="s">
        <v>191</v>
      </c>
      <c r="E12" s="2" t="s">
        <v>195</v>
      </c>
    </row>
    <row r="13" spans="1:12" x14ac:dyDescent="0.45">
      <c r="A13" s="2" t="s">
        <v>217</v>
      </c>
      <c r="B13" s="3">
        <v>43990.614918981482</v>
      </c>
      <c r="C13" s="2" t="s">
        <v>127</v>
      </c>
      <c r="D13" s="2" t="s">
        <v>191</v>
      </c>
    </row>
    <row r="14" spans="1:12" x14ac:dyDescent="0.45">
      <c r="A14" s="2" t="s">
        <v>218</v>
      </c>
      <c r="B14" s="3">
        <v>43991.976631944446</v>
      </c>
      <c r="C14" s="2" t="s">
        <v>127</v>
      </c>
      <c r="D14" s="2" t="s">
        <v>191</v>
      </c>
      <c r="E14" s="2" t="s">
        <v>195</v>
      </c>
      <c r="F14" s="2" t="s">
        <v>197</v>
      </c>
    </row>
    <row r="15" spans="1:12" x14ac:dyDescent="0.45">
      <c r="A15" s="2" t="s">
        <v>219</v>
      </c>
      <c r="B15" s="3">
        <v>43992.982615740744</v>
      </c>
      <c r="C15" s="2" t="s">
        <v>127</v>
      </c>
      <c r="D15" s="2" t="s">
        <v>191</v>
      </c>
    </row>
    <row r="16" spans="1:12" x14ac:dyDescent="0.45">
      <c r="A16" s="2" t="s">
        <v>220</v>
      </c>
      <c r="B16" s="3">
        <v>43995.997442129628</v>
      </c>
      <c r="C16" s="2" t="s">
        <v>127</v>
      </c>
    </row>
    <row r="17" spans="1:5" x14ac:dyDescent="0.45">
      <c r="A17" s="2" t="s">
        <v>221</v>
      </c>
      <c r="B17" s="3">
        <v>43997.010659722226</v>
      </c>
      <c r="C17" s="2" t="s">
        <v>127</v>
      </c>
      <c r="D17" s="2" t="s">
        <v>191</v>
      </c>
    </row>
    <row r="18" spans="1:5" x14ac:dyDescent="0.45">
      <c r="A18" s="2" t="s">
        <v>222</v>
      </c>
      <c r="B18" s="3">
        <v>43998.009212962963</v>
      </c>
      <c r="C18" s="2" t="s">
        <v>127</v>
      </c>
      <c r="D18" s="2" t="s">
        <v>191</v>
      </c>
      <c r="E18" s="2" t="s">
        <v>195</v>
      </c>
    </row>
    <row r="19" spans="1:5" x14ac:dyDescent="0.45">
      <c r="A19" s="2" t="s">
        <v>223</v>
      </c>
      <c r="B19" s="3">
        <v>43998.999363425923</v>
      </c>
      <c r="C19" s="2" t="s">
        <v>127</v>
      </c>
      <c r="D19" s="2" t="s">
        <v>191</v>
      </c>
    </row>
    <row r="20" spans="1:5" x14ac:dyDescent="0.45">
      <c r="A20" s="2" t="s">
        <v>224</v>
      </c>
      <c r="B20" s="3">
        <v>44000.864976851852</v>
      </c>
      <c r="C20" s="2" t="s">
        <v>127</v>
      </c>
      <c r="D20" s="2" t="s">
        <v>191</v>
      </c>
    </row>
    <row r="21" spans="1:5" x14ac:dyDescent="0.45">
      <c r="A21" s="2" t="s">
        <v>225</v>
      </c>
      <c r="B21" s="3">
        <v>44001.554282407407</v>
      </c>
      <c r="C21" s="2" t="s">
        <v>127</v>
      </c>
      <c r="D21" s="2" t="s">
        <v>191</v>
      </c>
    </row>
    <row r="22" spans="1:5" x14ac:dyDescent="0.45">
      <c r="A22" s="2" t="s">
        <v>226</v>
      </c>
      <c r="B22" s="3">
        <v>44002.934583333335</v>
      </c>
      <c r="C22" s="2" t="s">
        <v>127</v>
      </c>
    </row>
    <row r="23" spans="1:5" x14ac:dyDescent="0.45">
      <c r="A23" s="2" t="s">
        <v>227</v>
      </c>
      <c r="B23" s="3">
        <v>44004.533136574071</v>
      </c>
      <c r="C23" s="2" t="s">
        <v>127</v>
      </c>
    </row>
    <row r="24" spans="1:5" x14ac:dyDescent="0.45">
      <c r="A24" s="2" t="s">
        <v>228</v>
      </c>
      <c r="B24" s="3">
        <v>44007.061574074076</v>
      </c>
      <c r="C24" s="2" t="s">
        <v>127</v>
      </c>
      <c r="D24" s="2" t="s">
        <v>191</v>
      </c>
      <c r="E24" s="2" t="s">
        <v>195</v>
      </c>
    </row>
    <row r="25" spans="1:5" x14ac:dyDescent="0.45">
      <c r="A25" s="2" t="s">
        <v>229</v>
      </c>
      <c r="B25" s="3">
        <v>44008.686886574076</v>
      </c>
      <c r="C25" s="2" t="s">
        <v>127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684E7-1BA3-464F-800F-57D537058131}">
  <sheetPr codeName="Sheet5"/>
  <dimension ref="A1:P3"/>
  <sheetViews>
    <sheetView workbookViewId="0"/>
  </sheetViews>
  <sheetFormatPr defaultColWidth="10.69921875" defaultRowHeight="18" x14ac:dyDescent="0.45"/>
  <cols>
    <col min="1" max="1" width="10.69921875" style="35"/>
    <col min="2" max="3" width="10.69921875" style="32"/>
    <col min="4" max="4" width="10.69921875" style="37"/>
    <col min="5" max="8" width="10.69921875" style="33"/>
    <col min="9" max="10" width="10.69921875" style="34"/>
    <col min="11" max="16" width="10.69921875" style="33"/>
    <col min="17" max="16384" width="10.69921875" style="36"/>
  </cols>
  <sheetData>
    <row r="1" spans="1:16" x14ac:dyDescent="0.45">
      <c r="A1" s="36"/>
      <c r="B1" s="36"/>
      <c r="C1" s="36"/>
      <c r="E1" s="36"/>
      <c r="F1" s="36"/>
      <c r="G1" s="36"/>
      <c r="H1" s="36"/>
      <c r="I1" s="36"/>
      <c r="J1" s="36"/>
      <c r="K1" s="36"/>
      <c r="L1" s="36"/>
      <c r="M1" s="36"/>
      <c r="N1" s="36"/>
      <c r="O1" s="36"/>
      <c r="P1" s="36"/>
    </row>
    <row r="2" spans="1:16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6" x14ac:dyDescent="0.45">
      <c r="A3" s="35">
        <v>0</v>
      </c>
      <c r="B3" s="32">
        <v>0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B10"/>
  <sheetViews>
    <sheetView workbookViewId="0"/>
  </sheetViews>
  <sheetFormatPr defaultRowHeight="18" x14ac:dyDescent="0.45"/>
  <cols>
    <col min="1" max="1" width="11" customWidth="1"/>
    <col min="2" max="2" width="9" customWidth="1"/>
  </cols>
  <sheetData>
    <row r="1" spans="1:2" x14ac:dyDescent="0.45">
      <c r="A1" t="s">
        <v>139</v>
      </c>
      <c r="B1">
        <v>258</v>
      </c>
    </row>
    <row r="2" spans="1:2" x14ac:dyDescent="0.45">
      <c r="A2" t="s">
        <v>164</v>
      </c>
      <c r="B2">
        <v>48</v>
      </c>
    </row>
    <row r="3" spans="1:2" x14ac:dyDescent="0.45">
      <c r="A3" t="s">
        <v>189</v>
      </c>
      <c r="B3">
        <v>9</v>
      </c>
    </row>
    <row r="4" spans="1:2" x14ac:dyDescent="0.45">
      <c r="A4" t="s">
        <v>126</v>
      </c>
      <c r="B4">
        <v>63</v>
      </c>
    </row>
    <row r="5" spans="1:2" x14ac:dyDescent="0.45">
      <c r="A5" t="s">
        <v>194</v>
      </c>
      <c r="B5">
        <v>27</v>
      </c>
    </row>
    <row r="6" spans="1:2" x14ac:dyDescent="0.45">
      <c r="A6" t="s">
        <v>192</v>
      </c>
      <c r="B6">
        <v>45</v>
      </c>
    </row>
    <row r="7" spans="1:2" x14ac:dyDescent="0.45">
      <c r="A7" t="s">
        <v>193</v>
      </c>
      <c r="B7">
        <v>26</v>
      </c>
    </row>
    <row r="8" spans="1:2" x14ac:dyDescent="0.45">
      <c r="A8" t="s">
        <v>196</v>
      </c>
      <c r="B8">
        <v>8</v>
      </c>
    </row>
    <row r="9" spans="1:2" x14ac:dyDescent="0.45">
      <c r="A9" t="s">
        <v>205</v>
      </c>
      <c r="B9">
        <v>23</v>
      </c>
    </row>
    <row r="10" spans="1:2" x14ac:dyDescent="0.45">
      <c r="A10" t="s">
        <v>213</v>
      </c>
      <c r="B10">
        <v>9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21EF70-E5AA-4531-88B6-6E46E5A0D80D}">
  <sheetPr codeName="Sheet2"/>
  <dimension ref="A1:Q52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29"/>
      <c r="C1" s="130"/>
      <c r="E1" s="108" t="s">
        <v>155</v>
      </c>
      <c r="F1" s="104" t="s">
        <v>115</v>
      </c>
      <c r="G1" s="103" t="s">
        <v>116</v>
      </c>
      <c r="H1" s="90" t="s">
        <v>117</v>
      </c>
      <c r="I1" s="104" t="s">
        <v>146</v>
      </c>
      <c r="K1" s="4" t="s">
        <v>19</v>
      </c>
      <c r="L1" s="104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5">
      <c r="A2" s="20" t="s">
        <v>9</v>
      </c>
      <c r="B2" s="131">
        <v>0</v>
      </c>
      <c r="C2" s="132"/>
      <c r="E2" s="28" t="s">
        <v>64</v>
      </c>
      <c r="F2" s="25" t="s">
        <v>20</v>
      </c>
      <c r="G2" s="13">
        <v>0</v>
      </c>
      <c r="H2" s="91">
        <f t="shared" ref="H2:H52" si="0">IF(B$19=0,0,G2/B$19)</f>
        <v>0</v>
      </c>
      <c r="I2" s="59"/>
      <c r="K2" s="5">
        <v>0</v>
      </c>
      <c r="L2" s="64">
        <v>0</v>
      </c>
      <c r="N2" s="77" t="s">
        <v>128</v>
      </c>
      <c r="O2" s="83">
        <f t="shared" ref="O2:O7" si="1">IF(P2=0,0,Q2/P2)</f>
        <v>0</v>
      </c>
      <c r="P2" s="80">
        <v>0</v>
      </c>
      <c r="Q2" s="67">
        <v>0</v>
      </c>
    </row>
    <row r="3" spans="1:17" x14ac:dyDescent="0.45">
      <c r="A3" s="21" t="s">
        <v>8</v>
      </c>
      <c r="B3" s="133">
        <v>0</v>
      </c>
      <c r="C3" s="134"/>
      <c r="E3" s="29" t="s">
        <v>65</v>
      </c>
      <c r="F3" s="26" t="s">
        <v>21</v>
      </c>
      <c r="G3" s="14">
        <v>0</v>
      </c>
      <c r="H3" s="92">
        <f t="shared" si="0"/>
        <v>0</v>
      </c>
      <c r="I3" s="60"/>
      <c r="N3" s="78" t="s">
        <v>129</v>
      </c>
      <c r="O3" s="84">
        <f t="shared" si="1"/>
        <v>0</v>
      </c>
      <c r="P3" s="81">
        <v>0</v>
      </c>
      <c r="Q3" s="68">
        <v>0</v>
      </c>
    </row>
    <row r="4" spans="1:17" x14ac:dyDescent="0.45">
      <c r="A4" s="21" t="s">
        <v>6</v>
      </c>
      <c r="B4" s="135">
        <v>0</v>
      </c>
      <c r="C4" s="136"/>
      <c r="E4" s="29" t="s">
        <v>66</v>
      </c>
      <c r="F4" s="26" t="s">
        <v>22</v>
      </c>
      <c r="G4" s="14">
        <v>0</v>
      </c>
      <c r="H4" s="92">
        <f t="shared" si="0"/>
        <v>0</v>
      </c>
      <c r="I4" s="60"/>
      <c r="N4" s="78" t="s">
        <v>130</v>
      </c>
      <c r="O4" s="84">
        <f t="shared" si="1"/>
        <v>0</v>
      </c>
      <c r="P4" s="81">
        <v>0</v>
      </c>
      <c r="Q4" s="68">
        <v>0</v>
      </c>
    </row>
    <row r="5" spans="1:17" x14ac:dyDescent="0.45">
      <c r="A5" s="21" t="s">
        <v>7</v>
      </c>
      <c r="B5" s="123">
        <f>IF(B$2=0,0,B$4/B$2)</f>
        <v>0</v>
      </c>
      <c r="C5" s="124"/>
      <c r="E5" s="29" t="s">
        <v>67</v>
      </c>
      <c r="F5" s="26" t="s">
        <v>23</v>
      </c>
      <c r="G5" s="14">
        <v>0</v>
      </c>
      <c r="H5" s="92">
        <f t="shared" si="0"/>
        <v>0</v>
      </c>
      <c r="I5" s="60"/>
      <c r="N5" s="78" t="s">
        <v>131</v>
      </c>
      <c r="O5" s="84">
        <f t="shared" si="1"/>
        <v>0</v>
      </c>
      <c r="P5" s="81">
        <v>0</v>
      </c>
      <c r="Q5" s="68">
        <v>0</v>
      </c>
    </row>
    <row r="6" spans="1:17" x14ac:dyDescent="0.45">
      <c r="A6" s="21" t="s">
        <v>1</v>
      </c>
      <c r="B6" s="137">
        <f>IF(B$2=0,0,(B$7*1+B$8*2+B$9*3)/B$2)</f>
        <v>0</v>
      </c>
      <c r="C6" s="138"/>
      <c r="E6" s="29" t="s">
        <v>68</v>
      </c>
      <c r="F6" s="26" t="s">
        <v>12</v>
      </c>
      <c r="G6" s="14">
        <v>0</v>
      </c>
      <c r="H6" s="92">
        <f t="shared" si="0"/>
        <v>0</v>
      </c>
      <c r="I6" s="60"/>
      <c r="N6" s="78" t="s">
        <v>132</v>
      </c>
      <c r="O6" s="84">
        <f t="shared" si="1"/>
        <v>0</v>
      </c>
      <c r="P6" s="81">
        <v>0</v>
      </c>
      <c r="Q6" s="68">
        <v>0</v>
      </c>
    </row>
    <row r="7" spans="1:17" x14ac:dyDescent="0.45">
      <c r="A7" s="21" t="s">
        <v>2</v>
      </c>
      <c r="B7" s="14">
        <v>0</v>
      </c>
      <c r="C7" s="8">
        <f t="shared" ref="C7:C14" si="2">IF(B$2=0,0,B7/B$2)</f>
        <v>0</v>
      </c>
      <c r="E7" s="29" t="s">
        <v>69</v>
      </c>
      <c r="F7" s="26" t="s">
        <v>24</v>
      </c>
      <c r="G7" s="14">
        <v>0</v>
      </c>
      <c r="H7" s="92">
        <f t="shared" si="0"/>
        <v>0</v>
      </c>
      <c r="I7" s="60"/>
      <c r="N7" s="79" t="s">
        <v>133</v>
      </c>
      <c r="O7" s="85">
        <f t="shared" si="1"/>
        <v>0</v>
      </c>
      <c r="P7" s="82">
        <v>0</v>
      </c>
      <c r="Q7" s="69">
        <v>0</v>
      </c>
    </row>
    <row r="8" spans="1:17" x14ac:dyDescent="0.45">
      <c r="A8" s="21" t="s">
        <v>3</v>
      </c>
      <c r="B8" s="14">
        <v>0</v>
      </c>
      <c r="C8" s="8">
        <f t="shared" si="2"/>
        <v>0</v>
      </c>
      <c r="E8" s="29" t="s">
        <v>70</v>
      </c>
      <c r="F8" s="26" t="s">
        <v>25</v>
      </c>
      <c r="G8" s="14">
        <v>0</v>
      </c>
      <c r="H8" s="92">
        <f t="shared" si="0"/>
        <v>0</v>
      </c>
      <c r="I8" s="60"/>
      <c r="N8" s="111"/>
      <c r="O8" s="89"/>
      <c r="P8" s="112"/>
      <c r="Q8" s="74"/>
    </row>
    <row r="9" spans="1:17" x14ac:dyDescent="0.45">
      <c r="A9" s="22" t="s">
        <v>4</v>
      </c>
      <c r="B9" s="15">
        <v>0</v>
      </c>
      <c r="C9" s="9">
        <f t="shared" si="2"/>
        <v>0</v>
      </c>
      <c r="E9" s="29" t="s">
        <v>71</v>
      </c>
      <c r="F9" s="26" t="s">
        <v>26</v>
      </c>
      <c r="G9" s="14">
        <v>0</v>
      </c>
      <c r="H9" s="92">
        <f t="shared" si="0"/>
        <v>0</v>
      </c>
      <c r="I9" s="60"/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5">
      <c r="A10" s="22" t="s">
        <v>185</v>
      </c>
      <c r="B10" s="113">
        <f>IF(B7=0,0,C10/B7)</f>
        <v>0</v>
      </c>
      <c r="C10" s="114">
        <v>0</v>
      </c>
      <c r="E10" s="29" t="s">
        <v>72</v>
      </c>
      <c r="F10" s="26" t="s">
        <v>27</v>
      </c>
      <c r="G10" s="14">
        <v>0</v>
      </c>
      <c r="H10" s="92">
        <f t="shared" si="0"/>
        <v>0</v>
      </c>
      <c r="I10" s="60"/>
      <c r="N10" s="77" t="s">
        <v>152</v>
      </c>
      <c r="O10" s="86">
        <f>IF(P10=0,0,Q10/P10)</f>
        <v>0</v>
      </c>
      <c r="P10" s="80">
        <v>0</v>
      </c>
      <c r="Q10" s="71">
        <v>0</v>
      </c>
    </row>
    <row r="11" spans="1:17" x14ac:dyDescent="0.45">
      <c r="A11" s="22" t="s">
        <v>186</v>
      </c>
      <c r="B11" s="113">
        <f>IF(B8=0,0,C11/B8)</f>
        <v>0</v>
      </c>
      <c r="C11" s="114">
        <v>0</v>
      </c>
      <c r="E11" s="29" t="s">
        <v>73</v>
      </c>
      <c r="F11" s="26" t="s">
        <v>28</v>
      </c>
      <c r="G11" s="14">
        <v>0</v>
      </c>
      <c r="H11" s="92">
        <f t="shared" si="0"/>
        <v>0</v>
      </c>
      <c r="I11" s="60"/>
      <c r="N11" s="78" t="s">
        <v>153</v>
      </c>
      <c r="O11" s="87">
        <f>IF(P11=0,0,Q11/P11)</f>
        <v>0</v>
      </c>
      <c r="P11" s="81">
        <v>0</v>
      </c>
      <c r="Q11" s="72">
        <v>0</v>
      </c>
    </row>
    <row r="12" spans="1:17" x14ac:dyDescent="0.45">
      <c r="A12" s="22" t="s">
        <v>187</v>
      </c>
      <c r="B12" s="113">
        <f>IF(B9=0,0,C12/B9)</f>
        <v>0</v>
      </c>
      <c r="C12" s="114">
        <v>0</v>
      </c>
      <c r="E12" s="29" t="s">
        <v>74</v>
      </c>
      <c r="F12" s="26" t="s">
        <v>29</v>
      </c>
      <c r="G12" s="14">
        <v>0</v>
      </c>
      <c r="H12" s="92">
        <f t="shared" si="0"/>
        <v>0</v>
      </c>
      <c r="I12" s="60"/>
      <c r="N12" s="79" t="s">
        <v>154</v>
      </c>
      <c r="O12" s="88">
        <f>IF(P12=0,0,Q12/P12)</f>
        <v>0</v>
      </c>
      <c r="P12" s="82">
        <v>0</v>
      </c>
      <c r="Q12" s="73">
        <v>0</v>
      </c>
    </row>
    <row r="13" spans="1:17" x14ac:dyDescent="0.45">
      <c r="A13" s="22" t="s">
        <v>188</v>
      </c>
      <c r="B13" s="123">
        <f>AVERAGE(B10:B12)</f>
        <v>0</v>
      </c>
      <c r="C13" s="124"/>
      <c r="E13" s="29" t="s">
        <v>75</v>
      </c>
      <c r="F13" s="26" t="s">
        <v>30</v>
      </c>
      <c r="G13" s="14">
        <v>0</v>
      </c>
      <c r="H13" s="92">
        <f t="shared" si="0"/>
        <v>0</v>
      </c>
      <c r="I13" s="60"/>
      <c r="N13" s="107"/>
      <c r="O13" s="75"/>
      <c r="P13" s="115"/>
      <c r="Q13" s="75"/>
    </row>
    <row r="14" spans="1:17" x14ac:dyDescent="0.45">
      <c r="A14" s="23" t="s">
        <v>18</v>
      </c>
      <c r="B14" s="16">
        <v>0</v>
      </c>
      <c r="C14" s="11">
        <f t="shared" si="2"/>
        <v>0</v>
      </c>
      <c r="E14" s="29" t="s">
        <v>76</v>
      </c>
      <c r="F14" s="26" t="s">
        <v>31</v>
      </c>
      <c r="G14" s="14">
        <v>0</v>
      </c>
      <c r="H14" s="92">
        <f t="shared" si="0"/>
        <v>0</v>
      </c>
      <c r="I14" s="60"/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5">
      <c r="A15" s="24" t="s">
        <v>121</v>
      </c>
      <c r="B15" s="17">
        <v>0</v>
      </c>
      <c r="C15" s="12">
        <f>IF(B$3=0,0,B15/B$3)</f>
        <v>0</v>
      </c>
      <c r="E15" s="29" t="s">
        <v>77</v>
      </c>
      <c r="F15" s="26" t="s">
        <v>32</v>
      </c>
      <c r="G15" s="14">
        <v>0</v>
      </c>
      <c r="H15" s="92">
        <f t="shared" si="0"/>
        <v>0</v>
      </c>
      <c r="I15" s="60"/>
      <c r="N15" s="77"/>
      <c r="O15" s="86"/>
      <c r="P15" s="80"/>
      <c r="Q15" s="71"/>
    </row>
    <row r="16" spans="1:17" x14ac:dyDescent="0.45">
      <c r="A16" s="21" t="s">
        <v>118</v>
      </c>
      <c r="B16" s="14">
        <v>0</v>
      </c>
      <c r="C16" s="8">
        <f>IF(B$3=0,0,B16/B$3)</f>
        <v>0</v>
      </c>
      <c r="E16" s="29" t="s">
        <v>78</v>
      </c>
      <c r="F16" s="26" t="s">
        <v>33</v>
      </c>
      <c r="G16" s="14">
        <v>0</v>
      </c>
      <c r="H16" s="92">
        <f t="shared" si="0"/>
        <v>0</v>
      </c>
      <c r="I16" s="60"/>
    </row>
    <row r="17" spans="1:9" x14ac:dyDescent="0.45">
      <c r="A17" s="20" t="s">
        <v>123</v>
      </c>
      <c r="B17" s="13">
        <f>B23</f>
        <v>0</v>
      </c>
      <c r="C17" s="6">
        <f>IF(B$15=0,0,B17/B$15)</f>
        <v>0</v>
      </c>
      <c r="E17" s="29" t="s">
        <v>79</v>
      </c>
      <c r="F17" s="26" t="s">
        <v>34</v>
      </c>
      <c r="G17" s="14">
        <v>0</v>
      </c>
      <c r="H17" s="92">
        <f t="shared" si="0"/>
        <v>0</v>
      </c>
      <c r="I17" s="60"/>
    </row>
    <row r="18" spans="1:9" x14ac:dyDescent="0.45">
      <c r="A18" s="20" t="s">
        <v>124</v>
      </c>
      <c r="B18" s="13">
        <f>B24</f>
        <v>0</v>
      </c>
      <c r="C18" s="6">
        <f>IF(B$16=0,0,B18/B$16)</f>
        <v>0</v>
      </c>
      <c r="E18" s="29" t="s">
        <v>80</v>
      </c>
      <c r="F18" s="26" t="s">
        <v>35</v>
      </c>
      <c r="G18" s="14">
        <v>0</v>
      </c>
      <c r="H18" s="92">
        <f t="shared" si="0"/>
        <v>0</v>
      </c>
      <c r="I18" s="60"/>
    </row>
    <row r="19" spans="1:9" x14ac:dyDescent="0.45">
      <c r="A19" s="20" t="s">
        <v>10</v>
      </c>
      <c r="B19" s="13">
        <f>B22+B21</f>
        <v>0</v>
      </c>
      <c r="C19" s="6">
        <f>IF(B$3=0,0,B19/B$3)</f>
        <v>0</v>
      </c>
      <c r="E19" s="29" t="s">
        <v>81</v>
      </c>
      <c r="F19" s="26" t="s">
        <v>36</v>
      </c>
      <c r="G19" s="14">
        <v>0</v>
      </c>
      <c r="H19" s="92">
        <f t="shared" si="0"/>
        <v>0</v>
      </c>
      <c r="I19" s="60"/>
    </row>
    <row r="20" spans="1:9" x14ac:dyDescent="0.45">
      <c r="A20" s="21" t="s">
        <v>13</v>
      </c>
      <c r="B20" s="14">
        <v>0</v>
      </c>
      <c r="C20" s="8">
        <f>IF(B$3=0,0,B20/B$3)</f>
        <v>0</v>
      </c>
      <c r="E20" s="29" t="s">
        <v>82</v>
      </c>
      <c r="F20" s="26" t="s">
        <v>37</v>
      </c>
      <c r="G20" s="14">
        <v>0</v>
      </c>
      <c r="H20" s="92">
        <f t="shared" si="0"/>
        <v>0</v>
      </c>
      <c r="I20" s="60"/>
    </row>
    <row r="21" spans="1:9" x14ac:dyDescent="0.45">
      <c r="A21" s="21" t="s">
        <v>12</v>
      </c>
      <c r="B21" s="14">
        <v>0</v>
      </c>
      <c r="C21" s="8">
        <f>IF(B$19=0,0,B21/B$19)</f>
        <v>0</v>
      </c>
      <c r="E21" s="29" t="s">
        <v>83</v>
      </c>
      <c r="F21" s="26" t="s">
        <v>38</v>
      </c>
      <c r="G21" s="14">
        <v>0</v>
      </c>
      <c r="H21" s="92">
        <f t="shared" si="0"/>
        <v>0</v>
      </c>
      <c r="I21" s="60"/>
    </row>
    <row r="22" spans="1:9" x14ac:dyDescent="0.45">
      <c r="A22" s="21" t="s">
        <v>11</v>
      </c>
      <c r="B22" s="14">
        <v>0</v>
      </c>
      <c r="C22" s="8">
        <f>IF(B$19=0,0,B22/B$19)</f>
        <v>0</v>
      </c>
      <c r="E22" s="29" t="s">
        <v>84</v>
      </c>
      <c r="F22" s="26" t="s">
        <v>39</v>
      </c>
      <c r="G22" s="14">
        <v>0</v>
      </c>
      <c r="H22" s="92">
        <f t="shared" si="0"/>
        <v>0</v>
      </c>
      <c r="I22" s="60"/>
    </row>
    <row r="23" spans="1:9" x14ac:dyDescent="0.45">
      <c r="A23" s="21" t="s">
        <v>184</v>
      </c>
      <c r="B23" s="14">
        <v>0</v>
      </c>
      <c r="C23" s="8">
        <f>IF(B$19=0,0,B23/B$19)</f>
        <v>0</v>
      </c>
      <c r="E23" s="29" t="s">
        <v>85</v>
      </c>
      <c r="F23" s="26" t="s">
        <v>40</v>
      </c>
      <c r="G23" s="14">
        <v>0</v>
      </c>
      <c r="H23" s="92">
        <f t="shared" si="0"/>
        <v>0</v>
      </c>
      <c r="I23" s="60"/>
    </row>
    <row r="24" spans="1:9" x14ac:dyDescent="0.45">
      <c r="A24" s="21" t="s">
        <v>182</v>
      </c>
      <c r="B24" s="14">
        <v>0</v>
      </c>
      <c r="C24" s="8">
        <f>IF(B$19=0,0,B24/B$19)</f>
        <v>0</v>
      </c>
      <c r="E24" s="29" t="s">
        <v>86</v>
      </c>
      <c r="F24" s="26" t="s">
        <v>41</v>
      </c>
      <c r="G24" s="14">
        <v>0</v>
      </c>
      <c r="H24" s="92">
        <f t="shared" si="0"/>
        <v>0</v>
      </c>
      <c r="I24" s="60"/>
    </row>
    <row r="25" spans="1:9" x14ac:dyDescent="0.45">
      <c r="A25" s="21" t="s">
        <v>183</v>
      </c>
      <c r="B25" s="14">
        <v>0</v>
      </c>
      <c r="C25" s="8">
        <f>IF(B$19=0,0,B25/B$19)</f>
        <v>0</v>
      </c>
      <c r="E25" s="29" t="s">
        <v>87</v>
      </c>
      <c r="F25" s="26" t="s">
        <v>42</v>
      </c>
      <c r="G25" s="14">
        <v>0</v>
      </c>
      <c r="H25" s="92">
        <f t="shared" si="0"/>
        <v>0</v>
      </c>
      <c r="I25" s="60"/>
    </row>
    <row r="26" spans="1:9" x14ac:dyDescent="0.45">
      <c r="A26" s="21" t="s">
        <v>5</v>
      </c>
      <c r="B26" s="18">
        <f>IF(B$19=0,0,C26/B$19)</f>
        <v>0</v>
      </c>
      <c r="C26" s="10">
        <v>0</v>
      </c>
      <c r="E26" s="29" t="s">
        <v>88</v>
      </c>
      <c r="F26" s="26" t="s">
        <v>43</v>
      </c>
      <c r="G26" s="14">
        <v>0</v>
      </c>
      <c r="H26" s="92">
        <f t="shared" si="0"/>
        <v>0</v>
      </c>
      <c r="I26" s="60"/>
    </row>
    <row r="27" spans="1:9" x14ac:dyDescent="0.45">
      <c r="A27" s="22" t="s">
        <v>166</v>
      </c>
      <c r="B27" s="99">
        <f>IF($B$19-B$18=0,0,C27/($B$19-B$18))</f>
        <v>0</v>
      </c>
      <c r="C27" s="100">
        <v>0</v>
      </c>
      <c r="E27" s="29" t="s">
        <v>89</v>
      </c>
      <c r="F27" s="26" t="s">
        <v>44</v>
      </c>
      <c r="G27" s="14">
        <v>0</v>
      </c>
      <c r="H27" s="92">
        <f t="shared" si="0"/>
        <v>0</v>
      </c>
      <c r="I27" s="60"/>
    </row>
    <row r="28" spans="1:9" x14ac:dyDescent="0.45">
      <c r="A28" s="22" t="s">
        <v>167</v>
      </c>
      <c r="B28" s="99">
        <f>IF(B$18=0,0,C28/B$18)</f>
        <v>0</v>
      </c>
      <c r="C28" s="100">
        <v>0</v>
      </c>
      <c r="E28" s="29" t="s">
        <v>90</v>
      </c>
      <c r="F28" s="26" t="s">
        <v>45</v>
      </c>
      <c r="G28" s="14">
        <v>0</v>
      </c>
      <c r="H28" s="92">
        <f t="shared" si="0"/>
        <v>0</v>
      </c>
      <c r="I28" s="60"/>
    </row>
    <row r="29" spans="1:9" x14ac:dyDescent="0.45">
      <c r="A29" s="22" t="s">
        <v>165</v>
      </c>
      <c r="B29" s="99">
        <f>IF(B$20=0,0,C29/B$20)</f>
        <v>0</v>
      </c>
      <c r="C29" s="100">
        <v>0</v>
      </c>
      <c r="E29" s="29" t="s">
        <v>91</v>
      </c>
      <c r="F29" s="26" t="s">
        <v>46</v>
      </c>
      <c r="G29" s="14">
        <v>0</v>
      </c>
      <c r="H29" s="92">
        <f t="shared" si="0"/>
        <v>0</v>
      </c>
      <c r="I29" s="60"/>
    </row>
    <row r="30" spans="1:9" x14ac:dyDescent="0.45">
      <c r="A30" s="21" t="s">
        <v>158</v>
      </c>
      <c r="B30" s="14">
        <v>0</v>
      </c>
      <c r="C30" s="94">
        <v>0</v>
      </c>
      <c r="E30" s="29" t="s">
        <v>92</v>
      </c>
      <c r="F30" s="26" t="s">
        <v>47</v>
      </c>
      <c r="G30" s="14">
        <v>0</v>
      </c>
      <c r="H30" s="92">
        <f t="shared" si="0"/>
        <v>0</v>
      </c>
      <c r="I30" s="60"/>
    </row>
    <row r="31" spans="1:9" x14ac:dyDescent="0.45">
      <c r="A31" s="21" t="s">
        <v>159</v>
      </c>
      <c r="B31" s="14">
        <v>0</v>
      </c>
      <c r="C31" s="94">
        <v>0</v>
      </c>
      <c r="E31" s="29" t="s">
        <v>93</v>
      </c>
      <c r="F31" s="26" t="s">
        <v>48</v>
      </c>
      <c r="G31" s="14">
        <v>0</v>
      </c>
      <c r="H31" s="92">
        <f t="shared" si="0"/>
        <v>0</v>
      </c>
      <c r="I31" s="60"/>
    </row>
    <row r="32" spans="1:9" x14ac:dyDescent="0.45">
      <c r="A32" s="56" t="s">
        <v>136</v>
      </c>
      <c r="B32" s="125">
        <v>0</v>
      </c>
      <c r="C32" s="126"/>
      <c r="E32" s="29" t="s">
        <v>94</v>
      </c>
      <c r="F32" s="26" t="s">
        <v>49</v>
      </c>
      <c r="G32" s="14">
        <v>0</v>
      </c>
      <c r="H32" s="92">
        <f t="shared" si="0"/>
        <v>0</v>
      </c>
      <c r="I32" s="60"/>
    </row>
    <row r="33" spans="1:9" x14ac:dyDescent="0.45">
      <c r="A33" s="24" t="s">
        <v>181</v>
      </c>
      <c r="B33" s="127">
        <v>-1000000</v>
      </c>
      <c r="C33" s="128"/>
      <c r="E33" s="29" t="s">
        <v>95</v>
      </c>
      <c r="F33" s="26" t="s">
        <v>50</v>
      </c>
      <c r="G33" s="14">
        <v>0</v>
      </c>
      <c r="H33" s="92">
        <f t="shared" si="0"/>
        <v>0</v>
      </c>
      <c r="I33" s="60"/>
    </row>
    <row r="34" spans="1:9" x14ac:dyDescent="0.45">
      <c r="A34" s="23" t="s">
        <v>137</v>
      </c>
      <c r="B34" s="31">
        <v>0</v>
      </c>
      <c r="C34" s="11">
        <f>IF(B$3=0,0,B34/B$3)</f>
        <v>0</v>
      </c>
      <c r="E34" s="29" t="s">
        <v>96</v>
      </c>
      <c r="F34" s="26" t="s">
        <v>51</v>
      </c>
      <c r="G34" s="14">
        <v>0</v>
      </c>
      <c r="H34" s="92">
        <f t="shared" si="0"/>
        <v>0</v>
      </c>
      <c r="I34" s="60"/>
    </row>
    <row r="35" spans="1:9" x14ac:dyDescent="0.45">
      <c r="E35" s="29" t="s">
        <v>97</v>
      </c>
      <c r="F35" s="26" t="s">
        <v>52</v>
      </c>
      <c r="G35" s="14">
        <v>0</v>
      </c>
      <c r="H35" s="92">
        <f t="shared" si="0"/>
        <v>0</v>
      </c>
      <c r="I35" s="60"/>
    </row>
    <row r="36" spans="1:9" x14ac:dyDescent="0.45">
      <c r="A36" s="56" t="s">
        <v>172</v>
      </c>
      <c r="B36" s="105">
        <v>0</v>
      </c>
      <c r="C36" s="102">
        <f t="shared" ref="C36:C48" si="3">IF(B$19=0,0,B36/B$19)</f>
        <v>0</v>
      </c>
      <c r="E36" s="29" t="s">
        <v>98</v>
      </c>
      <c r="F36" s="26" t="s">
        <v>53</v>
      </c>
      <c r="G36" s="14">
        <v>0</v>
      </c>
      <c r="H36" s="92">
        <f t="shared" si="0"/>
        <v>0</v>
      </c>
      <c r="I36" s="60"/>
    </row>
    <row r="37" spans="1:9" x14ac:dyDescent="0.45">
      <c r="A37" s="21" t="s">
        <v>168</v>
      </c>
      <c r="B37" s="14">
        <v>0</v>
      </c>
      <c r="C37" s="8">
        <f t="shared" si="3"/>
        <v>0</v>
      </c>
      <c r="E37" s="29" t="s">
        <v>99</v>
      </c>
      <c r="F37" s="26" t="s">
        <v>54</v>
      </c>
      <c r="G37" s="14">
        <v>0</v>
      </c>
      <c r="H37" s="92">
        <f t="shared" si="0"/>
        <v>0</v>
      </c>
      <c r="I37" s="60"/>
    </row>
    <row r="38" spans="1:9" x14ac:dyDescent="0.45">
      <c r="A38" s="21" t="s">
        <v>169</v>
      </c>
      <c r="B38" s="106">
        <v>0</v>
      </c>
      <c r="C38" s="8">
        <f t="shared" si="3"/>
        <v>0</v>
      </c>
      <c r="E38" s="29" t="s">
        <v>100</v>
      </c>
      <c r="F38" s="26" t="s">
        <v>55</v>
      </c>
      <c r="G38" s="14">
        <v>0</v>
      </c>
      <c r="H38" s="92">
        <f t="shared" si="0"/>
        <v>0</v>
      </c>
      <c r="I38" s="60"/>
    </row>
    <row r="39" spans="1:9" x14ac:dyDescent="0.45">
      <c r="A39" s="21" t="s">
        <v>170</v>
      </c>
      <c r="B39" s="106">
        <v>0</v>
      </c>
      <c r="C39" s="8">
        <f t="shared" si="3"/>
        <v>0</v>
      </c>
      <c r="E39" s="29" t="s">
        <v>101</v>
      </c>
      <c r="F39" s="26" t="s">
        <v>56</v>
      </c>
      <c r="G39" s="14">
        <v>0</v>
      </c>
      <c r="H39" s="92">
        <f t="shared" si="0"/>
        <v>0</v>
      </c>
      <c r="I39" s="60"/>
    </row>
    <row r="40" spans="1:9" x14ac:dyDescent="0.45">
      <c r="A40" s="21" t="s">
        <v>171</v>
      </c>
      <c r="B40" s="106">
        <v>0</v>
      </c>
      <c r="C40" s="8">
        <f t="shared" si="3"/>
        <v>0</v>
      </c>
      <c r="E40" s="29" t="s">
        <v>102</v>
      </c>
      <c r="F40" s="26" t="s">
        <v>57</v>
      </c>
      <c r="G40" s="14">
        <v>0</v>
      </c>
      <c r="H40" s="92">
        <f t="shared" si="0"/>
        <v>0</v>
      </c>
      <c r="I40" s="60"/>
    </row>
    <row r="41" spans="1:9" x14ac:dyDescent="0.45">
      <c r="A41" s="21" t="s">
        <v>173</v>
      </c>
      <c r="B41" s="106">
        <v>0</v>
      </c>
      <c r="C41" s="8">
        <f t="shared" si="3"/>
        <v>0</v>
      </c>
      <c r="E41" s="29" t="s">
        <v>103</v>
      </c>
      <c r="F41" s="26" t="s">
        <v>58</v>
      </c>
      <c r="G41" s="14">
        <v>0</v>
      </c>
      <c r="H41" s="92">
        <f t="shared" si="0"/>
        <v>0</v>
      </c>
      <c r="I41" s="60"/>
    </row>
    <row r="42" spans="1:9" x14ac:dyDescent="0.45">
      <c r="A42" s="21" t="s">
        <v>174</v>
      </c>
      <c r="B42" s="106">
        <v>0</v>
      </c>
      <c r="C42" s="8">
        <f t="shared" si="3"/>
        <v>0</v>
      </c>
      <c r="E42" s="29" t="s">
        <v>104</v>
      </c>
      <c r="F42" s="26" t="s">
        <v>59</v>
      </c>
      <c r="G42" s="14">
        <v>0</v>
      </c>
      <c r="H42" s="92">
        <f t="shared" si="0"/>
        <v>0</v>
      </c>
      <c r="I42" s="60"/>
    </row>
    <row r="43" spans="1:9" x14ac:dyDescent="0.45">
      <c r="A43" s="21" t="s">
        <v>175</v>
      </c>
      <c r="B43" s="106">
        <v>0</v>
      </c>
      <c r="C43" s="8">
        <f t="shared" si="3"/>
        <v>0</v>
      </c>
      <c r="E43" s="29" t="s">
        <v>105</v>
      </c>
      <c r="F43" s="26" t="s">
        <v>112</v>
      </c>
      <c r="G43" s="14">
        <v>0</v>
      </c>
      <c r="H43" s="92">
        <f t="shared" si="0"/>
        <v>0</v>
      </c>
      <c r="I43" s="60"/>
    </row>
    <row r="44" spans="1:9" x14ac:dyDescent="0.45">
      <c r="A44" s="21" t="s">
        <v>176</v>
      </c>
      <c r="B44" s="106">
        <v>0</v>
      </c>
      <c r="C44" s="8">
        <f t="shared" si="3"/>
        <v>0</v>
      </c>
      <c r="E44" s="29" t="s">
        <v>106</v>
      </c>
      <c r="F44" s="26" t="s">
        <v>113</v>
      </c>
      <c r="G44" s="14">
        <v>0</v>
      </c>
      <c r="H44" s="92">
        <f t="shared" si="0"/>
        <v>0</v>
      </c>
      <c r="I44" s="60"/>
    </row>
    <row r="45" spans="1:9" x14ac:dyDescent="0.45">
      <c r="A45" s="21" t="s">
        <v>177</v>
      </c>
      <c r="B45" s="106">
        <v>0</v>
      </c>
      <c r="C45" s="8">
        <f t="shared" si="3"/>
        <v>0</v>
      </c>
      <c r="E45" s="29" t="s">
        <v>107</v>
      </c>
      <c r="F45" s="26" t="s">
        <v>114</v>
      </c>
      <c r="G45" s="14">
        <v>0</v>
      </c>
      <c r="H45" s="92">
        <f t="shared" si="0"/>
        <v>0</v>
      </c>
      <c r="I45" s="60"/>
    </row>
    <row r="46" spans="1:9" x14ac:dyDescent="0.45">
      <c r="A46" s="21" t="s">
        <v>178</v>
      </c>
      <c r="B46" s="106">
        <v>0</v>
      </c>
      <c r="C46" s="8">
        <f t="shared" si="3"/>
        <v>0</v>
      </c>
      <c r="E46" s="29" t="s">
        <v>108</v>
      </c>
      <c r="F46" s="26" t="s">
        <v>60</v>
      </c>
      <c r="G46" s="14">
        <v>0</v>
      </c>
      <c r="H46" s="92">
        <f t="shared" si="0"/>
        <v>0</v>
      </c>
      <c r="I46" s="60"/>
    </row>
    <row r="47" spans="1:9" x14ac:dyDescent="0.45">
      <c r="A47" s="21" t="s">
        <v>179</v>
      </c>
      <c r="B47" s="106">
        <v>0</v>
      </c>
      <c r="C47" s="8">
        <f t="shared" si="3"/>
        <v>0</v>
      </c>
      <c r="E47" s="29" t="s">
        <v>109</v>
      </c>
      <c r="F47" s="26" t="s">
        <v>61</v>
      </c>
      <c r="G47" s="14">
        <v>0</v>
      </c>
      <c r="H47" s="92">
        <f t="shared" si="0"/>
        <v>0</v>
      </c>
      <c r="I47" s="60"/>
    </row>
    <row r="48" spans="1:9" x14ac:dyDescent="0.45">
      <c r="A48" s="23" t="s">
        <v>180</v>
      </c>
      <c r="B48" s="101">
        <v>0</v>
      </c>
      <c r="C48" s="11">
        <f t="shared" si="3"/>
        <v>0</v>
      </c>
      <c r="E48" s="29" t="s">
        <v>110</v>
      </c>
      <c r="F48" s="26" t="s">
        <v>62</v>
      </c>
      <c r="G48" s="14">
        <v>0</v>
      </c>
      <c r="H48" s="92">
        <f t="shared" si="0"/>
        <v>0</v>
      </c>
      <c r="I48" s="60"/>
    </row>
    <row r="49" spans="5:9" x14ac:dyDescent="0.45">
      <c r="E49" s="29" t="s">
        <v>111</v>
      </c>
      <c r="F49" s="26" t="s">
        <v>63</v>
      </c>
      <c r="G49" s="14">
        <v>0</v>
      </c>
      <c r="H49" s="92">
        <f t="shared" si="0"/>
        <v>0</v>
      </c>
      <c r="I49" s="60"/>
    </row>
    <row r="50" spans="5:9" x14ac:dyDescent="0.45">
      <c r="E50" s="29" t="s">
        <v>156</v>
      </c>
      <c r="F50" s="26" t="s">
        <v>157</v>
      </c>
      <c r="G50" s="14">
        <v>0</v>
      </c>
      <c r="H50" s="92">
        <f t="shared" si="0"/>
        <v>0</v>
      </c>
      <c r="I50" s="60"/>
    </row>
    <row r="51" spans="5:9" x14ac:dyDescent="0.45">
      <c r="E51" s="95" t="s">
        <v>160</v>
      </c>
      <c r="F51" s="96" t="s">
        <v>161</v>
      </c>
      <c r="G51" s="15">
        <v>0</v>
      </c>
      <c r="H51" s="97">
        <f t="shared" si="0"/>
        <v>0</v>
      </c>
      <c r="I51" s="98"/>
    </row>
    <row r="52" spans="5:9" x14ac:dyDescent="0.45">
      <c r="E52" s="30" t="s">
        <v>162</v>
      </c>
      <c r="F52" s="27" t="s">
        <v>163</v>
      </c>
      <c r="G52" s="16">
        <v>0</v>
      </c>
      <c r="H52" s="93">
        <f t="shared" si="0"/>
        <v>0</v>
      </c>
      <c r="I52" s="61"/>
    </row>
  </sheetData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K12"/>
  <sheetViews>
    <sheetView showGridLines="0" tabSelected="1" zoomScale="130" zoomScaleNormal="130" workbookViewId="0"/>
  </sheetViews>
  <sheetFormatPr defaultColWidth="9" defaultRowHeight="18" x14ac:dyDescent="0.45"/>
  <cols>
    <col min="1" max="1" width="6" style="48" customWidth="1"/>
    <col min="2" max="2" width="10.69921875" style="51" customWidth="1"/>
    <col min="3" max="3" width="10.69921875" style="118" customWidth="1"/>
    <col min="4" max="4" width="10.69921875" style="49" customWidth="1"/>
    <col min="5" max="5" width="10.69921875" style="50" customWidth="1"/>
    <col min="6" max="6" width="10.69921875" style="51" customWidth="1"/>
    <col min="7" max="7" width="10.69921875" style="63" customWidth="1"/>
    <col min="8" max="8" width="10.69921875" style="51" customWidth="1"/>
    <col min="9" max="9" width="10.69921875" style="63" customWidth="1"/>
    <col min="10" max="10" width="10.69921875" style="51" customWidth="1"/>
    <col min="11" max="11" width="10.69921875" style="52" customWidth="1"/>
    <col min="12" max="12" width="10.69921875" style="51" customWidth="1"/>
    <col min="13" max="13" width="10.69921875" style="53" customWidth="1"/>
    <col min="14" max="14" width="10.69921875" style="51" customWidth="1"/>
    <col min="15" max="15" width="10.69921875" style="53" customWidth="1"/>
    <col min="16" max="16" width="10.69921875" style="51" customWidth="1"/>
    <col min="17" max="17" width="10.69921875" style="54" customWidth="1"/>
    <col min="18" max="18" width="10.69921875" style="51" customWidth="1"/>
    <col min="19" max="19" width="10.69921875" style="54" customWidth="1"/>
    <col min="20" max="20" width="10.69921875" style="51" customWidth="1"/>
    <col min="21" max="21" width="10.69921875" style="55" customWidth="1"/>
    <col min="22" max="22" width="10.69921875" style="51" customWidth="1"/>
    <col min="23" max="23" width="10.69921875" style="55" customWidth="1"/>
    <col min="24" max="24" width="10.69921875" style="51" customWidth="1"/>
    <col min="25" max="25" width="10.69921875" style="53" customWidth="1"/>
    <col min="26" max="26" width="10.69921875" style="51" customWidth="1"/>
    <col min="27" max="27" width="10.69921875" style="54" customWidth="1"/>
    <col min="28" max="28" width="10.69921875" style="51" customWidth="1"/>
    <col min="29" max="29" width="10.69921875" style="54" customWidth="1"/>
    <col min="30" max="30" width="10.69921875" style="51" customWidth="1"/>
    <col min="31" max="31" width="10.69921875" style="54" customWidth="1"/>
    <col min="32" max="32" width="10.69921875" style="51" customWidth="1"/>
    <col min="33" max="33" width="10.69921875" style="54" customWidth="1"/>
    <col min="34" max="34" width="10.69921875" style="51" customWidth="1"/>
    <col min="35" max="35" width="10.69921875" style="54" customWidth="1"/>
    <col min="36" max="36" width="10.69921875" style="51" customWidth="1"/>
    <col min="37" max="37" width="10.69921875" style="58" customWidth="1"/>
    <col min="38" max="16384" width="9" style="39"/>
  </cols>
  <sheetData>
    <row r="1" spans="1:37" x14ac:dyDescent="0.45">
      <c r="A1" s="38" t="s">
        <v>209</v>
      </c>
      <c r="B1" s="143" t="s">
        <v>9</v>
      </c>
      <c r="C1" s="144"/>
      <c r="D1" s="141" t="s">
        <v>6</v>
      </c>
      <c r="E1" s="142"/>
      <c r="F1" s="141" t="s">
        <v>7</v>
      </c>
      <c r="G1" s="142"/>
      <c r="H1" s="143" t="s">
        <v>188</v>
      </c>
      <c r="I1" s="144"/>
      <c r="J1" s="141" t="s">
        <v>15</v>
      </c>
      <c r="K1" s="142"/>
      <c r="L1" s="141" t="s">
        <v>14</v>
      </c>
      <c r="M1" s="142"/>
      <c r="N1" s="141" t="s">
        <v>150</v>
      </c>
      <c r="O1" s="142"/>
      <c r="P1" s="141" t="s">
        <v>143</v>
      </c>
      <c r="Q1" s="142"/>
      <c r="R1" s="141" t="s">
        <v>144</v>
      </c>
      <c r="S1" s="142"/>
      <c r="T1" s="141" t="s">
        <v>5</v>
      </c>
      <c r="U1" s="142"/>
      <c r="V1" s="141" t="s">
        <v>16</v>
      </c>
      <c r="W1" s="142"/>
      <c r="X1" s="141" t="s">
        <v>17</v>
      </c>
      <c r="Y1" s="142"/>
      <c r="Z1" s="141" t="s">
        <v>122</v>
      </c>
      <c r="AA1" s="142"/>
      <c r="AB1" s="141" t="s">
        <v>119</v>
      </c>
      <c r="AC1" s="142"/>
      <c r="AD1" s="141" t="s">
        <v>125</v>
      </c>
      <c r="AE1" s="142"/>
      <c r="AF1" s="141" t="s">
        <v>145</v>
      </c>
      <c r="AG1" s="142"/>
      <c r="AH1" s="141" t="s">
        <v>138</v>
      </c>
      <c r="AI1" s="142"/>
      <c r="AJ1" s="141" t="s">
        <v>181</v>
      </c>
      <c r="AK1" s="142"/>
    </row>
    <row r="2" spans="1:37" x14ac:dyDescent="0.45">
      <c r="A2" s="38" t="s">
        <v>149</v>
      </c>
      <c r="B2" s="139">
        <v>0.68501744552477684</v>
      </c>
      <c r="C2" s="140"/>
      <c r="D2" s="145"/>
      <c r="E2" s="146"/>
      <c r="F2" s="145"/>
      <c r="G2" s="146"/>
      <c r="H2" s="139">
        <v>-0.13656305497408516</v>
      </c>
      <c r="I2" s="140"/>
      <c r="J2" s="139">
        <v>0.88555865426611324</v>
      </c>
      <c r="K2" s="140"/>
      <c r="L2" s="139">
        <v>0.72390873579967585</v>
      </c>
      <c r="M2" s="140"/>
      <c r="N2" s="139">
        <v>0.86374906789864103</v>
      </c>
      <c r="O2" s="140"/>
      <c r="P2" s="139">
        <v>0.42285240609054758</v>
      </c>
      <c r="Q2" s="140"/>
      <c r="R2" s="139">
        <v>0.42406423749600036</v>
      </c>
      <c r="S2" s="140"/>
      <c r="T2" s="139">
        <v>0.47786892528089753</v>
      </c>
      <c r="U2" s="140"/>
      <c r="V2" s="139">
        <v>-0.12078915548529749</v>
      </c>
      <c r="W2" s="140"/>
      <c r="X2" s="139">
        <v>0.57889867107315984</v>
      </c>
      <c r="Y2" s="140"/>
      <c r="Z2" s="139">
        <v>3.9345658314630501E-2</v>
      </c>
      <c r="AA2" s="140"/>
      <c r="AB2" s="139">
        <v>-0.14315321089063662</v>
      </c>
      <c r="AC2" s="140"/>
      <c r="AD2" s="139">
        <v>0.4922608268387621</v>
      </c>
      <c r="AE2" s="140"/>
      <c r="AF2" s="139">
        <v>1.4512064247319059E-2</v>
      </c>
      <c r="AG2" s="140"/>
      <c r="AH2" s="139">
        <v>0.73602710838455632</v>
      </c>
      <c r="AI2" s="140"/>
      <c r="AJ2" s="139">
        <v>-2.3219553177212759E-2</v>
      </c>
      <c r="AK2" s="140"/>
    </row>
    <row r="3" spans="1:37" x14ac:dyDescent="0.45">
      <c r="A3" s="40">
        <v>1</v>
      </c>
      <c r="B3" s="43" t="s">
        <v>139</v>
      </c>
      <c r="C3" s="117">
        <v>86</v>
      </c>
      <c r="D3" s="41" t="s">
        <v>126</v>
      </c>
      <c r="E3" s="42">
        <v>511.30000000000018</v>
      </c>
      <c r="F3" s="43" t="s">
        <v>126</v>
      </c>
      <c r="G3" s="62">
        <v>8.115873015873019</v>
      </c>
      <c r="H3" s="43" t="s">
        <v>196</v>
      </c>
      <c r="I3" s="62">
        <v>7.6166666666666663</v>
      </c>
      <c r="J3" s="43" t="s">
        <v>126</v>
      </c>
      <c r="K3" s="44">
        <v>1.8095238095238095</v>
      </c>
      <c r="L3" s="43" t="s">
        <v>126</v>
      </c>
      <c r="M3" s="45">
        <v>0.3968253968253968</v>
      </c>
      <c r="N3" s="43" t="s">
        <v>196</v>
      </c>
      <c r="O3" s="45">
        <v>0.125</v>
      </c>
      <c r="P3" s="43" t="s">
        <v>205</v>
      </c>
      <c r="Q3" s="46">
        <v>0.32240437158469948</v>
      </c>
      <c r="R3" s="43" t="s">
        <v>196</v>
      </c>
      <c r="S3" s="46">
        <v>7.6923076923076927E-2</v>
      </c>
      <c r="T3" s="43" t="s">
        <v>164</v>
      </c>
      <c r="U3" s="47">
        <v>10267.289719626167</v>
      </c>
      <c r="V3" s="43" t="s">
        <v>196</v>
      </c>
      <c r="W3" s="47">
        <v>-4300</v>
      </c>
      <c r="X3" s="43" t="s">
        <v>196</v>
      </c>
      <c r="Y3" s="45">
        <v>0</v>
      </c>
      <c r="Z3" s="43" t="s">
        <v>213</v>
      </c>
      <c r="AA3" s="46">
        <v>0.32432432432432434</v>
      </c>
      <c r="AB3" s="43" t="s">
        <v>205</v>
      </c>
      <c r="AC3" s="46">
        <v>0.31693989071038253</v>
      </c>
      <c r="AD3" s="43" t="s">
        <v>213</v>
      </c>
      <c r="AE3" s="46">
        <v>0.70833333333333337</v>
      </c>
      <c r="AF3" s="43" t="s">
        <v>194</v>
      </c>
      <c r="AG3" s="46">
        <v>0.58620689655172409</v>
      </c>
      <c r="AH3" s="43" t="s">
        <v>189</v>
      </c>
      <c r="AI3" s="46">
        <v>0.5625</v>
      </c>
      <c r="AJ3" s="43" t="s">
        <v>164</v>
      </c>
      <c r="AK3" s="57">
        <v>116000</v>
      </c>
    </row>
    <row r="4" spans="1:37" x14ac:dyDescent="0.45">
      <c r="A4" s="48">
        <v>2</v>
      </c>
      <c r="B4" s="51" t="s">
        <v>126</v>
      </c>
      <c r="C4" s="118">
        <v>63</v>
      </c>
      <c r="D4" s="49" t="s">
        <v>193</v>
      </c>
      <c r="E4" s="50">
        <v>86.8</v>
      </c>
      <c r="F4" s="51" t="s">
        <v>193</v>
      </c>
      <c r="G4" s="63">
        <v>3.3384615384615381</v>
      </c>
      <c r="H4" s="51" t="s">
        <v>194</v>
      </c>
      <c r="I4" s="63">
        <v>2.4113247863247858</v>
      </c>
      <c r="J4" s="51" t="s">
        <v>196</v>
      </c>
      <c r="K4" s="52">
        <v>1.875</v>
      </c>
      <c r="L4" s="51" t="s">
        <v>193</v>
      </c>
      <c r="M4" s="53">
        <v>0.38461538461538464</v>
      </c>
      <c r="N4" s="51" t="s">
        <v>126</v>
      </c>
      <c r="O4" s="53">
        <v>0.20634920634920634</v>
      </c>
      <c r="P4" s="51" t="s">
        <v>193</v>
      </c>
      <c r="Q4" s="54">
        <v>0.31413612565445026</v>
      </c>
      <c r="R4" s="51" t="s">
        <v>192</v>
      </c>
      <c r="S4" s="54">
        <v>0.1111111111111111</v>
      </c>
      <c r="T4" s="51" t="s">
        <v>126</v>
      </c>
      <c r="U4" s="55">
        <v>10015.78947368421</v>
      </c>
      <c r="V4" s="51" t="s">
        <v>189</v>
      </c>
      <c r="W4" s="55">
        <v>-7317.6470588235297</v>
      </c>
      <c r="X4" s="51" t="s">
        <v>213</v>
      </c>
      <c r="Y4" s="53">
        <v>0</v>
      </c>
      <c r="Z4" s="51" t="s">
        <v>164</v>
      </c>
      <c r="AA4" s="54">
        <v>0.29715762273901808</v>
      </c>
      <c r="AB4" s="51" t="s">
        <v>193</v>
      </c>
      <c r="AC4" s="54">
        <v>0.31413612565445026</v>
      </c>
      <c r="AD4" s="51" t="s">
        <v>196</v>
      </c>
      <c r="AE4" s="54">
        <v>0.68421052631578949</v>
      </c>
      <c r="AF4" s="51" t="s">
        <v>213</v>
      </c>
      <c r="AG4" s="54">
        <v>0.5714285714285714</v>
      </c>
      <c r="AH4" s="51" t="s">
        <v>196</v>
      </c>
      <c r="AI4" s="54">
        <v>0.52941176470588236</v>
      </c>
      <c r="AJ4" s="51" t="s">
        <v>139</v>
      </c>
      <c r="AK4" s="58">
        <v>116000</v>
      </c>
    </row>
    <row r="5" spans="1:37" x14ac:dyDescent="0.45">
      <c r="A5" s="48">
        <v>3</v>
      </c>
      <c r="B5" s="51" t="s">
        <v>164</v>
      </c>
      <c r="C5" s="118">
        <v>48</v>
      </c>
      <c r="D5" s="49" t="s">
        <v>196</v>
      </c>
      <c r="E5" s="50">
        <v>7.4999999999999858</v>
      </c>
      <c r="F5" s="51" t="s">
        <v>196</v>
      </c>
      <c r="G5" s="63">
        <v>0.93749999999999822</v>
      </c>
      <c r="H5" s="51" t="s">
        <v>213</v>
      </c>
      <c r="I5" s="63">
        <v>2.1361111111111115</v>
      </c>
      <c r="J5" s="51" t="s">
        <v>193</v>
      </c>
      <c r="K5" s="52">
        <v>1.9615384615384615</v>
      </c>
      <c r="L5" s="51" t="s">
        <v>164</v>
      </c>
      <c r="M5" s="53">
        <v>0.375</v>
      </c>
      <c r="N5" s="51" t="s">
        <v>192</v>
      </c>
      <c r="O5" s="53">
        <v>0.28888888888888886</v>
      </c>
      <c r="P5" s="51" t="s">
        <v>213</v>
      </c>
      <c r="Q5" s="54">
        <v>0.3108108108108108</v>
      </c>
      <c r="R5" s="51" t="s">
        <v>126</v>
      </c>
      <c r="S5" s="54">
        <v>0.13709677419354838</v>
      </c>
      <c r="T5" s="51" t="s">
        <v>205</v>
      </c>
      <c r="U5" s="55">
        <v>9116.9491525423728</v>
      </c>
      <c r="V5" s="51" t="s">
        <v>193</v>
      </c>
      <c r="W5" s="55">
        <v>-7514.8148148148148</v>
      </c>
      <c r="X5" s="51" t="s">
        <v>126</v>
      </c>
      <c r="Y5" s="53">
        <v>7.9365079365079361E-2</v>
      </c>
      <c r="Z5" s="51" t="s">
        <v>196</v>
      </c>
      <c r="AA5" s="54">
        <v>0.29230769230769232</v>
      </c>
      <c r="AB5" s="51" t="s">
        <v>192</v>
      </c>
      <c r="AC5" s="54">
        <v>0.24722222222222223</v>
      </c>
      <c r="AD5" s="51" t="s">
        <v>193</v>
      </c>
      <c r="AE5" s="54">
        <v>0.62962962962962965</v>
      </c>
      <c r="AF5" s="51" t="s">
        <v>189</v>
      </c>
      <c r="AG5" s="54">
        <v>0.5</v>
      </c>
      <c r="AH5" s="51" t="s">
        <v>126</v>
      </c>
      <c r="AI5" s="54">
        <v>0.52631578947368418</v>
      </c>
      <c r="AJ5" s="51" t="s">
        <v>193</v>
      </c>
      <c r="AK5" s="58">
        <v>106500</v>
      </c>
    </row>
    <row r="6" spans="1:37" x14ac:dyDescent="0.45">
      <c r="A6" s="48">
        <v>4</v>
      </c>
      <c r="B6" s="51" t="s">
        <v>192</v>
      </c>
      <c r="C6" s="118">
        <v>45</v>
      </c>
      <c r="D6" s="49" t="s">
        <v>139</v>
      </c>
      <c r="E6" s="50">
        <v>-3.5527136788005009E-14</v>
      </c>
      <c r="F6" s="51" t="s">
        <v>139</v>
      </c>
      <c r="G6" s="63">
        <v>-1.3770208057366282E-16</v>
      </c>
      <c r="H6" s="51" t="s">
        <v>193</v>
      </c>
      <c r="I6" s="63">
        <v>1.7602645502645515</v>
      </c>
      <c r="J6" s="51" t="s">
        <v>192</v>
      </c>
      <c r="K6" s="52">
        <v>1.9777777777777779</v>
      </c>
      <c r="L6" s="51" t="s">
        <v>139</v>
      </c>
      <c r="M6" s="53">
        <v>0.33333333333333331</v>
      </c>
      <c r="N6" s="51" t="s">
        <v>139</v>
      </c>
      <c r="O6" s="53">
        <v>0.33333333333333331</v>
      </c>
      <c r="P6" s="51" t="s">
        <v>126</v>
      </c>
      <c r="Q6" s="54">
        <v>0.30645161290322581</v>
      </c>
      <c r="R6" s="51" t="s">
        <v>193</v>
      </c>
      <c r="S6" s="54">
        <v>0.14136125654450263</v>
      </c>
      <c r="T6" s="51" t="s">
        <v>189</v>
      </c>
      <c r="U6" s="55">
        <v>9062.5</v>
      </c>
      <c r="V6" s="51" t="s">
        <v>194</v>
      </c>
      <c r="W6" s="55">
        <v>-7828.5714285714284</v>
      </c>
      <c r="X6" s="51" t="s">
        <v>192</v>
      </c>
      <c r="Y6" s="53">
        <v>8.8888888888888892E-2</v>
      </c>
      <c r="Z6" s="51" t="s">
        <v>189</v>
      </c>
      <c r="AA6" s="54">
        <v>0.28378378378378377</v>
      </c>
      <c r="AB6" s="51" t="s">
        <v>139</v>
      </c>
      <c r="AC6" s="54">
        <v>0.20452310717797442</v>
      </c>
      <c r="AD6" s="51" t="s">
        <v>205</v>
      </c>
      <c r="AE6" s="54">
        <v>0.61764705882352944</v>
      </c>
      <c r="AF6" s="51" t="s">
        <v>126</v>
      </c>
      <c r="AG6" s="54">
        <v>0.46250000000000002</v>
      </c>
      <c r="AH6" s="51" t="s">
        <v>213</v>
      </c>
      <c r="AI6" s="54">
        <v>0.52173913043478259</v>
      </c>
      <c r="AJ6" s="51" t="s">
        <v>194</v>
      </c>
      <c r="AK6" s="58">
        <v>104100</v>
      </c>
    </row>
    <row r="7" spans="1:37" x14ac:dyDescent="0.45">
      <c r="A7" s="48">
        <v>5</v>
      </c>
      <c r="B7" s="51" t="s">
        <v>194</v>
      </c>
      <c r="C7" s="118">
        <v>27</v>
      </c>
      <c r="D7" s="49" t="s">
        <v>213</v>
      </c>
      <c r="E7" s="50">
        <v>-41.599999999999994</v>
      </c>
      <c r="F7" s="51" t="s">
        <v>192</v>
      </c>
      <c r="G7" s="63">
        <v>-1.3533333333333326</v>
      </c>
      <c r="H7" s="51" t="s">
        <v>205</v>
      </c>
      <c r="I7" s="63">
        <v>1.2744444444444436</v>
      </c>
      <c r="J7" s="51" t="s">
        <v>139</v>
      </c>
      <c r="K7" s="52">
        <v>2</v>
      </c>
      <c r="L7" s="51" t="s">
        <v>192</v>
      </c>
      <c r="M7" s="53">
        <v>0.31111111111111112</v>
      </c>
      <c r="N7" s="51" t="s">
        <v>213</v>
      </c>
      <c r="O7" s="53">
        <v>0.33333333333333331</v>
      </c>
      <c r="P7" s="51" t="s">
        <v>139</v>
      </c>
      <c r="Q7" s="54">
        <v>0.2910521140609636</v>
      </c>
      <c r="R7" s="51" t="s">
        <v>139</v>
      </c>
      <c r="S7" s="54">
        <v>0.15535889872173059</v>
      </c>
      <c r="T7" s="51" t="s">
        <v>139</v>
      </c>
      <c r="U7" s="55">
        <v>9005.0675675675684</v>
      </c>
      <c r="V7" s="51" t="s">
        <v>192</v>
      </c>
      <c r="W7" s="55">
        <v>-7855</v>
      </c>
      <c r="X7" s="51" t="s">
        <v>189</v>
      </c>
      <c r="Y7" s="53">
        <v>0.1111111111111111</v>
      </c>
      <c r="Z7" s="51" t="s">
        <v>126</v>
      </c>
      <c r="AA7" s="54">
        <v>0.25403225806451613</v>
      </c>
      <c r="AB7" s="51" t="s">
        <v>164</v>
      </c>
      <c r="AC7" s="54">
        <v>0.20155038759689922</v>
      </c>
      <c r="AD7" s="51" t="s">
        <v>126</v>
      </c>
      <c r="AE7" s="54">
        <v>0.59523809523809523</v>
      </c>
      <c r="AF7" s="51" t="s">
        <v>193</v>
      </c>
      <c r="AG7" s="54">
        <v>0.43333333333333335</v>
      </c>
      <c r="AH7" s="51" t="s">
        <v>193</v>
      </c>
      <c r="AI7" s="54">
        <v>0.46666666666666667</v>
      </c>
      <c r="AJ7" s="51" t="s">
        <v>126</v>
      </c>
      <c r="AK7" s="58">
        <v>102700</v>
      </c>
    </row>
    <row r="8" spans="1:37" x14ac:dyDescent="0.45">
      <c r="A8" s="48">
        <v>6</v>
      </c>
      <c r="B8" s="51" t="s">
        <v>193</v>
      </c>
      <c r="C8" s="118">
        <v>26</v>
      </c>
      <c r="D8" s="49" t="s">
        <v>192</v>
      </c>
      <c r="E8" s="50">
        <v>-60.89999999999997</v>
      </c>
      <c r="F8" s="51" t="s">
        <v>164</v>
      </c>
      <c r="G8" s="63">
        <v>-1.8312500000000014</v>
      </c>
      <c r="H8" s="51" t="s">
        <v>126</v>
      </c>
      <c r="I8" s="63">
        <v>0.22410256410256105</v>
      </c>
      <c r="J8" s="51" t="s">
        <v>164</v>
      </c>
      <c r="K8" s="52">
        <v>2.0416666666666665</v>
      </c>
      <c r="L8" s="51" t="s">
        <v>205</v>
      </c>
      <c r="M8" s="53">
        <v>0.30434782608695654</v>
      </c>
      <c r="N8" s="51" t="s">
        <v>193</v>
      </c>
      <c r="O8" s="53">
        <v>0.34615384615384615</v>
      </c>
      <c r="P8" s="51" t="s">
        <v>192</v>
      </c>
      <c r="Q8" s="54">
        <v>0.28055555555555556</v>
      </c>
      <c r="R8" s="51" t="s">
        <v>194</v>
      </c>
      <c r="S8" s="54">
        <v>0.17156862745098039</v>
      </c>
      <c r="T8" s="51" t="s">
        <v>193</v>
      </c>
      <c r="U8" s="55">
        <v>8308.3333333333339</v>
      </c>
      <c r="V8" s="51" t="s">
        <v>139</v>
      </c>
      <c r="W8" s="55">
        <v>-8253.481012658227</v>
      </c>
      <c r="X8" s="51" t="s">
        <v>139</v>
      </c>
      <c r="Y8" s="53">
        <v>0.13565891472868216</v>
      </c>
      <c r="Z8" s="51" t="s">
        <v>192</v>
      </c>
      <c r="AA8" s="54">
        <v>0.25</v>
      </c>
      <c r="AB8" s="51" t="s">
        <v>126</v>
      </c>
      <c r="AC8" s="54">
        <v>0.16129032258064516</v>
      </c>
      <c r="AD8" s="51" t="s">
        <v>139</v>
      </c>
      <c r="AE8" s="54">
        <v>0.55179282868525892</v>
      </c>
      <c r="AF8" s="51" t="s">
        <v>139</v>
      </c>
      <c r="AG8" s="54">
        <v>0.40865384615384615</v>
      </c>
      <c r="AH8" s="51" t="s">
        <v>139</v>
      </c>
      <c r="AI8" s="54">
        <v>0.46452702702702703</v>
      </c>
      <c r="AJ8" s="51" t="s">
        <v>192</v>
      </c>
      <c r="AK8" s="58">
        <v>98700</v>
      </c>
    </row>
    <row r="9" spans="1:37" x14ac:dyDescent="0.45">
      <c r="A9" s="48">
        <v>7</v>
      </c>
      <c r="B9" s="51" t="s">
        <v>205</v>
      </c>
      <c r="C9" s="118">
        <v>23</v>
      </c>
      <c r="D9" s="49" t="s">
        <v>205</v>
      </c>
      <c r="E9" s="50">
        <v>-83.9</v>
      </c>
      <c r="F9" s="51" t="s">
        <v>205</v>
      </c>
      <c r="G9" s="63">
        <v>-3.6478260869565218</v>
      </c>
      <c r="H9" s="51" t="s">
        <v>139</v>
      </c>
      <c r="I9" s="63">
        <v>0</v>
      </c>
      <c r="J9" s="51" t="s">
        <v>213</v>
      </c>
      <c r="K9" s="52">
        <v>2.1111111111111112</v>
      </c>
      <c r="L9" s="51" t="s">
        <v>196</v>
      </c>
      <c r="M9" s="53">
        <v>0.25</v>
      </c>
      <c r="N9" s="51" t="s">
        <v>164</v>
      </c>
      <c r="O9" s="53">
        <v>0.41666666666666669</v>
      </c>
      <c r="P9" s="51" t="s">
        <v>194</v>
      </c>
      <c r="Q9" s="54">
        <v>0.27941176470588236</v>
      </c>
      <c r="R9" s="51" t="s">
        <v>213</v>
      </c>
      <c r="S9" s="54">
        <v>0.1891891891891892</v>
      </c>
      <c r="T9" s="51" t="s">
        <v>196</v>
      </c>
      <c r="U9" s="55">
        <v>7964.7058823529414</v>
      </c>
      <c r="V9" s="51" t="s">
        <v>164</v>
      </c>
      <c r="W9" s="55">
        <v>-8344.594594594595</v>
      </c>
      <c r="X9" s="51" t="s">
        <v>205</v>
      </c>
      <c r="Y9" s="53">
        <v>0.17391304347826086</v>
      </c>
      <c r="Z9" s="51" t="s">
        <v>139</v>
      </c>
      <c r="AA9" s="54">
        <v>0.24680432645034414</v>
      </c>
      <c r="AB9" s="51" t="s">
        <v>194</v>
      </c>
      <c r="AC9" s="54">
        <v>0.14215686274509803</v>
      </c>
      <c r="AD9" s="51" t="s">
        <v>192</v>
      </c>
      <c r="AE9" s="54">
        <v>0.53333333333333333</v>
      </c>
      <c r="AF9" s="51" t="s">
        <v>164</v>
      </c>
      <c r="AG9" s="54">
        <v>0.38461538461538464</v>
      </c>
      <c r="AH9" s="51" t="s">
        <v>194</v>
      </c>
      <c r="AI9" s="54">
        <v>0.45614035087719296</v>
      </c>
      <c r="AJ9" s="51" t="s">
        <v>213</v>
      </c>
      <c r="AK9" s="58">
        <v>95000</v>
      </c>
    </row>
    <row r="10" spans="1:37" x14ac:dyDescent="0.45">
      <c r="A10" s="48">
        <v>8</v>
      </c>
      <c r="B10" s="51" t="s">
        <v>189</v>
      </c>
      <c r="C10" s="118">
        <v>9</v>
      </c>
      <c r="D10" s="49" t="s">
        <v>164</v>
      </c>
      <c r="E10" s="50">
        <v>-87.900000000000063</v>
      </c>
      <c r="F10" s="51" t="s">
        <v>213</v>
      </c>
      <c r="G10" s="63">
        <v>-4.6222222222222218</v>
      </c>
      <c r="H10" s="51" t="s">
        <v>164</v>
      </c>
      <c r="I10" s="63">
        <v>-0.53296296296295742</v>
      </c>
      <c r="J10" s="51" t="s">
        <v>205</v>
      </c>
      <c r="K10" s="52">
        <v>2.1304347826086958</v>
      </c>
      <c r="L10" s="51" t="s">
        <v>194</v>
      </c>
      <c r="M10" s="53">
        <v>0.22222222222222221</v>
      </c>
      <c r="N10" s="51" t="s">
        <v>205</v>
      </c>
      <c r="O10" s="53">
        <v>0.43478260869565216</v>
      </c>
      <c r="P10" s="51" t="s">
        <v>164</v>
      </c>
      <c r="Q10" s="54">
        <v>0.27648578811369506</v>
      </c>
      <c r="R10" s="51" t="s">
        <v>164</v>
      </c>
      <c r="S10" s="54">
        <v>0.19121447028423771</v>
      </c>
      <c r="T10" s="51" t="s">
        <v>194</v>
      </c>
      <c r="U10" s="55">
        <v>7915.7894736842109</v>
      </c>
      <c r="V10" s="51" t="s">
        <v>126</v>
      </c>
      <c r="W10" s="55">
        <v>-8623.5294117647063</v>
      </c>
      <c r="X10" s="51" t="s">
        <v>164</v>
      </c>
      <c r="Y10" s="53">
        <v>0.1875</v>
      </c>
      <c r="Z10" s="51" t="s">
        <v>194</v>
      </c>
      <c r="AA10" s="54">
        <v>0.22549019607843138</v>
      </c>
      <c r="AB10" s="51" t="s">
        <v>196</v>
      </c>
      <c r="AC10" s="54">
        <v>0.13846153846153847</v>
      </c>
      <c r="AD10" s="51" t="s">
        <v>194</v>
      </c>
      <c r="AE10" s="54">
        <v>0.5</v>
      </c>
      <c r="AF10" s="51" t="s">
        <v>192</v>
      </c>
      <c r="AG10" s="54">
        <v>0.3707865168539326</v>
      </c>
      <c r="AH10" s="51" t="s">
        <v>164</v>
      </c>
      <c r="AI10" s="54">
        <v>0.43925233644859812</v>
      </c>
      <c r="AJ10" s="51" t="s">
        <v>205</v>
      </c>
      <c r="AK10" s="58">
        <v>93200</v>
      </c>
    </row>
    <row r="11" spans="1:37" x14ac:dyDescent="0.45">
      <c r="A11" s="48">
        <v>9</v>
      </c>
      <c r="B11" s="51" t="s">
        <v>213</v>
      </c>
      <c r="C11" s="118">
        <v>9</v>
      </c>
      <c r="D11" s="49" t="s">
        <v>189</v>
      </c>
      <c r="E11" s="50">
        <v>-105.5</v>
      </c>
      <c r="F11" s="51" t="s">
        <v>194</v>
      </c>
      <c r="G11" s="63">
        <v>-8.3629629629629605</v>
      </c>
      <c r="H11" s="51" t="s">
        <v>192</v>
      </c>
      <c r="I11" s="63">
        <v>-2.0056573056573064</v>
      </c>
      <c r="J11" s="51" t="s">
        <v>189</v>
      </c>
      <c r="K11" s="52">
        <v>2.2222222222222223</v>
      </c>
      <c r="L11" s="51" t="s">
        <v>189</v>
      </c>
      <c r="M11" s="53">
        <v>0.22222222222222221</v>
      </c>
      <c r="N11" s="51" t="s">
        <v>189</v>
      </c>
      <c r="O11" s="53">
        <v>0.44444444444444442</v>
      </c>
      <c r="P11" s="51" t="s">
        <v>196</v>
      </c>
      <c r="Q11" s="54">
        <v>0.26153846153846155</v>
      </c>
      <c r="R11" s="51" t="s">
        <v>205</v>
      </c>
      <c r="S11" s="54">
        <v>0.19672131147540983</v>
      </c>
      <c r="T11" s="51" t="s">
        <v>192</v>
      </c>
      <c r="U11" s="55">
        <v>7611.8811881188121</v>
      </c>
      <c r="V11" s="51" t="s">
        <v>213</v>
      </c>
      <c r="W11" s="55">
        <v>-8671.4285714285706</v>
      </c>
      <c r="X11" s="51" t="s">
        <v>194</v>
      </c>
      <c r="Y11" s="53">
        <v>0.22222222222222221</v>
      </c>
      <c r="Z11" s="51" t="s">
        <v>205</v>
      </c>
      <c r="AA11" s="54">
        <v>0.18579234972677597</v>
      </c>
      <c r="AB11" s="51" t="s">
        <v>213</v>
      </c>
      <c r="AC11" s="54">
        <v>9.45945945945946E-2</v>
      </c>
      <c r="AD11" s="51" t="s">
        <v>189</v>
      </c>
      <c r="AE11" s="54">
        <v>0.47619047619047616</v>
      </c>
      <c r="AF11" s="51" t="s">
        <v>196</v>
      </c>
      <c r="AG11" s="54">
        <v>0.33333333333333331</v>
      </c>
      <c r="AH11" s="51" t="s">
        <v>192</v>
      </c>
      <c r="AI11" s="54">
        <v>0.41584158415841582</v>
      </c>
      <c r="AJ11" s="51" t="s">
        <v>196</v>
      </c>
      <c r="AK11" s="58">
        <v>89000</v>
      </c>
    </row>
    <row r="12" spans="1:37" x14ac:dyDescent="0.45">
      <c r="A12" s="48">
        <v>10</v>
      </c>
      <c r="B12" s="51" t="s">
        <v>196</v>
      </c>
      <c r="C12" s="118">
        <v>8</v>
      </c>
      <c r="D12" s="49" t="s">
        <v>194</v>
      </c>
      <c r="E12" s="50">
        <v>-225.79999999999995</v>
      </c>
      <c r="F12" s="51" t="s">
        <v>189</v>
      </c>
      <c r="G12" s="63">
        <v>-11.722222222222221</v>
      </c>
      <c r="H12" s="51" t="s">
        <v>189</v>
      </c>
      <c r="I12" s="63">
        <v>-3.6805555555555549</v>
      </c>
      <c r="J12" s="51" t="s">
        <v>194</v>
      </c>
      <c r="K12" s="52">
        <v>2.2592592592592591</v>
      </c>
      <c r="L12" s="51" t="s">
        <v>213</v>
      </c>
      <c r="M12" s="53">
        <v>0.22222222222222221</v>
      </c>
      <c r="N12" s="51" t="s">
        <v>194</v>
      </c>
      <c r="O12" s="53">
        <v>0.48148148148148145</v>
      </c>
      <c r="P12" s="51" t="s">
        <v>189</v>
      </c>
      <c r="Q12" s="54">
        <v>0.21621621621621623</v>
      </c>
      <c r="R12" s="51" t="s">
        <v>189</v>
      </c>
      <c r="S12" s="54">
        <v>0.22972972972972974</v>
      </c>
      <c r="T12" s="51" t="s">
        <v>213</v>
      </c>
      <c r="U12" s="55">
        <v>7530.434782608696</v>
      </c>
      <c r="V12" s="51" t="s">
        <v>205</v>
      </c>
      <c r="W12" s="55">
        <v>-9605.5555555555547</v>
      </c>
      <c r="X12" s="51" t="s">
        <v>193</v>
      </c>
      <c r="Y12" s="53">
        <v>0.23076923076923078</v>
      </c>
      <c r="Z12" s="51" t="s">
        <v>193</v>
      </c>
      <c r="AA12" s="54">
        <v>0.14136125654450263</v>
      </c>
      <c r="AB12" s="51" t="s">
        <v>189</v>
      </c>
      <c r="AC12" s="54">
        <v>8.1081081081081086E-2</v>
      </c>
      <c r="AD12" s="51" t="s">
        <v>164</v>
      </c>
      <c r="AE12" s="54">
        <v>0.46086956521739131</v>
      </c>
      <c r="AF12" s="51" t="s">
        <v>205</v>
      </c>
      <c r="AG12" s="54">
        <v>0.29310344827586204</v>
      </c>
      <c r="AH12" s="51" t="s">
        <v>205</v>
      </c>
      <c r="AI12" s="54">
        <v>0.3728813559322034</v>
      </c>
      <c r="AJ12" s="51" t="s">
        <v>189</v>
      </c>
      <c r="AK12" s="58">
        <v>66700</v>
      </c>
    </row>
  </sheetData>
  <sortState xmlns:xlrd2="http://schemas.microsoft.com/office/spreadsheetml/2017/richdata2" ref="AJ3:AK40">
    <sortCondition descending="1" ref="AK1"/>
  </sortState>
  <mergeCells count="36">
    <mergeCell ref="Z1:AA1"/>
    <mergeCell ref="AB1:AC1"/>
    <mergeCell ref="AD1:AE1"/>
    <mergeCell ref="AF1:AG1"/>
    <mergeCell ref="P2:Q2"/>
    <mergeCell ref="N2:O2"/>
    <mergeCell ref="H2:I2"/>
    <mergeCell ref="P1:Q1"/>
    <mergeCell ref="N1:O1"/>
    <mergeCell ref="H1:I1"/>
    <mergeCell ref="F1:G1"/>
    <mergeCell ref="J1:K1"/>
    <mergeCell ref="L1:M1"/>
    <mergeCell ref="B1:C1"/>
    <mergeCell ref="D2:E2"/>
    <mergeCell ref="F2:G2"/>
    <mergeCell ref="J2:K2"/>
    <mergeCell ref="L2:M2"/>
    <mergeCell ref="B2:C2"/>
    <mergeCell ref="D1:E1"/>
    <mergeCell ref="AH2:AI2"/>
    <mergeCell ref="R1:S1"/>
    <mergeCell ref="AJ2:AK2"/>
    <mergeCell ref="Z2:AA2"/>
    <mergeCell ref="AB2:AC2"/>
    <mergeCell ref="AD2:AE2"/>
    <mergeCell ref="AF2:AG2"/>
    <mergeCell ref="R2:S2"/>
    <mergeCell ref="T2:U2"/>
    <mergeCell ref="V2:W2"/>
    <mergeCell ref="X2:Y2"/>
    <mergeCell ref="AJ1:AK1"/>
    <mergeCell ref="T1:U1"/>
    <mergeCell ref="V1:W1"/>
    <mergeCell ref="X1:Y1"/>
    <mergeCell ref="AH1:AI1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30480</xdr:colOff>
                    <xdr:row>0</xdr:row>
                    <xdr:rowOff>22860</xdr:rowOff>
                  </from>
                  <to>
                    <xdr:col>0</xdr:col>
                    <xdr:colOff>426720</xdr:colOff>
                    <xdr:row>0</xdr:row>
                    <xdr:rowOff>220980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48C6FA-9EE5-437A-AEC3-34E84746D074}">
  <sheetPr codeName="Sheet4"/>
  <dimension ref="A1:Q260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29" t="s">
        <v>139</v>
      </c>
      <c r="C1" s="130"/>
      <c r="E1" s="108" t="s">
        <v>155</v>
      </c>
      <c r="F1" s="120" t="s">
        <v>115</v>
      </c>
      <c r="G1" s="119" t="s">
        <v>116</v>
      </c>
      <c r="H1" s="90" t="s">
        <v>117</v>
      </c>
      <c r="I1" s="120" t="s">
        <v>146</v>
      </c>
      <c r="K1" s="4" t="s">
        <v>19</v>
      </c>
      <c r="L1" s="120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5">
      <c r="A2" s="20" t="s">
        <v>9</v>
      </c>
      <c r="B2" s="131">
        <v>258</v>
      </c>
      <c r="C2" s="132"/>
      <c r="E2" s="28" t="s">
        <v>66</v>
      </c>
      <c r="F2" s="25" t="s">
        <v>22</v>
      </c>
      <c r="G2" s="13">
        <v>424</v>
      </c>
      <c r="H2" s="91">
        <f>IF(B$19=0,0,G2/B$19)</f>
        <v>0.71621621621621623</v>
      </c>
      <c r="I2" s="59">
        <v>5</v>
      </c>
      <c r="K2" s="5">
        <v>0</v>
      </c>
      <c r="L2" s="64">
        <v>0</v>
      </c>
      <c r="N2" s="77" t="s">
        <v>128</v>
      </c>
      <c r="O2" s="83">
        <f t="shared" ref="O2:O7" si="0">IF(P2=0,0,Q2/P2)</f>
        <v>-11.764705882352942</v>
      </c>
      <c r="P2" s="80">
        <v>255</v>
      </c>
      <c r="Q2" s="67">
        <v>-3000</v>
      </c>
    </row>
    <row r="3" spans="1:17" x14ac:dyDescent="0.45">
      <c r="A3" s="21" t="s">
        <v>8</v>
      </c>
      <c r="B3" s="133">
        <v>2034</v>
      </c>
      <c r="C3" s="134"/>
      <c r="E3" s="29" t="s">
        <v>72</v>
      </c>
      <c r="F3" s="26" t="s">
        <v>27</v>
      </c>
      <c r="G3" s="14">
        <v>335</v>
      </c>
      <c r="H3" s="92">
        <f>IF(B$19=0,0,G3/B$19)</f>
        <v>0.5658783783783784</v>
      </c>
      <c r="I3" s="60">
        <v>5</v>
      </c>
      <c r="K3" s="7">
        <v>1</v>
      </c>
      <c r="L3" s="65">
        <v>-2.9</v>
      </c>
      <c r="N3" s="78" t="s">
        <v>129</v>
      </c>
      <c r="O3" s="84">
        <f t="shared" si="0"/>
        <v>-4.0160642570281126</v>
      </c>
      <c r="P3" s="81">
        <v>249</v>
      </c>
      <c r="Q3" s="68">
        <v>-1000</v>
      </c>
    </row>
    <row r="4" spans="1:17" x14ac:dyDescent="0.45">
      <c r="A4" s="21" t="s">
        <v>6</v>
      </c>
      <c r="B4" s="135">
        <v>-3.5527136788005009E-14</v>
      </c>
      <c r="C4" s="136"/>
      <c r="E4" s="29" t="s">
        <v>64</v>
      </c>
      <c r="F4" s="26" t="s">
        <v>20</v>
      </c>
      <c r="G4" s="14">
        <v>272</v>
      </c>
      <c r="H4" s="92">
        <f>IF(B$19=0,0,G4/B$19)</f>
        <v>0.45945945945945948</v>
      </c>
      <c r="I4" s="60">
        <v>5</v>
      </c>
      <c r="K4" s="7">
        <v>2</v>
      </c>
      <c r="L4" s="65">
        <v>-39.199999999999996</v>
      </c>
      <c r="N4" s="78" t="s">
        <v>130</v>
      </c>
      <c r="O4" s="84">
        <f t="shared" si="0"/>
        <v>-8.5470085470085468</v>
      </c>
      <c r="P4" s="81">
        <v>234</v>
      </c>
      <c r="Q4" s="68">
        <v>-2000</v>
      </c>
    </row>
    <row r="5" spans="1:17" x14ac:dyDescent="0.45">
      <c r="A5" s="21" t="s">
        <v>7</v>
      </c>
      <c r="B5" s="123">
        <f>IF(B$2=0,0,B$4/B$2)</f>
        <v>-1.3770208057366282E-16</v>
      </c>
      <c r="C5" s="124"/>
      <c r="E5" s="29" t="s">
        <v>160</v>
      </c>
      <c r="F5" s="26" t="s">
        <v>161</v>
      </c>
      <c r="G5" s="14">
        <v>252</v>
      </c>
      <c r="H5" s="92">
        <f>IF(B$19=0,0,G5/B$19)</f>
        <v>0.42567567567567566</v>
      </c>
      <c r="I5" s="60">
        <v>6</v>
      </c>
      <c r="K5" s="7">
        <v>3</v>
      </c>
      <c r="L5" s="65">
        <v>7.1054273576010019E-15</v>
      </c>
      <c r="N5" s="78" t="s">
        <v>131</v>
      </c>
      <c r="O5" s="84">
        <f t="shared" si="0"/>
        <v>24.154589371980677</v>
      </c>
      <c r="P5" s="81">
        <v>207</v>
      </c>
      <c r="Q5" s="68">
        <v>5000</v>
      </c>
    </row>
    <row r="6" spans="1:17" x14ac:dyDescent="0.45">
      <c r="A6" s="21" t="s">
        <v>1</v>
      </c>
      <c r="B6" s="137">
        <f>IF(B$2=0,0,(B$7*1+B$8*2+B$9*3)/B$2)</f>
        <v>2</v>
      </c>
      <c r="C6" s="138"/>
      <c r="E6" s="29" t="s">
        <v>68</v>
      </c>
      <c r="F6" s="26" t="s">
        <v>12</v>
      </c>
      <c r="G6" s="14">
        <v>183</v>
      </c>
      <c r="H6" s="92">
        <f>IF(B$19=0,0,G6/B$19)</f>
        <v>0.3091216216216216</v>
      </c>
      <c r="I6" s="60">
        <v>4</v>
      </c>
      <c r="K6" s="7">
        <v>4</v>
      </c>
      <c r="L6" s="65">
        <v>-55.499999999999993</v>
      </c>
      <c r="N6" s="78" t="s">
        <v>132</v>
      </c>
      <c r="O6" s="84">
        <f t="shared" si="0"/>
        <v>-72.222222222222229</v>
      </c>
      <c r="P6" s="81">
        <v>180</v>
      </c>
      <c r="Q6" s="68">
        <v>-13000</v>
      </c>
    </row>
    <row r="7" spans="1:17" x14ac:dyDescent="0.45">
      <c r="A7" s="21" t="s">
        <v>2</v>
      </c>
      <c r="B7" s="14">
        <v>86</v>
      </c>
      <c r="C7" s="8">
        <f t="shared" ref="C7:C14" si="1">IF(B$2=0,0,B7/B$2)</f>
        <v>0.33333333333333331</v>
      </c>
      <c r="E7" s="29" t="s">
        <v>67</v>
      </c>
      <c r="F7" s="26" t="s">
        <v>23</v>
      </c>
      <c r="G7" s="14">
        <v>146</v>
      </c>
      <c r="H7" s="92">
        <f>IF(B$19=0,0,G7/B$19)</f>
        <v>0.24662162162162163</v>
      </c>
      <c r="I7" s="60">
        <v>6</v>
      </c>
      <c r="K7" s="7">
        <v>5</v>
      </c>
      <c r="L7" s="65">
        <v>-55.999999999999993</v>
      </c>
      <c r="N7" s="79" t="s">
        <v>133</v>
      </c>
      <c r="O7" s="85">
        <f t="shared" si="0"/>
        <v>96.296296296296291</v>
      </c>
      <c r="P7" s="82">
        <v>135</v>
      </c>
      <c r="Q7" s="69">
        <v>13000</v>
      </c>
    </row>
    <row r="8" spans="1:17" x14ac:dyDescent="0.45">
      <c r="A8" s="21" t="s">
        <v>3</v>
      </c>
      <c r="B8" s="14">
        <v>86</v>
      </c>
      <c r="C8" s="8">
        <f t="shared" si="1"/>
        <v>0.33333333333333331</v>
      </c>
      <c r="E8" s="29" t="s">
        <v>89</v>
      </c>
      <c r="F8" s="26" t="s">
        <v>44</v>
      </c>
      <c r="G8" s="14">
        <v>88</v>
      </c>
      <c r="H8" s="92">
        <f>IF(B$19=0,0,G8/B$19)</f>
        <v>0.14864864864864866</v>
      </c>
      <c r="I8" s="60">
        <v>4</v>
      </c>
      <c r="K8" s="7">
        <v>6</v>
      </c>
      <c r="L8" s="65">
        <v>7.1054273576010019E-15</v>
      </c>
      <c r="N8" s="111"/>
      <c r="O8" s="89"/>
      <c r="P8" s="112"/>
      <c r="Q8" s="74"/>
    </row>
    <row r="9" spans="1:17" x14ac:dyDescent="0.45">
      <c r="A9" s="22" t="s">
        <v>4</v>
      </c>
      <c r="B9" s="15">
        <v>86</v>
      </c>
      <c r="C9" s="9">
        <f t="shared" si="1"/>
        <v>0.33333333333333331</v>
      </c>
      <c r="E9" s="29" t="s">
        <v>69</v>
      </c>
      <c r="F9" s="26" t="s">
        <v>24</v>
      </c>
      <c r="G9" s="14">
        <v>78</v>
      </c>
      <c r="H9" s="92">
        <f>IF(B$19=0,0,G9/B$19)</f>
        <v>0.13175675675675674</v>
      </c>
      <c r="I9" s="60">
        <v>4</v>
      </c>
      <c r="K9" s="7">
        <v>7</v>
      </c>
      <c r="L9" s="65">
        <v>-50.999999999999993</v>
      </c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5">
      <c r="A10" s="22" t="s">
        <v>185</v>
      </c>
      <c r="B10" s="113">
        <f>IF(B7=0,0,C10/B7)</f>
        <v>42.133720930232556</v>
      </c>
      <c r="C10" s="114">
        <v>3623.4999999999995</v>
      </c>
      <c r="E10" s="29" t="s">
        <v>65</v>
      </c>
      <c r="F10" s="26" t="s">
        <v>21</v>
      </c>
      <c r="G10" s="14">
        <v>59</v>
      </c>
      <c r="H10" s="92">
        <f>IF(B$19=0,0,G10/B$19)</f>
        <v>9.9662162162162157E-2</v>
      </c>
      <c r="I10" s="60">
        <v>6</v>
      </c>
      <c r="K10" s="7">
        <v>8</v>
      </c>
      <c r="L10" s="65">
        <v>-81.5</v>
      </c>
      <c r="N10" s="77" t="s">
        <v>152</v>
      </c>
      <c r="O10" s="86">
        <f>IF(P10=0,0,Q10/P10)</f>
        <v>-7.451162790697671</v>
      </c>
      <c r="P10" s="80">
        <v>86</v>
      </c>
      <c r="Q10" s="71">
        <v>-640.79999999999973</v>
      </c>
    </row>
    <row r="11" spans="1:17" x14ac:dyDescent="0.45">
      <c r="A11" s="22" t="s">
        <v>186</v>
      </c>
      <c r="B11" s="113">
        <f>IF(B8=0,0,C11/B8)</f>
        <v>-3.7476744186046527</v>
      </c>
      <c r="C11" s="114">
        <v>-322.30000000000013</v>
      </c>
      <c r="E11" s="29" t="s">
        <v>70</v>
      </c>
      <c r="F11" s="26" t="s">
        <v>25</v>
      </c>
      <c r="G11" s="14">
        <v>51</v>
      </c>
      <c r="H11" s="92">
        <f>IF(B$19=0,0,G11/B$19)</f>
        <v>8.6148648648648643E-2</v>
      </c>
      <c r="I11" s="60">
        <v>5</v>
      </c>
      <c r="K11" s="7">
        <v>9</v>
      </c>
      <c r="L11" s="65">
        <v>0</v>
      </c>
      <c r="N11" s="78" t="s">
        <v>153</v>
      </c>
      <c r="O11" s="87">
        <f>IF(P11=0,0,Q11/P11)</f>
        <v>1.3976744186046506</v>
      </c>
      <c r="P11" s="81">
        <v>86</v>
      </c>
      <c r="Q11" s="72">
        <v>120.19999999999995</v>
      </c>
    </row>
    <row r="12" spans="1:17" x14ac:dyDescent="0.45">
      <c r="A12" s="22" t="s">
        <v>187</v>
      </c>
      <c r="B12" s="113">
        <f>IF(B9=0,0,C12/B9)</f>
        <v>-38.386046511627903</v>
      </c>
      <c r="C12" s="114">
        <v>-3301.2</v>
      </c>
      <c r="E12" s="29" t="s">
        <v>71</v>
      </c>
      <c r="F12" s="26" t="s">
        <v>26</v>
      </c>
      <c r="G12" s="14">
        <v>40</v>
      </c>
      <c r="H12" s="92">
        <f>IF(B$19=0,0,G12/B$19)</f>
        <v>6.7567567567567571E-2</v>
      </c>
      <c r="I12" s="60">
        <v>6</v>
      </c>
      <c r="K12" s="7">
        <v>10</v>
      </c>
      <c r="L12" s="65">
        <v>60.4</v>
      </c>
      <c r="N12" s="79" t="s">
        <v>154</v>
      </c>
      <c r="O12" s="88">
        <f>IF(P12=0,0,Q12/P12)</f>
        <v>6.053488372093021</v>
      </c>
      <c r="P12" s="82">
        <v>86</v>
      </c>
      <c r="Q12" s="73">
        <v>520.5999999999998</v>
      </c>
    </row>
    <row r="13" spans="1:17" x14ac:dyDescent="0.45">
      <c r="A13" s="22" t="s">
        <v>188</v>
      </c>
      <c r="B13" s="123">
        <f>AVERAGE(B10:B12)</f>
        <v>0</v>
      </c>
      <c r="C13" s="124"/>
      <c r="E13" s="29" t="s">
        <v>86</v>
      </c>
      <c r="F13" s="26" t="s">
        <v>41</v>
      </c>
      <c r="G13" s="14">
        <v>33</v>
      </c>
      <c r="H13" s="92">
        <f>IF(B$19=0,0,G13/B$19)</f>
        <v>5.5743243243243243E-2</v>
      </c>
      <c r="I13" s="60">
        <v>4</v>
      </c>
      <c r="K13" s="7">
        <v>11</v>
      </c>
      <c r="L13" s="65">
        <v>-1.8999999999999986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35</v>
      </c>
      <c r="C14" s="11">
        <f t="shared" si="1"/>
        <v>0.13565891472868216</v>
      </c>
      <c r="E14" s="29" t="s">
        <v>83</v>
      </c>
      <c r="F14" s="26" t="s">
        <v>38</v>
      </c>
      <c r="G14" s="14">
        <v>32</v>
      </c>
      <c r="H14" s="92">
        <f>IF(B$19=0,0,G14/B$19)</f>
        <v>5.4054054054054057E-2</v>
      </c>
      <c r="I14" s="60">
        <v>5</v>
      </c>
      <c r="K14" s="7">
        <v>12</v>
      </c>
      <c r="L14" s="65">
        <v>1.3322676295501878E-15</v>
      </c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5">
      <c r="A15" s="24" t="s">
        <v>121</v>
      </c>
      <c r="B15" s="17">
        <v>502</v>
      </c>
      <c r="C15" s="12">
        <f>IF(B$3=0,0,B15/B$3)</f>
        <v>0.24680432645034414</v>
      </c>
      <c r="E15" s="29" t="s">
        <v>78</v>
      </c>
      <c r="F15" s="26" t="s">
        <v>33</v>
      </c>
      <c r="G15" s="14">
        <v>18</v>
      </c>
      <c r="H15" s="92">
        <f>IF(B$19=0,0,G15/B$19)</f>
        <v>3.0405405405405407E-2</v>
      </c>
      <c r="I15" s="60">
        <v>6</v>
      </c>
      <c r="K15" s="7">
        <v>13</v>
      </c>
      <c r="L15" s="65">
        <v>14.300000000000002</v>
      </c>
      <c r="N15" s="77" t="s">
        <v>189</v>
      </c>
      <c r="O15" s="86">
        <f>IF(P15=0,0,Q15/P15)</f>
        <v>17.583333333333336</v>
      </c>
      <c r="P15" s="80">
        <v>18</v>
      </c>
      <c r="Q15" s="71">
        <v>316.50000000000006</v>
      </c>
    </row>
    <row r="16" spans="1:17" x14ac:dyDescent="0.45">
      <c r="A16" s="21" t="s">
        <v>118</v>
      </c>
      <c r="B16" s="14">
        <v>416</v>
      </c>
      <c r="C16" s="8">
        <f>IF(B$3=0,0,B16/B$3)</f>
        <v>0.20452310717797442</v>
      </c>
      <c r="E16" s="29" t="s">
        <v>81</v>
      </c>
      <c r="F16" s="26" t="s">
        <v>36</v>
      </c>
      <c r="G16" s="14">
        <v>16</v>
      </c>
      <c r="H16" s="92">
        <f>IF(B$19=0,0,G16/B$19)</f>
        <v>2.7027027027027029E-2</v>
      </c>
      <c r="I16" s="60">
        <v>3</v>
      </c>
      <c r="K16" s="7">
        <v>14</v>
      </c>
      <c r="L16" s="65">
        <v>12.800000000000002</v>
      </c>
      <c r="N16" s="78" t="s">
        <v>194</v>
      </c>
      <c r="O16" s="87">
        <f>IF(P16=0,0,Q16/P16)</f>
        <v>12.544444444444444</v>
      </c>
      <c r="P16" s="81">
        <v>54</v>
      </c>
      <c r="Q16" s="72">
        <v>677.4</v>
      </c>
    </row>
    <row r="17" spans="1:17" x14ac:dyDescent="0.45">
      <c r="A17" s="20" t="s">
        <v>123</v>
      </c>
      <c r="B17" s="13">
        <f>B23</f>
        <v>277</v>
      </c>
      <c r="C17" s="6">
        <f>IF(B$15=0,0,B17/B$15)</f>
        <v>0.55179282868525892</v>
      </c>
      <c r="E17" s="29" t="s">
        <v>79</v>
      </c>
      <c r="F17" s="26" t="s">
        <v>34</v>
      </c>
      <c r="G17" s="14">
        <v>13</v>
      </c>
      <c r="H17" s="92">
        <f>IF(B$19=0,0,G17/B$19)</f>
        <v>2.1959459459459461E-2</v>
      </c>
      <c r="I17" s="60">
        <v>4</v>
      </c>
      <c r="K17" s="7">
        <v>15</v>
      </c>
      <c r="L17" s="65">
        <v>1.7763568394002505E-15</v>
      </c>
      <c r="N17" s="78" t="s">
        <v>213</v>
      </c>
      <c r="O17" s="87">
        <f>IF(P17=0,0,Q17/P17)</f>
        <v>6.9333333333333345</v>
      </c>
      <c r="P17" s="81">
        <v>18</v>
      </c>
      <c r="Q17" s="72">
        <v>124.80000000000003</v>
      </c>
    </row>
    <row r="18" spans="1:17" x14ac:dyDescent="0.45">
      <c r="A18" s="20" t="s">
        <v>124</v>
      </c>
      <c r="B18" s="13">
        <f>B24</f>
        <v>170</v>
      </c>
      <c r="C18" s="6">
        <f>IF(B$16=0,0,B18/B$16)</f>
        <v>0.40865384615384615</v>
      </c>
      <c r="E18" s="29" t="s">
        <v>91</v>
      </c>
      <c r="F18" s="26" t="s">
        <v>46</v>
      </c>
      <c r="G18" s="14">
        <v>13</v>
      </c>
      <c r="H18" s="92">
        <f>IF(B$19=0,0,G18/B$19)</f>
        <v>2.1959459459459461E-2</v>
      </c>
      <c r="I18" s="60">
        <v>3</v>
      </c>
      <c r="K18" s="7">
        <v>16</v>
      </c>
      <c r="L18" s="65">
        <v>3.4000000000000017</v>
      </c>
      <c r="N18" s="78" t="s">
        <v>205</v>
      </c>
      <c r="O18" s="87">
        <f>IF(P18=0,0,Q18/P18)</f>
        <v>5.4717391304347833</v>
      </c>
      <c r="P18" s="81">
        <v>46</v>
      </c>
      <c r="Q18" s="72">
        <v>251.70000000000005</v>
      </c>
    </row>
    <row r="19" spans="1:17" x14ac:dyDescent="0.45">
      <c r="A19" s="20" t="s">
        <v>10</v>
      </c>
      <c r="B19" s="13">
        <f>B22+B21</f>
        <v>592</v>
      </c>
      <c r="C19" s="6">
        <f>IF(B$3=0,0,B19/B$3)</f>
        <v>0.2910521140609636</v>
      </c>
      <c r="E19" s="29" t="s">
        <v>92</v>
      </c>
      <c r="F19" s="26" t="s">
        <v>47</v>
      </c>
      <c r="G19" s="14">
        <v>8</v>
      </c>
      <c r="H19" s="92">
        <f>IF(B$19=0,0,G19/B$19)</f>
        <v>1.3513513513513514E-2</v>
      </c>
      <c r="I19" s="60">
        <v>5</v>
      </c>
      <c r="K19" s="7">
        <v>17</v>
      </c>
      <c r="L19" s="65">
        <v>-35.800000000000004</v>
      </c>
      <c r="N19" s="78" t="s">
        <v>164</v>
      </c>
      <c r="O19" s="87">
        <f>IF(P19=0,0,Q19/P19)</f>
        <v>2.7468749999999957</v>
      </c>
      <c r="P19" s="81">
        <v>96</v>
      </c>
      <c r="Q19" s="72">
        <v>263.69999999999959</v>
      </c>
    </row>
    <row r="20" spans="1:17" x14ac:dyDescent="0.45">
      <c r="A20" s="21" t="s">
        <v>13</v>
      </c>
      <c r="B20" s="14">
        <v>316</v>
      </c>
      <c r="C20" s="8">
        <f>IF(B$3=0,0,B20/B$3)</f>
        <v>0.15535889872173059</v>
      </c>
      <c r="E20" s="29" t="s">
        <v>156</v>
      </c>
      <c r="F20" s="26" t="s">
        <v>157</v>
      </c>
      <c r="G20" s="14">
        <v>7</v>
      </c>
      <c r="H20" s="92">
        <f>IF(B$19=0,0,G20/B$19)</f>
        <v>1.1824324324324325E-2</v>
      </c>
      <c r="I20" s="60">
        <v>3</v>
      </c>
      <c r="K20" s="7">
        <v>18</v>
      </c>
      <c r="L20" s="65">
        <v>-7.1054273576010019E-15</v>
      </c>
      <c r="N20" s="78" t="s">
        <v>192</v>
      </c>
      <c r="O20" s="87">
        <f>IF(P20=0,0,Q20/P20)</f>
        <v>2.0300000000000047</v>
      </c>
      <c r="P20" s="81">
        <v>90</v>
      </c>
      <c r="Q20" s="72">
        <v>182.70000000000041</v>
      </c>
    </row>
    <row r="21" spans="1:17" x14ac:dyDescent="0.45">
      <c r="A21" s="21" t="s">
        <v>12</v>
      </c>
      <c r="B21" s="14">
        <v>275</v>
      </c>
      <c r="C21" s="8">
        <f>IF(B$19=0,0,B21/B$19)</f>
        <v>0.46452702702702703</v>
      </c>
      <c r="E21" s="29" t="s">
        <v>85</v>
      </c>
      <c r="F21" s="26" t="s">
        <v>40</v>
      </c>
      <c r="G21" s="14">
        <v>3</v>
      </c>
      <c r="H21" s="92">
        <f>IF(B$19=0,0,G21/B$19)</f>
        <v>5.0675675675675678E-3</v>
      </c>
      <c r="I21" s="60">
        <v>3</v>
      </c>
      <c r="K21" s="7">
        <v>19</v>
      </c>
      <c r="L21" s="65">
        <v>-27.100000000000009</v>
      </c>
      <c r="N21" s="78" t="s">
        <v>196</v>
      </c>
      <c r="O21" s="87">
        <f>IF(P21=0,0,Q21/P21)</f>
        <v>-1.4062500000000027</v>
      </c>
      <c r="P21" s="81">
        <v>16</v>
      </c>
      <c r="Q21" s="72">
        <v>-22.500000000000043</v>
      </c>
    </row>
    <row r="22" spans="1:17" x14ac:dyDescent="0.45">
      <c r="A22" s="21" t="s">
        <v>11</v>
      </c>
      <c r="B22" s="14">
        <v>317</v>
      </c>
      <c r="C22" s="8">
        <f>IF(B$19=0,0,B22/B$19)</f>
        <v>0.53547297297297303</v>
      </c>
      <c r="E22" s="29" t="s">
        <v>73</v>
      </c>
      <c r="F22" s="26" t="s">
        <v>28</v>
      </c>
      <c r="G22" s="14">
        <v>2</v>
      </c>
      <c r="H22" s="92">
        <f>IF(B$19=0,0,G22/B$19)</f>
        <v>3.3783783783783786E-3</v>
      </c>
      <c r="I22" s="60">
        <v>3</v>
      </c>
      <c r="K22" s="7">
        <v>20</v>
      </c>
      <c r="L22" s="65">
        <v>-28.600000000000009</v>
      </c>
      <c r="N22" s="78" t="s">
        <v>193</v>
      </c>
      <c r="O22" s="87">
        <f>IF(P22=0,0,Q22/P22)</f>
        <v>-5.0076923076923077</v>
      </c>
      <c r="P22" s="81">
        <v>52</v>
      </c>
      <c r="Q22" s="72">
        <v>-260.39999999999998</v>
      </c>
    </row>
    <row r="23" spans="1:17" x14ac:dyDescent="0.45">
      <c r="A23" s="21" t="s">
        <v>184</v>
      </c>
      <c r="B23" s="14">
        <v>277</v>
      </c>
      <c r="C23" s="8">
        <f>IF(B$19=0,0,B23/B$19)</f>
        <v>0.46790540540540543</v>
      </c>
      <c r="E23" s="29" t="s">
        <v>75</v>
      </c>
      <c r="F23" s="26" t="s">
        <v>30</v>
      </c>
      <c r="G23" s="14">
        <v>2</v>
      </c>
      <c r="H23" s="92">
        <f>IF(B$19=0,0,G23/B$19)</f>
        <v>3.3783783783783786E-3</v>
      </c>
      <c r="I23" s="60">
        <v>3</v>
      </c>
      <c r="K23" s="7">
        <v>21</v>
      </c>
      <c r="L23" s="65">
        <v>-7.1054273576010019E-15</v>
      </c>
      <c r="N23" s="78" t="s">
        <v>126</v>
      </c>
      <c r="O23" s="87">
        <f>IF(P23=0,0,Q23/P23)</f>
        <v>-12.173809523809508</v>
      </c>
      <c r="P23" s="81">
        <v>126</v>
      </c>
      <c r="Q23" s="72">
        <v>-1533.899999999998</v>
      </c>
    </row>
    <row r="24" spans="1:17" x14ac:dyDescent="0.45">
      <c r="A24" s="21" t="s">
        <v>182</v>
      </c>
      <c r="B24" s="14">
        <v>170</v>
      </c>
      <c r="C24" s="8">
        <f>IF(B$19=0,0,B24/B$19)</f>
        <v>0.28716216216216217</v>
      </c>
      <c r="E24" s="29" t="s">
        <v>77</v>
      </c>
      <c r="F24" s="26" t="s">
        <v>32</v>
      </c>
      <c r="G24" s="14">
        <v>2</v>
      </c>
      <c r="H24" s="92">
        <f>IF(B$19=0,0,G24/B$19)</f>
        <v>3.3783783783783786E-3</v>
      </c>
      <c r="I24" s="60">
        <v>3</v>
      </c>
      <c r="K24" s="7">
        <v>22</v>
      </c>
      <c r="L24" s="65">
        <v>-7.5000000000000071</v>
      </c>
    </row>
    <row r="25" spans="1:17" x14ac:dyDescent="0.45">
      <c r="A25" s="21" t="s">
        <v>183</v>
      </c>
      <c r="B25" s="14">
        <v>145</v>
      </c>
      <c r="C25" s="8">
        <f>IF(B$19=0,0,B25/B$19)</f>
        <v>0.24493243243243243</v>
      </c>
      <c r="E25" s="29" t="s">
        <v>87</v>
      </c>
      <c r="F25" s="26" t="s">
        <v>42</v>
      </c>
      <c r="G25" s="14">
        <v>2</v>
      </c>
      <c r="H25" s="92">
        <f>IF(B$19=0,0,G25/B$19)</f>
        <v>3.3783783783783786E-3</v>
      </c>
      <c r="I25" s="60">
        <v>3</v>
      </c>
      <c r="K25" s="7">
        <v>23</v>
      </c>
      <c r="L25" s="65">
        <v>-41.600000000000009</v>
      </c>
    </row>
    <row r="26" spans="1:17" x14ac:dyDescent="0.45">
      <c r="A26" s="21" t="s">
        <v>5</v>
      </c>
      <c r="B26" s="18">
        <f>IF(B$19=0,0,C26/B$19)</f>
        <v>9005.0675675675684</v>
      </c>
      <c r="C26" s="10">
        <v>5331000</v>
      </c>
      <c r="E26" s="29" t="s">
        <v>93</v>
      </c>
      <c r="F26" s="26" t="s">
        <v>48</v>
      </c>
      <c r="G26" s="14">
        <v>2</v>
      </c>
      <c r="H26" s="92">
        <f>IF(B$19=0,0,G26/B$19)</f>
        <v>3.3783783783783786E-3</v>
      </c>
      <c r="I26" s="60">
        <v>2</v>
      </c>
      <c r="K26" s="7">
        <v>24</v>
      </c>
      <c r="L26" s="65">
        <v>-7.1054273576010019E-15</v>
      </c>
    </row>
    <row r="27" spans="1:17" x14ac:dyDescent="0.45">
      <c r="A27" s="22" t="s">
        <v>166</v>
      </c>
      <c r="B27" s="99">
        <f>IF($B$19-B$18=0,0,C27/($B$19-B$18))</f>
        <v>9434.5971563981038</v>
      </c>
      <c r="C27" s="100">
        <v>3981400</v>
      </c>
      <c r="E27" s="29" t="s">
        <v>84</v>
      </c>
      <c r="F27" s="26" t="s">
        <v>39</v>
      </c>
      <c r="G27" s="14">
        <v>1</v>
      </c>
      <c r="H27" s="92">
        <f>IF(B$19=0,0,G27/B$19)</f>
        <v>1.6891891891891893E-3</v>
      </c>
      <c r="I27" s="60">
        <v>2</v>
      </c>
      <c r="K27" s="7">
        <v>25</v>
      </c>
      <c r="L27" s="65">
        <v>-20.900000000000006</v>
      </c>
    </row>
    <row r="28" spans="1:17" x14ac:dyDescent="0.45">
      <c r="A28" s="22" t="s">
        <v>167</v>
      </c>
      <c r="B28" s="99">
        <f>IF(B$18=0,0,C28/B$18)</f>
        <v>7938.8235294117649</v>
      </c>
      <c r="C28" s="100">
        <v>1349600</v>
      </c>
      <c r="E28" s="29" t="s">
        <v>88</v>
      </c>
      <c r="F28" s="26" t="s">
        <v>43</v>
      </c>
      <c r="G28" s="14">
        <v>1</v>
      </c>
      <c r="H28" s="92">
        <f>IF(B$19=0,0,G28/B$19)</f>
        <v>1.6891891891891893E-3</v>
      </c>
      <c r="I28" s="60">
        <v>2</v>
      </c>
      <c r="K28" s="7">
        <v>26</v>
      </c>
      <c r="L28" s="65">
        <v>-21.400000000000006</v>
      </c>
    </row>
    <row r="29" spans="1:17" x14ac:dyDescent="0.45">
      <c r="A29" s="22" t="s">
        <v>165</v>
      </c>
      <c r="B29" s="99">
        <f>IF(B$20=0,0,C29/B$20)</f>
        <v>-8253.481012658227</v>
      </c>
      <c r="C29" s="100">
        <v>-2608100</v>
      </c>
      <c r="E29" s="29" t="s">
        <v>95</v>
      </c>
      <c r="F29" s="26" t="s">
        <v>50</v>
      </c>
      <c r="G29" s="14">
        <v>1</v>
      </c>
      <c r="H29" s="92">
        <f>IF(B$19=0,0,G29/B$19)</f>
        <v>1.6891891891891893E-3</v>
      </c>
      <c r="I29" s="60">
        <v>2</v>
      </c>
      <c r="K29" s="7">
        <v>27</v>
      </c>
      <c r="L29" s="65">
        <v>-7.1054273576010019E-15</v>
      </c>
    </row>
    <row r="30" spans="1:17" x14ac:dyDescent="0.45">
      <c r="A30" s="21" t="s">
        <v>158</v>
      </c>
      <c r="B30" s="14">
        <v>9</v>
      </c>
      <c r="C30" s="94">
        <v>0</v>
      </c>
      <c r="E30" s="29" t="s">
        <v>97</v>
      </c>
      <c r="F30" s="26" t="s">
        <v>52</v>
      </c>
      <c r="G30" s="14">
        <v>1</v>
      </c>
      <c r="H30" s="92">
        <f>IF(B$19=0,0,G30/B$19)</f>
        <v>1.6891891891891893E-3</v>
      </c>
      <c r="I30" s="60">
        <v>2</v>
      </c>
      <c r="K30" s="7">
        <v>28</v>
      </c>
      <c r="L30" s="65">
        <v>3.9999999999999929</v>
      </c>
    </row>
    <row r="31" spans="1:17" x14ac:dyDescent="0.45">
      <c r="A31" s="21" t="s">
        <v>159</v>
      </c>
      <c r="B31" s="14">
        <v>38</v>
      </c>
      <c r="C31" s="94">
        <v>0</v>
      </c>
      <c r="E31" s="29" t="s">
        <v>102</v>
      </c>
      <c r="F31" s="26" t="s">
        <v>57</v>
      </c>
      <c r="G31" s="14">
        <v>1</v>
      </c>
      <c r="H31" s="92">
        <f>IF(B$19=0,0,G31/B$19)</f>
        <v>1.6891891891891893E-3</v>
      </c>
      <c r="I31" s="60">
        <v>2</v>
      </c>
      <c r="K31" s="7">
        <v>29</v>
      </c>
      <c r="L31" s="65">
        <v>29.999999999999993</v>
      </c>
    </row>
    <row r="32" spans="1:17" x14ac:dyDescent="0.45">
      <c r="A32" s="56" t="s">
        <v>136</v>
      </c>
      <c r="B32" s="125">
        <v>7</v>
      </c>
      <c r="C32" s="126"/>
      <c r="E32" s="29" t="s">
        <v>74</v>
      </c>
      <c r="F32" s="26" t="s">
        <v>29</v>
      </c>
      <c r="G32" s="14">
        <v>0</v>
      </c>
      <c r="H32" s="92">
        <f>IF(B$19=0,0,G32/B$19)</f>
        <v>0</v>
      </c>
      <c r="I32" s="60">
        <v>1</v>
      </c>
      <c r="K32" s="7">
        <v>30</v>
      </c>
      <c r="L32" s="65">
        <v>-7.1054273576010019E-15</v>
      </c>
    </row>
    <row r="33" spans="1:12" x14ac:dyDescent="0.45">
      <c r="A33" s="24" t="s">
        <v>181</v>
      </c>
      <c r="B33" s="127">
        <v>116000</v>
      </c>
      <c r="C33" s="128"/>
      <c r="E33" s="29" t="s">
        <v>76</v>
      </c>
      <c r="F33" s="26" t="s">
        <v>31</v>
      </c>
      <c r="G33" s="14">
        <v>0</v>
      </c>
      <c r="H33" s="92">
        <f>IF(B$19=0,0,G33/B$19)</f>
        <v>0</v>
      </c>
      <c r="I33" s="60">
        <v>1</v>
      </c>
      <c r="K33" s="7">
        <v>31</v>
      </c>
      <c r="L33" s="65">
        <v>-22.500000000000007</v>
      </c>
    </row>
    <row r="34" spans="1:12" x14ac:dyDescent="0.45">
      <c r="A34" s="23" t="s">
        <v>137</v>
      </c>
      <c r="B34" s="31">
        <v>4</v>
      </c>
      <c r="C34" s="11">
        <f>IF(B$3=0,0,B34/B$3)</f>
        <v>1.9665683382497543E-3</v>
      </c>
      <c r="E34" s="29" t="s">
        <v>80</v>
      </c>
      <c r="F34" s="26" t="s">
        <v>35</v>
      </c>
      <c r="G34" s="14">
        <v>0</v>
      </c>
      <c r="H34" s="92">
        <f>IF(B$19=0,0,G34/B$19)</f>
        <v>0</v>
      </c>
      <c r="I34" s="60">
        <v>1</v>
      </c>
      <c r="K34" s="7">
        <v>32</v>
      </c>
      <c r="L34" s="65">
        <v>-31.900000000000006</v>
      </c>
    </row>
    <row r="35" spans="1:12" x14ac:dyDescent="0.45">
      <c r="E35" s="29" t="s">
        <v>82</v>
      </c>
      <c r="F35" s="26" t="s">
        <v>37</v>
      </c>
      <c r="G35" s="14">
        <v>0</v>
      </c>
      <c r="H35" s="92">
        <f>IF(B$19=0,0,G35/B$19)</f>
        <v>0</v>
      </c>
      <c r="I35" s="60">
        <v>1</v>
      </c>
      <c r="K35" s="7">
        <v>33</v>
      </c>
      <c r="L35" s="65">
        <v>-7.1054273576010019E-15</v>
      </c>
    </row>
    <row r="36" spans="1:12" x14ac:dyDescent="0.45">
      <c r="A36" s="56" t="s">
        <v>172</v>
      </c>
      <c r="B36" s="121">
        <v>47</v>
      </c>
      <c r="C36" s="102">
        <f t="shared" ref="C36:C48" si="2">IF(B$19=0,0,B36/B$19)</f>
        <v>7.9391891891891886E-2</v>
      </c>
      <c r="E36" s="29" t="s">
        <v>90</v>
      </c>
      <c r="F36" s="26" t="s">
        <v>45</v>
      </c>
      <c r="G36" s="14">
        <v>0</v>
      </c>
      <c r="H36" s="92">
        <f>IF(B$19=0,0,G36/B$19)</f>
        <v>0</v>
      </c>
      <c r="I36" s="60">
        <v>1</v>
      </c>
      <c r="K36" s="7">
        <v>34</v>
      </c>
      <c r="L36" s="65">
        <v>-35.900000000000006</v>
      </c>
    </row>
    <row r="37" spans="1:12" x14ac:dyDescent="0.45">
      <c r="A37" s="21" t="s">
        <v>168</v>
      </c>
      <c r="B37" s="14">
        <v>103</v>
      </c>
      <c r="C37" s="8">
        <f t="shared" si="2"/>
        <v>0.17398648648648649</v>
      </c>
      <c r="E37" s="29" t="s">
        <v>94</v>
      </c>
      <c r="F37" s="26" t="s">
        <v>49</v>
      </c>
      <c r="G37" s="14">
        <v>0</v>
      </c>
      <c r="H37" s="92">
        <f>IF(B$19=0,0,G37/B$19)</f>
        <v>0</v>
      </c>
      <c r="I37" s="60">
        <v>1</v>
      </c>
      <c r="K37" s="7">
        <v>35</v>
      </c>
      <c r="L37" s="65">
        <v>-25.600000000000005</v>
      </c>
    </row>
    <row r="38" spans="1:12" x14ac:dyDescent="0.45">
      <c r="A38" s="21" t="s">
        <v>169</v>
      </c>
      <c r="B38" s="122">
        <v>102</v>
      </c>
      <c r="C38" s="8">
        <f t="shared" si="2"/>
        <v>0.17229729729729729</v>
      </c>
      <c r="E38" s="29" t="s">
        <v>96</v>
      </c>
      <c r="F38" s="26" t="s">
        <v>51</v>
      </c>
      <c r="G38" s="14">
        <v>0</v>
      </c>
      <c r="H38" s="92">
        <f>IF(B$19=0,0,G38/B$19)</f>
        <v>0</v>
      </c>
      <c r="I38" s="60">
        <v>1</v>
      </c>
      <c r="K38" s="7">
        <v>36</v>
      </c>
      <c r="L38" s="65">
        <v>-3.5527136788005009E-15</v>
      </c>
    </row>
    <row r="39" spans="1:12" x14ac:dyDescent="0.45">
      <c r="A39" s="21" t="s">
        <v>170</v>
      </c>
      <c r="B39" s="122">
        <v>109</v>
      </c>
      <c r="C39" s="8">
        <f t="shared" si="2"/>
        <v>0.18412162162162163</v>
      </c>
      <c r="E39" s="29" t="s">
        <v>98</v>
      </c>
      <c r="F39" s="26" t="s">
        <v>53</v>
      </c>
      <c r="G39" s="14">
        <v>0</v>
      </c>
      <c r="H39" s="92">
        <f>IF(B$19=0,0,G39/B$19)</f>
        <v>0</v>
      </c>
      <c r="I39" s="60">
        <v>1</v>
      </c>
      <c r="K39" s="7">
        <v>37</v>
      </c>
      <c r="L39" s="65">
        <v>-26.700000000000003</v>
      </c>
    </row>
    <row r="40" spans="1:12" x14ac:dyDescent="0.45">
      <c r="A40" s="21" t="s">
        <v>171</v>
      </c>
      <c r="B40" s="122">
        <v>85</v>
      </c>
      <c r="C40" s="8">
        <f t="shared" si="2"/>
        <v>0.14358108108108109</v>
      </c>
      <c r="E40" s="29" t="s">
        <v>99</v>
      </c>
      <c r="F40" s="26" t="s">
        <v>54</v>
      </c>
      <c r="G40" s="14">
        <v>0</v>
      </c>
      <c r="H40" s="92">
        <f>IF(B$19=0,0,G40/B$19)</f>
        <v>0</v>
      </c>
      <c r="I40" s="60">
        <v>1</v>
      </c>
      <c r="K40" s="7">
        <v>38</v>
      </c>
      <c r="L40" s="65">
        <v>-18.700000000000003</v>
      </c>
    </row>
    <row r="41" spans="1:12" x14ac:dyDescent="0.45">
      <c r="A41" s="21" t="s">
        <v>173</v>
      </c>
      <c r="B41" s="122">
        <v>57</v>
      </c>
      <c r="C41" s="8">
        <f t="shared" si="2"/>
        <v>9.6283783783783786E-2</v>
      </c>
      <c r="E41" s="29" t="s">
        <v>100</v>
      </c>
      <c r="F41" s="26" t="s">
        <v>55</v>
      </c>
      <c r="G41" s="14">
        <v>0</v>
      </c>
      <c r="H41" s="92">
        <f>IF(B$19=0,0,G41/B$19)</f>
        <v>0</v>
      </c>
      <c r="I41" s="60">
        <v>1</v>
      </c>
      <c r="K41" s="7">
        <v>39</v>
      </c>
      <c r="L41" s="65">
        <v>-3.5527136788005009E-15</v>
      </c>
    </row>
    <row r="42" spans="1:12" x14ac:dyDescent="0.45">
      <c r="A42" s="21" t="s">
        <v>174</v>
      </c>
      <c r="B42" s="122">
        <v>37</v>
      </c>
      <c r="C42" s="8">
        <f t="shared" si="2"/>
        <v>6.25E-2</v>
      </c>
      <c r="E42" s="29" t="s">
        <v>101</v>
      </c>
      <c r="F42" s="26" t="s">
        <v>56</v>
      </c>
      <c r="G42" s="14">
        <v>0</v>
      </c>
      <c r="H42" s="92">
        <f>IF(B$19=0,0,G42/B$19)</f>
        <v>0</v>
      </c>
      <c r="I42" s="60">
        <v>1</v>
      </c>
      <c r="K42" s="7">
        <v>40</v>
      </c>
      <c r="L42" s="65">
        <v>21.499999999999996</v>
      </c>
    </row>
    <row r="43" spans="1:12" x14ac:dyDescent="0.45">
      <c r="A43" s="21" t="s">
        <v>175</v>
      </c>
      <c r="B43" s="122">
        <v>15</v>
      </c>
      <c r="C43" s="8">
        <f t="shared" si="2"/>
        <v>2.5337837837837839E-2</v>
      </c>
      <c r="E43" s="29" t="s">
        <v>103</v>
      </c>
      <c r="F43" s="26" t="s">
        <v>58</v>
      </c>
      <c r="G43" s="14">
        <v>0</v>
      </c>
      <c r="H43" s="92">
        <f>IF(B$19=0,0,G43/B$19)</f>
        <v>0</v>
      </c>
      <c r="I43" s="60">
        <v>1</v>
      </c>
      <c r="K43" s="7">
        <v>41</v>
      </c>
      <c r="L43" s="65">
        <v>-5.4000000000000021</v>
      </c>
    </row>
    <row r="44" spans="1:12" x14ac:dyDescent="0.45">
      <c r="A44" s="21" t="s">
        <v>176</v>
      </c>
      <c r="B44" s="122">
        <v>10</v>
      </c>
      <c r="C44" s="8">
        <f t="shared" si="2"/>
        <v>1.6891891891891893E-2</v>
      </c>
      <c r="E44" s="29" t="s">
        <v>104</v>
      </c>
      <c r="F44" s="26" t="s">
        <v>59</v>
      </c>
      <c r="G44" s="14">
        <v>0</v>
      </c>
      <c r="H44" s="92">
        <f>IF(B$19=0,0,G44/B$19)</f>
        <v>0</v>
      </c>
      <c r="I44" s="60">
        <v>1</v>
      </c>
      <c r="K44" s="7">
        <v>42</v>
      </c>
      <c r="L44" s="65">
        <v>-1.7763568394002505E-15</v>
      </c>
    </row>
    <row r="45" spans="1:12" x14ac:dyDescent="0.45">
      <c r="A45" s="21" t="s">
        <v>177</v>
      </c>
      <c r="B45" s="122">
        <v>8</v>
      </c>
      <c r="C45" s="8">
        <f t="shared" si="2"/>
        <v>1.3513513513513514E-2</v>
      </c>
      <c r="E45" s="29" t="s">
        <v>105</v>
      </c>
      <c r="F45" s="26" t="s">
        <v>112</v>
      </c>
      <c r="G45" s="14">
        <v>0</v>
      </c>
      <c r="H45" s="92">
        <f>IF(B$19=0,0,G45/B$19)</f>
        <v>0</v>
      </c>
      <c r="I45" s="60">
        <v>1</v>
      </c>
      <c r="K45" s="7">
        <v>43</v>
      </c>
      <c r="L45" s="65">
        <v>-46.6</v>
      </c>
    </row>
    <row r="46" spans="1:12" x14ac:dyDescent="0.45">
      <c r="A46" s="21" t="s">
        <v>178</v>
      </c>
      <c r="B46" s="122">
        <v>4</v>
      </c>
      <c r="C46" s="8">
        <f t="shared" si="2"/>
        <v>6.7567567567567571E-3</v>
      </c>
      <c r="E46" s="29" t="s">
        <v>106</v>
      </c>
      <c r="F46" s="26" t="s">
        <v>113</v>
      </c>
      <c r="G46" s="14">
        <v>0</v>
      </c>
      <c r="H46" s="92">
        <f>IF(B$19=0,0,G46/B$19)</f>
        <v>0</v>
      </c>
      <c r="I46" s="60">
        <v>1</v>
      </c>
      <c r="K46" s="7">
        <v>44</v>
      </c>
      <c r="L46" s="65">
        <v>31.1</v>
      </c>
    </row>
    <row r="47" spans="1:12" x14ac:dyDescent="0.45">
      <c r="A47" s="21" t="s">
        <v>179</v>
      </c>
      <c r="B47" s="122">
        <v>2</v>
      </c>
      <c r="C47" s="8">
        <f t="shared" si="2"/>
        <v>3.3783783783783786E-3</v>
      </c>
      <c r="E47" s="29" t="s">
        <v>107</v>
      </c>
      <c r="F47" s="26" t="s">
        <v>114</v>
      </c>
      <c r="G47" s="14">
        <v>0</v>
      </c>
      <c r="H47" s="92">
        <f>IF(B$19=0,0,G47/B$19)</f>
        <v>0</v>
      </c>
      <c r="I47" s="60">
        <v>1</v>
      </c>
      <c r="K47" s="7">
        <v>45</v>
      </c>
      <c r="L47" s="65">
        <v>0</v>
      </c>
    </row>
    <row r="48" spans="1:12" x14ac:dyDescent="0.45">
      <c r="A48" s="23" t="s">
        <v>180</v>
      </c>
      <c r="B48" s="101">
        <v>13</v>
      </c>
      <c r="C48" s="11">
        <f t="shared" si="2"/>
        <v>2.1959459459459461E-2</v>
      </c>
      <c r="E48" s="29" t="s">
        <v>108</v>
      </c>
      <c r="F48" s="26" t="s">
        <v>60</v>
      </c>
      <c r="G48" s="14">
        <v>0</v>
      </c>
      <c r="H48" s="92">
        <f>IF(B$19=0,0,G48/B$19)</f>
        <v>0</v>
      </c>
      <c r="I48" s="60">
        <v>1</v>
      </c>
      <c r="K48" s="7">
        <v>46</v>
      </c>
      <c r="L48" s="65">
        <v>-41.6</v>
      </c>
    </row>
    <row r="49" spans="5:12" x14ac:dyDescent="0.45">
      <c r="E49" s="29" t="s">
        <v>109</v>
      </c>
      <c r="F49" s="26" t="s">
        <v>61</v>
      </c>
      <c r="G49" s="14">
        <v>0</v>
      </c>
      <c r="H49" s="92">
        <f>IF(B$19=0,0,G49/B$19)</f>
        <v>0</v>
      </c>
      <c r="I49" s="60">
        <v>1</v>
      </c>
      <c r="K49" s="7">
        <v>47</v>
      </c>
      <c r="L49" s="65">
        <v>-27.900000000000002</v>
      </c>
    </row>
    <row r="50" spans="5:12" x14ac:dyDescent="0.45">
      <c r="E50" s="29" t="s">
        <v>110</v>
      </c>
      <c r="F50" s="26" t="s">
        <v>62</v>
      </c>
      <c r="G50" s="14">
        <v>0</v>
      </c>
      <c r="H50" s="92">
        <f>IF(B$19=0,0,G50/B$19)</f>
        <v>0</v>
      </c>
      <c r="I50" s="60">
        <v>1</v>
      </c>
      <c r="K50" s="7">
        <v>48</v>
      </c>
      <c r="L50" s="65">
        <v>-3.5527136788005009E-15</v>
      </c>
    </row>
    <row r="51" spans="5:12" x14ac:dyDescent="0.45">
      <c r="E51" s="95" t="s">
        <v>111</v>
      </c>
      <c r="F51" s="96" t="s">
        <v>63</v>
      </c>
      <c r="G51" s="15">
        <v>0</v>
      </c>
      <c r="H51" s="97">
        <f>IF(B$19=0,0,G51/B$19)</f>
        <v>0</v>
      </c>
      <c r="I51" s="98">
        <v>1</v>
      </c>
      <c r="K51" s="7">
        <v>49</v>
      </c>
      <c r="L51" s="65">
        <v>-38.299999999999997</v>
      </c>
    </row>
    <row r="52" spans="5:12" x14ac:dyDescent="0.45">
      <c r="E52" s="30" t="s">
        <v>162</v>
      </c>
      <c r="F52" s="27" t="s">
        <v>163</v>
      </c>
      <c r="G52" s="16">
        <v>0</v>
      </c>
      <c r="H52" s="93">
        <f>IF(B$19=0,0,G52/B$19)</f>
        <v>0</v>
      </c>
      <c r="I52" s="61">
        <v>1</v>
      </c>
      <c r="K52" s="7">
        <v>50</v>
      </c>
      <c r="L52" s="65">
        <v>-26.999999999999996</v>
      </c>
    </row>
    <row r="53" spans="5:12" x14ac:dyDescent="0.45">
      <c r="K53" s="7">
        <v>51</v>
      </c>
      <c r="L53" s="65">
        <v>3.5527136788005009E-15</v>
      </c>
    </row>
    <row r="54" spans="5:12" x14ac:dyDescent="0.45">
      <c r="K54" s="7">
        <v>52</v>
      </c>
      <c r="L54" s="65">
        <v>68.2</v>
      </c>
    </row>
    <row r="55" spans="5:12" x14ac:dyDescent="0.45">
      <c r="K55" s="7">
        <v>53</v>
      </c>
      <c r="L55" s="65">
        <v>44.7</v>
      </c>
    </row>
    <row r="56" spans="5:12" x14ac:dyDescent="0.45">
      <c r="K56" s="7">
        <v>54</v>
      </c>
      <c r="L56" s="65">
        <v>0</v>
      </c>
    </row>
    <row r="57" spans="5:12" x14ac:dyDescent="0.45">
      <c r="K57" s="7">
        <v>55</v>
      </c>
      <c r="L57" s="65">
        <v>-1</v>
      </c>
    </row>
    <row r="58" spans="5:12" x14ac:dyDescent="0.45">
      <c r="K58" s="7">
        <v>56</v>
      </c>
      <c r="L58" s="65">
        <v>27</v>
      </c>
    </row>
    <row r="59" spans="5:12" x14ac:dyDescent="0.45">
      <c r="K59" s="7">
        <v>57</v>
      </c>
      <c r="L59" s="65">
        <v>0</v>
      </c>
    </row>
    <row r="60" spans="5:12" x14ac:dyDescent="0.45">
      <c r="K60" s="7">
        <v>58</v>
      </c>
      <c r="L60" s="65">
        <v>-32.299999999999997</v>
      </c>
    </row>
    <row r="61" spans="5:12" x14ac:dyDescent="0.45">
      <c r="K61" s="7">
        <v>59</v>
      </c>
      <c r="L61" s="65">
        <v>-52.199999999999996</v>
      </c>
    </row>
    <row r="62" spans="5:12" x14ac:dyDescent="0.45">
      <c r="K62" s="7">
        <v>60</v>
      </c>
      <c r="L62" s="65">
        <v>7.1054273576010019E-15</v>
      </c>
    </row>
    <row r="63" spans="5:12" x14ac:dyDescent="0.45">
      <c r="K63" s="7">
        <v>61</v>
      </c>
      <c r="L63" s="65">
        <v>43.500000000000007</v>
      </c>
    </row>
    <row r="64" spans="5:12" x14ac:dyDescent="0.45">
      <c r="K64" s="7">
        <v>62</v>
      </c>
      <c r="L64" s="65">
        <v>7.8000000000000043</v>
      </c>
    </row>
    <row r="65" spans="11:12" x14ac:dyDescent="0.45">
      <c r="K65" s="7">
        <v>63</v>
      </c>
      <c r="L65" s="65">
        <v>4.4408920985006262E-15</v>
      </c>
    </row>
    <row r="66" spans="11:12" x14ac:dyDescent="0.45">
      <c r="K66" s="7">
        <v>64</v>
      </c>
      <c r="L66" s="65">
        <v>-52.79999999999999</v>
      </c>
    </row>
    <row r="67" spans="11:12" x14ac:dyDescent="0.45">
      <c r="K67" s="7">
        <v>65</v>
      </c>
      <c r="L67" s="65">
        <v>7.5000000000000071</v>
      </c>
    </row>
    <row r="68" spans="11:12" x14ac:dyDescent="0.45">
      <c r="K68" s="7">
        <v>66</v>
      </c>
      <c r="L68" s="65">
        <v>7.1054273576010019E-15</v>
      </c>
    </row>
    <row r="69" spans="11:12" x14ac:dyDescent="0.45">
      <c r="K69" s="7">
        <v>67</v>
      </c>
      <c r="L69" s="65">
        <v>-14.799999999999994</v>
      </c>
    </row>
    <row r="70" spans="11:12" x14ac:dyDescent="0.45">
      <c r="K70" s="7">
        <v>68</v>
      </c>
      <c r="L70" s="65">
        <v>-49.5</v>
      </c>
    </row>
    <row r="71" spans="11:12" x14ac:dyDescent="0.45">
      <c r="K71" s="7">
        <v>69</v>
      </c>
      <c r="L71" s="65">
        <v>0</v>
      </c>
    </row>
    <row r="72" spans="11:12" x14ac:dyDescent="0.45">
      <c r="K72" s="7">
        <v>70</v>
      </c>
      <c r="L72" s="65">
        <v>6.4</v>
      </c>
    </row>
    <row r="73" spans="11:12" x14ac:dyDescent="0.45">
      <c r="K73" s="7">
        <v>71</v>
      </c>
      <c r="L73" s="65">
        <v>-24.6</v>
      </c>
    </row>
    <row r="74" spans="11:12" x14ac:dyDescent="0.45">
      <c r="K74" s="7">
        <v>72</v>
      </c>
      <c r="L74" s="65">
        <v>0</v>
      </c>
    </row>
    <row r="75" spans="11:12" x14ac:dyDescent="0.45">
      <c r="K75" s="7">
        <v>73</v>
      </c>
      <c r="L75" s="65">
        <v>-49.4</v>
      </c>
    </row>
    <row r="76" spans="11:12" x14ac:dyDescent="0.45">
      <c r="K76" s="7">
        <v>74</v>
      </c>
      <c r="L76" s="65">
        <v>-37.200000000000003</v>
      </c>
    </row>
    <row r="77" spans="11:12" x14ac:dyDescent="0.45">
      <c r="K77" s="7">
        <v>75</v>
      </c>
      <c r="L77" s="65">
        <v>0</v>
      </c>
    </row>
    <row r="78" spans="11:12" x14ac:dyDescent="0.45">
      <c r="K78" s="7">
        <v>76</v>
      </c>
      <c r="L78" s="65">
        <v>-14.6</v>
      </c>
    </row>
    <row r="79" spans="11:12" x14ac:dyDescent="0.45">
      <c r="K79" s="7">
        <v>77</v>
      </c>
      <c r="L79" s="65">
        <v>-63.5</v>
      </c>
    </row>
    <row r="80" spans="11:12" x14ac:dyDescent="0.45">
      <c r="K80" s="7">
        <v>78</v>
      </c>
      <c r="L80" s="65">
        <v>0</v>
      </c>
    </row>
    <row r="81" spans="11:12" x14ac:dyDescent="0.45">
      <c r="K81" s="7">
        <v>79</v>
      </c>
      <c r="L81" s="65">
        <v>30</v>
      </c>
    </row>
    <row r="82" spans="11:12" x14ac:dyDescent="0.45">
      <c r="K82" s="7">
        <v>80</v>
      </c>
      <c r="L82" s="65">
        <v>21.6</v>
      </c>
    </row>
    <row r="83" spans="11:12" x14ac:dyDescent="0.45">
      <c r="K83" s="7">
        <v>81</v>
      </c>
      <c r="L83" s="65">
        <v>0</v>
      </c>
    </row>
    <row r="84" spans="11:12" x14ac:dyDescent="0.45">
      <c r="K84" s="7">
        <v>82</v>
      </c>
      <c r="L84" s="65">
        <v>1.5</v>
      </c>
    </row>
    <row r="85" spans="11:12" x14ac:dyDescent="0.45">
      <c r="K85" s="7">
        <v>83</v>
      </c>
      <c r="L85" s="65">
        <v>50.1</v>
      </c>
    </row>
    <row r="86" spans="11:12" x14ac:dyDescent="0.45">
      <c r="K86" s="7">
        <v>84</v>
      </c>
      <c r="L86" s="65">
        <v>0</v>
      </c>
    </row>
    <row r="87" spans="11:12" x14ac:dyDescent="0.45">
      <c r="K87" s="7">
        <v>85</v>
      </c>
      <c r="L87" s="65">
        <v>26</v>
      </c>
    </row>
    <row r="88" spans="11:12" x14ac:dyDescent="0.45">
      <c r="K88" s="7">
        <v>86</v>
      </c>
      <c r="L88" s="65">
        <v>-5.6999999999999993</v>
      </c>
    </row>
    <row r="89" spans="11:12" x14ac:dyDescent="0.45">
      <c r="K89" s="7">
        <v>87</v>
      </c>
      <c r="L89" s="65">
        <v>8.8817841970012523E-16</v>
      </c>
    </row>
    <row r="90" spans="11:12" x14ac:dyDescent="0.45">
      <c r="K90" s="7">
        <v>88</v>
      </c>
      <c r="L90" s="65">
        <v>-45.2</v>
      </c>
    </row>
    <row r="91" spans="11:12" x14ac:dyDescent="0.45">
      <c r="K91" s="7">
        <v>89</v>
      </c>
      <c r="L91" s="65">
        <v>-3.5</v>
      </c>
    </row>
    <row r="92" spans="11:12" x14ac:dyDescent="0.45">
      <c r="K92" s="7">
        <v>90</v>
      </c>
      <c r="L92" s="65">
        <v>0</v>
      </c>
    </row>
    <row r="93" spans="11:12" x14ac:dyDescent="0.45">
      <c r="K93" s="7">
        <v>91</v>
      </c>
      <c r="L93" s="65">
        <v>-10.7</v>
      </c>
    </row>
    <row r="94" spans="11:12" x14ac:dyDescent="0.45">
      <c r="K94" s="7">
        <v>92</v>
      </c>
      <c r="L94" s="65">
        <v>-34</v>
      </c>
    </row>
    <row r="95" spans="11:12" x14ac:dyDescent="0.45">
      <c r="K95" s="7">
        <v>93</v>
      </c>
      <c r="L95" s="65">
        <v>0</v>
      </c>
    </row>
    <row r="96" spans="11:12" x14ac:dyDescent="0.45">
      <c r="K96" s="7">
        <v>94</v>
      </c>
      <c r="L96" s="65">
        <v>-0.9</v>
      </c>
    </row>
    <row r="97" spans="11:12" x14ac:dyDescent="0.45">
      <c r="K97" s="7">
        <v>95</v>
      </c>
      <c r="L97" s="65">
        <v>15.200000000000001</v>
      </c>
    </row>
    <row r="98" spans="11:12" x14ac:dyDescent="0.45">
      <c r="K98" s="7">
        <v>96</v>
      </c>
      <c r="L98" s="65">
        <v>1.7763568394002505E-15</v>
      </c>
    </row>
    <row r="99" spans="11:12" x14ac:dyDescent="0.45">
      <c r="K99" s="7">
        <v>97</v>
      </c>
      <c r="L99" s="65">
        <v>-12.599999999999998</v>
      </c>
    </row>
    <row r="100" spans="11:12" x14ac:dyDescent="0.45">
      <c r="K100" s="7">
        <v>98</v>
      </c>
      <c r="L100" s="65">
        <v>-57.8</v>
      </c>
    </row>
    <row r="101" spans="11:12" x14ac:dyDescent="0.45">
      <c r="K101" s="7">
        <v>99</v>
      </c>
      <c r="L101" s="65">
        <v>0</v>
      </c>
    </row>
    <row r="102" spans="11:12" x14ac:dyDescent="0.45">
      <c r="K102" s="7">
        <v>100</v>
      </c>
      <c r="L102" s="65">
        <v>-4</v>
      </c>
    </row>
    <row r="103" spans="11:12" x14ac:dyDescent="0.45">
      <c r="K103" s="7">
        <v>101</v>
      </c>
      <c r="L103" s="65">
        <v>47.3</v>
      </c>
    </row>
    <row r="104" spans="11:12" x14ac:dyDescent="0.45">
      <c r="K104" s="7">
        <v>102</v>
      </c>
      <c r="L104" s="65">
        <v>0</v>
      </c>
    </row>
    <row r="105" spans="11:12" x14ac:dyDescent="0.45">
      <c r="K105" s="7">
        <v>103</v>
      </c>
      <c r="L105" s="65">
        <v>-57.1</v>
      </c>
    </row>
    <row r="106" spans="11:12" x14ac:dyDescent="0.45">
      <c r="K106" s="7">
        <v>104</v>
      </c>
      <c r="L106" s="65">
        <v>-52.800000000000004</v>
      </c>
    </row>
    <row r="107" spans="11:12" x14ac:dyDescent="0.45">
      <c r="K107" s="7">
        <v>105</v>
      </c>
      <c r="L107" s="65">
        <v>-7.1054273576010019E-15</v>
      </c>
    </row>
    <row r="108" spans="11:12" x14ac:dyDescent="0.45">
      <c r="K108" s="7">
        <v>106</v>
      </c>
      <c r="L108" s="65">
        <v>-20.000000000000007</v>
      </c>
    </row>
    <row r="109" spans="11:12" x14ac:dyDescent="0.45">
      <c r="K109" s="7">
        <v>107</v>
      </c>
      <c r="L109" s="65">
        <v>52.999999999999993</v>
      </c>
    </row>
    <row r="110" spans="11:12" x14ac:dyDescent="0.45">
      <c r="K110" s="7">
        <v>108</v>
      </c>
      <c r="L110" s="65">
        <v>-7.1054273576010019E-15</v>
      </c>
    </row>
    <row r="111" spans="11:12" x14ac:dyDescent="0.45">
      <c r="K111" s="7">
        <v>109</v>
      </c>
      <c r="L111" s="65">
        <v>54.399999999999991</v>
      </c>
    </row>
    <row r="112" spans="11:12" x14ac:dyDescent="0.45">
      <c r="K112" s="7">
        <v>110</v>
      </c>
      <c r="L112" s="65">
        <v>4.2999999999999901</v>
      </c>
    </row>
    <row r="113" spans="11:12" x14ac:dyDescent="0.45">
      <c r="K113" s="7">
        <v>111</v>
      </c>
      <c r="L113" s="65">
        <v>-9.7699626167013776E-15</v>
      </c>
    </row>
    <row r="114" spans="11:12" x14ac:dyDescent="0.45">
      <c r="K114" s="7">
        <v>112</v>
      </c>
      <c r="L114" s="65">
        <v>-48.20000000000001</v>
      </c>
    </row>
    <row r="115" spans="11:12" x14ac:dyDescent="0.45">
      <c r="K115" s="7">
        <v>113</v>
      </c>
      <c r="L115" s="65">
        <v>11.499999999999993</v>
      </c>
    </row>
    <row r="116" spans="11:12" x14ac:dyDescent="0.45">
      <c r="K116" s="7">
        <v>114</v>
      </c>
      <c r="L116" s="65">
        <v>-7.1054273576010019E-15</v>
      </c>
    </row>
    <row r="117" spans="11:12" x14ac:dyDescent="0.45">
      <c r="K117" s="7">
        <v>115</v>
      </c>
      <c r="L117" s="65">
        <v>22.299999999999994</v>
      </c>
    </row>
    <row r="118" spans="11:12" x14ac:dyDescent="0.45">
      <c r="K118" s="7">
        <v>116</v>
      </c>
      <c r="L118" s="65">
        <v>27.299999999999994</v>
      </c>
    </row>
    <row r="119" spans="11:12" x14ac:dyDescent="0.45">
      <c r="K119" s="7">
        <v>117</v>
      </c>
      <c r="L119" s="65">
        <v>-7.1054273576010019E-15</v>
      </c>
    </row>
    <row r="120" spans="11:12" x14ac:dyDescent="0.45">
      <c r="K120" s="7">
        <v>118</v>
      </c>
      <c r="L120" s="65">
        <v>-9.5000000000000071</v>
      </c>
    </row>
    <row r="121" spans="11:12" x14ac:dyDescent="0.45">
      <c r="K121" s="7">
        <v>119</v>
      </c>
      <c r="L121" s="65">
        <v>22.099999999999994</v>
      </c>
    </row>
    <row r="122" spans="11:12" x14ac:dyDescent="0.45">
      <c r="K122" s="7">
        <v>120</v>
      </c>
      <c r="L122" s="65">
        <v>-7.1054273576010019E-15</v>
      </c>
    </row>
    <row r="123" spans="11:12" x14ac:dyDescent="0.45">
      <c r="K123" s="7">
        <v>121</v>
      </c>
      <c r="L123" s="65">
        <v>-36.400000000000006</v>
      </c>
    </row>
    <row r="124" spans="11:12" x14ac:dyDescent="0.45">
      <c r="K124" s="7">
        <v>122</v>
      </c>
      <c r="L124" s="65">
        <v>-61.600000000000009</v>
      </c>
    </row>
    <row r="125" spans="11:12" x14ac:dyDescent="0.45">
      <c r="K125" s="7">
        <v>123</v>
      </c>
      <c r="L125" s="65">
        <v>-7.1054273576010019E-15</v>
      </c>
    </row>
    <row r="126" spans="11:12" x14ac:dyDescent="0.45">
      <c r="K126" s="7">
        <v>124</v>
      </c>
      <c r="L126" s="65">
        <v>-2.3000000000000069</v>
      </c>
    </row>
    <row r="127" spans="11:12" x14ac:dyDescent="0.45">
      <c r="K127" s="7">
        <v>125</v>
      </c>
      <c r="L127" s="65">
        <v>-24.800000000000008</v>
      </c>
    </row>
    <row r="128" spans="11:12" x14ac:dyDescent="0.45">
      <c r="K128" s="7">
        <v>126</v>
      </c>
      <c r="L128" s="65">
        <v>-7.1054273576010019E-15</v>
      </c>
    </row>
    <row r="129" spans="11:12" x14ac:dyDescent="0.45">
      <c r="K129" s="7">
        <v>127</v>
      </c>
      <c r="L129" s="65">
        <v>-27.500000000000007</v>
      </c>
    </row>
    <row r="130" spans="11:12" x14ac:dyDescent="0.45">
      <c r="K130" s="7">
        <v>128</v>
      </c>
      <c r="L130" s="65">
        <v>-22.000000000000007</v>
      </c>
    </row>
    <row r="131" spans="11:12" x14ac:dyDescent="0.45">
      <c r="K131" s="7">
        <v>129</v>
      </c>
      <c r="L131" s="65">
        <v>-7.1054273576010019E-15</v>
      </c>
    </row>
    <row r="132" spans="11:12" x14ac:dyDescent="0.45">
      <c r="K132" s="7">
        <v>130</v>
      </c>
      <c r="L132" s="65">
        <v>70</v>
      </c>
    </row>
    <row r="133" spans="11:12" x14ac:dyDescent="0.45">
      <c r="K133" s="7">
        <v>131</v>
      </c>
      <c r="L133" s="65">
        <v>46.5</v>
      </c>
    </row>
    <row r="134" spans="11:12" x14ac:dyDescent="0.45">
      <c r="K134" s="7">
        <v>132</v>
      </c>
      <c r="L134" s="65">
        <v>0</v>
      </c>
    </row>
    <row r="135" spans="11:12" x14ac:dyDescent="0.45">
      <c r="K135" s="7">
        <v>133</v>
      </c>
      <c r="L135" s="65">
        <v>-5.4</v>
      </c>
    </row>
    <row r="136" spans="11:12" x14ac:dyDescent="0.45">
      <c r="K136" s="7">
        <v>134</v>
      </c>
      <c r="L136" s="65">
        <v>31.9</v>
      </c>
    </row>
    <row r="137" spans="11:12" x14ac:dyDescent="0.45">
      <c r="K137" s="7">
        <v>135</v>
      </c>
      <c r="L137" s="65">
        <v>0</v>
      </c>
    </row>
    <row r="138" spans="11:12" x14ac:dyDescent="0.45">
      <c r="K138" s="7">
        <v>136</v>
      </c>
      <c r="L138" s="65">
        <v>1.3</v>
      </c>
    </row>
    <row r="139" spans="11:12" x14ac:dyDescent="0.45">
      <c r="K139" s="7">
        <v>137</v>
      </c>
      <c r="L139" s="65">
        <v>-13.799999999999999</v>
      </c>
    </row>
    <row r="140" spans="11:12" x14ac:dyDescent="0.45">
      <c r="K140" s="7">
        <v>138</v>
      </c>
      <c r="L140" s="65">
        <v>1.7763568394002505E-15</v>
      </c>
    </row>
    <row r="141" spans="11:12" x14ac:dyDescent="0.45">
      <c r="K141" s="7">
        <v>139</v>
      </c>
      <c r="L141" s="65">
        <v>87.3</v>
      </c>
    </row>
    <row r="142" spans="11:12" x14ac:dyDescent="0.45">
      <c r="K142" s="7">
        <v>140</v>
      </c>
      <c r="L142" s="65">
        <v>65</v>
      </c>
    </row>
    <row r="143" spans="11:12" x14ac:dyDescent="0.45">
      <c r="K143" s="7">
        <v>141</v>
      </c>
      <c r="L143" s="65">
        <v>0</v>
      </c>
    </row>
    <row r="144" spans="11:12" x14ac:dyDescent="0.45">
      <c r="K144" s="7">
        <v>142</v>
      </c>
      <c r="L144" s="65">
        <v>6.3</v>
      </c>
    </row>
    <row r="145" spans="11:12" x14ac:dyDescent="0.45">
      <c r="K145" s="7">
        <v>143</v>
      </c>
      <c r="L145" s="65">
        <v>52.9</v>
      </c>
    </row>
    <row r="146" spans="11:12" x14ac:dyDescent="0.45">
      <c r="K146" s="7">
        <v>144</v>
      </c>
      <c r="L146" s="65">
        <v>0</v>
      </c>
    </row>
    <row r="147" spans="11:12" x14ac:dyDescent="0.45">
      <c r="K147" s="7">
        <v>145</v>
      </c>
      <c r="L147" s="65">
        <v>-72.7</v>
      </c>
    </row>
    <row r="148" spans="11:12" x14ac:dyDescent="0.45">
      <c r="K148" s="7">
        <v>146</v>
      </c>
      <c r="L148" s="65">
        <v>-49.5</v>
      </c>
    </row>
    <row r="149" spans="11:12" x14ac:dyDescent="0.45">
      <c r="K149" s="7">
        <v>147</v>
      </c>
      <c r="L149" s="65">
        <v>0</v>
      </c>
    </row>
    <row r="150" spans="11:12" x14ac:dyDescent="0.45">
      <c r="K150" s="7">
        <v>148</v>
      </c>
      <c r="L150" s="65">
        <v>8.6</v>
      </c>
    </row>
    <row r="151" spans="11:12" x14ac:dyDescent="0.45">
      <c r="K151" s="7">
        <v>149</v>
      </c>
      <c r="L151" s="65">
        <v>46.6</v>
      </c>
    </row>
    <row r="152" spans="11:12" x14ac:dyDescent="0.45">
      <c r="K152" s="7">
        <v>150</v>
      </c>
      <c r="L152" s="65">
        <v>0</v>
      </c>
    </row>
    <row r="153" spans="11:12" x14ac:dyDescent="0.45">
      <c r="K153" s="7">
        <v>151</v>
      </c>
      <c r="L153" s="65">
        <v>-40.799999999999997</v>
      </c>
    </row>
    <row r="154" spans="11:12" x14ac:dyDescent="0.45">
      <c r="K154" s="7">
        <v>152</v>
      </c>
      <c r="L154" s="65">
        <v>-33.599999999999994</v>
      </c>
    </row>
    <row r="155" spans="11:12" x14ac:dyDescent="0.45">
      <c r="K155" s="7">
        <v>153</v>
      </c>
      <c r="L155" s="65">
        <v>7.1054273576010019E-15</v>
      </c>
    </row>
    <row r="156" spans="11:12" x14ac:dyDescent="0.45">
      <c r="K156" s="7">
        <v>154</v>
      </c>
      <c r="L156" s="65">
        <v>-33.399999999999991</v>
      </c>
    </row>
    <row r="157" spans="11:12" x14ac:dyDescent="0.45">
      <c r="K157" s="7">
        <v>155</v>
      </c>
      <c r="L157" s="65">
        <v>-41.599999999999994</v>
      </c>
    </row>
    <row r="158" spans="11:12" x14ac:dyDescent="0.45">
      <c r="K158" s="7">
        <v>156</v>
      </c>
      <c r="L158" s="65">
        <v>7.1054273576010019E-15</v>
      </c>
    </row>
    <row r="159" spans="11:12" x14ac:dyDescent="0.45">
      <c r="K159" s="7">
        <v>157</v>
      </c>
      <c r="L159" s="65">
        <v>-33.399999999999991</v>
      </c>
    </row>
    <row r="160" spans="11:12" x14ac:dyDescent="0.45">
      <c r="K160" s="7">
        <v>158</v>
      </c>
      <c r="L160" s="65">
        <v>57.600000000000009</v>
      </c>
    </row>
    <row r="161" spans="11:12" x14ac:dyDescent="0.45">
      <c r="K161" s="7">
        <v>159</v>
      </c>
      <c r="L161" s="65">
        <v>7.1054273576010019E-15</v>
      </c>
    </row>
    <row r="162" spans="11:12" x14ac:dyDescent="0.45">
      <c r="K162" s="7">
        <v>160</v>
      </c>
      <c r="L162" s="65">
        <v>6.8000000000000069</v>
      </c>
    </row>
    <row r="163" spans="11:12" x14ac:dyDescent="0.45">
      <c r="K163" s="7">
        <v>161</v>
      </c>
      <c r="L163" s="65">
        <v>48.1</v>
      </c>
    </row>
    <row r="164" spans="11:12" x14ac:dyDescent="0.45">
      <c r="K164" s="7">
        <v>162</v>
      </c>
      <c r="L164" s="65">
        <v>0</v>
      </c>
    </row>
    <row r="165" spans="11:12" x14ac:dyDescent="0.45">
      <c r="K165" s="7">
        <v>163</v>
      </c>
      <c r="L165" s="65">
        <v>64</v>
      </c>
    </row>
    <row r="166" spans="11:12" x14ac:dyDescent="0.45">
      <c r="K166" s="7">
        <v>164</v>
      </c>
      <c r="L166" s="65">
        <v>26.799999999999997</v>
      </c>
    </row>
    <row r="167" spans="11:12" x14ac:dyDescent="0.45">
      <c r="K167" s="7">
        <v>165</v>
      </c>
      <c r="L167" s="65">
        <v>-3.5527136788005009E-15</v>
      </c>
    </row>
    <row r="168" spans="11:12" x14ac:dyDescent="0.45">
      <c r="K168" s="7">
        <v>166</v>
      </c>
      <c r="L168" s="65">
        <v>-25.800000000000004</v>
      </c>
    </row>
    <row r="169" spans="11:12" x14ac:dyDescent="0.45">
      <c r="K169" s="7">
        <v>167</v>
      </c>
      <c r="L169" s="65">
        <v>-19.100000000000005</v>
      </c>
    </row>
    <row r="170" spans="11:12" x14ac:dyDescent="0.45">
      <c r="K170" s="7">
        <v>168</v>
      </c>
      <c r="L170" s="65">
        <v>-3.5527136788005009E-15</v>
      </c>
    </row>
    <row r="171" spans="11:12" x14ac:dyDescent="0.45">
      <c r="K171" s="7">
        <v>169</v>
      </c>
      <c r="L171" s="65">
        <v>3.1999999999999966</v>
      </c>
    </row>
    <row r="172" spans="11:12" x14ac:dyDescent="0.45">
      <c r="K172" s="7">
        <v>170</v>
      </c>
      <c r="L172" s="65">
        <v>-44.400000000000006</v>
      </c>
    </row>
    <row r="173" spans="11:12" x14ac:dyDescent="0.45">
      <c r="K173" s="7">
        <v>171</v>
      </c>
      <c r="L173" s="65">
        <v>-7.1054273576010019E-15</v>
      </c>
    </row>
    <row r="174" spans="11:12" x14ac:dyDescent="0.45">
      <c r="K174" s="7">
        <v>172</v>
      </c>
      <c r="L174" s="65">
        <v>-26.300000000000008</v>
      </c>
    </row>
    <row r="175" spans="11:12" x14ac:dyDescent="0.45">
      <c r="K175" s="7">
        <v>173</v>
      </c>
      <c r="L175" s="65">
        <v>-25.500000000000007</v>
      </c>
    </row>
    <row r="176" spans="11:12" x14ac:dyDescent="0.45">
      <c r="K176" s="7">
        <v>174</v>
      </c>
      <c r="L176" s="65">
        <v>-7.1054273576010019E-15</v>
      </c>
    </row>
    <row r="177" spans="11:12" x14ac:dyDescent="0.45">
      <c r="K177" s="7">
        <v>175</v>
      </c>
      <c r="L177" s="65">
        <v>54.699999999999996</v>
      </c>
    </row>
    <row r="178" spans="11:12" x14ac:dyDescent="0.45">
      <c r="K178" s="7">
        <v>176</v>
      </c>
      <c r="L178" s="65">
        <v>50.3</v>
      </c>
    </row>
    <row r="179" spans="11:12" x14ac:dyDescent="0.45">
      <c r="K179" s="7">
        <v>177</v>
      </c>
      <c r="L179" s="65">
        <v>0</v>
      </c>
    </row>
    <row r="180" spans="11:12" x14ac:dyDescent="0.45">
      <c r="K180" s="7">
        <v>178</v>
      </c>
      <c r="L180" s="65">
        <v>8.6</v>
      </c>
    </row>
    <row r="181" spans="11:12" x14ac:dyDescent="0.45">
      <c r="K181" s="7">
        <v>179</v>
      </c>
      <c r="L181" s="65">
        <v>47.300000000000004</v>
      </c>
    </row>
    <row r="182" spans="11:12" x14ac:dyDescent="0.45">
      <c r="K182" s="7">
        <v>180</v>
      </c>
      <c r="L182" s="65">
        <v>7.1054273576010019E-15</v>
      </c>
    </row>
    <row r="183" spans="11:12" x14ac:dyDescent="0.45">
      <c r="K183" s="7">
        <v>181</v>
      </c>
      <c r="L183" s="65">
        <v>-11.799999999999994</v>
      </c>
    </row>
    <row r="184" spans="11:12" x14ac:dyDescent="0.45">
      <c r="K184" s="7">
        <v>182</v>
      </c>
      <c r="L184" s="65">
        <v>-44.8</v>
      </c>
    </row>
    <row r="185" spans="11:12" x14ac:dyDescent="0.45">
      <c r="K185" s="7">
        <v>183</v>
      </c>
      <c r="L185" s="65">
        <v>0</v>
      </c>
    </row>
    <row r="186" spans="11:12" x14ac:dyDescent="0.45">
      <c r="K186" s="7">
        <v>184</v>
      </c>
      <c r="L186" s="65">
        <v>-45.6</v>
      </c>
    </row>
    <row r="187" spans="11:12" x14ac:dyDescent="0.45">
      <c r="K187" s="7">
        <v>185</v>
      </c>
      <c r="L187" s="65">
        <v>3.8999999999999986</v>
      </c>
    </row>
    <row r="188" spans="11:12" x14ac:dyDescent="0.45">
      <c r="K188" s="7">
        <v>186</v>
      </c>
      <c r="L188" s="65">
        <v>-1.3322676295501878E-15</v>
      </c>
    </row>
    <row r="189" spans="11:12" x14ac:dyDescent="0.45">
      <c r="K189" s="7">
        <v>187</v>
      </c>
      <c r="L189" s="65">
        <v>45.3</v>
      </c>
    </row>
    <row r="190" spans="11:12" x14ac:dyDescent="0.45">
      <c r="K190" s="7">
        <v>188</v>
      </c>
      <c r="L190" s="65">
        <v>40.599999999999994</v>
      </c>
    </row>
    <row r="191" spans="11:12" x14ac:dyDescent="0.45">
      <c r="K191" s="7">
        <v>189</v>
      </c>
      <c r="L191" s="65">
        <v>-7.1054273576010019E-15</v>
      </c>
    </row>
    <row r="192" spans="11:12" x14ac:dyDescent="0.45">
      <c r="K192" s="7">
        <v>190</v>
      </c>
      <c r="L192" s="65">
        <v>-54.400000000000006</v>
      </c>
    </row>
    <row r="193" spans="11:12" x14ac:dyDescent="0.45">
      <c r="K193" s="7">
        <v>191</v>
      </c>
      <c r="L193" s="65">
        <v>16.599999999999994</v>
      </c>
    </row>
    <row r="194" spans="11:12" x14ac:dyDescent="0.45">
      <c r="K194" s="7">
        <v>192</v>
      </c>
      <c r="L194" s="65">
        <v>-7.1054273576010019E-15</v>
      </c>
    </row>
    <row r="195" spans="11:12" x14ac:dyDescent="0.45">
      <c r="K195" s="7">
        <v>193</v>
      </c>
      <c r="L195" s="65">
        <v>-23.700000000000006</v>
      </c>
    </row>
    <row r="196" spans="11:12" x14ac:dyDescent="0.45">
      <c r="K196" s="7">
        <v>194</v>
      </c>
      <c r="L196" s="65">
        <v>-22.300000000000008</v>
      </c>
    </row>
    <row r="197" spans="11:12" x14ac:dyDescent="0.45">
      <c r="K197" s="7">
        <v>195</v>
      </c>
      <c r="L197" s="65">
        <v>-7.1054273576010019E-15</v>
      </c>
    </row>
    <row r="198" spans="11:12" x14ac:dyDescent="0.45">
      <c r="K198" s="7">
        <v>196</v>
      </c>
      <c r="L198" s="65">
        <v>-50.400000000000006</v>
      </c>
    </row>
    <row r="199" spans="11:12" x14ac:dyDescent="0.45">
      <c r="K199" s="7">
        <v>197</v>
      </c>
      <c r="L199" s="65">
        <v>-79.100000000000009</v>
      </c>
    </row>
    <row r="200" spans="11:12" x14ac:dyDescent="0.45">
      <c r="K200" s="7">
        <v>198</v>
      </c>
      <c r="L200" s="65">
        <v>-1.4210854715202004E-14</v>
      </c>
    </row>
    <row r="201" spans="11:12" x14ac:dyDescent="0.45">
      <c r="K201" s="7">
        <v>199</v>
      </c>
      <c r="L201" s="65">
        <v>29.399999999999984</v>
      </c>
    </row>
    <row r="202" spans="11:12" x14ac:dyDescent="0.45">
      <c r="K202" s="7">
        <v>200</v>
      </c>
      <c r="L202" s="65">
        <v>-6.5000000000000142</v>
      </c>
    </row>
    <row r="203" spans="11:12" x14ac:dyDescent="0.45">
      <c r="K203" s="7">
        <v>201</v>
      </c>
      <c r="L203" s="65">
        <v>-1.4210854715202004E-14</v>
      </c>
    </row>
    <row r="204" spans="11:12" x14ac:dyDescent="0.45">
      <c r="K204" s="7">
        <v>202</v>
      </c>
      <c r="L204" s="65">
        <v>12.499999999999986</v>
      </c>
    </row>
    <row r="205" spans="11:12" x14ac:dyDescent="0.45">
      <c r="K205" s="7">
        <v>203</v>
      </c>
      <c r="L205" s="65">
        <v>13.199999999999985</v>
      </c>
    </row>
    <row r="206" spans="11:12" x14ac:dyDescent="0.45">
      <c r="K206" s="7">
        <v>204</v>
      </c>
      <c r="L206" s="65">
        <v>-1.4210854715202004E-14</v>
      </c>
    </row>
    <row r="207" spans="11:12" x14ac:dyDescent="0.45">
      <c r="K207" s="7">
        <v>205</v>
      </c>
      <c r="L207" s="65">
        <v>40.099999999999987</v>
      </c>
    </row>
    <row r="208" spans="11:12" x14ac:dyDescent="0.45">
      <c r="K208" s="7">
        <v>206</v>
      </c>
      <c r="L208" s="65">
        <v>4.7999999999999901</v>
      </c>
    </row>
    <row r="209" spans="11:12" x14ac:dyDescent="0.45">
      <c r="K209" s="7">
        <v>207</v>
      </c>
      <c r="L209" s="65">
        <v>-9.7699626167013776E-15</v>
      </c>
    </row>
    <row r="210" spans="11:12" x14ac:dyDescent="0.45">
      <c r="K210" s="7">
        <v>208</v>
      </c>
      <c r="L210" s="65">
        <v>5.4999999999999902</v>
      </c>
    </row>
    <row r="211" spans="11:12" x14ac:dyDescent="0.45">
      <c r="K211" s="7">
        <v>209</v>
      </c>
      <c r="L211" s="65">
        <v>-45.100000000000009</v>
      </c>
    </row>
    <row r="212" spans="11:12" x14ac:dyDescent="0.45">
      <c r="K212" s="7">
        <v>210</v>
      </c>
      <c r="L212" s="65">
        <v>-7.1054273576010019E-15</v>
      </c>
    </row>
    <row r="213" spans="11:12" x14ac:dyDescent="0.45">
      <c r="K213" s="7">
        <v>211</v>
      </c>
      <c r="L213" s="65">
        <v>-25.900000000000006</v>
      </c>
    </row>
    <row r="214" spans="11:12" x14ac:dyDescent="0.45">
      <c r="K214" s="7">
        <v>212</v>
      </c>
      <c r="L214" s="65">
        <v>-21.000000000000007</v>
      </c>
    </row>
    <row r="215" spans="11:12" x14ac:dyDescent="0.45">
      <c r="K215" s="7">
        <v>213</v>
      </c>
      <c r="L215" s="65">
        <v>-7.1054273576010019E-15</v>
      </c>
    </row>
    <row r="216" spans="11:12" x14ac:dyDescent="0.45">
      <c r="K216" s="7">
        <v>214</v>
      </c>
      <c r="L216" s="65">
        <v>73.699999999999989</v>
      </c>
    </row>
    <row r="217" spans="11:12" x14ac:dyDescent="0.45">
      <c r="K217" s="7">
        <v>215</v>
      </c>
      <c r="L217" s="65">
        <v>51.199999999999989</v>
      </c>
    </row>
    <row r="218" spans="11:12" x14ac:dyDescent="0.45">
      <c r="K218" s="7">
        <v>216</v>
      </c>
      <c r="L218" s="65">
        <v>-1.4210854715202004E-14</v>
      </c>
    </row>
    <row r="219" spans="11:12" x14ac:dyDescent="0.45">
      <c r="K219" s="7">
        <v>217</v>
      </c>
      <c r="L219" s="65">
        <v>-65.200000000000017</v>
      </c>
    </row>
    <row r="220" spans="11:12" x14ac:dyDescent="0.45">
      <c r="K220" s="7">
        <v>218</v>
      </c>
      <c r="L220" s="65">
        <v>-45.800000000000018</v>
      </c>
    </row>
    <row r="221" spans="11:12" x14ac:dyDescent="0.45">
      <c r="K221" s="7">
        <v>219</v>
      </c>
      <c r="L221" s="65">
        <v>-2.1316282072803006E-14</v>
      </c>
    </row>
    <row r="222" spans="11:12" x14ac:dyDescent="0.45">
      <c r="K222" s="7">
        <v>220</v>
      </c>
      <c r="L222" s="65">
        <v>6.4999999999999787</v>
      </c>
    </row>
    <row r="223" spans="11:12" x14ac:dyDescent="0.45">
      <c r="K223" s="7">
        <v>221</v>
      </c>
      <c r="L223" s="65">
        <v>-32.500000000000021</v>
      </c>
    </row>
    <row r="224" spans="11:12" x14ac:dyDescent="0.45">
      <c r="K224" s="7">
        <v>222</v>
      </c>
      <c r="L224" s="65">
        <v>-2.1316282072803006E-14</v>
      </c>
    </row>
    <row r="225" spans="11:12" x14ac:dyDescent="0.45">
      <c r="K225" s="7">
        <v>223</v>
      </c>
      <c r="L225" s="65">
        <v>-23.300000000000022</v>
      </c>
    </row>
    <row r="226" spans="11:12" x14ac:dyDescent="0.45">
      <c r="K226" s="7">
        <v>224</v>
      </c>
      <c r="L226" s="65">
        <v>-57.90000000000002</v>
      </c>
    </row>
    <row r="227" spans="11:12" x14ac:dyDescent="0.45">
      <c r="K227" s="7">
        <v>225</v>
      </c>
      <c r="L227" s="65">
        <v>-2.1316282072803006E-14</v>
      </c>
    </row>
    <row r="228" spans="11:12" x14ac:dyDescent="0.45">
      <c r="K228" s="7">
        <v>226</v>
      </c>
      <c r="L228" s="65">
        <v>-39.100000000000023</v>
      </c>
    </row>
    <row r="229" spans="11:12" x14ac:dyDescent="0.45">
      <c r="K229" s="7">
        <v>227</v>
      </c>
      <c r="L229" s="65">
        <v>-25.300000000000022</v>
      </c>
    </row>
    <row r="230" spans="11:12" x14ac:dyDescent="0.45">
      <c r="K230" s="7">
        <v>228</v>
      </c>
      <c r="L230" s="65">
        <v>-2.1316282072803006E-14</v>
      </c>
    </row>
    <row r="231" spans="11:12" x14ac:dyDescent="0.45">
      <c r="K231" s="7">
        <v>229</v>
      </c>
      <c r="L231" s="65">
        <v>-6.3000000000000211</v>
      </c>
    </row>
    <row r="232" spans="11:12" x14ac:dyDescent="0.45">
      <c r="K232" s="7">
        <v>230</v>
      </c>
      <c r="L232" s="65">
        <v>45.59999999999998</v>
      </c>
    </row>
    <row r="233" spans="11:12" x14ac:dyDescent="0.45">
      <c r="K233" s="7">
        <v>231</v>
      </c>
      <c r="L233" s="65">
        <v>-2.1316282072803006E-14</v>
      </c>
    </row>
    <row r="234" spans="11:12" x14ac:dyDescent="0.45">
      <c r="K234" s="7">
        <v>232</v>
      </c>
      <c r="L234" s="65">
        <v>28.499999999999979</v>
      </c>
    </row>
    <row r="235" spans="11:12" x14ac:dyDescent="0.45">
      <c r="K235" s="7">
        <v>233</v>
      </c>
      <c r="L235" s="65">
        <v>8.2999999999999794</v>
      </c>
    </row>
    <row r="236" spans="11:12" x14ac:dyDescent="0.45">
      <c r="K236" s="7">
        <v>234</v>
      </c>
      <c r="L236" s="65">
        <v>-2.1316282072803006E-14</v>
      </c>
    </row>
    <row r="237" spans="11:12" x14ac:dyDescent="0.45">
      <c r="K237" s="7">
        <v>235</v>
      </c>
      <c r="L237" s="65">
        <v>-25.700000000000021</v>
      </c>
    </row>
    <row r="238" spans="11:12" x14ac:dyDescent="0.45">
      <c r="K238" s="7">
        <v>236</v>
      </c>
      <c r="L238" s="65">
        <v>-18.600000000000023</v>
      </c>
    </row>
    <row r="239" spans="11:12" x14ac:dyDescent="0.45">
      <c r="K239" s="7">
        <v>237</v>
      </c>
      <c r="L239" s="65">
        <v>-2.1316282072803006E-14</v>
      </c>
    </row>
    <row r="240" spans="11:12" x14ac:dyDescent="0.45">
      <c r="K240" s="7">
        <v>238</v>
      </c>
      <c r="L240" s="65">
        <v>-1.4000000000000212</v>
      </c>
    </row>
    <row r="241" spans="11:12" x14ac:dyDescent="0.45">
      <c r="K241" s="7">
        <v>239</v>
      </c>
      <c r="L241" s="65">
        <v>21.799999999999979</v>
      </c>
    </row>
    <row r="242" spans="11:12" x14ac:dyDescent="0.45">
      <c r="K242" s="7">
        <v>240</v>
      </c>
      <c r="L242" s="65">
        <v>-2.1316282072803006E-14</v>
      </c>
    </row>
    <row r="243" spans="11:12" x14ac:dyDescent="0.45">
      <c r="K243" s="7">
        <v>241</v>
      </c>
      <c r="L243" s="65">
        <v>-33.000000000000021</v>
      </c>
    </row>
    <row r="244" spans="11:12" x14ac:dyDescent="0.45">
      <c r="K244" s="7">
        <v>242</v>
      </c>
      <c r="L244" s="65">
        <v>-40.90000000000002</v>
      </c>
    </row>
    <row r="245" spans="11:12" x14ac:dyDescent="0.45">
      <c r="K245" s="7">
        <v>243</v>
      </c>
      <c r="L245" s="65">
        <v>-2.1316282072803006E-14</v>
      </c>
    </row>
    <row r="246" spans="11:12" x14ac:dyDescent="0.45">
      <c r="K246" s="7">
        <v>244</v>
      </c>
      <c r="L246" s="65">
        <v>-3.4000000000000212</v>
      </c>
    </row>
    <row r="247" spans="11:12" x14ac:dyDescent="0.45">
      <c r="K247" s="7">
        <v>245</v>
      </c>
      <c r="L247" s="65">
        <v>14.499999999999977</v>
      </c>
    </row>
    <row r="248" spans="11:12" x14ac:dyDescent="0.45">
      <c r="K248" s="7">
        <v>246</v>
      </c>
      <c r="L248" s="65">
        <v>-2.3092638912203256E-14</v>
      </c>
    </row>
    <row r="249" spans="11:12" x14ac:dyDescent="0.45">
      <c r="K249" s="7">
        <v>247</v>
      </c>
      <c r="L249" s="65">
        <v>-29.800000000000026</v>
      </c>
    </row>
    <row r="250" spans="11:12" x14ac:dyDescent="0.45">
      <c r="K250" s="7">
        <v>248</v>
      </c>
      <c r="L250" s="65">
        <v>4.099999999999973</v>
      </c>
    </row>
    <row r="251" spans="11:12" x14ac:dyDescent="0.45">
      <c r="K251" s="7">
        <v>249</v>
      </c>
      <c r="L251" s="65">
        <v>-2.6645352591003757E-14</v>
      </c>
    </row>
    <row r="252" spans="11:12" x14ac:dyDescent="0.45">
      <c r="K252" s="7">
        <v>250</v>
      </c>
      <c r="L252" s="65">
        <v>13.499999999999973</v>
      </c>
    </row>
    <row r="253" spans="11:12" x14ac:dyDescent="0.45">
      <c r="K253" s="7">
        <v>251</v>
      </c>
      <c r="L253" s="65">
        <v>-34.500000000000028</v>
      </c>
    </row>
    <row r="254" spans="11:12" x14ac:dyDescent="0.45">
      <c r="K254" s="7">
        <v>252</v>
      </c>
      <c r="L254" s="65">
        <v>-2.8421709430404007E-14</v>
      </c>
    </row>
    <row r="255" spans="11:12" x14ac:dyDescent="0.45">
      <c r="K255" s="7">
        <v>253</v>
      </c>
      <c r="L255" s="65">
        <v>-46.300000000000026</v>
      </c>
    </row>
    <row r="256" spans="11:12" x14ac:dyDescent="0.45">
      <c r="K256" s="7">
        <v>254</v>
      </c>
      <c r="L256" s="65">
        <v>-43.500000000000028</v>
      </c>
    </row>
    <row r="257" spans="11:12" x14ac:dyDescent="0.45">
      <c r="K257" s="7">
        <v>255</v>
      </c>
      <c r="L257" s="65">
        <v>-2.8421709430404007E-14</v>
      </c>
    </row>
    <row r="258" spans="11:12" x14ac:dyDescent="0.45">
      <c r="K258" s="7">
        <v>256</v>
      </c>
      <c r="L258" s="65">
        <v>-23.60000000000003</v>
      </c>
    </row>
    <row r="259" spans="11:12" x14ac:dyDescent="0.45">
      <c r="K259" s="7">
        <v>257</v>
      </c>
      <c r="L259" s="65">
        <v>45.499999999999964</v>
      </c>
    </row>
    <row r="260" spans="11:12" x14ac:dyDescent="0.45">
      <c r="K260" s="7">
        <v>258</v>
      </c>
      <c r="L260" s="65">
        <v>-3.5527136788005009E-14</v>
      </c>
    </row>
  </sheetData>
  <sortState xmlns:xlrd2="http://schemas.microsoft.com/office/spreadsheetml/2017/richdata2" ref="N15:Q23">
    <sortCondition descending="1" ref="O15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18D65C-B606-4D70-86A4-57219BECBEDF}">
  <sheetPr codeName="Sheet7"/>
  <dimension ref="A1:Q52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29" t="s">
        <v>164</v>
      </c>
      <c r="C1" s="130"/>
      <c r="E1" s="108" t="s">
        <v>155</v>
      </c>
      <c r="F1" s="120" t="s">
        <v>115</v>
      </c>
      <c r="G1" s="119" t="s">
        <v>116</v>
      </c>
      <c r="H1" s="90" t="s">
        <v>117</v>
      </c>
      <c r="I1" s="120" t="s">
        <v>146</v>
      </c>
      <c r="K1" s="4" t="s">
        <v>19</v>
      </c>
      <c r="L1" s="120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5">
      <c r="A2" s="20" t="s">
        <v>9</v>
      </c>
      <c r="B2" s="131">
        <v>48</v>
      </c>
      <c r="C2" s="132"/>
      <c r="E2" s="28" t="s">
        <v>66</v>
      </c>
      <c r="F2" s="25" t="s">
        <v>22</v>
      </c>
      <c r="G2" s="13">
        <v>91</v>
      </c>
      <c r="H2" s="91">
        <f>IF(B$19=0,0,G2/B$19)</f>
        <v>0.85046728971962615</v>
      </c>
      <c r="I2" s="59">
        <v>3</v>
      </c>
      <c r="K2" s="5">
        <v>0</v>
      </c>
      <c r="L2" s="64">
        <v>0</v>
      </c>
      <c r="N2" s="77" t="s">
        <v>128</v>
      </c>
      <c r="O2" s="83">
        <f t="shared" ref="O2:O7" si="0">IF(P2=0,0,Q2/P2)</f>
        <v>-1295.7446808510638</v>
      </c>
      <c r="P2" s="80">
        <v>47</v>
      </c>
      <c r="Q2" s="67">
        <v>-60900</v>
      </c>
    </row>
    <row r="3" spans="1:17" x14ac:dyDescent="0.45">
      <c r="A3" s="21" t="s">
        <v>8</v>
      </c>
      <c r="B3" s="133">
        <v>387</v>
      </c>
      <c r="C3" s="134"/>
      <c r="E3" s="29" t="s">
        <v>64</v>
      </c>
      <c r="F3" s="26" t="s">
        <v>20</v>
      </c>
      <c r="G3" s="14">
        <v>54</v>
      </c>
      <c r="H3" s="92">
        <f>IF(B$19=0,0,G3/B$19)</f>
        <v>0.50467289719626163</v>
      </c>
      <c r="I3" s="60">
        <v>4</v>
      </c>
      <c r="K3" s="7">
        <v>1</v>
      </c>
      <c r="L3" s="65">
        <v>-2.9</v>
      </c>
      <c r="N3" s="78" t="s">
        <v>129</v>
      </c>
      <c r="O3" s="84">
        <f t="shared" si="0"/>
        <v>-1700</v>
      </c>
      <c r="P3" s="81">
        <v>46</v>
      </c>
      <c r="Q3" s="68">
        <v>-78200</v>
      </c>
    </row>
    <row r="4" spans="1:17" x14ac:dyDescent="0.45">
      <c r="A4" s="21" t="s">
        <v>6</v>
      </c>
      <c r="B4" s="135">
        <v>-87.900000000000063</v>
      </c>
      <c r="C4" s="136"/>
      <c r="E4" s="29" t="s">
        <v>72</v>
      </c>
      <c r="F4" s="26" t="s">
        <v>27</v>
      </c>
      <c r="G4" s="14">
        <v>54</v>
      </c>
      <c r="H4" s="92">
        <f>IF(B$19=0,0,G4/B$19)</f>
        <v>0.50467289719626163</v>
      </c>
      <c r="I4" s="60">
        <v>7</v>
      </c>
      <c r="K4" s="7">
        <v>2</v>
      </c>
      <c r="L4" s="65">
        <v>32.9</v>
      </c>
      <c r="N4" s="78" t="s">
        <v>130</v>
      </c>
      <c r="O4" s="84">
        <f t="shared" si="0"/>
        <v>604.76190476190482</v>
      </c>
      <c r="P4" s="81">
        <v>42</v>
      </c>
      <c r="Q4" s="68">
        <v>25400</v>
      </c>
    </row>
    <row r="5" spans="1:17" x14ac:dyDescent="0.45">
      <c r="A5" s="21" t="s">
        <v>7</v>
      </c>
      <c r="B5" s="123">
        <f>IF(B$2=0,0,B$4/B$2)</f>
        <v>-1.8312500000000014</v>
      </c>
      <c r="C5" s="124"/>
      <c r="E5" s="29" t="s">
        <v>160</v>
      </c>
      <c r="F5" s="26" t="s">
        <v>161</v>
      </c>
      <c r="G5" s="14">
        <v>53</v>
      </c>
      <c r="H5" s="92">
        <f>IF(B$19=0,0,G5/B$19)</f>
        <v>0.49532710280373832</v>
      </c>
      <c r="I5" s="60">
        <v>3</v>
      </c>
      <c r="K5" s="7">
        <v>3</v>
      </c>
      <c r="L5" s="65">
        <v>61.5</v>
      </c>
      <c r="N5" s="78" t="s">
        <v>131</v>
      </c>
      <c r="O5" s="84">
        <f t="shared" si="0"/>
        <v>-1710.5263157894738</v>
      </c>
      <c r="P5" s="81">
        <v>38</v>
      </c>
      <c r="Q5" s="68">
        <v>-65000</v>
      </c>
    </row>
    <row r="6" spans="1:17" x14ac:dyDescent="0.45">
      <c r="A6" s="21" t="s">
        <v>1</v>
      </c>
      <c r="B6" s="137">
        <f>IF(B$2=0,0,(B$7*1+B$8*2+B$9*3)/B$2)</f>
        <v>2.0416666666666665</v>
      </c>
      <c r="C6" s="138"/>
      <c r="E6" s="29" t="s">
        <v>68</v>
      </c>
      <c r="F6" s="26" t="s">
        <v>12</v>
      </c>
      <c r="G6" s="14">
        <v>30</v>
      </c>
      <c r="H6" s="92">
        <f>IF(B$19=0,0,G6/B$19)</f>
        <v>0.28037383177570091</v>
      </c>
      <c r="I6" s="60">
        <v>6</v>
      </c>
      <c r="K6" s="7">
        <v>4</v>
      </c>
      <c r="L6" s="65">
        <v>27.4</v>
      </c>
      <c r="N6" s="78" t="s">
        <v>132</v>
      </c>
      <c r="O6" s="84">
        <f t="shared" si="0"/>
        <v>302.85714285714283</v>
      </c>
      <c r="P6" s="81">
        <v>35</v>
      </c>
      <c r="Q6" s="68">
        <v>10600</v>
      </c>
    </row>
    <row r="7" spans="1:17" x14ac:dyDescent="0.45">
      <c r="A7" s="21" t="s">
        <v>2</v>
      </c>
      <c r="B7" s="14">
        <v>18</v>
      </c>
      <c r="C7" s="8">
        <f t="shared" ref="C7:C14" si="1">IF(B$2=0,0,B7/B$2)</f>
        <v>0.375</v>
      </c>
      <c r="E7" s="29" t="s">
        <v>67</v>
      </c>
      <c r="F7" s="26" t="s">
        <v>23</v>
      </c>
      <c r="G7" s="14">
        <v>27</v>
      </c>
      <c r="H7" s="92">
        <f>IF(B$19=0,0,G7/B$19)</f>
        <v>0.25233644859813081</v>
      </c>
      <c r="I7" s="60">
        <v>5</v>
      </c>
      <c r="K7" s="7">
        <v>5</v>
      </c>
      <c r="L7" s="65">
        <v>18</v>
      </c>
      <c r="N7" s="79" t="s">
        <v>133</v>
      </c>
      <c r="O7" s="85">
        <f t="shared" si="0"/>
        <v>3638.4615384615386</v>
      </c>
      <c r="P7" s="82">
        <v>26</v>
      </c>
      <c r="Q7" s="69">
        <v>94600</v>
      </c>
    </row>
    <row r="8" spans="1:17" x14ac:dyDescent="0.45">
      <c r="A8" s="21" t="s">
        <v>3</v>
      </c>
      <c r="B8" s="14">
        <v>10</v>
      </c>
      <c r="C8" s="8">
        <f t="shared" si="1"/>
        <v>0.20833333333333334</v>
      </c>
      <c r="E8" s="29" t="s">
        <v>89</v>
      </c>
      <c r="F8" s="26" t="s">
        <v>44</v>
      </c>
      <c r="G8" s="14">
        <v>15</v>
      </c>
      <c r="H8" s="92">
        <f>IF(B$19=0,0,G8/B$19)</f>
        <v>0.14018691588785046</v>
      </c>
      <c r="I8" s="60">
        <v>6</v>
      </c>
      <c r="K8" s="7">
        <v>6</v>
      </c>
      <c r="L8" s="65">
        <v>43.6</v>
      </c>
      <c r="N8" s="111"/>
      <c r="O8" s="89"/>
      <c r="P8" s="112"/>
      <c r="Q8" s="74"/>
    </row>
    <row r="9" spans="1:17" x14ac:dyDescent="0.45">
      <c r="A9" s="22" t="s">
        <v>4</v>
      </c>
      <c r="B9" s="15">
        <v>20</v>
      </c>
      <c r="C9" s="9">
        <f t="shared" si="1"/>
        <v>0.41666666666666669</v>
      </c>
      <c r="E9" s="29" t="s">
        <v>70</v>
      </c>
      <c r="F9" s="26" t="s">
        <v>25</v>
      </c>
      <c r="G9" s="14">
        <v>13</v>
      </c>
      <c r="H9" s="92">
        <f>IF(B$19=0,0,G9/B$19)</f>
        <v>0.12149532710280374</v>
      </c>
      <c r="I9" s="60">
        <v>4</v>
      </c>
      <c r="K9" s="7">
        <v>7</v>
      </c>
      <c r="L9" s="65">
        <v>16.900000000000002</v>
      </c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5">
      <c r="A10" s="22" t="s">
        <v>185</v>
      </c>
      <c r="B10" s="113">
        <f>IF(B7=0,0,C10/B7)</f>
        <v>41.461111111111123</v>
      </c>
      <c r="C10" s="114">
        <v>746.30000000000018</v>
      </c>
      <c r="E10" s="29" t="s">
        <v>65</v>
      </c>
      <c r="F10" s="26" t="s">
        <v>21</v>
      </c>
      <c r="G10" s="14">
        <v>11</v>
      </c>
      <c r="H10" s="92">
        <f>IF(B$19=0,0,G10/B$19)</f>
        <v>0.10280373831775701</v>
      </c>
      <c r="I10" s="60">
        <v>5</v>
      </c>
      <c r="K10" s="7">
        <v>8</v>
      </c>
      <c r="L10" s="65">
        <v>-9.9999999999999964</v>
      </c>
      <c r="N10" s="77" t="s">
        <v>152</v>
      </c>
      <c r="O10" s="86">
        <f>IF(P10=0,0,Q10/P10)</f>
        <v>-11.394117647058826</v>
      </c>
      <c r="P10" s="80">
        <v>17</v>
      </c>
      <c r="Q10" s="71">
        <v>-193.70000000000005</v>
      </c>
    </row>
    <row r="11" spans="1:17" x14ac:dyDescent="0.45">
      <c r="A11" s="22" t="s">
        <v>186</v>
      </c>
      <c r="B11" s="113">
        <f>IF(B8=0,0,C11/B8)</f>
        <v>-2.7</v>
      </c>
      <c r="C11" s="114">
        <v>-27</v>
      </c>
      <c r="E11" s="29" t="s">
        <v>69</v>
      </c>
      <c r="F11" s="26" t="s">
        <v>24</v>
      </c>
      <c r="G11" s="14">
        <v>11</v>
      </c>
      <c r="H11" s="92">
        <f>IF(B$19=0,0,G11/B$19)</f>
        <v>0.10280373831775701</v>
      </c>
      <c r="I11" s="60">
        <v>8</v>
      </c>
      <c r="K11" s="7">
        <v>9</v>
      </c>
      <c r="L11" s="65">
        <v>33.5</v>
      </c>
      <c r="N11" s="78" t="s">
        <v>153</v>
      </c>
      <c r="O11" s="87">
        <f>IF(P11=0,0,Q11/P11)</f>
        <v>13.533333333333331</v>
      </c>
      <c r="P11" s="81">
        <v>12</v>
      </c>
      <c r="Q11" s="72">
        <v>162.39999999999998</v>
      </c>
    </row>
    <row r="12" spans="1:17" x14ac:dyDescent="0.45">
      <c r="A12" s="22" t="s">
        <v>187</v>
      </c>
      <c r="B12" s="113">
        <f>IF(B9=0,0,C12/B9)</f>
        <v>-40.359999999999992</v>
      </c>
      <c r="C12" s="114">
        <v>-807.19999999999982</v>
      </c>
      <c r="E12" s="29" t="s">
        <v>86</v>
      </c>
      <c r="F12" s="26" t="s">
        <v>41</v>
      </c>
      <c r="G12" s="14">
        <v>10</v>
      </c>
      <c r="H12" s="92">
        <f>IF(B$19=0,0,G12/B$19)</f>
        <v>9.3457943925233641E-2</v>
      </c>
      <c r="I12" s="60">
        <v>2</v>
      </c>
      <c r="K12" s="7">
        <v>10</v>
      </c>
      <c r="L12" s="65">
        <v>26</v>
      </c>
      <c r="N12" s="79" t="s">
        <v>154</v>
      </c>
      <c r="O12" s="88">
        <f>IF(P12=0,0,Q12/P12)</f>
        <v>-2.9789473684210517</v>
      </c>
      <c r="P12" s="82">
        <v>19</v>
      </c>
      <c r="Q12" s="73">
        <v>-56.59999999999998</v>
      </c>
    </row>
    <row r="13" spans="1:17" x14ac:dyDescent="0.45">
      <c r="A13" s="22" t="s">
        <v>188</v>
      </c>
      <c r="B13" s="123">
        <f>AVERAGE(B10:B12)</f>
        <v>-0.53296296296295742</v>
      </c>
      <c r="C13" s="124"/>
      <c r="E13" s="29" t="s">
        <v>91</v>
      </c>
      <c r="F13" s="26" t="s">
        <v>46</v>
      </c>
      <c r="G13" s="14">
        <v>7</v>
      </c>
      <c r="H13" s="92">
        <f>IF(B$19=0,0,G13/B$19)</f>
        <v>6.5420560747663545E-2</v>
      </c>
      <c r="I13" s="60">
        <v>1</v>
      </c>
      <c r="K13" s="7">
        <v>11</v>
      </c>
      <c r="L13" s="65">
        <v>-8.7000000000000028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9</v>
      </c>
      <c r="C14" s="11">
        <f t="shared" si="1"/>
        <v>0.1875</v>
      </c>
      <c r="E14" s="29" t="s">
        <v>71</v>
      </c>
      <c r="F14" s="26" t="s">
        <v>26</v>
      </c>
      <c r="G14" s="14">
        <v>6</v>
      </c>
      <c r="H14" s="92">
        <f>IF(B$19=0,0,G14/B$19)</f>
        <v>5.6074766355140186E-2</v>
      </c>
      <c r="I14" s="60">
        <v>7</v>
      </c>
      <c r="K14" s="7">
        <v>12</v>
      </c>
      <c r="L14" s="65">
        <v>15.899999999999999</v>
      </c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5">
      <c r="A15" s="24" t="s">
        <v>121</v>
      </c>
      <c r="B15" s="17">
        <v>115</v>
      </c>
      <c r="C15" s="12">
        <f>IF(B$3=0,0,B15/B$3)</f>
        <v>0.29715762273901808</v>
      </c>
      <c r="E15" s="29" t="s">
        <v>78</v>
      </c>
      <c r="F15" s="26" t="s">
        <v>33</v>
      </c>
      <c r="G15" s="14">
        <v>4</v>
      </c>
      <c r="H15" s="92">
        <f>IF(B$19=0,0,G15/B$19)</f>
        <v>3.7383177570093455E-2</v>
      </c>
      <c r="I15" s="60">
        <v>5</v>
      </c>
      <c r="K15" s="7">
        <v>13</v>
      </c>
      <c r="L15" s="65">
        <v>-33.5</v>
      </c>
      <c r="N15" s="77" t="s">
        <v>189</v>
      </c>
      <c r="O15" s="86">
        <f>IF(P15=0,0,Q15/P15)</f>
        <v>26.674999999999997</v>
      </c>
      <c r="P15" s="80">
        <v>4</v>
      </c>
      <c r="Q15" s="71">
        <v>106.69999999999999</v>
      </c>
    </row>
    <row r="16" spans="1:17" x14ac:dyDescent="0.45">
      <c r="A16" s="21" t="s">
        <v>118</v>
      </c>
      <c r="B16" s="14">
        <v>78</v>
      </c>
      <c r="C16" s="8">
        <f>IF(B$3=0,0,B16/B$3)</f>
        <v>0.20155038759689922</v>
      </c>
      <c r="E16" s="29" t="s">
        <v>81</v>
      </c>
      <c r="F16" s="26" t="s">
        <v>36</v>
      </c>
      <c r="G16" s="14">
        <v>4</v>
      </c>
      <c r="H16" s="92">
        <f>IF(B$19=0,0,G16/B$19)</f>
        <v>3.7383177570093455E-2</v>
      </c>
      <c r="I16" s="60">
        <v>2</v>
      </c>
      <c r="K16" s="7">
        <v>14</v>
      </c>
      <c r="L16" s="65">
        <v>15.100000000000001</v>
      </c>
      <c r="N16" s="78" t="s">
        <v>205</v>
      </c>
      <c r="O16" s="87">
        <f>IF(P16=0,0,Q16/P16)</f>
        <v>12.339999999999998</v>
      </c>
      <c r="P16" s="81">
        <v>10</v>
      </c>
      <c r="Q16" s="72">
        <v>123.39999999999998</v>
      </c>
    </row>
    <row r="17" spans="1:17" x14ac:dyDescent="0.45">
      <c r="A17" s="20" t="s">
        <v>123</v>
      </c>
      <c r="B17" s="13">
        <f>B23</f>
        <v>53</v>
      </c>
      <c r="C17" s="6">
        <f>IF(B$15=0,0,B17/B$15)</f>
        <v>0.46086956521739131</v>
      </c>
      <c r="E17" s="29" t="s">
        <v>79</v>
      </c>
      <c r="F17" s="26" t="s">
        <v>34</v>
      </c>
      <c r="G17" s="14">
        <v>3</v>
      </c>
      <c r="H17" s="92">
        <f>IF(B$19=0,0,G17/B$19)</f>
        <v>2.8037383177570093E-2</v>
      </c>
      <c r="I17" s="60">
        <v>3</v>
      </c>
      <c r="K17" s="7">
        <v>15</v>
      </c>
      <c r="L17" s="65">
        <v>-33.1</v>
      </c>
      <c r="N17" s="78" t="s">
        <v>213</v>
      </c>
      <c r="O17" s="87">
        <f>IF(P17=0,0,Q17/P17)</f>
        <v>9.1222222222222218</v>
      </c>
      <c r="P17" s="81">
        <v>9</v>
      </c>
      <c r="Q17" s="72">
        <v>82.1</v>
      </c>
    </row>
    <row r="18" spans="1:17" x14ac:dyDescent="0.45">
      <c r="A18" s="20" t="s">
        <v>124</v>
      </c>
      <c r="B18" s="13">
        <f>B24</f>
        <v>30</v>
      </c>
      <c r="C18" s="6">
        <f>IF(B$16=0,0,B18/B$16)</f>
        <v>0.38461538461538464</v>
      </c>
      <c r="E18" s="29" t="s">
        <v>83</v>
      </c>
      <c r="F18" s="26" t="s">
        <v>38</v>
      </c>
      <c r="G18" s="14">
        <v>3</v>
      </c>
      <c r="H18" s="92">
        <f>IF(B$19=0,0,G18/B$19)</f>
        <v>2.8037383177570093E-2</v>
      </c>
      <c r="I18" s="60">
        <v>7</v>
      </c>
      <c r="K18" s="7">
        <v>16</v>
      </c>
      <c r="L18" s="65">
        <v>-10.8</v>
      </c>
      <c r="N18" s="78" t="s">
        <v>192</v>
      </c>
      <c r="O18" s="87">
        <f>IF(P18=0,0,Q18/P18)</f>
        <v>3.0166666666666653</v>
      </c>
      <c r="P18" s="81">
        <v>18</v>
      </c>
      <c r="Q18" s="72">
        <v>54.299999999999976</v>
      </c>
    </row>
    <row r="19" spans="1:17" x14ac:dyDescent="0.45">
      <c r="A19" s="20" t="s">
        <v>10</v>
      </c>
      <c r="B19" s="13">
        <f>B22+B21</f>
        <v>107</v>
      </c>
      <c r="C19" s="6">
        <f>IF(B$3=0,0,B19/B$3)</f>
        <v>0.27648578811369506</v>
      </c>
      <c r="E19" s="29" t="s">
        <v>92</v>
      </c>
      <c r="F19" s="26" t="s">
        <v>47</v>
      </c>
      <c r="G19" s="14">
        <v>2</v>
      </c>
      <c r="H19" s="92">
        <f>IF(B$19=0,0,G19/B$19)</f>
        <v>1.8691588785046728E-2</v>
      </c>
      <c r="I19" s="60">
        <v>2</v>
      </c>
      <c r="K19" s="7">
        <v>17</v>
      </c>
      <c r="L19" s="65">
        <v>-32.900000000000006</v>
      </c>
      <c r="N19" s="78" t="s">
        <v>196</v>
      </c>
      <c r="O19" s="87">
        <f>IF(P19=0,0,Q19/P19)</f>
        <v>-0.29999999999999244</v>
      </c>
      <c r="P19" s="81">
        <v>3</v>
      </c>
      <c r="Q19" s="72">
        <v>-0.89999999999997726</v>
      </c>
    </row>
    <row r="20" spans="1:17" x14ac:dyDescent="0.45">
      <c r="A20" s="21" t="s">
        <v>13</v>
      </c>
      <c r="B20" s="14">
        <v>74</v>
      </c>
      <c r="C20" s="8">
        <f>IF(B$3=0,0,B20/B$3)</f>
        <v>0.19121447028423771</v>
      </c>
      <c r="E20" s="29" t="s">
        <v>75</v>
      </c>
      <c r="F20" s="26" t="s">
        <v>30</v>
      </c>
      <c r="G20" s="14">
        <v>1</v>
      </c>
      <c r="H20" s="92">
        <f>IF(B$19=0,0,G20/B$19)</f>
        <v>9.3457943925233638E-3</v>
      </c>
      <c r="I20" s="60">
        <v>2</v>
      </c>
      <c r="K20" s="7">
        <v>18</v>
      </c>
      <c r="L20" s="65">
        <v>-69.300000000000011</v>
      </c>
      <c r="N20" s="78" t="s">
        <v>126</v>
      </c>
      <c r="O20" s="87">
        <f>IF(P20=0,0,Q20/P20)</f>
        <v>-4.6657894736842049</v>
      </c>
      <c r="P20" s="81">
        <v>38</v>
      </c>
      <c r="Q20" s="72">
        <v>-177.29999999999978</v>
      </c>
    </row>
    <row r="21" spans="1:17" x14ac:dyDescent="0.45">
      <c r="A21" s="21" t="s">
        <v>12</v>
      </c>
      <c r="B21" s="14">
        <v>47</v>
      </c>
      <c r="C21" s="8">
        <f>IF(B$19=0,0,B21/B$19)</f>
        <v>0.43925233644859812</v>
      </c>
      <c r="E21" s="29" t="s">
        <v>97</v>
      </c>
      <c r="F21" s="26" t="s">
        <v>52</v>
      </c>
      <c r="G21" s="14">
        <v>1</v>
      </c>
      <c r="H21" s="92">
        <f>IF(B$19=0,0,G21/B$19)</f>
        <v>9.3457943925233638E-3</v>
      </c>
      <c r="I21" s="60">
        <v>1</v>
      </c>
      <c r="K21" s="7">
        <v>19</v>
      </c>
      <c r="L21" s="65">
        <v>-44.500000000000014</v>
      </c>
      <c r="N21" s="78" t="s">
        <v>194</v>
      </c>
      <c r="O21" s="87">
        <f>IF(P21=0,0,Q21/P21)</f>
        <v>-30.600000000000005</v>
      </c>
      <c r="P21" s="81">
        <v>7</v>
      </c>
      <c r="Q21" s="72">
        <v>-214.20000000000005</v>
      </c>
    </row>
    <row r="22" spans="1:17" x14ac:dyDescent="0.45">
      <c r="A22" s="21" t="s">
        <v>11</v>
      </c>
      <c r="B22" s="14">
        <v>60</v>
      </c>
      <c r="C22" s="8">
        <f>IF(B$19=0,0,B22/B$19)</f>
        <v>0.56074766355140182</v>
      </c>
      <c r="E22" s="29" t="s">
        <v>156</v>
      </c>
      <c r="F22" s="26" t="s">
        <v>157</v>
      </c>
      <c r="G22" s="14">
        <v>1</v>
      </c>
      <c r="H22" s="92">
        <f>IF(B$19=0,0,G22/B$19)</f>
        <v>9.3457943925233638E-3</v>
      </c>
      <c r="I22" s="60">
        <v>5</v>
      </c>
      <c r="K22" s="7">
        <v>20</v>
      </c>
      <c r="L22" s="65">
        <v>-72.000000000000014</v>
      </c>
      <c r="N22" s="78" t="s">
        <v>193</v>
      </c>
      <c r="O22" s="87">
        <f>IF(P22=0,0,Q22/P22)</f>
        <v>-33.971428571428568</v>
      </c>
      <c r="P22" s="81">
        <v>7</v>
      </c>
      <c r="Q22" s="72">
        <v>-237.79999999999998</v>
      </c>
    </row>
    <row r="23" spans="1:17" x14ac:dyDescent="0.45">
      <c r="A23" s="21" t="s">
        <v>184</v>
      </c>
      <c r="B23" s="14">
        <v>53</v>
      </c>
      <c r="C23" s="8">
        <f>IF(B$19=0,0,B23/B$19)</f>
        <v>0.49532710280373832</v>
      </c>
      <c r="E23" s="29" t="s">
        <v>73</v>
      </c>
      <c r="F23" s="26" t="s">
        <v>28</v>
      </c>
      <c r="G23" s="14">
        <v>0</v>
      </c>
      <c r="H23" s="92">
        <f>IF(B$19=0,0,G23/B$19)</f>
        <v>0</v>
      </c>
      <c r="I23" s="60">
        <v>4</v>
      </c>
      <c r="K23" s="7">
        <v>21</v>
      </c>
      <c r="L23" s="65">
        <v>-118.50000000000001</v>
      </c>
    </row>
    <row r="24" spans="1:17" x14ac:dyDescent="0.45">
      <c r="A24" s="21" t="s">
        <v>182</v>
      </c>
      <c r="B24" s="14">
        <v>30</v>
      </c>
      <c r="C24" s="8">
        <f>IF(B$19=0,0,B24/B$19)</f>
        <v>0.28037383177570091</v>
      </c>
      <c r="E24" s="29" t="s">
        <v>74</v>
      </c>
      <c r="F24" s="26" t="s">
        <v>29</v>
      </c>
      <c r="G24" s="14">
        <v>0</v>
      </c>
      <c r="H24" s="92">
        <f>IF(B$19=0,0,G24/B$19)</f>
        <v>0</v>
      </c>
      <c r="I24" s="60">
        <v>1</v>
      </c>
      <c r="K24" s="7">
        <v>22</v>
      </c>
      <c r="L24" s="65">
        <v>-81.200000000000017</v>
      </c>
    </row>
    <row r="25" spans="1:17" x14ac:dyDescent="0.45">
      <c r="A25" s="21" t="s">
        <v>183</v>
      </c>
      <c r="B25" s="14">
        <v>24</v>
      </c>
      <c r="C25" s="8">
        <f>IF(B$19=0,0,B25/B$19)</f>
        <v>0.22429906542056074</v>
      </c>
      <c r="E25" s="29" t="s">
        <v>76</v>
      </c>
      <c r="F25" s="26" t="s">
        <v>31</v>
      </c>
      <c r="G25" s="14">
        <v>0</v>
      </c>
      <c r="H25" s="92">
        <f>IF(B$19=0,0,G25/B$19)</f>
        <v>0</v>
      </c>
      <c r="I25" s="60">
        <v>1</v>
      </c>
      <c r="K25" s="7">
        <v>23</v>
      </c>
      <c r="L25" s="65">
        <v>-79.90000000000002</v>
      </c>
    </row>
    <row r="26" spans="1:17" x14ac:dyDescent="0.45">
      <c r="A26" s="21" t="s">
        <v>5</v>
      </c>
      <c r="B26" s="18">
        <f>IF(B$19=0,0,C26/B$19)</f>
        <v>10267.289719626167</v>
      </c>
      <c r="C26" s="10">
        <v>1098600</v>
      </c>
      <c r="E26" s="29" t="s">
        <v>77</v>
      </c>
      <c r="F26" s="26" t="s">
        <v>32</v>
      </c>
      <c r="G26" s="14">
        <v>0</v>
      </c>
      <c r="H26" s="92">
        <f>IF(B$19=0,0,G26/B$19)</f>
        <v>0</v>
      </c>
      <c r="I26" s="60">
        <v>4</v>
      </c>
      <c r="K26" s="7">
        <v>24</v>
      </c>
      <c r="L26" s="65">
        <v>7.3999999999999773</v>
      </c>
    </row>
    <row r="27" spans="1:17" x14ac:dyDescent="0.45">
      <c r="A27" s="22" t="s">
        <v>166</v>
      </c>
      <c r="B27" s="99">
        <f>IF($B$19-B$18=0,0,C27/($B$19-B$18))</f>
        <v>11044.155844155845</v>
      </c>
      <c r="C27" s="100">
        <v>850400</v>
      </c>
      <c r="E27" s="29" t="s">
        <v>80</v>
      </c>
      <c r="F27" s="26" t="s">
        <v>35</v>
      </c>
      <c r="G27" s="14">
        <v>0</v>
      </c>
      <c r="H27" s="92">
        <f>IF(B$19=0,0,G27/B$19)</f>
        <v>0</v>
      </c>
      <c r="I27" s="60">
        <v>1</v>
      </c>
      <c r="K27" s="7">
        <v>25</v>
      </c>
      <c r="L27" s="65">
        <v>-45.500000000000021</v>
      </c>
    </row>
    <row r="28" spans="1:17" x14ac:dyDescent="0.45">
      <c r="A28" s="22" t="s">
        <v>167</v>
      </c>
      <c r="B28" s="99">
        <f>IF(B$18=0,0,C28/B$18)</f>
        <v>8273.3333333333339</v>
      </c>
      <c r="C28" s="100">
        <v>248200</v>
      </c>
      <c r="E28" s="29" t="s">
        <v>82</v>
      </c>
      <c r="F28" s="26" t="s">
        <v>37</v>
      </c>
      <c r="G28" s="14">
        <v>0</v>
      </c>
      <c r="H28" s="92">
        <f>IF(B$19=0,0,G28/B$19)</f>
        <v>0</v>
      </c>
      <c r="I28" s="60">
        <v>1</v>
      </c>
      <c r="K28" s="7">
        <v>26</v>
      </c>
      <c r="L28" s="65">
        <v>-118.20000000000002</v>
      </c>
    </row>
    <row r="29" spans="1:17" x14ac:dyDescent="0.45">
      <c r="A29" s="22" t="s">
        <v>165</v>
      </c>
      <c r="B29" s="99">
        <f>IF(B$20=0,0,C29/B$20)</f>
        <v>-8344.594594594595</v>
      </c>
      <c r="C29" s="100">
        <v>-617500</v>
      </c>
      <c r="E29" s="29" t="s">
        <v>84</v>
      </c>
      <c r="F29" s="26" t="s">
        <v>39</v>
      </c>
      <c r="G29" s="14">
        <v>0</v>
      </c>
      <c r="H29" s="92">
        <f>IF(B$19=0,0,G29/B$19)</f>
        <v>0</v>
      </c>
      <c r="I29" s="60">
        <v>3</v>
      </c>
      <c r="K29" s="7">
        <v>27</v>
      </c>
      <c r="L29" s="65">
        <v>-164.8</v>
      </c>
    </row>
    <row r="30" spans="1:17" x14ac:dyDescent="0.45">
      <c r="A30" s="21" t="s">
        <v>158</v>
      </c>
      <c r="B30" s="14">
        <v>7</v>
      </c>
      <c r="C30" s="94">
        <v>3</v>
      </c>
      <c r="E30" s="29" t="s">
        <v>85</v>
      </c>
      <c r="F30" s="26" t="s">
        <v>40</v>
      </c>
      <c r="G30" s="14">
        <v>0</v>
      </c>
      <c r="H30" s="92">
        <f>IF(B$19=0,0,G30/B$19)</f>
        <v>0</v>
      </c>
      <c r="I30" s="60">
        <v>4</v>
      </c>
      <c r="K30" s="7">
        <v>28</v>
      </c>
      <c r="L30" s="65">
        <v>-131.20000000000002</v>
      </c>
    </row>
    <row r="31" spans="1:17" x14ac:dyDescent="0.45">
      <c r="A31" s="21" t="s">
        <v>159</v>
      </c>
      <c r="B31" s="14">
        <v>25</v>
      </c>
      <c r="C31" s="94">
        <v>5</v>
      </c>
      <c r="E31" s="29" t="s">
        <v>87</v>
      </c>
      <c r="F31" s="26" t="s">
        <v>42</v>
      </c>
      <c r="G31" s="14">
        <v>0</v>
      </c>
      <c r="H31" s="92">
        <f>IF(B$19=0,0,G31/B$19)</f>
        <v>0</v>
      </c>
      <c r="I31" s="60">
        <v>4</v>
      </c>
      <c r="K31" s="7">
        <v>29</v>
      </c>
      <c r="L31" s="65">
        <v>-89.600000000000023</v>
      </c>
    </row>
    <row r="32" spans="1:17" x14ac:dyDescent="0.45">
      <c r="A32" s="56" t="s">
        <v>136</v>
      </c>
      <c r="B32" s="125">
        <v>7</v>
      </c>
      <c r="C32" s="126"/>
      <c r="E32" s="29" t="s">
        <v>88</v>
      </c>
      <c r="F32" s="26" t="s">
        <v>43</v>
      </c>
      <c r="G32" s="14">
        <v>0</v>
      </c>
      <c r="H32" s="92">
        <f>IF(B$19=0,0,G32/B$19)</f>
        <v>0</v>
      </c>
      <c r="I32" s="60">
        <v>3</v>
      </c>
      <c r="K32" s="7">
        <v>30</v>
      </c>
      <c r="L32" s="65">
        <v>1.3999999999999773</v>
      </c>
    </row>
    <row r="33" spans="1:12" x14ac:dyDescent="0.45">
      <c r="A33" s="24" t="s">
        <v>181</v>
      </c>
      <c r="B33" s="127">
        <v>116000</v>
      </c>
      <c r="C33" s="128"/>
      <c r="E33" s="29" t="s">
        <v>90</v>
      </c>
      <c r="F33" s="26" t="s">
        <v>45</v>
      </c>
      <c r="G33" s="14">
        <v>0</v>
      </c>
      <c r="H33" s="92">
        <f>IF(B$19=0,0,G33/B$19)</f>
        <v>0</v>
      </c>
      <c r="I33" s="60">
        <v>1</v>
      </c>
      <c r="K33" s="7">
        <v>31</v>
      </c>
      <c r="L33" s="65">
        <v>8.199999999999978</v>
      </c>
    </row>
    <row r="34" spans="1:12" x14ac:dyDescent="0.45">
      <c r="A34" s="23" t="s">
        <v>137</v>
      </c>
      <c r="B34" s="31">
        <v>2</v>
      </c>
      <c r="C34" s="11">
        <f>IF(B$3=0,0,B34/B$3)</f>
        <v>5.1679586563307496E-3</v>
      </c>
      <c r="E34" s="29" t="s">
        <v>93</v>
      </c>
      <c r="F34" s="26" t="s">
        <v>48</v>
      </c>
      <c r="G34" s="14">
        <v>0</v>
      </c>
      <c r="H34" s="92">
        <f>IF(B$19=0,0,G34/B$19)</f>
        <v>0</v>
      </c>
      <c r="I34" s="60">
        <v>3</v>
      </c>
      <c r="K34" s="7">
        <v>32</v>
      </c>
      <c r="L34" s="65">
        <v>-18.600000000000023</v>
      </c>
    </row>
    <row r="35" spans="1:12" x14ac:dyDescent="0.45">
      <c r="E35" s="29" t="s">
        <v>94</v>
      </c>
      <c r="F35" s="26" t="s">
        <v>49</v>
      </c>
      <c r="G35" s="14">
        <v>0</v>
      </c>
      <c r="H35" s="92">
        <f>IF(B$19=0,0,G35/B$19)</f>
        <v>0</v>
      </c>
      <c r="I35" s="60">
        <v>1</v>
      </c>
      <c r="K35" s="7">
        <v>33</v>
      </c>
      <c r="L35" s="65">
        <v>-17.800000000000022</v>
      </c>
    </row>
    <row r="36" spans="1:12" x14ac:dyDescent="0.45">
      <c r="A36" s="56" t="s">
        <v>172</v>
      </c>
      <c r="B36" s="121">
        <v>4</v>
      </c>
      <c r="C36" s="102">
        <f t="shared" ref="C36:C48" si="2">IF(B$19=0,0,B36/B$19)</f>
        <v>3.7383177570093455E-2</v>
      </c>
      <c r="E36" s="29" t="s">
        <v>95</v>
      </c>
      <c r="F36" s="26" t="s">
        <v>50</v>
      </c>
      <c r="G36" s="14">
        <v>0</v>
      </c>
      <c r="H36" s="92">
        <f>IF(B$19=0,0,G36/B$19)</f>
        <v>0</v>
      </c>
      <c r="I36" s="60">
        <v>3</v>
      </c>
      <c r="K36" s="7">
        <v>34</v>
      </c>
      <c r="L36" s="65">
        <v>-68.100000000000023</v>
      </c>
    </row>
    <row r="37" spans="1:12" x14ac:dyDescent="0.45">
      <c r="A37" s="21" t="s">
        <v>168</v>
      </c>
      <c r="B37" s="14">
        <v>13</v>
      </c>
      <c r="C37" s="8">
        <f t="shared" si="2"/>
        <v>0.12149532710280374</v>
      </c>
      <c r="E37" s="29" t="s">
        <v>96</v>
      </c>
      <c r="F37" s="26" t="s">
        <v>51</v>
      </c>
      <c r="G37" s="14">
        <v>0</v>
      </c>
      <c r="H37" s="92">
        <f>IF(B$19=0,0,G37/B$19)</f>
        <v>0</v>
      </c>
      <c r="I37" s="60">
        <v>1</v>
      </c>
      <c r="K37" s="7">
        <v>35</v>
      </c>
      <c r="L37" s="65">
        <v>-29.40000000000002</v>
      </c>
    </row>
    <row r="38" spans="1:12" x14ac:dyDescent="0.45">
      <c r="A38" s="21" t="s">
        <v>169</v>
      </c>
      <c r="B38" s="122">
        <v>10</v>
      </c>
      <c r="C38" s="8">
        <f t="shared" si="2"/>
        <v>9.3457943925233641E-2</v>
      </c>
      <c r="E38" s="29" t="s">
        <v>98</v>
      </c>
      <c r="F38" s="26" t="s">
        <v>53</v>
      </c>
      <c r="G38" s="14">
        <v>0</v>
      </c>
      <c r="H38" s="92">
        <f>IF(B$19=0,0,G38/B$19)</f>
        <v>0</v>
      </c>
      <c r="I38" s="60">
        <v>1</v>
      </c>
      <c r="K38" s="7">
        <v>36</v>
      </c>
      <c r="L38" s="65">
        <v>-70.000000000000028</v>
      </c>
    </row>
    <row r="39" spans="1:12" x14ac:dyDescent="0.45">
      <c r="A39" s="21" t="s">
        <v>170</v>
      </c>
      <c r="B39" s="122">
        <v>30</v>
      </c>
      <c r="C39" s="8">
        <f t="shared" si="2"/>
        <v>0.28037383177570091</v>
      </c>
      <c r="E39" s="29" t="s">
        <v>99</v>
      </c>
      <c r="F39" s="26" t="s">
        <v>54</v>
      </c>
      <c r="G39" s="14">
        <v>0</v>
      </c>
      <c r="H39" s="92">
        <f>IF(B$19=0,0,G39/B$19)</f>
        <v>0</v>
      </c>
      <c r="I39" s="60">
        <v>1</v>
      </c>
      <c r="K39" s="7">
        <v>37</v>
      </c>
      <c r="L39" s="65">
        <v>-124.40000000000003</v>
      </c>
    </row>
    <row r="40" spans="1:12" x14ac:dyDescent="0.45">
      <c r="A40" s="21" t="s">
        <v>171</v>
      </c>
      <c r="B40" s="122">
        <v>20</v>
      </c>
      <c r="C40" s="8">
        <f t="shared" si="2"/>
        <v>0.18691588785046728</v>
      </c>
      <c r="E40" s="29" t="s">
        <v>100</v>
      </c>
      <c r="F40" s="26" t="s">
        <v>55</v>
      </c>
      <c r="G40" s="14">
        <v>0</v>
      </c>
      <c r="H40" s="92">
        <f>IF(B$19=0,0,G40/B$19)</f>
        <v>0</v>
      </c>
      <c r="I40" s="60">
        <v>1</v>
      </c>
      <c r="K40" s="7">
        <v>38</v>
      </c>
      <c r="L40" s="65">
        <v>-160.30000000000004</v>
      </c>
    </row>
    <row r="41" spans="1:12" x14ac:dyDescent="0.45">
      <c r="A41" s="21" t="s">
        <v>173</v>
      </c>
      <c r="B41" s="122">
        <v>11</v>
      </c>
      <c r="C41" s="8">
        <f t="shared" si="2"/>
        <v>0.10280373831775701</v>
      </c>
      <c r="E41" s="29" t="s">
        <v>101</v>
      </c>
      <c r="F41" s="26" t="s">
        <v>56</v>
      </c>
      <c r="G41" s="14">
        <v>0</v>
      </c>
      <c r="H41" s="92">
        <f>IF(B$19=0,0,G41/B$19)</f>
        <v>0</v>
      </c>
      <c r="I41" s="60">
        <v>1</v>
      </c>
      <c r="K41" s="7">
        <v>39</v>
      </c>
      <c r="L41" s="65">
        <v>-154.80000000000004</v>
      </c>
    </row>
    <row r="42" spans="1:12" x14ac:dyDescent="0.45">
      <c r="A42" s="21" t="s">
        <v>174</v>
      </c>
      <c r="B42" s="122">
        <v>9</v>
      </c>
      <c r="C42" s="8">
        <f t="shared" si="2"/>
        <v>8.4112149532710276E-2</v>
      </c>
      <c r="E42" s="29" t="s">
        <v>102</v>
      </c>
      <c r="F42" s="26" t="s">
        <v>57</v>
      </c>
      <c r="G42" s="14">
        <v>0</v>
      </c>
      <c r="H42" s="92">
        <f>IF(B$19=0,0,G42/B$19)</f>
        <v>0</v>
      </c>
      <c r="I42" s="60">
        <v>3</v>
      </c>
      <c r="K42" s="7">
        <v>40</v>
      </c>
      <c r="L42" s="65">
        <v>-180.70000000000005</v>
      </c>
    </row>
    <row r="43" spans="1:12" x14ac:dyDescent="0.45">
      <c r="A43" s="21" t="s">
        <v>175</v>
      </c>
      <c r="B43" s="122">
        <v>4</v>
      </c>
      <c r="C43" s="8">
        <f t="shared" si="2"/>
        <v>3.7383177570093455E-2</v>
      </c>
      <c r="E43" s="29" t="s">
        <v>103</v>
      </c>
      <c r="F43" s="26" t="s">
        <v>58</v>
      </c>
      <c r="G43" s="14">
        <v>0</v>
      </c>
      <c r="H43" s="92">
        <f>IF(B$19=0,0,G43/B$19)</f>
        <v>0</v>
      </c>
      <c r="I43" s="60">
        <v>1</v>
      </c>
      <c r="K43" s="7">
        <v>41</v>
      </c>
      <c r="L43" s="65">
        <v>-148.20000000000005</v>
      </c>
    </row>
    <row r="44" spans="1:12" x14ac:dyDescent="0.45">
      <c r="A44" s="21" t="s">
        <v>176</v>
      </c>
      <c r="B44" s="122">
        <v>1</v>
      </c>
      <c r="C44" s="8">
        <f t="shared" si="2"/>
        <v>9.3457943925233638E-3</v>
      </c>
      <c r="E44" s="29" t="s">
        <v>104</v>
      </c>
      <c r="F44" s="26" t="s">
        <v>59</v>
      </c>
      <c r="G44" s="14">
        <v>0</v>
      </c>
      <c r="H44" s="92">
        <f>IF(B$19=0,0,G44/B$19)</f>
        <v>0</v>
      </c>
      <c r="I44" s="60">
        <v>1</v>
      </c>
      <c r="K44" s="7">
        <v>42</v>
      </c>
      <c r="L44" s="65">
        <v>-193.80000000000004</v>
      </c>
    </row>
    <row r="45" spans="1:12" x14ac:dyDescent="0.45">
      <c r="A45" s="21" t="s">
        <v>177</v>
      </c>
      <c r="B45" s="122">
        <v>0</v>
      </c>
      <c r="C45" s="8">
        <f t="shared" si="2"/>
        <v>0</v>
      </c>
      <c r="E45" s="29" t="s">
        <v>105</v>
      </c>
      <c r="F45" s="26" t="s">
        <v>112</v>
      </c>
      <c r="G45" s="14">
        <v>0</v>
      </c>
      <c r="H45" s="92">
        <f>IF(B$19=0,0,G45/B$19)</f>
        <v>0</v>
      </c>
      <c r="I45" s="60">
        <v>1</v>
      </c>
      <c r="K45" s="7">
        <v>43</v>
      </c>
      <c r="L45" s="65">
        <v>-202.10000000000005</v>
      </c>
    </row>
    <row r="46" spans="1:12" x14ac:dyDescent="0.45">
      <c r="A46" s="21" t="s">
        <v>178</v>
      </c>
      <c r="B46" s="122">
        <v>0</v>
      </c>
      <c r="C46" s="8">
        <f t="shared" si="2"/>
        <v>0</v>
      </c>
      <c r="E46" s="29" t="s">
        <v>106</v>
      </c>
      <c r="F46" s="26" t="s">
        <v>113</v>
      </c>
      <c r="G46" s="14">
        <v>0</v>
      </c>
      <c r="H46" s="92">
        <f>IF(B$19=0,0,G46/B$19)</f>
        <v>0</v>
      </c>
      <c r="I46" s="60">
        <v>1</v>
      </c>
      <c r="K46" s="7">
        <v>44</v>
      </c>
      <c r="L46" s="65">
        <v>-184.20000000000005</v>
      </c>
    </row>
    <row r="47" spans="1:12" x14ac:dyDescent="0.45">
      <c r="A47" s="21" t="s">
        <v>179</v>
      </c>
      <c r="B47" s="122">
        <v>2</v>
      </c>
      <c r="C47" s="8">
        <f t="shared" si="2"/>
        <v>1.8691588785046728E-2</v>
      </c>
      <c r="E47" s="29" t="s">
        <v>107</v>
      </c>
      <c r="F47" s="26" t="s">
        <v>114</v>
      </c>
      <c r="G47" s="14">
        <v>0</v>
      </c>
      <c r="H47" s="92">
        <f>IF(B$19=0,0,G47/B$19)</f>
        <v>0</v>
      </c>
      <c r="I47" s="60">
        <v>1</v>
      </c>
      <c r="K47" s="7">
        <v>45</v>
      </c>
      <c r="L47" s="65">
        <v>-214.00000000000006</v>
      </c>
    </row>
    <row r="48" spans="1:12" x14ac:dyDescent="0.45">
      <c r="A48" s="23" t="s">
        <v>180</v>
      </c>
      <c r="B48" s="101">
        <v>3</v>
      </c>
      <c r="C48" s="11">
        <f t="shared" si="2"/>
        <v>2.8037383177570093E-2</v>
      </c>
      <c r="E48" s="29" t="s">
        <v>108</v>
      </c>
      <c r="F48" s="26" t="s">
        <v>60</v>
      </c>
      <c r="G48" s="14">
        <v>0</v>
      </c>
      <c r="H48" s="92">
        <f>IF(B$19=0,0,G48/B$19)</f>
        <v>0</v>
      </c>
      <c r="I48" s="60">
        <v>1</v>
      </c>
      <c r="K48" s="7">
        <v>46</v>
      </c>
      <c r="L48" s="65">
        <v>-200.50000000000006</v>
      </c>
    </row>
    <row r="49" spans="5:12" x14ac:dyDescent="0.45">
      <c r="E49" s="29" t="s">
        <v>109</v>
      </c>
      <c r="F49" s="26" t="s">
        <v>61</v>
      </c>
      <c r="G49" s="14">
        <v>0</v>
      </c>
      <c r="H49" s="92">
        <f>IF(B$19=0,0,G49/B$19)</f>
        <v>0</v>
      </c>
      <c r="I49" s="60">
        <v>1</v>
      </c>
      <c r="K49" s="7">
        <v>47</v>
      </c>
      <c r="L49" s="65">
        <v>-157.00000000000006</v>
      </c>
    </row>
    <row r="50" spans="5:12" x14ac:dyDescent="0.45">
      <c r="E50" s="29" t="s">
        <v>110</v>
      </c>
      <c r="F50" s="26" t="s">
        <v>62</v>
      </c>
      <c r="G50" s="14">
        <v>0</v>
      </c>
      <c r="H50" s="92">
        <f>IF(B$19=0,0,G50/B$19)</f>
        <v>0</v>
      </c>
      <c r="I50" s="60">
        <v>1</v>
      </c>
      <c r="K50" s="7">
        <v>48</v>
      </c>
      <c r="L50" s="65">
        <v>-87.900000000000063</v>
      </c>
    </row>
    <row r="51" spans="5:12" x14ac:dyDescent="0.45">
      <c r="E51" s="95" t="s">
        <v>111</v>
      </c>
      <c r="F51" s="96" t="s">
        <v>63</v>
      </c>
      <c r="G51" s="15">
        <v>0</v>
      </c>
      <c r="H51" s="97">
        <f>IF(B$19=0,0,G51/B$19)</f>
        <v>0</v>
      </c>
      <c r="I51" s="98">
        <v>1</v>
      </c>
    </row>
    <row r="52" spans="5:12" x14ac:dyDescent="0.45">
      <c r="E52" s="30" t="s">
        <v>162</v>
      </c>
      <c r="F52" s="27" t="s">
        <v>163</v>
      </c>
      <c r="G52" s="16">
        <v>0</v>
      </c>
      <c r="H52" s="93">
        <f>IF(B$19=0,0,G52/B$19)</f>
        <v>0</v>
      </c>
      <c r="I52" s="61">
        <v>1</v>
      </c>
    </row>
  </sheetData>
  <sortState xmlns:xlrd2="http://schemas.microsoft.com/office/spreadsheetml/2017/richdata2" ref="N15:Q22">
    <sortCondition descending="1" ref="O15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384F0F-E2E4-4296-A85D-5D9CA8D53836}">
  <sheetPr codeName="Sheet9"/>
  <dimension ref="A1:Q52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29" t="s">
        <v>189</v>
      </c>
      <c r="C1" s="130"/>
      <c r="E1" s="108" t="s">
        <v>155</v>
      </c>
      <c r="F1" s="120" t="s">
        <v>115</v>
      </c>
      <c r="G1" s="119" t="s">
        <v>116</v>
      </c>
      <c r="H1" s="90" t="s">
        <v>117</v>
      </c>
      <c r="I1" s="120" t="s">
        <v>146</v>
      </c>
      <c r="K1" s="4" t="s">
        <v>19</v>
      </c>
      <c r="L1" s="120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5">
      <c r="A2" s="20" t="s">
        <v>9</v>
      </c>
      <c r="B2" s="131">
        <v>9</v>
      </c>
      <c r="C2" s="132"/>
      <c r="E2" s="28" t="s">
        <v>66</v>
      </c>
      <c r="F2" s="25" t="s">
        <v>22</v>
      </c>
      <c r="G2" s="13">
        <v>15</v>
      </c>
      <c r="H2" s="91">
        <f>IF(B$19=0,0,G2/B$19)</f>
        <v>0.9375</v>
      </c>
      <c r="I2" s="59">
        <v>2</v>
      </c>
      <c r="K2" s="5">
        <v>0</v>
      </c>
      <c r="L2" s="64">
        <v>0</v>
      </c>
      <c r="N2" s="77" t="s">
        <v>128</v>
      </c>
      <c r="O2" s="83">
        <f t="shared" ref="O2:O7" si="0">IF(P2=0,0,Q2/P2)</f>
        <v>850</v>
      </c>
      <c r="P2" s="80">
        <v>8</v>
      </c>
      <c r="Q2" s="67">
        <v>6800</v>
      </c>
    </row>
    <row r="3" spans="1:17" x14ac:dyDescent="0.45">
      <c r="A3" s="21" t="s">
        <v>8</v>
      </c>
      <c r="B3" s="133">
        <v>74</v>
      </c>
      <c r="C3" s="134"/>
      <c r="E3" s="29" t="s">
        <v>64</v>
      </c>
      <c r="F3" s="26" t="s">
        <v>20</v>
      </c>
      <c r="G3" s="14">
        <v>11</v>
      </c>
      <c r="H3" s="92">
        <f>IF(B$19=0,0,G3/B$19)</f>
        <v>0.6875</v>
      </c>
      <c r="I3" s="60">
        <v>3</v>
      </c>
      <c r="K3" s="7">
        <v>1</v>
      </c>
      <c r="L3" s="65">
        <v>-36.299999999999997</v>
      </c>
      <c r="N3" s="78" t="s">
        <v>129</v>
      </c>
      <c r="O3" s="84">
        <f t="shared" si="0"/>
        <v>-1444.4444444444443</v>
      </c>
      <c r="P3" s="81">
        <v>9</v>
      </c>
      <c r="Q3" s="68">
        <v>-13000</v>
      </c>
    </row>
    <row r="4" spans="1:17" x14ac:dyDescent="0.45">
      <c r="A4" s="21" t="s">
        <v>6</v>
      </c>
      <c r="B4" s="135">
        <v>-105.5</v>
      </c>
      <c r="C4" s="136"/>
      <c r="E4" s="29" t="s">
        <v>72</v>
      </c>
      <c r="F4" s="26" t="s">
        <v>27</v>
      </c>
      <c r="G4" s="14">
        <v>11</v>
      </c>
      <c r="H4" s="92">
        <f>IF(B$19=0,0,G4/B$19)</f>
        <v>0.6875</v>
      </c>
      <c r="I4" s="60">
        <v>2</v>
      </c>
      <c r="K4" s="7">
        <v>2</v>
      </c>
      <c r="L4" s="65">
        <v>-75.5</v>
      </c>
      <c r="N4" s="78" t="s">
        <v>130</v>
      </c>
      <c r="O4" s="84">
        <f t="shared" si="0"/>
        <v>-3011.1111111111113</v>
      </c>
      <c r="P4" s="81">
        <v>9</v>
      </c>
      <c r="Q4" s="68">
        <v>-27100</v>
      </c>
    </row>
    <row r="5" spans="1:17" x14ac:dyDescent="0.45">
      <c r="A5" s="21" t="s">
        <v>7</v>
      </c>
      <c r="B5" s="123">
        <f>IF(B$2=0,0,B$4/B$2)</f>
        <v>-11.722222222222221</v>
      </c>
      <c r="C5" s="124"/>
      <c r="E5" s="29" t="s">
        <v>160</v>
      </c>
      <c r="F5" s="26" t="s">
        <v>161</v>
      </c>
      <c r="G5" s="14">
        <v>9</v>
      </c>
      <c r="H5" s="92">
        <f>IF(B$19=0,0,G5/B$19)</f>
        <v>0.5625</v>
      </c>
      <c r="I5" s="60">
        <v>1</v>
      </c>
      <c r="K5" s="7">
        <v>3</v>
      </c>
      <c r="L5" s="65">
        <v>-90.3</v>
      </c>
      <c r="N5" s="78" t="s">
        <v>131</v>
      </c>
      <c r="O5" s="84">
        <f t="shared" si="0"/>
        <v>2188.8888888888887</v>
      </c>
      <c r="P5" s="81">
        <v>9</v>
      </c>
      <c r="Q5" s="68">
        <v>19700</v>
      </c>
    </row>
    <row r="6" spans="1:17" x14ac:dyDescent="0.45">
      <c r="A6" s="21" t="s">
        <v>1</v>
      </c>
      <c r="B6" s="137">
        <f>IF(B$2=0,0,(B$7*1+B$8*2+B$9*3)/B$2)</f>
        <v>2.2222222222222223</v>
      </c>
      <c r="C6" s="138"/>
      <c r="E6" s="29" t="s">
        <v>68</v>
      </c>
      <c r="F6" s="26" t="s">
        <v>12</v>
      </c>
      <c r="G6" s="14">
        <v>4</v>
      </c>
      <c r="H6" s="92">
        <f>IF(B$19=0,0,G6/B$19)</f>
        <v>0.25</v>
      </c>
      <c r="I6" s="60">
        <v>7</v>
      </c>
      <c r="K6" s="7">
        <v>4</v>
      </c>
      <c r="L6" s="65">
        <v>-83.899999999999991</v>
      </c>
      <c r="N6" s="78" t="s">
        <v>132</v>
      </c>
      <c r="O6" s="84">
        <f t="shared" si="0"/>
        <v>-1237.5</v>
      </c>
      <c r="P6" s="81">
        <v>8</v>
      </c>
      <c r="Q6" s="68">
        <v>-9900</v>
      </c>
    </row>
    <row r="7" spans="1:17" x14ac:dyDescent="0.45">
      <c r="A7" s="21" t="s">
        <v>2</v>
      </c>
      <c r="B7" s="14">
        <v>2</v>
      </c>
      <c r="C7" s="8">
        <f t="shared" ref="C7:C14" si="1">IF(B$2=0,0,B7/B$2)</f>
        <v>0.22222222222222221</v>
      </c>
      <c r="E7" s="29" t="s">
        <v>67</v>
      </c>
      <c r="F7" s="26" t="s">
        <v>23</v>
      </c>
      <c r="G7" s="14">
        <v>3</v>
      </c>
      <c r="H7" s="92">
        <f>IF(B$19=0,0,G7/B$19)</f>
        <v>0.1875</v>
      </c>
      <c r="I7" s="60">
        <v>8</v>
      </c>
      <c r="K7" s="7">
        <v>5</v>
      </c>
      <c r="L7" s="65">
        <v>-57.899999999999991</v>
      </c>
      <c r="N7" s="79" t="s">
        <v>133</v>
      </c>
      <c r="O7" s="85">
        <f t="shared" si="0"/>
        <v>-7642.8571428571431</v>
      </c>
      <c r="P7" s="82">
        <v>7</v>
      </c>
      <c r="Q7" s="69">
        <v>-53500</v>
      </c>
    </row>
    <row r="8" spans="1:17" x14ac:dyDescent="0.45">
      <c r="A8" s="21" t="s">
        <v>3</v>
      </c>
      <c r="B8" s="14">
        <v>3</v>
      </c>
      <c r="C8" s="8">
        <f t="shared" si="1"/>
        <v>0.33333333333333331</v>
      </c>
      <c r="E8" s="29" t="s">
        <v>89</v>
      </c>
      <c r="F8" s="26" t="s">
        <v>44</v>
      </c>
      <c r="G8" s="14">
        <v>3</v>
      </c>
      <c r="H8" s="92">
        <f>IF(B$19=0,0,G8/B$19)</f>
        <v>0.1875</v>
      </c>
      <c r="I8" s="60">
        <v>2</v>
      </c>
      <c r="K8" s="7">
        <v>6</v>
      </c>
      <c r="L8" s="65">
        <v>-16.199999999999989</v>
      </c>
      <c r="N8" s="111"/>
      <c r="O8" s="89"/>
      <c r="P8" s="112"/>
      <c r="Q8" s="74"/>
    </row>
    <row r="9" spans="1:17" x14ac:dyDescent="0.45">
      <c r="A9" s="22" t="s">
        <v>4</v>
      </c>
      <c r="B9" s="15">
        <v>4</v>
      </c>
      <c r="C9" s="9">
        <f t="shared" si="1"/>
        <v>0.44444444444444442</v>
      </c>
      <c r="E9" s="29" t="s">
        <v>65</v>
      </c>
      <c r="F9" s="26" t="s">
        <v>21</v>
      </c>
      <c r="G9" s="14">
        <v>2</v>
      </c>
      <c r="H9" s="92">
        <f>IF(B$19=0,0,G9/B$19)</f>
        <v>0.125</v>
      </c>
      <c r="I9" s="60">
        <v>2</v>
      </c>
      <c r="K9" s="7">
        <v>7</v>
      </c>
      <c r="L9" s="65">
        <v>-26.899999999999988</v>
      </c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5">
      <c r="A10" s="22" t="s">
        <v>185</v>
      </c>
      <c r="B10" s="113">
        <f>IF(B7=0,0,C10/B7)</f>
        <v>33.85</v>
      </c>
      <c r="C10" s="114">
        <v>67.7</v>
      </c>
      <c r="E10" s="29" t="s">
        <v>69</v>
      </c>
      <c r="F10" s="26" t="s">
        <v>24</v>
      </c>
      <c r="G10" s="14">
        <v>2</v>
      </c>
      <c r="H10" s="92">
        <f>IF(B$19=0,0,G10/B$19)</f>
        <v>0.125</v>
      </c>
      <c r="I10" s="60">
        <v>6</v>
      </c>
      <c r="K10" s="7">
        <v>8</v>
      </c>
      <c r="L10" s="65">
        <v>-59.899999999999991</v>
      </c>
      <c r="N10" s="77" t="s">
        <v>152</v>
      </c>
      <c r="O10" s="86">
        <f>IF(P10=0,0,Q10/P10)</f>
        <v>-7.74</v>
      </c>
      <c r="P10" s="80">
        <v>5</v>
      </c>
      <c r="Q10" s="71">
        <v>-38.700000000000003</v>
      </c>
    </row>
    <row r="11" spans="1:17" x14ac:dyDescent="0.45">
      <c r="A11" s="22" t="s">
        <v>186</v>
      </c>
      <c r="B11" s="113">
        <f>IF(B8=0,0,C11/B8)</f>
        <v>-6.3666666666666671</v>
      </c>
      <c r="C11" s="114">
        <v>-19.100000000000001</v>
      </c>
      <c r="E11" s="29" t="s">
        <v>71</v>
      </c>
      <c r="F11" s="26" t="s">
        <v>26</v>
      </c>
      <c r="G11" s="14">
        <v>2</v>
      </c>
      <c r="H11" s="92">
        <f>IF(B$19=0,0,G11/B$19)</f>
        <v>0.125</v>
      </c>
      <c r="I11" s="60">
        <v>1</v>
      </c>
      <c r="K11" s="7">
        <v>9</v>
      </c>
      <c r="L11" s="65">
        <v>-105.5</v>
      </c>
      <c r="N11" s="78" t="s">
        <v>153</v>
      </c>
      <c r="O11" s="87">
        <f>IF(P11=0,0,Q11/P11)</f>
        <v>-16.7</v>
      </c>
      <c r="P11" s="81">
        <v>4</v>
      </c>
      <c r="Q11" s="72">
        <v>-66.8</v>
      </c>
    </row>
    <row r="12" spans="1:17" x14ac:dyDescent="0.45">
      <c r="A12" s="22" t="s">
        <v>187</v>
      </c>
      <c r="B12" s="113">
        <f>IF(B9=0,0,C12/B9)</f>
        <v>-38.524999999999999</v>
      </c>
      <c r="C12" s="114">
        <v>-154.1</v>
      </c>
      <c r="E12" s="29" t="s">
        <v>77</v>
      </c>
      <c r="F12" s="26" t="s">
        <v>32</v>
      </c>
      <c r="G12" s="14">
        <v>1</v>
      </c>
      <c r="H12" s="92">
        <f>IF(B$19=0,0,G12/B$19)</f>
        <v>6.25E-2</v>
      </c>
      <c r="I12" s="60">
        <v>1</v>
      </c>
      <c r="N12" s="79" t="s">
        <v>154</v>
      </c>
      <c r="O12" s="88">
        <f>IF(P12=0,0,Q12/P12)</f>
        <v>0</v>
      </c>
      <c r="P12" s="82">
        <v>0</v>
      </c>
      <c r="Q12" s="73">
        <v>0</v>
      </c>
    </row>
    <row r="13" spans="1:17" x14ac:dyDescent="0.45">
      <c r="A13" s="22" t="s">
        <v>188</v>
      </c>
      <c r="B13" s="123">
        <f>AVERAGE(B10:B12)</f>
        <v>-3.6805555555555549</v>
      </c>
      <c r="C13" s="124"/>
      <c r="E13" s="29" t="s">
        <v>83</v>
      </c>
      <c r="F13" s="26" t="s">
        <v>38</v>
      </c>
      <c r="G13" s="14">
        <v>1</v>
      </c>
      <c r="H13" s="92">
        <f>IF(B$19=0,0,G13/B$19)</f>
        <v>6.25E-2</v>
      </c>
      <c r="I13" s="60">
        <v>4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1</v>
      </c>
      <c r="C14" s="11">
        <f t="shared" si="1"/>
        <v>0.1111111111111111</v>
      </c>
      <c r="E14" s="29" t="s">
        <v>70</v>
      </c>
      <c r="F14" s="26" t="s">
        <v>25</v>
      </c>
      <c r="G14" s="14">
        <v>0</v>
      </c>
      <c r="H14" s="92">
        <f>IF(B$19=0,0,G14/B$19)</f>
        <v>0</v>
      </c>
      <c r="I14" s="60">
        <v>9</v>
      </c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5">
      <c r="A15" s="24" t="s">
        <v>121</v>
      </c>
      <c r="B15" s="17">
        <v>21</v>
      </c>
      <c r="C15" s="12">
        <f>IF(B$3=0,0,B15/B$3)</f>
        <v>0.28378378378378377</v>
      </c>
      <c r="E15" s="29" t="s">
        <v>73</v>
      </c>
      <c r="F15" s="26" t="s">
        <v>28</v>
      </c>
      <c r="G15" s="14">
        <v>0</v>
      </c>
      <c r="H15" s="92">
        <f>IF(B$19=0,0,G15/B$19)</f>
        <v>0</v>
      </c>
      <c r="I15" s="60">
        <v>4</v>
      </c>
      <c r="N15" s="77" t="s">
        <v>205</v>
      </c>
      <c r="O15" s="86">
        <f>IF(P15=0,0,Q15/P15)</f>
        <v>57.7</v>
      </c>
      <c r="P15" s="80">
        <v>1</v>
      </c>
      <c r="Q15" s="71">
        <v>57.7</v>
      </c>
    </row>
    <row r="16" spans="1:17" x14ac:dyDescent="0.45">
      <c r="A16" s="21" t="s">
        <v>118</v>
      </c>
      <c r="B16" s="14">
        <v>6</v>
      </c>
      <c r="C16" s="8">
        <f>IF(B$3=0,0,B16/B$3)</f>
        <v>8.1081081081081086E-2</v>
      </c>
      <c r="E16" s="29" t="s">
        <v>74</v>
      </c>
      <c r="F16" s="26" t="s">
        <v>29</v>
      </c>
      <c r="G16" s="14">
        <v>0</v>
      </c>
      <c r="H16" s="92">
        <f>IF(B$19=0,0,G16/B$19)</f>
        <v>0</v>
      </c>
      <c r="I16" s="60">
        <v>1</v>
      </c>
      <c r="N16" s="78" t="s">
        <v>193</v>
      </c>
      <c r="O16" s="87">
        <f>IF(P16=0,0,Q16/P16)</f>
        <v>-4.2000000000000011</v>
      </c>
      <c r="P16" s="81">
        <v>4</v>
      </c>
      <c r="Q16" s="72">
        <v>-16.800000000000004</v>
      </c>
    </row>
    <row r="17" spans="1:17" x14ac:dyDescent="0.45">
      <c r="A17" s="20" t="s">
        <v>123</v>
      </c>
      <c r="B17" s="13">
        <f>B23</f>
        <v>10</v>
      </c>
      <c r="C17" s="6">
        <f>IF(B$15=0,0,B17/B$15)</f>
        <v>0.47619047619047616</v>
      </c>
      <c r="E17" s="29" t="s">
        <v>75</v>
      </c>
      <c r="F17" s="26" t="s">
        <v>30</v>
      </c>
      <c r="G17" s="14">
        <v>0</v>
      </c>
      <c r="H17" s="92">
        <f>IF(B$19=0,0,G17/B$19)</f>
        <v>0</v>
      </c>
      <c r="I17" s="60">
        <v>4</v>
      </c>
      <c r="N17" s="78" t="s">
        <v>192</v>
      </c>
      <c r="O17" s="87">
        <f>IF(P17=0,0,Q17/P17)</f>
        <v>-23.599999999999998</v>
      </c>
      <c r="P17" s="81">
        <v>3</v>
      </c>
      <c r="Q17" s="72">
        <v>-70.8</v>
      </c>
    </row>
    <row r="18" spans="1:17" x14ac:dyDescent="0.45">
      <c r="A18" s="20" t="s">
        <v>124</v>
      </c>
      <c r="B18" s="13">
        <f>B24</f>
        <v>3</v>
      </c>
      <c r="C18" s="6">
        <f>IF(B$16=0,0,B18/B$16)</f>
        <v>0.5</v>
      </c>
      <c r="E18" s="29" t="s">
        <v>76</v>
      </c>
      <c r="F18" s="26" t="s">
        <v>31</v>
      </c>
      <c r="G18" s="14">
        <v>0</v>
      </c>
      <c r="H18" s="92">
        <f>IF(B$19=0,0,G18/B$19)</f>
        <v>0</v>
      </c>
      <c r="I18" s="60">
        <v>1</v>
      </c>
      <c r="N18" s="78" t="s">
        <v>164</v>
      </c>
      <c r="O18" s="87">
        <f>IF(P18=0,0,Q18/P18)</f>
        <v>-26.674999999999997</v>
      </c>
      <c r="P18" s="81">
        <v>4</v>
      </c>
      <c r="Q18" s="72">
        <v>-106.69999999999999</v>
      </c>
    </row>
    <row r="19" spans="1:17" x14ac:dyDescent="0.45">
      <c r="A19" s="20" t="s">
        <v>10</v>
      </c>
      <c r="B19" s="13">
        <f>B22+B21</f>
        <v>16</v>
      </c>
      <c r="C19" s="6">
        <f>IF(B$3=0,0,B19/B$3)</f>
        <v>0.21621621621621623</v>
      </c>
      <c r="E19" s="29" t="s">
        <v>78</v>
      </c>
      <c r="F19" s="26" t="s">
        <v>33</v>
      </c>
      <c r="G19" s="14">
        <v>0</v>
      </c>
      <c r="H19" s="92">
        <f>IF(B$19=0,0,G19/B$19)</f>
        <v>0</v>
      </c>
      <c r="I19" s="60">
        <v>9</v>
      </c>
      <c r="N19" s="78" t="s">
        <v>126</v>
      </c>
      <c r="O19" s="87">
        <f>IF(P19=0,0,Q19/P19)</f>
        <v>-29.983333333333331</v>
      </c>
      <c r="P19" s="81">
        <v>6</v>
      </c>
      <c r="Q19" s="72">
        <v>-179.89999999999998</v>
      </c>
    </row>
    <row r="20" spans="1:17" x14ac:dyDescent="0.45">
      <c r="A20" s="21" t="s">
        <v>13</v>
      </c>
      <c r="B20" s="14">
        <v>17</v>
      </c>
      <c r="C20" s="8">
        <f>IF(B$3=0,0,B20/B$3)</f>
        <v>0.22972972972972974</v>
      </c>
      <c r="E20" s="29" t="s">
        <v>79</v>
      </c>
      <c r="F20" s="26" t="s">
        <v>34</v>
      </c>
      <c r="G20" s="14">
        <v>0</v>
      </c>
      <c r="H20" s="92">
        <f>IF(B$19=0,0,G20/B$19)</f>
        <v>0</v>
      </c>
      <c r="I20" s="60">
        <v>6</v>
      </c>
    </row>
    <row r="21" spans="1:17" x14ac:dyDescent="0.45">
      <c r="A21" s="21" t="s">
        <v>12</v>
      </c>
      <c r="B21" s="14">
        <v>9</v>
      </c>
      <c r="C21" s="8">
        <f>IF(B$19=0,0,B21/B$19)</f>
        <v>0.5625</v>
      </c>
      <c r="E21" s="29" t="s">
        <v>80</v>
      </c>
      <c r="F21" s="26" t="s">
        <v>35</v>
      </c>
      <c r="G21" s="14">
        <v>0</v>
      </c>
      <c r="H21" s="92">
        <f>IF(B$19=0,0,G21/B$19)</f>
        <v>0</v>
      </c>
      <c r="I21" s="60">
        <v>1</v>
      </c>
    </row>
    <row r="22" spans="1:17" x14ac:dyDescent="0.45">
      <c r="A22" s="21" t="s">
        <v>11</v>
      </c>
      <c r="B22" s="14">
        <v>7</v>
      </c>
      <c r="C22" s="8">
        <f>IF(B$19=0,0,B22/B$19)</f>
        <v>0.4375</v>
      </c>
      <c r="E22" s="29" t="s">
        <v>81</v>
      </c>
      <c r="F22" s="26" t="s">
        <v>36</v>
      </c>
      <c r="G22" s="14">
        <v>0</v>
      </c>
      <c r="H22" s="92">
        <f>IF(B$19=0,0,G22/B$19)</f>
        <v>0</v>
      </c>
      <c r="I22" s="60">
        <v>8</v>
      </c>
    </row>
    <row r="23" spans="1:17" x14ac:dyDescent="0.45">
      <c r="A23" s="21" t="s">
        <v>184</v>
      </c>
      <c r="B23" s="14">
        <v>10</v>
      </c>
      <c r="C23" s="8">
        <f>IF(B$19=0,0,B23/B$19)</f>
        <v>0.625</v>
      </c>
      <c r="E23" s="29" t="s">
        <v>82</v>
      </c>
      <c r="F23" s="26" t="s">
        <v>37</v>
      </c>
      <c r="G23" s="14">
        <v>0</v>
      </c>
      <c r="H23" s="92">
        <f>IF(B$19=0,0,G23/B$19)</f>
        <v>0</v>
      </c>
      <c r="I23" s="60">
        <v>1</v>
      </c>
    </row>
    <row r="24" spans="1:17" x14ac:dyDescent="0.45">
      <c r="A24" s="21" t="s">
        <v>182</v>
      </c>
      <c r="B24" s="14">
        <v>3</v>
      </c>
      <c r="C24" s="8">
        <f>IF(B$19=0,0,B24/B$19)</f>
        <v>0.1875</v>
      </c>
      <c r="E24" s="29" t="s">
        <v>84</v>
      </c>
      <c r="F24" s="26" t="s">
        <v>39</v>
      </c>
      <c r="G24" s="14">
        <v>0</v>
      </c>
      <c r="H24" s="92">
        <f>IF(B$19=0,0,G24/B$19)</f>
        <v>0</v>
      </c>
      <c r="I24" s="60">
        <v>3</v>
      </c>
    </row>
    <row r="25" spans="1:17" x14ac:dyDescent="0.45">
      <c r="A25" s="21" t="s">
        <v>183</v>
      </c>
      <c r="B25" s="14">
        <v>3</v>
      </c>
      <c r="C25" s="8">
        <f>IF(B$19=0,0,B25/B$19)</f>
        <v>0.1875</v>
      </c>
      <c r="E25" s="29" t="s">
        <v>85</v>
      </c>
      <c r="F25" s="26" t="s">
        <v>40</v>
      </c>
      <c r="G25" s="14">
        <v>0</v>
      </c>
      <c r="H25" s="92">
        <f>IF(B$19=0,0,G25/B$19)</f>
        <v>0</v>
      </c>
      <c r="I25" s="60">
        <v>4</v>
      </c>
    </row>
    <row r="26" spans="1:17" x14ac:dyDescent="0.45">
      <c r="A26" s="21" t="s">
        <v>5</v>
      </c>
      <c r="B26" s="18">
        <f>IF(B$19=0,0,C26/B$19)</f>
        <v>9062.5</v>
      </c>
      <c r="C26" s="10">
        <v>145000</v>
      </c>
      <c r="E26" s="29" t="s">
        <v>86</v>
      </c>
      <c r="F26" s="26" t="s">
        <v>41</v>
      </c>
      <c r="G26" s="14">
        <v>0</v>
      </c>
      <c r="H26" s="92">
        <f>IF(B$19=0,0,G26/B$19)</f>
        <v>0</v>
      </c>
      <c r="I26" s="60">
        <v>9</v>
      </c>
    </row>
    <row r="27" spans="1:17" x14ac:dyDescent="0.45">
      <c r="A27" s="22" t="s">
        <v>166</v>
      </c>
      <c r="B27" s="99">
        <f>IF($B$19-B$18=0,0,C27/($B$19-B$18))</f>
        <v>8253.8461538461543</v>
      </c>
      <c r="C27" s="100">
        <v>107300</v>
      </c>
      <c r="E27" s="29" t="s">
        <v>87</v>
      </c>
      <c r="F27" s="26" t="s">
        <v>42</v>
      </c>
      <c r="G27" s="14">
        <v>0</v>
      </c>
      <c r="H27" s="92">
        <f>IF(B$19=0,0,G27/B$19)</f>
        <v>0</v>
      </c>
      <c r="I27" s="60">
        <v>4</v>
      </c>
    </row>
    <row r="28" spans="1:17" x14ac:dyDescent="0.45">
      <c r="A28" s="22" t="s">
        <v>167</v>
      </c>
      <c r="B28" s="99">
        <f>IF(B$18=0,0,C28/B$18)</f>
        <v>12566.666666666666</v>
      </c>
      <c r="C28" s="100">
        <v>37700</v>
      </c>
      <c r="E28" s="29" t="s">
        <v>88</v>
      </c>
      <c r="F28" s="26" t="s">
        <v>43</v>
      </c>
      <c r="G28" s="14">
        <v>0</v>
      </c>
      <c r="H28" s="92">
        <f>IF(B$19=0,0,G28/B$19)</f>
        <v>0</v>
      </c>
      <c r="I28" s="60">
        <v>3</v>
      </c>
    </row>
    <row r="29" spans="1:17" x14ac:dyDescent="0.45">
      <c r="A29" s="22" t="s">
        <v>165</v>
      </c>
      <c r="B29" s="99">
        <f>IF(B$20=0,0,C29/B$20)</f>
        <v>-7317.6470588235297</v>
      </c>
      <c r="C29" s="100">
        <v>-124400</v>
      </c>
      <c r="E29" s="29" t="s">
        <v>90</v>
      </c>
      <c r="F29" s="26" t="s">
        <v>45</v>
      </c>
      <c r="G29" s="14">
        <v>0</v>
      </c>
      <c r="H29" s="92">
        <f>IF(B$19=0,0,G29/B$19)</f>
        <v>0</v>
      </c>
      <c r="I29" s="60">
        <v>1</v>
      </c>
    </row>
    <row r="30" spans="1:17" x14ac:dyDescent="0.45">
      <c r="A30" s="21" t="s">
        <v>158</v>
      </c>
      <c r="B30" s="14">
        <v>2</v>
      </c>
      <c r="C30" s="94">
        <v>0</v>
      </c>
      <c r="E30" s="29" t="s">
        <v>91</v>
      </c>
      <c r="F30" s="26" t="s">
        <v>46</v>
      </c>
      <c r="G30" s="14">
        <v>0</v>
      </c>
      <c r="H30" s="92">
        <f>IF(B$19=0,0,G30/B$19)</f>
        <v>0</v>
      </c>
      <c r="I30" s="60">
        <v>6</v>
      </c>
    </row>
    <row r="31" spans="1:17" x14ac:dyDescent="0.45">
      <c r="A31" s="21" t="s">
        <v>159</v>
      </c>
      <c r="B31" s="14">
        <v>15</v>
      </c>
      <c r="C31" s="94">
        <v>4</v>
      </c>
      <c r="E31" s="29" t="s">
        <v>92</v>
      </c>
      <c r="F31" s="26" t="s">
        <v>47</v>
      </c>
      <c r="G31" s="14">
        <v>0</v>
      </c>
      <c r="H31" s="92">
        <f>IF(B$19=0,0,G31/B$19)</f>
        <v>0</v>
      </c>
      <c r="I31" s="60">
        <v>7</v>
      </c>
    </row>
    <row r="32" spans="1:17" x14ac:dyDescent="0.45">
      <c r="A32" s="56" t="s">
        <v>136</v>
      </c>
      <c r="B32" s="125">
        <v>4</v>
      </c>
      <c r="C32" s="126"/>
      <c r="E32" s="29" t="s">
        <v>93</v>
      </c>
      <c r="F32" s="26" t="s">
        <v>48</v>
      </c>
      <c r="G32" s="14">
        <v>0</v>
      </c>
      <c r="H32" s="92">
        <f>IF(B$19=0,0,G32/B$19)</f>
        <v>0</v>
      </c>
      <c r="I32" s="60">
        <v>3</v>
      </c>
    </row>
    <row r="33" spans="1:9" x14ac:dyDescent="0.45">
      <c r="A33" s="24" t="s">
        <v>181</v>
      </c>
      <c r="B33" s="127">
        <v>66700</v>
      </c>
      <c r="C33" s="128"/>
      <c r="E33" s="29" t="s">
        <v>94</v>
      </c>
      <c r="F33" s="26" t="s">
        <v>49</v>
      </c>
      <c r="G33" s="14">
        <v>0</v>
      </c>
      <c r="H33" s="92">
        <f>IF(B$19=0,0,G33/B$19)</f>
        <v>0</v>
      </c>
      <c r="I33" s="60">
        <v>1</v>
      </c>
    </row>
    <row r="34" spans="1:9" x14ac:dyDescent="0.45">
      <c r="A34" s="23" t="s">
        <v>137</v>
      </c>
      <c r="B34" s="31">
        <v>1</v>
      </c>
      <c r="C34" s="11">
        <f>IF(B$3=0,0,B34/B$3)</f>
        <v>1.3513513513513514E-2</v>
      </c>
      <c r="E34" s="29" t="s">
        <v>95</v>
      </c>
      <c r="F34" s="26" t="s">
        <v>50</v>
      </c>
      <c r="G34" s="14">
        <v>0</v>
      </c>
      <c r="H34" s="92">
        <f>IF(B$19=0,0,G34/B$19)</f>
        <v>0</v>
      </c>
      <c r="I34" s="60">
        <v>3</v>
      </c>
    </row>
    <row r="35" spans="1:9" x14ac:dyDescent="0.45">
      <c r="E35" s="29" t="s">
        <v>96</v>
      </c>
      <c r="F35" s="26" t="s">
        <v>51</v>
      </c>
      <c r="G35" s="14">
        <v>0</v>
      </c>
      <c r="H35" s="92">
        <f>IF(B$19=0,0,G35/B$19)</f>
        <v>0</v>
      </c>
      <c r="I35" s="60">
        <v>1</v>
      </c>
    </row>
    <row r="36" spans="1:9" x14ac:dyDescent="0.45">
      <c r="A36" s="56" t="s">
        <v>172</v>
      </c>
      <c r="B36" s="121">
        <v>0</v>
      </c>
      <c r="C36" s="102">
        <f t="shared" ref="C36:C48" si="2">IF(B$19=0,0,B36/B$19)</f>
        <v>0</v>
      </c>
      <c r="E36" s="29" t="s">
        <v>97</v>
      </c>
      <c r="F36" s="26" t="s">
        <v>52</v>
      </c>
      <c r="G36" s="14">
        <v>0</v>
      </c>
      <c r="H36" s="92">
        <f>IF(B$19=0,0,G36/B$19)</f>
        <v>0</v>
      </c>
      <c r="I36" s="60">
        <v>3</v>
      </c>
    </row>
    <row r="37" spans="1:9" x14ac:dyDescent="0.45">
      <c r="A37" s="21" t="s">
        <v>168</v>
      </c>
      <c r="B37" s="14">
        <v>5</v>
      </c>
      <c r="C37" s="8">
        <f t="shared" si="2"/>
        <v>0.3125</v>
      </c>
      <c r="E37" s="29" t="s">
        <v>98</v>
      </c>
      <c r="F37" s="26" t="s">
        <v>53</v>
      </c>
      <c r="G37" s="14">
        <v>0</v>
      </c>
      <c r="H37" s="92">
        <f>IF(B$19=0,0,G37/B$19)</f>
        <v>0</v>
      </c>
      <c r="I37" s="60">
        <v>1</v>
      </c>
    </row>
    <row r="38" spans="1:9" x14ac:dyDescent="0.45">
      <c r="A38" s="21" t="s">
        <v>169</v>
      </c>
      <c r="B38" s="122">
        <v>0</v>
      </c>
      <c r="C38" s="8">
        <f t="shared" si="2"/>
        <v>0</v>
      </c>
      <c r="E38" s="29" t="s">
        <v>99</v>
      </c>
      <c r="F38" s="26" t="s">
        <v>54</v>
      </c>
      <c r="G38" s="14">
        <v>0</v>
      </c>
      <c r="H38" s="92">
        <f>IF(B$19=0,0,G38/B$19)</f>
        <v>0</v>
      </c>
      <c r="I38" s="60">
        <v>1</v>
      </c>
    </row>
    <row r="39" spans="1:9" x14ac:dyDescent="0.45">
      <c r="A39" s="21" t="s">
        <v>170</v>
      </c>
      <c r="B39" s="122">
        <v>2</v>
      </c>
      <c r="C39" s="8">
        <f t="shared" si="2"/>
        <v>0.125</v>
      </c>
      <c r="E39" s="29" t="s">
        <v>100</v>
      </c>
      <c r="F39" s="26" t="s">
        <v>55</v>
      </c>
      <c r="G39" s="14">
        <v>0</v>
      </c>
      <c r="H39" s="92">
        <f>IF(B$19=0,0,G39/B$19)</f>
        <v>0</v>
      </c>
      <c r="I39" s="60">
        <v>1</v>
      </c>
    </row>
    <row r="40" spans="1:9" x14ac:dyDescent="0.45">
      <c r="A40" s="21" t="s">
        <v>171</v>
      </c>
      <c r="B40" s="122">
        <v>3</v>
      </c>
      <c r="C40" s="8">
        <f t="shared" si="2"/>
        <v>0.1875</v>
      </c>
      <c r="E40" s="29" t="s">
        <v>101</v>
      </c>
      <c r="F40" s="26" t="s">
        <v>56</v>
      </c>
      <c r="G40" s="14">
        <v>0</v>
      </c>
      <c r="H40" s="92">
        <f>IF(B$19=0,0,G40/B$19)</f>
        <v>0</v>
      </c>
      <c r="I40" s="60">
        <v>1</v>
      </c>
    </row>
    <row r="41" spans="1:9" x14ac:dyDescent="0.45">
      <c r="A41" s="21" t="s">
        <v>173</v>
      </c>
      <c r="B41" s="122">
        <v>5</v>
      </c>
      <c r="C41" s="8">
        <f t="shared" si="2"/>
        <v>0.3125</v>
      </c>
      <c r="E41" s="29" t="s">
        <v>102</v>
      </c>
      <c r="F41" s="26" t="s">
        <v>57</v>
      </c>
      <c r="G41" s="14">
        <v>0</v>
      </c>
      <c r="H41" s="92">
        <f>IF(B$19=0,0,G41/B$19)</f>
        <v>0</v>
      </c>
      <c r="I41" s="60">
        <v>3</v>
      </c>
    </row>
    <row r="42" spans="1:9" x14ac:dyDescent="0.45">
      <c r="A42" s="21" t="s">
        <v>174</v>
      </c>
      <c r="B42" s="122">
        <v>1</v>
      </c>
      <c r="C42" s="8">
        <f t="shared" si="2"/>
        <v>6.25E-2</v>
      </c>
      <c r="E42" s="29" t="s">
        <v>103</v>
      </c>
      <c r="F42" s="26" t="s">
        <v>58</v>
      </c>
      <c r="G42" s="14">
        <v>0</v>
      </c>
      <c r="H42" s="92">
        <f>IF(B$19=0,0,G42/B$19)</f>
        <v>0</v>
      </c>
      <c r="I42" s="60">
        <v>1</v>
      </c>
    </row>
    <row r="43" spans="1:9" x14ac:dyDescent="0.45">
      <c r="A43" s="21" t="s">
        <v>175</v>
      </c>
      <c r="B43" s="122">
        <v>0</v>
      </c>
      <c r="C43" s="8">
        <f t="shared" si="2"/>
        <v>0</v>
      </c>
      <c r="E43" s="29" t="s">
        <v>104</v>
      </c>
      <c r="F43" s="26" t="s">
        <v>59</v>
      </c>
      <c r="G43" s="14">
        <v>0</v>
      </c>
      <c r="H43" s="92">
        <f>IF(B$19=0,0,G43/B$19)</f>
        <v>0</v>
      </c>
      <c r="I43" s="60">
        <v>1</v>
      </c>
    </row>
    <row r="44" spans="1:9" x14ac:dyDescent="0.45">
      <c r="A44" s="21" t="s">
        <v>176</v>
      </c>
      <c r="B44" s="122">
        <v>0</v>
      </c>
      <c r="C44" s="8">
        <f t="shared" si="2"/>
        <v>0</v>
      </c>
      <c r="E44" s="29" t="s">
        <v>105</v>
      </c>
      <c r="F44" s="26" t="s">
        <v>112</v>
      </c>
      <c r="G44" s="14">
        <v>0</v>
      </c>
      <c r="H44" s="92">
        <f>IF(B$19=0,0,G44/B$19)</f>
        <v>0</v>
      </c>
      <c r="I44" s="60">
        <v>1</v>
      </c>
    </row>
    <row r="45" spans="1:9" x14ac:dyDescent="0.45">
      <c r="A45" s="21" t="s">
        <v>177</v>
      </c>
      <c r="B45" s="122">
        <v>0</v>
      </c>
      <c r="C45" s="8">
        <f t="shared" si="2"/>
        <v>0</v>
      </c>
      <c r="E45" s="29" t="s">
        <v>106</v>
      </c>
      <c r="F45" s="26" t="s">
        <v>113</v>
      </c>
      <c r="G45" s="14">
        <v>0</v>
      </c>
      <c r="H45" s="92">
        <f>IF(B$19=0,0,G45/B$19)</f>
        <v>0</v>
      </c>
      <c r="I45" s="60">
        <v>1</v>
      </c>
    </row>
    <row r="46" spans="1:9" x14ac:dyDescent="0.45">
      <c r="A46" s="21" t="s">
        <v>178</v>
      </c>
      <c r="B46" s="122">
        <v>0</v>
      </c>
      <c r="C46" s="8">
        <f t="shared" si="2"/>
        <v>0</v>
      </c>
      <c r="E46" s="29" t="s">
        <v>107</v>
      </c>
      <c r="F46" s="26" t="s">
        <v>114</v>
      </c>
      <c r="G46" s="14">
        <v>0</v>
      </c>
      <c r="H46" s="92">
        <f>IF(B$19=0,0,G46/B$19)</f>
        <v>0</v>
      </c>
      <c r="I46" s="60">
        <v>1</v>
      </c>
    </row>
    <row r="47" spans="1:9" x14ac:dyDescent="0.45">
      <c r="A47" s="21" t="s">
        <v>179</v>
      </c>
      <c r="B47" s="122">
        <v>0</v>
      </c>
      <c r="C47" s="8">
        <f t="shared" si="2"/>
        <v>0</v>
      </c>
      <c r="E47" s="29" t="s">
        <v>108</v>
      </c>
      <c r="F47" s="26" t="s">
        <v>60</v>
      </c>
      <c r="G47" s="14">
        <v>0</v>
      </c>
      <c r="H47" s="92">
        <f>IF(B$19=0,0,G47/B$19)</f>
        <v>0</v>
      </c>
      <c r="I47" s="60">
        <v>1</v>
      </c>
    </row>
    <row r="48" spans="1:9" x14ac:dyDescent="0.45">
      <c r="A48" s="23" t="s">
        <v>180</v>
      </c>
      <c r="B48" s="101">
        <v>0</v>
      </c>
      <c r="C48" s="11">
        <f t="shared" si="2"/>
        <v>0</v>
      </c>
      <c r="E48" s="29" t="s">
        <v>109</v>
      </c>
      <c r="F48" s="26" t="s">
        <v>61</v>
      </c>
      <c r="G48" s="14">
        <v>0</v>
      </c>
      <c r="H48" s="92">
        <f>IF(B$19=0,0,G48/B$19)</f>
        <v>0</v>
      </c>
      <c r="I48" s="60">
        <v>1</v>
      </c>
    </row>
    <row r="49" spans="5:9" x14ac:dyDescent="0.45">
      <c r="E49" s="29" t="s">
        <v>110</v>
      </c>
      <c r="F49" s="26" t="s">
        <v>62</v>
      </c>
      <c r="G49" s="14">
        <v>0</v>
      </c>
      <c r="H49" s="92">
        <f>IF(B$19=0,0,G49/B$19)</f>
        <v>0</v>
      </c>
      <c r="I49" s="60">
        <v>1</v>
      </c>
    </row>
    <row r="50" spans="5:9" x14ac:dyDescent="0.45">
      <c r="E50" s="29" t="s">
        <v>111</v>
      </c>
      <c r="F50" s="26" t="s">
        <v>63</v>
      </c>
      <c r="G50" s="14">
        <v>0</v>
      </c>
      <c r="H50" s="92">
        <f>IF(B$19=0,0,G50/B$19)</f>
        <v>0</v>
      </c>
      <c r="I50" s="60">
        <v>1</v>
      </c>
    </row>
    <row r="51" spans="5:9" x14ac:dyDescent="0.45">
      <c r="E51" s="95" t="s">
        <v>156</v>
      </c>
      <c r="F51" s="96" t="s">
        <v>157</v>
      </c>
      <c r="G51" s="15">
        <v>0</v>
      </c>
      <c r="H51" s="97">
        <f>IF(B$19=0,0,G51/B$19)</f>
        <v>0</v>
      </c>
      <c r="I51" s="98">
        <v>6</v>
      </c>
    </row>
    <row r="52" spans="5:9" x14ac:dyDescent="0.45">
      <c r="E52" s="30" t="s">
        <v>162</v>
      </c>
      <c r="F52" s="27" t="s">
        <v>163</v>
      </c>
      <c r="G52" s="16">
        <v>0</v>
      </c>
      <c r="H52" s="93">
        <f>IF(B$19=0,0,G52/B$19)</f>
        <v>0</v>
      </c>
      <c r="I52" s="61">
        <v>1</v>
      </c>
    </row>
  </sheetData>
  <sortState xmlns:xlrd2="http://schemas.microsoft.com/office/spreadsheetml/2017/richdata2" ref="E2:I53">
    <sortCondition descending="1" ref="H1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392668-9C47-448B-932A-92682CA73ED9}">
  <sheetPr codeName="Sheet11"/>
  <dimension ref="A1:Q65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29" t="s">
        <v>126</v>
      </c>
      <c r="C1" s="130"/>
      <c r="E1" s="108" t="s">
        <v>155</v>
      </c>
      <c r="F1" s="120" t="s">
        <v>115</v>
      </c>
      <c r="G1" s="119" t="s">
        <v>116</v>
      </c>
      <c r="H1" s="90" t="s">
        <v>117</v>
      </c>
      <c r="I1" s="120" t="s">
        <v>146</v>
      </c>
      <c r="K1" s="4" t="s">
        <v>19</v>
      </c>
      <c r="L1" s="120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5">
      <c r="A2" s="20" t="s">
        <v>9</v>
      </c>
      <c r="B2" s="131">
        <v>63</v>
      </c>
      <c r="C2" s="132"/>
      <c r="E2" s="28" t="s">
        <v>66</v>
      </c>
      <c r="F2" s="25" t="s">
        <v>22</v>
      </c>
      <c r="G2" s="13">
        <v>101</v>
      </c>
      <c r="H2" s="91">
        <f>IF(B$19=0,0,G2/B$19)</f>
        <v>0.66447368421052633</v>
      </c>
      <c r="I2" s="59">
        <v>7</v>
      </c>
      <c r="K2" s="5">
        <v>0</v>
      </c>
      <c r="L2" s="64">
        <v>0</v>
      </c>
      <c r="N2" s="77" t="s">
        <v>128</v>
      </c>
      <c r="O2" s="83">
        <f t="shared" ref="O2:O7" si="0">IF(P2=0,0,Q2/P2)</f>
        <v>-6.3492063492063489</v>
      </c>
      <c r="P2" s="80">
        <v>63</v>
      </c>
      <c r="Q2" s="67">
        <v>-400</v>
      </c>
    </row>
    <row r="3" spans="1:17" x14ac:dyDescent="0.45">
      <c r="A3" s="21" t="s">
        <v>8</v>
      </c>
      <c r="B3" s="133">
        <v>496</v>
      </c>
      <c r="C3" s="134"/>
      <c r="E3" s="29" t="s">
        <v>72</v>
      </c>
      <c r="F3" s="26" t="s">
        <v>27</v>
      </c>
      <c r="G3" s="14">
        <v>75</v>
      </c>
      <c r="H3" s="92">
        <f>IF(B$19=0,0,G3/B$19)</f>
        <v>0.49342105263157893</v>
      </c>
      <c r="I3" s="60">
        <v>8</v>
      </c>
      <c r="K3" s="7">
        <v>1</v>
      </c>
      <c r="L3" s="65">
        <v>39.200000000000003</v>
      </c>
      <c r="N3" s="78" t="s">
        <v>129</v>
      </c>
      <c r="O3" s="84">
        <f t="shared" si="0"/>
        <v>3801.6393442622953</v>
      </c>
      <c r="P3" s="81">
        <v>61</v>
      </c>
      <c r="Q3" s="68">
        <v>231900</v>
      </c>
    </row>
    <row r="4" spans="1:17" x14ac:dyDescent="0.45">
      <c r="A4" s="21" t="s">
        <v>6</v>
      </c>
      <c r="B4" s="135">
        <v>511.30000000000018</v>
      </c>
      <c r="C4" s="136"/>
      <c r="E4" s="29" t="s">
        <v>64</v>
      </c>
      <c r="F4" s="26" t="s">
        <v>20</v>
      </c>
      <c r="G4" s="14">
        <v>69</v>
      </c>
      <c r="H4" s="92">
        <f>IF(B$19=0,0,G4/B$19)</f>
        <v>0.45394736842105265</v>
      </c>
      <c r="I4" s="60">
        <v>7</v>
      </c>
      <c r="K4" s="7">
        <v>2</v>
      </c>
      <c r="L4" s="65">
        <v>99.6</v>
      </c>
      <c r="N4" s="78" t="s">
        <v>130</v>
      </c>
      <c r="O4" s="84">
        <f t="shared" si="0"/>
        <v>3221.0526315789475</v>
      </c>
      <c r="P4" s="81">
        <v>57</v>
      </c>
      <c r="Q4" s="68">
        <v>183600</v>
      </c>
    </row>
    <row r="5" spans="1:17" x14ac:dyDescent="0.45">
      <c r="A5" s="21" t="s">
        <v>7</v>
      </c>
      <c r="B5" s="123">
        <f>IF(B$2=0,0,B$4/B$2)</f>
        <v>8.115873015873019</v>
      </c>
      <c r="C5" s="124"/>
      <c r="E5" s="29" t="s">
        <v>160</v>
      </c>
      <c r="F5" s="26" t="s">
        <v>161</v>
      </c>
      <c r="G5" s="14">
        <v>69</v>
      </c>
      <c r="H5" s="92">
        <f>IF(B$19=0,0,G5/B$19)</f>
        <v>0.45394736842105265</v>
      </c>
      <c r="I5" s="60">
        <v>4</v>
      </c>
      <c r="K5" s="7">
        <v>3</v>
      </c>
      <c r="L5" s="65">
        <v>98.1</v>
      </c>
      <c r="N5" s="78" t="s">
        <v>131</v>
      </c>
      <c r="O5" s="84">
        <f t="shared" si="0"/>
        <v>1848</v>
      </c>
      <c r="P5" s="81">
        <v>50</v>
      </c>
      <c r="Q5" s="68">
        <v>92400</v>
      </c>
    </row>
    <row r="6" spans="1:17" x14ac:dyDescent="0.45">
      <c r="A6" s="21" t="s">
        <v>1</v>
      </c>
      <c r="B6" s="137">
        <f>IF(B$2=0,0,(B$7*1+B$8*2+B$9*3)/B$2)</f>
        <v>1.8095238095238095</v>
      </c>
      <c r="C6" s="138"/>
      <c r="E6" s="29" t="s">
        <v>68</v>
      </c>
      <c r="F6" s="26" t="s">
        <v>12</v>
      </c>
      <c r="G6" s="14">
        <v>62</v>
      </c>
      <c r="H6" s="92">
        <f>IF(B$19=0,0,G6/B$19)</f>
        <v>0.40789473684210525</v>
      </c>
      <c r="I6" s="60">
        <v>3</v>
      </c>
      <c r="K6" s="7">
        <v>4</v>
      </c>
      <c r="L6" s="65">
        <v>101.5</v>
      </c>
      <c r="N6" s="78" t="s">
        <v>132</v>
      </c>
      <c r="O6" s="84">
        <f t="shared" si="0"/>
        <v>-1508.8888888888889</v>
      </c>
      <c r="P6" s="81">
        <v>45</v>
      </c>
      <c r="Q6" s="68">
        <v>-67900</v>
      </c>
    </row>
    <row r="7" spans="1:17" x14ac:dyDescent="0.45">
      <c r="A7" s="21" t="s">
        <v>2</v>
      </c>
      <c r="B7" s="14">
        <v>25</v>
      </c>
      <c r="C7" s="8">
        <f t="shared" ref="C7:C14" si="1">IF(B$2=0,0,B7/B$2)</f>
        <v>0.3968253968253968</v>
      </c>
      <c r="E7" s="29" t="s">
        <v>67</v>
      </c>
      <c r="F7" s="26" t="s">
        <v>23</v>
      </c>
      <c r="G7" s="14">
        <v>41</v>
      </c>
      <c r="H7" s="92">
        <f>IF(B$19=0,0,G7/B$19)</f>
        <v>0.26973684210526316</v>
      </c>
      <c r="I7" s="60">
        <v>3</v>
      </c>
      <c r="K7" s="7">
        <v>5</v>
      </c>
      <c r="L7" s="65">
        <v>143.1</v>
      </c>
      <c r="N7" s="79" t="s">
        <v>133</v>
      </c>
      <c r="O7" s="85">
        <f t="shared" si="0"/>
        <v>740</v>
      </c>
      <c r="P7" s="82">
        <v>35</v>
      </c>
      <c r="Q7" s="69">
        <v>25900</v>
      </c>
    </row>
    <row r="8" spans="1:17" x14ac:dyDescent="0.45">
      <c r="A8" s="21" t="s">
        <v>3</v>
      </c>
      <c r="B8" s="14">
        <v>25</v>
      </c>
      <c r="C8" s="8">
        <f t="shared" si="1"/>
        <v>0.3968253968253968</v>
      </c>
      <c r="E8" s="29" t="s">
        <v>89</v>
      </c>
      <c r="F8" s="26" t="s">
        <v>44</v>
      </c>
      <c r="G8" s="14">
        <v>27</v>
      </c>
      <c r="H8" s="92">
        <f>IF(B$19=0,0,G8/B$19)</f>
        <v>0.17763157894736842</v>
      </c>
      <c r="I8" s="60">
        <v>3</v>
      </c>
      <c r="K8" s="7">
        <v>6</v>
      </c>
      <c r="L8" s="65">
        <v>164.5</v>
      </c>
      <c r="N8" s="111"/>
      <c r="O8" s="89"/>
      <c r="P8" s="112"/>
      <c r="Q8" s="74"/>
    </row>
    <row r="9" spans="1:17" x14ac:dyDescent="0.45">
      <c r="A9" s="22" t="s">
        <v>4</v>
      </c>
      <c r="B9" s="15">
        <v>13</v>
      </c>
      <c r="C9" s="9">
        <f t="shared" si="1"/>
        <v>0.20634920634920634</v>
      </c>
      <c r="E9" s="29" t="s">
        <v>69</v>
      </c>
      <c r="F9" s="26" t="s">
        <v>24</v>
      </c>
      <c r="G9" s="14">
        <v>26</v>
      </c>
      <c r="H9" s="92">
        <f>IF(B$19=0,0,G9/B$19)</f>
        <v>0.17105263157894737</v>
      </c>
      <c r="I9" s="60">
        <v>1</v>
      </c>
      <c r="K9" s="7">
        <v>7</v>
      </c>
      <c r="L9" s="65">
        <v>168.5</v>
      </c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5">
      <c r="A10" s="22" t="s">
        <v>185</v>
      </c>
      <c r="B10" s="113">
        <f>IF(B7=0,0,C10/B7)</f>
        <v>43.295999999999992</v>
      </c>
      <c r="C10" s="114">
        <v>1082.3999999999999</v>
      </c>
      <c r="E10" s="29" t="s">
        <v>65</v>
      </c>
      <c r="F10" s="26" t="s">
        <v>21</v>
      </c>
      <c r="G10" s="14">
        <v>18</v>
      </c>
      <c r="H10" s="92">
        <f>IF(B$19=0,0,G10/B$19)</f>
        <v>0.11842105263157894</v>
      </c>
      <c r="I10" s="60">
        <v>3</v>
      </c>
      <c r="K10" s="7">
        <v>8</v>
      </c>
      <c r="L10" s="65">
        <v>132.6</v>
      </c>
      <c r="N10" s="77" t="s">
        <v>152</v>
      </c>
      <c r="O10" s="86">
        <f>IF(P10=0,0,Q10/P10)</f>
        <v>-2.7095238095238097</v>
      </c>
      <c r="P10" s="80">
        <v>21</v>
      </c>
      <c r="Q10" s="71">
        <v>-56.9</v>
      </c>
    </row>
    <row r="11" spans="1:17" x14ac:dyDescent="0.45">
      <c r="A11" s="22" t="s">
        <v>186</v>
      </c>
      <c r="B11" s="113">
        <f>IF(B8=0,0,C11/B8)</f>
        <v>-1.4159999999999999</v>
      </c>
      <c r="C11" s="114">
        <v>-35.4</v>
      </c>
      <c r="E11" s="29" t="s">
        <v>71</v>
      </c>
      <c r="F11" s="26" t="s">
        <v>26</v>
      </c>
      <c r="G11" s="14">
        <v>13</v>
      </c>
      <c r="H11" s="92">
        <f>IF(B$19=0,0,G11/B$19)</f>
        <v>8.5526315789473686E-2</v>
      </c>
      <c r="I11" s="60">
        <v>3</v>
      </c>
      <c r="K11" s="7">
        <v>9</v>
      </c>
      <c r="L11" s="65">
        <v>151.29999999999998</v>
      </c>
      <c r="N11" s="78" t="s">
        <v>153</v>
      </c>
      <c r="O11" s="87">
        <f>IF(P11=0,0,Q11/P11)</f>
        <v>8.0454545454545414</v>
      </c>
      <c r="P11" s="81">
        <v>22</v>
      </c>
      <c r="Q11" s="72">
        <v>176.99999999999991</v>
      </c>
    </row>
    <row r="12" spans="1:17" x14ac:dyDescent="0.45">
      <c r="A12" s="22" t="s">
        <v>187</v>
      </c>
      <c r="B12" s="113">
        <f>IF(B9=0,0,C12/B9)</f>
        <v>-41.207692307692312</v>
      </c>
      <c r="C12" s="114">
        <v>-535.70000000000005</v>
      </c>
      <c r="E12" s="29" t="s">
        <v>86</v>
      </c>
      <c r="F12" s="26" t="s">
        <v>41</v>
      </c>
      <c r="G12" s="14">
        <v>13</v>
      </c>
      <c r="H12" s="92">
        <f>IF(B$19=0,0,G12/B$19)</f>
        <v>8.5526315789473686E-2</v>
      </c>
      <c r="I12" s="60">
        <v>3</v>
      </c>
      <c r="K12" s="7">
        <v>10</v>
      </c>
      <c r="L12" s="65">
        <v>229</v>
      </c>
      <c r="N12" s="79" t="s">
        <v>154</v>
      </c>
      <c r="O12" s="88">
        <f>IF(P12=0,0,Q12/P12)</f>
        <v>19.560000000000006</v>
      </c>
      <c r="P12" s="82">
        <v>20</v>
      </c>
      <c r="Q12" s="73">
        <v>391.2000000000001</v>
      </c>
    </row>
    <row r="13" spans="1:17" x14ac:dyDescent="0.45">
      <c r="A13" s="22" t="s">
        <v>188</v>
      </c>
      <c r="B13" s="123">
        <f>AVERAGE(B10:B12)</f>
        <v>0.22410256410256105</v>
      </c>
      <c r="C13" s="124"/>
      <c r="E13" s="29" t="s">
        <v>70</v>
      </c>
      <c r="F13" s="26" t="s">
        <v>25</v>
      </c>
      <c r="G13" s="14">
        <v>12</v>
      </c>
      <c r="H13" s="92">
        <f>IF(B$19=0,0,G13/B$19)</f>
        <v>7.8947368421052627E-2</v>
      </c>
      <c r="I13" s="60">
        <v>6</v>
      </c>
      <c r="K13" s="7">
        <v>11</v>
      </c>
      <c r="L13" s="65">
        <v>242.7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5</v>
      </c>
      <c r="C14" s="11">
        <f t="shared" si="1"/>
        <v>7.9365079365079361E-2</v>
      </c>
      <c r="E14" s="29" t="s">
        <v>83</v>
      </c>
      <c r="F14" s="26" t="s">
        <v>38</v>
      </c>
      <c r="G14" s="14">
        <v>7</v>
      </c>
      <c r="H14" s="92">
        <f>IF(B$19=0,0,G14/B$19)</f>
        <v>4.6052631578947366E-2</v>
      </c>
      <c r="I14" s="60">
        <v>6</v>
      </c>
      <c r="K14" s="7">
        <v>12</v>
      </c>
      <c r="L14" s="65">
        <v>198</v>
      </c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5">
      <c r="A15" s="24" t="s">
        <v>121</v>
      </c>
      <c r="B15" s="17">
        <v>126</v>
      </c>
      <c r="C15" s="12">
        <f>IF(B$3=0,0,B15/B$3)</f>
        <v>0.25403225806451613</v>
      </c>
      <c r="E15" s="29" t="s">
        <v>81</v>
      </c>
      <c r="F15" s="26" t="s">
        <v>36</v>
      </c>
      <c r="G15" s="14">
        <v>4</v>
      </c>
      <c r="H15" s="92">
        <f>IF(B$19=0,0,G15/B$19)</f>
        <v>2.6315789473684209E-2</v>
      </c>
      <c r="I15" s="60">
        <v>4</v>
      </c>
      <c r="K15" s="7">
        <v>13</v>
      </c>
      <c r="L15" s="65">
        <v>197</v>
      </c>
      <c r="N15" s="77" t="s">
        <v>196</v>
      </c>
      <c r="O15" s="86">
        <f>IF(P15=0,0,Q15/P15)</f>
        <v>34.9</v>
      </c>
      <c r="P15" s="80">
        <v>2</v>
      </c>
      <c r="Q15" s="71">
        <v>69.8</v>
      </c>
    </row>
    <row r="16" spans="1:17" x14ac:dyDescent="0.45">
      <c r="A16" s="21" t="s">
        <v>118</v>
      </c>
      <c r="B16" s="14">
        <v>80</v>
      </c>
      <c r="C16" s="8">
        <f>IF(B$3=0,0,B16/B$3)</f>
        <v>0.16129032258064516</v>
      </c>
      <c r="E16" s="29" t="s">
        <v>156</v>
      </c>
      <c r="F16" s="26" t="s">
        <v>157</v>
      </c>
      <c r="G16" s="14">
        <v>4</v>
      </c>
      <c r="H16" s="92">
        <f>IF(B$19=0,0,G16/B$19)</f>
        <v>2.6315789473684209E-2</v>
      </c>
      <c r="I16" s="60">
        <v>1</v>
      </c>
      <c r="K16" s="7">
        <v>14</v>
      </c>
      <c r="L16" s="65">
        <v>249.2</v>
      </c>
      <c r="N16" s="78" t="s">
        <v>189</v>
      </c>
      <c r="O16" s="87">
        <f>IF(P16=0,0,Q16/P16)</f>
        <v>29.983333333333331</v>
      </c>
      <c r="P16" s="81">
        <v>6</v>
      </c>
      <c r="Q16" s="72">
        <v>179.89999999999998</v>
      </c>
    </row>
    <row r="17" spans="1:17" x14ac:dyDescent="0.45">
      <c r="A17" s="20" t="s">
        <v>123</v>
      </c>
      <c r="B17" s="13">
        <f>B23</f>
        <v>75</v>
      </c>
      <c r="C17" s="6">
        <f>IF(B$15=0,0,B17/B$15)</f>
        <v>0.59523809523809523</v>
      </c>
      <c r="E17" s="29" t="s">
        <v>79</v>
      </c>
      <c r="F17" s="26" t="s">
        <v>34</v>
      </c>
      <c r="G17" s="14">
        <v>3</v>
      </c>
      <c r="H17" s="92">
        <f>IF(B$19=0,0,G17/B$19)</f>
        <v>1.9736842105263157E-2</v>
      </c>
      <c r="I17" s="60">
        <v>5</v>
      </c>
      <c r="K17" s="7">
        <v>15</v>
      </c>
      <c r="L17" s="65">
        <v>213.5</v>
      </c>
      <c r="N17" s="78" t="s">
        <v>194</v>
      </c>
      <c r="O17" s="87">
        <f>IF(P17=0,0,Q17/P17)</f>
        <v>21.871428571428577</v>
      </c>
      <c r="P17" s="81">
        <v>14</v>
      </c>
      <c r="Q17" s="72">
        <v>306.2000000000001</v>
      </c>
    </row>
    <row r="18" spans="1:17" x14ac:dyDescent="0.45">
      <c r="A18" s="20" t="s">
        <v>124</v>
      </c>
      <c r="B18" s="13">
        <f>B24</f>
        <v>37</v>
      </c>
      <c r="C18" s="6">
        <f>IF(B$16=0,0,B18/B$16)</f>
        <v>0.46250000000000002</v>
      </c>
      <c r="E18" s="29" t="s">
        <v>92</v>
      </c>
      <c r="F18" s="26" t="s">
        <v>47</v>
      </c>
      <c r="G18" s="14">
        <v>3</v>
      </c>
      <c r="H18" s="92">
        <f>IF(B$19=0,0,G18/B$19)</f>
        <v>1.9736842105263157E-2</v>
      </c>
      <c r="I18" s="60">
        <v>1</v>
      </c>
      <c r="K18" s="7">
        <v>16</v>
      </c>
      <c r="L18" s="65">
        <v>273.8</v>
      </c>
      <c r="N18" s="78" t="s">
        <v>193</v>
      </c>
      <c r="O18" s="87">
        <f>IF(P18=0,0,Q18/P18)</f>
        <v>21.374999999999996</v>
      </c>
      <c r="P18" s="81">
        <v>12</v>
      </c>
      <c r="Q18" s="72">
        <v>256.49999999999994</v>
      </c>
    </row>
    <row r="19" spans="1:17" x14ac:dyDescent="0.45">
      <c r="A19" s="20" t="s">
        <v>10</v>
      </c>
      <c r="B19" s="13">
        <f>B22+B21</f>
        <v>152</v>
      </c>
      <c r="C19" s="6">
        <f>IF(B$3=0,0,B19/B$3)</f>
        <v>0.30645161290322581</v>
      </c>
      <c r="E19" s="29" t="s">
        <v>78</v>
      </c>
      <c r="F19" s="26" t="s">
        <v>33</v>
      </c>
      <c r="G19" s="14">
        <v>2</v>
      </c>
      <c r="H19" s="92">
        <f>IF(B$19=0,0,G19/B$19)</f>
        <v>1.3157894736842105E-2</v>
      </c>
      <c r="I19" s="60">
        <v>8</v>
      </c>
      <c r="K19" s="7">
        <v>17</v>
      </c>
      <c r="L19" s="65">
        <v>242.8</v>
      </c>
      <c r="N19" s="78" t="s">
        <v>192</v>
      </c>
      <c r="O19" s="87">
        <f>IF(P19=0,0,Q19/P19)</f>
        <v>18.844000000000008</v>
      </c>
      <c r="P19" s="81">
        <v>25</v>
      </c>
      <c r="Q19" s="72">
        <v>471.10000000000019</v>
      </c>
    </row>
    <row r="20" spans="1:17" x14ac:dyDescent="0.45">
      <c r="A20" s="21" t="s">
        <v>13</v>
      </c>
      <c r="B20" s="14">
        <v>68</v>
      </c>
      <c r="C20" s="8">
        <f>IF(B$3=0,0,B20/B$3)</f>
        <v>0.13709677419354838</v>
      </c>
      <c r="E20" s="29" t="s">
        <v>91</v>
      </c>
      <c r="F20" s="26" t="s">
        <v>46</v>
      </c>
      <c r="G20" s="14">
        <v>2</v>
      </c>
      <c r="H20" s="92">
        <f>IF(B$19=0,0,G20/B$19)</f>
        <v>1.3157894736842105E-2</v>
      </c>
      <c r="I20" s="60">
        <v>5</v>
      </c>
      <c r="K20" s="7">
        <v>18</v>
      </c>
      <c r="L20" s="65">
        <v>280</v>
      </c>
      <c r="N20" s="78" t="s">
        <v>213</v>
      </c>
      <c r="O20" s="87">
        <f>IF(P20=0,0,Q20/P20)</f>
        <v>4.7444444444444436</v>
      </c>
      <c r="P20" s="81">
        <v>9</v>
      </c>
      <c r="Q20" s="72">
        <v>42.699999999999989</v>
      </c>
    </row>
    <row r="21" spans="1:17" x14ac:dyDescent="0.45">
      <c r="A21" s="21" t="s">
        <v>12</v>
      </c>
      <c r="B21" s="14">
        <v>80</v>
      </c>
      <c r="C21" s="8">
        <f>IF(B$19=0,0,B21/B$19)</f>
        <v>0.52631578947368418</v>
      </c>
      <c r="E21" s="29" t="s">
        <v>93</v>
      </c>
      <c r="F21" s="26" t="s">
        <v>48</v>
      </c>
      <c r="G21" s="14">
        <v>2</v>
      </c>
      <c r="H21" s="92">
        <f>IF(B$19=0,0,G21/B$19)</f>
        <v>1.3157894736842105E-2</v>
      </c>
      <c r="I21" s="60">
        <v>1</v>
      </c>
      <c r="K21" s="7">
        <v>19</v>
      </c>
      <c r="L21" s="65">
        <v>281.5</v>
      </c>
      <c r="N21" s="78" t="s">
        <v>164</v>
      </c>
      <c r="O21" s="87">
        <f>IF(P21=0,0,Q21/P21)</f>
        <v>4.6657894736842076</v>
      </c>
      <c r="P21" s="81">
        <v>38</v>
      </c>
      <c r="Q21" s="72">
        <v>177.2999999999999</v>
      </c>
    </row>
    <row r="22" spans="1:17" x14ac:dyDescent="0.45">
      <c r="A22" s="21" t="s">
        <v>11</v>
      </c>
      <c r="B22" s="14">
        <v>72</v>
      </c>
      <c r="C22" s="8">
        <f>IF(B$19=0,0,B22/B$19)</f>
        <v>0.47368421052631576</v>
      </c>
      <c r="E22" s="29" t="s">
        <v>73</v>
      </c>
      <c r="F22" s="26" t="s">
        <v>28</v>
      </c>
      <c r="G22" s="14">
        <v>1</v>
      </c>
      <c r="H22" s="92">
        <f>IF(B$19=0,0,G22/B$19)</f>
        <v>6.5789473684210523E-3</v>
      </c>
      <c r="I22" s="60">
        <v>2</v>
      </c>
      <c r="K22" s="7">
        <v>20</v>
      </c>
      <c r="L22" s="65">
        <v>287.2</v>
      </c>
      <c r="N22" s="78" t="s">
        <v>205</v>
      </c>
      <c r="O22" s="87">
        <f>IF(P22=0,0,Q22/P22)</f>
        <v>1.5199999999999998</v>
      </c>
      <c r="P22" s="81">
        <v>20</v>
      </c>
      <c r="Q22" s="72">
        <v>30.399999999999995</v>
      </c>
    </row>
    <row r="23" spans="1:17" x14ac:dyDescent="0.45">
      <c r="A23" s="21" t="s">
        <v>184</v>
      </c>
      <c r="B23" s="14">
        <v>75</v>
      </c>
      <c r="C23" s="8">
        <f>IF(B$19=0,0,B23/B$19)</f>
        <v>0.49342105263157893</v>
      </c>
      <c r="E23" s="29" t="s">
        <v>84</v>
      </c>
      <c r="F23" s="26" t="s">
        <v>39</v>
      </c>
      <c r="G23" s="14">
        <v>1</v>
      </c>
      <c r="H23" s="92">
        <f>IF(B$19=0,0,G23/B$19)</f>
        <v>6.5789473684210523E-3</v>
      </c>
      <c r="I23" s="60">
        <v>1</v>
      </c>
      <c r="K23" s="7">
        <v>21</v>
      </c>
      <c r="L23" s="65">
        <v>286.3</v>
      </c>
    </row>
    <row r="24" spans="1:17" x14ac:dyDescent="0.45">
      <c r="A24" s="21" t="s">
        <v>182</v>
      </c>
      <c r="B24" s="14">
        <v>37</v>
      </c>
      <c r="C24" s="8">
        <f>IF(B$19=0,0,B24/B$19)</f>
        <v>0.24342105263157895</v>
      </c>
      <c r="E24" s="29" t="s">
        <v>87</v>
      </c>
      <c r="F24" s="26" t="s">
        <v>42</v>
      </c>
      <c r="G24" s="14">
        <v>1</v>
      </c>
      <c r="H24" s="92">
        <f>IF(B$19=0,0,G24/B$19)</f>
        <v>6.5789473684210523E-3</v>
      </c>
      <c r="I24" s="60">
        <v>2</v>
      </c>
      <c r="K24" s="7">
        <v>22</v>
      </c>
      <c r="L24" s="65">
        <v>344.1</v>
      </c>
    </row>
    <row r="25" spans="1:17" x14ac:dyDescent="0.45">
      <c r="A25" s="21" t="s">
        <v>183</v>
      </c>
      <c r="B25" s="14">
        <v>40</v>
      </c>
      <c r="C25" s="8">
        <f>IF(B$19=0,0,B25/B$19)</f>
        <v>0.26315789473684209</v>
      </c>
      <c r="E25" s="29" t="s">
        <v>95</v>
      </c>
      <c r="F25" s="26" t="s">
        <v>50</v>
      </c>
      <c r="G25" s="14">
        <v>1</v>
      </c>
      <c r="H25" s="92">
        <f>IF(B$19=0,0,G25/B$19)</f>
        <v>6.5789473684210523E-3</v>
      </c>
      <c r="I25" s="60">
        <v>1</v>
      </c>
      <c r="K25" s="7">
        <v>23</v>
      </c>
      <c r="L25" s="65">
        <v>396.90000000000003</v>
      </c>
    </row>
    <row r="26" spans="1:17" x14ac:dyDescent="0.45">
      <c r="A26" s="21" t="s">
        <v>5</v>
      </c>
      <c r="B26" s="18">
        <f>IF(B$19=0,0,C26/B$19)</f>
        <v>10015.78947368421</v>
      </c>
      <c r="C26" s="10">
        <v>1522400</v>
      </c>
      <c r="E26" s="29" t="s">
        <v>74</v>
      </c>
      <c r="F26" s="26" t="s">
        <v>29</v>
      </c>
      <c r="G26" s="14">
        <v>0</v>
      </c>
      <c r="H26" s="92">
        <f>IF(B$19=0,0,G26/B$19)</f>
        <v>0</v>
      </c>
      <c r="I26" s="60">
        <v>1</v>
      </c>
      <c r="K26" s="7">
        <v>24</v>
      </c>
      <c r="L26" s="65">
        <v>469.90000000000003</v>
      </c>
    </row>
    <row r="27" spans="1:17" x14ac:dyDescent="0.45">
      <c r="A27" s="22" t="s">
        <v>166</v>
      </c>
      <c r="B27" s="99">
        <f>IF($B$19-B$18=0,0,C27/($B$19-B$18))</f>
        <v>10360</v>
      </c>
      <c r="C27" s="100">
        <v>1191400</v>
      </c>
      <c r="E27" s="29" t="s">
        <v>75</v>
      </c>
      <c r="F27" s="26" t="s">
        <v>30</v>
      </c>
      <c r="G27" s="14">
        <v>0</v>
      </c>
      <c r="H27" s="92">
        <f>IF(B$19=0,0,G27/B$19)</f>
        <v>0</v>
      </c>
      <c r="I27" s="60">
        <v>4</v>
      </c>
      <c r="K27" s="7">
        <v>25</v>
      </c>
      <c r="L27" s="65">
        <v>465.6</v>
      </c>
    </row>
    <row r="28" spans="1:17" x14ac:dyDescent="0.45">
      <c r="A28" s="22" t="s">
        <v>167</v>
      </c>
      <c r="B28" s="99">
        <f>IF(B$18=0,0,C28/B$18)</f>
        <v>8945.9459459459467</v>
      </c>
      <c r="C28" s="100">
        <v>331000</v>
      </c>
      <c r="E28" s="29" t="s">
        <v>76</v>
      </c>
      <c r="F28" s="26" t="s">
        <v>31</v>
      </c>
      <c r="G28" s="14">
        <v>0</v>
      </c>
      <c r="H28" s="92">
        <f>IF(B$19=0,0,G28/B$19)</f>
        <v>0</v>
      </c>
      <c r="I28" s="60">
        <v>1</v>
      </c>
      <c r="K28" s="7">
        <v>26</v>
      </c>
      <c r="L28" s="65">
        <v>525.30000000000007</v>
      </c>
    </row>
    <row r="29" spans="1:17" x14ac:dyDescent="0.45">
      <c r="A29" s="22" t="s">
        <v>165</v>
      </c>
      <c r="B29" s="99">
        <f>IF(B$20=0,0,C29/B$20)</f>
        <v>-8623.5294117647063</v>
      </c>
      <c r="C29" s="100">
        <v>-586400</v>
      </c>
      <c r="E29" s="29" t="s">
        <v>77</v>
      </c>
      <c r="F29" s="26" t="s">
        <v>32</v>
      </c>
      <c r="G29" s="14">
        <v>0</v>
      </c>
      <c r="H29" s="92">
        <f>IF(B$19=0,0,G29/B$19)</f>
        <v>0</v>
      </c>
      <c r="I29" s="60">
        <v>4</v>
      </c>
      <c r="K29" s="7">
        <v>27</v>
      </c>
      <c r="L29" s="65">
        <v>530.30000000000007</v>
      </c>
    </row>
    <row r="30" spans="1:17" x14ac:dyDescent="0.45">
      <c r="A30" s="21" t="s">
        <v>158</v>
      </c>
      <c r="B30" s="14">
        <v>5</v>
      </c>
      <c r="C30" s="94">
        <v>0</v>
      </c>
      <c r="E30" s="29" t="s">
        <v>80</v>
      </c>
      <c r="F30" s="26" t="s">
        <v>35</v>
      </c>
      <c r="G30" s="14">
        <v>0</v>
      </c>
      <c r="H30" s="92">
        <f>IF(B$19=0,0,G30/B$19)</f>
        <v>0</v>
      </c>
      <c r="I30" s="60">
        <v>1</v>
      </c>
      <c r="K30" s="7">
        <v>28</v>
      </c>
      <c r="L30" s="65">
        <v>561.90000000000009</v>
      </c>
    </row>
    <row r="31" spans="1:17" x14ac:dyDescent="0.45">
      <c r="A31" s="21" t="s">
        <v>159</v>
      </c>
      <c r="B31" s="14">
        <v>45</v>
      </c>
      <c r="C31" s="94">
        <v>11</v>
      </c>
      <c r="E31" s="29" t="s">
        <v>82</v>
      </c>
      <c r="F31" s="26" t="s">
        <v>37</v>
      </c>
      <c r="G31" s="14">
        <v>0</v>
      </c>
      <c r="H31" s="92">
        <f>IF(B$19=0,0,G31/B$19)</f>
        <v>0</v>
      </c>
      <c r="I31" s="60">
        <v>1</v>
      </c>
      <c r="K31" s="7">
        <v>29</v>
      </c>
      <c r="L31" s="65">
        <v>623.50000000000011</v>
      </c>
    </row>
    <row r="32" spans="1:17" x14ac:dyDescent="0.45">
      <c r="A32" s="56" t="s">
        <v>136</v>
      </c>
      <c r="B32" s="125">
        <v>6</v>
      </c>
      <c r="C32" s="126"/>
      <c r="E32" s="29" t="s">
        <v>85</v>
      </c>
      <c r="F32" s="26" t="s">
        <v>40</v>
      </c>
      <c r="G32" s="14">
        <v>0</v>
      </c>
      <c r="H32" s="92">
        <f>IF(B$19=0,0,G32/B$19)</f>
        <v>0</v>
      </c>
      <c r="I32" s="60">
        <v>4</v>
      </c>
      <c r="K32" s="7">
        <v>30</v>
      </c>
      <c r="L32" s="65">
        <v>601.00000000000011</v>
      </c>
    </row>
    <row r="33" spans="1:12" x14ac:dyDescent="0.45">
      <c r="A33" s="24" t="s">
        <v>181</v>
      </c>
      <c r="B33" s="127">
        <v>102700</v>
      </c>
      <c r="C33" s="128"/>
      <c r="E33" s="29" t="s">
        <v>88</v>
      </c>
      <c r="F33" s="26" t="s">
        <v>43</v>
      </c>
      <c r="G33" s="14">
        <v>0</v>
      </c>
      <c r="H33" s="92">
        <f>IF(B$19=0,0,G33/B$19)</f>
        <v>0</v>
      </c>
      <c r="I33" s="60">
        <v>3</v>
      </c>
      <c r="K33" s="7">
        <v>31</v>
      </c>
      <c r="L33" s="65">
        <v>606.50000000000011</v>
      </c>
    </row>
    <row r="34" spans="1:12" x14ac:dyDescent="0.45">
      <c r="A34" s="23" t="s">
        <v>137</v>
      </c>
      <c r="B34" s="31">
        <v>0</v>
      </c>
      <c r="C34" s="11">
        <f>IF(B$3=0,0,B34/B$3)</f>
        <v>0</v>
      </c>
      <c r="E34" s="29" t="s">
        <v>90</v>
      </c>
      <c r="F34" s="26" t="s">
        <v>45</v>
      </c>
      <c r="G34" s="14">
        <v>0</v>
      </c>
      <c r="H34" s="92">
        <f>IF(B$19=0,0,G34/B$19)</f>
        <v>0</v>
      </c>
      <c r="I34" s="60">
        <v>1</v>
      </c>
      <c r="K34" s="7">
        <v>32</v>
      </c>
      <c r="L34" s="65">
        <v>583.00000000000011</v>
      </c>
    </row>
    <row r="35" spans="1:12" x14ac:dyDescent="0.45">
      <c r="E35" s="29" t="s">
        <v>94</v>
      </c>
      <c r="F35" s="26" t="s">
        <v>49</v>
      </c>
      <c r="G35" s="14">
        <v>0</v>
      </c>
      <c r="H35" s="92">
        <f>IF(B$19=0,0,G35/B$19)</f>
        <v>0</v>
      </c>
      <c r="I35" s="60">
        <v>1</v>
      </c>
      <c r="K35" s="7">
        <v>33</v>
      </c>
      <c r="L35" s="65">
        <v>577.60000000000014</v>
      </c>
    </row>
    <row r="36" spans="1:12" x14ac:dyDescent="0.45">
      <c r="A36" s="56" t="s">
        <v>172</v>
      </c>
      <c r="B36" s="121">
        <v>8</v>
      </c>
      <c r="C36" s="102">
        <f t="shared" ref="C36:C48" si="2">IF(B$19=0,0,B36/B$19)</f>
        <v>5.2631578947368418E-2</v>
      </c>
      <c r="E36" s="29" t="s">
        <v>96</v>
      </c>
      <c r="F36" s="26" t="s">
        <v>51</v>
      </c>
      <c r="G36" s="14">
        <v>0</v>
      </c>
      <c r="H36" s="92">
        <f>IF(B$19=0,0,G36/B$19)</f>
        <v>0</v>
      </c>
      <c r="I36" s="60">
        <v>1</v>
      </c>
      <c r="K36" s="7">
        <v>34</v>
      </c>
      <c r="L36" s="65">
        <v>591.40000000000009</v>
      </c>
    </row>
    <row r="37" spans="1:12" x14ac:dyDescent="0.45">
      <c r="A37" s="21" t="s">
        <v>168</v>
      </c>
      <c r="B37" s="14">
        <v>23</v>
      </c>
      <c r="C37" s="8">
        <f t="shared" si="2"/>
        <v>0.15131578947368421</v>
      </c>
      <c r="E37" s="29" t="s">
        <v>97</v>
      </c>
      <c r="F37" s="26" t="s">
        <v>52</v>
      </c>
      <c r="G37" s="14">
        <v>0</v>
      </c>
      <c r="H37" s="92">
        <f>IF(B$19=0,0,G37/B$19)</f>
        <v>0</v>
      </c>
      <c r="I37" s="60">
        <v>3</v>
      </c>
      <c r="K37" s="7">
        <v>35</v>
      </c>
      <c r="L37" s="65">
        <v>526.40000000000009</v>
      </c>
    </row>
    <row r="38" spans="1:12" x14ac:dyDescent="0.45">
      <c r="A38" s="21" t="s">
        <v>169</v>
      </c>
      <c r="B38" s="122">
        <v>24</v>
      </c>
      <c r="C38" s="8">
        <f t="shared" si="2"/>
        <v>0.15789473684210525</v>
      </c>
      <c r="E38" s="29" t="s">
        <v>98</v>
      </c>
      <c r="F38" s="26" t="s">
        <v>53</v>
      </c>
      <c r="G38" s="14">
        <v>0</v>
      </c>
      <c r="H38" s="92">
        <f>IF(B$19=0,0,G38/B$19)</f>
        <v>0</v>
      </c>
      <c r="I38" s="60">
        <v>1</v>
      </c>
      <c r="K38" s="7">
        <v>36</v>
      </c>
      <c r="L38" s="65">
        <v>564.40000000000009</v>
      </c>
    </row>
    <row r="39" spans="1:12" x14ac:dyDescent="0.45">
      <c r="A39" s="21" t="s">
        <v>170</v>
      </c>
      <c r="B39" s="122">
        <v>29</v>
      </c>
      <c r="C39" s="8">
        <f t="shared" si="2"/>
        <v>0.19078947368421054</v>
      </c>
      <c r="E39" s="29" t="s">
        <v>99</v>
      </c>
      <c r="F39" s="26" t="s">
        <v>54</v>
      </c>
      <c r="G39" s="14">
        <v>0</v>
      </c>
      <c r="H39" s="92">
        <f>IF(B$19=0,0,G39/B$19)</f>
        <v>0</v>
      </c>
      <c r="I39" s="60">
        <v>1</v>
      </c>
      <c r="K39" s="7">
        <v>37</v>
      </c>
      <c r="L39" s="65">
        <v>523.60000000000014</v>
      </c>
    </row>
    <row r="40" spans="1:12" x14ac:dyDescent="0.45">
      <c r="A40" s="21" t="s">
        <v>171</v>
      </c>
      <c r="B40" s="122">
        <v>27</v>
      </c>
      <c r="C40" s="8">
        <f t="shared" si="2"/>
        <v>0.17763157894736842</v>
      </c>
      <c r="E40" s="29" t="s">
        <v>100</v>
      </c>
      <c r="F40" s="26" t="s">
        <v>55</v>
      </c>
      <c r="G40" s="14">
        <v>0</v>
      </c>
      <c r="H40" s="92">
        <f>IF(B$19=0,0,G40/B$19)</f>
        <v>0</v>
      </c>
      <c r="I40" s="60">
        <v>1</v>
      </c>
      <c r="K40" s="7">
        <v>38</v>
      </c>
      <c r="L40" s="65">
        <v>497.80000000000013</v>
      </c>
    </row>
    <row r="41" spans="1:12" x14ac:dyDescent="0.45">
      <c r="A41" s="21" t="s">
        <v>173</v>
      </c>
      <c r="B41" s="122">
        <v>14</v>
      </c>
      <c r="C41" s="8">
        <f t="shared" si="2"/>
        <v>9.2105263157894732E-2</v>
      </c>
      <c r="E41" s="29" t="s">
        <v>101</v>
      </c>
      <c r="F41" s="26" t="s">
        <v>56</v>
      </c>
      <c r="G41" s="14">
        <v>0</v>
      </c>
      <c r="H41" s="92">
        <f>IF(B$19=0,0,G41/B$19)</f>
        <v>0</v>
      </c>
      <c r="I41" s="60">
        <v>1</v>
      </c>
      <c r="K41" s="7">
        <v>39</v>
      </c>
      <c r="L41" s="65">
        <v>501.00000000000011</v>
      </c>
    </row>
    <row r="42" spans="1:12" x14ac:dyDescent="0.45">
      <c r="A42" s="21" t="s">
        <v>174</v>
      </c>
      <c r="B42" s="122">
        <v>8</v>
      </c>
      <c r="C42" s="8">
        <f t="shared" si="2"/>
        <v>5.2631578947368418E-2</v>
      </c>
      <c r="E42" s="29" t="s">
        <v>102</v>
      </c>
      <c r="F42" s="26" t="s">
        <v>57</v>
      </c>
      <c r="G42" s="14">
        <v>0</v>
      </c>
      <c r="H42" s="92">
        <f>IF(B$19=0,0,G42/B$19)</f>
        <v>0</v>
      </c>
      <c r="I42" s="60">
        <v>3</v>
      </c>
      <c r="K42" s="7">
        <v>40</v>
      </c>
      <c r="L42" s="65">
        <v>526.50000000000011</v>
      </c>
    </row>
    <row r="43" spans="1:12" x14ac:dyDescent="0.45">
      <c r="A43" s="21" t="s">
        <v>175</v>
      </c>
      <c r="B43" s="122">
        <v>5</v>
      </c>
      <c r="C43" s="8">
        <f t="shared" si="2"/>
        <v>3.2894736842105261E-2</v>
      </c>
      <c r="E43" s="29" t="s">
        <v>103</v>
      </c>
      <c r="F43" s="26" t="s">
        <v>58</v>
      </c>
      <c r="G43" s="14">
        <v>0</v>
      </c>
      <c r="H43" s="92">
        <f>IF(B$19=0,0,G43/B$19)</f>
        <v>0</v>
      </c>
      <c r="I43" s="60">
        <v>1</v>
      </c>
      <c r="K43" s="7">
        <v>41</v>
      </c>
      <c r="L43" s="65">
        <v>522.10000000000014</v>
      </c>
    </row>
    <row r="44" spans="1:12" x14ac:dyDescent="0.45">
      <c r="A44" s="21" t="s">
        <v>176</v>
      </c>
      <c r="B44" s="122">
        <v>4</v>
      </c>
      <c r="C44" s="8">
        <f t="shared" si="2"/>
        <v>2.6315789473684209E-2</v>
      </c>
      <c r="E44" s="29" t="s">
        <v>104</v>
      </c>
      <c r="F44" s="26" t="s">
        <v>59</v>
      </c>
      <c r="G44" s="14">
        <v>0</v>
      </c>
      <c r="H44" s="92">
        <f>IF(B$19=0,0,G44/B$19)</f>
        <v>0</v>
      </c>
      <c r="I44" s="60">
        <v>1</v>
      </c>
      <c r="K44" s="7">
        <v>42</v>
      </c>
      <c r="L44" s="65">
        <v>530.70000000000016</v>
      </c>
    </row>
    <row r="45" spans="1:12" x14ac:dyDescent="0.45">
      <c r="A45" s="21" t="s">
        <v>177</v>
      </c>
      <c r="B45" s="122">
        <v>3</v>
      </c>
      <c r="C45" s="8">
        <f t="shared" si="2"/>
        <v>1.9736842105263157E-2</v>
      </c>
      <c r="E45" s="29" t="s">
        <v>105</v>
      </c>
      <c r="F45" s="26" t="s">
        <v>112</v>
      </c>
      <c r="G45" s="14">
        <v>0</v>
      </c>
      <c r="H45" s="92">
        <f>IF(B$19=0,0,G45/B$19)</f>
        <v>0</v>
      </c>
      <c r="I45" s="60">
        <v>1</v>
      </c>
      <c r="K45" s="7">
        <v>43</v>
      </c>
      <c r="L45" s="65">
        <v>575.50000000000011</v>
      </c>
    </row>
    <row r="46" spans="1:12" x14ac:dyDescent="0.45">
      <c r="A46" s="21" t="s">
        <v>178</v>
      </c>
      <c r="B46" s="122">
        <v>1</v>
      </c>
      <c r="C46" s="8">
        <f t="shared" si="2"/>
        <v>6.5789473684210523E-3</v>
      </c>
      <c r="E46" s="29" t="s">
        <v>106</v>
      </c>
      <c r="F46" s="26" t="s">
        <v>113</v>
      </c>
      <c r="G46" s="14">
        <v>0</v>
      </c>
      <c r="H46" s="92">
        <f>IF(B$19=0,0,G46/B$19)</f>
        <v>0</v>
      </c>
      <c r="I46" s="60">
        <v>1</v>
      </c>
      <c r="K46" s="7">
        <v>44</v>
      </c>
      <c r="L46" s="65">
        <v>571.60000000000014</v>
      </c>
    </row>
    <row r="47" spans="1:12" x14ac:dyDescent="0.45">
      <c r="A47" s="21" t="s">
        <v>179</v>
      </c>
      <c r="B47" s="122">
        <v>0</v>
      </c>
      <c r="C47" s="8">
        <f t="shared" si="2"/>
        <v>0</v>
      </c>
      <c r="E47" s="29" t="s">
        <v>107</v>
      </c>
      <c r="F47" s="26" t="s">
        <v>114</v>
      </c>
      <c r="G47" s="14">
        <v>0</v>
      </c>
      <c r="H47" s="92">
        <f>IF(B$19=0,0,G47/B$19)</f>
        <v>0</v>
      </c>
      <c r="I47" s="60">
        <v>1</v>
      </c>
      <c r="K47" s="7">
        <v>45</v>
      </c>
      <c r="L47" s="65">
        <v>616.90000000000009</v>
      </c>
    </row>
    <row r="48" spans="1:12" x14ac:dyDescent="0.45">
      <c r="A48" s="23" t="s">
        <v>180</v>
      </c>
      <c r="B48" s="101">
        <v>6</v>
      </c>
      <c r="C48" s="11">
        <f t="shared" si="2"/>
        <v>3.9473684210526314E-2</v>
      </c>
      <c r="E48" s="29" t="s">
        <v>108</v>
      </c>
      <c r="F48" s="26" t="s">
        <v>60</v>
      </c>
      <c r="G48" s="14">
        <v>0</v>
      </c>
      <c r="H48" s="92">
        <f>IF(B$19=0,0,G48/B$19)</f>
        <v>0</v>
      </c>
      <c r="I48" s="60">
        <v>1</v>
      </c>
      <c r="K48" s="7">
        <v>46</v>
      </c>
      <c r="L48" s="65">
        <v>687.90000000000009</v>
      </c>
    </row>
    <row r="49" spans="5:12" x14ac:dyDescent="0.45">
      <c r="E49" s="29" t="s">
        <v>109</v>
      </c>
      <c r="F49" s="26" t="s">
        <v>61</v>
      </c>
      <c r="G49" s="14">
        <v>0</v>
      </c>
      <c r="H49" s="92">
        <f>IF(B$19=0,0,G49/B$19)</f>
        <v>0</v>
      </c>
      <c r="I49" s="60">
        <v>1</v>
      </c>
      <c r="K49" s="7">
        <v>47</v>
      </c>
      <c r="L49" s="65">
        <v>710.2</v>
      </c>
    </row>
    <row r="50" spans="5:12" x14ac:dyDescent="0.45">
      <c r="E50" s="29" t="s">
        <v>110</v>
      </c>
      <c r="F50" s="26" t="s">
        <v>62</v>
      </c>
      <c r="G50" s="14">
        <v>0</v>
      </c>
      <c r="H50" s="92">
        <f>IF(B$19=0,0,G50/B$19)</f>
        <v>0</v>
      </c>
      <c r="I50" s="60">
        <v>1</v>
      </c>
      <c r="K50" s="7">
        <v>48</v>
      </c>
      <c r="L50" s="65">
        <v>659.80000000000007</v>
      </c>
    </row>
    <row r="51" spans="5:12" x14ac:dyDescent="0.45">
      <c r="E51" s="95" t="s">
        <v>111</v>
      </c>
      <c r="F51" s="96" t="s">
        <v>63</v>
      </c>
      <c r="G51" s="15">
        <v>0</v>
      </c>
      <c r="H51" s="97">
        <f>IF(B$19=0,0,G51/B$19)</f>
        <v>0</v>
      </c>
      <c r="I51" s="98">
        <v>1</v>
      </c>
      <c r="K51" s="7">
        <v>49</v>
      </c>
      <c r="L51" s="65">
        <v>689.2</v>
      </c>
    </row>
    <row r="52" spans="5:12" x14ac:dyDescent="0.45">
      <c r="E52" s="30" t="s">
        <v>162</v>
      </c>
      <c r="F52" s="27" t="s">
        <v>163</v>
      </c>
      <c r="G52" s="16">
        <v>0</v>
      </c>
      <c r="H52" s="93">
        <f>IF(B$19=0,0,G52/B$19)</f>
        <v>0</v>
      </c>
      <c r="I52" s="61">
        <v>1</v>
      </c>
      <c r="K52" s="7">
        <v>50</v>
      </c>
      <c r="L52" s="65">
        <v>689.90000000000009</v>
      </c>
    </row>
    <row r="53" spans="5:12" x14ac:dyDescent="0.45">
      <c r="K53" s="7">
        <v>51</v>
      </c>
      <c r="L53" s="65">
        <v>639.30000000000007</v>
      </c>
    </row>
    <row r="54" spans="5:12" x14ac:dyDescent="0.45">
      <c r="K54" s="7">
        <v>52</v>
      </c>
      <c r="L54" s="65">
        <v>644.20000000000005</v>
      </c>
    </row>
    <row r="55" spans="5:12" x14ac:dyDescent="0.45">
      <c r="K55" s="7">
        <v>53</v>
      </c>
      <c r="L55" s="65">
        <v>605.20000000000005</v>
      </c>
    </row>
    <row r="56" spans="5:12" x14ac:dyDescent="0.45">
      <c r="K56" s="7">
        <v>54</v>
      </c>
      <c r="L56" s="65">
        <v>598.90000000000009</v>
      </c>
    </row>
    <row r="57" spans="5:12" x14ac:dyDescent="0.45">
      <c r="K57" s="7">
        <v>55</v>
      </c>
      <c r="L57" s="65">
        <v>627.40000000000009</v>
      </c>
    </row>
    <row r="58" spans="5:12" x14ac:dyDescent="0.45">
      <c r="K58" s="7">
        <v>56</v>
      </c>
      <c r="L58" s="65">
        <v>646.00000000000011</v>
      </c>
    </row>
    <row r="59" spans="5:12" x14ac:dyDescent="0.45">
      <c r="K59" s="7">
        <v>57</v>
      </c>
      <c r="L59" s="65">
        <v>644.60000000000014</v>
      </c>
    </row>
    <row r="60" spans="5:12" x14ac:dyDescent="0.45">
      <c r="K60" s="7">
        <v>58</v>
      </c>
      <c r="L60" s="65">
        <v>636.70000000000016</v>
      </c>
    </row>
    <row r="61" spans="5:12" x14ac:dyDescent="0.45">
      <c r="K61" s="7">
        <v>59</v>
      </c>
      <c r="L61" s="65">
        <v>633.30000000000018</v>
      </c>
    </row>
    <row r="62" spans="5:12" x14ac:dyDescent="0.45">
      <c r="K62" s="7">
        <v>60</v>
      </c>
      <c r="L62" s="65">
        <v>629.20000000000016</v>
      </c>
    </row>
    <row r="63" spans="5:12" x14ac:dyDescent="0.45">
      <c r="K63" s="7">
        <v>61</v>
      </c>
      <c r="L63" s="65">
        <v>581.20000000000016</v>
      </c>
    </row>
    <row r="64" spans="5:12" x14ac:dyDescent="0.45">
      <c r="K64" s="7">
        <v>62</v>
      </c>
      <c r="L64" s="65">
        <v>534.9000000000002</v>
      </c>
    </row>
    <row r="65" spans="11:12" x14ac:dyDescent="0.45">
      <c r="K65" s="7">
        <v>63</v>
      </c>
      <c r="L65" s="65">
        <v>511.30000000000018</v>
      </c>
    </row>
  </sheetData>
  <sortState xmlns:xlrd2="http://schemas.microsoft.com/office/spreadsheetml/2017/richdata2" ref="N15:Q22">
    <sortCondition descending="1" ref="O15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BA8B83-181D-4514-89CF-E448BF8F5106}">
  <sheetPr codeName="Sheet13"/>
  <dimension ref="A1:Q52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29" t="s">
        <v>194</v>
      </c>
      <c r="C1" s="130"/>
      <c r="E1" s="108" t="s">
        <v>155</v>
      </c>
      <c r="F1" s="120" t="s">
        <v>115</v>
      </c>
      <c r="G1" s="119" t="s">
        <v>116</v>
      </c>
      <c r="H1" s="90" t="s">
        <v>117</v>
      </c>
      <c r="I1" s="120" t="s">
        <v>146</v>
      </c>
      <c r="K1" s="4" t="s">
        <v>19</v>
      </c>
      <c r="L1" s="120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5">
      <c r="A2" s="20" t="s">
        <v>9</v>
      </c>
      <c r="B2" s="131">
        <v>27</v>
      </c>
      <c r="C2" s="132"/>
      <c r="E2" s="28" t="s">
        <v>66</v>
      </c>
      <c r="F2" s="25" t="s">
        <v>22</v>
      </c>
      <c r="G2" s="13">
        <v>41</v>
      </c>
      <c r="H2" s="91">
        <f>IF(B$19=0,0,G2/B$19)</f>
        <v>0.7192982456140351</v>
      </c>
      <c r="I2" s="59">
        <v>4</v>
      </c>
      <c r="K2" s="5">
        <v>0</v>
      </c>
      <c r="L2" s="64">
        <v>0</v>
      </c>
      <c r="N2" s="77" t="s">
        <v>128</v>
      </c>
      <c r="O2" s="83">
        <f t="shared" ref="O2:O7" si="0">IF(P2=0,0,Q2/P2)</f>
        <v>-4062.962962962963</v>
      </c>
      <c r="P2" s="80">
        <v>27</v>
      </c>
      <c r="Q2" s="67">
        <v>-109700</v>
      </c>
    </row>
    <row r="3" spans="1:17" x14ac:dyDescent="0.45">
      <c r="A3" s="21" t="s">
        <v>8</v>
      </c>
      <c r="B3" s="133">
        <v>204</v>
      </c>
      <c r="C3" s="134"/>
      <c r="E3" s="29" t="s">
        <v>72</v>
      </c>
      <c r="F3" s="26" t="s">
        <v>27</v>
      </c>
      <c r="G3" s="14">
        <v>30</v>
      </c>
      <c r="H3" s="92">
        <f>IF(B$19=0,0,G3/B$19)</f>
        <v>0.52631578947368418</v>
      </c>
      <c r="I3" s="60">
        <v>6</v>
      </c>
      <c r="K3" s="7">
        <v>1</v>
      </c>
      <c r="L3" s="65">
        <v>-55.5</v>
      </c>
      <c r="N3" s="78" t="s">
        <v>129</v>
      </c>
      <c r="O3" s="84">
        <f t="shared" si="0"/>
        <v>1930.7692307692307</v>
      </c>
      <c r="P3" s="81">
        <v>26</v>
      </c>
      <c r="Q3" s="68">
        <v>50200</v>
      </c>
    </row>
    <row r="4" spans="1:17" x14ac:dyDescent="0.45">
      <c r="A4" s="21" t="s">
        <v>6</v>
      </c>
      <c r="B4" s="135">
        <v>-225.79999999999995</v>
      </c>
      <c r="C4" s="136"/>
      <c r="E4" s="29" t="s">
        <v>160</v>
      </c>
      <c r="F4" s="26" t="s">
        <v>161</v>
      </c>
      <c r="G4" s="14">
        <v>29</v>
      </c>
      <c r="H4" s="92">
        <f>IF(B$19=0,0,G4/B$19)</f>
        <v>0.50877192982456143</v>
      </c>
      <c r="I4" s="60">
        <v>2</v>
      </c>
      <c r="K4" s="7">
        <v>2</v>
      </c>
      <c r="L4" s="65">
        <v>-106.5</v>
      </c>
      <c r="N4" s="78" t="s">
        <v>130</v>
      </c>
      <c r="O4" s="84">
        <f t="shared" si="0"/>
        <v>-3573.913043478261</v>
      </c>
      <c r="P4" s="81">
        <v>23</v>
      </c>
      <c r="Q4" s="68">
        <v>-82200</v>
      </c>
    </row>
    <row r="5" spans="1:17" x14ac:dyDescent="0.45">
      <c r="A5" s="21" t="s">
        <v>7</v>
      </c>
      <c r="B5" s="123">
        <f>IF(B$2=0,0,B$4/B$2)</f>
        <v>-8.3629629629629605</v>
      </c>
      <c r="C5" s="124"/>
      <c r="E5" s="29" t="s">
        <v>64</v>
      </c>
      <c r="F5" s="26" t="s">
        <v>20</v>
      </c>
      <c r="G5" s="14">
        <v>25</v>
      </c>
      <c r="H5" s="92">
        <f>IF(B$19=0,0,G5/B$19)</f>
        <v>0.43859649122807015</v>
      </c>
      <c r="I5" s="60">
        <v>8</v>
      </c>
      <c r="K5" s="7">
        <v>3</v>
      </c>
      <c r="L5" s="65">
        <v>-108</v>
      </c>
      <c r="N5" s="78" t="s">
        <v>131</v>
      </c>
      <c r="O5" s="84">
        <f t="shared" si="0"/>
        <v>-457.89473684210526</v>
      </c>
      <c r="P5" s="81">
        <v>19</v>
      </c>
      <c r="Q5" s="68">
        <v>-8700</v>
      </c>
    </row>
    <row r="6" spans="1:17" x14ac:dyDescent="0.45">
      <c r="A6" s="21" t="s">
        <v>1</v>
      </c>
      <c r="B6" s="137">
        <f>IF(B$2=0,0,(B$7*1+B$8*2+B$9*3)/B$2)</f>
        <v>2.2592592592592591</v>
      </c>
      <c r="C6" s="138"/>
      <c r="E6" s="29" t="s">
        <v>68</v>
      </c>
      <c r="F6" s="26" t="s">
        <v>12</v>
      </c>
      <c r="G6" s="14">
        <v>16</v>
      </c>
      <c r="H6" s="92">
        <f>IF(B$19=0,0,G6/B$19)</f>
        <v>0.2807017543859649</v>
      </c>
      <c r="I6" s="60">
        <v>5</v>
      </c>
      <c r="K6" s="7">
        <v>4</v>
      </c>
      <c r="L6" s="65">
        <v>-115.5</v>
      </c>
      <c r="N6" s="78" t="s">
        <v>132</v>
      </c>
      <c r="O6" s="84">
        <f t="shared" si="0"/>
        <v>1473.3333333333333</v>
      </c>
      <c r="P6" s="81">
        <v>15</v>
      </c>
      <c r="Q6" s="68">
        <v>22100</v>
      </c>
    </row>
    <row r="7" spans="1:17" x14ac:dyDescent="0.45">
      <c r="A7" s="21" t="s">
        <v>2</v>
      </c>
      <c r="B7" s="14">
        <v>6</v>
      </c>
      <c r="C7" s="8">
        <f t="shared" ref="C7:C14" si="1">IF(B$2=0,0,B7/B$2)</f>
        <v>0.22222222222222221</v>
      </c>
      <c r="E7" s="29" t="s">
        <v>67</v>
      </c>
      <c r="F7" s="26" t="s">
        <v>23</v>
      </c>
      <c r="G7" s="14">
        <v>9</v>
      </c>
      <c r="H7" s="92">
        <f>IF(B$19=0,0,G7/B$19)</f>
        <v>0.15789473684210525</v>
      </c>
      <c r="I7" s="60">
        <v>10</v>
      </c>
      <c r="K7" s="7">
        <v>5</v>
      </c>
      <c r="L7" s="65">
        <v>-116</v>
      </c>
      <c r="N7" s="79" t="s">
        <v>133</v>
      </c>
      <c r="O7" s="85">
        <f t="shared" si="0"/>
        <v>-4370</v>
      </c>
      <c r="P7" s="82">
        <v>10</v>
      </c>
      <c r="Q7" s="69">
        <v>-43700</v>
      </c>
    </row>
    <row r="8" spans="1:17" x14ac:dyDescent="0.45">
      <c r="A8" s="21" t="s">
        <v>3</v>
      </c>
      <c r="B8" s="14">
        <v>8</v>
      </c>
      <c r="C8" s="8">
        <f t="shared" si="1"/>
        <v>0.29629629629629628</v>
      </c>
      <c r="E8" s="29" t="s">
        <v>89</v>
      </c>
      <c r="F8" s="26" t="s">
        <v>44</v>
      </c>
      <c r="G8" s="14">
        <v>8</v>
      </c>
      <c r="H8" s="92">
        <f>IF(B$19=0,0,G8/B$19)</f>
        <v>0.14035087719298245</v>
      </c>
      <c r="I8" s="60">
        <v>5</v>
      </c>
      <c r="K8" s="7">
        <v>6</v>
      </c>
      <c r="L8" s="65">
        <v>-146</v>
      </c>
      <c r="N8" s="111"/>
      <c r="O8" s="89"/>
      <c r="P8" s="112"/>
      <c r="Q8" s="74"/>
    </row>
    <row r="9" spans="1:17" x14ac:dyDescent="0.45">
      <c r="A9" s="22" t="s">
        <v>4</v>
      </c>
      <c r="B9" s="15">
        <v>13</v>
      </c>
      <c r="C9" s="9">
        <f t="shared" si="1"/>
        <v>0.48148148148148145</v>
      </c>
      <c r="E9" s="29" t="s">
        <v>69</v>
      </c>
      <c r="F9" s="26" t="s">
        <v>24</v>
      </c>
      <c r="G9" s="14">
        <v>7</v>
      </c>
      <c r="H9" s="92">
        <f>IF(B$19=0,0,G9/B$19)</f>
        <v>0.12280701754385964</v>
      </c>
      <c r="I9" s="60">
        <v>7</v>
      </c>
      <c r="K9" s="7">
        <v>7</v>
      </c>
      <c r="L9" s="65">
        <v>-168.5</v>
      </c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5">
      <c r="A10" s="22" t="s">
        <v>185</v>
      </c>
      <c r="B10" s="113">
        <f>IF(B7=0,0,C10/B7)</f>
        <v>48.816666666666663</v>
      </c>
      <c r="C10" s="114">
        <v>292.89999999999998</v>
      </c>
      <c r="E10" s="29" t="s">
        <v>70</v>
      </c>
      <c r="F10" s="26" t="s">
        <v>25</v>
      </c>
      <c r="G10" s="14">
        <v>7</v>
      </c>
      <c r="H10" s="92">
        <f>IF(B$19=0,0,G10/B$19)</f>
        <v>0.12280701754385964</v>
      </c>
      <c r="I10" s="60">
        <v>3</v>
      </c>
      <c r="K10" s="7">
        <v>8</v>
      </c>
      <c r="L10" s="65">
        <v>-157.19999999999999</v>
      </c>
      <c r="N10" s="77" t="s">
        <v>152</v>
      </c>
      <c r="O10" s="86">
        <f>IF(P10=0,0,Q10/P10)</f>
        <v>-36.385714285714286</v>
      </c>
      <c r="P10" s="80">
        <v>7</v>
      </c>
      <c r="Q10" s="71">
        <v>-254.7</v>
      </c>
    </row>
    <row r="11" spans="1:17" x14ac:dyDescent="0.45">
      <c r="A11" s="22" t="s">
        <v>186</v>
      </c>
      <c r="B11" s="113">
        <f>IF(B8=0,0,C11/B8)</f>
        <v>-4.375</v>
      </c>
      <c r="C11" s="114">
        <v>-35</v>
      </c>
      <c r="E11" s="29" t="s">
        <v>65</v>
      </c>
      <c r="F11" s="26" t="s">
        <v>21</v>
      </c>
      <c r="G11" s="14">
        <v>5</v>
      </c>
      <c r="H11" s="92">
        <f>IF(B$19=0,0,G11/B$19)</f>
        <v>8.771929824561403E-2</v>
      </c>
      <c r="I11" s="60">
        <v>7</v>
      </c>
      <c r="K11" s="7">
        <v>9</v>
      </c>
      <c r="L11" s="65">
        <v>-172.39999999999998</v>
      </c>
      <c r="N11" s="78" t="s">
        <v>153</v>
      </c>
      <c r="O11" s="87">
        <f>IF(P11=0,0,Q11/P11)</f>
        <v>-10.154545454545454</v>
      </c>
      <c r="P11" s="81">
        <v>11</v>
      </c>
      <c r="Q11" s="72">
        <v>-111.7</v>
      </c>
    </row>
    <row r="12" spans="1:17" x14ac:dyDescent="0.45">
      <c r="A12" s="22" t="s">
        <v>187</v>
      </c>
      <c r="B12" s="113">
        <f>IF(B9=0,0,C12/B9)</f>
        <v>-37.207692307692305</v>
      </c>
      <c r="C12" s="114">
        <v>-483.7</v>
      </c>
      <c r="E12" s="29" t="s">
        <v>71</v>
      </c>
      <c r="F12" s="26" t="s">
        <v>26</v>
      </c>
      <c r="G12" s="14">
        <v>4</v>
      </c>
      <c r="H12" s="92">
        <f>IF(B$19=0,0,G12/B$19)</f>
        <v>7.0175438596491224E-2</v>
      </c>
      <c r="I12" s="60">
        <v>5</v>
      </c>
      <c r="K12" s="7">
        <v>10</v>
      </c>
      <c r="L12" s="65">
        <v>-217.59999999999997</v>
      </c>
      <c r="N12" s="79" t="s">
        <v>154</v>
      </c>
      <c r="O12" s="88">
        <f>IF(P12=0,0,Q12/P12)</f>
        <v>15.622222222222222</v>
      </c>
      <c r="P12" s="82">
        <v>9</v>
      </c>
      <c r="Q12" s="73">
        <v>140.6</v>
      </c>
    </row>
    <row r="13" spans="1:17" x14ac:dyDescent="0.45">
      <c r="A13" s="22" t="s">
        <v>188</v>
      </c>
      <c r="B13" s="123">
        <f>AVERAGE(B10:B12)</f>
        <v>2.4113247863247858</v>
      </c>
      <c r="C13" s="124"/>
      <c r="E13" s="29" t="s">
        <v>86</v>
      </c>
      <c r="F13" s="26" t="s">
        <v>41</v>
      </c>
      <c r="G13" s="14">
        <v>3</v>
      </c>
      <c r="H13" s="92">
        <f>IF(B$19=0,0,G13/B$19)</f>
        <v>5.2631578947368418E-2</v>
      </c>
      <c r="I13" s="60">
        <v>5</v>
      </c>
      <c r="K13" s="7">
        <v>11</v>
      </c>
      <c r="L13" s="65">
        <v>-264.89999999999998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6</v>
      </c>
      <c r="C14" s="11">
        <f t="shared" si="1"/>
        <v>0.22222222222222221</v>
      </c>
      <c r="E14" s="29" t="s">
        <v>78</v>
      </c>
      <c r="F14" s="26" t="s">
        <v>33</v>
      </c>
      <c r="G14" s="14">
        <v>1</v>
      </c>
      <c r="H14" s="92">
        <f>IF(B$19=0,0,G14/B$19)</f>
        <v>1.7543859649122806E-2</v>
      </c>
      <c r="I14" s="60">
        <v>7</v>
      </c>
      <c r="K14" s="7">
        <v>12</v>
      </c>
      <c r="L14" s="65">
        <v>-260.59999999999997</v>
      </c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5">
      <c r="A15" s="24" t="s">
        <v>121</v>
      </c>
      <c r="B15" s="17">
        <v>46</v>
      </c>
      <c r="C15" s="12">
        <f>IF(B$3=0,0,B15/B$3)</f>
        <v>0.22549019607843138</v>
      </c>
      <c r="E15" s="29" t="s">
        <v>81</v>
      </c>
      <c r="F15" s="26" t="s">
        <v>36</v>
      </c>
      <c r="G15" s="14">
        <v>1</v>
      </c>
      <c r="H15" s="92">
        <f>IF(B$19=0,0,G15/B$19)</f>
        <v>1.7543859649122806E-2</v>
      </c>
      <c r="I15" s="60">
        <v>6</v>
      </c>
      <c r="K15" s="7">
        <v>13</v>
      </c>
      <c r="L15" s="65">
        <v>-280.59999999999997</v>
      </c>
      <c r="N15" s="77" t="s">
        <v>164</v>
      </c>
      <c r="O15" s="86">
        <f t="shared" ref="O15:O20" si="2">IF(P15=0,0,Q15/P15)</f>
        <v>30.600000000000005</v>
      </c>
      <c r="P15" s="80">
        <v>7</v>
      </c>
      <c r="Q15" s="71">
        <v>214.20000000000005</v>
      </c>
    </row>
    <row r="16" spans="1:17" x14ac:dyDescent="0.45">
      <c r="A16" s="21" t="s">
        <v>118</v>
      </c>
      <c r="B16" s="14">
        <v>29</v>
      </c>
      <c r="C16" s="8">
        <f>IF(B$3=0,0,B16/B$3)</f>
        <v>0.14215686274509803</v>
      </c>
      <c r="E16" s="29" t="s">
        <v>87</v>
      </c>
      <c r="F16" s="26" t="s">
        <v>42</v>
      </c>
      <c r="G16" s="14">
        <v>1</v>
      </c>
      <c r="H16" s="92">
        <f>IF(B$19=0,0,G16/B$19)</f>
        <v>1.7543859649122806E-2</v>
      </c>
      <c r="I16" s="60">
        <v>1</v>
      </c>
      <c r="K16" s="7">
        <v>14</v>
      </c>
      <c r="L16" s="65">
        <v>-330.7</v>
      </c>
      <c r="N16" s="78" t="s">
        <v>205</v>
      </c>
      <c r="O16" s="87">
        <f t="shared" si="2"/>
        <v>5.1285714285714308</v>
      </c>
      <c r="P16" s="81">
        <v>7</v>
      </c>
      <c r="Q16" s="72">
        <v>35.900000000000013</v>
      </c>
    </row>
    <row r="17" spans="1:17" x14ac:dyDescent="0.45">
      <c r="A17" s="20" t="s">
        <v>123</v>
      </c>
      <c r="B17" s="13">
        <f>B23</f>
        <v>23</v>
      </c>
      <c r="C17" s="6">
        <f>IF(B$15=0,0,B17/B$15)</f>
        <v>0.5</v>
      </c>
      <c r="E17" s="29" t="s">
        <v>91</v>
      </c>
      <c r="F17" s="26" t="s">
        <v>46</v>
      </c>
      <c r="G17" s="14">
        <v>1</v>
      </c>
      <c r="H17" s="92">
        <f>IF(B$19=0,0,G17/B$19)</f>
        <v>1.7543859649122806E-2</v>
      </c>
      <c r="I17" s="60">
        <v>4</v>
      </c>
      <c r="K17" s="7">
        <v>15</v>
      </c>
      <c r="L17" s="65">
        <v>-284.09999999999997</v>
      </c>
      <c r="N17" s="78" t="s">
        <v>192</v>
      </c>
      <c r="O17" s="87">
        <f t="shared" si="2"/>
        <v>-9.4571428571428573</v>
      </c>
      <c r="P17" s="81">
        <v>14</v>
      </c>
      <c r="Q17" s="72">
        <v>-132.4</v>
      </c>
    </row>
    <row r="18" spans="1:17" x14ac:dyDescent="0.45">
      <c r="A18" s="20" t="s">
        <v>124</v>
      </c>
      <c r="B18" s="13">
        <f>B24</f>
        <v>17</v>
      </c>
      <c r="C18" s="6">
        <f>IF(B$16=0,0,B18/B$16)</f>
        <v>0.58620689655172409</v>
      </c>
      <c r="E18" s="29" t="s">
        <v>92</v>
      </c>
      <c r="F18" s="26" t="s">
        <v>47</v>
      </c>
      <c r="G18" s="14">
        <v>1</v>
      </c>
      <c r="H18" s="92">
        <f>IF(B$19=0,0,G18/B$19)</f>
        <v>1.7543859649122806E-2</v>
      </c>
      <c r="I18" s="60">
        <v>3</v>
      </c>
      <c r="K18" s="7">
        <v>16</v>
      </c>
      <c r="L18" s="65">
        <v>-234.59999999999997</v>
      </c>
      <c r="N18" s="78" t="s">
        <v>196</v>
      </c>
      <c r="O18" s="87">
        <f t="shared" si="2"/>
        <v>-20.5</v>
      </c>
      <c r="P18" s="81">
        <v>1</v>
      </c>
      <c r="Q18" s="72">
        <v>-20.5</v>
      </c>
    </row>
    <row r="19" spans="1:17" x14ac:dyDescent="0.45">
      <c r="A19" s="20" t="s">
        <v>10</v>
      </c>
      <c r="B19" s="13">
        <f>B22+B21</f>
        <v>57</v>
      </c>
      <c r="C19" s="6">
        <f>IF(B$3=0,0,B19/B$3)</f>
        <v>0.27941176470588236</v>
      </c>
      <c r="E19" s="29" t="s">
        <v>73</v>
      </c>
      <c r="F19" s="26" t="s">
        <v>28</v>
      </c>
      <c r="G19" s="14">
        <v>0</v>
      </c>
      <c r="H19" s="92">
        <f>IF(B$19=0,0,G19/B$19)</f>
        <v>0</v>
      </c>
      <c r="I19" s="60">
        <v>4</v>
      </c>
      <c r="K19" s="7">
        <v>17</v>
      </c>
      <c r="L19" s="65">
        <v>-233.19999999999996</v>
      </c>
      <c r="N19" s="78" t="s">
        <v>126</v>
      </c>
      <c r="O19" s="87">
        <f t="shared" si="2"/>
        <v>-21.871428571428577</v>
      </c>
      <c r="P19" s="81">
        <v>14</v>
      </c>
      <c r="Q19" s="72">
        <v>-306.2000000000001</v>
      </c>
    </row>
    <row r="20" spans="1:17" x14ac:dyDescent="0.45">
      <c r="A20" s="21" t="s">
        <v>13</v>
      </c>
      <c r="B20" s="14">
        <v>35</v>
      </c>
      <c r="C20" s="8">
        <f>IF(B$3=0,0,B20/B$3)</f>
        <v>0.17156862745098039</v>
      </c>
      <c r="E20" s="29" t="s">
        <v>74</v>
      </c>
      <c r="F20" s="26" t="s">
        <v>29</v>
      </c>
      <c r="G20" s="14">
        <v>0</v>
      </c>
      <c r="H20" s="92">
        <f>IF(B$19=0,0,G20/B$19)</f>
        <v>0</v>
      </c>
      <c r="I20" s="60">
        <v>1</v>
      </c>
      <c r="K20" s="7">
        <v>18</v>
      </c>
      <c r="L20" s="65">
        <v>-154.09999999999997</v>
      </c>
      <c r="N20" s="78" t="s">
        <v>193</v>
      </c>
      <c r="O20" s="87">
        <f t="shared" si="2"/>
        <v>-42.581818181818178</v>
      </c>
      <c r="P20" s="81">
        <v>11</v>
      </c>
      <c r="Q20" s="72">
        <v>-468.4</v>
      </c>
    </row>
    <row r="21" spans="1:17" x14ac:dyDescent="0.45">
      <c r="A21" s="21" t="s">
        <v>12</v>
      </c>
      <c r="B21" s="14">
        <v>26</v>
      </c>
      <c r="C21" s="8">
        <f>IF(B$19=0,0,B21/B$19)</f>
        <v>0.45614035087719296</v>
      </c>
      <c r="E21" s="29" t="s">
        <v>75</v>
      </c>
      <c r="F21" s="26" t="s">
        <v>30</v>
      </c>
      <c r="G21" s="14">
        <v>0</v>
      </c>
      <c r="H21" s="92">
        <f>IF(B$19=0,0,G21/B$19)</f>
        <v>0</v>
      </c>
      <c r="I21" s="60">
        <v>4</v>
      </c>
      <c r="K21" s="7">
        <v>19</v>
      </c>
      <c r="L21" s="65">
        <v>-167.29999999999995</v>
      </c>
    </row>
    <row r="22" spans="1:17" x14ac:dyDescent="0.45">
      <c r="A22" s="21" t="s">
        <v>11</v>
      </c>
      <c r="B22" s="14">
        <v>31</v>
      </c>
      <c r="C22" s="8">
        <f>IF(B$19=0,0,B22/B$19)</f>
        <v>0.54385964912280704</v>
      </c>
      <c r="E22" s="29" t="s">
        <v>76</v>
      </c>
      <c r="F22" s="26" t="s">
        <v>31</v>
      </c>
      <c r="G22" s="14">
        <v>0</v>
      </c>
      <c r="H22" s="92">
        <f>IF(B$19=0,0,G22/B$19)</f>
        <v>0</v>
      </c>
      <c r="I22" s="60">
        <v>1</v>
      </c>
      <c r="K22" s="7">
        <v>20</v>
      </c>
      <c r="L22" s="65">
        <v>-202.59999999999997</v>
      </c>
    </row>
    <row r="23" spans="1:17" x14ac:dyDescent="0.45">
      <c r="A23" s="21" t="s">
        <v>184</v>
      </c>
      <c r="B23" s="14">
        <v>23</v>
      </c>
      <c r="C23" s="8">
        <f>IF(B$19=0,0,B23/B$19)</f>
        <v>0.40350877192982454</v>
      </c>
      <c r="E23" s="29" t="s">
        <v>77</v>
      </c>
      <c r="F23" s="26" t="s">
        <v>32</v>
      </c>
      <c r="G23" s="14">
        <v>0</v>
      </c>
      <c r="H23" s="92">
        <f>IF(B$19=0,0,G23/B$19)</f>
        <v>0</v>
      </c>
      <c r="I23" s="60">
        <v>4</v>
      </c>
      <c r="K23" s="7">
        <v>21</v>
      </c>
      <c r="L23" s="65">
        <v>-225.09999999999997</v>
      </c>
    </row>
    <row r="24" spans="1:17" x14ac:dyDescent="0.45">
      <c r="A24" s="21" t="s">
        <v>182</v>
      </c>
      <c r="B24" s="14">
        <v>17</v>
      </c>
      <c r="C24" s="8">
        <f>IF(B$19=0,0,B24/B$19)</f>
        <v>0.2982456140350877</v>
      </c>
      <c r="E24" s="29" t="s">
        <v>79</v>
      </c>
      <c r="F24" s="26" t="s">
        <v>34</v>
      </c>
      <c r="G24" s="14">
        <v>0</v>
      </c>
      <c r="H24" s="92">
        <f>IF(B$19=0,0,G24/B$19)</f>
        <v>0</v>
      </c>
      <c r="I24" s="60">
        <v>6</v>
      </c>
      <c r="K24" s="7">
        <v>22</v>
      </c>
      <c r="L24" s="65">
        <v>-290.29999999999995</v>
      </c>
    </row>
    <row r="25" spans="1:17" x14ac:dyDescent="0.45">
      <c r="A25" s="21" t="s">
        <v>183</v>
      </c>
      <c r="B25" s="14">
        <v>17</v>
      </c>
      <c r="C25" s="8">
        <f>IF(B$19=0,0,B25/B$19)</f>
        <v>0.2982456140350877</v>
      </c>
      <c r="E25" s="29" t="s">
        <v>80</v>
      </c>
      <c r="F25" s="26" t="s">
        <v>35</v>
      </c>
      <c r="G25" s="14">
        <v>0</v>
      </c>
      <c r="H25" s="92">
        <f>IF(B$19=0,0,G25/B$19)</f>
        <v>0</v>
      </c>
      <c r="I25" s="60">
        <v>1</v>
      </c>
      <c r="K25" s="7">
        <v>23</v>
      </c>
      <c r="L25" s="65">
        <v>-232.39999999999995</v>
      </c>
    </row>
    <row r="26" spans="1:17" x14ac:dyDescent="0.45">
      <c r="A26" s="21" t="s">
        <v>5</v>
      </c>
      <c r="B26" s="18">
        <f>IF(B$19=0,0,C26/B$19)</f>
        <v>7915.7894736842109</v>
      </c>
      <c r="C26" s="10">
        <v>451200</v>
      </c>
      <c r="E26" s="29" t="s">
        <v>82</v>
      </c>
      <c r="F26" s="26" t="s">
        <v>37</v>
      </c>
      <c r="G26" s="14">
        <v>0</v>
      </c>
      <c r="H26" s="92">
        <f>IF(B$19=0,0,G26/B$19)</f>
        <v>0</v>
      </c>
      <c r="I26" s="60">
        <v>1</v>
      </c>
      <c r="K26" s="7">
        <v>24</v>
      </c>
      <c r="L26" s="65">
        <v>-207.09999999999994</v>
      </c>
    </row>
    <row r="27" spans="1:17" x14ac:dyDescent="0.45">
      <c r="A27" s="22" t="s">
        <v>166</v>
      </c>
      <c r="B27" s="99">
        <f>IF($B$19-B$18=0,0,C27/($B$19-B$18))</f>
        <v>9067.5</v>
      </c>
      <c r="C27" s="100">
        <v>362700</v>
      </c>
      <c r="E27" s="29" t="s">
        <v>83</v>
      </c>
      <c r="F27" s="26" t="s">
        <v>38</v>
      </c>
      <c r="G27" s="14">
        <v>0</v>
      </c>
      <c r="H27" s="92">
        <f>IF(B$19=0,0,G27/B$19)</f>
        <v>0</v>
      </c>
      <c r="I27" s="60">
        <v>8</v>
      </c>
      <c r="K27" s="7">
        <v>25</v>
      </c>
      <c r="L27" s="65">
        <v>-227.29999999999993</v>
      </c>
    </row>
    <row r="28" spans="1:17" x14ac:dyDescent="0.45">
      <c r="A28" s="22" t="s">
        <v>167</v>
      </c>
      <c r="B28" s="99">
        <f>IF(B$18=0,0,C28/B$18)</f>
        <v>5205.8823529411766</v>
      </c>
      <c r="C28" s="100">
        <v>88500</v>
      </c>
      <c r="E28" s="29" t="s">
        <v>84</v>
      </c>
      <c r="F28" s="26" t="s">
        <v>39</v>
      </c>
      <c r="G28" s="14">
        <v>0</v>
      </c>
      <c r="H28" s="92">
        <f>IF(B$19=0,0,G28/B$19)</f>
        <v>0</v>
      </c>
      <c r="I28" s="60">
        <v>3</v>
      </c>
      <c r="K28" s="7">
        <v>26</v>
      </c>
      <c r="L28" s="65">
        <v>-260.29999999999995</v>
      </c>
    </row>
    <row r="29" spans="1:17" x14ac:dyDescent="0.45">
      <c r="A29" s="22" t="s">
        <v>165</v>
      </c>
      <c r="B29" s="99">
        <f>IF(B$20=0,0,C29/B$20)</f>
        <v>-7828.5714285714284</v>
      </c>
      <c r="C29" s="100">
        <v>-274000</v>
      </c>
      <c r="E29" s="29" t="s">
        <v>85</v>
      </c>
      <c r="F29" s="26" t="s">
        <v>40</v>
      </c>
      <c r="G29" s="14">
        <v>0</v>
      </c>
      <c r="H29" s="92">
        <f>IF(B$19=0,0,G29/B$19)</f>
        <v>0</v>
      </c>
      <c r="I29" s="60">
        <v>4</v>
      </c>
      <c r="K29" s="7">
        <v>27</v>
      </c>
      <c r="L29" s="65">
        <v>-225.79999999999995</v>
      </c>
    </row>
    <row r="30" spans="1:17" x14ac:dyDescent="0.45">
      <c r="A30" s="21" t="s">
        <v>158</v>
      </c>
      <c r="B30" s="14">
        <v>5</v>
      </c>
      <c r="C30" s="94">
        <v>4</v>
      </c>
      <c r="E30" s="29" t="s">
        <v>88</v>
      </c>
      <c r="F30" s="26" t="s">
        <v>43</v>
      </c>
      <c r="G30" s="14">
        <v>0</v>
      </c>
      <c r="H30" s="92">
        <f>IF(B$19=0,0,G30/B$19)</f>
        <v>0</v>
      </c>
      <c r="I30" s="60">
        <v>3</v>
      </c>
    </row>
    <row r="31" spans="1:17" x14ac:dyDescent="0.45">
      <c r="A31" s="21" t="s">
        <v>159</v>
      </c>
      <c r="B31" s="14">
        <v>26</v>
      </c>
      <c r="C31" s="94">
        <v>7</v>
      </c>
      <c r="E31" s="29" t="s">
        <v>90</v>
      </c>
      <c r="F31" s="26" t="s">
        <v>45</v>
      </c>
      <c r="G31" s="14">
        <v>0</v>
      </c>
      <c r="H31" s="92">
        <f>IF(B$19=0,0,G31/B$19)</f>
        <v>0</v>
      </c>
      <c r="I31" s="60">
        <v>1</v>
      </c>
    </row>
    <row r="32" spans="1:17" x14ac:dyDescent="0.45">
      <c r="A32" s="56" t="s">
        <v>136</v>
      </c>
      <c r="B32" s="125">
        <v>6</v>
      </c>
      <c r="C32" s="126"/>
      <c r="E32" s="29" t="s">
        <v>93</v>
      </c>
      <c r="F32" s="26" t="s">
        <v>48</v>
      </c>
      <c r="G32" s="14">
        <v>0</v>
      </c>
      <c r="H32" s="92">
        <f>IF(B$19=0,0,G32/B$19)</f>
        <v>0</v>
      </c>
      <c r="I32" s="60">
        <v>3</v>
      </c>
    </row>
    <row r="33" spans="1:9" x14ac:dyDescent="0.45">
      <c r="A33" s="24" t="s">
        <v>181</v>
      </c>
      <c r="B33" s="127">
        <v>104100</v>
      </c>
      <c r="C33" s="128"/>
      <c r="E33" s="29" t="s">
        <v>94</v>
      </c>
      <c r="F33" s="26" t="s">
        <v>49</v>
      </c>
      <c r="G33" s="14">
        <v>0</v>
      </c>
      <c r="H33" s="92">
        <f>IF(B$19=0,0,G33/B$19)</f>
        <v>0</v>
      </c>
      <c r="I33" s="60">
        <v>1</v>
      </c>
    </row>
    <row r="34" spans="1:9" x14ac:dyDescent="0.45">
      <c r="A34" s="23" t="s">
        <v>137</v>
      </c>
      <c r="B34" s="31">
        <v>0</v>
      </c>
      <c r="C34" s="11">
        <f>IF(B$3=0,0,B34/B$3)</f>
        <v>0</v>
      </c>
      <c r="E34" s="29" t="s">
        <v>95</v>
      </c>
      <c r="F34" s="26" t="s">
        <v>50</v>
      </c>
      <c r="G34" s="14">
        <v>0</v>
      </c>
      <c r="H34" s="92">
        <f>IF(B$19=0,0,G34/B$19)</f>
        <v>0</v>
      </c>
      <c r="I34" s="60">
        <v>3</v>
      </c>
    </row>
    <row r="35" spans="1:9" x14ac:dyDescent="0.45">
      <c r="E35" s="29" t="s">
        <v>96</v>
      </c>
      <c r="F35" s="26" t="s">
        <v>51</v>
      </c>
      <c r="G35" s="14">
        <v>0</v>
      </c>
      <c r="H35" s="92">
        <f>IF(B$19=0,0,G35/B$19)</f>
        <v>0</v>
      </c>
      <c r="I35" s="60">
        <v>1</v>
      </c>
    </row>
    <row r="36" spans="1:9" x14ac:dyDescent="0.45">
      <c r="A36" s="56" t="s">
        <v>172</v>
      </c>
      <c r="B36" s="121">
        <v>8</v>
      </c>
      <c r="C36" s="102">
        <f t="shared" ref="C36:C48" si="3">IF(B$19=0,0,B36/B$19)</f>
        <v>0.14035087719298245</v>
      </c>
      <c r="E36" s="29" t="s">
        <v>97</v>
      </c>
      <c r="F36" s="26" t="s">
        <v>52</v>
      </c>
      <c r="G36" s="14">
        <v>0</v>
      </c>
      <c r="H36" s="92">
        <f>IF(B$19=0,0,G36/B$19)</f>
        <v>0</v>
      </c>
      <c r="I36" s="60">
        <v>3</v>
      </c>
    </row>
    <row r="37" spans="1:9" x14ac:dyDescent="0.45">
      <c r="A37" s="21" t="s">
        <v>168</v>
      </c>
      <c r="B37" s="14">
        <v>10</v>
      </c>
      <c r="C37" s="8">
        <f t="shared" si="3"/>
        <v>0.17543859649122806</v>
      </c>
      <c r="E37" s="29" t="s">
        <v>98</v>
      </c>
      <c r="F37" s="26" t="s">
        <v>53</v>
      </c>
      <c r="G37" s="14">
        <v>0</v>
      </c>
      <c r="H37" s="92">
        <f>IF(B$19=0,0,G37/B$19)</f>
        <v>0</v>
      </c>
      <c r="I37" s="60">
        <v>1</v>
      </c>
    </row>
    <row r="38" spans="1:9" x14ac:dyDescent="0.45">
      <c r="A38" s="21" t="s">
        <v>169</v>
      </c>
      <c r="B38" s="122">
        <v>13</v>
      </c>
      <c r="C38" s="8">
        <f t="shared" si="3"/>
        <v>0.22807017543859648</v>
      </c>
      <c r="E38" s="29" t="s">
        <v>99</v>
      </c>
      <c r="F38" s="26" t="s">
        <v>54</v>
      </c>
      <c r="G38" s="14">
        <v>0</v>
      </c>
      <c r="H38" s="92">
        <f>IF(B$19=0,0,G38/B$19)</f>
        <v>0</v>
      </c>
      <c r="I38" s="60">
        <v>1</v>
      </c>
    </row>
    <row r="39" spans="1:9" x14ac:dyDescent="0.45">
      <c r="A39" s="21" t="s">
        <v>170</v>
      </c>
      <c r="B39" s="122">
        <v>6</v>
      </c>
      <c r="C39" s="8">
        <f t="shared" si="3"/>
        <v>0.10526315789473684</v>
      </c>
      <c r="E39" s="29" t="s">
        <v>100</v>
      </c>
      <c r="F39" s="26" t="s">
        <v>55</v>
      </c>
      <c r="G39" s="14">
        <v>0</v>
      </c>
      <c r="H39" s="92">
        <f>IF(B$19=0,0,G39/B$19)</f>
        <v>0</v>
      </c>
      <c r="I39" s="60">
        <v>1</v>
      </c>
    </row>
    <row r="40" spans="1:9" x14ac:dyDescent="0.45">
      <c r="A40" s="21" t="s">
        <v>171</v>
      </c>
      <c r="B40" s="122">
        <v>5</v>
      </c>
      <c r="C40" s="8">
        <f t="shared" si="3"/>
        <v>8.771929824561403E-2</v>
      </c>
      <c r="E40" s="29" t="s">
        <v>101</v>
      </c>
      <c r="F40" s="26" t="s">
        <v>56</v>
      </c>
      <c r="G40" s="14">
        <v>0</v>
      </c>
      <c r="H40" s="92">
        <f>IF(B$19=0,0,G40/B$19)</f>
        <v>0</v>
      </c>
      <c r="I40" s="60">
        <v>1</v>
      </c>
    </row>
    <row r="41" spans="1:9" x14ac:dyDescent="0.45">
      <c r="A41" s="21" t="s">
        <v>173</v>
      </c>
      <c r="B41" s="122">
        <v>9</v>
      </c>
      <c r="C41" s="8">
        <f t="shared" si="3"/>
        <v>0.15789473684210525</v>
      </c>
      <c r="E41" s="29" t="s">
        <v>102</v>
      </c>
      <c r="F41" s="26" t="s">
        <v>57</v>
      </c>
      <c r="G41" s="14">
        <v>0</v>
      </c>
      <c r="H41" s="92">
        <f>IF(B$19=0,0,G41/B$19)</f>
        <v>0</v>
      </c>
      <c r="I41" s="60">
        <v>3</v>
      </c>
    </row>
    <row r="42" spans="1:9" x14ac:dyDescent="0.45">
      <c r="A42" s="21" t="s">
        <v>174</v>
      </c>
      <c r="B42" s="122">
        <v>3</v>
      </c>
      <c r="C42" s="8">
        <f t="shared" si="3"/>
        <v>5.2631578947368418E-2</v>
      </c>
      <c r="E42" s="29" t="s">
        <v>103</v>
      </c>
      <c r="F42" s="26" t="s">
        <v>58</v>
      </c>
      <c r="G42" s="14">
        <v>0</v>
      </c>
      <c r="H42" s="92">
        <f>IF(B$19=0,0,G42/B$19)</f>
        <v>0</v>
      </c>
      <c r="I42" s="60">
        <v>1</v>
      </c>
    </row>
    <row r="43" spans="1:9" x14ac:dyDescent="0.45">
      <c r="A43" s="21" t="s">
        <v>175</v>
      </c>
      <c r="B43" s="122">
        <v>0</v>
      </c>
      <c r="C43" s="8">
        <f t="shared" si="3"/>
        <v>0</v>
      </c>
      <c r="E43" s="29" t="s">
        <v>104</v>
      </c>
      <c r="F43" s="26" t="s">
        <v>59</v>
      </c>
      <c r="G43" s="14">
        <v>0</v>
      </c>
      <c r="H43" s="92">
        <f>IF(B$19=0,0,G43/B$19)</f>
        <v>0</v>
      </c>
      <c r="I43" s="60">
        <v>1</v>
      </c>
    </row>
    <row r="44" spans="1:9" x14ac:dyDescent="0.45">
      <c r="A44" s="21" t="s">
        <v>176</v>
      </c>
      <c r="B44" s="122">
        <v>1</v>
      </c>
      <c r="C44" s="8">
        <f t="shared" si="3"/>
        <v>1.7543859649122806E-2</v>
      </c>
      <c r="E44" s="29" t="s">
        <v>105</v>
      </c>
      <c r="F44" s="26" t="s">
        <v>112</v>
      </c>
      <c r="G44" s="14">
        <v>0</v>
      </c>
      <c r="H44" s="92">
        <f>IF(B$19=0,0,G44/B$19)</f>
        <v>0</v>
      </c>
      <c r="I44" s="60">
        <v>1</v>
      </c>
    </row>
    <row r="45" spans="1:9" x14ac:dyDescent="0.45">
      <c r="A45" s="21" t="s">
        <v>177</v>
      </c>
      <c r="B45" s="122">
        <v>1</v>
      </c>
      <c r="C45" s="8">
        <f t="shared" si="3"/>
        <v>1.7543859649122806E-2</v>
      </c>
      <c r="E45" s="29" t="s">
        <v>106</v>
      </c>
      <c r="F45" s="26" t="s">
        <v>113</v>
      </c>
      <c r="G45" s="14">
        <v>0</v>
      </c>
      <c r="H45" s="92">
        <f>IF(B$19=0,0,G45/B$19)</f>
        <v>0</v>
      </c>
      <c r="I45" s="60">
        <v>1</v>
      </c>
    </row>
    <row r="46" spans="1:9" x14ac:dyDescent="0.45">
      <c r="A46" s="21" t="s">
        <v>178</v>
      </c>
      <c r="B46" s="122">
        <v>0</v>
      </c>
      <c r="C46" s="8">
        <f t="shared" si="3"/>
        <v>0</v>
      </c>
      <c r="E46" s="29" t="s">
        <v>107</v>
      </c>
      <c r="F46" s="26" t="s">
        <v>114</v>
      </c>
      <c r="G46" s="14">
        <v>0</v>
      </c>
      <c r="H46" s="92">
        <f>IF(B$19=0,0,G46/B$19)</f>
        <v>0</v>
      </c>
      <c r="I46" s="60">
        <v>1</v>
      </c>
    </row>
    <row r="47" spans="1:9" x14ac:dyDescent="0.45">
      <c r="A47" s="21" t="s">
        <v>179</v>
      </c>
      <c r="B47" s="122">
        <v>0</v>
      </c>
      <c r="C47" s="8">
        <f t="shared" si="3"/>
        <v>0</v>
      </c>
      <c r="E47" s="29" t="s">
        <v>108</v>
      </c>
      <c r="F47" s="26" t="s">
        <v>60</v>
      </c>
      <c r="G47" s="14">
        <v>0</v>
      </c>
      <c r="H47" s="92">
        <f>IF(B$19=0,0,G47/B$19)</f>
        <v>0</v>
      </c>
      <c r="I47" s="60">
        <v>1</v>
      </c>
    </row>
    <row r="48" spans="1:9" x14ac:dyDescent="0.45">
      <c r="A48" s="23" t="s">
        <v>180</v>
      </c>
      <c r="B48" s="101">
        <v>1</v>
      </c>
      <c r="C48" s="11">
        <f t="shared" si="3"/>
        <v>1.7543859649122806E-2</v>
      </c>
      <c r="E48" s="29" t="s">
        <v>109</v>
      </c>
      <c r="F48" s="26" t="s">
        <v>61</v>
      </c>
      <c r="G48" s="14">
        <v>0</v>
      </c>
      <c r="H48" s="92">
        <f>IF(B$19=0,0,G48/B$19)</f>
        <v>0</v>
      </c>
      <c r="I48" s="60">
        <v>1</v>
      </c>
    </row>
    <row r="49" spans="5:9" x14ac:dyDescent="0.45">
      <c r="E49" s="29" t="s">
        <v>110</v>
      </c>
      <c r="F49" s="26" t="s">
        <v>62</v>
      </c>
      <c r="G49" s="14">
        <v>0</v>
      </c>
      <c r="H49" s="92">
        <f>IF(B$19=0,0,G49/B$19)</f>
        <v>0</v>
      </c>
      <c r="I49" s="60">
        <v>1</v>
      </c>
    </row>
    <row r="50" spans="5:9" x14ac:dyDescent="0.45">
      <c r="E50" s="29" t="s">
        <v>111</v>
      </c>
      <c r="F50" s="26" t="s">
        <v>63</v>
      </c>
      <c r="G50" s="14">
        <v>0</v>
      </c>
      <c r="H50" s="92">
        <f>IF(B$19=0,0,G50/B$19)</f>
        <v>0</v>
      </c>
      <c r="I50" s="60">
        <v>1</v>
      </c>
    </row>
    <row r="51" spans="5:9" x14ac:dyDescent="0.45">
      <c r="E51" s="95" t="s">
        <v>156</v>
      </c>
      <c r="F51" s="96" t="s">
        <v>157</v>
      </c>
      <c r="G51" s="15">
        <v>0</v>
      </c>
      <c r="H51" s="97">
        <f>IF(B$19=0,0,G51/B$19)</f>
        <v>0</v>
      </c>
      <c r="I51" s="98">
        <v>6</v>
      </c>
    </row>
    <row r="52" spans="5:9" x14ac:dyDescent="0.45">
      <c r="E52" s="30" t="s">
        <v>162</v>
      </c>
      <c r="F52" s="27" t="s">
        <v>163</v>
      </c>
      <c r="G52" s="16">
        <v>0</v>
      </c>
      <c r="H52" s="93">
        <f>IF(B$19=0,0,G52/B$19)</f>
        <v>0</v>
      </c>
      <c r="I52" s="61">
        <v>1</v>
      </c>
    </row>
  </sheetData>
  <sortState xmlns:xlrd2="http://schemas.microsoft.com/office/spreadsheetml/2017/richdata2" ref="E2:I53">
    <sortCondition descending="1" ref="H1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C0E361-138A-4DA3-BAAE-BCC5FB1F620A}">
  <sheetPr codeName="Sheet15"/>
  <dimension ref="A1:Q52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29" t="s">
        <v>192</v>
      </c>
      <c r="C1" s="130"/>
      <c r="E1" s="108" t="s">
        <v>155</v>
      </c>
      <c r="F1" s="120" t="s">
        <v>115</v>
      </c>
      <c r="G1" s="119" t="s">
        <v>116</v>
      </c>
      <c r="H1" s="90" t="s">
        <v>117</v>
      </c>
      <c r="I1" s="120" t="s">
        <v>146</v>
      </c>
      <c r="K1" s="4" t="s">
        <v>19</v>
      </c>
      <c r="L1" s="120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5">
      <c r="A2" s="20" t="s">
        <v>9</v>
      </c>
      <c r="B2" s="131">
        <v>45</v>
      </c>
      <c r="C2" s="132"/>
      <c r="E2" s="28" t="s">
        <v>72</v>
      </c>
      <c r="F2" s="25" t="s">
        <v>27</v>
      </c>
      <c r="G2" s="13">
        <v>67</v>
      </c>
      <c r="H2" s="91">
        <f>IF(B$19=0,0,G2/B$19)</f>
        <v>0.6633663366336634</v>
      </c>
      <c r="I2" s="59">
        <v>3</v>
      </c>
      <c r="K2" s="5">
        <v>0</v>
      </c>
      <c r="L2" s="64">
        <v>0</v>
      </c>
      <c r="N2" s="77" t="s">
        <v>128</v>
      </c>
      <c r="O2" s="83">
        <f t="shared" ref="O2:O7" si="0">IF(P2=0,0,Q2/P2)</f>
        <v>602.27272727272725</v>
      </c>
      <c r="P2" s="80">
        <v>44</v>
      </c>
      <c r="Q2" s="67">
        <v>26500</v>
      </c>
    </row>
    <row r="3" spans="1:17" x14ac:dyDescent="0.45">
      <c r="A3" s="21" t="s">
        <v>8</v>
      </c>
      <c r="B3" s="133">
        <v>360</v>
      </c>
      <c r="C3" s="134"/>
      <c r="E3" s="29" t="s">
        <v>66</v>
      </c>
      <c r="F3" s="26" t="s">
        <v>22</v>
      </c>
      <c r="G3" s="14">
        <v>59</v>
      </c>
      <c r="H3" s="92">
        <f>IF(B$19=0,0,G3/B$19)</f>
        <v>0.58415841584158412</v>
      </c>
      <c r="I3" s="60">
        <v>9</v>
      </c>
      <c r="K3" s="7">
        <v>1</v>
      </c>
      <c r="L3" s="65">
        <v>-0.5</v>
      </c>
      <c r="N3" s="78" t="s">
        <v>129</v>
      </c>
      <c r="O3" s="84">
        <f t="shared" si="0"/>
        <v>-406.81818181818181</v>
      </c>
      <c r="P3" s="81">
        <v>44</v>
      </c>
      <c r="Q3" s="68">
        <v>-17900</v>
      </c>
    </row>
    <row r="4" spans="1:17" x14ac:dyDescent="0.45">
      <c r="A4" s="21" t="s">
        <v>6</v>
      </c>
      <c r="B4" s="135">
        <v>-60.89999999999997</v>
      </c>
      <c r="C4" s="136"/>
      <c r="E4" s="29" t="s">
        <v>64</v>
      </c>
      <c r="F4" s="26" t="s">
        <v>20</v>
      </c>
      <c r="G4" s="14">
        <v>46</v>
      </c>
      <c r="H4" s="92">
        <f>IF(B$19=0,0,G4/B$19)</f>
        <v>0.45544554455445546</v>
      </c>
      <c r="I4" s="60">
        <v>6</v>
      </c>
      <c r="K4" s="7">
        <v>2</v>
      </c>
      <c r="L4" s="65">
        <v>-62.8</v>
      </c>
      <c r="N4" s="78" t="s">
        <v>130</v>
      </c>
      <c r="O4" s="84">
        <f t="shared" si="0"/>
        <v>-1200</v>
      </c>
      <c r="P4" s="81">
        <v>44</v>
      </c>
      <c r="Q4" s="68">
        <v>-52800</v>
      </c>
    </row>
    <row r="5" spans="1:17" x14ac:dyDescent="0.45">
      <c r="A5" s="21" t="s">
        <v>7</v>
      </c>
      <c r="B5" s="123">
        <f>IF(B$2=0,0,B$4/B$2)</f>
        <v>-1.3533333333333326</v>
      </c>
      <c r="C5" s="124"/>
      <c r="E5" s="29" t="s">
        <v>160</v>
      </c>
      <c r="F5" s="26" t="s">
        <v>161</v>
      </c>
      <c r="G5" s="14">
        <v>40</v>
      </c>
      <c r="H5" s="92">
        <f>IF(B$19=0,0,G5/B$19)</f>
        <v>0.39603960396039606</v>
      </c>
      <c r="I5" s="60">
        <v>8</v>
      </c>
      <c r="K5" s="7">
        <v>3</v>
      </c>
      <c r="L5" s="65">
        <v>-48.5</v>
      </c>
      <c r="N5" s="78" t="s">
        <v>131</v>
      </c>
      <c r="O5" s="84">
        <f t="shared" si="0"/>
        <v>960.97560975609758</v>
      </c>
      <c r="P5" s="81">
        <v>41</v>
      </c>
      <c r="Q5" s="68">
        <v>39400</v>
      </c>
    </row>
    <row r="6" spans="1:17" x14ac:dyDescent="0.45">
      <c r="A6" s="21" t="s">
        <v>1</v>
      </c>
      <c r="B6" s="137">
        <f>IF(B$2=0,0,(B$7*1+B$8*2+B$9*3)/B$2)</f>
        <v>1.9777777777777779</v>
      </c>
      <c r="C6" s="138"/>
      <c r="E6" s="29" t="s">
        <v>67</v>
      </c>
      <c r="F6" s="26" t="s">
        <v>23</v>
      </c>
      <c r="G6" s="14">
        <v>27</v>
      </c>
      <c r="H6" s="92">
        <f>IF(B$19=0,0,G6/B$19)</f>
        <v>0.26732673267326734</v>
      </c>
      <c r="I6" s="60">
        <v>4</v>
      </c>
      <c r="K6" s="7">
        <v>4</v>
      </c>
      <c r="L6" s="65">
        <v>-75.599999999999994</v>
      </c>
      <c r="N6" s="78" t="s">
        <v>132</v>
      </c>
      <c r="O6" s="84">
        <f t="shared" si="0"/>
        <v>-1591.4285714285713</v>
      </c>
      <c r="P6" s="81">
        <v>35</v>
      </c>
      <c r="Q6" s="68">
        <v>-55700</v>
      </c>
    </row>
    <row r="7" spans="1:17" x14ac:dyDescent="0.45">
      <c r="A7" s="21" t="s">
        <v>2</v>
      </c>
      <c r="B7" s="14">
        <v>14</v>
      </c>
      <c r="C7" s="8">
        <f t="shared" ref="C7:C14" si="1">IF(B$2=0,0,B7/B$2)</f>
        <v>0.31111111111111112</v>
      </c>
      <c r="E7" s="29" t="s">
        <v>68</v>
      </c>
      <c r="F7" s="26" t="s">
        <v>12</v>
      </c>
      <c r="G7" s="14">
        <v>25</v>
      </c>
      <c r="H7" s="92">
        <f>IF(B$19=0,0,G7/B$19)</f>
        <v>0.24752475247524752</v>
      </c>
      <c r="I7" s="60">
        <v>9</v>
      </c>
      <c r="K7" s="7">
        <v>5</v>
      </c>
      <c r="L7" s="65">
        <v>-96.5</v>
      </c>
      <c r="N7" s="79" t="s">
        <v>133</v>
      </c>
      <c r="O7" s="85">
        <f t="shared" si="0"/>
        <v>532</v>
      </c>
      <c r="P7" s="82">
        <v>25</v>
      </c>
      <c r="Q7" s="69">
        <v>13300</v>
      </c>
    </row>
    <row r="8" spans="1:17" x14ac:dyDescent="0.45">
      <c r="A8" s="21" t="s">
        <v>3</v>
      </c>
      <c r="B8" s="14">
        <v>18</v>
      </c>
      <c r="C8" s="8">
        <f t="shared" si="1"/>
        <v>0.4</v>
      </c>
      <c r="E8" s="29" t="s">
        <v>89</v>
      </c>
      <c r="F8" s="26" t="s">
        <v>44</v>
      </c>
      <c r="G8" s="14">
        <v>14</v>
      </c>
      <c r="H8" s="92">
        <f>IF(B$19=0,0,G8/B$19)</f>
        <v>0.13861386138613863</v>
      </c>
      <c r="I8" s="60">
        <v>7</v>
      </c>
      <c r="K8" s="7">
        <v>6</v>
      </c>
      <c r="L8" s="65">
        <v>-70.5</v>
      </c>
      <c r="N8" s="111"/>
      <c r="O8" s="89"/>
      <c r="P8" s="112"/>
      <c r="Q8" s="74"/>
    </row>
    <row r="9" spans="1:17" x14ac:dyDescent="0.45">
      <c r="A9" s="22" t="s">
        <v>4</v>
      </c>
      <c r="B9" s="15">
        <v>13</v>
      </c>
      <c r="C9" s="9">
        <f t="shared" si="1"/>
        <v>0.28888888888888886</v>
      </c>
      <c r="E9" s="29" t="s">
        <v>69</v>
      </c>
      <c r="F9" s="26" t="s">
        <v>24</v>
      </c>
      <c r="G9" s="14">
        <v>10</v>
      </c>
      <c r="H9" s="92">
        <f>IF(B$19=0,0,G9/B$19)</f>
        <v>9.9009900990099015E-2</v>
      </c>
      <c r="I9" s="60">
        <v>9</v>
      </c>
      <c r="K9" s="7">
        <v>7</v>
      </c>
      <c r="L9" s="65">
        <v>-38.6</v>
      </c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5">
      <c r="A10" s="22" t="s">
        <v>185</v>
      </c>
      <c r="B10" s="113">
        <f>IF(B7=0,0,C10/B7)</f>
        <v>36.542857142857137</v>
      </c>
      <c r="C10" s="114">
        <v>511.59999999999997</v>
      </c>
      <c r="E10" s="29" t="s">
        <v>65</v>
      </c>
      <c r="F10" s="26" t="s">
        <v>21</v>
      </c>
      <c r="G10" s="14">
        <v>8</v>
      </c>
      <c r="H10" s="92">
        <f>IF(B$19=0,0,G10/B$19)</f>
        <v>7.9207920792079209E-2</v>
      </c>
      <c r="I10" s="60">
        <v>10</v>
      </c>
      <c r="K10" s="7">
        <v>8</v>
      </c>
      <c r="L10" s="65">
        <v>-28.3</v>
      </c>
      <c r="N10" s="77" t="s">
        <v>152</v>
      </c>
      <c r="O10" s="86">
        <f>IF(P10=0,0,Q10/P10)</f>
        <v>-7.3500000000000005</v>
      </c>
      <c r="P10" s="80">
        <v>14</v>
      </c>
      <c r="Q10" s="71">
        <v>-102.9</v>
      </c>
    </row>
    <row r="11" spans="1:17" x14ac:dyDescent="0.45">
      <c r="A11" s="22" t="s">
        <v>186</v>
      </c>
      <c r="B11" s="113">
        <f>IF(B8=0,0,C11/B8)</f>
        <v>-3.8444444444444446</v>
      </c>
      <c r="C11" s="114">
        <v>-69.2</v>
      </c>
      <c r="E11" s="29" t="s">
        <v>71</v>
      </c>
      <c r="F11" s="26" t="s">
        <v>26</v>
      </c>
      <c r="G11" s="14">
        <v>8</v>
      </c>
      <c r="H11" s="92">
        <f>IF(B$19=0,0,G11/B$19)</f>
        <v>7.9207920792079209E-2</v>
      </c>
      <c r="I11" s="60">
        <v>4</v>
      </c>
      <c r="K11" s="7">
        <v>9</v>
      </c>
      <c r="L11" s="65">
        <v>-20.3</v>
      </c>
      <c r="N11" s="78" t="s">
        <v>153</v>
      </c>
      <c r="O11" s="87">
        <f>IF(P11=0,0,Q11/P11)</f>
        <v>-2.1529411764705881</v>
      </c>
      <c r="P11" s="81">
        <v>17</v>
      </c>
      <c r="Q11" s="72">
        <v>-36.6</v>
      </c>
    </row>
    <row r="12" spans="1:17" x14ac:dyDescent="0.45">
      <c r="A12" s="22" t="s">
        <v>187</v>
      </c>
      <c r="B12" s="113">
        <f>IF(B9=0,0,C12/B9)</f>
        <v>-38.715384615384615</v>
      </c>
      <c r="C12" s="114">
        <v>-503.3</v>
      </c>
      <c r="E12" s="29" t="s">
        <v>83</v>
      </c>
      <c r="F12" s="26" t="s">
        <v>38</v>
      </c>
      <c r="G12" s="14">
        <v>7</v>
      </c>
      <c r="H12" s="92">
        <f>IF(B$19=0,0,G12/B$19)</f>
        <v>6.9306930693069313E-2</v>
      </c>
      <c r="I12" s="60">
        <v>3</v>
      </c>
      <c r="K12" s="7">
        <v>10</v>
      </c>
      <c r="L12" s="65">
        <v>-14.9</v>
      </c>
      <c r="N12" s="79" t="s">
        <v>154</v>
      </c>
      <c r="O12" s="88">
        <f>IF(P12=0,0,Q12/P12)</f>
        <v>5.6142857142857157</v>
      </c>
      <c r="P12" s="82">
        <v>14</v>
      </c>
      <c r="Q12" s="73">
        <v>78.600000000000023</v>
      </c>
    </row>
    <row r="13" spans="1:17" x14ac:dyDescent="0.45">
      <c r="A13" s="22" t="s">
        <v>188</v>
      </c>
      <c r="B13" s="123">
        <f>AVERAGE(B10:B12)</f>
        <v>-2.0056573056573064</v>
      </c>
      <c r="C13" s="124"/>
      <c r="E13" s="29" t="s">
        <v>70</v>
      </c>
      <c r="F13" s="26" t="s">
        <v>25</v>
      </c>
      <c r="G13" s="14">
        <v>5</v>
      </c>
      <c r="H13" s="92">
        <f>IF(B$19=0,0,G13/B$19)</f>
        <v>4.9504950495049507E-2</v>
      </c>
      <c r="I13" s="60">
        <v>8</v>
      </c>
      <c r="K13" s="7">
        <v>11</v>
      </c>
      <c r="L13" s="65">
        <v>-46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4</v>
      </c>
      <c r="C14" s="11">
        <f t="shared" si="1"/>
        <v>8.8888888888888892E-2</v>
      </c>
      <c r="E14" s="29" t="s">
        <v>79</v>
      </c>
      <c r="F14" s="26" t="s">
        <v>34</v>
      </c>
      <c r="G14" s="14">
        <v>5</v>
      </c>
      <c r="H14" s="92">
        <f>IF(B$19=0,0,G14/B$19)</f>
        <v>4.9504950495049507E-2</v>
      </c>
      <c r="I14" s="60">
        <v>2</v>
      </c>
      <c r="K14" s="7">
        <v>12</v>
      </c>
      <c r="L14" s="65">
        <v>-87.6</v>
      </c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5">
      <c r="A15" s="24" t="s">
        <v>121</v>
      </c>
      <c r="B15" s="17">
        <v>90</v>
      </c>
      <c r="C15" s="12">
        <f>IF(B$3=0,0,B15/B$3)</f>
        <v>0.25</v>
      </c>
      <c r="E15" s="29" t="s">
        <v>78</v>
      </c>
      <c r="F15" s="26" t="s">
        <v>33</v>
      </c>
      <c r="G15" s="14">
        <v>4</v>
      </c>
      <c r="H15" s="92">
        <f>IF(B$19=0,0,G15/B$19)</f>
        <v>3.9603960396039604E-2</v>
      </c>
      <c r="I15" s="60">
        <v>4</v>
      </c>
      <c r="K15" s="7">
        <v>13</v>
      </c>
      <c r="L15" s="65">
        <v>-125.89999999999999</v>
      </c>
      <c r="N15" s="77" t="s">
        <v>189</v>
      </c>
      <c r="O15" s="86">
        <f t="shared" ref="O15:O21" si="2">IF(P15=0,0,Q15/P15)</f>
        <v>23.599999999999998</v>
      </c>
      <c r="P15" s="80">
        <v>3</v>
      </c>
      <c r="Q15" s="71">
        <v>70.8</v>
      </c>
    </row>
    <row r="16" spans="1:17" x14ac:dyDescent="0.45">
      <c r="A16" s="21" t="s">
        <v>118</v>
      </c>
      <c r="B16" s="14">
        <v>89</v>
      </c>
      <c r="C16" s="8">
        <f>IF(B$3=0,0,B16/B$3)</f>
        <v>0.24722222222222223</v>
      </c>
      <c r="E16" s="29" t="s">
        <v>91</v>
      </c>
      <c r="F16" s="26" t="s">
        <v>46</v>
      </c>
      <c r="G16" s="14">
        <v>3</v>
      </c>
      <c r="H16" s="92">
        <f>IF(B$19=0,0,G16/B$19)</f>
        <v>2.9702970297029702E-2</v>
      </c>
      <c r="I16" s="60">
        <v>2</v>
      </c>
      <c r="K16" s="7">
        <v>14</v>
      </c>
      <c r="L16" s="65">
        <v>-149.39999999999998</v>
      </c>
      <c r="N16" s="78" t="s">
        <v>193</v>
      </c>
      <c r="O16" s="87">
        <f t="shared" si="2"/>
        <v>18.040000000000003</v>
      </c>
      <c r="P16" s="81">
        <v>15</v>
      </c>
      <c r="Q16" s="72">
        <v>270.60000000000002</v>
      </c>
    </row>
    <row r="17" spans="1:17" x14ac:dyDescent="0.45">
      <c r="A17" s="20" t="s">
        <v>123</v>
      </c>
      <c r="B17" s="13">
        <f>B23</f>
        <v>48</v>
      </c>
      <c r="C17" s="6">
        <f>IF(B$15=0,0,B17/B$15)</f>
        <v>0.53333333333333333</v>
      </c>
      <c r="E17" s="29" t="s">
        <v>81</v>
      </c>
      <c r="F17" s="26" t="s">
        <v>36</v>
      </c>
      <c r="G17" s="14">
        <v>2</v>
      </c>
      <c r="H17" s="92">
        <f>IF(B$19=0,0,G17/B$19)</f>
        <v>1.9801980198019802E-2</v>
      </c>
      <c r="I17" s="60">
        <v>5</v>
      </c>
      <c r="K17" s="7">
        <v>15</v>
      </c>
      <c r="L17" s="65">
        <v>-121.39999999999998</v>
      </c>
      <c r="N17" s="78" t="s">
        <v>194</v>
      </c>
      <c r="O17" s="87">
        <f t="shared" si="2"/>
        <v>9.4571428571428591</v>
      </c>
      <c r="P17" s="81">
        <v>14</v>
      </c>
      <c r="Q17" s="72">
        <v>132.40000000000003</v>
      </c>
    </row>
    <row r="18" spans="1:17" x14ac:dyDescent="0.45">
      <c r="A18" s="20" t="s">
        <v>124</v>
      </c>
      <c r="B18" s="13">
        <f>B24</f>
        <v>33</v>
      </c>
      <c r="C18" s="6">
        <f>IF(B$16=0,0,B18/B$16)</f>
        <v>0.3707865168539326</v>
      </c>
      <c r="E18" s="29" t="s">
        <v>86</v>
      </c>
      <c r="F18" s="26" t="s">
        <v>41</v>
      </c>
      <c r="G18" s="14">
        <v>2</v>
      </c>
      <c r="H18" s="92">
        <f>IF(B$19=0,0,G18/B$19)</f>
        <v>1.9801980198019802E-2</v>
      </c>
      <c r="I18" s="60">
        <v>8</v>
      </c>
      <c r="K18" s="7">
        <v>16</v>
      </c>
      <c r="L18" s="65">
        <v>-141.29999999999998</v>
      </c>
      <c r="N18" s="78" t="s">
        <v>205</v>
      </c>
      <c r="O18" s="87">
        <f t="shared" si="2"/>
        <v>0.53750000000000053</v>
      </c>
      <c r="P18" s="81">
        <v>8</v>
      </c>
      <c r="Q18" s="72">
        <v>4.3000000000000043</v>
      </c>
    </row>
    <row r="19" spans="1:17" x14ac:dyDescent="0.45">
      <c r="A19" s="20" t="s">
        <v>10</v>
      </c>
      <c r="B19" s="13">
        <f>B22+B21</f>
        <v>101</v>
      </c>
      <c r="C19" s="6">
        <f>IF(B$3=0,0,B19/B$3)</f>
        <v>0.28055555555555556</v>
      </c>
      <c r="E19" s="29" t="s">
        <v>85</v>
      </c>
      <c r="F19" s="26" t="s">
        <v>40</v>
      </c>
      <c r="G19" s="14">
        <v>1</v>
      </c>
      <c r="H19" s="92">
        <f>IF(B$19=0,0,G19/B$19)</f>
        <v>9.9009900990099011E-3</v>
      </c>
      <c r="I19" s="60">
        <v>2</v>
      </c>
      <c r="K19" s="7">
        <v>17</v>
      </c>
      <c r="L19" s="65">
        <v>-149.1</v>
      </c>
      <c r="N19" s="78" t="s">
        <v>164</v>
      </c>
      <c r="O19" s="87">
        <f t="shared" si="2"/>
        <v>-3.0166666666666648</v>
      </c>
      <c r="P19" s="81">
        <v>18</v>
      </c>
      <c r="Q19" s="72">
        <v>-54.299999999999969</v>
      </c>
    </row>
    <row r="20" spans="1:17" x14ac:dyDescent="0.45">
      <c r="A20" s="21" t="s">
        <v>13</v>
      </c>
      <c r="B20" s="14">
        <v>40</v>
      </c>
      <c r="C20" s="8">
        <f>IF(B$3=0,0,B20/B$3)</f>
        <v>0.1111111111111111</v>
      </c>
      <c r="E20" s="29" t="s">
        <v>92</v>
      </c>
      <c r="F20" s="26" t="s">
        <v>47</v>
      </c>
      <c r="G20" s="14">
        <v>1</v>
      </c>
      <c r="H20" s="92">
        <f>IF(B$19=0,0,G20/B$19)</f>
        <v>9.9009900990099011E-3</v>
      </c>
      <c r="I20" s="60">
        <v>6</v>
      </c>
      <c r="K20" s="7">
        <v>18</v>
      </c>
      <c r="L20" s="65">
        <v>-201.89999999999998</v>
      </c>
      <c r="N20" s="78" t="s">
        <v>126</v>
      </c>
      <c r="O20" s="87">
        <f t="shared" si="2"/>
        <v>-18.844000000000008</v>
      </c>
      <c r="P20" s="81">
        <v>25</v>
      </c>
      <c r="Q20" s="72">
        <v>-471.10000000000019</v>
      </c>
    </row>
    <row r="21" spans="1:17" x14ac:dyDescent="0.45">
      <c r="A21" s="21" t="s">
        <v>12</v>
      </c>
      <c r="B21" s="14">
        <v>42</v>
      </c>
      <c r="C21" s="8">
        <f>IF(B$19=0,0,B21/B$19)</f>
        <v>0.41584158415841582</v>
      </c>
      <c r="E21" s="29" t="s">
        <v>156</v>
      </c>
      <c r="F21" s="26" t="s">
        <v>157</v>
      </c>
      <c r="G21" s="14">
        <v>1</v>
      </c>
      <c r="H21" s="92">
        <f>IF(B$19=0,0,G21/B$19)</f>
        <v>9.9009900990099011E-3</v>
      </c>
      <c r="I21" s="60">
        <v>4</v>
      </c>
      <c r="K21" s="7">
        <v>19</v>
      </c>
      <c r="L21" s="65">
        <v>-152.39999999999998</v>
      </c>
      <c r="N21" s="78" t="s">
        <v>196</v>
      </c>
      <c r="O21" s="87">
        <f t="shared" si="2"/>
        <v>-19.342857142857145</v>
      </c>
      <c r="P21" s="81">
        <v>7</v>
      </c>
      <c r="Q21" s="72">
        <v>-135.4</v>
      </c>
    </row>
    <row r="22" spans="1:17" x14ac:dyDescent="0.45">
      <c r="A22" s="21" t="s">
        <v>11</v>
      </c>
      <c r="B22" s="14">
        <v>59</v>
      </c>
      <c r="C22" s="8">
        <f>IF(B$19=0,0,B22/B$19)</f>
        <v>0.58415841584158412</v>
      </c>
      <c r="E22" s="29" t="s">
        <v>73</v>
      </c>
      <c r="F22" s="26" t="s">
        <v>28</v>
      </c>
      <c r="G22" s="14">
        <v>0</v>
      </c>
      <c r="H22" s="92">
        <f>IF(B$19=0,0,G22/B$19)</f>
        <v>0</v>
      </c>
      <c r="I22" s="60">
        <v>4</v>
      </c>
      <c r="K22" s="7">
        <v>20</v>
      </c>
      <c r="L22" s="65">
        <v>-140.19999999999999</v>
      </c>
    </row>
    <row r="23" spans="1:17" x14ac:dyDescent="0.45">
      <c r="A23" s="21" t="s">
        <v>184</v>
      </c>
      <c r="B23" s="14">
        <v>48</v>
      </c>
      <c r="C23" s="8">
        <f>IF(B$19=0,0,B23/B$19)</f>
        <v>0.47524752475247523</v>
      </c>
      <c r="E23" s="29" t="s">
        <v>74</v>
      </c>
      <c r="F23" s="26" t="s">
        <v>29</v>
      </c>
      <c r="G23" s="14">
        <v>0</v>
      </c>
      <c r="H23" s="92">
        <f>IF(B$19=0,0,G23/B$19)</f>
        <v>0</v>
      </c>
      <c r="I23" s="60">
        <v>1</v>
      </c>
      <c r="K23" s="7">
        <v>21</v>
      </c>
      <c r="L23" s="65">
        <v>-76.699999999999989</v>
      </c>
    </row>
    <row r="24" spans="1:17" x14ac:dyDescent="0.45">
      <c r="A24" s="21" t="s">
        <v>182</v>
      </c>
      <c r="B24" s="14">
        <v>33</v>
      </c>
      <c r="C24" s="8">
        <f>IF(B$19=0,0,B24/B$19)</f>
        <v>0.32673267326732675</v>
      </c>
      <c r="E24" s="29" t="s">
        <v>75</v>
      </c>
      <c r="F24" s="26" t="s">
        <v>30</v>
      </c>
      <c r="G24" s="14">
        <v>0</v>
      </c>
      <c r="H24" s="92">
        <f>IF(B$19=0,0,G24/B$19)</f>
        <v>0</v>
      </c>
      <c r="I24" s="60">
        <v>4</v>
      </c>
      <c r="K24" s="7">
        <v>22</v>
      </c>
      <c r="L24" s="65">
        <v>-46.699999999999989</v>
      </c>
    </row>
    <row r="25" spans="1:17" x14ac:dyDescent="0.45">
      <c r="A25" s="21" t="s">
        <v>183</v>
      </c>
      <c r="B25" s="14">
        <v>20</v>
      </c>
      <c r="C25" s="8">
        <f>IF(B$19=0,0,B25/B$19)</f>
        <v>0.19801980198019803</v>
      </c>
      <c r="E25" s="29" t="s">
        <v>76</v>
      </c>
      <c r="F25" s="26" t="s">
        <v>31</v>
      </c>
      <c r="G25" s="14">
        <v>0</v>
      </c>
      <c r="H25" s="92">
        <f>IF(B$19=0,0,G25/B$19)</f>
        <v>0</v>
      </c>
      <c r="I25" s="60">
        <v>1</v>
      </c>
      <c r="K25" s="7">
        <v>23</v>
      </c>
      <c r="L25" s="65">
        <v>-43.199999999999989</v>
      </c>
    </row>
    <row r="26" spans="1:17" x14ac:dyDescent="0.45">
      <c r="A26" s="21" t="s">
        <v>5</v>
      </c>
      <c r="B26" s="18">
        <f>IF(B$19=0,0,C26/B$19)</f>
        <v>7611.8811881188121</v>
      </c>
      <c r="C26" s="10">
        <v>768800</v>
      </c>
      <c r="E26" s="29" t="s">
        <v>77</v>
      </c>
      <c r="F26" s="26" t="s">
        <v>32</v>
      </c>
      <c r="G26" s="14">
        <v>0</v>
      </c>
      <c r="H26" s="92">
        <f>IF(B$19=0,0,G26/B$19)</f>
        <v>0</v>
      </c>
      <c r="I26" s="60">
        <v>4</v>
      </c>
      <c r="K26" s="7">
        <v>24</v>
      </c>
      <c r="L26" s="65">
        <v>-9.1999999999999886</v>
      </c>
    </row>
    <row r="27" spans="1:17" x14ac:dyDescent="0.45">
      <c r="A27" s="22" t="s">
        <v>166</v>
      </c>
      <c r="B27" s="99">
        <f>IF($B$19-B$18=0,0,C27/($B$19-B$18))</f>
        <v>7847.0588235294117</v>
      </c>
      <c r="C27" s="100">
        <v>533600</v>
      </c>
      <c r="E27" s="29" t="s">
        <v>80</v>
      </c>
      <c r="F27" s="26" t="s">
        <v>35</v>
      </c>
      <c r="G27" s="14">
        <v>0</v>
      </c>
      <c r="H27" s="92">
        <f>IF(B$19=0,0,G27/B$19)</f>
        <v>0</v>
      </c>
      <c r="I27" s="60">
        <v>1</v>
      </c>
      <c r="K27" s="7">
        <v>25</v>
      </c>
      <c r="L27" s="65">
        <v>-13.199999999999989</v>
      </c>
    </row>
    <row r="28" spans="1:17" x14ac:dyDescent="0.45">
      <c r="A28" s="22" t="s">
        <v>167</v>
      </c>
      <c r="B28" s="99">
        <f>IF(B$18=0,0,C28/B$18)</f>
        <v>7127.272727272727</v>
      </c>
      <c r="C28" s="100">
        <v>235200</v>
      </c>
      <c r="E28" s="29" t="s">
        <v>82</v>
      </c>
      <c r="F28" s="26" t="s">
        <v>37</v>
      </c>
      <c r="G28" s="14">
        <v>0</v>
      </c>
      <c r="H28" s="92">
        <f>IF(B$19=0,0,G28/B$19)</f>
        <v>0</v>
      </c>
      <c r="I28" s="60">
        <v>1</v>
      </c>
      <c r="K28" s="7">
        <v>26</v>
      </c>
      <c r="L28" s="65">
        <v>-24.699999999999989</v>
      </c>
    </row>
    <row r="29" spans="1:17" x14ac:dyDescent="0.45">
      <c r="A29" s="22" t="s">
        <v>165</v>
      </c>
      <c r="B29" s="99">
        <f>IF(B$20=0,0,C29/B$20)</f>
        <v>-7855</v>
      </c>
      <c r="C29" s="100">
        <v>-314200</v>
      </c>
      <c r="E29" s="29" t="s">
        <v>84</v>
      </c>
      <c r="F29" s="26" t="s">
        <v>39</v>
      </c>
      <c r="G29" s="14">
        <v>0</v>
      </c>
      <c r="H29" s="92">
        <f>IF(B$19=0,0,G29/B$19)</f>
        <v>0</v>
      </c>
      <c r="I29" s="60">
        <v>3</v>
      </c>
      <c r="K29" s="7">
        <v>27</v>
      </c>
      <c r="L29" s="65">
        <v>-58.099999999999987</v>
      </c>
    </row>
    <row r="30" spans="1:17" x14ac:dyDescent="0.45">
      <c r="A30" s="21" t="s">
        <v>158</v>
      </c>
      <c r="B30" s="14">
        <v>6</v>
      </c>
      <c r="C30" s="94">
        <v>1</v>
      </c>
      <c r="E30" s="29" t="s">
        <v>87</v>
      </c>
      <c r="F30" s="26" t="s">
        <v>42</v>
      </c>
      <c r="G30" s="14">
        <v>0</v>
      </c>
      <c r="H30" s="92">
        <f>IF(B$19=0,0,G30/B$19)</f>
        <v>0</v>
      </c>
      <c r="I30" s="60">
        <v>4</v>
      </c>
      <c r="K30" s="7">
        <v>28</v>
      </c>
      <c r="L30" s="65">
        <v>-115.69999999999999</v>
      </c>
    </row>
    <row r="31" spans="1:17" x14ac:dyDescent="0.45">
      <c r="A31" s="21" t="s">
        <v>159</v>
      </c>
      <c r="B31" s="14">
        <v>39</v>
      </c>
      <c r="C31" s="94">
        <v>20</v>
      </c>
      <c r="E31" s="29" t="s">
        <v>88</v>
      </c>
      <c r="F31" s="26" t="s">
        <v>43</v>
      </c>
      <c r="G31" s="14">
        <v>0</v>
      </c>
      <c r="H31" s="92">
        <f>IF(B$19=0,0,G31/B$19)</f>
        <v>0</v>
      </c>
      <c r="I31" s="60">
        <v>3</v>
      </c>
      <c r="K31" s="7">
        <v>29</v>
      </c>
      <c r="L31" s="65">
        <v>-163.79999999999998</v>
      </c>
    </row>
    <row r="32" spans="1:17" x14ac:dyDescent="0.45">
      <c r="A32" s="56" t="s">
        <v>136</v>
      </c>
      <c r="B32" s="125">
        <v>5</v>
      </c>
      <c r="C32" s="126"/>
      <c r="E32" s="29" t="s">
        <v>90</v>
      </c>
      <c r="F32" s="26" t="s">
        <v>45</v>
      </c>
      <c r="G32" s="14">
        <v>0</v>
      </c>
      <c r="H32" s="92">
        <f>IF(B$19=0,0,G32/B$19)</f>
        <v>0</v>
      </c>
      <c r="I32" s="60">
        <v>1</v>
      </c>
      <c r="K32" s="7">
        <v>30</v>
      </c>
      <c r="L32" s="65">
        <v>-201</v>
      </c>
    </row>
    <row r="33" spans="1:12" x14ac:dyDescent="0.45">
      <c r="A33" s="24" t="s">
        <v>181</v>
      </c>
      <c r="B33" s="127">
        <v>98700</v>
      </c>
      <c r="C33" s="128"/>
      <c r="E33" s="29" t="s">
        <v>93</v>
      </c>
      <c r="F33" s="26" t="s">
        <v>48</v>
      </c>
      <c r="G33" s="14">
        <v>0</v>
      </c>
      <c r="H33" s="92">
        <f>IF(B$19=0,0,G33/B$19)</f>
        <v>0</v>
      </c>
      <c r="I33" s="60">
        <v>3</v>
      </c>
      <c r="K33" s="7">
        <v>31</v>
      </c>
      <c r="L33" s="65">
        <v>-181.9</v>
      </c>
    </row>
    <row r="34" spans="1:12" x14ac:dyDescent="0.45">
      <c r="A34" s="23" t="s">
        <v>137</v>
      </c>
      <c r="B34" s="31">
        <v>0</v>
      </c>
      <c r="C34" s="11">
        <f>IF(B$3=0,0,B34/B$3)</f>
        <v>0</v>
      </c>
      <c r="E34" s="29" t="s">
        <v>94</v>
      </c>
      <c r="F34" s="26" t="s">
        <v>49</v>
      </c>
      <c r="G34" s="14">
        <v>0</v>
      </c>
      <c r="H34" s="92">
        <f>IF(B$19=0,0,G34/B$19)</f>
        <v>0</v>
      </c>
      <c r="I34" s="60">
        <v>1</v>
      </c>
      <c r="K34" s="7">
        <v>32</v>
      </c>
      <c r="L34" s="65">
        <v>-137.5</v>
      </c>
    </row>
    <row r="35" spans="1:12" x14ac:dyDescent="0.45">
      <c r="E35" s="29" t="s">
        <v>95</v>
      </c>
      <c r="F35" s="26" t="s">
        <v>50</v>
      </c>
      <c r="G35" s="14">
        <v>0</v>
      </c>
      <c r="H35" s="92">
        <f>IF(B$19=0,0,G35/B$19)</f>
        <v>0</v>
      </c>
      <c r="I35" s="60">
        <v>3</v>
      </c>
      <c r="K35" s="7">
        <v>33</v>
      </c>
      <c r="L35" s="65">
        <v>-142.19999999999999</v>
      </c>
    </row>
    <row r="36" spans="1:12" x14ac:dyDescent="0.45">
      <c r="A36" s="56" t="s">
        <v>172</v>
      </c>
      <c r="B36" s="121">
        <v>11</v>
      </c>
      <c r="C36" s="102">
        <f t="shared" ref="C36:C48" si="3">IF(B$19=0,0,B36/B$19)</f>
        <v>0.10891089108910891</v>
      </c>
      <c r="E36" s="29" t="s">
        <v>96</v>
      </c>
      <c r="F36" s="26" t="s">
        <v>51</v>
      </c>
      <c r="G36" s="14">
        <v>0</v>
      </c>
      <c r="H36" s="92">
        <f>IF(B$19=0,0,G36/B$19)</f>
        <v>0</v>
      </c>
      <c r="I36" s="60">
        <v>1</v>
      </c>
      <c r="K36" s="7">
        <v>34</v>
      </c>
      <c r="L36" s="65">
        <v>-158.79999999999998</v>
      </c>
    </row>
    <row r="37" spans="1:12" x14ac:dyDescent="0.45">
      <c r="A37" s="21" t="s">
        <v>168</v>
      </c>
      <c r="B37" s="14">
        <v>17</v>
      </c>
      <c r="C37" s="8">
        <f t="shared" si="3"/>
        <v>0.16831683168316833</v>
      </c>
      <c r="E37" s="29" t="s">
        <v>97</v>
      </c>
      <c r="F37" s="26" t="s">
        <v>52</v>
      </c>
      <c r="G37" s="14">
        <v>0</v>
      </c>
      <c r="H37" s="92">
        <f>IF(B$19=0,0,G37/B$19)</f>
        <v>0</v>
      </c>
      <c r="I37" s="60">
        <v>3</v>
      </c>
      <c r="K37" s="7">
        <v>35</v>
      </c>
      <c r="L37" s="65">
        <v>-182.49999999999997</v>
      </c>
    </row>
    <row r="38" spans="1:12" x14ac:dyDescent="0.45">
      <c r="A38" s="21" t="s">
        <v>169</v>
      </c>
      <c r="B38" s="122">
        <v>28</v>
      </c>
      <c r="C38" s="8">
        <f t="shared" si="3"/>
        <v>0.27722772277227725</v>
      </c>
      <c r="E38" s="29" t="s">
        <v>98</v>
      </c>
      <c r="F38" s="26" t="s">
        <v>53</v>
      </c>
      <c r="G38" s="14">
        <v>0</v>
      </c>
      <c r="H38" s="92">
        <f>IF(B$19=0,0,G38/B$19)</f>
        <v>0</v>
      </c>
      <c r="I38" s="60">
        <v>1</v>
      </c>
      <c r="K38" s="7">
        <v>36</v>
      </c>
      <c r="L38" s="65">
        <v>-211.19999999999996</v>
      </c>
    </row>
    <row r="39" spans="1:12" x14ac:dyDescent="0.45">
      <c r="A39" s="21" t="s">
        <v>170</v>
      </c>
      <c r="B39" s="122">
        <v>15</v>
      </c>
      <c r="C39" s="8">
        <f t="shared" si="3"/>
        <v>0.14851485148514851</v>
      </c>
      <c r="E39" s="29" t="s">
        <v>99</v>
      </c>
      <c r="F39" s="26" t="s">
        <v>54</v>
      </c>
      <c r="G39" s="14">
        <v>0</v>
      </c>
      <c r="H39" s="92">
        <f>IF(B$19=0,0,G39/B$19)</f>
        <v>0</v>
      </c>
      <c r="I39" s="60">
        <v>1</v>
      </c>
      <c r="K39" s="7">
        <v>37</v>
      </c>
      <c r="L39" s="65">
        <v>-171.09999999999997</v>
      </c>
    </row>
    <row r="40" spans="1:12" x14ac:dyDescent="0.45">
      <c r="A40" s="21" t="s">
        <v>171</v>
      </c>
      <c r="B40" s="122">
        <v>9</v>
      </c>
      <c r="C40" s="8">
        <f t="shared" si="3"/>
        <v>8.9108910891089105E-2</v>
      </c>
      <c r="E40" s="29" t="s">
        <v>100</v>
      </c>
      <c r="F40" s="26" t="s">
        <v>55</v>
      </c>
      <c r="G40" s="14">
        <v>0</v>
      </c>
      <c r="H40" s="92">
        <f>IF(B$19=0,0,G40/B$19)</f>
        <v>0</v>
      </c>
      <c r="I40" s="60">
        <v>1</v>
      </c>
      <c r="K40" s="7">
        <v>38</v>
      </c>
      <c r="L40" s="65">
        <v>-97.399999999999963</v>
      </c>
    </row>
    <row r="41" spans="1:12" x14ac:dyDescent="0.45">
      <c r="A41" s="21" t="s">
        <v>173</v>
      </c>
      <c r="B41" s="122">
        <v>4</v>
      </c>
      <c r="C41" s="8">
        <f t="shared" si="3"/>
        <v>3.9603960396039604E-2</v>
      </c>
      <c r="E41" s="29" t="s">
        <v>101</v>
      </c>
      <c r="F41" s="26" t="s">
        <v>56</v>
      </c>
      <c r="G41" s="14">
        <v>0</v>
      </c>
      <c r="H41" s="92">
        <f>IF(B$19=0,0,G41/B$19)</f>
        <v>0</v>
      </c>
      <c r="I41" s="60">
        <v>1</v>
      </c>
      <c r="K41" s="7">
        <v>39</v>
      </c>
      <c r="L41" s="65">
        <v>-77.999999999999972</v>
      </c>
    </row>
    <row r="42" spans="1:12" x14ac:dyDescent="0.45">
      <c r="A42" s="21" t="s">
        <v>174</v>
      </c>
      <c r="B42" s="122">
        <v>8</v>
      </c>
      <c r="C42" s="8">
        <f t="shared" si="3"/>
        <v>7.9207920792079209E-2</v>
      </c>
      <c r="E42" s="29" t="s">
        <v>102</v>
      </c>
      <c r="F42" s="26" t="s">
        <v>57</v>
      </c>
      <c r="G42" s="14">
        <v>0</v>
      </c>
      <c r="H42" s="92">
        <f>IF(B$19=0,0,G42/B$19)</f>
        <v>0</v>
      </c>
      <c r="I42" s="60">
        <v>3</v>
      </c>
      <c r="K42" s="7">
        <v>40</v>
      </c>
      <c r="L42" s="65">
        <v>-71.499999999999972</v>
      </c>
    </row>
    <row r="43" spans="1:12" x14ac:dyDescent="0.45">
      <c r="A43" s="21" t="s">
        <v>175</v>
      </c>
      <c r="B43" s="122">
        <v>3</v>
      </c>
      <c r="C43" s="8">
        <f t="shared" si="3"/>
        <v>2.9702970297029702E-2</v>
      </c>
      <c r="E43" s="29" t="s">
        <v>103</v>
      </c>
      <c r="F43" s="26" t="s">
        <v>58</v>
      </c>
      <c r="G43" s="14">
        <v>0</v>
      </c>
      <c r="H43" s="92">
        <f>IF(B$19=0,0,G43/B$19)</f>
        <v>0</v>
      </c>
      <c r="I43" s="60">
        <v>1</v>
      </c>
      <c r="K43" s="7">
        <v>41</v>
      </c>
      <c r="L43" s="65">
        <v>-106.09999999999997</v>
      </c>
    </row>
    <row r="44" spans="1:12" x14ac:dyDescent="0.45">
      <c r="A44" s="21" t="s">
        <v>176</v>
      </c>
      <c r="B44" s="122">
        <v>2</v>
      </c>
      <c r="C44" s="8">
        <f t="shared" si="3"/>
        <v>1.9801980198019802E-2</v>
      </c>
      <c r="E44" s="29" t="s">
        <v>104</v>
      </c>
      <c r="F44" s="26" t="s">
        <v>59</v>
      </c>
      <c r="G44" s="14">
        <v>0</v>
      </c>
      <c r="H44" s="92">
        <f>IF(B$19=0,0,G44/B$19)</f>
        <v>0</v>
      </c>
      <c r="I44" s="60">
        <v>1</v>
      </c>
      <c r="K44" s="7">
        <v>42</v>
      </c>
      <c r="L44" s="65">
        <v>-92.299999999999969</v>
      </c>
    </row>
    <row r="45" spans="1:12" x14ac:dyDescent="0.45">
      <c r="A45" s="21" t="s">
        <v>177</v>
      </c>
      <c r="B45" s="122">
        <v>2</v>
      </c>
      <c r="C45" s="8">
        <f t="shared" si="3"/>
        <v>1.9801980198019802E-2</v>
      </c>
      <c r="E45" s="29" t="s">
        <v>105</v>
      </c>
      <c r="F45" s="26" t="s">
        <v>112</v>
      </c>
      <c r="G45" s="14">
        <v>0</v>
      </c>
      <c r="H45" s="92">
        <f>IF(B$19=0,0,G45/B$19)</f>
        <v>0</v>
      </c>
      <c r="I45" s="60">
        <v>1</v>
      </c>
      <c r="K45" s="7">
        <v>43</v>
      </c>
      <c r="L45" s="65">
        <v>-117.99999999999997</v>
      </c>
    </row>
    <row r="46" spans="1:12" x14ac:dyDescent="0.45">
      <c r="A46" s="21" t="s">
        <v>178</v>
      </c>
      <c r="B46" s="122">
        <v>1</v>
      </c>
      <c r="C46" s="8">
        <f t="shared" si="3"/>
        <v>9.9009900990099011E-3</v>
      </c>
      <c r="E46" s="29" t="s">
        <v>106</v>
      </c>
      <c r="F46" s="26" t="s">
        <v>113</v>
      </c>
      <c r="G46" s="14">
        <v>0</v>
      </c>
      <c r="H46" s="92">
        <f>IF(B$19=0,0,G46/B$19)</f>
        <v>0</v>
      </c>
      <c r="I46" s="60">
        <v>1</v>
      </c>
      <c r="K46" s="7">
        <v>44</v>
      </c>
      <c r="L46" s="65">
        <v>-94.799999999999969</v>
      </c>
    </row>
    <row r="47" spans="1:12" x14ac:dyDescent="0.45">
      <c r="A47" s="21" t="s">
        <v>179</v>
      </c>
      <c r="B47" s="122">
        <v>0</v>
      </c>
      <c r="C47" s="8">
        <f t="shared" si="3"/>
        <v>0</v>
      </c>
      <c r="E47" s="29" t="s">
        <v>107</v>
      </c>
      <c r="F47" s="26" t="s">
        <v>114</v>
      </c>
      <c r="G47" s="14">
        <v>0</v>
      </c>
      <c r="H47" s="92">
        <f>IF(B$19=0,0,G47/B$19)</f>
        <v>0</v>
      </c>
      <c r="I47" s="60">
        <v>1</v>
      </c>
      <c r="K47" s="7">
        <v>45</v>
      </c>
      <c r="L47" s="65">
        <v>-60.89999999999997</v>
      </c>
    </row>
    <row r="48" spans="1:12" x14ac:dyDescent="0.45">
      <c r="A48" s="23" t="s">
        <v>180</v>
      </c>
      <c r="B48" s="101">
        <v>1</v>
      </c>
      <c r="C48" s="11">
        <f t="shared" si="3"/>
        <v>9.9009900990099011E-3</v>
      </c>
      <c r="E48" s="29" t="s">
        <v>108</v>
      </c>
      <c r="F48" s="26" t="s">
        <v>60</v>
      </c>
      <c r="G48" s="14">
        <v>0</v>
      </c>
      <c r="H48" s="92">
        <f>IF(B$19=0,0,G48/B$19)</f>
        <v>0</v>
      </c>
      <c r="I48" s="60">
        <v>1</v>
      </c>
    </row>
    <row r="49" spans="5:9" x14ac:dyDescent="0.45">
      <c r="E49" s="29" t="s">
        <v>109</v>
      </c>
      <c r="F49" s="26" t="s">
        <v>61</v>
      </c>
      <c r="G49" s="14">
        <v>0</v>
      </c>
      <c r="H49" s="92">
        <f>IF(B$19=0,0,G49/B$19)</f>
        <v>0</v>
      </c>
      <c r="I49" s="60">
        <v>1</v>
      </c>
    </row>
    <row r="50" spans="5:9" x14ac:dyDescent="0.45">
      <c r="E50" s="29" t="s">
        <v>110</v>
      </c>
      <c r="F50" s="26" t="s">
        <v>62</v>
      </c>
      <c r="G50" s="14">
        <v>0</v>
      </c>
      <c r="H50" s="92">
        <f>IF(B$19=0,0,G50/B$19)</f>
        <v>0</v>
      </c>
      <c r="I50" s="60">
        <v>1</v>
      </c>
    </row>
    <row r="51" spans="5:9" x14ac:dyDescent="0.45">
      <c r="E51" s="95" t="s">
        <v>111</v>
      </c>
      <c r="F51" s="96" t="s">
        <v>63</v>
      </c>
      <c r="G51" s="15">
        <v>0</v>
      </c>
      <c r="H51" s="97">
        <f>IF(B$19=0,0,G51/B$19)</f>
        <v>0</v>
      </c>
      <c r="I51" s="98">
        <v>1</v>
      </c>
    </row>
    <row r="52" spans="5:9" x14ac:dyDescent="0.45">
      <c r="E52" s="30" t="s">
        <v>162</v>
      </c>
      <c r="F52" s="27" t="s">
        <v>163</v>
      </c>
      <c r="G52" s="16">
        <v>0</v>
      </c>
      <c r="H52" s="93">
        <f>IF(B$19=0,0,G52/B$19)</f>
        <v>0</v>
      </c>
      <c r="I52" s="61">
        <v>1</v>
      </c>
    </row>
  </sheetData>
  <sortState xmlns:xlrd2="http://schemas.microsoft.com/office/spreadsheetml/2017/richdata2" ref="E2:I53">
    <sortCondition descending="1" ref="H1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FAC75A-7516-46AC-AFA9-97BA426C6D61}">
  <sheetPr codeName="Sheet17"/>
  <dimension ref="A1:Q52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29" t="s">
        <v>193</v>
      </c>
      <c r="C1" s="130"/>
      <c r="E1" s="108" t="s">
        <v>155</v>
      </c>
      <c r="F1" s="120" t="s">
        <v>115</v>
      </c>
      <c r="G1" s="119" t="s">
        <v>116</v>
      </c>
      <c r="H1" s="90" t="s">
        <v>117</v>
      </c>
      <c r="I1" s="120" t="s">
        <v>146</v>
      </c>
      <c r="K1" s="4" t="s">
        <v>19</v>
      </c>
      <c r="L1" s="120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5">
      <c r="A2" s="20" t="s">
        <v>9</v>
      </c>
      <c r="B2" s="131">
        <v>26</v>
      </c>
      <c r="C2" s="132"/>
      <c r="E2" s="28" t="s">
        <v>72</v>
      </c>
      <c r="F2" s="25" t="s">
        <v>27</v>
      </c>
      <c r="G2" s="13">
        <v>43</v>
      </c>
      <c r="H2" s="91">
        <f>IF(B$19=0,0,G2/B$19)</f>
        <v>0.71666666666666667</v>
      </c>
      <c r="I2" s="59">
        <v>1</v>
      </c>
      <c r="K2" s="5">
        <v>0</v>
      </c>
      <c r="L2" s="64">
        <v>0</v>
      </c>
      <c r="N2" s="77" t="s">
        <v>128</v>
      </c>
      <c r="O2" s="83">
        <f t="shared" ref="O2:O7" si="0">IF(P2=0,0,Q2/P2)</f>
        <v>-900</v>
      </c>
      <c r="P2" s="80">
        <v>26</v>
      </c>
      <c r="Q2" s="67">
        <v>-23400</v>
      </c>
    </row>
    <row r="3" spans="1:17" x14ac:dyDescent="0.45">
      <c r="A3" s="21" t="s">
        <v>8</v>
      </c>
      <c r="B3" s="133">
        <v>191</v>
      </c>
      <c r="C3" s="134"/>
      <c r="E3" s="29" t="s">
        <v>66</v>
      </c>
      <c r="F3" s="26" t="s">
        <v>22</v>
      </c>
      <c r="G3" s="14">
        <v>40</v>
      </c>
      <c r="H3" s="92">
        <f>IF(B$19=0,0,G3/B$19)</f>
        <v>0.66666666666666663</v>
      </c>
      <c r="I3" s="60">
        <v>6</v>
      </c>
      <c r="K3" s="7">
        <v>1</v>
      </c>
      <c r="L3" s="65">
        <v>56</v>
      </c>
      <c r="N3" s="78" t="s">
        <v>129</v>
      </c>
      <c r="O3" s="84">
        <f t="shared" si="0"/>
        <v>-1900</v>
      </c>
      <c r="P3" s="81">
        <v>25</v>
      </c>
      <c r="Q3" s="68">
        <v>-47500</v>
      </c>
    </row>
    <row r="4" spans="1:17" x14ac:dyDescent="0.45">
      <c r="A4" s="21" t="s">
        <v>6</v>
      </c>
      <c r="B4" s="135">
        <v>86.8</v>
      </c>
      <c r="C4" s="136"/>
      <c r="E4" s="29" t="s">
        <v>64</v>
      </c>
      <c r="F4" s="26" t="s">
        <v>20</v>
      </c>
      <c r="G4" s="14">
        <v>17</v>
      </c>
      <c r="H4" s="92">
        <f>IF(B$19=0,0,G4/B$19)</f>
        <v>0.28333333333333333</v>
      </c>
      <c r="I4" s="60">
        <v>10</v>
      </c>
      <c r="K4" s="7">
        <v>2</v>
      </c>
      <c r="L4" s="65">
        <v>137.5</v>
      </c>
      <c r="N4" s="78" t="s">
        <v>130</v>
      </c>
      <c r="O4" s="84">
        <f t="shared" si="0"/>
        <v>2950</v>
      </c>
      <c r="P4" s="81">
        <v>22</v>
      </c>
      <c r="Q4" s="68">
        <v>64900</v>
      </c>
    </row>
    <row r="5" spans="1:17" x14ac:dyDescent="0.45">
      <c r="A5" s="21" t="s">
        <v>7</v>
      </c>
      <c r="B5" s="123">
        <f>IF(B$2=0,0,B$4/B$2)</f>
        <v>3.3384615384615381</v>
      </c>
      <c r="C5" s="124"/>
      <c r="E5" s="29" t="s">
        <v>68</v>
      </c>
      <c r="F5" s="26" t="s">
        <v>12</v>
      </c>
      <c r="G5" s="14">
        <v>15</v>
      </c>
      <c r="H5" s="92">
        <f>IF(B$19=0,0,G5/B$19)</f>
        <v>0.25</v>
      </c>
      <c r="I5" s="60">
        <v>7</v>
      </c>
      <c r="K5" s="7">
        <v>3</v>
      </c>
      <c r="L5" s="65">
        <v>159</v>
      </c>
      <c r="N5" s="78" t="s">
        <v>131</v>
      </c>
      <c r="O5" s="84">
        <f t="shared" si="0"/>
        <v>-1273.6842105263158</v>
      </c>
      <c r="P5" s="81">
        <v>19</v>
      </c>
      <c r="Q5" s="68">
        <v>-24200</v>
      </c>
    </row>
    <row r="6" spans="1:17" x14ac:dyDescent="0.45">
      <c r="A6" s="21" t="s">
        <v>1</v>
      </c>
      <c r="B6" s="137">
        <f>IF(B$2=0,0,(B$7*1+B$8*2+B$9*3)/B$2)</f>
        <v>1.9615384615384615</v>
      </c>
      <c r="C6" s="138"/>
      <c r="E6" s="29" t="s">
        <v>160</v>
      </c>
      <c r="F6" s="26" t="s">
        <v>161</v>
      </c>
      <c r="G6" s="14">
        <v>15</v>
      </c>
      <c r="H6" s="92">
        <f>IF(B$19=0,0,G6/B$19)</f>
        <v>0.25</v>
      </c>
      <c r="I6" s="60">
        <v>10</v>
      </c>
      <c r="K6" s="7">
        <v>4</v>
      </c>
      <c r="L6" s="65">
        <v>112.4</v>
      </c>
      <c r="N6" s="78" t="s">
        <v>132</v>
      </c>
      <c r="O6" s="84">
        <f t="shared" si="0"/>
        <v>4700</v>
      </c>
      <c r="P6" s="81">
        <v>14</v>
      </c>
      <c r="Q6" s="68">
        <v>65800</v>
      </c>
    </row>
    <row r="7" spans="1:17" x14ac:dyDescent="0.45">
      <c r="A7" s="21" t="s">
        <v>2</v>
      </c>
      <c r="B7" s="14">
        <v>10</v>
      </c>
      <c r="C7" s="8">
        <f t="shared" ref="C7:C14" si="1">IF(B$2=0,0,B7/B$2)</f>
        <v>0.38461538461538464</v>
      </c>
      <c r="E7" s="29" t="s">
        <v>67</v>
      </c>
      <c r="F7" s="26" t="s">
        <v>23</v>
      </c>
      <c r="G7" s="14">
        <v>12</v>
      </c>
      <c r="H7" s="92">
        <f>IF(B$19=0,0,G7/B$19)</f>
        <v>0.2</v>
      </c>
      <c r="I7" s="60">
        <v>7</v>
      </c>
      <c r="K7" s="7">
        <v>5</v>
      </c>
      <c r="L7" s="65">
        <v>140.30000000000001</v>
      </c>
      <c r="N7" s="79" t="s">
        <v>133</v>
      </c>
      <c r="O7" s="85">
        <f t="shared" si="0"/>
        <v>-800</v>
      </c>
      <c r="P7" s="82">
        <v>11</v>
      </c>
      <c r="Q7" s="69">
        <v>-8800</v>
      </c>
    </row>
    <row r="8" spans="1:17" x14ac:dyDescent="0.45">
      <c r="A8" s="21" t="s">
        <v>3</v>
      </c>
      <c r="B8" s="14">
        <v>7</v>
      </c>
      <c r="C8" s="8">
        <f t="shared" si="1"/>
        <v>0.26923076923076922</v>
      </c>
      <c r="E8" s="29" t="s">
        <v>69</v>
      </c>
      <c r="F8" s="26" t="s">
        <v>24</v>
      </c>
      <c r="G8" s="14">
        <v>9</v>
      </c>
      <c r="H8" s="92">
        <f>IF(B$19=0,0,G8/B$19)</f>
        <v>0.15</v>
      </c>
      <c r="I8" s="60">
        <v>3</v>
      </c>
      <c r="K8" s="7">
        <v>6</v>
      </c>
      <c r="L8" s="65">
        <v>167.3</v>
      </c>
      <c r="N8" s="111"/>
      <c r="O8" s="89"/>
      <c r="P8" s="112"/>
      <c r="Q8" s="74"/>
    </row>
    <row r="9" spans="1:17" x14ac:dyDescent="0.45">
      <c r="A9" s="22" t="s">
        <v>4</v>
      </c>
      <c r="B9" s="15">
        <v>9</v>
      </c>
      <c r="C9" s="9">
        <f t="shared" si="1"/>
        <v>0.34615384615384615</v>
      </c>
      <c r="E9" s="29" t="s">
        <v>83</v>
      </c>
      <c r="F9" s="26" t="s">
        <v>38</v>
      </c>
      <c r="G9" s="14">
        <v>9</v>
      </c>
      <c r="H9" s="92">
        <f>IF(B$19=0,0,G9/B$19)</f>
        <v>0.15</v>
      </c>
      <c r="I9" s="60">
        <v>1</v>
      </c>
      <c r="K9" s="7">
        <v>7</v>
      </c>
      <c r="L9" s="65">
        <v>118.4</v>
      </c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5">
      <c r="A10" s="22" t="s">
        <v>185</v>
      </c>
      <c r="B10" s="113">
        <f>IF(B7=0,0,C10/B7)</f>
        <v>43.13</v>
      </c>
      <c r="C10" s="114">
        <v>431.3</v>
      </c>
      <c r="E10" s="29" t="s">
        <v>89</v>
      </c>
      <c r="F10" s="26" t="s">
        <v>44</v>
      </c>
      <c r="G10" s="14">
        <v>6</v>
      </c>
      <c r="H10" s="92">
        <f>IF(B$19=0,0,G10/B$19)</f>
        <v>0.1</v>
      </c>
      <c r="I10" s="60">
        <v>8</v>
      </c>
      <c r="K10" s="7">
        <v>8</v>
      </c>
      <c r="L10" s="65">
        <v>96.800000000000011</v>
      </c>
      <c r="N10" s="77" t="s">
        <v>152</v>
      </c>
      <c r="O10" s="86">
        <f>IF(P10=0,0,Q10/P10)</f>
        <v>-7.5</v>
      </c>
      <c r="P10" s="80">
        <v>8</v>
      </c>
      <c r="Q10" s="71">
        <v>-60</v>
      </c>
    </row>
    <row r="11" spans="1:17" x14ac:dyDescent="0.45">
      <c r="A11" s="22" t="s">
        <v>186</v>
      </c>
      <c r="B11" s="113">
        <f>IF(B8=0,0,C11/B8)</f>
        <v>1.9285714285714282</v>
      </c>
      <c r="C11" s="114">
        <v>13.499999999999996</v>
      </c>
      <c r="E11" s="29" t="s">
        <v>65</v>
      </c>
      <c r="F11" s="26" t="s">
        <v>21</v>
      </c>
      <c r="G11" s="14">
        <v>5</v>
      </c>
      <c r="H11" s="92">
        <f>IF(B$19=0,0,G11/B$19)</f>
        <v>8.3333333333333329E-2</v>
      </c>
      <c r="I11" s="60">
        <v>9</v>
      </c>
      <c r="K11" s="7">
        <v>9</v>
      </c>
      <c r="L11" s="65">
        <v>51.600000000000009</v>
      </c>
      <c r="N11" s="78" t="s">
        <v>153</v>
      </c>
      <c r="O11" s="87">
        <f>IF(P11=0,0,Q11/P11)</f>
        <v>3.3749999999999991</v>
      </c>
      <c r="P11" s="81">
        <v>8</v>
      </c>
      <c r="Q11" s="72">
        <v>26.999999999999993</v>
      </c>
    </row>
    <row r="12" spans="1:17" x14ac:dyDescent="0.45">
      <c r="A12" s="22" t="s">
        <v>187</v>
      </c>
      <c r="B12" s="113">
        <f>IF(B9=0,0,C12/B9)</f>
        <v>-39.777777777777779</v>
      </c>
      <c r="C12" s="114">
        <v>-358</v>
      </c>
      <c r="E12" s="29" t="s">
        <v>81</v>
      </c>
      <c r="F12" s="26" t="s">
        <v>36</v>
      </c>
      <c r="G12" s="14">
        <v>4</v>
      </c>
      <c r="H12" s="92">
        <f>IF(B$19=0,0,G12/B$19)</f>
        <v>6.6666666666666666E-2</v>
      </c>
      <c r="I12" s="60">
        <v>1</v>
      </c>
      <c r="K12" s="7">
        <v>10</v>
      </c>
      <c r="L12" s="65">
        <v>28.300000000000008</v>
      </c>
      <c r="N12" s="79" t="s">
        <v>154</v>
      </c>
      <c r="O12" s="88">
        <f>IF(P12=0,0,Q12/P12)</f>
        <v>11.98</v>
      </c>
      <c r="P12" s="82">
        <v>10</v>
      </c>
      <c r="Q12" s="73">
        <v>119.8</v>
      </c>
    </row>
    <row r="13" spans="1:17" x14ac:dyDescent="0.45">
      <c r="A13" s="22" t="s">
        <v>188</v>
      </c>
      <c r="B13" s="123">
        <f>AVERAGE(B10:B12)</f>
        <v>1.7602645502645515</v>
      </c>
      <c r="C13" s="124"/>
      <c r="E13" s="29" t="s">
        <v>70</v>
      </c>
      <c r="F13" s="26" t="s">
        <v>25</v>
      </c>
      <c r="G13" s="14">
        <v>3</v>
      </c>
      <c r="H13" s="92">
        <f>IF(B$19=0,0,G13/B$19)</f>
        <v>0.05</v>
      </c>
      <c r="I13" s="60">
        <v>7</v>
      </c>
      <c r="K13" s="7">
        <v>11</v>
      </c>
      <c r="L13" s="65">
        <v>44.400000000000006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6</v>
      </c>
      <c r="C14" s="11">
        <f t="shared" si="1"/>
        <v>0.23076923076923078</v>
      </c>
      <c r="E14" s="29" t="s">
        <v>78</v>
      </c>
      <c r="F14" s="26" t="s">
        <v>33</v>
      </c>
      <c r="G14" s="14">
        <v>3</v>
      </c>
      <c r="H14" s="92">
        <f>IF(B$19=0,0,G14/B$19)</f>
        <v>0.05</v>
      </c>
      <c r="I14" s="60">
        <v>2</v>
      </c>
      <c r="K14" s="7">
        <v>12</v>
      </c>
      <c r="L14" s="65">
        <v>31.800000000000004</v>
      </c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5">
      <c r="A15" s="24" t="s">
        <v>121</v>
      </c>
      <c r="B15" s="17">
        <v>27</v>
      </c>
      <c r="C15" s="12">
        <f>IF(B$3=0,0,B15/B$3)</f>
        <v>0.14136125654450263</v>
      </c>
      <c r="E15" s="29" t="s">
        <v>71</v>
      </c>
      <c r="F15" s="26" t="s">
        <v>26</v>
      </c>
      <c r="G15" s="14">
        <v>2</v>
      </c>
      <c r="H15" s="92">
        <f>IF(B$19=0,0,G15/B$19)</f>
        <v>3.3333333333333333E-2</v>
      </c>
      <c r="I15" s="60">
        <v>9</v>
      </c>
      <c r="K15" s="7">
        <v>13</v>
      </c>
      <c r="L15" s="65">
        <v>83.1</v>
      </c>
      <c r="N15" s="77" t="s">
        <v>194</v>
      </c>
      <c r="O15" s="86">
        <f t="shared" ref="O15:O20" si="2">IF(P15=0,0,Q15/P15)</f>
        <v>42.581818181818178</v>
      </c>
      <c r="P15" s="80">
        <v>11</v>
      </c>
      <c r="Q15" s="71">
        <v>468.4</v>
      </c>
    </row>
    <row r="16" spans="1:17" x14ac:dyDescent="0.45">
      <c r="A16" s="21" t="s">
        <v>118</v>
      </c>
      <c r="B16" s="14">
        <v>60</v>
      </c>
      <c r="C16" s="8">
        <f>IF(B$3=0,0,B16/B$3)</f>
        <v>0.31413612565445026</v>
      </c>
      <c r="E16" s="29" t="s">
        <v>85</v>
      </c>
      <c r="F16" s="26" t="s">
        <v>40</v>
      </c>
      <c r="G16" s="14">
        <v>2</v>
      </c>
      <c r="H16" s="92">
        <f>IF(B$19=0,0,G16/B$19)</f>
        <v>3.3333333333333333E-2</v>
      </c>
      <c r="I16" s="60">
        <v>1</v>
      </c>
      <c r="K16" s="7">
        <v>14</v>
      </c>
      <c r="L16" s="65">
        <v>89.399999999999991</v>
      </c>
      <c r="N16" s="78" t="s">
        <v>164</v>
      </c>
      <c r="O16" s="87">
        <f t="shared" si="2"/>
        <v>33.971428571428568</v>
      </c>
      <c r="P16" s="81">
        <v>7</v>
      </c>
      <c r="Q16" s="72">
        <v>237.79999999999998</v>
      </c>
    </row>
    <row r="17" spans="1:17" x14ac:dyDescent="0.45">
      <c r="A17" s="20" t="s">
        <v>123</v>
      </c>
      <c r="B17" s="13">
        <f>B23</f>
        <v>17</v>
      </c>
      <c r="C17" s="6">
        <f>IF(B$15=0,0,B17/B$15)</f>
        <v>0.62962962962962965</v>
      </c>
      <c r="E17" s="29" t="s">
        <v>75</v>
      </c>
      <c r="F17" s="26" t="s">
        <v>30</v>
      </c>
      <c r="G17" s="14">
        <v>1</v>
      </c>
      <c r="H17" s="92">
        <f>IF(B$19=0,0,G17/B$19)</f>
        <v>1.6666666666666666E-2</v>
      </c>
      <c r="I17" s="60">
        <v>1</v>
      </c>
      <c r="K17" s="7">
        <v>15</v>
      </c>
      <c r="L17" s="65">
        <v>112.6</v>
      </c>
      <c r="N17" s="78" t="s">
        <v>196</v>
      </c>
      <c r="O17" s="87">
        <f t="shared" si="2"/>
        <v>21.5</v>
      </c>
      <c r="P17" s="81">
        <v>3</v>
      </c>
      <c r="Q17" s="72">
        <v>64.5</v>
      </c>
    </row>
    <row r="18" spans="1:17" x14ac:dyDescent="0.45">
      <c r="A18" s="20" t="s">
        <v>124</v>
      </c>
      <c r="B18" s="13">
        <f>B24</f>
        <v>26</v>
      </c>
      <c r="C18" s="6">
        <f>IF(B$16=0,0,B18/B$16)</f>
        <v>0.43333333333333335</v>
      </c>
      <c r="E18" s="29" t="s">
        <v>88</v>
      </c>
      <c r="F18" s="26" t="s">
        <v>43</v>
      </c>
      <c r="G18" s="14">
        <v>1</v>
      </c>
      <c r="H18" s="92">
        <f>IF(B$19=0,0,G18/B$19)</f>
        <v>1.6666666666666666E-2</v>
      </c>
      <c r="I18" s="60">
        <v>1</v>
      </c>
      <c r="K18" s="7">
        <v>16</v>
      </c>
      <c r="L18" s="65">
        <v>119.3</v>
      </c>
      <c r="N18" s="78" t="s">
        <v>189</v>
      </c>
      <c r="O18" s="87">
        <f t="shared" si="2"/>
        <v>4.2000000000000011</v>
      </c>
      <c r="P18" s="81">
        <v>4</v>
      </c>
      <c r="Q18" s="72">
        <v>16.800000000000004</v>
      </c>
    </row>
    <row r="19" spans="1:17" x14ac:dyDescent="0.45">
      <c r="A19" s="20" t="s">
        <v>10</v>
      </c>
      <c r="B19" s="13">
        <f>B22+B21</f>
        <v>60</v>
      </c>
      <c r="C19" s="6">
        <f>IF(B$3=0,0,B19/B$3)</f>
        <v>0.31413612565445026</v>
      </c>
      <c r="E19" s="29" t="s">
        <v>102</v>
      </c>
      <c r="F19" s="26" t="s">
        <v>57</v>
      </c>
      <c r="G19" s="14">
        <v>1</v>
      </c>
      <c r="H19" s="92">
        <f>IF(B$19=0,0,G19/B$19)</f>
        <v>1.6666666666666666E-2</v>
      </c>
      <c r="I19" s="60">
        <v>1</v>
      </c>
      <c r="K19" s="7">
        <v>17</v>
      </c>
      <c r="L19" s="65">
        <v>71.699999999999989</v>
      </c>
      <c r="N19" s="78" t="s">
        <v>192</v>
      </c>
      <c r="O19" s="87">
        <f t="shared" si="2"/>
        <v>-18.040000000000003</v>
      </c>
      <c r="P19" s="81">
        <v>15</v>
      </c>
      <c r="Q19" s="72">
        <v>-270.60000000000002</v>
      </c>
    </row>
    <row r="20" spans="1:17" x14ac:dyDescent="0.45">
      <c r="A20" s="21" t="s">
        <v>13</v>
      </c>
      <c r="B20" s="14">
        <v>27</v>
      </c>
      <c r="C20" s="8">
        <f>IF(B$3=0,0,B20/B$3)</f>
        <v>0.14136125654450263</v>
      </c>
      <c r="E20" s="29" t="s">
        <v>156</v>
      </c>
      <c r="F20" s="26" t="s">
        <v>157</v>
      </c>
      <c r="G20" s="14">
        <v>1</v>
      </c>
      <c r="H20" s="92">
        <f>IF(B$19=0,0,G20/B$19)</f>
        <v>1.6666666666666666E-2</v>
      </c>
      <c r="I20" s="60">
        <v>2</v>
      </c>
      <c r="K20" s="7">
        <v>18</v>
      </c>
      <c r="L20" s="65">
        <v>45.399999999999991</v>
      </c>
      <c r="N20" s="78" t="s">
        <v>126</v>
      </c>
      <c r="O20" s="87">
        <f t="shared" si="2"/>
        <v>-21.374999999999996</v>
      </c>
      <c r="P20" s="81">
        <v>12</v>
      </c>
      <c r="Q20" s="72">
        <v>-256.49999999999994</v>
      </c>
    </row>
    <row r="21" spans="1:17" x14ac:dyDescent="0.45">
      <c r="A21" s="21" t="s">
        <v>12</v>
      </c>
      <c r="B21" s="14">
        <v>28</v>
      </c>
      <c r="C21" s="8">
        <f>IF(B$19=0,0,B21/B$19)</f>
        <v>0.46666666666666667</v>
      </c>
      <c r="E21" s="29" t="s">
        <v>73</v>
      </c>
      <c r="F21" s="26" t="s">
        <v>28</v>
      </c>
      <c r="G21" s="14">
        <v>0</v>
      </c>
      <c r="H21" s="92">
        <f>IF(B$19=0,0,G21/B$19)</f>
        <v>0</v>
      </c>
      <c r="I21" s="60">
        <v>4</v>
      </c>
      <c r="K21" s="7">
        <v>19</v>
      </c>
      <c r="L21" s="65">
        <v>100.1</v>
      </c>
    </row>
    <row r="22" spans="1:17" x14ac:dyDescent="0.45">
      <c r="A22" s="21" t="s">
        <v>11</v>
      </c>
      <c r="B22" s="14">
        <v>32</v>
      </c>
      <c r="C22" s="8">
        <f>IF(B$19=0,0,B22/B$19)</f>
        <v>0.53333333333333333</v>
      </c>
      <c r="E22" s="29" t="s">
        <v>74</v>
      </c>
      <c r="F22" s="26" t="s">
        <v>29</v>
      </c>
      <c r="G22" s="14">
        <v>0</v>
      </c>
      <c r="H22" s="92">
        <f>IF(B$19=0,0,G22/B$19)</f>
        <v>0</v>
      </c>
      <c r="I22" s="60">
        <v>1</v>
      </c>
      <c r="K22" s="7">
        <v>20</v>
      </c>
      <c r="L22" s="65">
        <v>52.8</v>
      </c>
    </row>
    <row r="23" spans="1:17" x14ac:dyDescent="0.45">
      <c r="A23" s="21" t="s">
        <v>184</v>
      </c>
      <c r="B23" s="14">
        <v>17</v>
      </c>
      <c r="C23" s="8">
        <f>IF(B$19=0,0,B23/B$19)</f>
        <v>0.28333333333333333</v>
      </c>
      <c r="E23" s="29" t="s">
        <v>76</v>
      </c>
      <c r="F23" s="26" t="s">
        <v>31</v>
      </c>
      <c r="G23" s="14">
        <v>0</v>
      </c>
      <c r="H23" s="92">
        <f>IF(B$19=0,0,G23/B$19)</f>
        <v>0</v>
      </c>
      <c r="I23" s="60">
        <v>1</v>
      </c>
      <c r="K23" s="7">
        <v>21</v>
      </c>
      <c r="L23" s="65">
        <v>41</v>
      </c>
    </row>
    <row r="24" spans="1:17" x14ac:dyDescent="0.45">
      <c r="A24" s="21" t="s">
        <v>182</v>
      </c>
      <c r="B24" s="14">
        <v>26</v>
      </c>
      <c r="C24" s="8">
        <f>IF(B$19=0,0,B24/B$19)</f>
        <v>0.43333333333333335</v>
      </c>
      <c r="E24" s="29" t="s">
        <v>77</v>
      </c>
      <c r="F24" s="26" t="s">
        <v>32</v>
      </c>
      <c r="G24" s="14">
        <v>0</v>
      </c>
      <c r="H24" s="92">
        <f>IF(B$19=0,0,G24/B$19)</f>
        <v>0</v>
      </c>
      <c r="I24" s="60">
        <v>4</v>
      </c>
      <c r="K24" s="7">
        <v>22</v>
      </c>
      <c r="L24" s="65">
        <v>90.5</v>
      </c>
    </row>
    <row r="25" spans="1:17" x14ac:dyDescent="0.45">
      <c r="A25" s="21" t="s">
        <v>183</v>
      </c>
      <c r="B25" s="14">
        <v>17</v>
      </c>
      <c r="C25" s="8">
        <f>IF(B$19=0,0,B25/B$19)</f>
        <v>0.28333333333333333</v>
      </c>
      <c r="E25" s="29" t="s">
        <v>79</v>
      </c>
      <c r="F25" s="26" t="s">
        <v>34</v>
      </c>
      <c r="G25" s="14">
        <v>0</v>
      </c>
      <c r="H25" s="92">
        <f>IF(B$19=0,0,G25/B$19)</f>
        <v>0</v>
      </c>
      <c r="I25" s="60">
        <v>6</v>
      </c>
      <c r="K25" s="7">
        <v>23</v>
      </c>
      <c r="L25" s="65">
        <v>97</v>
      </c>
    </row>
    <row r="26" spans="1:17" x14ac:dyDescent="0.45">
      <c r="A26" s="21" t="s">
        <v>5</v>
      </c>
      <c r="B26" s="18">
        <f>IF(B$19=0,0,C26/B$19)</f>
        <v>8308.3333333333339</v>
      </c>
      <c r="C26" s="10">
        <v>498500</v>
      </c>
      <c r="E26" s="29" t="s">
        <v>80</v>
      </c>
      <c r="F26" s="26" t="s">
        <v>35</v>
      </c>
      <c r="G26" s="14">
        <v>0</v>
      </c>
      <c r="H26" s="92">
        <f>IF(B$19=0,0,G26/B$19)</f>
        <v>0</v>
      </c>
      <c r="I26" s="60">
        <v>1</v>
      </c>
      <c r="K26" s="7">
        <v>24</v>
      </c>
      <c r="L26" s="65">
        <v>92.2</v>
      </c>
    </row>
    <row r="27" spans="1:17" x14ac:dyDescent="0.45">
      <c r="A27" s="22" t="s">
        <v>166</v>
      </c>
      <c r="B27" s="99">
        <f>IF($B$19-B$18=0,0,C27/($B$19-B$18))</f>
        <v>9094.1176470588234</v>
      </c>
      <c r="C27" s="100">
        <v>309200</v>
      </c>
      <c r="E27" s="29" t="s">
        <v>82</v>
      </c>
      <c r="F27" s="26" t="s">
        <v>37</v>
      </c>
      <c r="G27" s="14">
        <v>0</v>
      </c>
      <c r="H27" s="92">
        <f>IF(B$19=0,0,G27/B$19)</f>
        <v>0</v>
      </c>
      <c r="I27" s="60">
        <v>1</v>
      </c>
      <c r="K27" s="7">
        <v>25</v>
      </c>
      <c r="L27" s="65">
        <v>41</v>
      </c>
    </row>
    <row r="28" spans="1:17" x14ac:dyDescent="0.45">
      <c r="A28" s="22" t="s">
        <v>167</v>
      </c>
      <c r="B28" s="99">
        <f>IF(B$18=0,0,C28/B$18)</f>
        <v>7280.7692307692305</v>
      </c>
      <c r="C28" s="100">
        <v>189300</v>
      </c>
      <c r="E28" s="29" t="s">
        <v>84</v>
      </c>
      <c r="F28" s="26" t="s">
        <v>39</v>
      </c>
      <c r="G28" s="14">
        <v>0</v>
      </c>
      <c r="H28" s="92">
        <f>IF(B$19=0,0,G28/B$19)</f>
        <v>0</v>
      </c>
      <c r="I28" s="60">
        <v>3</v>
      </c>
      <c r="K28" s="7">
        <v>26</v>
      </c>
      <c r="L28" s="65">
        <v>86.8</v>
      </c>
    </row>
    <row r="29" spans="1:17" x14ac:dyDescent="0.45">
      <c r="A29" s="22" t="s">
        <v>165</v>
      </c>
      <c r="B29" s="99">
        <f>IF(B$20=0,0,C29/B$20)</f>
        <v>-7514.8148148148148</v>
      </c>
      <c r="C29" s="100">
        <v>-202900</v>
      </c>
      <c r="E29" s="29" t="s">
        <v>86</v>
      </c>
      <c r="F29" s="26" t="s">
        <v>41</v>
      </c>
      <c r="G29" s="14">
        <v>0</v>
      </c>
      <c r="H29" s="92">
        <f>IF(B$19=0,0,G29/B$19)</f>
        <v>0</v>
      </c>
      <c r="I29" s="60">
        <v>9</v>
      </c>
    </row>
    <row r="30" spans="1:17" x14ac:dyDescent="0.45">
      <c r="A30" s="21" t="s">
        <v>158</v>
      </c>
      <c r="B30" s="14">
        <v>7</v>
      </c>
      <c r="C30" s="94">
        <v>1</v>
      </c>
      <c r="E30" s="29" t="s">
        <v>87</v>
      </c>
      <c r="F30" s="26" t="s">
        <v>42</v>
      </c>
      <c r="G30" s="14">
        <v>0</v>
      </c>
      <c r="H30" s="92">
        <f>IF(B$19=0,0,G30/B$19)</f>
        <v>0</v>
      </c>
      <c r="I30" s="60">
        <v>4</v>
      </c>
    </row>
    <row r="31" spans="1:17" x14ac:dyDescent="0.45">
      <c r="A31" s="21" t="s">
        <v>159</v>
      </c>
      <c r="B31" s="14">
        <v>27</v>
      </c>
      <c r="C31" s="94">
        <v>4</v>
      </c>
      <c r="E31" s="29" t="s">
        <v>90</v>
      </c>
      <c r="F31" s="26" t="s">
        <v>45</v>
      </c>
      <c r="G31" s="14">
        <v>0</v>
      </c>
      <c r="H31" s="92">
        <f>IF(B$19=0,0,G31/B$19)</f>
        <v>0</v>
      </c>
      <c r="I31" s="60">
        <v>1</v>
      </c>
    </row>
    <row r="32" spans="1:17" x14ac:dyDescent="0.45">
      <c r="A32" s="56" t="s">
        <v>136</v>
      </c>
      <c r="B32" s="125">
        <v>6</v>
      </c>
      <c r="C32" s="126"/>
      <c r="E32" s="29" t="s">
        <v>91</v>
      </c>
      <c r="F32" s="26" t="s">
        <v>46</v>
      </c>
      <c r="G32" s="14">
        <v>0</v>
      </c>
      <c r="H32" s="92">
        <f>IF(B$19=0,0,G32/B$19)</f>
        <v>0</v>
      </c>
      <c r="I32" s="60">
        <v>6</v>
      </c>
    </row>
    <row r="33" spans="1:9" x14ac:dyDescent="0.45">
      <c r="A33" s="24" t="s">
        <v>181</v>
      </c>
      <c r="B33" s="127">
        <v>106500</v>
      </c>
      <c r="C33" s="128"/>
      <c r="E33" s="29" t="s">
        <v>92</v>
      </c>
      <c r="F33" s="26" t="s">
        <v>47</v>
      </c>
      <c r="G33" s="14">
        <v>0</v>
      </c>
      <c r="H33" s="92">
        <f>IF(B$19=0,0,G33/B$19)</f>
        <v>0</v>
      </c>
      <c r="I33" s="60">
        <v>7</v>
      </c>
    </row>
    <row r="34" spans="1:9" x14ac:dyDescent="0.45">
      <c r="A34" s="23" t="s">
        <v>137</v>
      </c>
      <c r="B34" s="31">
        <v>0</v>
      </c>
      <c r="C34" s="11">
        <f>IF(B$3=0,0,B34/B$3)</f>
        <v>0</v>
      </c>
      <c r="E34" s="29" t="s">
        <v>93</v>
      </c>
      <c r="F34" s="26" t="s">
        <v>48</v>
      </c>
      <c r="G34" s="14">
        <v>0</v>
      </c>
      <c r="H34" s="92">
        <f>IF(B$19=0,0,G34/B$19)</f>
        <v>0</v>
      </c>
      <c r="I34" s="60">
        <v>3</v>
      </c>
    </row>
    <row r="35" spans="1:9" x14ac:dyDescent="0.45">
      <c r="E35" s="29" t="s">
        <v>94</v>
      </c>
      <c r="F35" s="26" t="s">
        <v>49</v>
      </c>
      <c r="G35" s="14">
        <v>0</v>
      </c>
      <c r="H35" s="92">
        <f>IF(B$19=0,0,G35/B$19)</f>
        <v>0</v>
      </c>
      <c r="I35" s="60">
        <v>1</v>
      </c>
    </row>
    <row r="36" spans="1:9" x14ac:dyDescent="0.45">
      <c r="A36" s="56" t="s">
        <v>172</v>
      </c>
      <c r="B36" s="121">
        <v>6</v>
      </c>
      <c r="C36" s="102">
        <f t="shared" ref="C36:C48" si="3">IF(B$19=0,0,B36/B$19)</f>
        <v>0.1</v>
      </c>
      <c r="E36" s="29" t="s">
        <v>95</v>
      </c>
      <c r="F36" s="26" t="s">
        <v>50</v>
      </c>
      <c r="G36" s="14">
        <v>0</v>
      </c>
      <c r="H36" s="92">
        <f>IF(B$19=0,0,G36/B$19)</f>
        <v>0</v>
      </c>
      <c r="I36" s="60">
        <v>3</v>
      </c>
    </row>
    <row r="37" spans="1:9" x14ac:dyDescent="0.45">
      <c r="A37" s="21" t="s">
        <v>168</v>
      </c>
      <c r="B37" s="14">
        <v>13</v>
      </c>
      <c r="C37" s="8">
        <f t="shared" si="3"/>
        <v>0.21666666666666667</v>
      </c>
      <c r="E37" s="29" t="s">
        <v>96</v>
      </c>
      <c r="F37" s="26" t="s">
        <v>51</v>
      </c>
      <c r="G37" s="14">
        <v>0</v>
      </c>
      <c r="H37" s="92">
        <f>IF(B$19=0,0,G37/B$19)</f>
        <v>0</v>
      </c>
      <c r="I37" s="60">
        <v>1</v>
      </c>
    </row>
    <row r="38" spans="1:9" x14ac:dyDescent="0.45">
      <c r="A38" s="21" t="s">
        <v>169</v>
      </c>
      <c r="B38" s="122">
        <v>12</v>
      </c>
      <c r="C38" s="8">
        <f t="shared" si="3"/>
        <v>0.2</v>
      </c>
      <c r="E38" s="29" t="s">
        <v>97</v>
      </c>
      <c r="F38" s="26" t="s">
        <v>52</v>
      </c>
      <c r="G38" s="14">
        <v>0</v>
      </c>
      <c r="H38" s="92">
        <f>IF(B$19=0,0,G38/B$19)</f>
        <v>0</v>
      </c>
      <c r="I38" s="60">
        <v>3</v>
      </c>
    </row>
    <row r="39" spans="1:9" x14ac:dyDescent="0.45">
      <c r="A39" s="21" t="s">
        <v>170</v>
      </c>
      <c r="B39" s="122">
        <v>9</v>
      </c>
      <c r="C39" s="8">
        <f t="shared" si="3"/>
        <v>0.15</v>
      </c>
      <c r="E39" s="29" t="s">
        <v>98</v>
      </c>
      <c r="F39" s="26" t="s">
        <v>53</v>
      </c>
      <c r="G39" s="14">
        <v>0</v>
      </c>
      <c r="H39" s="92">
        <f>IF(B$19=0,0,G39/B$19)</f>
        <v>0</v>
      </c>
      <c r="I39" s="60">
        <v>1</v>
      </c>
    </row>
    <row r="40" spans="1:9" x14ac:dyDescent="0.45">
      <c r="A40" s="21" t="s">
        <v>171</v>
      </c>
      <c r="B40" s="122">
        <v>11</v>
      </c>
      <c r="C40" s="8">
        <f t="shared" si="3"/>
        <v>0.18333333333333332</v>
      </c>
      <c r="E40" s="29" t="s">
        <v>99</v>
      </c>
      <c r="F40" s="26" t="s">
        <v>54</v>
      </c>
      <c r="G40" s="14">
        <v>0</v>
      </c>
      <c r="H40" s="92">
        <f>IF(B$19=0,0,G40/B$19)</f>
        <v>0</v>
      </c>
      <c r="I40" s="60">
        <v>1</v>
      </c>
    </row>
    <row r="41" spans="1:9" x14ac:dyDescent="0.45">
      <c r="A41" s="21" t="s">
        <v>173</v>
      </c>
      <c r="B41" s="122">
        <v>3</v>
      </c>
      <c r="C41" s="8">
        <f t="shared" si="3"/>
        <v>0.05</v>
      </c>
      <c r="E41" s="29" t="s">
        <v>100</v>
      </c>
      <c r="F41" s="26" t="s">
        <v>55</v>
      </c>
      <c r="G41" s="14">
        <v>0</v>
      </c>
      <c r="H41" s="92">
        <f>IF(B$19=0,0,G41/B$19)</f>
        <v>0</v>
      </c>
      <c r="I41" s="60">
        <v>1</v>
      </c>
    </row>
    <row r="42" spans="1:9" x14ac:dyDescent="0.45">
      <c r="A42" s="21" t="s">
        <v>174</v>
      </c>
      <c r="B42" s="122">
        <v>3</v>
      </c>
      <c r="C42" s="8">
        <f t="shared" si="3"/>
        <v>0.05</v>
      </c>
      <c r="E42" s="29" t="s">
        <v>101</v>
      </c>
      <c r="F42" s="26" t="s">
        <v>56</v>
      </c>
      <c r="G42" s="14">
        <v>0</v>
      </c>
      <c r="H42" s="92">
        <f>IF(B$19=0,0,G42/B$19)</f>
        <v>0</v>
      </c>
      <c r="I42" s="60">
        <v>1</v>
      </c>
    </row>
    <row r="43" spans="1:9" x14ac:dyDescent="0.45">
      <c r="A43" s="21" t="s">
        <v>175</v>
      </c>
      <c r="B43" s="122">
        <v>1</v>
      </c>
      <c r="C43" s="8">
        <f t="shared" si="3"/>
        <v>1.6666666666666666E-2</v>
      </c>
      <c r="E43" s="29" t="s">
        <v>103</v>
      </c>
      <c r="F43" s="26" t="s">
        <v>58</v>
      </c>
      <c r="G43" s="14">
        <v>0</v>
      </c>
      <c r="H43" s="92">
        <f>IF(B$19=0,0,G43/B$19)</f>
        <v>0</v>
      </c>
      <c r="I43" s="60">
        <v>1</v>
      </c>
    </row>
    <row r="44" spans="1:9" x14ac:dyDescent="0.45">
      <c r="A44" s="21" t="s">
        <v>176</v>
      </c>
      <c r="B44" s="122">
        <v>0</v>
      </c>
      <c r="C44" s="8">
        <f t="shared" si="3"/>
        <v>0</v>
      </c>
      <c r="E44" s="29" t="s">
        <v>104</v>
      </c>
      <c r="F44" s="26" t="s">
        <v>59</v>
      </c>
      <c r="G44" s="14">
        <v>0</v>
      </c>
      <c r="H44" s="92">
        <f>IF(B$19=0,0,G44/B$19)</f>
        <v>0</v>
      </c>
      <c r="I44" s="60">
        <v>1</v>
      </c>
    </row>
    <row r="45" spans="1:9" x14ac:dyDescent="0.45">
      <c r="A45" s="21" t="s">
        <v>177</v>
      </c>
      <c r="B45" s="122">
        <v>1</v>
      </c>
      <c r="C45" s="8">
        <f t="shared" si="3"/>
        <v>1.6666666666666666E-2</v>
      </c>
      <c r="E45" s="29" t="s">
        <v>105</v>
      </c>
      <c r="F45" s="26" t="s">
        <v>112</v>
      </c>
      <c r="G45" s="14">
        <v>0</v>
      </c>
      <c r="H45" s="92">
        <f>IF(B$19=0,0,G45/B$19)</f>
        <v>0</v>
      </c>
      <c r="I45" s="60">
        <v>1</v>
      </c>
    </row>
    <row r="46" spans="1:9" x14ac:dyDescent="0.45">
      <c r="A46" s="21" t="s">
        <v>178</v>
      </c>
      <c r="B46" s="122">
        <v>0</v>
      </c>
      <c r="C46" s="8">
        <f t="shared" si="3"/>
        <v>0</v>
      </c>
      <c r="E46" s="29" t="s">
        <v>106</v>
      </c>
      <c r="F46" s="26" t="s">
        <v>113</v>
      </c>
      <c r="G46" s="14">
        <v>0</v>
      </c>
      <c r="H46" s="92">
        <f>IF(B$19=0,0,G46/B$19)</f>
        <v>0</v>
      </c>
      <c r="I46" s="60">
        <v>1</v>
      </c>
    </row>
    <row r="47" spans="1:9" x14ac:dyDescent="0.45">
      <c r="A47" s="21" t="s">
        <v>179</v>
      </c>
      <c r="B47" s="122">
        <v>0</v>
      </c>
      <c r="C47" s="8">
        <f t="shared" si="3"/>
        <v>0</v>
      </c>
      <c r="E47" s="29" t="s">
        <v>107</v>
      </c>
      <c r="F47" s="26" t="s">
        <v>114</v>
      </c>
      <c r="G47" s="14">
        <v>0</v>
      </c>
      <c r="H47" s="92">
        <f>IF(B$19=0,0,G47/B$19)</f>
        <v>0</v>
      </c>
      <c r="I47" s="60">
        <v>1</v>
      </c>
    </row>
    <row r="48" spans="1:9" x14ac:dyDescent="0.45">
      <c r="A48" s="23" t="s">
        <v>180</v>
      </c>
      <c r="B48" s="101">
        <v>1</v>
      </c>
      <c r="C48" s="11">
        <f t="shared" si="3"/>
        <v>1.6666666666666666E-2</v>
      </c>
      <c r="E48" s="29" t="s">
        <v>108</v>
      </c>
      <c r="F48" s="26" t="s">
        <v>60</v>
      </c>
      <c r="G48" s="14">
        <v>0</v>
      </c>
      <c r="H48" s="92">
        <f>IF(B$19=0,0,G48/B$19)</f>
        <v>0</v>
      </c>
      <c r="I48" s="60">
        <v>1</v>
      </c>
    </row>
    <row r="49" spans="5:9" x14ac:dyDescent="0.45">
      <c r="E49" s="29" t="s">
        <v>109</v>
      </c>
      <c r="F49" s="26" t="s">
        <v>61</v>
      </c>
      <c r="G49" s="14">
        <v>0</v>
      </c>
      <c r="H49" s="92">
        <f>IF(B$19=0,0,G49/B$19)</f>
        <v>0</v>
      </c>
      <c r="I49" s="60">
        <v>1</v>
      </c>
    </row>
    <row r="50" spans="5:9" x14ac:dyDescent="0.45">
      <c r="E50" s="29" t="s">
        <v>110</v>
      </c>
      <c r="F50" s="26" t="s">
        <v>62</v>
      </c>
      <c r="G50" s="14">
        <v>0</v>
      </c>
      <c r="H50" s="92">
        <f>IF(B$19=0,0,G50/B$19)</f>
        <v>0</v>
      </c>
      <c r="I50" s="60">
        <v>1</v>
      </c>
    </row>
    <row r="51" spans="5:9" x14ac:dyDescent="0.45">
      <c r="E51" s="95" t="s">
        <v>111</v>
      </c>
      <c r="F51" s="96" t="s">
        <v>63</v>
      </c>
      <c r="G51" s="15">
        <v>0</v>
      </c>
      <c r="H51" s="97">
        <f>IF(B$19=0,0,G51/B$19)</f>
        <v>0</v>
      </c>
      <c r="I51" s="98">
        <v>1</v>
      </c>
    </row>
    <row r="52" spans="5:9" x14ac:dyDescent="0.45">
      <c r="E52" s="30" t="s">
        <v>162</v>
      </c>
      <c r="F52" s="27" t="s">
        <v>163</v>
      </c>
      <c r="G52" s="16">
        <v>0</v>
      </c>
      <c r="H52" s="93">
        <f>IF(B$19=0,0,G52/B$19)</f>
        <v>0</v>
      </c>
      <c r="I52" s="61">
        <v>1</v>
      </c>
    </row>
  </sheetData>
  <sortState xmlns:xlrd2="http://schemas.microsoft.com/office/spreadsheetml/2017/richdata2" ref="E2:I53">
    <sortCondition descending="1" ref="H1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DC8FB2-0A5A-42EF-9D29-723890FAE1FF}">
  <sheetPr codeName="Sheet19"/>
  <dimension ref="A1:Q52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29" t="s">
        <v>196</v>
      </c>
      <c r="C1" s="130"/>
      <c r="E1" s="108" t="s">
        <v>155</v>
      </c>
      <c r="F1" s="120" t="s">
        <v>115</v>
      </c>
      <c r="G1" s="119" t="s">
        <v>116</v>
      </c>
      <c r="H1" s="90" t="s">
        <v>117</v>
      </c>
      <c r="I1" s="120" t="s">
        <v>146</v>
      </c>
      <c r="K1" s="4" t="s">
        <v>19</v>
      </c>
      <c r="L1" s="120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5">
      <c r="A2" s="20" t="s">
        <v>9</v>
      </c>
      <c r="B2" s="131">
        <v>8</v>
      </c>
      <c r="C2" s="132"/>
      <c r="E2" s="28" t="s">
        <v>64</v>
      </c>
      <c r="F2" s="25" t="s">
        <v>20</v>
      </c>
      <c r="G2" s="13">
        <v>12</v>
      </c>
      <c r="H2" s="91">
        <f>IF(B$19=0,0,G2/B$19)</f>
        <v>0.70588235294117652</v>
      </c>
      <c r="I2" s="59">
        <v>2</v>
      </c>
      <c r="K2" s="5">
        <v>0</v>
      </c>
      <c r="L2" s="64">
        <v>0</v>
      </c>
      <c r="N2" s="77" t="s">
        <v>128</v>
      </c>
      <c r="O2" s="83">
        <f t="shared" ref="O2:O7" si="0">IF(P2=0,0,Q2/P2)</f>
        <v>4212.5</v>
      </c>
      <c r="P2" s="80">
        <v>8</v>
      </c>
      <c r="Q2" s="67">
        <v>33700</v>
      </c>
    </row>
    <row r="3" spans="1:17" x14ac:dyDescent="0.45">
      <c r="A3" s="21" t="s">
        <v>8</v>
      </c>
      <c r="B3" s="133">
        <v>65</v>
      </c>
      <c r="C3" s="134"/>
      <c r="E3" s="29" t="s">
        <v>66</v>
      </c>
      <c r="F3" s="26" t="s">
        <v>22</v>
      </c>
      <c r="G3" s="14">
        <v>10</v>
      </c>
      <c r="H3" s="92">
        <f>IF(B$19=0,0,G3/B$19)</f>
        <v>0.58823529411764708</v>
      </c>
      <c r="I3" s="60">
        <v>8</v>
      </c>
      <c r="K3" s="7">
        <v>1</v>
      </c>
      <c r="L3" s="65">
        <v>-30.5</v>
      </c>
      <c r="N3" s="78" t="s">
        <v>129</v>
      </c>
      <c r="O3" s="84">
        <f t="shared" si="0"/>
        <v>387.5</v>
      </c>
      <c r="P3" s="81">
        <v>8</v>
      </c>
      <c r="Q3" s="68">
        <v>3100</v>
      </c>
    </row>
    <row r="4" spans="1:17" x14ac:dyDescent="0.45">
      <c r="A4" s="21" t="s">
        <v>6</v>
      </c>
      <c r="B4" s="135">
        <v>7.4999999999999858</v>
      </c>
      <c r="C4" s="136"/>
      <c r="E4" s="29" t="s">
        <v>68</v>
      </c>
      <c r="F4" s="26" t="s">
        <v>12</v>
      </c>
      <c r="G4" s="14">
        <v>8</v>
      </c>
      <c r="H4" s="92">
        <f>IF(B$19=0,0,G4/B$19)</f>
        <v>0.47058823529411764</v>
      </c>
      <c r="I4" s="60">
        <v>2</v>
      </c>
      <c r="K4" s="7">
        <v>2</v>
      </c>
      <c r="L4" s="65">
        <v>-28.6</v>
      </c>
      <c r="N4" s="78" t="s">
        <v>130</v>
      </c>
      <c r="O4" s="84">
        <f t="shared" si="0"/>
        <v>-4987.5</v>
      </c>
      <c r="P4" s="81">
        <v>8</v>
      </c>
      <c r="Q4" s="68">
        <v>-39900</v>
      </c>
    </row>
    <row r="5" spans="1:17" x14ac:dyDescent="0.45">
      <c r="A5" s="21" t="s">
        <v>7</v>
      </c>
      <c r="B5" s="123">
        <f>IF(B$2=0,0,B$4/B$2)</f>
        <v>0.93749999999999822</v>
      </c>
      <c r="C5" s="124"/>
      <c r="E5" s="29" t="s">
        <v>160</v>
      </c>
      <c r="F5" s="26" t="s">
        <v>161</v>
      </c>
      <c r="G5" s="14">
        <v>7</v>
      </c>
      <c r="H5" s="92">
        <f>IF(B$19=0,0,G5/B$19)</f>
        <v>0.41176470588235292</v>
      </c>
      <c r="I5" s="60">
        <v>7</v>
      </c>
      <c r="K5" s="7">
        <v>3</v>
      </c>
      <c r="L5" s="65">
        <v>-41.400000000000006</v>
      </c>
      <c r="N5" s="78" t="s">
        <v>131</v>
      </c>
      <c r="O5" s="84">
        <f t="shared" si="0"/>
        <v>-5850</v>
      </c>
      <c r="P5" s="81">
        <v>6</v>
      </c>
      <c r="Q5" s="68">
        <v>-35100</v>
      </c>
    </row>
    <row r="6" spans="1:17" x14ac:dyDescent="0.45">
      <c r="A6" s="21" t="s">
        <v>1</v>
      </c>
      <c r="B6" s="137">
        <f>IF(B$2=0,0,(B$7*1+B$8*2+B$9*3)/B$2)</f>
        <v>1.875</v>
      </c>
      <c r="C6" s="138"/>
      <c r="E6" s="29" t="s">
        <v>72</v>
      </c>
      <c r="F6" s="26" t="s">
        <v>27</v>
      </c>
      <c r="G6" s="14">
        <v>6</v>
      </c>
      <c r="H6" s="92">
        <f>IF(B$19=0,0,G6/B$19)</f>
        <v>0.35294117647058826</v>
      </c>
      <c r="I6" s="60">
        <v>10</v>
      </c>
      <c r="K6" s="7">
        <v>4</v>
      </c>
      <c r="L6" s="65">
        <v>-56.000000000000007</v>
      </c>
      <c r="N6" s="78" t="s">
        <v>132</v>
      </c>
      <c r="O6" s="84">
        <f t="shared" si="0"/>
        <v>6160</v>
      </c>
      <c r="P6" s="81">
        <v>5</v>
      </c>
      <c r="Q6" s="68">
        <v>30800</v>
      </c>
    </row>
    <row r="7" spans="1:17" x14ac:dyDescent="0.45">
      <c r="A7" s="21" t="s">
        <v>2</v>
      </c>
      <c r="B7" s="14">
        <v>2</v>
      </c>
      <c r="C7" s="8">
        <f t="shared" ref="C7:C14" si="1">IF(B$2=0,0,B7/B$2)</f>
        <v>0.25</v>
      </c>
      <c r="E7" s="29" t="s">
        <v>67</v>
      </c>
      <c r="F7" s="26" t="s">
        <v>23</v>
      </c>
      <c r="G7" s="14">
        <v>5</v>
      </c>
      <c r="H7" s="92">
        <f>IF(B$19=0,0,G7/B$19)</f>
        <v>0.29411764705882354</v>
      </c>
      <c r="I7" s="60">
        <v>2</v>
      </c>
      <c r="K7" s="7">
        <v>5</v>
      </c>
      <c r="L7" s="65">
        <v>-64.400000000000006</v>
      </c>
      <c r="N7" s="79" t="s">
        <v>133</v>
      </c>
      <c r="O7" s="85">
        <f t="shared" si="0"/>
        <v>1633.3333333333333</v>
      </c>
      <c r="P7" s="82">
        <v>3</v>
      </c>
      <c r="Q7" s="69">
        <v>4900</v>
      </c>
    </row>
    <row r="8" spans="1:17" x14ac:dyDescent="0.45">
      <c r="A8" s="21" t="s">
        <v>3</v>
      </c>
      <c r="B8" s="14">
        <v>5</v>
      </c>
      <c r="C8" s="8">
        <f t="shared" si="1"/>
        <v>0.625</v>
      </c>
      <c r="E8" s="29" t="s">
        <v>65</v>
      </c>
      <c r="F8" s="26" t="s">
        <v>21</v>
      </c>
      <c r="G8" s="14">
        <v>2</v>
      </c>
      <c r="H8" s="92">
        <f>IF(B$19=0,0,G8/B$19)</f>
        <v>0.11764705882352941</v>
      </c>
      <c r="I8" s="60">
        <v>4</v>
      </c>
      <c r="K8" s="7">
        <v>6</v>
      </c>
      <c r="L8" s="65">
        <v>-97.800000000000011</v>
      </c>
      <c r="N8" s="111"/>
      <c r="O8" s="89"/>
      <c r="P8" s="112"/>
      <c r="Q8" s="74"/>
    </row>
    <row r="9" spans="1:17" x14ac:dyDescent="0.45">
      <c r="A9" s="22" t="s">
        <v>4</v>
      </c>
      <c r="B9" s="15">
        <v>1</v>
      </c>
      <c r="C9" s="9">
        <f t="shared" si="1"/>
        <v>0.125</v>
      </c>
      <c r="E9" s="29" t="s">
        <v>71</v>
      </c>
      <c r="F9" s="26" t="s">
        <v>26</v>
      </c>
      <c r="G9" s="14">
        <v>2</v>
      </c>
      <c r="H9" s="92">
        <f>IF(B$19=0,0,G9/B$19)</f>
        <v>0.11764705882352941</v>
      </c>
      <c r="I9" s="60">
        <v>2</v>
      </c>
      <c r="K9" s="7">
        <v>7</v>
      </c>
      <c r="L9" s="65">
        <v>-56.500000000000014</v>
      </c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5">
      <c r="A10" s="22" t="s">
        <v>185</v>
      </c>
      <c r="B10" s="113">
        <f>IF(B7=0,0,C10/B7)</f>
        <v>52.65</v>
      </c>
      <c r="C10" s="114">
        <v>105.3</v>
      </c>
      <c r="E10" s="29" t="s">
        <v>86</v>
      </c>
      <c r="F10" s="26" t="s">
        <v>41</v>
      </c>
      <c r="G10" s="14">
        <v>2</v>
      </c>
      <c r="H10" s="92">
        <f>IF(B$19=0,0,G10/B$19)</f>
        <v>0.11764705882352941</v>
      </c>
      <c r="I10" s="60">
        <v>1</v>
      </c>
      <c r="K10" s="7">
        <v>8</v>
      </c>
      <c r="L10" s="65">
        <v>7.4999999999999858</v>
      </c>
      <c r="N10" s="77" t="s">
        <v>152</v>
      </c>
      <c r="O10" s="86">
        <f>IF(P10=0,0,Q10/P10)</f>
        <v>5.333333333333333</v>
      </c>
      <c r="P10" s="80">
        <v>3</v>
      </c>
      <c r="Q10" s="71">
        <v>16</v>
      </c>
    </row>
    <row r="11" spans="1:17" x14ac:dyDescent="0.45">
      <c r="A11" s="22" t="s">
        <v>186</v>
      </c>
      <c r="B11" s="113">
        <f>IF(B8=0,0,C11/B8)</f>
        <v>-17</v>
      </c>
      <c r="C11" s="114">
        <v>-85</v>
      </c>
      <c r="E11" s="29" t="s">
        <v>73</v>
      </c>
      <c r="F11" s="26" t="s">
        <v>28</v>
      </c>
      <c r="G11" s="14">
        <v>1</v>
      </c>
      <c r="H11" s="92">
        <f>IF(B$19=0,0,G11/B$19)</f>
        <v>5.8823529411764705E-2</v>
      </c>
      <c r="I11" s="60">
        <v>1</v>
      </c>
      <c r="N11" s="78" t="s">
        <v>153</v>
      </c>
      <c r="O11" s="87">
        <f>IF(P11=0,0,Q11/P11)</f>
        <v>0.79999999999999949</v>
      </c>
      <c r="P11" s="81">
        <v>3</v>
      </c>
      <c r="Q11" s="72">
        <v>2.3999999999999986</v>
      </c>
    </row>
    <row r="12" spans="1:17" x14ac:dyDescent="0.45">
      <c r="A12" s="22" t="s">
        <v>187</v>
      </c>
      <c r="B12" s="113">
        <f>IF(B9=0,0,C12/B9)</f>
        <v>-12.8</v>
      </c>
      <c r="C12" s="114">
        <v>-12.8</v>
      </c>
      <c r="E12" s="29" t="s">
        <v>77</v>
      </c>
      <c r="F12" s="26" t="s">
        <v>32</v>
      </c>
      <c r="G12" s="14">
        <v>1</v>
      </c>
      <c r="H12" s="92">
        <f>IF(B$19=0,0,G12/B$19)</f>
        <v>5.8823529411764705E-2</v>
      </c>
      <c r="I12" s="60">
        <v>2</v>
      </c>
      <c r="N12" s="79" t="s">
        <v>154</v>
      </c>
      <c r="O12" s="88">
        <f>IF(P12=0,0,Q12/P12)</f>
        <v>-5.45</v>
      </c>
      <c r="P12" s="82">
        <v>2</v>
      </c>
      <c r="Q12" s="73">
        <v>-10.9</v>
      </c>
    </row>
    <row r="13" spans="1:17" x14ac:dyDescent="0.45">
      <c r="A13" s="22" t="s">
        <v>188</v>
      </c>
      <c r="B13" s="123">
        <f>AVERAGE(B10:B12)</f>
        <v>7.6166666666666663</v>
      </c>
      <c r="C13" s="124"/>
      <c r="E13" s="29" t="s">
        <v>89</v>
      </c>
      <c r="F13" s="26" t="s">
        <v>44</v>
      </c>
      <c r="G13" s="14">
        <v>1</v>
      </c>
      <c r="H13" s="92">
        <f>IF(B$19=0,0,G13/B$19)</f>
        <v>5.8823529411764705E-2</v>
      </c>
      <c r="I13" s="60">
        <v>9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0</v>
      </c>
      <c r="C14" s="11">
        <f t="shared" si="1"/>
        <v>0</v>
      </c>
      <c r="E14" s="29" t="s">
        <v>69</v>
      </c>
      <c r="F14" s="26" t="s">
        <v>24</v>
      </c>
      <c r="G14" s="14">
        <v>0</v>
      </c>
      <c r="H14" s="92">
        <f>IF(B$19=0,0,G14/B$19)</f>
        <v>0</v>
      </c>
      <c r="I14" s="60">
        <v>10</v>
      </c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5">
      <c r="A15" s="24" t="s">
        <v>121</v>
      </c>
      <c r="B15" s="17">
        <v>19</v>
      </c>
      <c r="C15" s="12">
        <f>IF(B$3=0,0,B15/B$3)</f>
        <v>0.29230769230769232</v>
      </c>
      <c r="E15" s="29" t="s">
        <v>70</v>
      </c>
      <c r="F15" s="26" t="s">
        <v>25</v>
      </c>
      <c r="G15" s="14">
        <v>0</v>
      </c>
      <c r="H15" s="92">
        <f>IF(B$19=0,0,G15/B$19)</f>
        <v>0</v>
      </c>
      <c r="I15" s="60">
        <v>9</v>
      </c>
      <c r="N15" s="77" t="s">
        <v>194</v>
      </c>
      <c r="O15" s="86">
        <f>IF(P15=0,0,Q15/P15)</f>
        <v>20.5</v>
      </c>
      <c r="P15" s="80">
        <v>1</v>
      </c>
      <c r="Q15" s="71">
        <v>20.5</v>
      </c>
    </row>
    <row r="16" spans="1:17" x14ac:dyDescent="0.45">
      <c r="A16" s="21" t="s">
        <v>118</v>
      </c>
      <c r="B16" s="14">
        <v>9</v>
      </c>
      <c r="C16" s="8">
        <f>IF(B$3=0,0,B16/B$3)</f>
        <v>0.13846153846153847</v>
      </c>
      <c r="E16" s="29" t="s">
        <v>74</v>
      </c>
      <c r="F16" s="26" t="s">
        <v>29</v>
      </c>
      <c r="G16" s="14">
        <v>0</v>
      </c>
      <c r="H16" s="92">
        <f>IF(B$19=0,0,G16/B$19)</f>
        <v>0</v>
      </c>
      <c r="I16" s="60">
        <v>1</v>
      </c>
      <c r="N16" s="78" t="s">
        <v>192</v>
      </c>
      <c r="O16" s="87">
        <f>IF(P16=0,0,Q16/P16)</f>
        <v>19.342857142857149</v>
      </c>
      <c r="P16" s="81">
        <v>7</v>
      </c>
      <c r="Q16" s="72">
        <v>135.40000000000003</v>
      </c>
    </row>
    <row r="17" spans="1:17" x14ac:dyDescent="0.45">
      <c r="A17" s="20" t="s">
        <v>123</v>
      </c>
      <c r="B17" s="13">
        <f>B23</f>
        <v>13</v>
      </c>
      <c r="C17" s="6">
        <f>IF(B$15=0,0,B17/B$15)</f>
        <v>0.68421052631578949</v>
      </c>
      <c r="E17" s="29" t="s">
        <v>75</v>
      </c>
      <c r="F17" s="26" t="s">
        <v>30</v>
      </c>
      <c r="G17" s="14">
        <v>0</v>
      </c>
      <c r="H17" s="92">
        <f>IF(B$19=0,0,G17/B$19)</f>
        <v>0</v>
      </c>
      <c r="I17" s="60">
        <v>4</v>
      </c>
      <c r="N17" s="78" t="s">
        <v>164</v>
      </c>
      <c r="O17" s="87">
        <f>IF(P17=0,0,Q17/P17)</f>
        <v>0.29999999999999832</v>
      </c>
      <c r="P17" s="81">
        <v>3</v>
      </c>
      <c r="Q17" s="72">
        <v>0.89999999999999503</v>
      </c>
    </row>
    <row r="18" spans="1:17" x14ac:dyDescent="0.45">
      <c r="A18" s="20" t="s">
        <v>124</v>
      </c>
      <c r="B18" s="13">
        <f>B24</f>
        <v>3</v>
      </c>
      <c r="C18" s="6">
        <f>IF(B$16=0,0,B18/B$16)</f>
        <v>0.33333333333333331</v>
      </c>
      <c r="E18" s="29" t="s">
        <v>76</v>
      </c>
      <c r="F18" s="26" t="s">
        <v>31</v>
      </c>
      <c r="G18" s="14">
        <v>0</v>
      </c>
      <c r="H18" s="92">
        <f>IF(B$19=0,0,G18/B$19)</f>
        <v>0</v>
      </c>
      <c r="I18" s="60">
        <v>1</v>
      </c>
      <c r="N18" s="78" t="s">
        <v>193</v>
      </c>
      <c r="O18" s="87">
        <f>IF(P18=0,0,Q18/P18)</f>
        <v>-21.5</v>
      </c>
      <c r="P18" s="81">
        <v>3</v>
      </c>
      <c r="Q18" s="72">
        <v>-64.5</v>
      </c>
    </row>
    <row r="19" spans="1:17" x14ac:dyDescent="0.45">
      <c r="A19" s="20" t="s">
        <v>10</v>
      </c>
      <c r="B19" s="13">
        <f>B22+B21</f>
        <v>17</v>
      </c>
      <c r="C19" s="6">
        <f>IF(B$3=0,0,B19/B$3)</f>
        <v>0.26153846153846155</v>
      </c>
      <c r="E19" s="29" t="s">
        <v>78</v>
      </c>
      <c r="F19" s="26" t="s">
        <v>33</v>
      </c>
      <c r="G19" s="14">
        <v>0</v>
      </c>
      <c r="H19" s="92">
        <f>IF(B$19=0,0,G19/B$19)</f>
        <v>0</v>
      </c>
      <c r="I19" s="60">
        <v>9</v>
      </c>
      <c r="N19" s="78" t="s">
        <v>126</v>
      </c>
      <c r="O19" s="87">
        <f>IF(P19=0,0,Q19/P19)</f>
        <v>-34.9</v>
      </c>
      <c r="P19" s="81">
        <v>2</v>
      </c>
      <c r="Q19" s="72">
        <v>-69.8</v>
      </c>
    </row>
    <row r="20" spans="1:17" x14ac:dyDescent="0.45">
      <c r="A20" s="21" t="s">
        <v>13</v>
      </c>
      <c r="B20" s="14">
        <v>5</v>
      </c>
      <c r="C20" s="8">
        <f>IF(B$3=0,0,B20/B$3)</f>
        <v>7.6923076923076927E-2</v>
      </c>
      <c r="E20" s="29" t="s">
        <v>79</v>
      </c>
      <c r="F20" s="26" t="s">
        <v>34</v>
      </c>
      <c r="G20" s="14">
        <v>0</v>
      </c>
      <c r="H20" s="92">
        <f>IF(B$19=0,0,G20/B$19)</f>
        <v>0</v>
      </c>
      <c r="I20" s="60">
        <v>6</v>
      </c>
    </row>
    <row r="21" spans="1:17" x14ac:dyDescent="0.45">
      <c r="A21" s="21" t="s">
        <v>12</v>
      </c>
      <c r="B21" s="14">
        <v>9</v>
      </c>
      <c r="C21" s="8">
        <f>IF(B$19=0,0,B21/B$19)</f>
        <v>0.52941176470588236</v>
      </c>
      <c r="E21" s="29" t="s">
        <v>80</v>
      </c>
      <c r="F21" s="26" t="s">
        <v>35</v>
      </c>
      <c r="G21" s="14">
        <v>0</v>
      </c>
      <c r="H21" s="92">
        <f>IF(B$19=0,0,G21/B$19)</f>
        <v>0</v>
      </c>
      <c r="I21" s="60">
        <v>1</v>
      </c>
    </row>
    <row r="22" spans="1:17" x14ac:dyDescent="0.45">
      <c r="A22" s="21" t="s">
        <v>11</v>
      </c>
      <c r="B22" s="14">
        <v>8</v>
      </c>
      <c r="C22" s="8">
        <f>IF(B$19=0,0,B22/B$19)</f>
        <v>0.47058823529411764</v>
      </c>
      <c r="E22" s="29" t="s">
        <v>81</v>
      </c>
      <c r="F22" s="26" t="s">
        <v>36</v>
      </c>
      <c r="G22" s="14">
        <v>0</v>
      </c>
      <c r="H22" s="92">
        <f>IF(B$19=0,0,G22/B$19)</f>
        <v>0</v>
      </c>
      <c r="I22" s="60">
        <v>8</v>
      </c>
    </row>
    <row r="23" spans="1:17" x14ac:dyDescent="0.45">
      <c r="A23" s="21" t="s">
        <v>184</v>
      </c>
      <c r="B23" s="14">
        <v>13</v>
      </c>
      <c r="C23" s="8">
        <f>IF(B$19=0,0,B23/B$19)</f>
        <v>0.76470588235294112</v>
      </c>
      <c r="E23" s="29" t="s">
        <v>82</v>
      </c>
      <c r="F23" s="26" t="s">
        <v>37</v>
      </c>
      <c r="G23" s="14">
        <v>0</v>
      </c>
      <c r="H23" s="92">
        <f>IF(B$19=0,0,G23/B$19)</f>
        <v>0</v>
      </c>
      <c r="I23" s="60">
        <v>1</v>
      </c>
    </row>
    <row r="24" spans="1:17" x14ac:dyDescent="0.45">
      <c r="A24" s="21" t="s">
        <v>182</v>
      </c>
      <c r="B24" s="14">
        <v>3</v>
      </c>
      <c r="C24" s="8">
        <f>IF(B$19=0,0,B24/B$19)</f>
        <v>0.17647058823529413</v>
      </c>
      <c r="E24" s="29" t="s">
        <v>83</v>
      </c>
      <c r="F24" s="26" t="s">
        <v>38</v>
      </c>
      <c r="G24" s="14">
        <v>0</v>
      </c>
      <c r="H24" s="92">
        <f>IF(B$19=0,0,G24/B$19)</f>
        <v>0</v>
      </c>
      <c r="I24" s="60">
        <v>8</v>
      </c>
    </row>
    <row r="25" spans="1:17" x14ac:dyDescent="0.45">
      <c r="A25" s="21" t="s">
        <v>183</v>
      </c>
      <c r="B25" s="14">
        <v>1</v>
      </c>
      <c r="C25" s="8">
        <f>IF(B$19=0,0,B25/B$19)</f>
        <v>5.8823529411764705E-2</v>
      </c>
      <c r="E25" s="29" t="s">
        <v>84</v>
      </c>
      <c r="F25" s="26" t="s">
        <v>39</v>
      </c>
      <c r="G25" s="14">
        <v>0</v>
      </c>
      <c r="H25" s="92">
        <f>IF(B$19=0,0,G25/B$19)</f>
        <v>0</v>
      </c>
      <c r="I25" s="60">
        <v>3</v>
      </c>
    </row>
    <row r="26" spans="1:17" x14ac:dyDescent="0.45">
      <c r="A26" s="21" t="s">
        <v>5</v>
      </c>
      <c r="B26" s="18">
        <f>IF(B$19=0,0,C26/B$19)</f>
        <v>7964.7058823529414</v>
      </c>
      <c r="C26" s="10">
        <v>135400</v>
      </c>
      <c r="E26" s="29" t="s">
        <v>85</v>
      </c>
      <c r="F26" s="26" t="s">
        <v>40</v>
      </c>
      <c r="G26" s="14">
        <v>0</v>
      </c>
      <c r="H26" s="92">
        <f>IF(B$19=0,0,G26/B$19)</f>
        <v>0</v>
      </c>
      <c r="I26" s="60">
        <v>4</v>
      </c>
    </row>
    <row r="27" spans="1:17" x14ac:dyDescent="0.45">
      <c r="A27" s="22" t="s">
        <v>166</v>
      </c>
      <c r="B27" s="99">
        <f>IF($B$19-B$18=0,0,C27/($B$19-B$18))</f>
        <v>8221.4285714285706</v>
      </c>
      <c r="C27" s="100">
        <v>115100</v>
      </c>
      <c r="E27" s="29" t="s">
        <v>87</v>
      </c>
      <c r="F27" s="26" t="s">
        <v>42</v>
      </c>
      <c r="G27" s="14">
        <v>0</v>
      </c>
      <c r="H27" s="92">
        <f>IF(B$19=0,0,G27/B$19)</f>
        <v>0</v>
      </c>
      <c r="I27" s="60">
        <v>4</v>
      </c>
    </row>
    <row r="28" spans="1:17" x14ac:dyDescent="0.45">
      <c r="A28" s="22" t="s">
        <v>167</v>
      </c>
      <c r="B28" s="99">
        <f>IF(B$18=0,0,C28/B$18)</f>
        <v>6766.666666666667</v>
      </c>
      <c r="C28" s="100">
        <v>20300</v>
      </c>
      <c r="E28" s="29" t="s">
        <v>88</v>
      </c>
      <c r="F28" s="26" t="s">
        <v>43</v>
      </c>
      <c r="G28" s="14">
        <v>0</v>
      </c>
      <c r="H28" s="92">
        <f>IF(B$19=0,0,G28/B$19)</f>
        <v>0</v>
      </c>
      <c r="I28" s="60">
        <v>3</v>
      </c>
    </row>
    <row r="29" spans="1:17" x14ac:dyDescent="0.45">
      <c r="A29" s="22" t="s">
        <v>165</v>
      </c>
      <c r="B29" s="99">
        <f>IF(B$20=0,0,C29/B$20)</f>
        <v>-4300</v>
      </c>
      <c r="C29" s="100">
        <v>-21500</v>
      </c>
      <c r="E29" s="29" t="s">
        <v>90</v>
      </c>
      <c r="F29" s="26" t="s">
        <v>45</v>
      </c>
      <c r="G29" s="14">
        <v>0</v>
      </c>
      <c r="H29" s="92">
        <f>IF(B$19=0,0,G29/B$19)</f>
        <v>0</v>
      </c>
      <c r="I29" s="60">
        <v>1</v>
      </c>
    </row>
    <row r="30" spans="1:17" x14ac:dyDescent="0.45">
      <c r="A30" s="21" t="s">
        <v>158</v>
      </c>
      <c r="B30" s="14">
        <v>3</v>
      </c>
      <c r="C30" s="94">
        <v>1</v>
      </c>
      <c r="E30" s="29" t="s">
        <v>91</v>
      </c>
      <c r="F30" s="26" t="s">
        <v>46</v>
      </c>
      <c r="G30" s="14">
        <v>0</v>
      </c>
      <c r="H30" s="92">
        <f>IF(B$19=0,0,G30/B$19)</f>
        <v>0</v>
      </c>
      <c r="I30" s="60">
        <v>6</v>
      </c>
    </row>
    <row r="31" spans="1:17" x14ac:dyDescent="0.45">
      <c r="A31" s="21" t="s">
        <v>159</v>
      </c>
      <c r="B31" s="14">
        <v>18</v>
      </c>
      <c r="C31" s="94">
        <v>15</v>
      </c>
      <c r="E31" s="29" t="s">
        <v>92</v>
      </c>
      <c r="F31" s="26" t="s">
        <v>47</v>
      </c>
      <c r="G31" s="14">
        <v>0</v>
      </c>
      <c r="H31" s="92">
        <f>IF(B$19=0,0,G31/B$19)</f>
        <v>0</v>
      </c>
      <c r="I31" s="60">
        <v>7</v>
      </c>
    </row>
    <row r="32" spans="1:17" x14ac:dyDescent="0.45">
      <c r="A32" s="56" t="s">
        <v>136</v>
      </c>
      <c r="B32" s="125">
        <v>4</v>
      </c>
      <c r="C32" s="126"/>
      <c r="E32" s="29" t="s">
        <v>93</v>
      </c>
      <c r="F32" s="26" t="s">
        <v>48</v>
      </c>
      <c r="G32" s="14">
        <v>0</v>
      </c>
      <c r="H32" s="92">
        <f>IF(B$19=0,0,G32/B$19)</f>
        <v>0</v>
      </c>
      <c r="I32" s="60">
        <v>3</v>
      </c>
    </row>
    <row r="33" spans="1:9" x14ac:dyDescent="0.45">
      <c r="A33" s="24" t="s">
        <v>181</v>
      </c>
      <c r="B33" s="127">
        <v>89000</v>
      </c>
      <c r="C33" s="128"/>
      <c r="E33" s="29" t="s">
        <v>94</v>
      </c>
      <c r="F33" s="26" t="s">
        <v>49</v>
      </c>
      <c r="G33" s="14">
        <v>0</v>
      </c>
      <c r="H33" s="92">
        <f>IF(B$19=0,0,G33/B$19)</f>
        <v>0</v>
      </c>
      <c r="I33" s="60">
        <v>1</v>
      </c>
    </row>
    <row r="34" spans="1:9" x14ac:dyDescent="0.45">
      <c r="A34" s="23" t="s">
        <v>137</v>
      </c>
      <c r="B34" s="31">
        <v>0</v>
      </c>
      <c r="C34" s="11">
        <f>IF(B$3=0,0,B34/B$3)</f>
        <v>0</v>
      </c>
      <c r="E34" s="29" t="s">
        <v>95</v>
      </c>
      <c r="F34" s="26" t="s">
        <v>50</v>
      </c>
      <c r="G34" s="14">
        <v>0</v>
      </c>
      <c r="H34" s="92">
        <f>IF(B$19=0,0,G34/B$19)</f>
        <v>0</v>
      </c>
      <c r="I34" s="60">
        <v>3</v>
      </c>
    </row>
    <row r="35" spans="1:9" x14ac:dyDescent="0.45">
      <c r="E35" s="29" t="s">
        <v>96</v>
      </c>
      <c r="F35" s="26" t="s">
        <v>51</v>
      </c>
      <c r="G35" s="14">
        <v>0</v>
      </c>
      <c r="H35" s="92">
        <f>IF(B$19=0,0,G35/B$19)</f>
        <v>0</v>
      </c>
      <c r="I35" s="60">
        <v>1</v>
      </c>
    </row>
    <row r="36" spans="1:9" x14ac:dyDescent="0.45">
      <c r="A36" s="56" t="s">
        <v>172</v>
      </c>
      <c r="B36" s="121">
        <v>2</v>
      </c>
      <c r="C36" s="102">
        <f t="shared" ref="C36:C48" si="2">IF(B$19=0,0,B36/B$19)</f>
        <v>0.11764705882352941</v>
      </c>
      <c r="E36" s="29" t="s">
        <v>97</v>
      </c>
      <c r="F36" s="26" t="s">
        <v>52</v>
      </c>
      <c r="G36" s="14">
        <v>0</v>
      </c>
      <c r="H36" s="92">
        <f>IF(B$19=0,0,G36/B$19)</f>
        <v>0</v>
      </c>
      <c r="I36" s="60">
        <v>3</v>
      </c>
    </row>
    <row r="37" spans="1:9" x14ac:dyDescent="0.45">
      <c r="A37" s="21" t="s">
        <v>168</v>
      </c>
      <c r="B37" s="14">
        <v>3</v>
      </c>
      <c r="C37" s="8">
        <f t="shared" si="2"/>
        <v>0.17647058823529413</v>
      </c>
      <c r="E37" s="29" t="s">
        <v>98</v>
      </c>
      <c r="F37" s="26" t="s">
        <v>53</v>
      </c>
      <c r="G37" s="14">
        <v>0</v>
      </c>
      <c r="H37" s="92">
        <f>IF(B$19=0,0,G37/B$19)</f>
        <v>0</v>
      </c>
      <c r="I37" s="60">
        <v>1</v>
      </c>
    </row>
    <row r="38" spans="1:9" x14ac:dyDescent="0.45">
      <c r="A38" s="21" t="s">
        <v>169</v>
      </c>
      <c r="B38" s="122">
        <v>5</v>
      </c>
      <c r="C38" s="8">
        <f t="shared" si="2"/>
        <v>0.29411764705882354</v>
      </c>
      <c r="E38" s="29" t="s">
        <v>99</v>
      </c>
      <c r="F38" s="26" t="s">
        <v>54</v>
      </c>
      <c r="G38" s="14">
        <v>0</v>
      </c>
      <c r="H38" s="92">
        <f>IF(B$19=0,0,G38/B$19)</f>
        <v>0</v>
      </c>
      <c r="I38" s="60">
        <v>1</v>
      </c>
    </row>
    <row r="39" spans="1:9" x14ac:dyDescent="0.45">
      <c r="A39" s="21" t="s">
        <v>170</v>
      </c>
      <c r="B39" s="122">
        <v>3</v>
      </c>
      <c r="C39" s="8">
        <f t="shared" si="2"/>
        <v>0.17647058823529413</v>
      </c>
      <c r="E39" s="29" t="s">
        <v>100</v>
      </c>
      <c r="F39" s="26" t="s">
        <v>55</v>
      </c>
      <c r="G39" s="14">
        <v>0</v>
      </c>
      <c r="H39" s="92">
        <f>IF(B$19=0,0,G39/B$19)</f>
        <v>0</v>
      </c>
      <c r="I39" s="60">
        <v>1</v>
      </c>
    </row>
    <row r="40" spans="1:9" x14ac:dyDescent="0.45">
      <c r="A40" s="21" t="s">
        <v>171</v>
      </c>
      <c r="B40" s="122">
        <v>1</v>
      </c>
      <c r="C40" s="8">
        <f t="shared" si="2"/>
        <v>5.8823529411764705E-2</v>
      </c>
      <c r="E40" s="29" t="s">
        <v>101</v>
      </c>
      <c r="F40" s="26" t="s">
        <v>56</v>
      </c>
      <c r="G40" s="14">
        <v>0</v>
      </c>
      <c r="H40" s="92">
        <f>IF(B$19=0,0,G40/B$19)</f>
        <v>0</v>
      </c>
      <c r="I40" s="60">
        <v>1</v>
      </c>
    </row>
    <row r="41" spans="1:9" x14ac:dyDescent="0.45">
      <c r="A41" s="21" t="s">
        <v>173</v>
      </c>
      <c r="B41" s="122">
        <v>2</v>
      </c>
      <c r="C41" s="8">
        <f t="shared" si="2"/>
        <v>0.11764705882352941</v>
      </c>
      <c r="E41" s="29" t="s">
        <v>102</v>
      </c>
      <c r="F41" s="26" t="s">
        <v>57</v>
      </c>
      <c r="G41" s="14">
        <v>0</v>
      </c>
      <c r="H41" s="92">
        <f>IF(B$19=0,0,G41/B$19)</f>
        <v>0</v>
      </c>
      <c r="I41" s="60">
        <v>3</v>
      </c>
    </row>
    <row r="42" spans="1:9" x14ac:dyDescent="0.45">
      <c r="A42" s="21" t="s">
        <v>174</v>
      </c>
      <c r="B42" s="122">
        <v>0</v>
      </c>
      <c r="C42" s="8">
        <f t="shared" si="2"/>
        <v>0</v>
      </c>
      <c r="E42" s="29" t="s">
        <v>103</v>
      </c>
      <c r="F42" s="26" t="s">
        <v>58</v>
      </c>
      <c r="G42" s="14">
        <v>0</v>
      </c>
      <c r="H42" s="92">
        <f>IF(B$19=0,0,G42/B$19)</f>
        <v>0</v>
      </c>
      <c r="I42" s="60">
        <v>1</v>
      </c>
    </row>
    <row r="43" spans="1:9" x14ac:dyDescent="0.45">
      <c r="A43" s="21" t="s">
        <v>175</v>
      </c>
      <c r="B43" s="122">
        <v>0</v>
      </c>
      <c r="C43" s="8">
        <f t="shared" si="2"/>
        <v>0</v>
      </c>
      <c r="E43" s="29" t="s">
        <v>104</v>
      </c>
      <c r="F43" s="26" t="s">
        <v>59</v>
      </c>
      <c r="G43" s="14">
        <v>0</v>
      </c>
      <c r="H43" s="92">
        <f>IF(B$19=0,0,G43/B$19)</f>
        <v>0</v>
      </c>
      <c r="I43" s="60">
        <v>1</v>
      </c>
    </row>
    <row r="44" spans="1:9" x14ac:dyDescent="0.45">
      <c r="A44" s="21" t="s">
        <v>176</v>
      </c>
      <c r="B44" s="122">
        <v>1</v>
      </c>
      <c r="C44" s="8">
        <f t="shared" si="2"/>
        <v>5.8823529411764705E-2</v>
      </c>
      <c r="E44" s="29" t="s">
        <v>105</v>
      </c>
      <c r="F44" s="26" t="s">
        <v>112</v>
      </c>
      <c r="G44" s="14">
        <v>0</v>
      </c>
      <c r="H44" s="92">
        <f>IF(B$19=0,0,G44/B$19)</f>
        <v>0</v>
      </c>
      <c r="I44" s="60">
        <v>1</v>
      </c>
    </row>
    <row r="45" spans="1:9" x14ac:dyDescent="0.45">
      <c r="A45" s="21" t="s">
        <v>177</v>
      </c>
      <c r="B45" s="122">
        <v>0</v>
      </c>
      <c r="C45" s="8">
        <f t="shared" si="2"/>
        <v>0</v>
      </c>
      <c r="E45" s="29" t="s">
        <v>106</v>
      </c>
      <c r="F45" s="26" t="s">
        <v>113</v>
      </c>
      <c r="G45" s="14">
        <v>0</v>
      </c>
      <c r="H45" s="92">
        <f>IF(B$19=0,0,G45/B$19)</f>
        <v>0</v>
      </c>
      <c r="I45" s="60">
        <v>1</v>
      </c>
    </row>
    <row r="46" spans="1:9" x14ac:dyDescent="0.45">
      <c r="A46" s="21" t="s">
        <v>178</v>
      </c>
      <c r="B46" s="122">
        <v>0</v>
      </c>
      <c r="C46" s="8">
        <f t="shared" si="2"/>
        <v>0</v>
      </c>
      <c r="E46" s="29" t="s">
        <v>107</v>
      </c>
      <c r="F46" s="26" t="s">
        <v>114</v>
      </c>
      <c r="G46" s="14">
        <v>0</v>
      </c>
      <c r="H46" s="92">
        <f>IF(B$19=0,0,G46/B$19)</f>
        <v>0</v>
      </c>
      <c r="I46" s="60">
        <v>1</v>
      </c>
    </row>
    <row r="47" spans="1:9" x14ac:dyDescent="0.45">
      <c r="A47" s="21" t="s">
        <v>179</v>
      </c>
      <c r="B47" s="122">
        <v>0</v>
      </c>
      <c r="C47" s="8">
        <f t="shared" si="2"/>
        <v>0</v>
      </c>
      <c r="E47" s="29" t="s">
        <v>108</v>
      </c>
      <c r="F47" s="26" t="s">
        <v>60</v>
      </c>
      <c r="G47" s="14">
        <v>0</v>
      </c>
      <c r="H47" s="92">
        <f>IF(B$19=0,0,G47/B$19)</f>
        <v>0</v>
      </c>
      <c r="I47" s="60">
        <v>1</v>
      </c>
    </row>
    <row r="48" spans="1:9" x14ac:dyDescent="0.45">
      <c r="A48" s="23" t="s">
        <v>180</v>
      </c>
      <c r="B48" s="101">
        <v>0</v>
      </c>
      <c r="C48" s="11">
        <f t="shared" si="2"/>
        <v>0</v>
      </c>
      <c r="E48" s="29" t="s">
        <v>109</v>
      </c>
      <c r="F48" s="26" t="s">
        <v>61</v>
      </c>
      <c r="G48" s="14">
        <v>0</v>
      </c>
      <c r="H48" s="92">
        <f>IF(B$19=0,0,G48/B$19)</f>
        <v>0</v>
      </c>
      <c r="I48" s="60">
        <v>1</v>
      </c>
    </row>
    <row r="49" spans="5:9" x14ac:dyDescent="0.45">
      <c r="E49" s="29" t="s">
        <v>110</v>
      </c>
      <c r="F49" s="26" t="s">
        <v>62</v>
      </c>
      <c r="G49" s="14">
        <v>0</v>
      </c>
      <c r="H49" s="92">
        <f>IF(B$19=0,0,G49/B$19)</f>
        <v>0</v>
      </c>
      <c r="I49" s="60">
        <v>1</v>
      </c>
    </row>
    <row r="50" spans="5:9" x14ac:dyDescent="0.45">
      <c r="E50" s="29" t="s">
        <v>111</v>
      </c>
      <c r="F50" s="26" t="s">
        <v>63</v>
      </c>
      <c r="G50" s="14">
        <v>0</v>
      </c>
      <c r="H50" s="92">
        <f>IF(B$19=0,0,G50/B$19)</f>
        <v>0</v>
      </c>
      <c r="I50" s="60">
        <v>1</v>
      </c>
    </row>
    <row r="51" spans="5:9" x14ac:dyDescent="0.45">
      <c r="E51" s="95" t="s">
        <v>156</v>
      </c>
      <c r="F51" s="96" t="s">
        <v>157</v>
      </c>
      <c r="G51" s="15">
        <v>0</v>
      </c>
      <c r="H51" s="97">
        <f>IF(B$19=0,0,G51/B$19)</f>
        <v>0</v>
      </c>
      <c r="I51" s="98">
        <v>6</v>
      </c>
    </row>
    <row r="52" spans="5:9" x14ac:dyDescent="0.45">
      <c r="E52" s="30" t="s">
        <v>162</v>
      </c>
      <c r="F52" s="27" t="s">
        <v>163</v>
      </c>
      <c r="G52" s="16">
        <v>0</v>
      </c>
      <c r="H52" s="93">
        <f>IF(B$19=0,0,G52/B$19)</f>
        <v>0</v>
      </c>
      <c r="I52" s="61">
        <v>1</v>
      </c>
    </row>
  </sheetData>
  <sortState xmlns:xlrd2="http://schemas.microsoft.com/office/spreadsheetml/2017/richdata2" ref="E2:I53">
    <sortCondition descending="1" ref="H1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8F11D9-06F1-4160-901B-87898ED5DA9E}">
  <sheetPr codeName="Sheet21"/>
  <dimension ref="A1:Q52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29" t="s">
        <v>205</v>
      </c>
      <c r="C1" s="130"/>
      <c r="E1" s="108" t="s">
        <v>155</v>
      </c>
      <c r="F1" s="120" t="s">
        <v>115</v>
      </c>
      <c r="G1" s="119" t="s">
        <v>116</v>
      </c>
      <c r="H1" s="90" t="s">
        <v>117</v>
      </c>
      <c r="I1" s="120" t="s">
        <v>146</v>
      </c>
      <c r="K1" s="4" t="s">
        <v>19</v>
      </c>
      <c r="L1" s="120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5">
      <c r="A2" s="20" t="s">
        <v>9</v>
      </c>
      <c r="B2" s="131">
        <v>23</v>
      </c>
      <c r="C2" s="132"/>
      <c r="E2" s="28" t="s">
        <v>66</v>
      </c>
      <c r="F2" s="25" t="s">
        <v>22</v>
      </c>
      <c r="G2" s="13">
        <v>57</v>
      </c>
      <c r="H2" s="91">
        <f>IF(B$19=0,0,G2/B$19)</f>
        <v>0.96610169491525422</v>
      </c>
      <c r="I2" s="59">
        <v>1</v>
      </c>
      <c r="K2" s="5">
        <v>0</v>
      </c>
      <c r="L2" s="64">
        <v>0</v>
      </c>
      <c r="N2" s="77" t="s">
        <v>128</v>
      </c>
      <c r="O2" s="83">
        <f t="shared" ref="O2:O7" si="0">IF(P2=0,0,Q2/P2)</f>
        <v>1956.5217391304348</v>
      </c>
      <c r="P2" s="80">
        <v>23</v>
      </c>
      <c r="Q2" s="67">
        <v>45000</v>
      </c>
    </row>
    <row r="3" spans="1:17" x14ac:dyDescent="0.45">
      <c r="A3" s="21" t="s">
        <v>8</v>
      </c>
      <c r="B3" s="133">
        <v>183</v>
      </c>
      <c r="C3" s="134"/>
      <c r="E3" s="29" t="s">
        <v>72</v>
      </c>
      <c r="F3" s="26" t="s">
        <v>27</v>
      </c>
      <c r="G3" s="14">
        <v>38</v>
      </c>
      <c r="H3" s="92">
        <f>IF(B$19=0,0,G3/B$19)</f>
        <v>0.64406779661016944</v>
      </c>
      <c r="I3" s="60">
        <v>4</v>
      </c>
      <c r="K3" s="7">
        <v>1</v>
      </c>
      <c r="L3" s="65">
        <v>68.2</v>
      </c>
      <c r="N3" s="78" t="s">
        <v>129</v>
      </c>
      <c r="O3" s="84">
        <f t="shared" si="0"/>
        <v>-5736.363636363636</v>
      </c>
      <c r="P3" s="81">
        <v>22</v>
      </c>
      <c r="Q3" s="68">
        <v>-126200</v>
      </c>
    </row>
    <row r="4" spans="1:17" x14ac:dyDescent="0.45">
      <c r="A4" s="21" t="s">
        <v>6</v>
      </c>
      <c r="B4" s="135">
        <v>-83.9</v>
      </c>
      <c r="C4" s="136"/>
      <c r="E4" s="29" t="s">
        <v>64</v>
      </c>
      <c r="F4" s="26" t="s">
        <v>20</v>
      </c>
      <c r="G4" s="14">
        <v>21</v>
      </c>
      <c r="H4" s="92">
        <f>IF(B$19=0,0,G4/B$19)</f>
        <v>0.3559322033898305</v>
      </c>
      <c r="I4" s="60">
        <v>9</v>
      </c>
      <c r="K4" s="7">
        <v>2</v>
      </c>
      <c r="L4" s="65">
        <v>41.2</v>
      </c>
      <c r="N4" s="78" t="s">
        <v>130</v>
      </c>
      <c r="O4" s="84">
        <f t="shared" si="0"/>
        <v>-1490.4761904761904</v>
      </c>
      <c r="P4" s="81">
        <v>21</v>
      </c>
      <c r="Q4" s="68">
        <v>-31300</v>
      </c>
    </row>
    <row r="5" spans="1:17" x14ac:dyDescent="0.45">
      <c r="A5" s="21" t="s">
        <v>7</v>
      </c>
      <c r="B5" s="123">
        <f>IF(B$2=0,0,B$4/B$2)</f>
        <v>-3.6478260869565218</v>
      </c>
      <c r="C5" s="124"/>
      <c r="E5" s="29" t="s">
        <v>160</v>
      </c>
      <c r="F5" s="26" t="s">
        <v>161</v>
      </c>
      <c r="G5" s="14">
        <v>20</v>
      </c>
      <c r="H5" s="92">
        <f>IF(B$19=0,0,G5/B$19)</f>
        <v>0.33898305084745761</v>
      </c>
      <c r="I5" s="60">
        <v>9</v>
      </c>
      <c r="K5" s="7">
        <v>3</v>
      </c>
      <c r="L5" s="65">
        <v>8.9000000000000057</v>
      </c>
      <c r="N5" s="78" t="s">
        <v>131</v>
      </c>
      <c r="O5" s="84">
        <f t="shared" si="0"/>
        <v>-161.11111111111111</v>
      </c>
      <c r="P5" s="81">
        <v>18</v>
      </c>
      <c r="Q5" s="68">
        <v>-2900</v>
      </c>
    </row>
    <row r="6" spans="1:17" x14ac:dyDescent="0.45">
      <c r="A6" s="21" t="s">
        <v>1</v>
      </c>
      <c r="B6" s="137">
        <f>IF(B$2=0,0,(B$7*1+B$8*2+B$9*3)/B$2)</f>
        <v>2.1304347826086958</v>
      </c>
      <c r="C6" s="138"/>
      <c r="E6" s="29" t="s">
        <v>89</v>
      </c>
      <c r="F6" s="26" t="s">
        <v>44</v>
      </c>
      <c r="G6" s="14">
        <v>13</v>
      </c>
      <c r="H6" s="92">
        <f>IF(B$19=0,0,G6/B$19)</f>
        <v>0.22033898305084745</v>
      </c>
      <c r="I6" s="60">
        <v>1</v>
      </c>
      <c r="K6" s="7">
        <v>4</v>
      </c>
      <c r="L6" s="65">
        <v>-41.199999999999996</v>
      </c>
      <c r="N6" s="78" t="s">
        <v>132</v>
      </c>
      <c r="O6" s="84">
        <f t="shared" si="0"/>
        <v>1412.5</v>
      </c>
      <c r="P6" s="81">
        <v>16</v>
      </c>
      <c r="Q6" s="68">
        <v>22600</v>
      </c>
    </row>
    <row r="7" spans="1:17" x14ac:dyDescent="0.45">
      <c r="A7" s="21" t="s">
        <v>2</v>
      </c>
      <c r="B7" s="14">
        <v>7</v>
      </c>
      <c r="C7" s="8">
        <f t="shared" ref="C7:C14" si="1">IF(B$2=0,0,B7/B$2)</f>
        <v>0.30434782608695654</v>
      </c>
      <c r="E7" s="29" t="s">
        <v>68</v>
      </c>
      <c r="F7" s="26" t="s">
        <v>12</v>
      </c>
      <c r="G7" s="14">
        <v>12</v>
      </c>
      <c r="H7" s="92">
        <f>IF(B$19=0,0,G7/B$19)</f>
        <v>0.20338983050847459</v>
      </c>
      <c r="I7" s="60">
        <v>10</v>
      </c>
      <c r="K7" s="7">
        <v>5</v>
      </c>
      <c r="L7" s="65">
        <v>-72.899999999999991</v>
      </c>
      <c r="N7" s="79" t="s">
        <v>133</v>
      </c>
      <c r="O7" s="85">
        <f t="shared" si="0"/>
        <v>-1427.2727272727273</v>
      </c>
      <c r="P7" s="82">
        <v>11</v>
      </c>
      <c r="Q7" s="69">
        <v>-15700</v>
      </c>
    </row>
    <row r="8" spans="1:17" x14ac:dyDescent="0.45">
      <c r="A8" s="21" t="s">
        <v>3</v>
      </c>
      <c r="B8" s="14">
        <v>6</v>
      </c>
      <c r="C8" s="8">
        <f t="shared" si="1"/>
        <v>0.2608695652173913</v>
      </c>
      <c r="E8" s="29" t="s">
        <v>67</v>
      </c>
      <c r="F8" s="26" t="s">
        <v>23</v>
      </c>
      <c r="G8" s="14">
        <v>11</v>
      </c>
      <c r="H8" s="92">
        <f>IF(B$19=0,0,G8/B$19)</f>
        <v>0.1864406779661017</v>
      </c>
      <c r="I8" s="60">
        <v>9</v>
      </c>
      <c r="K8" s="7">
        <v>6</v>
      </c>
      <c r="L8" s="65">
        <v>-130</v>
      </c>
      <c r="N8" s="111"/>
      <c r="O8" s="89"/>
      <c r="P8" s="112"/>
      <c r="Q8" s="74"/>
    </row>
    <row r="9" spans="1:17" x14ac:dyDescent="0.45">
      <c r="A9" s="22" t="s">
        <v>4</v>
      </c>
      <c r="B9" s="15">
        <v>10</v>
      </c>
      <c r="C9" s="9">
        <f t="shared" si="1"/>
        <v>0.43478260869565216</v>
      </c>
      <c r="E9" s="29" t="s">
        <v>69</v>
      </c>
      <c r="F9" s="26" t="s">
        <v>24</v>
      </c>
      <c r="G9" s="14">
        <v>10</v>
      </c>
      <c r="H9" s="92">
        <f>IF(B$19=0,0,G9/B$19)</f>
        <v>0.16949152542372881</v>
      </c>
      <c r="I9" s="60">
        <v>2</v>
      </c>
      <c r="K9" s="7">
        <v>7</v>
      </c>
      <c r="L9" s="65">
        <v>-183</v>
      </c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5">
      <c r="A10" s="22" t="s">
        <v>185</v>
      </c>
      <c r="B10" s="113">
        <f>IF(B7=0,0,C10/B7)</f>
        <v>42</v>
      </c>
      <c r="C10" s="114">
        <v>294</v>
      </c>
      <c r="E10" s="29" t="s">
        <v>70</v>
      </c>
      <c r="F10" s="26" t="s">
        <v>25</v>
      </c>
      <c r="G10" s="14">
        <v>8</v>
      </c>
      <c r="H10" s="92">
        <f>IF(B$19=0,0,G10/B$19)</f>
        <v>0.13559322033898305</v>
      </c>
      <c r="I10" s="60">
        <v>1</v>
      </c>
      <c r="K10" s="7">
        <v>8</v>
      </c>
      <c r="L10" s="65">
        <v>-128.6</v>
      </c>
      <c r="N10" s="77" t="s">
        <v>152</v>
      </c>
      <c r="O10" s="86">
        <f>IF(P10=0,0,Q10/P10)</f>
        <v>-1.0124999999999997</v>
      </c>
      <c r="P10" s="80">
        <v>8</v>
      </c>
      <c r="Q10" s="71">
        <v>-8.0999999999999979</v>
      </c>
    </row>
    <row r="11" spans="1:17" x14ac:dyDescent="0.45">
      <c r="A11" s="22" t="s">
        <v>186</v>
      </c>
      <c r="B11" s="113">
        <f>IF(B8=0,0,C11/B8)</f>
        <v>-0.96666666666666667</v>
      </c>
      <c r="C11" s="114">
        <v>-5.8</v>
      </c>
      <c r="E11" s="29" t="s">
        <v>65</v>
      </c>
      <c r="F11" s="26" t="s">
        <v>21</v>
      </c>
      <c r="G11" s="14">
        <v>5</v>
      </c>
      <c r="H11" s="92">
        <f>IF(B$19=0,0,G11/B$19)</f>
        <v>8.4745762711864403E-2</v>
      </c>
      <c r="I11" s="60">
        <v>8</v>
      </c>
      <c r="K11" s="7">
        <v>9</v>
      </c>
      <c r="L11" s="65">
        <v>-120</v>
      </c>
      <c r="N11" s="78" t="s">
        <v>153</v>
      </c>
      <c r="O11" s="87">
        <f>IF(P11=0,0,Q11/P11)</f>
        <v>4.8499999999999996</v>
      </c>
      <c r="P11" s="81">
        <v>6</v>
      </c>
      <c r="Q11" s="72">
        <v>29.099999999999998</v>
      </c>
    </row>
    <row r="12" spans="1:17" x14ac:dyDescent="0.45">
      <c r="A12" s="22" t="s">
        <v>187</v>
      </c>
      <c r="B12" s="113">
        <f>IF(B9=0,0,C12/B9)</f>
        <v>-37.21</v>
      </c>
      <c r="C12" s="114">
        <v>-372.1</v>
      </c>
      <c r="E12" s="29" t="s">
        <v>83</v>
      </c>
      <c r="F12" s="26" t="s">
        <v>38</v>
      </c>
      <c r="G12" s="14">
        <v>5</v>
      </c>
      <c r="H12" s="92">
        <f>IF(B$19=0,0,G12/B$19)</f>
        <v>8.4745762711864403E-2</v>
      </c>
      <c r="I12" s="60">
        <v>2</v>
      </c>
      <c r="K12" s="7">
        <v>10</v>
      </c>
      <c r="L12" s="65">
        <v>-112.8</v>
      </c>
      <c r="N12" s="79" t="s">
        <v>154</v>
      </c>
      <c r="O12" s="88">
        <f>IF(P12=0,0,Q12/P12)</f>
        <v>-11.655555555555557</v>
      </c>
      <c r="P12" s="82">
        <v>9</v>
      </c>
      <c r="Q12" s="73">
        <v>-104.9</v>
      </c>
    </row>
    <row r="13" spans="1:17" x14ac:dyDescent="0.45">
      <c r="A13" s="22" t="s">
        <v>188</v>
      </c>
      <c r="B13" s="123">
        <f>AVERAGE(B10:B12)</f>
        <v>1.2744444444444436</v>
      </c>
      <c r="C13" s="124"/>
      <c r="E13" s="29" t="s">
        <v>71</v>
      </c>
      <c r="F13" s="26" t="s">
        <v>26</v>
      </c>
      <c r="G13" s="14">
        <v>3</v>
      </c>
      <c r="H13" s="92">
        <f>IF(B$19=0,0,G13/B$19)</f>
        <v>5.0847457627118647E-2</v>
      </c>
      <c r="I13" s="60">
        <v>8</v>
      </c>
      <c r="K13" s="7">
        <v>11</v>
      </c>
      <c r="L13" s="65">
        <v>-121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4</v>
      </c>
      <c r="C14" s="11">
        <f t="shared" si="1"/>
        <v>0.17391304347826086</v>
      </c>
      <c r="E14" s="29" t="s">
        <v>78</v>
      </c>
      <c r="F14" s="26" t="s">
        <v>33</v>
      </c>
      <c r="G14" s="14">
        <v>3</v>
      </c>
      <c r="H14" s="92">
        <f>IF(B$19=0,0,G14/B$19)</f>
        <v>5.0847457627118647E-2</v>
      </c>
      <c r="I14" s="60">
        <v>1</v>
      </c>
      <c r="K14" s="7">
        <v>12</v>
      </c>
      <c r="L14" s="65">
        <v>-108.5</v>
      </c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5">
      <c r="A15" s="24" t="s">
        <v>121</v>
      </c>
      <c r="B15" s="17">
        <v>34</v>
      </c>
      <c r="C15" s="12">
        <f>IF(B$3=0,0,B15/B$3)</f>
        <v>0.18579234972677597</v>
      </c>
      <c r="E15" s="29" t="s">
        <v>86</v>
      </c>
      <c r="F15" s="26" t="s">
        <v>41</v>
      </c>
      <c r="G15" s="14">
        <v>2</v>
      </c>
      <c r="H15" s="92">
        <f>IF(B$19=0,0,G15/B$19)</f>
        <v>3.3898305084745763E-2</v>
      </c>
      <c r="I15" s="60">
        <v>7</v>
      </c>
      <c r="K15" s="7">
        <v>13</v>
      </c>
      <c r="L15" s="65">
        <v>-63.4</v>
      </c>
      <c r="N15" s="77" t="s">
        <v>192</v>
      </c>
      <c r="O15" s="86">
        <f>IF(P15=0,0,Q15/P15)</f>
        <v>-0.53750000000000053</v>
      </c>
      <c r="P15" s="80">
        <v>8</v>
      </c>
      <c r="Q15" s="71">
        <v>-4.3000000000000043</v>
      </c>
    </row>
    <row r="16" spans="1:17" x14ac:dyDescent="0.45">
      <c r="A16" s="21" t="s">
        <v>118</v>
      </c>
      <c r="B16" s="14">
        <v>58</v>
      </c>
      <c r="C16" s="8">
        <f>IF(B$3=0,0,B16/B$3)</f>
        <v>0.31693989071038253</v>
      </c>
      <c r="E16" s="29" t="s">
        <v>81</v>
      </c>
      <c r="F16" s="26" t="s">
        <v>36</v>
      </c>
      <c r="G16" s="14">
        <v>1</v>
      </c>
      <c r="H16" s="92">
        <f>IF(B$19=0,0,G16/B$19)</f>
        <v>1.6949152542372881E-2</v>
      </c>
      <c r="I16" s="60">
        <v>7</v>
      </c>
      <c r="K16" s="7">
        <v>14</v>
      </c>
      <c r="L16" s="65">
        <v>-42.4</v>
      </c>
      <c r="N16" s="78" t="s">
        <v>126</v>
      </c>
      <c r="O16" s="87">
        <f>IF(P16=0,0,Q16/P16)</f>
        <v>-1.5200000000000025</v>
      </c>
      <c r="P16" s="81">
        <v>20</v>
      </c>
      <c r="Q16" s="72">
        <v>-30.400000000000048</v>
      </c>
    </row>
    <row r="17" spans="1:17" x14ac:dyDescent="0.45">
      <c r="A17" s="20" t="s">
        <v>123</v>
      </c>
      <c r="B17" s="13">
        <f>B23</f>
        <v>21</v>
      </c>
      <c r="C17" s="6">
        <f>IF(B$15=0,0,B17/B$15)</f>
        <v>0.61764705882352944</v>
      </c>
      <c r="E17" s="29" t="s">
        <v>92</v>
      </c>
      <c r="F17" s="26" t="s">
        <v>47</v>
      </c>
      <c r="G17" s="14">
        <v>1</v>
      </c>
      <c r="H17" s="92">
        <f>IF(B$19=0,0,G17/B$19)</f>
        <v>1.6949152542372881E-2</v>
      </c>
      <c r="I17" s="60">
        <v>4</v>
      </c>
      <c r="K17" s="7">
        <v>15</v>
      </c>
      <c r="L17" s="65">
        <v>-65.7</v>
      </c>
      <c r="N17" s="78" t="s">
        <v>194</v>
      </c>
      <c r="O17" s="87">
        <f>IF(P17=0,0,Q17/P17)</f>
        <v>-5.128571428571429</v>
      </c>
      <c r="P17" s="81">
        <v>7</v>
      </c>
      <c r="Q17" s="72">
        <v>-35.900000000000006</v>
      </c>
    </row>
    <row r="18" spans="1:17" x14ac:dyDescent="0.45">
      <c r="A18" s="20" t="s">
        <v>124</v>
      </c>
      <c r="B18" s="13">
        <f>B24</f>
        <v>17</v>
      </c>
      <c r="C18" s="6">
        <f>IF(B$16=0,0,B18/B$16)</f>
        <v>0.29310344827586204</v>
      </c>
      <c r="E18" s="29" t="s">
        <v>73</v>
      </c>
      <c r="F18" s="26" t="s">
        <v>28</v>
      </c>
      <c r="G18" s="14">
        <v>0</v>
      </c>
      <c r="H18" s="92">
        <f>IF(B$19=0,0,G18/B$19)</f>
        <v>0</v>
      </c>
      <c r="I18" s="60">
        <v>4</v>
      </c>
      <c r="K18" s="7">
        <v>16</v>
      </c>
      <c r="L18" s="65">
        <v>-104.80000000000001</v>
      </c>
      <c r="N18" s="78" t="s">
        <v>164</v>
      </c>
      <c r="O18" s="87">
        <f>IF(P18=0,0,Q18/P18)</f>
        <v>-12.34</v>
      </c>
      <c r="P18" s="81">
        <v>10</v>
      </c>
      <c r="Q18" s="72">
        <v>-123.4</v>
      </c>
    </row>
    <row r="19" spans="1:17" x14ac:dyDescent="0.45">
      <c r="A19" s="20" t="s">
        <v>10</v>
      </c>
      <c r="B19" s="13">
        <f>B22+B21</f>
        <v>59</v>
      </c>
      <c r="C19" s="6">
        <f>IF(B$3=0,0,B19/B$3)</f>
        <v>0.32240437158469948</v>
      </c>
      <c r="E19" s="29" t="s">
        <v>74</v>
      </c>
      <c r="F19" s="26" t="s">
        <v>29</v>
      </c>
      <c r="G19" s="14">
        <v>0</v>
      </c>
      <c r="H19" s="92">
        <f>IF(B$19=0,0,G19/B$19)</f>
        <v>0</v>
      </c>
      <c r="I19" s="60">
        <v>1</v>
      </c>
      <c r="K19" s="7">
        <v>17</v>
      </c>
      <c r="L19" s="65">
        <v>-52.900000000000013</v>
      </c>
      <c r="N19" s="78" t="s">
        <v>189</v>
      </c>
      <c r="O19" s="87">
        <f>IF(P19=0,0,Q19/P19)</f>
        <v>-57.7</v>
      </c>
      <c r="P19" s="81">
        <v>1</v>
      </c>
      <c r="Q19" s="72">
        <v>-57.7</v>
      </c>
    </row>
    <row r="20" spans="1:17" x14ac:dyDescent="0.45">
      <c r="A20" s="21" t="s">
        <v>13</v>
      </c>
      <c r="B20" s="14">
        <v>36</v>
      </c>
      <c r="C20" s="8">
        <f>IF(B$3=0,0,B20/B$3)</f>
        <v>0.19672131147540983</v>
      </c>
      <c r="E20" s="29" t="s">
        <v>75</v>
      </c>
      <c r="F20" s="26" t="s">
        <v>30</v>
      </c>
      <c r="G20" s="14">
        <v>0</v>
      </c>
      <c r="H20" s="92">
        <f>IF(B$19=0,0,G20/B$19)</f>
        <v>0</v>
      </c>
      <c r="I20" s="60">
        <v>4</v>
      </c>
      <c r="K20" s="7">
        <v>18</v>
      </c>
      <c r="L20" s="65">
        <v>-45.800000000000011</v>
      </c>
    </row>
    <row r="21" spans="1:17" x14ac:dyDescent="0.45">
      <c r="A21" s="21" t="s">
        <v>12</v>
      </c>
      <c r="B21" s="14">
        <v>22</v>
      </c>
      <c r="C21" s="8">
        <f>IF(B$19=0,0,B21/B$19)</f>
        <v>0.3728813559322034</v>
      </c>
      <c r="E21" s="29" t="s">
        <v>76</v>
      </c>
      <c r="F21" s="26" t="s">
        <v>31</v>
      </c>
      <c r="G21" s="14">
        <v>0</v>
      </c>
      <c r="H21" s="92">
        <f>IF(B$19=0,0,G21/B$19)</f>
        <v>0</v>
      </c>
      <c r="I21" s="60">
        <v>1</v>
      </c>
      <c r="K21" s="7">
        <v>19</v>
      </c>
      <c r="L21" s="65">
        <v>-67.600000000000009</v>
      </c>
    </row>
    <row r="22" spans="1:17" x14ac:dyDescent="0.45">
      <c r="A22" s="21" t="s">
        <v>11</v>
      </c>
      <c r="B22" s="14">
        <v>37</v>
      </c>
      <c r="C22" s="8">
        <f>IF(B$19=0,0,B22/B$19)</f>
        <v>0.6271186440677966</v>
      </c>
      <c r="E22" s="29" t="s">
        <v>77</v>
      </c>
      <c r="F22" s="26" t="s">
        <v>32</v>
      </c>
      <c r="G22" s="14">
        <v>0</v>
      </c>
      <c r="H22" s="92">
        <f>IF(B$19=0,0,G22/B$19)</f>
        <v>0</v>
      </c>
      <c r="I22" s="60">
        <v>4</v>
      </c>
      <c r="K22" s="7">
        <v>20</v>
      </c>
      <c r="L22" s="65">
        <v>-26.70000000000001</v>
      </c>
    </row>
    <row r="23" spans="1:17" x14ac:dyDescent="0.45">
      <c r="A23" s="21" t="s">
        <v>184</v>
      </c>
      <c r="B23" s="14">
        <v>21</v>
      </c>
      <c r="C23" s="8">
        <f>IF(B$19=0,0,B23/B$19)</f>
        <v>0.3559322033898305</v>
      </c>
      <c r="E23" s="29" t="s">
        <v>79</v>
      </c>
      <c r="F23" s="26" t="s">
        <v>34</v>
      </c>
      <c r="G23" s="14">
        <v>0</v>
      </c>
      <c r="H23" s="92">
        <f>IF(B$19=0,0,G23/B$19)</f>
        <v>0</v>
      </c>
      <c r="I23" s="60">
        <v>6</v>
      </c>
      <c r="K23" s="7">
        <v>21</v>
      </c>
      <c r="L23" s="65">
        <v>-41.20000000000001</v>
      </c>
    </row>
    <row r="24" spans="1:17" x14ac:dyDescent="0.45">
      <c r="A24" s="21" t="s">
        <v>182</v>
      </c>
      <c r="B24" s="14">
        <v>17</v>
      </c>
      <c r="C24" s="8">
        <f>IF(B$19=0,0,B24/B$19)</f>
        <v>0.28813559322033899</v>
      </c>
      <c r="E24" s="29" t="s">
        <v>80</v>
      </c>
      <c r="F24" s="26" t="s">
        <v>35</v>
      </c>
      <c r="G24" s="14">
        <v>0</v>
      </c>
      <c r="H24" s="92">
        <f>IF(B$19=0,0,G24/B$19)</f>
        <v>0</v>
      </c>
      <c r="I24" s="60">
        <v>1</v>
      </c>
      <c r="K24" s="7">
        <v>22</v>
      </c>
      <c r="L24" s="65">
        <v>-38.400000000000013</v>
      </c>
    </row>
    <row r="25" spans="1:17" x14ac:dyDescent="0.45">
      <c r="A25" s="21" t="s">
        <v>183</v>
      </c>
      <c r="B25" s="14">
        <v>21</v>
      </c>
      <c r="C25" s="8">
        <f>IF(B$19=0,0,B25/B$19)</f>
        <v>0.3559322033898305</v>
      </c>
      <c r="E25" s="29" t="s">
        <v>82</v>
      </c>
      <c r="F25" s="26" t="s">
        <v>37</v>
      </c>
      <c r="G25" s="14">
        <v>0</v>
      </c>
      <c r="H25" s="92">
        <f>IF(B$19=0,0,G25/B$19)</f>
        <v>0</v>
      </c>
      <c r="I25" s="60">
        <v>1</v>
      </c>
      <c r="K25" s="7">
        <v>23</v>
      </c>
      <c r="L25" s="65">
        <v>-83.9</v>
      </c>
    </row>
    <row r="26" spans="1:17" x14ac:dyDescent="0.45">
      <c r="A26" s="21" t="s">
        <v>5</v>
      </c>
      <c r="B26" s="18">
        <f>IF(B$19=0,0,C26/B$19)</f>
        <v>9116.9491525423728</v>
      </c>
      <c r="C26" s="10">
        <v>537900</v>
      </c>
      <c r="E26" s="29" t="s">
        <v>84</v>
      </c>
      <c r="F26" s="26" t="s">
        <v>39</v>
      </c>
      <c r="G26" s="14">
        <v>0</v>
      </c>
      <c r="H26" s="92">
        <f>IF(B$19=0,0,G26/B$19)</f>
        <v>0</v>
      </c>
      <c r="I26" s="60">
        <v>3</v>
      </c>
    </row>
    <row r="27" spans="1:17" x14ac:dyDescent="0.45">
      <c r="A27" s="22" t="s">
        <v>166</v>
      </c>
      <c r="B27" s="99">
        <f>IF($B$19-B$18=0,0,C27/($B$19-B$18))</f>
        <v>9011.9047619047615</v>
      </c>
      <c r="C27" s="100">
        <v>378500</v>
      </c>
      <c r="E27" s="29" t="s">
        <v>85</v>
      </c>
      <c r="F27" s="26" t="s">
        <v>40</v>
      </c>
      <c r="G27" s="14">
        <v>0</v>
      </c>
      <c r="H27" s="92">
        <f>IF(B$19=0,0,G27/B$19)</f>
        <v>0</v>
      </c>
      <c r="I27" s="60">
        <v>4</v>
      </c>
    </row>
    <row r="28" spans="1:17" x14ac:dyDescent="0.45">
      <c r="A28" s="22" t="s">
        <v>167</v>
      </c>
      <c r="B28" s="99">
        <f>IF(B$18=0,0,C28/B$18)</f>
        <v>9376.4705882352937</v>
      </c>
      <c r="C28" s="100">
        <v>159400</v>
      </c>
      <c r="E28" s="29" t="s">
        <v>87</v>
      </c>
      <c r="F28" s="26" t="s">
        <v>42</v>
      </c>
      <c r="G28" s="14">
        <v>0</v>
      </c>
      <c r="H28" s="92">
        <f>IF(B$19=0,0,G28/B$19)</f>
        <v>0</v>
      </c>
      <c r="I28" s="60">
        <v>4</v>
      </c>
    </row>
    <row r="29" spans="1:17" x14ac:dyDescent="0.45">
      <c r="A29" s="22" t="s">
        <v>165</v>
      </c>
      <c r="B29" s="99">
        <f>IF(B$20=0,0,C29/B$20)</f>
        <v>-9605.5555555555547</v>
      </c>
      <c r="C29" s="100">
        <v>-345800</v>
      </c>
      <c r="E29" s="29" t="s">
        <v>88</v>
      </c>
      <c r="F29" s="26" t="s">
        <v>43</v>
      </c>
      <c r="G29" s="14">
        <v>0</v>
      </c>
      <c r="H29" s="92">
        <f>IF(B$19=0,0,G29/B$19)</f>
        <v>0</v>
      </c>
      <c r="I29" s="60">
        <v>3</v>
      </c>
    </row>
    <row r="30" spans="1:17" x14ac:dyDescent="0.45">
      <c r="A30" s="21" t="s">
        <v>158</v>
      </c>
      <c r="B30" s="14">
        <v>4</v>
      </c>
      <c r="C30" s="94">
        <v>0</v>
      </c>
      <c r="E30" s="29" t="s">
        <v>90</v>
      </c>
      <c r="F30" s="26" t="s">
        <v>45</v>
      </c>
      <c r="G30" s="14">
        <v>0</v>
      </c>
      <c r="H30" s="92">
        <f>IF(B$19=0,0,G30/B$19)</f>
        <v>0</v>
      </c>
      <c r="I30" s="60">
        <v>1</v>
      </c>
    </row>
    <row r="31" spans="1:17" x14ac:dyDescent="0.45">
      <c r="A31" s="21" t="s">
        <v>159</v>
      </c>
      <c r="B31" s="14">
        <v>11</v>
      </c>
      <c r="C31" s="94">
        <v>0</v>
      </c>
      <c r="E31" s="29" t="s">
        <v>91</v>
      </c>
      <c r="F31" s="26" t="s">
        <v>46</v>
      </c>
      <c r="G31" s="14">
        <v>0</v>
      </c>
      <c r="H31" s="92">
        <f>IF(B$19=0,0,G31/B$19)</f>
        <v>0</v>
      </c>
      <c r="I31" s="60">
        <v>6</v>
      </c>
    </row>
    <row r="32" spans="1:17" x14ac:dyDescent="0.45">
      <c r="A32" s="56" t="s">
        <v>136</v>
      </c>
      <c r="B32" s="125">
        <v>6</v>
      </c>
      <c r="C32" s="126"/>
      <c r="E32" s="29" t="s">
        <v>93</v>
      </c>
      <c r="F32" s="26" t="s">
        <v>48</v>
      </c>
      <c r="G32" s="14">
        <v>0</v>
      </c>
      <c r="H32" s="92">
        <f>IF(B$19=0,0,G32/B$19)</f>
        <v>0</v>
      </c>
      <c r="I32" s="60">
        <v>3</v>
      </c>
    </row>
    <row r="33" spans="1:9" x14ac:dyDescent="0.45">
      <c r="A33" s="24" t="s">
        <v>181</v>
      </c>
      <c r="B33" s="127">
        <v>93200</v>
      </c>
      <c r="C33" s="128"/>
      <c r="E33" s="29" t="s">
        <v>94</v>
      </c>
      <c r="F33" s="26" t="s">
        <v>49</v>
      </c>
      <c r="G33" s="14">
        <v>0</v>
      </c>
      <c r="H33" s="92">
        <f>IF(B$19=0,0,G33/B$19)</f>
        <v>0</v>
      </c>
      <c r="I33" s="60">
        <v>1</v>
      </c>
    </row>
    <row r="34" spans="1:9" x14ac:dyDescent="0.45">
      <c r="A34" s="23" t="s">
        <v>137</v>
      </c>
      <c r="B34" s="31">
        <v>0</v>
      </c>
      <c r="C34" s="11">
        <f>IF(B$3=0,0,B34/B$3)</f>
        <v>0</v>
      </c>
      <c r="E34" s="29" t="s">
        <v>95</v>
      </c>
      <c r="F34" s="26" t="s">
        <v>50</v>
      </c>
      <c r="G34" s="14">
        <v>0</v>
      </c>
      <c r="H34" s="92">
        <f>IF(B$19=0,0,G34/B$19)</f>
        <v>0</v>
      </c>
      <c r="I34" s="60">
        <v>3</v>
      </c>
    </row>
    <row r="35" spans="1:9" x14ac:dyDescent="0.45">
      <c r="E35" s="29" t="s">
        <v>96</v>
      </c>
      <c r="F35" s="26" t="s">
        <v>51</v>
      </c>
      <c r="G35" s="14">
        <v>0</v>
      </c>
      <c r="H35" s="92">
        <f>IF(B$19=0,0,G35/B$19)</f>
        <v>0</v>
      </c>
      <c r="I35" s="60">
        <v>1</v>
      </c>
    </row>
    <row r="36" spans="1:9" x14ac:dyDescent="0.45">
      <c r="A36" s="56" t="s">
        <v>172</v>
      </c>
      <c r="B36" s="121">
        <v>5</v>
      </c>
      <c r="C36" s="102">
        <f t="shared" ref="C36:C48" si="2">IF(B$19=0,0,B36/B$19)</f>
        <v>8.4745762711864403E-2</v>
      </c>
      <c r="E36" s="29" t="s">
        <v>97</v>
      </c>
      <c r="F36" s="26" t="s">
        <v>52</v>
      </c>
      <c r="G36" s="14">
        <v>0</v>
      </c>
      <c r="H36" s="92">
        <f>IF(B$19=0,0,G36/B$19)</f>
        <v>0</v>
      </c>
      <c r="I36" s="60">
        <v>3</v>
      </c>
    </row>
    <row r="37" spans="1:9" x14ac:dyDescent="0.45">
      <c r="A37" s="21" t="s">
        <v>168</v>
      </c>
      <c r="B37" s="14">
        <v>15</v>
      </c>
      <c r="C37" s="8">
        <f t="shared" si="2"/>
        <v>0.25423728813559321</v>
      </c>
      <c r="E37" s="29" t="s">
        <v>98</v>
      </c>
      <c r="F37" s="26" t="s">
        <v>53</v>
      </c>
      <c r="G37" s="14">
        <v>0</v>
      </c>
      <c r="H37" s="92">
        <f>IF(B$19=0,0,G37/B$19)</f>
        <v>0</v>
      </c>
      <c r="I37" s="60">
        <v>1</v>
      </c>
    </row>
    <row r="38" spans="1:9" x14ac:dyDescent="0.45">
      <c r="A38" s="21" t="s">
        <v>169</v>
      </c>
      <c r="B38" s="122">
        <v>6</v>
      </c>
      <c r="C38" s="8">
        <f t="shared" si="2"/>
        <v>0.10169491525423729</v>
      </c>
      <c r="E38" s="29" t="s">
        <v>99</v>
      </c>
      <c r="F38" s="26" t="s">
        <v>54</v>
      </c>
      <c r="G38" s="14">
        <v>0</v>
      </c>
      <c r="H38" s="92">
        <f>IF(B$19=0,0,G38/B$19)</f>
        <v>0</v>
      </c>
      <c r="I38" s="60">
        <v>1</v>
      </c>
    </row>
    <row r="39" spans="1:9" x14ac:dyDescent="0.45">
      <c r="A39" s="21" t="s">
        <v>170</v>
      </c>
      <c r="B39" s="122">
        <v>12</v>
      </c>
      <c r="C39" s="8">
        <f t="shared" si="2"/>
        <v>0.20338983050847459</v>
      </c>
      <c r="E39" s="29" t="s">
        <v>100</v>
      </c>
      <c r="F39" s="26" t="s">
        <v>55</v>
      </c>
      <c r="G39" s="14">
        <v>0</v>
      </c>
      <c r="H39" s="92">
        <f>IF(B$19=0,0,G39/B$19)</f>
        <v>0</v>
      </c>
      <c r="I39" s="60">
        <v>1</v>
      </c>
    </row>
    <row r="40" spans="1:9" x14ac:dyDescent="0.45">
      <c r="A40" s="21" t="s">
        <v>171</v>
      </c>
      <c r="B40" s="122">
        <v>6</v>
      </c>
      <c r="C40" s="8">
        <f t="shared" si="2"/>
        <v>0.10169491525423729</v>
      </c>
      <c r="E40" s="29" t="s">
        <v>101</v>
      </c>
      <c r="F40" s="26" t="s">
        <v>56</v>
      </c>
      <c r="G40" s="14">
        <v>0</v>
      </c>
      <c r="H40" s="92">
        <f>IF(B$19=0,0,G40/B$19)</f>
        <v>0</v>
      </c>
      <c r="I40" s="60">
        <v>1</v>
      </c>
    </row>
    <row r="41" spans="1:9" x14ac:dyDescent="0.45">
      <c r="A41" s="21" t="s">
        <v>173</v>
      </c>
      <c r="B41" s="122">
        <v>5</v>
      </c>
      <c r="C41" s="8">
        <f t="shared" si="2"/>
        <v>8.4745762711864403E-2</v>
      </c>
      <c r="E41" s="29" t="s">
        <v>102</v>
      </c>
      <c r="F41" s="26" t="s">
        <v>57</v>
      </c>
      <c r="G41" s="14">
        <v>0</v>
      </c>
      <c r="H41" s="92">
        <f>IF(B$19=0,0,G41/B$19)</f>
        <v>0</v>
      </c>
      <c r="I41" s="60">
        <v>3</v>
      </c>
    </row>
    <row r="42" spans="1:9" x14ac:dyDescent="0.45">
      <c r="A42" s="21" t="s">
        <v>174</v>
      </c>
      <c r="B42" s="122">
        <v>3</v>
      </c>
      <c r="C42" s="8">
        <f t="shared" si="2"/>
        <v>5.0847457627118647E-2</v>
      </c>
      <c r="E42" s="29" t="s">
        <v>103</v>
      </c>
      <c r="F42" s="26" t="s">
        <v>58</v>
      </c>
      <c r="G42" s="14">
        <v>0</v>
      </c>
      <c r="H42" s="92">
        <f>IF(B$19=0,0,G42/B$19)</f>
        <v>0</v>
      </c>
      <c r="I42" s="60">
        <v>1</v>
      </c>
    </row>
    <row r="43" spans="1:9" x14ac:dyDescent="0.45">
      <c r="A43" s="21" t="s">
        <v>175</v>
      </c>
      <c r="B43" s="122">
        <v>2</v>
      </c>
      <c r="C43" s="8">
        <f t="shared" si="2"/>
        <v>3.3898305084745763E-2</v>
      </c>
      <c r="E43" s="29" t="s">
        <v>104</v>
      </c>
      <c r="F43" s="26" t="s">
        <v>59</v>
      </c>
      <c r="G43" s="14">
        <v>0</v>
      </c>
      <c r="H43" s="92">
        <f>IF(B$19=0,0,G43/B$19)</f>
        <v>0</v>
      </c>
      <c r="I43" s="60">
        <v>1</v>
      </c>
    </row>
    <row r="44" spans="1:9" x14ac:dyDescent="0.45">
      <c r="A44" s="21" t="s">
        <v>176</v>
      </c>
      <c r="B44" s="122">
        <v>1</v>
      </c>
      <c r="C44" s="8">
        <f t="shared" si="2"/>
        <v>1.6949152542372881E-2</v>
      </c>
      <c r="E44" s="29" t="s">
        <v>105</v>
      </c>
      <c r="F44" s="26" t="s">
        <v>112</v>
      </c>
      <c r="G44" s="14">
        <v>0</v>
      </c>
      <c r="H44" s="92">
        <f>IF(B$19=0,0,G44/B$19)</f>
        <v>0</v>
      </c>
      <c r="I44" s="60">
        <v>1</v>
      </c>
    </row>
    <row r="45" spans="1:9" x14ac:dyDescent="0.45">
      <c r="A45" s="21" t="s">
        <v>177</v>
      </c>
      <c r="B45" s="122">
        <v>1</v>
      </c>
      <c r="C45" s="8">
        <f t="shared" si="2"/>
        <v>1.6949152542372881E-2</v>
      </c>
      <c r="E45" s="29" t="s">
        <v>106</v>
      </c>
      <c r="F45" s="26" t="s">
        <v>113</v>
      </c>
      <c r="G45" s="14">
        <v>0</v>
      </c>
      <c r="H45" s="92">
        <f>IF(B$19=0,0,G45/B$19)</f>
        <v>0</v>
      </c>
      <c r="I45" s="60">
        <v>1</v>
      </c>
    </row>
    <row r="46" spans="1:9" x14ac:dyDescent="0.45">
      <c r="A46" s="21" t="s">
        <v>178</v>
      </c>
      <c r="B46" s="122">
        <v>2</v>
      </c>
      <c r="C46" s="8">
        <f t="shared" si="2"/>
        <v>3.3898305084745763E-2</v>
      </c>
      <c r="E46" s="29" t="s">
        <v>107</v>
      </c>
      <c r="F46" s="26" t="s">
        <v>114</v>
      </c>
      <c r="G46" s="14">
        <v>0</v>
      </c>
      <c r="H46" s="92">
        <f>IF(B$19=0,0,G46/B$19)</f>
        <v>0</v>
      </c>
      <c r="I46" s="60">
        <v>1</v>
      </c>
    </row>
    <row r="47" spans="1:9" x14ac:dyDescent="0.45">
      <c r="A47" s="21" t="s">
        <v>179</v>
      </c>
      <c r="B47" s="122">
        <v>0</v>
      </c>
      <c r="C47" s="8">
        <f t="shared" si="2"/>
        <v>0</v>
      </c>
      <c r="E47" s="29" t="s">
        <v>108</v>
      </c>
      <c r="F47" s="26" t="s">
        <v>60</v>
      </c>
      <c r="G47" s="14">
        <v>0</v>
      </c>
      <c r="H47" s="92">
        <f>IF(B$19=0,0,G47/B$19)</f>
        <v>0</v>
      </c>
      <c r="I47" s="60">
        <v>1</v>
      </c>
    </row>
    <row r="48" spans="1:9" x14ac:dyDescent="0.45">
      <c r="A48" s="23" t="s">
        <v>180</v>
      </c>
      <c r="B48" s="101">
        <v>1</v>
      </c>
      <c r="C48" s="11">
        <f t="shared" si="2"/>
        <v>1.6949152542372881E-2</v>
      </c>
      <c r="E48" s="29" t="s">
        <v>109</v>
      </c>
      <c r="F48" s="26" t="s">
        <v>61</v>
      </c>
      <c r="G48" s="14">
        <v>0</v>
      </c>
      <c r="H48" s="92">
        <f>IF(B$19=0,0,G48/B$19)</f>
        <v>0</v>
      </c>
      <c r="I48" s="60">
        <v>1</v>
      </c>
    </row>
    <row r="49" spans="5:9" x14ac:dyDescent="0.45">
      <c r="E49" s="29" t="s">
        <v>110</v>
      </c>
      <c r="F49" s="26" t="s">
        <v>62</v>
      </c>
      <c r="G49" s="14">
        <v>0</v>
      </c>
      <c r="H49" s="92">
        <f>IF(B$19=0,0,G49/B$19)</f>
        <v>0</v>
      </c>
      <c r="I49" s="60">
        <v>1</v>
      </c>
    </row>
    <row r="50" spans="5:9" x14ac:dyDescent="0.45">
      <c r="E50" s="29" t="s">
        <v>111</v>
      </c>
      <c r="F50" s="26" t="s">
        <v>63</v>
      </c>
      <c r="G50" s="14">
        <v>0</v>
      </c>
      <c r="H50" s="92">
        <f>IF(B$19=0,0,G50/B$19)</f>
        <v>0</v>
      </c>
      <c r="I50" s="60">
        <v>1</v>
      </c>
    </row>
    <row r="51" spans="5:9" x14ac:dyDescent="0.45">
      <c r="E51" s="95" t="s">
        <v>156</v>
      </c>
      <c r="F51" s="96" t="s">
        <v>157</v>
      </c>
      <c r="G51" s="15">
        <v>0</v>
      </c>
      <c r="H51" s="97">
        <f>IF(B$19=0,0,G51/B$19)</f>
        <v>0</v>
      </c>
      <c r="I51" s="98">
        <v>6</v>
      </c>
    </row>
    <row r="52" spans="5:9" x14ac:dyDescent="0.45">
      <c r="E52" s="30" t="s">
        <v>162</v>
      </c>
      <c r="F52" s="27" t="s">
        <v>163</v>
      </c>
      <c r="G52" s="16">
        <v>0</v>
      </c>
      <c r="H52" s="93">
        <f>IF(B$19=0,0,G52/B$19)</f>
        <v>0</v>
      </c>
      <c r="I52" s="61">
        <v>1</v>
      </c>
    </row>
  </sheetData>
  <sortState xmlns:xlrd2="http://schemas.microsoft.com/office/spreadsheetml/2017/richdata2" ref="N15:Q19">
    <sortCondition descending="1" ref="O15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ECD8D6-8B85-4697-9DB4-6B662179F271}">
  <sheetPr codeName="Sheet23"/>
  <dimension ref="A1:Q52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29" t="s">
        <v>213</v>
      </c>
      <c r="C1" s="130"/>
      <c r="E1" s="108" t="s">
        <v>155</v>
      </c>
      <c r="F1" s="120" t="s">
        <v>115</v>
      </c>
      <c r="G1" s="119" t="s">
        <v>116</v>
      </c>
      <c r="H1" s="90" t="s">
        <v>117</v>
      </c>
      <c r="I1" s="120" t="s">
        <v>146</v>
      </c>
      <c r="K1" s="4" t="s">
        <v>19</v>
      </c>
      <c r="L1" s="120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5">
      <c r="A2" s="20" t="s">
        <v>9</v>
      </c>
      <c r="B2" s="131">
        <v>9</v>
      </c>
      <c r="C2" s="132"/>
      <c r="E2" s="28" t="s">
        <v>64</v>
      </c>
      <c r="F2" s="25" t="s">
        <v>20</v>
      </c>
      <c r="G2" s="13">
        <v>17</v>
      </c>
      <c r="H2" s="91">
        <f>IF(B$19=0,0,G2/B$19)</f>
        <v>0.73913043478260865</v>
      </c>
      <c r="I2" s="59">
        <v>1</v>
      </c>
      <c r="K2" s="5">
        <v>0</v>
      </c>
      <c r="L2" s="64">
        <v>0</v>
      </c>
      <c r="N2" s="77" t="s">
        <v>128</v>
      </c>
      <c r="O2" s="83">
        <f t="shared" ref="O2:O7" si="0">IF(P2=0,0,Q2/P2)</f>
        <v>8822.2222222222226</v>
      </c>
      <c r="P2" s="80">
        <v>9</v>
      </c>
      <c r="Q2" s="67">
        <v>79400</v>
      </c>
    </row>
    <row r="3" spans="1:17" x14ac:dyDescent="0.45">
      <c r="A3" s="21" t="s">
        <v>8</v>
      </c>
      <c r="B3" s="133">
        <v>74</v>
      </c>
      <c r="C3" s="134"/>
      <c r="E3" s="29" t="s">
        <v>67</v>
      </c>
      <c r="F3" s="26" t="s">
        <v>23</v>
      </c>
      <c r="G3" s="14">
        <v>11</v>
      </c>
      <c r="H3" s="92">
        <f>IF(B$19=0,0,G3/B$19)</f>
        <v>0.47826086956521741</v>
      </c>
      <c r="I3" s="60">
        <v>1</v>
      </c>
      <c r="K3" s="7">
        <v>1</v>
      </c>
      <c r="L3" s="65">
        <v>-27.3</v>
      </c>
      <c r="N3" s="78" t="s">
        <v>129</v>
      </c>
      <c r="O3" s="84">
        <f t="shared" si="0"/>
        <v>-425</v>
      </c>
      <c r="P3" s="81">
        <v>8</v>
      </c>
      <c r="Q3" s="68">
        <v>-3400</v>
      </c>
    </row>
    <row r="4" spans="1:17" x14ac:dyDescent="0.45">
      <c r="A4" s="21" t="s">
        <v>6</v>
      </c>
      <c r="B4" s="135">
        <v>-41.599999999999994</v>
      </c>
      <c r="C4" s="136"/>
      <c r="E4" s="29" t="s">
        <v>68</v>
      </c>
      <c r="F4" s="26" t="s">
        <v>12</v>
      </c>
      <c r="G4" s="14">
        <v>11</v>
      </c>
      <c r="H4" s="92">
        <f>IF(B$19=0,0,G4/B$19)</f>
        <v>0.47826086956521741</v>
      </c>
      <c r="I4" s="60">
        <v>1</v>
      </c>
      <c r="K4" s="7">
        <v>2</v>
      </c>
      <c r="L4" s="65">
        <v>-36.799999999999997</v>
      </c>
      <c r="N4" s="78" t="s">
        <v>130</v>
      </c>
      <c r="O4" s="84">
        <f t="shared" si="0"/>
        <v>-5325</v>
      </c>
      <c r="P4" s="81">
        <v>8</v>
      </c>
      <c r="Q4" s="68">
        <v>-42600</v>
      </c>
    </row>
    <row r="5" spans="1:17" x14ac:dyDescent="0.45">
      <c r="A5" s="21" t="s">
        <v>7</v>
      </c>
      <c r="B5" s="123">
        <f>IF(B$2=0,0,B$4/B$2)</f>
        <v>-4.6222222222222218</v>
      </c>
      <c r="C5" s="124"/>
      <c r="E5" s="29" t="s">
        <v>72</v>
      </c>
      <c r="F5" s="26" t="s">
        <v>27</v>
      </c>
      <c r="G5" s="14">
        <v>11</v>
      </c>
      <c r="H5" s="92">
        <f>IF(B$19=0,0,G5/B$19)</f>
        <v>0.47826086956521741</v>
      </c>
      <c r="I5" s="60">
        <v>9</v>
      </c>
      <c r="K5" s="7">
        <v>3</v>
      </c>
      <c r="L5" s="65">
        <v>-62</v>
      </c>
      <c r="N5" s="78" t="s">
        <v>131</v>
      </c>
      <c r="O5" s="84">
        <f t="shared" si="0"/>
        <v>-1514.2857142857142</v>
      </c>
      <c r="P5" s="81">
        <v>7</v>
      </c>
      <c r="Q5" s="68">
        <v>-10600</v>
      </c>
    </row>
    <row r="6" spans="1:17" x14ac:dyDescent="0.45">
      <c r="A6" s="21" t="s">
        <v>1</v>
      </c>
      <c r="B6" s="137">
        <f>IF(B$2=0,0,(B$7*1+B$8*2+B$9*3)/B$2)</f>
        <v>2.1111111111111112</v>
      </c>
      <c r="C6" s="138"/>
      <c r="E6" s="29" t="s">
        <v>66</v>
      </c>
      <c r="F6" s="26" t="s">
        <v>22</v>
      </c>
      <c r="G6" s="14">
        <v>10</v>
      </c>
      <c r="H6" s="92">
        <f>IF(B$19=0,0,G6/B$19)</f>
        <v>0.43478260869565216</v>
      </c>
      <c r="I6" s="60">
        <v>10</v>
      </c>
      <c r="K6" s="7">
        <v>4</v>
      </c>
      <c r="L6" s="65">
        <v>-64.3</v>
      </c>
      <c r="N6" s="78" t="s">
        <v>132</v>
      </c>
      <c r="O6" s="84">
        <f t="shared" si="0"/>
        <v>-4485.7142857142853</v>
      </c>
      <c r="P6" s="81">
        <v>7</v>
      </c>
      <c r="Q6" s="68">
        <v>-31400</v>
      </c>
    </row>
    <row r="7" spans="1:17" x14ac:dyDescent="0.45">
      <c r="A7" s="21" t="s">
        <v>2</v>
      </c>
      <c r="B7" s="14">
        <v>2</v>
      </c>
      <c r="C7" s="8">
        <f t="shared" ref="C7:C14" si="1">IF(B$2=0,0,B7/B$2)</f>
        <v>0.22222222222222221</v>
      </c>
      <c r="E7" s="29" t="s">
        <v>160</v>
      </c>
      <c r="F7" s="26" t="s">
        <v>161</v>
      </c>
      <c r="G7" s="14">
        <v>10</v>
      </c>
      <c r="H7" s="92">
        <f>IF(B$19=0,0,G7/B$19)</f>
        <v>0.43478260869565216</v>
      </c>
      <c r="I7" s="60">
        <v>5</v>
      </c>
      <c r="K7" s="7">
        <v>5</v>
      </c>
      <c r="L7" s="65">
        <v>-42.3</v>
      </c>
      <c r="N7" s="79" t="s">
        <v>133</v>
      </c>
      <c r="O7" s="85">
        <f t="shared" si="0"/>
        <v>-571.42857142857144</v>
      </c>
      <c r="P7" s="82">
        <v>7</v>
      </c>
      <c r="Q7" s="69">
        <v>-4000</v>
      </c>
    </row>
    <row r="8" spans="1:17" x14ac:dyDescent="0.45">
      <c r="A8" s="21" t="s">
        <v>3</v>
      </c>
      <c r="B8" s="14">
        <v>4</v>
      </c>
      <c r="C8" s="8">
        <f t="shared" si="1"/>
        <v>0.44444444444444442</v>
      </c>
      <c r="E8" s="29" t="s">
        <v>65</v>
      </c>
      <c r="F8" s="26" t="s">
        <v>21</v>
      </c>
      <c r="G8" s="14">
        <v>3</v>
      </c>
      <c r="H8" s="92">
        <f>IF(B$19=0,0,G8/B$19)</f>
        <v>0.13043478260869565</v>
      </c>
      <c r="I8" s="60">
        <v>1</v>
      </c>
      <c r="K8" s="7">
        <v>6</v>
      </c>
      <c r="L8" s="65">
        <v>27.700000000000003</v>
      </c>
      <c r="N8" s="111"/>
      <c r="O8" s="89"/>
      <c r="P8" s="112"/>
      <c r="Q8" s="74"/>
    </row>
    <row r="9" spans="1:17" x14ac:dyDescent="0.45">
      <c r="A9" s="22" t="s">
        <v>4</v>
      </c>
      <c r="B9" s="15">
        <v>3</v>
      </c>
      <c r="C9" s="9">
        <f t="shared" si="1"/>
        <v>0.33333333333333331</v>
      </c>
      <c r="E9" s="29" t="s">
        <v>69</v>
      </c>
      <c r="F9" s="26" t="s">
        <v>24</v>
      </c>
      <c r="G9" s="14">
        <v>3</v>
      </c>
      <c r="H9" s="92">
        <f>IF(B$19=0,0,G9/B$19)</f>
        <v>0.13043478260869565</v>
      </c>
      <c r="I9" s="60">
        <v>5</v>
      </c>
      <c r="K9" s="7">
        <v>7</v>
      </c>
      <c r="L9" s="65">
        <v>-4.1999999999999957</v>
      </c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5">
      <c r="A10" s="22" t="s">
        <v>185</v>
      </c>
      <c r="B10" s="113">
        <f>IF(B7=0,0,C10/B7)</f>
        <v>46</v>
      </c>
      <c r="C10" s="114">
        <v>92</v>
      </c>
      <c r="E10" s="29" t="s">
        <v>70</v>
      </c>
      <c r="F10" s="26" t="s">
        <v>25</v>
      </c>
      <c r="G10" s="14">
        <v>3</v>
      </c>
      <c r="H10" s="92">
        <f>IF(B$19=0,0,G10/B$19)</f>
        <v>0.13043478260869565</v>
      </c>
      <c r="I10" s="60">
        <v>2</v>
      </c>
      <c r="K10" s="7">
        <v>8</v>
      </c>
      <c r="L10" s="65">
        <v>-19.299999999999997</v>
      </c>
      <c r="N10" s="77" t="s">
        <v>152</v>
      </c>
      <c r="O10" s="86">
        <f>IF(P10=0,0,Q10/P10)</f>
        <v>19.400000000000002</v>
      </c>
      <c r="P10" s="80">
        <v>3</v>
      </c>
      <c r="Q10" s="71">
        <v>58.2</v>
      </c>
    </row>
    <row r="11" spans="1:17" x14ac:dyDescent="0.45">
      <c r="A11" s="22" t="s">
        <v>186</v>
      </c>
      <c r="B11" s="113">
        <f>IF(B8=0,0,C11/B8)</f>
        <v>-14.824999999999999</v>
      </c>
      <c r="C11" s="114">
        <v>-59.3</v>
      </c>
      <c r="E11" s="29" t="s">
        <v>79</v>
      </c>
      <c r="F11" s="26" t="s">
        <v>34</v>
      </c>
      <c r="G11" s="14">
        <v>2</v>
      </c>
      <c r="H11" s="92">
        <f>IF(B$19=0,0,G11/B$19)</f>
        <v>8.6956521739130432E-2</v>
      </c>
      <c r="I11" s="60">
        <v>1</v>
      </c>
      <c r="K11" s="7">
        <v>9</v>
      </c>
      <c r="L11" s="65">
        <v>-41.599999999999994</v>
      </c>
      <c r="N11" s="78" t="s">
        <v>153</v>
      </c>
      <c r="O11" s="87">
        <f>IF(P11=0,0,Q11/P11)</f>
        <v>-20.866666666666664</v>
      </c>
      <c r="P11" s="81">
        <v>3</v>
      </c>
      <c r="Q11" s="72">
        <v>-62.599999999999994</v>
      </c>
    </row>
    <row r="12" spans="1:17" x14ac:dyDescent="0.45">
      <c r="A12" s="22" t="s">
        <v>187</v>
      </c>
      <c r="B12" s="113">
        <f>IF(B9=0,0,C12/B9)</f>
        <v>-24.766666666666666</v>
      </c>
      <c r="C12" s="114">
        <v>-74.3</v>
      </c>
      <c r="E12" s="29" t="s">
        <v>78</v>
      </c>
      <c r="F12" s="26" t="s">
        <v>33</v>
      </c>
      <c r="G12" s="14">
        <v>1</v>
      </c>
      <c r="H12" s="92">
        <f>IF(B$19=0,0,G12/B$19)</f>
        <v>4.3478260869565216E-2</v>
      </c>
      <c r="I12" s="60">
        <v>3</v>
      </c>
      <c r="N12" s="79" t="s">
        <v>154</v>
      </c>
      <c r="O12" s="88">
        <f>IF(P12=0,0,Q12/P12)</f>
        <v>-12.4</v>
      </c>
      <c r="P12" s="82">
        <v>3</v>
      </c>
      <c r="Q12" s="73">
        <v>-37.200000000000003</v>
      </c>
    </row>
    <row r="13" spans="1:17" x14ac:dyDescent="0.45">
      <c r="A13" s="22" t="s">
        <v>188</v>
      </c>
      <c r="B13" s="123">
        <f>AVERAGE(B10:B12)</f>
        <v>2.1361111111111115</v>
      </c>
      <c r="C13" s="124"/>
      <c r="E13" s="29" t="s">
        <v>86</v>
      </c>
      <c r="F13" s="26" t="s">
        <v>41</v>
      </c>
      <c r="G13" s="14">
        <v>1</v>
      </c>
      <c r="H13" s="92">
        <f>IF(B$19=0,0,G13/B$19)</f>
        <v>4.3478260869565216E-2</v>
      </c>
      <c r="I13" s="60">
        <v>6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0</v>
      </c>
      <c r="C14" s="11">
        <f t="shared" si="1"/>
        <v>0</v>
      </c>
      <c r="E14" s="29" t="s">
        <v>89</v>
      </c>
      <c r="F14" s="26" t="s">
        <v>44</v>
      </c>
      <c r="G14" s="14">
        <v>1</v>
      </c>
      <c r="H14" s="92">
        <f>IF(B$19=0,0,G14/B$19)</f>
        <v>4.3478260869565216E-2</v>
      </c>
      <c r="I14" s="60">
        <v>10</v>
      </c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5">
      <c r="A15" s="24" t="s">
        <v>121</v>
      </c>
      <c r="B15" s="17">
        <v>24</v>
      </c>
      <c r="C15" s="12">
        <f>IF(B$3=0,0,B15/B$3)</f>
        <v>0.32432432432432434</v>
      </c>
      <c r="E15" s="29" t="s">
        <v>71</v>
      </c>
      <c r="F15" s="26" t="s">
        <v>26</v>
      </c>
      <c r="G15" s="14">
        <v>0</v>
      </c>
      <c r="H15" s="92">
        <f>IF(B$19=0,0,G15/B$19)</f>
        <v>0</v>
      </c>
      <c r="I15" s="60">
        <v>10</v>
      </c>
      <c r="N15" s="77" t="s">
        <v>126</v>
      </c>
      <c r="O15" s="86">
        <f>IF(P15=0,0,Q15/P15)</f>
        <v>-4.7444444444444462</v>
      </c>
      <c r="P15" s="80">
        <v>9</v>
      </c>
      <c r="Q15" s="71">
        <v>-42.700000000000017</v>
      </c>
    </row>
    <row r="16" spans="1:17" x14ac:dyDescent="0.45">
      <c r="A16" s="21" t="s">
        <v>118</v>
      </c>
      <c r="B16" s="14">
        <v>7</v>
      </c>
      <c r="C16" s="8">
        <f>IF(B$3=0,0,B16/B$3)</f>
        <v>9.45945945945946E-2</v>
      </c>
      <c r="E16" s="29" t="s">
        <v>73</v>
      </c>
      <c r="F16" s="26" t="s">
        <v>28</v>
      </c>
      <c r="G16" s="14">
        <v>0</v>
      </c>
      <c r="H16" s="92">
        <f>IF(B$19=0,0,G16/B$19)</f>
        <v>0</v>
      </c>
      <c r="I16" s="60">
        <v>4</v>
      </c>
      <c r="N16" s="78" t="s">
        <v>164</v>
      </c>
      <c r="O16" s="87">
        <f>IF(P16=0,0,Q16/P16)</f>
        <v>-9.1222222222222236</v>
      </c>
      <c r="P16" s="81">
        <v>9</v>
      </c>
      <c r="Q16" s="72">
        <v>-82.100000000000009</v>
      </c>
    </row>
    <row r="17" spans="1:9" x14ac:dyDescent="0.45">
      <c r="A17" s="20" t="s">
        <v>123</v>
      </c>
      <c r="B17" s="13">
        <f>B23</f>
        <v>17</v>
      </c>
      <c r="C17" s="6">
        <f>IF(B$15=0,0,B17/B$15)</f>
        <v>0.70833333333333337</v>
      </c>
      <c r="E17" s="29" t="s">
        <v>74</v>
      </c>
      <c r="F17" s="26" t="s">
        <v>29</v>
      </c>
      <c r="G17" s="14">
        <v>0</v>
      </c>
      <c r="H17" s="92">
        <f>IF(B$19=0,0,G17/B$19)</f>
        <v>0</v>
      </c>
      <c r="I17" s="60">
        <v>1</v>
      </c>
    </row>
    <row r="18" spans="1:9" x14ac:dyDescent="0.45">
      <c r="A18" s="20" t="s">
        <v>124</v>
      </c>
      <c r="B18" s="13">
        <f>B24</f>
        <v>4</v>
      </c>
      <c r="C18" s="6">
        <f>IF(B$16=0,0,B18/B$16)</f>
        <v>0.5714285714285714</v>
      </c>
      <c r="E18" s="29" t="s">
        <v>75</v>
      </c>
      <c r="F18" s="26" t="s">
        <v>30</v>
      </c>
      <c r="G18" s="14">
        <v>0</v>
      </c>
      <c r="H18" s="92">
        <f>IF(B$19=0,0,G18/B$19)</f>
        <v>0</v>
      </c>
      <c r="I18" s="60">
        <v>4</v>
      </c>
    </row>
    <row r="19" spans="1:9" x14ac:dyDescent="0.45">
      <c r="A19" s="20" t="s">
        <v>10</v>
      </c>
      <c r="B19" s="13">
        <f>B22+B21</f>
        <v>23</v>
      </c>
      <c r="C19" s="6">
        <f>IF(B$3=0,0,B19/B$3)</f>
        <v>0.3108108108108108</v>
      </c>
      <c r="E19" s="29" t="s">
        <v>76</v>
      </c>
      <c r="F19" s="26" t="s">
        <v>31</v>
      </c>
      <c r="G19" s="14">
        <v>0</v>
      </c>
      <c r="H19" s="92">
        <f>IF(B$19=0,0,G19/B$19)</f>
        <v>0</v>
      </c>
      <c r="I19" s="60">
        <v>1</v>
      </c>
    </row>
    <row r="20" spans="1:9" x14ac:dyDescent="0.45">
      <c r="A20" s="21" t="s">
        <v>13</v>
      </c>
      <c r="B20" s="14">
        <v>14</v>
      </c>
      <c r="C20" s="8">
        <f>IF(B$3=0,0,B20/B$3)</f>
        <v>0.1891891891891892</v>
      </c>
      <c r="E20" s="29" t="s">
        <v>77</v>
      </c>
      <c r="F20" s="26" t="s">
        <v>32</v>
      </c>
      <c r="G20" s="14">
        <v>0</v>
      </c>
      <c r="H20" s="92">
        <f>IF(B$19=0,0,G20/B$19)</f>
        <v>0</v>
      </c>
      <c r="I20" s="60">
        <v>4</v>
      </c>
    </row>
    <row r="21" spans="1:9" x14ac:dyDescent="0.45">
      <c r="A21" s="21" t="s">
        <v>12</v>
      </c>
      <c r="B21" s="14">
        <v>12</v>
      </c>
      <c r="C21" s="8">
        <f>IF(B$19=0,0,B21/B$19)</f>
        <v>0.52173913043478259</v>
      </c>
      <c r="E21" s="29" t="s">
        <v>80</v>
      </c>
      <c r="F21" s="26" t="s">
        <v>35</v>
      </c>
      <c r="G21" s="14">
        <v>0</v>
      </c>
      <c r="H21" s="92">
        <f>IF(B$19=0,0,G21/B$19)</f>
        <v>0</v>
      </c>
      <c r="I21" s="60">
        <v>1</v>
      </c>
    </row>
    <row r="22" spans="1:9" x14ac:dyDescent="0.45">
      <c r="A22" s="21" t="s">
        <v>11</v>
      </c>
      <c r="B22" s="14">
        <v>11</v>
      </c>
      <c r="C22" s="8">
        <f>IF(B$19=0,0,B22/B$19)</f>
        <v>0.47826086956521741</v>
      </c>
      <c r="E22" s="29" t="s">
        <v>81</v>
      </c>
      <c r="F22" s="26" t="s">
        <v>36</v>
      </c>
      <c r="G22" s="14">
        <v>0</v>
      </c>
      <c r="H22" s="92">
        <f>IF(B$19=0,0,G22/B$19)</f>
        <v>0</v>
      </c>
      <c r="I22" s="60">
        <v>8</v>
      </c>
    </row>
    <row r="23" spans="1:9" x14ac:dyDescent="0.45">
      <c r="A23" s="21" t="s">
        <v>184</v>
      </c>
      <c r="B23" s="14">
        <v>17</v>
      </c>
      <c r="C23" s="8">
        <f>IF(B$19=0,0,B23/B$19)</f>
        <v>0.73913043478260865</v>
      </c>
      <c r="E23" s="29" t="s">
        <v>82</v>
      </c>
      <c r="F23" s="26" t="s">
        <v>37</v>
      </c>
      <c r="G23" s="14">
        <v>0</v>
      </c>
      <c r="H23" s="92">
        <f>IF(B$19=0,0,G23/B$19)</f>
        <v>0</v>
      </c>
      <c r="I23" s="60">
        <v>1</v>
      </c>
    </row>
    <row r="24" spans="1:9" x14ac:dyDescent="0.45">
      <c r="A24" s="21" t="s">
        <v>182</v>
      </c>
      <c r="B24" s="14">
        <v>4</v>
      </c>
      <c r="C24" s="8">
        <f>IF(B$19=0,0,B24/B$19)</f>
        <v>0.17391304347826086</v>
      </c>
      <c r="E24" s="29" t="s">
        <v>83</v>
      </c>
      <c r="F24" s="26" t="s">
        <v>38</v>
      </c>
      <c r="G24" s="14">
        <v>0</v>
      </c>
      <c r="H24" s="92">
        <f>IF(B$19=0,0,G24/B$19)</f>
        <v>0</v>
      </c>
      <c r="I24" s="60">
        <v>8</v>
      </c>
    </row>
    <row r="25" spans="1:9" x14ac:dyDescent="0.45">
      <c r="A25" s="21" t="s">
        <v>183</v>
      </c>
      <c r="B25" s="14">
        <v>2</v>
      </c>
      <c r="C25" s="8">
        <f>IF(B$19=0,0,B25/B$19)</f>
        <v>8.6956521739130432E-2</v>
      </c>
      <c r="E25" s="29" t="s">
        <v>84</v>
      </c>
      <c r="F25" s="26" t="s">
        <v>39</v>
      </c>
      <c r="G25" s="14">
        <v>0</v>
      </c>
      <c r="H25" s="92">
        <f>IF(B$19=0,0,G25/B$19)</f>
        <v>0</v>
      </c>
      <c r="I25" s="60">
        <v>3</v>
      </c>
    </row>
    <row r="26" spans="1:9" x14ac:dyDescent="0.45">
      <c r="A26" s="21" t="s">
        <v>5</v>
      </c>
      <c r="B26" s="18">
        <f>IF(B$19=0,0,C26/B$19)</f>
        <v>7530.434782608696</v>
      </c>
      <c r="C26" s="10">
        <v>173200</v>
      </c>
      <c r="E26" s="29" t="s">
        <v>85</v>
      </c>
      <c r="F26" s="26" t="s">
        <v>40</v>
      </c>
      <c r="G26" s="14">
        <v>0</v>
      </c>
      <c r="H26" s="92">
        <f>IF(B$19=0,0,G26/B$19)</f>
        <v>0</v>
      </c>
      <c r="I26" s="60">
        <v>4</v>
      </c>
    </row>
    <row r="27" spans="1:9" x14ac:dyDescent="0.45">
      <c r="A27" s="22" t="s">
        <v>166</v>
      </c>
      <c r="B27" s="99">
        <f>IF($B$19-B$18=0,0,C27/($B$19-B$18))</f>
        <v>7010.5263157894733</v>
      </c>
      <c r="C27" s="100">
        <v>133200</v>
      </c>
      <c r="E27" s="29" t="s">
        <v>87</v>
      </c>
      <c r="F27" s="26" t="s">
        <v>42</v>
      </c>
      <c r="G27" s="14">
        <v>0</v>
      </c>
      <c r="H27" s="92">
        <f>IF(B$19=0,0,G27/B$19)</f>
        <v>0</v>
      </c>
      <c r="I27" s="60">
        <v>4</v>
      </c>
    </row>
    <row r="28" spans="1:9" x14ac:dyDescent="0.45">
      <c r="A28" s="22" t="s">
        <v>167</v>
      </c>
      <c r="B28" s="99">
        <f>IF(B$18=0,0,C28/B$18)</f>
        <v>10000</v>
      </c>
      <c r="C28" s="100">
        <v>40000</v>
      </c>
      <c r="E28" s="29" t="s">
        <v>88</v>
      </c>
      <c r="F28" s="26" t="s">
        <v>43</v>
      </c>
      <c r="G28" s="14">
        <v>0</v>
      </c>
      <c r="H28" s="92">
        <f>IF(B$19=0,0,G28/B$19)</f>
        <v>0</v>
      </c>
      <c r="I28" s="60">
        <v>3</v>
      </c>
    </row>
    <row r="29" spans="1:9" x14ac:dyDescent="0.45">
      <c r="A29" s="22" t="s">
        <v>165</v>
      </c>
      <c r="B29" s="99">
        <f>IF(B$20=0,0,C29/B$20)</f>
        <v>-8671.4285714285706</v>
      </c>
      <c r="C29" s="100">
        <v>-121400</v>
      </c>
      <c r="E29" s="29" t="s">
        <v>90</v>
      </c>
      <c r="F29" s="26" t="s">
        <v>45</v>
      </c>
      <c r="G29" s="14">
        <v>0</v>
      </c>
      <c r="H29" s="92">
        <f>IF(B$19=0,0,G29/B$19)</f>
        <v>0</v>
      </c>
      <c r="I29" s="60">
        <v>1</v>
      </c>
    </row>
    <row r="30" spans="1:9" x14ac:dyDescent="0.45">
      <c r="A30" s="21" t="s">
        <v>158</v>
      </c>
      <c r="B30" s="14">
        <v>5</v>
      </c>
      <c r="C30" s="94">
        <v>0</v>
      </c>
      <c r="E30" s="29" t="s">
        <v>91</v>
      </c>
      <c r="F30" s="26" t="s">
        <v>46</v>
      </c>
      <c r="G30" s="14">
        <v>0</v>
      </c>
      <c r="H30" s="92">
        <f>IF(B$19=0,0,G30/B$19)</f>
        <v>0</v>
      </c>
      <c r="I30" s="60">
        <v>6</v>
      </c>
    </row>
    <row r="31" spans="1:9" x14ac:dyDescent="0.45">
      <c r="A31" s="21" t="s">
        <v>159</v>
      </c>
      <c r="B31" s="14">
        <v>18</v>
      </c>
      <c r="C31" s="94">
        <v>1</v>
      </c>
      <c r="E31" s="29" t="s">
        <v>92</v>
      </c>
      <c r="F31" s="26" t="s">
        <v>47</v>
      </c>
      <c r="G31" s="14">
        <v>0</v>
      </c>
      <c r="H31" s="92">
        <f>IF(B$19=0,0,G31/B$19)</f>
        <v>0</v>
      </c>
      <c r="I31" s="60">
        <v>7</v>
      </c>
    </row>
    <row r="32" spans="1:9" x14ac:dyDescent="0.45">
      <c r="A32" s="56" t="s">
        <v>136</v>
      </c>
      <c r="B32" s="125">
        <v>5</v>
      </c>
      <c r="C32" s="126"/>
      <c r="E32" s="29" t="s">
        <v>93</v>
      </c>
      <c r="F32" s="26" t="s">
        <v>48</v>
      </c>
      <c r="G32" s="14">
        <v>0</v>
      </c>
      <c r="H32" s="92">
        <f>IF(B$19=0,0,G32/B$19)</f>
        <v>0</v>
      </c>
      <c r="I32" s="60">
        <v>3</v>
      </c>
    </row>
    <row r="33" spans="1:9" x14ac:dyDescent="0.45">
      <c r="A33" s="24" t="s">
        <v>181</v>
      </c>
      <c r="B33" s="127">
        <v>95000</v>
      </c>
      <c r="C33" s="128"/>
      <c r="E33" s="29" t="s">
        <v>94</v>
      </c>
      <c r="F33" s="26" t="s">
        <v>49</v>
      </c>
      <c r="G33" s="14">
        <v>0</v>
      </c>
      <c r="H33" s="92">
        <f>IF(B$19=0,0,G33/B$19)</f>
        <v>0</v>
      </c>
      <c r="I33" s="60">
        <v>1</v>
      </c>
    </row>
    <row r="34" spans="1:9" x14ac:dyDescent="0.45">
      <c r="A34" s="23" t="s">
        <v>137</v>
      </c>
      <c r="B34" s="31">
        <v>1</v>
      </c>
      <c r="C34" s="11">
        <f>IF(B$3=0,0,B34/B$3)</f>
        <v>1.3513513513513514E-2</v>
      </c>
      <c r="E34" s="29" t="s">
        <v>95</v>
      </c>
      <c r="F34" s="26" t="s">
        <v>50</v>
      </c>
      <c r="G34" s="14">
        <v>0</v>
      </c>
      <c r="H34" s="92">
        <f>IF(B$19=0,0,G34/B$19)</f>
        <v>0</v>
      </c>
      <c r="I34" s="60">
        <v>3</v>
      </c>
    </row>
    <row r="35" spans="1:9" x14ac:dyDescent="0.45">
      <c r="E35" s="29" t="s">
        <v>96</v>
      </c>
      <c r="F35" s="26" t="s">
        <v>51</v>
      </c>
      <c r="G35" s="14">
        <v>0</v>
      </c>
      <c r="H35" s="92">
        <f>IF(B$19=0,0,G35/B$19)</f>
        <v>0</v>
      </c>
      <c r="I35" s="60">
        <v>1</v>
      </c>
    </row>
    <row r="36" spans="1:9" x14ac:dyDescent="0.45">
      <c r="A36" s="56" t="s">
        <v>172</v>
      </c>
      <c r="B36" s="121">
        <v>3</v>
      </c>
      <c r="C36" s="102">
        <f t="shared" ref="C36:C48" si="2">IF(B$19=0,0,B36/B$19)</f>
        <v>0.13043478260869565</v>
      </c>
      <c r="E36" s="29" t="s">
        <v>97</v>
      </c>
      <c r="F36" s="26" t="s">
        <v>52</v>
      </c>
      <c r="G36" s="14">
        <v>0</v>
      </c>
      <c r="H36" s="92">
        <f>IF(B$19=0,0,G36/B$19)</f>
        <v>0</v>
      </c>
      <c r="I36" s="60">
        <v>3</v>
      </c>
    </row>
    <row r="37" spans="1:9" x14ac:dyDescent="0.45">
      <c r="A37" s="21" t="s">
        <v>168</v>
      </c>
      <c r="B37" s="14">
        <v>4</v>
      </c>
      <c r="C37" s="8">
        <f t="shared" si="2"/>
        <v>0.17391304347826086</v>
      </c>
      <c r="E37" s="29" t="s">
        <v>98</v>
      </c>
      <c r="F37" s="26" t="s">
        <v>53</v>
      </c>
      <c r="G37" s="14">
        <v>0</v>
      </c>
      <c r="H37" s="92">
        <f>IF(B$19=0,0,G37/B$19)</f>
        <v>0</v>
      </c>
      <c r="I37" s="60">
        <v>1</v>
      </c>
    </row>
    <row r="38" spans="1:9" x14ac:dyDescent="0.45">
      <c r="A38" s="21" t="s">
        <v>169</v>
      </c>
      <c r="B38" s="122">
        <v>4</v>
      </c>
      <c r="C38" s="8">
        <f t="shared" si="2"/>
        <v>0.17391304347826086</v>
      </c>
      <c r="E38" s="29" t="s">
        <v>99</v>
      </c>
      <c r="F38" s="26" t="s">
        <v>54</v>
      </c>
      <c r="G38" s="14">
        <v>0</v>
      </c>
      <c r="H38" s="92">
        <f>IF(B$19=0,0,G38/B$19)</f>
        <v>0</v>
      </c>
      <c r="I38" s="60">
        <v>1</v>
      </c>
    </row>
    <row r="39" spans="1:9" x14ac:dyDescent="0.45">
      <c r="A39" s="21" t="s">
        <v>170</v>
      </c>
      <c r="B39" s="122">
        <v>3</v>
      </c>
      <c r="C39" s="8">
        <f t="shared" si="2"/>
        <v>0.13043478260869565</v>
      </c>
      <c r="E39" s="29" t="s">
        <v>100</v>
      </c>
      <c r="F39" s="26" t="s">
        <v>55</v>
      </c>
      <c r="G39" s="14">
        <v>0</v>
      </c>
      <c r="H39" s="92">
        <f>IF(B$19=0,0,G39/B$19)</f>
        <v>0</v>
      </c>
      <c r="I39" s="60">
        <v>1</v>
      </c>
    </row>
    <row r="40" spans="1:9" x14ac:dyDescent="0.45">
      <c r="A40" s="21" t="s">
        <v>171</v>
      </c>
      <c r="B40" s="122">
        <v>3</v>
      </c>
      <c r="C40" s="8">
        <f t="shared" si="2"/>
        <v>0.13043478260869565</v>
      </c>
      <c r="E40" s="29" t="s">
        <v>101</v>
      </c>
      <c r="F40" s="26" t="s">
        <v>56</v>
      </c>
      <c r="G40" s="14">
        <v>0</v>
      </c>
      <c r="H40" s="92">
        <f>IF(B$19=0,0,G40/B$19)</f>
        <v>0</v>
      </c>
      <c r="I40" s="60">
        <v>1</v>
      </c>
    </row>
    <row r="41" spans="1:9" x14ac:dyDescent="0.45">
      <c r="A41" s="21" t="s">
        <v>173</v>
      </c>
      <c r="B41" s="122">
        <v>4</v>
      </c>
      <c r="C41" s="8">
        <f t="shared" si="2"/>
        <v>0.17391304347826086</v>
      </c>
      <c r="E41" s="29" t="s">
        <v>102</v>
      </c>
      <c r="F41" s="26" t="s">
        <v>57</v>
      </c>
      <c r="G41" s="14">
        <v>0</v>
      </c>
      <c r="H41" s="92">
        <f>IF(B$19=0,0,G41/B$19)</f>
        <v>0</v>
      </c>
      <c r="I41" s="60">
        <v>3</v>
      </c>
    </row>
    <row r="42" spans="1:9" x14ac:dyDescent="0.45">
      <c r="A42" s="21" t="s">
        <v>174</v>
      </c>
      <c r="B42" s="122">
        <v>2</v>
      </c>
      <c r="C42" s="8">
        <f t="shared" si="2"/>
        <v>8.6956521739130432E-2</v>
      </c>
      <c r="E42" s="29" t="s">
        <v>103</v>
      </c>
      <c r="F42" s="26" t="s">
        <v>58</v>
      </c>
      <c r="G42" s="14">
        <v>0</v>
      </c>
      <c r="H42" s="92">
        <f>IF(B$19=0,0,G42/B$19)</f>
        <v>0</v>
      </c>
      <c r="I42" s="60">
        <v>1</v>
      </c>
    </row>
    <row r="43" spans="1:9" x14ac:dyDescent="0.45">
      <c r="A43" s="21" t="s">
        <v>175</v>
      </c>
      <c r="B43" s="122">
        <v>0</v>
      </c>
      <c r="C43" s="8">
        <f t="shared" si="2"/>
        <v>0</v>
      </c>
      <c r="E43" s="29" t="s">
        <v>104</v>
      </c>
      <c r="F43" s="26" t="s">
        <v>59</v>
      </c>
      <c r="G43" s="14">
        <v>0</v>
      </c>
      <c r="H43" s="92">
        <f>IF(B$19=0,0,G43/B$19)</f>
        <v>0</v>
      </c>
      <c r="I43" s="60">
        <v>1</v>
      </c>
    </row>
    <row r="44" spans="1:9" x14ac:dyDescent="0.45">
      <c r="A44" s="21" t="s">
        <v>176</v>
      </c>
      <c r="B44" s="122">
        <v>0</v>
      </c>
      <c r="C44" s="8">
        <f t="shared" si="2"/>
        <v>0</v>
      </c>
      <c r="E44" s="29" t="s">
        <v>105</v>
      </c>
      <c r="F44" s="26" t="s">
        <v>112</v>
      </c>
      <c r="G44" s="14">
        <v>0</v>
      </c>
      <c r="H44" s="92">
        <f>IF(B$19=0,0,G44/B$19)</f>
        <v>0</v>
      </c>
      <c r="I44" s="60">
        <v>1</v>
      </c>
    </row>
    <row r="45" spans="1:9" x14ac:dyDescent="0.45">
      <c r="A45" s="21" t="s">
        <v>177</v>
      </c>
      <c r="B45" s="122">
        <v>0</v>
      </c>
      <c r="C45" s="8">
        <f t="shared" si="2"/>
        <v>0</v>
      </c>
      <c r="E45" s="29" t="s">
        <v>106</v>
      </c>
      <c r="F45" s="26" t="s">
        <v>113</v>
      </c>
      <c r="G45" s="14">
        <v>0</v>
      </c>
      <c r="H45" s="92">
        <f>IF(B$19=0,0,G45/B$19)</f>
        <v>0</v>
      </c>
      <c r="I45" s="60">
        <v>1</v>
      </c>
    </row>
    <row r="46" spans="1:9" x14ac:dyDescent="0.45">
      <c r="A46" s="21" t="s">
        <v>178</v>
      </c>
      <c r="B46" s="122">
        <v>0</v>
      </c>
      <c r="C46" s="8">
        <f t="shared" si="2"/>
        <v>0</v>
      </c>
      <c r="E46" s="29" t="s">
        <v>107</v>
      </c>
      <c r="F46" s="26" t="s">
        <v>114</v>
      </c>
      <c r="G46" s="14">
        <v>0</v>
      </c>
      <c r="H46" s="92">
        <f>IF(B$19=0,0,G46/B$19)</f>
        <v>0</v>
      </c>
      <c r="I46" s="60">
        <v>1</v>
      </c>
    </row>
    <row r="47" spans="1:9" x14ac:dyDescent="0.45">
      <c r="A47" s="21" t="s">
        <v>179</v>
      </c>
      <c r="B47" s="122">
        <v>0</v>
      </c>
      <c r="C47" s="8">
        <f t="shared" si="2"/>
        <v>0</v>
      </c>
      <c r="E47" s="29" t="s">
        <v>108</v>
      </c>
      <c r="F47" s="26" t="s">
        <v>60</v>
      </c>
      <c r="G47" s="14">
        <v>0</v>
      </c>
      <c r="H47" s="92">
        <f>IF(B$19=0,0,G47/B$19)</f>
        <v>0</v>
      </c>
      <c r="I47" s="60">
        <v>1</v>
      </c>
    </row>
    <row r="48" spans="1:9" x14ac:dyDescent="0.45">
      <c r="A48" s="23" t="s">
        <v>180</v>
      </c>
      <c r="B48" s="101">
        <v>0</v>
      </c>
      <c r="C48" s="11">
        <f t="shared" si="2"/>
        <v>0</v>
      </c>
      <c r="E48" s="29" t="s">
        <v>109</v>
      </c>
      <c r="F48" s="26" t="s">
        <v>61</v>
      </c>
      <c r="G48" s="14">
        <v>0</v>
      </c>
      <c r="H48" s="92">
        <f>IF(B$19=0,0,G48/B$19)</f>
        <v>0</v>
      </c>
      <c r="I48" s="60">
        <v>1</v>
      </c>
    </row>
    <row r="49" spans="5:9" x14ac:dyDescent="0.45">
      <c r="E49" s="29" t="s">
        <v>110</v>
      </c>
      <c r="F49" s="26" t="s">
        <v>62</v>
      </c>
      <c r="G49" s="14">
        <v>0</v>
      </c>
      <c r="H49" s="92">
        <f>IF(B$19=0,0,G49/B$19)</f>
        <v>0</v>
      </c>
      <c r="I49" s="60">
        <v>1</v>
      </c>
    </row>
    <row r="50" spans="5:9" x14ac:dyDescent="0.45">
      <c r="E50" s="29" t="s">
        <v>111</v>
      </c>
      <c r="F50" s="26" t="s">
        <v>63</v>
      </c>
      <c r="G50" s="14">
        <v>0</v>
      </c>
      <c r="H50" s="92">
        <f>IF(B$19=0,0,G50/B$19)</f>
        <v>0</v>
      </c>
      <c r="I50" s="60">
        <v>1</v>
      </c>
    </row>
    <row r="51" spans="5:9" x14ac:dyDescent="0.45">
      <c r="E51" s="95" t="s">
        <v>156</v>
      </c>
      <c r="F51" s="96" t="s">
        <v>157</v>
      </c>
      <c r="G51" s="15">
        <v>0</v>
      </c>
      <c r="H51" s="97">
        <f>IF(B$19=0,0,G51/B$19)</f>
        <v>0</v>
      </c>
      <c r="I51" s="98">
        <v>6</v>
      </c>
    </row>
    <row r="52" spans="5:9" x14ac:dyDescent="0.45">
      <c r="E52" s="30" t="s">
        <v>162</v>
      </c>
      <c r="F52" s="27" t="s">
        <v>163</v>
      </c>
      <c r="G52" s="16">
        <v>0</v>
      </c>
      <c r="H52" s="93">
        <f>IF(B$19=0,0,G52/B$19)</f>
        <v>0</v>
      </c>
      <c r="I52" s="61">
        <v>1</v>
      </c>
    </row>
  </sheetData>
  <sortState xmlns:xlrd2="http://schemas.microsoft.com/office/spreadsheetml/2017/richdata2" ref="E2:I53">
    <sortCondition descending="1" ref="H1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EC9643-D32B-4786-9A74-C8CE7B847A91}">
  <sheetPr codeName="Sheet24"/>
  <dimension ref="A1:Q12"/>
  <sheetViews>
    <sheetView workbookViewId="0"/>
  </sheetViews>
  <sheetFormatPr defaultColWidth="10.69921875" defaultRowHeight="18" x14ac:dyDescent="0.45"/>
  <cols>
    <col min="1" max="1" width="10.69921875" style="35"/>
    <col min="2" max="3" width="10.69921875" style="32"/>
    <col min="4" max="4" width="10.69921875" style="37"/>
    <col min="5" max="8" width="10.69921875" style="33"/>
    <col min="9" max="10" width="10.69921875" style="34"/>
    <col min="11" max="16" width="10.69921875" style="33"/>
    <col min="17" max="16384" width="10.69921875" style="36"/>
  </cols>
  <sheetData>
    <row r="1" spans="1:17" x14ac:dyDescent="0.45">
      <c r="A1" s="36" t="s">
        <v>213</v>
      </c>
      <c r="B1" s="36" t="s">
        <v>213</v>
      </c>
      <c r="C1" s="36" t="s">
        <v>213</v>
      </c>
      <c r="D1" s="37" t="s">
        <v>213</v>
      </c>
      <c r="E1" s="36" t="s">
        <v>213</v>
      </c>
      <c r="F1" s="36" t="s">
        <v>213</v>
      </c>
      <c r="G1" s="36" t="s">
        <v>213</v>
      </c>
      <c r="H1" s="36" t="s">
        <v>213</v>
      </c>
      <c r="I1" s="36" t="s">
        <v>213</v>
      </c>
      <c r="J1" s="36" t="s">
        <v>213</v>
      </c>
      <c r="K1" s="36" t="s">
        <v>213</v>
      </c>
      <c r="L1" s="36" t="s">
        <v>213</v>
      </c>
      <c r="M1" s="36" t="s">
        <v>213</v>
      </c>
      <c r="N1" s="36" t="s">
        <v>213</v>
      </c>
      <c r="O1" s="36" t="s">
        <v>213</v>
      </c>
      <c r="P1" s="36" t="s">
        <v>213</v>
      </c>
      <c r="Q1" s="36" t="s">
        <v>213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-27.3</v>
      </c>
      <c r="C4" s="32">
        <v>-27.3</v>
      </c>
      <c r="D4" s="37">
        <v>3</v>
      </c>
      <c r="E4" s="33">
        <v>0</v>
      </c>
      <c r="F4" s="33">
        <v>1</v>
      </c>
      <c r="G4" s="33">
        <v>0.14285714285714285</v>
      </c>
      <c r="H4" s="33">
        <v>0.42857142857142855</v>
      </c>
      <c r="I4" s="34">
        <v>12000</v>
      </c>
      <c r="J4" s="34">
        <v>-5533.333333333333</v>
      </c>
      <c r="K4" s="33">
        <v>0</v>
      </c>
      <c r="L4" s="33">
        <v>0.2857142857142857</v>
      </c>
      <c r="M4" s="33">
        <v>0</v>
      </c>
      <c r="N4" s="33">
        <v>0.5</v>
      </c>
      <c r="O4" s="33">
        <v>0</v>
      </c>
      <c r="P4" s="33">
        <v>1</v>
      </c>
    </row>
    <row r="5" spans="1:17" x14ac:dyDescent="0.45">
      <c r="A5" s="35">
        <v>2</v>
      </c>
      <c r="B5" s="32">
        <v>-36.799999999999997</v>
      </c>
      <c r="C5" s="32">
        <v>-18.399999999999999</v>
      </c>
      <c r="D5" s="37">
        <v>2.5</v>
      </c>
      <c r="E5" s="33">
        <v>0</v>
      </c>
      <c r="F5" s="33">
        <v>0.5</v>
      </c>
      <c r="G5" s="33">
        <v>0.1875</v>
      </c>
      <c r="H5" s="33">
        <v>0.25</v>
      </c>
      <c r="I5" s="34">
        <v>8700</v>
      </c>
      <c r="J5" s="34">
        <v>-6150</v>
      </c>
      <c r="K5" s="33">
        <v>0</v>
      </c>
      <c r="L5" s="33">
        <v>0.3125</v>
      </c>
      <c r="M5" s="33">
        <v>0</v>
      </c>
      <c r="N5" s="33">
        <v>0.6</v>
      </c>
      <c r="O5" s="33">
        <v>0</v>
      </c>
      <c r="P5" s="33">
        <v>1</v>
      </c>
    </row>
    <row r="6" spans="1:17" x14ac:dyDescent="0.45">
      <c r="A6" s="35">
        <v>3</v>
      </c>
      <c r="B6" s="32">
        <v>-62</v>
      </c>
      <c r="C6" s="32">
        <v>-20.666666666666668</v>
      </c>
      <c r="D6" s="37">
        <v>2.3333333333333335</v>
      </c>
      <c r="E6" s="33">
        <v>0</v>
      </c>
      <c r="F6" s="33">
        <v>0.33333333333333331</v>
      </c>
      <c r="G6" s="33">
        <v>0.25806451612903225</v>
      </c>
      <c r="H6" s="33">
        <v>0.25806451612903225</v>
      </c>
      <c r="I6" s="34">
        <v>5862.5</v>
      </c>
      <c r="J6" s="34">
        <v>-7575</v>
      </c>
      <c r="K6" s="33">
        <v>0</v>
      </c>
      <c r="L6" s="33">
        <v>0.29032258064516131</v>
      </c>
      <c r="M6" s="33">
        <v>0</v>
      </c>
      <c r="N6" s="33">
        <v>0.66666666666666663</v>
      </c>
      <c r="O6" s="33">
        <v>0</v>
      </c>
      <c r="P6" s="33">
        <v>0.75</v>
      </c>
    </row>
    <row r="7" spans="1:17" x14ac:dyDescent="0.45">
      <c r="A7" s="35">
        <v>4</v>
      </c>
      <c r="B7" s="32">
        <v>-64.3</v>
      </c>
      <c r="C7" s="32">
        <v>-16.074999999999999</v>
      </c>
      <c r="D7" s="37">
        <v>2.25</v>
      </c>
      <c r="E7" s="33">
        <v>0</v>
      </c>
      <c r="F7" s="33">
        <v>0.25</v>
      </c>
      <c r="G7" s="33">
        <v>0.26315789473684209</v>
      </c>
      <c r="H7" s="33">
        <v>0.21052631578947367</v>
      </c>
      <c r="I7" s="34">
        <v>5410</v>
      </c>
      <c r="J7" s="34">
        <v>-7575</v>
      </c>
      <c r="K7" s="33">
        <v>0</v>
      </c>
      <c r="L7" s="33">
        <v>0.26315789473684209</v>
      </c>
      <c r="M7" s="33">
        <v>2.6315789473684209E-2</v>
      </c>
      <c r="N7" s="33">
        <v>0.7</v>
      </c>
      <c r="O7" s="33">
        <v>1</v>
      </c>
      <c r="P7" s="33">
        <v>0.6</v>
      </c>
    </row>
    <row r="8" spans="1:17" x14ac:dyDescent="0.45">
      <c r="A8" s="35">
        <v>5</v>
      </c>
      <c r="B8" s="32">
        <v>-42.3</v>
      </c>
      <c r="C8" s="32">
        <v>-8.4599999999999991</v>
      </c>
      <c r="D8" s="37">
        <v>2</v>
      </c>
      <c r="E8" s="33">
        <v>0.2</v>
      </c>
      <c r="F8" s="33">
        <v>0.2</v>
      </c>
      <c r="G8" s="33">
        <v>0.29545454545454547</v>
      </c>
      <c r="H8" s="33">
        <v>0.18181818181818182</v>
      </c>
      <c r="I8" s="34">
        <v>5238.4615384615381</v>
      </c>
      <c r="J8" s="34">
        <v>-7575</v>
      </c>
      <c r="K8" s="33">
        <v>0</v>
      </c>
      <c r="L8" s="33">
        <v>0.29545454545454547</v>
      </c>
      <c r="M8" s="33">
        <v>4.5454545454545456E-2</v>
      </c>
      <c r="N8" s="33">
        <v>0.76923076923076927</v>
      </c>
      <c r="O8" s="33">
        <v>0.5</v>
      </c>
      <c r="P8" s="33">
        <v>0.53846153846153844</v>
      </c>
    </row>
    <row r="9" spans="1:17" x14ac:dyDescent="0.45">
      <c r="A9" s="35">
        <v>6</v>
      </c>
      <c r="B9" s="32">
        <v>27.700000000000003</v>
      </c>
      <c r="C9" s="32">
        <v>4.6166666666666671</v>
      </c>
      <c r="D9" s="37">
        <v>1.8333333333333333</v>
      </c>
      <c r="E9" s="33">
        <v>0.33333333333333331</v>
      </c>
      <c r="F9" s="33">
        <v>0.16666666666666666</v>
      </c>
      <c r="G9" s="33">
        <v>0.35416666666666669</v>
      </c>
      <c r="H9" s="33">
        <v>0.16666666666666666</v>
      </c>
      <c r="I9" s="34">
        <v>7005.8823529411766</v>
      </c>
      <c r="J9" s="34">
        <v>-7575</v>
      </c>
      <c r="K9" s="33">
        <v>0</v>
      </c>
      <c r="L9" s="33">
        <v>0.33333333333333331</v>
      </c>
      <c r="M9" s="33">
        <v>6.25E-2</v>
      </c>
      <c r="N9" s="33">
        <v>0.8125</v>
      </c>
      <c r="O9" s="33">
        <v>0.66666666666666663</v>
      </c>
      <c r="P9" s="33">
        <v>0.58823529411764708</v>
      </c>
    </row>
    <row r="10" spans="1:17" x14ac:dyDescent="0.45">
      <c r="A10" s="35">
        <v>7</v>
      </c>
      <c r="B10" s="32">
        <v>-4.1999999999999957</v>
      </c>
      <c r="C10" s="32">
        <v>-0.59999999999999942</v>
      </c>
      <c r="D10" s="37">
        <v>2</v>
      </c>
      <c r="E10" s="33">
        <v>0.2857142857142857</v>
      </c>
      <c r="F10" s="33">
        <v>0.2857142857142857</v>
      </c>
      <c r="G10" s="33">
        <v>0.33333333333333331</v>
      </c>
      <c r="H10" s="33">
        <v>0.17460317460317459</v>
      </c>
      <c r="I10" s="34">
        <v>7295.2380952380954</v>
      </c>
      <c r="J10" s="34">
        <v>-8554.545454545454</v>
      </c>
      <c r="K10" s="33">
        <v>0</v>
      </c>
      <c r="L10" s="33">
        <v>0.33333333333333331</v>
      </c>
      <c r="M10" s="33">
        <v>6.3492063492063489E-2</v>
      </c>
      <c r="N10" s="33">
        <v>0.76190476190476186</v>
      </c>
      <c r="O10" s="33">
        <v>0.75</v>
      </c>
      <c r="P10" s="33">
        <v>0.5714285714285714</v>
      </c>
    </row>
    <row r="11" spans="1:17" x14ac:dyDescent="0.45">
      <c r="A11" s="35">
        <v>8</v>
      </c>
      <c r="B11" s="32">
        <v>-19.299999999999997</v>
      </c>
      <c r="C11" s="32">
        <v>-2.4124999999999996</v>
      </c>
      <c r="D11" s="37">
        <v>2.125</v>
      </c>
      <c r="E11" s="33">
        <v>0.25</v>
      </c>
      <c r="F11" s="33">
        <v>0.375</v>
      </c>
      <c r="G11" s="33">
        <v>0.3188405797101449</v>
      </c>
      <c r="H11" s="33">
        <v>0.17391304347826086</v>
      </c>
      <c r="I11" s="34">
        <v>7509.090909090909</v>
      </c>
      <c r="J11" s="34">
        <v>-8508.3333333333339</v>
      </c>
      <c r="K11" s="33">
        <v>0</v>
      </c>
      <c r="L11" s="33">
        <v>0.33333333333333331</v>
      </c>
      <c r="M11" s="33">
        <v>8.6956521739130432E-2</v>
      </c>
      <c r="N11" s="33">
        <v>0.73913043478260865</v>
      </c>
      <c r="O11" s="33">
        <v>0.5</v>
      </c>
      <c r="P11" s="33">
        <v>0.54545454545454541</v>
      </c>
    </row>
    <row r="12" spans="1:17" x14ac:dyDescent="0.45">
      <c r="A12" s="35">
        <v>9</v>
      </c>
      <c r="B12" s="32">
        <v>-41.599999999999994</v>
      </c>
      <c r="C12" s="32">
        <v>-4.6222222222222218</v>
      </c>
      <c r="D12" s="37">
        <v>2.1111111111111112</v>
      </c>
      <c r="E12" s="33">
        <v>0.22222222222222221</v>
      </c>
      <c r="F12" s="33">
        <v>0.33333333333333331</v>
      </c>
      <c r="G12" s="33">
        <v>0.3108108108108108</v>
      </c>
      <c r="H12" s="33">
        <v>0.1891891891891892</v>
      </c>
      <c r="I12" s="34">
        <v>7530.434782608696</v>
      </c>
      <c r="J12" s="34">
        <v>-8671.4285714285706</v>
      </c>
      <c r="K12" s="33">
        <v>0</v>
      </c>
      <c r="L12" s="33">
        <v>0.32432432432432434</v>
      </c>
      <c r="M12" s="33">
        <v>9.45945945945946E-2</v>
      </c>
      <c r="N12" s="33">
        <v>0.70833333333333337</v>
      </c>
      <c r="O12" s="33">
        <v>0.5714285714285714</v>
      </c>
      <c r="P12" s="33">
        <v>0.52173913043478259</v>
      </c>
    </row>
  </sheetData>
  <phoneticPr fontId="1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56FFD8-738C-45B5-98A6-6C73FC1D9DEB}">
  <sheetPr codeName="Sheet22"/>
  <dimension ref="A1:Q26"/>
  <sheetViews>
    <sheetView workbookViewId="0"/>
  </sheetViews>
  <sheetFormatPr defaultColWidth="10.69921875" defaultRowHeight="18" x14ac:dyDescent="0.45"/>
  <cols>
    <col min="1" max="1" width="10.69921875" style="35"/>
    <col min="2" max="3" width="10.69921875" style="32"/>
    <col min="4" max="4" width="10.69921875" style="37"/>
    <col min="5" max="8" width="10.69921875" style="33"/>
    <col min="9" max="10" width="10.69921875" style="34"/>
    <col min="11" max="16" width="10.69921875" style="33"/>
    <col min="17" max="16384" width="10.69921875" style="36"/>
  </cols>
  <sheetData>
    <row r="1" spans="1:17" x14ac:dyDescent="0.45">
      <c r="A1" s="36" t="s">
        <v>205</v>
      </c>
      <c r="B1" s="36" t="s">
        <v>205</v>
      </c>
      <c r="C1" s="36" t="s">
        <v>205</v>
      </c>
      <c r="D1" s="37" t="s">
        <v>205</v>
      </c>
      <c r="E1" s="36" t="s">
        <v>205</v>
      </c>
      <c r="F1" s="36" t="s">
        <v>205</v>
      </c>
      <c r="G1" s="36" t="s">
        <v>205</v>
      </c>
      <c r="H1" s="36" t="s">
        <v>205</v>
      </c>
      <c r="I1" s="36" t="s">
        <v>205</v>
      </c>
      <c r="J1" s="36" t="s">
        <v>205</v>
      </c>
      <c r="K1" s="36" t="s">
        <v>205</v>
      </c>
      <c r="L1" s="36" t="s">
        <v>205</v>
      </c>
      <c r="M1" s="36" t="s">
        <v>205</v>
      </c>
      <c r="N1" s="36" t="s">
        <v>205</v>
      </c>
      <c r="O1" s="36" t="s">
        <v>205</v>
      </c>
      <c r="P1" s="36" t="s">
        <v>205</v>
      </c>
      <c r="Q1" s="36" t="s">
        <v>205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68.2</v>
      </c>
      <c r="C4" s="32">
        <v>68.2</v>
      </c>
      <c r="D4" s="37">
        <v>1</v>
      </c>
      <c r="E4" s="33">
        <v>1</v>
      </c>
      <c r="F4" s="33">
        <v>0</v>
      </c>
      <c r="G4" s="33">
        <v>0.75</v>
      </c>
      <c r="H4" s="33">
        <v>0.25</v>
      </c>
      <c r="I4" s="34">
        <v>10350</v>
      </c>
      <c r="J4" s="34">
        <v>-1950</v>
      </c>
      <c r="K4" s="33">
        <v>0</v>
      </c>
      <c r="L4" s="33">
        <v>0.25</v>
      </c>
      <c r="M4" s="33">
        <v>0.125</v>
      </c>
      <c r="N4" s="33">
        <v>1</v>
      </c>
      <c r="O4" s="33">
        <v>1</v>
      </c>
      <c r="P4" s="33">
        <v>0.33333333333333331</v>
      </c>
    </row>
    <row r="5" spans="1:17" x14ac:dyDescent="0.45">
      <c r="A5" s="35">
        <v>2</v>
      </c>
      <c r="B5" s="32">
        <v>41.2</v>
      </c>
      <c r="C5" s="32">
        <v>20.6</v>
      </c>
      <c r="D5" s="37">
        <v>2</v>
      </c>
      <c r="E5" s="33">
        <v>0.5</v>
      </c>
      <c r="F5" s="33">
        <v>0.5</v>
      </c>
      <c r="G5" s="33">
        <v>0.5</v>
      </c>
      <c r="H5" s="33">
        <v>0.21428571428571427</v>
      </c>
      <c r="I5" s="34">
        <v>9442.8571428571431</v>
      </c>
      <c r="J5" s="34">
        <v>-5300</v>
      </c>
      <c r="K5" s="33">
        <v>0</v>
      </c>
      <c r="L5" s="33">
        <v>0.21428571428571427</v>
      </c>
      <c r="M5" s="33">
        <v>0.14285714285714285</v>
      </c>
      <c r="N5" s="33">
        <v>0.66666666666666663</v>
      </c>
      <c r="O5" s="33">
        <v>0.5</v>
      </c>
      <c r="P5" s="33">
        <v>0.42857142857142855</v>
      </c>
    </row>
    <row r="6" spans="1:17" x14ac:dyDescent="0.45">
      <c r="A6" s="35">
        <v>3</v>
      </c>
      <c r="B6" s="32">
        <v>8.9000000000000057</v>
      </c>
      <c r="C6" s="32">
        <v>2.9666666666666686</v>
      </c>
      <c r="D6" s="37">
        <v>2.3333333333333335</v>
      </c>
      <c r="E6" s="33">
        <v>0.33333333333333331</v>
      </c>
      <c r="F6" s="33">
        <v>0.66666666666666663</v>
      </c>
      <c r="G6" s="33">
        <v>0.4</v>
      </c>
      <c r="H6" s="33">
        <v>0.2</v>
      </c>
      <c r="I6" s="34">
        <v>7870</v>
      </c>
      <c r="J6" s="34">
        <v>-8760</v>
      </c>
      <c r="K6" s="33">
        <v>0</v>
      </c>
      <c r="L6" s="33">
        <v>0.2</v>
      </c>
      <c r="M6" s="33">
        <v>0.16</v>
      </c>
      <c r="N6" s="33">
        <v>0.6</v>
      </c>
      <c r="O6" s="33">
        <v>0.25</v>
      </c>
      <c r="P6" s="33">
        <v>0.4</v>
      </c>
    </row>
    <row r="7" spans="1:17" x14ac:dyDescent="0.45">
      <c r="A7" s="35">
        <v>4</v>
      </c>
      <c r="B7" s="32">
        <v>-41.199999999999996</v>
      </c>
      <c r="C7" s="32">
        <v>-10.299999999999999</v>
      </c>
      <c r="D7" s="37">
        <v>2.5</v>
      </c>
      <c r="E7" s="33">
        <v>0.25</v>
      </c>
      <c r="F7" s="33">
        <v>0.75</v>
      </c>
      <c r="G7" s="33">
        <v>0.33333333333333331</v>
      </c>
      <c r="H7" s="33">
        <v>0.23333333333333334</v>
      </c>
      <c r="I7" s="34">
        <v>7870</v>
      </c>
      <c r="J7" s="34">
        <v>-9628.5714285714294</v>
      </c>
      <c r="K7" s="33">
        <v>0.25</v>
      </c>
      <c r="L7" s="33">
        <v>0.16666666666666666</v>
      </c>
      <c r="M7" s="33">
        <v>0.23333333333333334</v>
      </c>
      <c r="N7" s="33">
        <v>0.6</v>
      </c>
      <c r="O7" s="33">
        <v>0.14285714285714285</v>
      </c>
      <c r="P7" s="33">
        <v>0.4</v>
      </c>
    </row>
    <row r="8" spans="1:17" x14ac:dyDescent="0.45">
      <c r="A8" s="35">
        <v>5</v>
      </c>
      <c r="B8" s="32">
        <v>-72.899999999999991</v>
      </c>
      <c r="C8" s="32">
        <v>-14.579999999999998</v>
      </c>
      <c r="D8" s="37">
        <v>2.6</v>
      </c>
      <c r="E8" s="33">
        <v>0.2</v>
      </c>
      <c r="F8" s="33">
        <v>0.8</v>
      </c>
      <c r="G8" s="33">
        <v>0.31578947368421051</v>
      </c>
      <c r="H8" s="33">
        <v>0.23684210526315788</v>
      </c>
      <c r="I8" s="34">
        <v>7891.666666666667</v>
      </c>
      <c r="J8" s="34">
        <v>-8955.5555555555547</v>
      </c>
      <c r="K8" s="33">
        <v>0.2</v>
      </c>
      <c r="L8" s="33">
        <v>0.13157894736842105</v>
      </c>
      <c r="M8" s="33">
        <v>0.34210526315789475</v>
      </c>
      <c r="N8" s="33">
        <v>0.6</v>
      </c>
      <c r="O8" s="33">
        <v>0.23076923076923078</v>
      </c>
      <c r="P8" s="33">
        <v>0.33333333333333331</v>
      </c>
    </row>
    <row r="9" spans="1:17" x14ac:dyDescent="0.45">
      <c r="A9" s="35">
        <v>6</v>
      </c>
      <c r="B9" s="32">
        <v>-130</v>
      </c>
      <c r="C9" s="32">
        <v>-21.666666666666668</v>
      </c>
      <c r="D9" s="37">
        <v>2.6666666666666665</v>
      </c>
      <c r="E9" s="33">
        <v>0.16666666666666666</v>
      </c>
      <c r="F9" s="33">
        <v>0.83333333333333337</v>
      </c>
      <c r="G9" s="33">
        <v>0.2978723404255319</v>
      </c>
      <c r="H9" s="33">
        <v>0.25531914893617019</v>
      </c>
      <c r="I9" s="34">
        <v>8464.2857142857138</v>
      </c>
      <c r="J9" s="34">
        <v>-11600</v>
      </c>
      <c r="K9" s="33">
        <v>0.33333333333333331</v>
      </c>
      <c r="L9" s="33">
        <v>0.1276595744680851</v>
      </c>
      <c r="M9" s="33">
        <v>0.34042553191489361</v>
      </c>
      <c r="N9" s="33">
        <v>0.66666666666666663</v>
      </c>
      <c r="O9" s="33">
        <v>0.25</v>
      </c>
      <c r="P9" s="33">
        <v>0.35714285714285715</v>
      </c>
    </row>
    <row r="10" spans="1:17" x14ac:dyDescent="0.45">
      <c r="A10" s="35">
        <v>7</v>
      </c>
      <c r="B10" s="32">
        <v>-183</v>
      </c>
      <c r="C10" s="32">
        <v>-26.142857142857142</v>
      </c>
      <c r="D10" s="37">
        <v>2.7142857142857144</v>
      </c>
      <c r="E10" s="33">
        <v>0.14285714285714285</v>
      </c>
      <c r="F10" s="33">
        <v>0.8571428571428571</v>
      </c>
      <c r="G10" s="33">
        <v>0.27450980392156865</v>
      </c>
      <c r="H10" s="33">
        <v>0.27450980392156865</v>
      </c>
      <c r="I10" s="34">
        <v>8464.2857142857138</v>
      </c>
      <c r="J10" s="34">
        <v>-11657.142857142857</v>
      </c>
      <c r="K10" s="33">
        <v>0.42857142857142855</v>
      </c>
      <c r="L10" s="33">
        <v>0.11764705882352941</v>
      </c>
      <c r="M10" s="33">
        <v>0.35294117647058826</v>
      </c>
      <c r="N10" s="33">
        <v>0.66666666666666663</v>
      </c>
      <c r="O10" s="33">
        <v>0.22222222222222221</v>
      </c>
      <c r="P10" s="33">
        <v>0.35714285714285715</v>
      </c>
    </row>
    <row r="11" spans="1:17" x14ac:dyDescent="0.45">
      <c r="A11" s="35">
        <v>8</v>
      </c>
      <c r="B11" s="32">
        <v>-128.6</v>
      </c>
      <c r="C11" s="32">
        <v>-16.074999999999999</v>
      </c>
      <c r="D11" s="37">
        <v>2.5</v>
      </c>
      <c r="E11" s="33">
        <v>0.25</v>
      </c>
      <c r="F11" s="33">
        <v>0.75</v>
      </c>
      <c r="G11" s="33">
        <v>0.32203389830508472</v>
      </c>
      <c r="H11" s="33">
        <v>0.2711864406779661</v>
      </c>
      <c r="I11" s="34">
        <v>9442.105263157895</v>
      </c>
      <c r="J11" s="34">
        <v>-11700</v>
      </c>
      <c r="K11" s="33">
        <v>0.375</v>
      </c>
      <c r="L11" s="33">
        <v>0.15254237288135594</v>
      </c>
      <c r="M11" s="33">
        <v>0.3728813559322034</v>
      </c>
      <c r="N11" s="33">
        <v>0.77777777777777779</v>
      </c>
      <c r="O11" s="33">
        <v>0.22727272727272727</v>
      </c>
      <c r="P11" s="33">
        <v>0.36842105263157893</v>
      </c>
    </row>
    <row r="12" spans="1:17" x14ac:dyDescent="0.45">
      <c r="A12" s="35">
        <v>9</v>
      </c>
      <c r="B12" s="32">
        <v>-120</v>
      </c>
      <c r="C12" s="32">
        <v>-13.333333333333334</v>
      </c>
      <c r="D12" s="37">
        <v>2.4444444444444446</v>
      </c>
      <c r="E12" s="33">
        <v>0.22222222222222221</v>
      </c>
      <c r="F12" s="33">
        <v>0.66666666666666663</v>
      </c>
      <c r="G12" s="33">
        <v>0.31818181818181818</v>
      </c>
      <c r="H12" s="33">
        <v>0.24242424242424243</v>
      </c>
      <c r="I12" s="34">
        <v>9809.5238095238092</v>
      </c>
      <c r="J12" s="34">
        <v>-11700</v>
      </c>
      <c r="K12" s="33">
        <v>0.33333333333333331</v>
      </c>
      <c r="L12" s="33">
        <v>0.16666666666666666</v>
      </c>
      <c r="M12" s="33">
        <v>0.34848484848484851</v>
      </c>
      <c r="N12" s="33">
        <v>0.72727272727272729</v>
      </c>
      <c r="O12" s="33">
        <v>0.2608695652173913</v>
      </c>
      <c r="P12" s="33">
        <v>0.38095238095238093</v>
      </c>
    </row>
    <row r="13" spans="1:17" x14ac:dyDescent="0.45">
      <c r="A13" s="35">
        <v>10</v>
      </c>
      <c r="B13" s="32">
        <v>-112.8</v>
      </c>
      <c r="C13" s="32">
        <v>-11.28</v>
      </c>
      <c r="D13" s="37">
        <v>2.4</v>
      </c>
      <c r="E13" s="33">
        <v>0.2</v>
      </c>
      <c r="F13" s="33">
        <v>0.6</v>
      </c>
      <c r="G13" s="33">
        <v>0.32876712328767121</v>
      </c>
      <c r="H13" s="33">
        <v>0.24657534246575341</v>
      </c>
      <c r="I13" s="34">
        <v>9712.5</v>
      </c>
      <c r="J13" s="34">
        <v>-11227.777777777777</v>
      </c>
      <c r="K13" s="33">
        <v>0.3</v>
      </c>
      <c r="L13" s="33">
        <v>0.16438356164383561</v>
      </c>
      <c r="M13" s="33">
        <v>0.34246575342465752</v>
      </c>
      <c r="N13" s="33">
        <v>0.75</v>
      </c>
      <c r="O13" s="33">
        <v>0.24</v>
      </c>
      <c r="P13" s="33">
        <v>0.375</v>
      </c>
    </row>
    <row r="14" spans="1:17" x14ac:dyDescent="0.45">
      <c r="A14" s="35">
        <v>11</v>
      </c>
      <c r="B14" s="32">
        <v>-121</v>
      </c>
      <c r="C14" s="32">
        <v>-11</v>
      </c>
      <c r="D14" s="37">
        <v>2.3636363636363638</v>
      </c>
      <c r="E14" s="33">
        <v>0.18181818181818182</v>
      </c>
      <c r="F14" s="33">
        <v>0.54545454545454541</v>
      </c>
      <c r="G14" s="33">
        <v>0.31707317073170732</v>
      </c>
      <c r="H14" s="33">
        <v>0.24390243902439024</v>
      </c>
      <c r="I14" s="34">
        <v>9503.8461538461543</v>
      </c>
      <c r="J14" s="34">
        <v>-10365</v>
      </c>
      <c r="K14" s="33">
        <v>0.27272727272727271</v>
      </c>
      <c r="L14" s="33">
        <v>0.15853658536585366</v>
      </c>
      <c r="M14" s="33">
        <v>0.32926829268292684</v>
      </c>
      <c r="N14" s="33">
        <v>0.69230769230769229</v>
      </c>
      <c r="O14" s="33">
        <v>0.25925925925925924</v>
      </c>
      <c r="P14" s="33">
        <v>0.34615384615384615</v>
      </c>
    </row>
    <row r="15" spans="1:17" x14ac:dyDescent="0.45">
      <c r="A15" s="35">
        <v>12</v>
      </c>
      <c r="B15" s="32">
        <v>-108.5</v>
      </c>
      <c r="C15" s="32">
        <v>-9.0416666666666661</v>
      </c>
      <c r="D15" s="37">
        <v>2.25</v>
      </c>
      <c r="E15" s="33">
        <v>0.25</v>
      </c>
      <c r="F15" s="33">
        <v>0.5</v>
      </c>
      <c r="G15" s="33">
        <v>0.32222222222222224</v>
      </c>
      <c r="H15" s="33">
        <v>0.24444444444444444</v>
      </c>
      <c r="I15" s="34">
        <v>8979.310344827587</v>
      </c>
      <c r="J15" s="34">
        <v>-9904.545454545454</v>
      </c>
      <c r="K15" s="33">
        <v>0.25</v>
      </c>
      <c r="L15" s="33">
        <v>0.14444444444444443</v>
      </c>
      <c r="M15" s="33">
        <v>0.34444444444444444</v>
      </c>
      <c r="N15" s="33">
        <v>0.69230769230769229</v>
      </c>
      <c r="O15" s="33">
        <v>0.25806451612903225</v>
      </c>
      <c r="P15" s="33">
        <v>0.34482758620689657</v>
      </c>
    </row>
    <row r="16" spans="1:17" x14ac:dyDescent="0.45">
      <c r="A16" s="35">
        <v>13</v>
      </c>
      <c r="B16" s="32">
        <v>-63.4</v>
      </c>
      <c r="C16" s="32">
        <v>-4.8769230769230765</v>
      </c>
      <c r="D16" s="37">
        <v>2.1538461538461537</v>
      </c>
      <c r="E16" s="33">
        <v>0.30769230769230771</v>
      </c>
      <c r="F16" s="33">
        <v>0.46153846153846156</v>
      </c>
      <c r="G16" s="33">
        <v>0.34375</v>
      </c>
      <c r="H16" s="33">
        <v>0.22916666666666666</v>
      </c>
      <c r="I16" s="34">
        <v>9090.9090909090901</v>
      </c>
      <c r="J16" s="34">
        <v>-9904.545454545454</v>
      </c>
      <c r="K16" s="33">
        <v>0.23076923076923078</v>
      </c>
      <c r="L16" s="33">
        <v>0.17708333333333334</v>
      </c>
      <c r="M16" s="33">
        <v>0.33333333333333331</v>
      </c>
      <c r="N16" s="33">
        <v>0.6470588235294118</v>
      </c>
      <c r="O16" s="33">
        <v>0.28125</v>
      </c>
      <c r="P16" s="33">
        <v>0.33333333333333331</v>
      </c>
    </row>
    <row r="17" spans="1:16" x14ac:dyDescent="0.45">
      <c r="A17" s="35">
        <v>14</v>
      </c>
      <c r="B17" s="32">
        <v>-42.4</v>
      </c>
      <c r="C17" s="32">
        <v>-3.0285714285714285</v>
      </c>
      <c r="D17" s="37">
        <v>2.0714285714285716</v>
      </c>
      <c r="E17" s="33">
        <v>0.35714285714285715</v>
      </c>
      <c r="F17" s="33">
        <v>0.42857142857142855</v>
      </c>
      <c r="G17" s="33">
        <v>0.35238095238095241</v>
      </c>
      <c r="H17" s="33">
        <v>0.21904761904761905</v>
      </c>
      <c r="I17" s="34">
        <v>9108.1081081081084</v>
      </c>
      <c r="J17" s="34">
        <v>-9821.7391304347821</v>
      </c>
      <c r="K17" s="33">
        <v>0.21428571428571427</v>
      </c>
      <c r="L17" s="33">
        <v>0.18095238095238095</v>
      </c>
      <c r="M17" s="33">
        <v>0.32380952380952382</v>
      </c>
      <c r="N17" s="33">
        <v>0.68421052631578949</v>
      </c>
      <c r="O17" s="33">
        <v>0.29411764705882354</v>
      </c>
      <c r="P17" s="33">
        <v>0.29729729729729731</v>
      </c>
    </row>
    <row r="18" spans="1:16" x14ac:dyDescent="0.45">
      <c r="A18" s="35">
        <v>15</v>
      </c>
      <c r="B18" s="32">
        <v>-65.7</v>
      </c>
      <c r="C18" s="32">
        <v>-4.38</v>
      </c>
      <c r="D18" s="37">
        <v>2.0666666666666669</v>
      </c>
      <c r="E18" s="33">
        <v>0.33333333333333331</v>
      </c>
      <c r="F18" s="33">
        <v>0.4</v>
      </c>
      <c r="G18" s="33">
        <v>0.33913043478260868</v>
      </c>
      <c r="H18" s="33">
        <v>0.21739130434782608</v>
      </c>
      <c r="I18" s="34">
        <v>9082.0512820512813</v>
      </c>
      <c r="J18" s="34">
        <v>-9836</v>
      </c>
      <c r="K18" s="33">
        <v>0.2</v>
      </c>
      <c r="L18" s="33">
        <v>0.17391304347826086</v>
      </c>
      <c r="M18" s="33">
        <v>0.31304347826086959</v>
      </c>
      <c r="N18" s="33">
        <v>0.65</v>
      </c>
      <c r="O18" s="33">
        <v>0.30555555555555558</v>
      </c>
      <c r="P18" s="33">
        <v>0.30769230769230771</v>
      </c>
    </row>
    <row r="19" spans="1:16" x14ac:dyDescent="0.45">
      <c r="A19" s="35">
        <v>16</v>
      </c>
      <c r="B19" s="32">
        <v>-104.80000000000001</v>
      </c>
      <c r="C19" s="32">
        <v>-6.5500000000000007</v>
      </c>
      <c r="D19" s="37">
        <v>2.125</v>
      </c>
      <c r="E19" s="33">
        <v>0.3125</v>
      </c>
      <c r="F19" s="33">
        <v>0.4375</v>
      </c>
      <c r="G19" s="33">
        <v>0.32258064516129031</v>
      </c>
      <c r="H19" s="33">
        <v>0.22580645161290322</v>
      </c>
      <c r="I19" s="34">
        <v>8987.5</v>
      </c>
      <c r="J19" s="34">
        <v>-9542.8571428571431</v>
      </c>
      <c r="K19" s="33">
        <v>0.1875</v>
      </c>
      <c r="L19" s="33">
        <v>0.19354838709677419</v>
      </c>
      <c r="M19" s="33">
        <v>0.30645161290322581</v>
      </c>
      <c r="N19" s="33">
        <v>0.58333333333333337</v>
      </c>
      <c r="O19" s="33">
        <v>0.28947368421052633</v>
      </c>
      <c r="P19" s="33">
        <v>0.32500000000000001</v>
      </c>
    </row>
    <row r="20" spans="1:16" x14ac:dyDescent="0.45">
      <c r="A20" s="35">
        <v>17</v>
      </c>
      <c r="B20" s="32">
        <v>-52.900000000000013</v>
      </c>
      <c r="C20" s="32">
        <v>-3.1117647058823539</v>
      </c>
      <c r="D20" s="37">
        <v>2.0588235294117645</v>
      </c>
      <c r="E20" s="33">
        <v>0.35294117647058826</v>
      </c>
      <c r="F20" s="33">
        <v>0.41176470588235292</v>
      </c>
      <c r="G20" s="33">
        <v>0.328125</v>
      </c>
      <c r="H20" s="33">
        <v>0.2265625</v>
      </c>
      <c r="I20" s="34">
        <v>9978.5714285714294</v>
      </c>
      <c r="J20" s="34">
        <v>-9479.310344827587</v>
      </c>
      <c r="K20" s="33">
        <v>0.17647058823529413</v>
      </c>
      <c r="L20" s="33">
        <v>0.1953125</v>
      </c>
      <c r="M20" s="33">
        <v>0.3046875</v>
      </c>
      <c r="N20" s="33">
        <v>0.6</v>
      </c>
      <c r="O20" s="33">
        <v>0.28205128205128205</v>
      </c>
      <c r="P20" s="33">
        <v>0.35714285714285715</v>
      </c>
    </row>
    <row r="21" spans="1:16" x14ac:dyDescent="0.45">
      <c r="A21" s="35">
        <v>18</v>
      </c>
      <c r="B21" s="32">
        <v>-45.800000000000011</v>
      </c>
      <c r="C21" s="32">
        <v>-2.5444444444444452</v>
      </c>
      <c r="D21" s="37">
        <v>2.0555555555555554</v>
      </c>
      <c r="E21" s="33">
        <v>0.33333333333333331</v>
      </c>
      <c r="F21" s="33">
        <v>0.3888888888888889</v>
      </c>
      <c r="G21" s="33">
        <v>0.32846715328467152</v>
      </c>
      <c r="H21" s="33">
        <v>0.21897810218978103</v>
      </c>
      <c r="I21" s="34">
        <v>9720</v>
      </c>
      <c r="J21" s="34">
        <v>-9336.6666666666661</v>
      </c>
      <c r="K21" s="33">
        <v>0.16666666666666666</v>
      </c>
      <c r="L21" s="33">
        <v>0.18978102189781021</v>
      </c>
      <c r="M21" s="33">
        <v>0.29927007299270075</v>
      </c>
      <c r="N21" s="33">
        <v>0.57692307692307687</v>
      </c>
      <c r="O21" s="33">
        <v>0.29268292682926828</v>
      </c>
      <c r="P21" s="33">
        <v>0.35555555555555557</v>
      </c>
    </row>
    <row r="22" spans="1:16" x14ac:dyDescent="0.45">
      <c r="A22" s="35">
        <v>19</v>
      </c>
      <c r="B22" s="32">
        <v>-67.600000000000009</v>
      </c>
      <c r="C22" s="32">
        <v>-3.5578947368421057</v>
      </c>
      <c r="D22" s="37">
        <v>2.1052631578947367</v>
      </c>
      <c r="E22" s="33">
        <v>0.31578947368421051</v>
      </c>
      <c r="F22" s="33">
        <v>0.42105263157894735</v>
      </c>
      <c r="G22" s="33">
        <v>0.32167832167832167</v>
      </c>
      <c r="H22" s="33">
        <v>0.21678321678321677</v>
      </c>
      <c r="I22" s="34">
        <v>9676.0869565217399</v>
      </c>
      <c r="J22" s="34">
        <v>-9551.6129032258068</v>
      </c>
      <c r="K22" s="33">
        <v>0.15789473684210525</v>
      </c>
      <c r="L22" s="33">
        <v>0.18181818181818182</v>
      </c>
      <c r="M22" s="33">
        <v>0.30769230769230771</v>
      </c>
      <c r="N22" s="33">
        <v>0.57692307692307687</v>
      </c>
      <c r="O22" s="33">
        <v>0.29545454545454547</v>
      </c>
      <c r="P22" s="33">
        <v>0.36956521739130432</v>
      </c>
    </row>
    <row r="23" spans="1:16" x14ac:dyDescent="0.45">
      <c r="A23" s="35">
        <v>20</v>
      </c>
      <c r="B23" s="32">
        <v>-26.70000000000001</v>
      </c>
      <c r="C23" s="32">
        <v>-1.3350000000000004</v>
      </c>
      <c r="D23" s="37">
        <v>2.0499999999999998</v>
      </c>
      <c r="E23" s="33">
        <v>0.35</v>
      </c>
      <c r="F23" s="33">
        <v>0.4</v>
      </c>
      <c r="G23" s="33">
        <v>0.33774834437086093</v>
      </c>
      <c r="H23" s="33">
        <v>0.20529801324503311</v>
      </c>
      <c r="I23" s="34">
        <v>9411.7647058823532</v>
      </c>
      <c r="J23" s="34">
        <v>-9551.6129032258068</v>
      </c>
      <c r="K23" s="33">
        <v>0.15</v>
      </c>
      <c r="L23" s="33">
        <v>0.19205298013245034</v>
      </c>
      <c r="M23" s="33">
        <v>0.31125827814569534</v>
      </c>
      <c r="N23" s="33">
        <v>0.62068965517241381</v>
      </c>
      <c r="O23" s="33">
        <v>0.2978723404255319</v>
      </c>
      <c r="P23" s="33">
        <v>0.35294117647058826</v>
      </c>
    </row>
    <row r="24" spans="1:16" x14ac:dyDescent="0.45">
      <c r="A24" s="35">
        <v>21</v>
      </c>
      <c r="B24" s="32">
        <v>-41.20000000000001</v>
      </c>
      <c r="C24" s="32">
        <v>-1.9619047619047625</v>
      </c>
      <c r="D24" s="37">
        <v>2.0952380952380953</v>
      </c>
      <c r="E24" s="33">
        <v>0.33333333333333331</v>
      </c>
      <c r="F24" s="33">
        <v>0.42857142857142855</v>
      </c>
      <c r="G24" s="33">
        <v>0.34375</v>
      </c>
      <c r="H24" s="33">
        <v>0.2</v>
      </c>
      <c r="I24" s="34">
        <v>9172.7272727272721</v>
      </c>
      <c r="J24" s="34">
        <v>-9753.125</v>
      </c>
      <c r="K24" s="33">
        <v>0.14285714285714285</v>
      </c>
      <c r="L24" s="33">
        <v>0.20624999999999999</v>
      </c>
      <c r="M24" s="33">
        <v>0.30625000000000002</v>
      </c>
      <c r="N24" s="33">
        <v>0.63636363636363635</v>
      </c>
      <c r="O24" s="33">
        <v>0.2857142857142857</v>
      </c>
      <c r="P24" s="33">
        <v>0.36363636363636365</v>
      </c>
    </row>
    <row r="25" spans="1:16" x14ac:dyDescent="0.45">
      <c r="A25" s="35">
        <v>22</v>
      </c>
      <c r="B25" s="32">
        <v>-38.400000000000013</v>
      </c>
      <c r="C25" s="32">
        <v>-1.745454545454546</v>
      </c>
      <c r="D25" s="37">
        <v>2.0909090909090908</v>
      </c>
      <c r="E25" s="33">
        <v>0.31818181818181818</v>
      </c>
      <c r="F25" s="33">
        <v>0.40909090909090912</v>
      </c>
      <c r="G25" s="33">
        <v>0.33720930232558138</v>
      </c>
      <c r="H25" s="33">
        <v>0.19767441860465115</v>
      </c>
      <c r="I25" s="34">
        <v>9141.3793103448279</v>
      </c>
      <c r="J25" s="34">
        <v>-9464.7058823529405</v>
      </c>
      <c r="K25" s="33">
        <v>0.13636363636363635</v>
      </c>
      <c r="L25" s="33">
        <v>0.19186046511627908</v>
      </c>
      <c r="M25" s="33">
        <v>0.31395348837209303</v>
      </c>
      <c r="N25" s="33">
        <v>0.63636363636363635</v>
      </c>
      <c r="O25" s="33">
        <v>0.29629629629629628</v>
      </c>
      <c r="P25" s="33">
        <v>0.37931034482758619</v>
      </c>
    </row>
    <row r="26" spans="1:16" x14ac:dyDescent="0.45">
      <c r="A26" s="35">
        <v>23</v>
      </c>
      <c r="B26" s="32">
        <v>-83.9</v>
      </c>
      <c r="C26" s="32">
        <v>-3.6478260869565218</v>
      </c>
      <c r="D26" s="37">
        <v>2.1304347826086958</v>
      </c>
      <c r="E26" s="33">
        <v>0.30434782608695654</v>
      </c>
      <c r="F26" s="33">
        <v>0.43478260869565216</v>
      </c>
      <c r="G26" s="33">
        <v>0.32240437158469948</v>
      </c>
      <c r="H26" s="33">
        <v>0.19672131147540983</v>
      </c>
      <c r="I26" s="34">
        <v>9116.9491525423728</v>
      </c>
      <c r="J26" s="34">
        <v>-9605.5555555555547</v>
      </c>
      <c r="K26" s="33">
        <v>0.17391304347826086</v>
      </c>
      <c r="L26" s="33">
        <v>0.18579234972677597</v>
      </c>
      <c r="M26" s="33">
        <v>0.31693989071038253</v>
      </c>
      <c r="N26" s="33">
        <v>0.61764705882352944</v>
      </c>
      <c r="O26" s="33">
        <v>0.29310344827586204</v>
      </c>
      <c r="P26" s="33">
        <v>0.3728813559322034</v>
      </c>
    </row>
  </sheetData>
  <phoneticPr fontId="1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8F5429-DF6C-40B8-9CF4-1066A16074E1}">
  <sheetPr codeName="Sheet20"/>
  <dimension ref="A1:Q11"/>
  <sheetViews>
    <sheetView workbookViewId="0"/>
  </sheetViews>
  <sheetFormatPr defaultColWidth="10.69921875" defaultRowHeight="18" x14ac:dyDescent="0.45"/>
  <cols>
    <col min="1" max="1" width="10.69921875" style="35"/>
    <col min="2" max="3" width="10.69921875" style="32"/>
    <col min="4" max="4" width="10.69921875" style="37"/>
    <col min="5" max="8" width="10.69921875" style="33"/>
    <col min="9" max="10" width="10.69921875" style="34"/>
    <col min="11" max="16" width="10.69921875" style="33"/>
    <col min="17" max="16384" width="10.69921875" style="36"/>
  </cols>
  <sheetData>
    <row r="1" spans="1:17" x14ac:dyDescent="0.45">
      <c r="A1" s="36" t="s">
        <v>196</v>
      </c>
      <c r="B1" s="36" t="s">
        <v>196</v>
      </c>
      <c r="C1" s="36" t="s">
        <v>196</v>
      </c>
      <c r="D1" s="37" t="s">
        <v>196</v>
      </c>
      <c r="E1" s="36" t="s">
        <v>196</v>
      </c>
      <c r="F1" s="36" t="s">
        <v>196</v>
      </c>
      <c r="G1" s="36" t="s">
        <v>196</v>
      </c>
      <c r="H1" s="36" t="s">
        <v>196</v>
      </c>
      <c r="I1" s="36" t="s">
        <v>196</v>
      </c>
      <c r="J1" s="36" t="s">
        <v>196</v>
      </c>
      <c r="K1" s="36" t="s">
        <v>196</v>
      </c>
      <c r="L1" s="36" t="s">
        <v>196</v>
      </c>
      <c r="M1" s="36" t="s">
        <v>196</v>
      </c>
      <c r="N1" s="36" t="s">
        <v>196</v>
      </c>
      <c r="O1" s="36" t="s">
        <v>196</v>
      </c>
      <c r="P1" s="36" t="s">
        <v>196</v>
      </c>
      <c r="Q1" s="36" t="s">
        <v>196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-30.5</v>
      </c>
      <c r="C4" s="32">
        <v>-30.5</v>
      </c>
      <c r="D4" s="37">
        <v>2</v>
      </c>
      <c r="E4" s="33">
        <v>0</v>
      </c>
      <c r="F4" s="33">
        <v>0</v>
      </c>
      <c r="G4" s="33">
        <v>0</v>
      </c>
      <c r="H4" s="33">
        <v>0.125</v>
      </c>
      <c r="I4" s="34">
        <v>0</v>
      </c>
      <c r="J4" s="34">
        <v>-3900</v>
      </c>
      <c r="K4" s="33">
        <v>0</v>
      </c>
      <c r="L4" s="33">
        <v>0</v>
      </c>
      <c r="M4" s="33">
        <v>0.125</v>
      </c>
      <c r="N4" s="33">
        <v>0</v>
      </c>
      <c r="O4" s="33">
        <v>0</v>
      </c>
      <c r="P4" s="33">
        <v>0</v>
      </c>
    </row>
    <row r="5" spans="1:17" x14ac:dyDescent="0.45">
      <c r="A5" s="35">
        <v>2</v>
      </c>
      <c r="B5" s="32">
        <v>-28.6</v>
      </c>
      <c r="C5" s="32">
        <v>-14.3</v>
      </c>
      <c r="D5" s="37">
        <v>2</v>
      </c>
      <c r="E5" s="33">
        <v>0</v>
      </c>
      <c r="F5" s="33">
        <v>0</v>
      </c>
      <c r="G5" s="33">
        <v>0.14285714285714285</v>
      </c>
      <c r="H5" s="33">
        <v>7.1428571428571425E-2</v>
      </c>
      <c r="I5" s="34">
        <v>4600</v>
      </c>
      <c r="J5" s="34">
        <v>-3900</v>
      </c>
      <c r="K5" s="33">
        <v>0</v>
      </c>
      <c r="L5" s="33">
        <v>7.1428571428571425E-2</v>
      </c>
      <c r="M5" s="33">
        <v>7.1428571428571425E-2</v>
      </c>
      <c r="N5" s="33">
        <v>1</v>
      </c>
      <c r="O5" s="33">
        <v>0</v>
      </c>
      <c r="P5" s="33">
        <v>0.5</v>
      </c>
    </row>
    <row r="6" spans="1:17" x14ac:dyDescent="0.45">
      <c r="A6" s="35">
        <v>3</v>
      </c>
      <c r="B6" s="32">
        <v>-41.400000000000006</v>
      </c>
      <c r="C6" s="32">
        <v>-13.800000000000002</v>
      </c>
      <c r="D6" s="37">
        <v>2.3333333333333335</v>
      </c>
      <c r="E6" s="33">
        <v>0</v>
      </c>
      <c r="F6" s="33">
        <v>0.33333333333333331</v>
      </c>
      <c r="G6" s="33">
        <v>0.2</v>
      </c>
      <c r="H6" s="33">
        <v>0.05</v>
      </c>
      <c r="I6" s="34">
        <v>5100</v>
      </c>
      <c r="J6" s="34">
        <v>-3900</v>
      </c>
      <c r="K6" s="33">
        <v>0</v>
      </c>
      <c r="L6" s="33">
        <v>0.2</v>
      </c>
      <c r="M6" s="33">
        <v>0.05</v>
      </c>
      <c r="N6" s="33">
        <v>0.75</v>
      </c>
      <c r="O6" s="33">
        <v>0</v>
      </c>
      <c r="P6" s="33">
        <v>0.25</v>
      </c>
    </row>
    <row r="7" spans="1:17" x14ac:dyDescent="0.45">
      <c r="A7" s="35">
        <v>4</v>
      </c>
      <c r="B7" s="32">
        <v>-56.000000000000007</v>
      </c>
      <c r="C7" s="32">
        <v>-14.000000000000002</v>
      </c>
      <c r="D7" s="37">
        <v>2.25</v>
      </c>
      <c r="E7" s="33">
        <v>0</v>
      </c>
      <c r="F7" s="33">
        <v>0.25</v>
      </c>
      <c r="G7" s="33">
        <v>0.15384615384615385</v>
      </c>
      <c r="H7" s="33">
        <v>0.11538461538461539</v>
      </c>
      <c r="I7" s="34">
        <v>5100</v>
      </c>
      <c r="J7" s="34">
        <v>-5000</v>
      </c>
      <c r="K7" s="33">
        <v>0</v>
      </c>
      <c r="L7" s="33">
        <v>0.19230769230769232</v>
      </c>
      <c r="M7" s="33">
        <v>0.11538461538461539</v>
      </c>
      <c r="N7" s="33">
        <v>0.6</v>
      </c>
      <c r="O7" s="33">
        <v>0</v>
      </c>
      <c r="P7" s="33">
        <v>0.25</v>
      </c>
    </row>
    <row r="8" spans="1:17" x14ac:dyDescent="0.45">
      <c r="A8" s="35">
        <v>5</v>
      </c>
      <c r="B8" s="32">
        <v>-64.400000000000006</v>
      </c>
      <c r="C8" s="32">
        <v>-12.88</v>
      </c>
      <c r="D8" s="37">
        <v>2.2000000000000002</v>
      </c>
      <c r="E8" s="33">
        <v>0</v>
      </c>
      <c r="F8" s="33">
        <v>0.2</v>
      </c>
      <c r="G8" s="33">
        <v>0.17647058823529413</v>
      </c>
      <c r="H8" s="33">
        <v>0.11764705882352941</v>
      </c>
      <c r="I8" s="34">
        <v>4566.666666666667</v>
      </c>
      <c r="J8" s="34">
        <v>-4400</v>
      </c>
      <c r="K8" s="33">
        <v>0</v>
      </c>
      <c r="L8" s="33">
        <v>0.23529411764705882</v>
      </c>
      <c r="M8" s="33">
        <v>0.17647058823529413</v>
      </c>
      <c r="N8" s="33">
        <v>0.5</v>
      </c>
      <c r="O8" s="33">
        <v>0.16666666666666666</v>
      </c>
      <c r="P8" s="33">
        <v>0.33333333333333331</v>
      </c>
    </row>
    <row r="9" spans="1:17" x14ac:dyDescent="0.45">
      <c r="A9" s="35">
        <v>6</v>
      </c>
      <c r="B9" s="32">
        <v>-97.800000000000011</v>
      </c>
      <c r="C9" s="32">
        <v>-16.3</v>
      </c>
      <c r="D9" s="37">
        <v>2.1666666666666665</v>
      </c>
      <c r="E9" s="33">
        <v>0</v>
      </c>
      <c r="F9" s="33">
        <v>0.16666666666666666</v>
      </c>
      <c r="G9" s="33">
        <v>0.15909090909090909</v>
      </c>
      <c r="H9" s="33">
        <v>9.0909090909090912E-2</v>
      </c>
      <c r="I9" s="34">
        <v>5014.2857142857147</v>
      </c>
      <c r="J9" s="34">
        <v>-4400</v>
      </c>
      <c r="K9" s="33">
        <v>0</v>
      </c>
      <c r="L9" s="33">
        <v>0.20454545454545456</v>
      </c>
      <c r="M9" s="33">
        <v>0.18181818181818182</v>
      </c>
      <c r="N9" s="33">
        <v>0.44444444444444442</v>
      </c>
      <c r="O9" s="33">
        <v>0.25</v>
      </c>
      <c r="P9" s="33">
        <v>0.2857142857142857</v>
      </c>
    </row>
    <row r="10" spans="1:17" x14ac:dyDescent="0.45">
      <c r="A10" s="35">
        <v>7</v>
      </c>
      <c r="B10" s="32">
        <v>-56.500000000000014</v>
      </c>
      <c r="C10" s="32">
        <v>-8.071428571428573</v>
      </c>
      <c r="D10" s="37">
        <v>2</v>
      </c>
      <c r="E10" s="33">
        <v>0.14285714285714285</v>
      </c>
      <c r="F10" s="33">
        <v>0.14285714285714285</v>
      </c>
      <c r="G10" s="33">
        <v>0.20370370370370369</v>
      </c>
      <c r="H10" s="33">
        <v>9.2592592592592587E-2</v>
      </c>
      <c r="I10" s="34">
        <v>7436.363636363636</v>
      </c>
      <c r="J10" s="34">
        <v>-4300</v>
      </c>
      <c r="K10" s="33">
        <v>0</v>
      </c>
      <c r="L10" s="33">
        <v>0.24074074074074073</v>
      </c>
      <c r="M10" s="33">
        <v>0.14814814814814814</v>
      </c>
      <c r="N10" s="33">
        <v>0.61538461538461542</v>
      </c>
      <c r="O10" s="33">
        <v>0.25</v>
      </c>
      <c r="P10" s="33">
        <v>0.45454545454545453</v>
      </c>
    </row>
    <row r="11" spans="1:17" x14ac:dyDescent="0.45">
      <c r="A11" s="35">
        <v>8</v>
      </c>
      <c r="B11" s="32">
        <v>7.4999999999999858</v>
      </c>
      <c r="C11" s="32">
        <v>0.93749999999999822</v>
      </c>
      <c r="D11" s="37">
        <v>1.875</v>
      </c>
      <c r="E11" s="33">
        <v>0.25</v>
      </c>
      <c r="F11" s="33">
        <v>0.125</v>
      </c>
      <c r="G11" s="33">
        <v>0.26153846153846155</v>
      </c>
      <c r="H11" s="33">
        <v>7.6923076923076927E-2</v>
      </c>
      <c r="I11" s="34">
        <v>7964.7058823529414</v>
      </c>
      <c r="J11" s="34">
        <v>-4300</v>
      </c>
      <c r="K11" s="33">
        <v>0</v>
      </c>
      <c r="L11" s="33">
        <v>0.29230769230769232</v>
      </c>
      <c r="M11" s="33">
        <v>0.13846153846153847</v>
      </c>
      <c r="N11" s="33">
        <v>0.68421052631578949</v>
      </c>
      <c r="O11" s="33">
        <v>0.33333333333333331</v>
      </c>
      <c r="P11" s="33">
        <v>0.52941176470588236</v>
      </c>
    </row>
  </sheetData>
  <phoneticPr fontId="1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7C179A-8756-49C0-BD33-4EEA96C0D57A}">
  <sheetPr codeName="Sheet18"/>
  <dimension ref="A1:Q29"/>
  <sheetViews>
    <sheetView workbookViewId="0"/>
  </sheetViews>
  <sheetFormatPr defaultColWidth="10.69921875" defaultRowHeight="18" x14ac:dyDescent="0.45"/>
  <cols>
    <col min="1" max="1" width="10.69921875" style="35"/>
    <col min="2" max="3" width="10.69921875" style="32"/>
    <col min="4" max="4" width="10.69921875" style="37"/>
    <col min="5" max="8" width="10.69921875" style="33"/>
    <col min="9" max="10" width="10.69921875" style="34"/>
    <col min="11" max="16" width="10.69921875" style="33"/>
    <col min="17" max="16384" width="10.69921875" style="36"/>
  </cols>
  <sheetData>
    <row r="1" spans="1:17" x14ac:dyDescent="0.45">
      <c r="A1" s="36" t="s">
        <v>193</v>
      </c>
      <c r="B1" s="36" t="s">
        <v>193</v>
      </c>
      <c r="C1" s="36" t="s">
        <v>193</v>
      </c>
      <c r="D1" s="37" t="s">
        <v>193</v>
      </c>
      <c r="E1" s="36" t="s">
        <v>193</v>
      </c>
      <c r="F1" s="36" t="s">
        <v>193</v>
      </c>
      <c r="G1" s="36" t="s">
        <v>193</v>
      </c>
      <c r="H1" s="36" t="s">
        <v>193</v>
      </c>
      <c r="I1" s="36" t="s">
        <v>193</v>
      </c>
      <c r="J1" s="36" t="s">
        <v>193</v>
      </c>
      <c r="K1" s="36" t="s">
        <v>193</v>
      </c>
      <c r="L1" s="36" t="s">
        <v>193</v>
      </c>
      <c r="M1" s="36" t="s">
        <v>193</v>
      </c>
      <c r="N1" s="36" t="s">
        <v>193</v>
      </c>
      <c r="O1" s="36" t="s">
        <v>193</v>
      </c>
      <c r="P1" s="36" t="s">
        <v>193</v>
      </c>
      <c r="Q1" s="36" t="s">
        <v>193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56</v>
      </c>
      <c r="C4" s="32">
        <v>56</v>
      </c>
      <c r="D4" s="37">
        <v>1</v>
      </c>
      <c r="E4" s="33">
        <v>1</v>
      </c>
      <c r="F4" s="33">
        <v>0</v>
      </c>
      <c r="G4" s="33">
        <v>0.5</v>
      </c>
      <c r="H4" s="33">
        <v>0.25</v>
      </c>
      <c r="I4" s="34">
        <v>28000</v>
      </c>
      <c r="J4" s="34">
        <v>-12000</v>
      </c>
      <c r="K4" s="33">
        <v>0</v>
      </c>
      <c r="L4" s="33">
        <v>0</v>
      </c>
      <c r="M4" s="33">
        <v>0.5</v>
      </c>
      <c r="N4" s="33">
        <v>0</v>
      </c>
      <c r="O4" s="33">
        <v>0.5</v>
      </c>
      <c r="P4" s="33">
        <v>1</v>
      </c>
    </row>
    <row r="5" spans="1:17" x14ac:dyDescent="0.45">
      <c r="A5" s="35">
        <v>2</v>
      </c>
      <c r="B5" s="32">
        <v>137.5</v>
      </c>
      <c r="C5" s="32">
        <v>68.75</v>
      </c>
      <c r="D5" s="37">
        <v>1</v>
      </c>
      <c r="E5" s="33">
        <v>1</v>
      </c>
      <c r="F5" s="33">
        <v>0</v>
      </c>
      <c r="G5" s="33">
        <v>0.75</v>
      </c>
      <c r="H5" s="33">
        <v>8.3333333333333329E-2</v>
      </c>
      <c r="I5" s="34">
        <v>12555.555555555555</v>
      </c>
      <c r="J5" s="34">
        <v>-12000</v>
      </c>
      <c r="K5" s="33">
        <v>0</v>
      </c>
      <c r="L5" s="33">
        <v>0.33333333333333331</v>
      </c>
      <c r="M5" s="33">
        <v>0.25</v>
      </c>
      <c r="N5" s="33">
        <v>1</v>
      </c>
      <c r="O5" s="33">
        <v>0.66666666666666663</v>
      </c>
      <c r="P5" s="33">
        <v>0.55555555555555558</v>
      </c>
    </row>
    <row r="6" spans="1:17" x14ac:dyDescent="0.45">
      <c r="A6" s="35">
        <v>3</v>
      </c>
      <c r="B6" s="32">
        <v>159</v>
      </c>
      <c r="C6" s="32">
        <v>53</v>
      </c>
      <c r="D6" s="37">
        <v>1</v>
      </c>
      <c r="E6" s="33">
        <v>1</v>
      </c>
      <c r="F6" s="33">
        <v>0</v>
      </c>
      <c r="G6" s="33">
        <v>0.52173913043478259</v>
      </c>
      <c r="H6" s="33">
        <v>8.6956521739130432E-2</v>
      </c>
      <c r="I6" s="34">
        <v>11216.666666666666</v>
      </c>
      <c r="J6" s="34">
        <v>-6800</v>
      </c>
      <c r="K6" s="33">
        <v>0</v>
      </c>
      <c r="L6" s="33">
        <v>0.2608695652173913</v>
      </c>
      <c r="M6" s="33">
        <v>0.2608695652173913</v>
      </c>
      <c r="N6" s="33">
        <v>0.66666666666666663</v>
      </c>
      <c r="O6" s="33">
        <v>0.5</v>
      </c>
      <c r="P6" s="33">
        <v>0.5</v>
      </c>
    </row>
    <row r="7" spans="1:17" x14ac:dyDescent="0.45">
      <c r="A7" s="35">
        <v>4</v>
      </c>
      <c r="B7" s="32">
        <v>112.4</v>
      </c>
      <c r="C7" s="32">
        <v>28.1</v>
      </c>
      <c r="D7" s="37">
        <v>1.5</v>
      </c>
      <c r="E7" s="33">
        <v>0.75</v>
      </c>
      <c r="F7" s="33">
        <v>0.25</v>
      </c>
      <c r="G7" s="33">
        <v>0.4</v>
      </c>
      <c r="H7" s="33">
        <v>0.13333333333333333</v>
      </c>
      <c r="I7" s="34">
        <v>11216.666666666666</v>
      </c>
      <c r="J7" s="34">
        <v>-4225</v>
      </c>
      <c r="K7" s="33">
        <v>0.25</v>
      </c>
      <c r="L7" s="33">
        <v>0.23333333333333334</v>
      </c>
      <c r="M7" s="33">
        <v>0.33333333333333331</v>
      </c>
      <c r="N7" s="33">
        <v>0.5714285714285714</v>
      </c>
      <c r="O7" s="33">
        <v>0.3</v>
      </c>
      <c r="P7" s="33">
        <v>0.5</v>
      </c>
    </row>
    <row r="8" spans="1:17" x14ac:dyDescent="0.45">
      <c r="A8" s="35">
        <v>5</v>
      </c>
      <c r="B8" s="32">
        <v>140.30000000000001</v>
      </c>
      <c r="C8" s="32">
        <v>28.060000000000002</v>
      </c>
      <c r="D8" s="37">
        <v>1.4</v>
      </c>
      <c r="E8" s="33">
        <v>0.8</v>
      </c>
      <c r="F8" s="33">
        <v>0.2</v>
      </c>
      <c r="G8" s="33">
        <v>0.4</v>
      </c>
      <c r="H8" s="33">
        <v>0.125</v>
      </c>
      <c r="I8" s="34">
        <v>10318.75</v>
      </c>
      <c r="J8" s="34">
        <v>-4980</v>
      </c>
      <c r="K8" s="33">
        <v>0.2</v>
      </c>
      <c r="L8" s="33">
        <v>0.22500000000000001</v>
      </c>
      <c r="M8" s="33">
        <v>0.375</v>
      </c>
      <c r="N8" s="33">
        <v>0.55555555555555558</v>
      </c>
      <c r="O8" s="33">
        <v>0.4</v>
      </c>
      <c r="P8" s="33">
        <v>0.4375</v>
      </c>
    </row>
    <row r="9" spans="1:17" x14ac:dyDescent="0.45">
      <c r="A9" s="35">
        <v>6</v>
      </c>
      <c r="B9" s="32">
        <v>167.3</v>
      </c>
      <c r="C9" s="32">
        <v>27.883333333333336</v>
      </c>
      <c r="D9" s="37">
        <v>1.3333333333333333</v>
      </c>
      <c r="E9" s="33">
        <v>0.83333333333333337</v>
      </c>
      <c r="F9" s="33">
        <v>0.16666666666666666</v>
      </c>
      <c r="G9" s="33">
        <v>0.39130434782608697</v>
      </c>
      <c r="H9" s="33">
        <v>0.10869565217391304</v>
      </c>
      <c r="I9" s="34">
        <v>10283.333333333334</v>
      </c>
      <c r="J9" s="34">
        <v>-4980</v>
      </c>
      <c r="K9" s="33">
        <v>0.16666666666666666</v>
      </c>
      <c r="L9" s="33">
        <v>0.2391304347826087</v>
      </c>
      <c r="M9" s="33">
        <v>0.36956521739130432</v>
      </c>
      <c r="N9" s="33">
        <v>0.63636363636363635</v>
      </c>
      <c r="O9" s="33">
        <v>0.35294117647058826</v>
      </c>
      <c r="P9" s="33">
        <v>0.5</v>
      </c>
    </row>
    <row r="10" spans="1:17" x14ac:dyDescent="0.45">
      <c r="A10" s="35">
        <v>7</v>
      </c>
      <c r="B10" s="32">
        <v>118.4</v>
      </c>
      <c r="C10" s="32">
        <v>16.914285714285715</v>
      </c>
      <c r="D10" s="37">
        <v>1.5714285714285714</v>
      </c>
      <c r="E10" s="33">
        <v>0.7142857142857143</v>
      </c>
      <c r="F10" s="33">
        <v>0.2857142857142857</v>
      </c>
      <c r="G10" s="33">
        <v>0.36538461538461536</v>
      </c>
      <c r="H10" s="33">
        <v>0.13461538461538461</v>
      </c>
      <c r="I10" s="34">
        <v>9878.9473684210534</v>
      </c>
      <c r="J10" s="34">
        <v>-9271.4285714285706</v>
      </c>
      <c r="K10" s="33">
        <v>0.2857142857142857</v>
      </c>
      <c r="L10" s="33">
        <v>0.23076923076923078</v>
      </c>
      <c r="M10" s="33">
        <v>0.34615384615384615</v>
      </c>
      <c r="N10" s="33">
        <v>0.58333333333333337</v>
      </c>
      <c r="O10" s="33">
        <v>0.33333333333333331</v>
      </c>
      <c r="P10" s="33">
        <v>0.47368421052631576</v>
      </c>
    </row>
    <row r="11" spans="1:17" x14ac:dyDescent="0.45">
      <c r="A11" s="35">
        <v>8</v>
      </c>
      <c r="B11" s="32">
        <v>96.800000000000011</v>
      </c>
      <c r="C11" s="32">
        <v>12.100000000000001</v>
      </c>
      <c r="D11" s="37">
        <v>1.75</v>
      </c>
      <c r="E11" s="33">
        <v>0.625</v>
      </c>
      <c r="F11" s="33">
        <v>0.375</v>
      </c>
      <c r="G11" s="33">
        <v>0.35</v>
      </c>
      <c r="H11" s="33">
        <v>0.13333333333333333</v>
      </c>
      <c r="I11" s="34">
        <v>9185.7142857142862</v>
      </c>
      <c r="J11" s="34">
        <v>-8237.5</v>
      </c>
      <c r="K11" s="33">
        <v>0.25</v>
      </c>
      <c r="L11" s="33">
        <v>0.21666666666666667</v>
      </c>
      <c r="M11" s="33">
        <v>0.4</v>
      </c>
      <c r="N11" s="33">
        <v>0.53846153846153844</v>
      </c>
      <c r="O11" s="33">
        <v>0.33333333333333331</v>
      </c>
      <c r="P11" s="33">
        <v>0.42857142857142855</v>
      </c>
    </row>
    <row r="12" spans="1:17" x14ac:dyDescent="0.45">
      <c r="A12" s="35">
        <v>9</v>
      </c>
      <c r="B12" s="32">
        <v>51.600000000000009</v>
      </c>
      <c r="C12" s="32">
        <v>5.7333333333333343</v>
      </c>
      <c r="D12" s="37">
        <v>1.8888888888888888</v>
      </c>
      <c r="E12" s="33">
        <v>0.55555555555555558</v>
      </c>
      <c r="F12" s="33">
        <v>0.44444444444444442</v>
      </c>
      <c r="G12" s="33">
        <v>0.328125</v>
      </c>
      <c r="H12" s="33">
        <v>0.171875</v>
      </c>
      <c r="I12" s="34">
        <v>9185.7142857142862</v>
      </c>
      <c r="J12" s="34">
        <v>-8509.0909090909099</v>
      </c>
      <c r="K12" s="33">
        <v>0.33333333333333331</v>
      </c>
      <c r="L12" s="33">
        <v>0.203125</v>
      </c>
      <c r="M12" s="33">
        <v>0.421875</v>
      </c>
      <c r="N12" s="33">
        <v>0.53846153846153844</v>
      </c>
      <c r="O12" s="33">
        <v>0.29629629629629628</v>
      </c>
      <c r="P12" s="33">
        <v>0.42857142857142855</v>
      </c>
    </row>
    <row r="13" spans="1:17" x14ac:dyDescent="0.45">
      <c r="A13" s="35">
        <v>10</v>
      </c>
      <c r="B13" s="32">
        <v>28.300000000000008</v>
      </c>
      <c r="C13" s="32">
        <v>2.830000000000001</v>
      </c>
      <c r="D13" s="37">
        <v>2</v>
      </c>
      <c r="E13" s="33">
        <v>0.5</v>
      </c>
      <c r="F13" s="33">
        <v>0.5</v>
      </c>
      <c r="G13" s="33">
        <v>0.30555555555555558</v>
      </c>
      <c r="H13" s="33">
        <v>0.15277777777777779</v>
      </c>
      <c r="I13" s="34">
        <v>8836.363636363636</v>
      </c>
      <c r="J13" s="34">
        <v>-8509.0909090909099</v>
      </c>
      <c r="K13" s="33">
        <v>0.3</v>
      </c>
      <c r="L13" s="33">
        <v>0.18055555555555555</v>
      </c>
      <c r="M13" s="33">
        <v>0.3888888888888889</v>
      </c>
      <c r="N13" s="33">
        <v>0.53846153846153844</v>
      </c>
      <c r="O13" s="33">
        <v>0.32142857142857145</v>
      </c>
      <c r="P13" s="33">
        <v>0.40909090909090912</v>
      </c>
    </row>
    <row r="14" spans="1:17" x14ac:dyDescent="0.45">
      <c r="A14" s="35">
        <v>11</v>
      </c>
      <c r="B14" s="32">
        <v>44.400000000000006</v>
      </c>
      <c r="C14" s="32">
        <v>4.036363636363637</v>
      </c>
      <c r="D14" s="37">
        <v>1.9090909090909092</v>
      </c>
      <c r="E14" s="33">
        <v>0.54545454545454541</v>
      </c>
      <c r="F14" s="33">
        <v>0.45454545454545453</v>
      </c>
      <c r="G14" s="33">
        <v>0.32051282051282054</v>
      </c>
      <c r="H14" s="33">
        <v>0.14102564102564102</v>
      </c>
      <c r="I14" s="34">
        <v>8184</v>
      </c>
      <c r="J14" s="34">
        <v>-8509.0909090909099</v>
      </c>
      <c r="K14" s="33">
        <v>0.27272727272727271</v>
      </c>
      <c r="L14" s="33">
        <v>0.17948717948717949</v>
      </c>
      <c r="M14" s="33">
        <v>0.37179487179487181</v>
      </c>
      <c r="N14" s="33">
        <v>0.5714285714285714</v>
      </c>
      <c r="O14" s="33">
        <v>0.34482758620689657</v>
      </c>
      <c r="P14" s="33">
        <v>0.48</v>
      </c>
    </row>
    <row r="15" spans="1:17" x14ac:dyDescent="0.45">
      <c r="A15" s="35">
        <v>12</v>
      </c>
      <c r="B15" s="32">
        <v>31.800000000000004</v>
      </c>
      <c r="C15" s="32">
        <v>2.6500000000000004</v>
      </c>
      <c r="D15" s="37">
        <v>1.9166666666666667</v>
      </c>
      <c r="E15" s="33">
        <v>0.5</v>
      </c>
      <c r="F15" s="33">
        <v>0.41666666666666669</v>
      </c>
      <c r="G15" s="33">
        <v>0.32926829268292684</v>
      </c>
      <c r="H15" s="33">
        <v>0.13414634146341464</v>
      </c>
      <c r="I15" s="34">
        <v>8148.1481481481478</v>
      </c>
      <c r="J15" s="34">
        <v>-8509.0909090909099</v>
      </c>
      <c r="K15" s="33">
        <v>0.25</v>
      </c>
      <c r="L15" s="33">
        <v>0.17073170731707318</v>
      </c>
      <c r="M15" s="33">
        <v>0.37804878048780488</v>
      </c>
      <c r="N15" s="33">
        <v>0.5714285714285714</v>
      </c>
      <c r="O15" s="33">
        <v>0.38709677419354838</v>
      </c>
      <c r="P15" s="33">
        <v>0.51851851851851849</v>
      </c>
    </row>
    <row r="16" spans="1:17" x14ac:dyDescent="0.45">
      <c r="A16" s="35">
        <v>13</v>
      </c>
      <c r="B16" s="32">
        <v>83.1</v>
      </c>
      <c r="C16" s="32">
        <v>6.3923076923076918</v>
      </c>
      <c r="D16" s="37">
        <v>1.8461538461538463</v>
      </c>
      <c r="E16" s="33">
        <v>0.53846153846153844</v>
      </c>
      <c r="F16" s="33">
        <v>0.38461538461538464</v>
      </c>
      <c r="G16" s="33">
        <v>0.36046511627906974</v>
      </c>
      <c r="H16" s="33">
        <v>0.12790697674418605</v>
      </c>
      <c r="I16" s="34">
        <v>8300</v>
      </c>
      <c r="J16" s="34">
        <v>-8509.0909090909099</v>
      </c>
      <c r="K16" s="33">
        <v>0.23076923076923078</v>
      </c>
      <c r="L16" s="33">
        <v>0.18604651162790697</v>
      </c>
      <c r="M16" s="33">
        <v>0.38372093023255816</v>
      </c>
      <c r="N16" s="33">
        <v>0.625</v>
      </c>
      <c r="O16" s="33">
        <v>0.42424242424242425</v>
      </c>
      <c r="P16" s="33">
        <v>0.4838709677419355</v>
      </c>
    </row>
    <row r="17" spans="1:16" x14ac:dyDescent="0.45">
      <c r="A17" s="35">
        <v>14</v>
      </c>
      <c r="B17" s="32">
        <v>89.399999999999991</v>
      </c>
      <c r="C17" s="32">
        <v>6.3857142857142852</v>
      </c>
      <c r="D17" s="37">
        <v>1.8571428571428572</v>
      </c>
      <c r="E17" s="33">
        <v>0.5</v>
      </c>
      <c r="F17" s="33">
        <v>0.35714285714285715</v>
      </c>
      <c r="G17" s="33">
        <v>0.34375</v>
      </c>
      <c r="H17" s="33">
        <v>0.125</v>
      </c>
      <c r="I17" s="34">
        <v>8221.2121212121219</v>
      </c>
      <c r="J17" s="34">
        <v>-8041.666666666667</v>
      </c>
      <c r="K17" s="33">
        <v>0.21428571428571427</v>
      </c>
      <c r="L17" s="33">
        <v>0.17708333333333334</v>
      </c>
      <c r="M17" s="33">
        <v>0.36458333333333331</v>
      </c>
      <c r="N17" s="33">
        <v>0.6470588235294118</v>
      </c>
      <c r="O17" s="33">
        <v>0.4</v>
      </c>
      <c r="P17" s="33">
        <v>0.45454545454545453</v>
      </c>
    </row>
    <row r="18" spans="1:16" x14ac:dyDescent="0.45">
      <c r="A18" s="35">
        <v>15</v>
      </c>
      <c r="B18" s="32">
        <v>112.6</v>
      </c>
      <c r="C18" s="32">
        <v>7.5066666666666659</v>
      </c>
      <c r="D18" s="37">
        <v>1.8666666666666667</v>
      </c>
      <c r="E18" s="33">
        <v>0.46666666666666667</v>
      </c>
      <c r="F18" s="33">
        <v>0.33333333333333331</v>
      </c>
      <c r="G18" s="33">
        <v>0.34653465346534651</v>
      </c>
      <c r="H18" s="33">
        <v>0.11881188118811881</v>
      </c>
      <c r="I18" s="34">
        <v>8305.7142857142862</v>
      </c>
      <c r="J18" s="34">
        <v>-8041.666666666667</v>
      </c>
      <c r="K18" s="33">
        <v>0.2</v>
      </c>
      <c r="L18" s="33">
        <v>0.18811881188118812</v>
      </c>
      <c r="M18" s="33">
        <v>0.35643564356435642</v>
      </c>
      <c r="N18" s="33">
        <v>0.63157894736842102</v>
      </c>
      <c r="O18" s="33">
        <v>0.41666666666666669</v>
      </c>
      <c r="P18" s="33">
        <v>0.48571428571428571</v>
      </c>
    </row>
    <row r="19" spans="1:16" x14ac:dyDescent="0.45">
      <c r="A19" s="35">
        <v>16</v>
      </c>
      <c r="B19" s="32">
        <v>119.3</v>
      </c>
      <c r="C19" s="32">
        <v>7.4562499999999998</v>
      </c>
      <c r="D19" s="37">
        <v>1.875</v>
      </c>
      <c r="E19" s="33">
        <v>0.4375</v>
      </c>
      <c r="F19" s="33">
        <v>0.3125</v>
      </c>
      <c r="G19" s="33">
        <v>0.34862385321100919</v>
      </c>
      <c r="H19" s="33">
        <v>0.11926605504587157</v>
      </c>
      <c r="I19" s="34">
        <v>7971.0526315789475</v>
      </c>
      <c r="J19" s="34">
        <v>-7576.9230769230771</v>
      </c>
      <c r="K19" s="33">
        <v>0.1875</v>
      </c>
      <c r="L19" s="33">
        <v>0.1743119266055046</v>
      </c>
      <c r="M19" s="33">
        <v>0.3577981651376147</v>
      </c>
      <c r="N19" s="33">
        <v>0.63157894736842102</v>
      </c>
      <c r="O19" s="33">
        <v>0.41025641025641024</v>
      </c>
      <c r="P19" s="33">
        <v>0.5</v>
      </c>
    </row>
    <row r="20" spans="1:16" x14ac:dyDescent="0.45">
      <c r="A20" s="35">
        <v>17</v>
      </c>
      <c r="B20" s="32">
        <v>71.699999999999989</v>
      </c>
      <c r="C20" s="32">
        <v>4.2176470588235286</v>
      </c>
      <c r="D20" s="37">
        <v>1.9411764705882353</v>
      </c>
      <c r="E20" s="33">
        <v>0.41176470588235292</v>
      </c>
      <c r="F20" s="33">
        <v>0.35294117647058826</v>
      </c>
      <c r="G20" s="33">
        <v>0.33613445378151263</v>
      </c>
      <c r="H20" s="33">
        <v>0.14285714285714285</v>
      </c>
      <c r="I20" s="34">
        <v>7675</v>
      </c>
      <c r="J20" s="34">
        <v>-6929.411764705882</v>
      </c>
      <c r="K20" s="33">
        <v>0.23529411764705882</v>
      </c>
      <c r="L20" s="33">
        <v>0.16806722689075632</v>
      </c>
      <c r="M20" s="33">
        <v>0.33613445378151263</v>
      </c>
      <c r="N20" s="33">
        <v>0.6</v>
      </c>
      <c r="O20" s="33">
        <v>0.42499999999999999</v>
      </c>
      <c r="P20" s="33">
        <v>0.5</v>
      </c>
    </row>
    <row r="21" spans="1:16" x14ac:dyDescent="0.45">
      <c r="A21" s="35">
        <v>18</v>
      </c>
      <c r="B21" s="32">
        <v>45.399999999999991</v>
      </c>
      <c r="C21" s="32">
        <v>2.5222222222222217</v>
      </c>
      <c r="D21" s="37">
        <v>2</v>
      </c>
      <c r="E21" s="33">
        <v>0.3888888888888889</v>
      </c>
      <c r="F21" s="33">
        <v>0.3888888888888889</v>
      </c>
      <c r="G21" s="33">
        <v>0.32539682539682541</v>
      </c>
      <c r="H21" s="33">
        <v>0.14285714285714285</v>
      </c>
      <c r="I21" s="34">
        <v>7682.9268292682927</v>
      </c>
      <c r="J21" s="34">
        <v>-7211.1111111111113</v>
      </c>
      <c r="K21" s="33">
        <v>0.22222222222222221</v>
      </c>
      <c r="L21" s="33">
        <v>0.15873015873015872</v>
      </c>
      <c r="M21" s="33">
        <v>0.34126984126984128</v>
      </c>
      <c r="N21" s="33">
        <v>0.6</v>
      </c>
      <c r="O21" s="33">
        <v>0.41860465116279072</v>
      </c>
      <c r="P21" s="33">
        <v>0.48780487804878048</v>
      </c>
    </row>
    <row r="22" spans="1:16" x14ac:dyDescent="0.45">
      <c r="A22" s="35">
        <v>19</v>
      </c>
      <c r="B22" s="32">
        <v>100.1</v>
      </c>
      <c r="C22" s="32">
        <v>5.2684210526315782</v>
      </c>
      <c r="D22" s="37">
        <v>1.9473684210526316</v>
      </c>
      <c r="E22" s="33">
        <v>0.42105263157894735</v>
      </c>
      <c r="F22" s="33">
        <v>0.36842105263157893</v>
      </c>
      <c r="G22" s="33">
        <v>0.33333333333333331</v>
      </c>
      <c r="H22" s="33">
        <v>0.13636363636363635</v>
      </c>
      <c r="I22" s="34">
        <v>8250</v>
      </c>
      <c r="J22" s="34">
        <v>-7211.1111111111113</v>
      </c>
      <c r="K22" s="33">
        <v>0.21052631578947367</v>
      </c>
      <c r="L22" s="33">
        <v>0.15909090909090909</v>
      </c>
      <c r="M22" s="33">
        <v>0.34090909090909088</v>
      </c>
      <c r="N22" s="33">
        <v>0.61904761904761907</v>
      </c>
      <c r="O22" s="33">
        <v>0.42222222222222222</v>
      </c>
      <c r="P22" s="33">
        <v>0.52272727272727271</v>
      </c>
    </row>
    <row r="23" spans="1:16" x14ac:dyDescent="0.45">
      <c r="A23" s="35">
        <v>20</v>
      </c>
      <c r="B23" s="32">
        <v>52.8</v>
      </c>
      <c r="C23" s="32">
        <v>2.6399999999999997</v>
      </c>
      <c r="D23" s="37">
        <v>2</v>
      </c>
      <c r="E23" s="33">
        <v>0.4</v>
      </c>
      <c r="F23" s="33">
        <v>0.4</v>
      </c>
      <c r="G23" s="33">
        <v>0.32116788321167883</v>
      </c>
      <c r="H23" s="33">
        <v>0.145985401459854</v>
      </c>
      <c r="I23" s="34">
        <v>8250</v>
      </c>
      <c r="J23" s="34">
        <v>-7775</v>
      </c>
      <c r="K23" s="33">
        <v>0.25</v>
      </c>
      <c r="L23" s="33">
        <v>0.15328467153284672</v>
      </c>
      <c r="M23" s="33">
        <v>0.33576642335766421</v>
      </c>
      <c r="N23" s="33">
        <v>0.61904761904761907</v>
      </c>
      <c r="O23" s="33">
        <v>0.41304347826086957</v>
      </c>
      <c r="P23" s="33">
        <v>0.52272727272727271</v>
      </c>
    </row>
    <row r="24" spans="1:16" x14ac:dyDescent="0.45">
      <c r="A24" s="35">
        <v>21</v>
      </c>
      <c r="B24" s="32">
        <v>41</v>
      </c>
      <c r="C24" s="32">
        <v>1.9523809523809523</v>
      </c>
      <c r="D24" s="37">
        <v>2</v>
      </c>
      <c r="E24" s="33">
        <v>0.38095238095238093</v>
      </c>
      <c r="F24" s="33">
        <v>0.38095238095238093</v>
      </c>
      <c r="G24" s="33">
        <v>0.31034482758620691</v>
      </c>
      <c r="H24" s="33">
        <v>0.14482758620689656</v>
      </c>
      <c r="I24" s="34">
        <v>8153.333333333333</v>
      </c>
      <c r="J24" s="34">
        <v>-7785.7142857142853</v>
      </c>
      <c r="K24" s="33">
        <v>0.23809523809523808</v>
      </c>
      <c r="L24" s="33">
        <v>0.15172413793103448</v>
      </c>
      <c r="M24" s="33">
        <v>0.33103448275862069</v>
      </c>
      <c r="N24" s="33">
        <v>0.59090909090909094</v>
      </c>
      <c r="O24" s="33">
        <v>0.41666666666666669</v>
      </c>
      <c r="P24" s="33">
        <v>0.51111111111111107</v>
      </c>
    </row>
    <row r="25" spans="1:16" x14ac:dyDescent="0.45">
      <c r="A25" s="35">
        <v>22</v>
      </c>
      <c r="B25" s="32">
        <v>90.5</v>
      </c>
      <c r="C25" s="32">
        <v>4.1136363636363633</v>
      </c>
      <c r="D25" s="37">
        <v>1.9545454545454546</v>
      </c>
      <c r="E25" s="33">
        <v>0.40909090909090912</v>
      </c>
      <c r="F25" s="33">
        <v>0.36363636363636365</v>
      </c>
      <c r="G25" s="33">
        <v>0.32484076433121017</v>
      </c>
      <c r="H25" s="33">
        <v>0.13375796178343949</v>
      </c>
      <c r="I25" s="34">
        <v>8037.2549019607841</v>
      </c>
      <c r="J25" s="34">
        <v>-7785.7142857142853</v>
      </c>
      <c r="K25" s="33">
        <v>0.22727272727272727</v>
      </c>
      <c r="L25" s="33">
        <v>0.1464968152866242</v>
      </c>
      <c r="M25" s="33">
        <v>0.33121019108280253</v>
      </c>
      <c r="N25" s="33">
        <v>0.60869565217391308</v>
      </c>
      <c r="O25" s="33">
        <v>0.44230769230769229</v>
      </c>
      <c r="P25" s="33">
        <v>0.49019607843137253</v>
      </c>
    </row>
    <row r="26" spans="1:16" x14ac:dyDescent="0.45">
      <c r="A26" s="35">
        <v>23</v>
      </c>
      <c r="B26" s="32">
        <v>97</v>
      </c>
      <c r="C26" s="32">
        <v>4.2173913043478262</v>
      </c>
      <c r="D26" s="37">
        <v>1.9565217391304348</v>
      </c>
      <c r="E26" s="33">
        <v>0.39130434782608697</v>
      </c>
      <c r="F26" s="33">
        <v>0.34782608695652173</v>
      </c>
      <c r="G26" s="33">
        <v>0.32515337423312884</v>
      </c>
      <c r="H26" s="33">
        <v>0.13496932515337423</v>
      </c>
      <c r="I26" s="34">
        <v>7958.4905660377362</v>
      </c>
      <c r="J26" s="34">
        <v>-7609.090909090909</v>
      </c>
      <c r="K26" s="33">
        <v>0.21739130434782608</v>
      </c>
      <c r="L26" s="33">
        <v>0.1411042944785276</v>
      </c>
      <c r="M26" s="33">
        <v>0.33128834355828218</v>
      </c>
      <c r="N26" s="33">
        <v>0.60869565217391308</v>
      </c>
      <c r="O26" s="33">
        <v>0.46296296296296297</v>
      </c>
      <c r="P26" s="33">
        <v>0.47169811320754718</v>
      </c>
    </row>
    <row r="27" spans="1:16" x14ac:dyDescent="0.45">
      <c r="A27" s="35">
        <v>24</v>
      </c>
      <c r="B27" s="32">
        <v>92.2</v>
      </c>
      <c r="C27" s="32">
        <v>3.8416666666666668</v>
      </c>
      <c r="D27" s="37">
        <v>1.9583333333333333</v>
      </c>
      <c r="E27" s="33">
        <v>0.375</v>
      </c>
      <c r="F27" s="33">
        <v>0.33333333333333331</v>
      </c>
      <c r="G27" s="33">
        <v>0.32369942196531792</v>
      </c>
      <c r="H27" s="33">
        <v>0.13294797687861271</v>
      </c>
      <c r="I27" s="34">
        <v>7930.3571428571431</v>
      </c>
      <c r="J27" s="34">
        <v>-7447.826086956522</v>
      </c>
      <c r="K27" s="33">
        <v>0.20833333333333334</v>
      </c>
      <c r="L27" s="33">
        <v>0.14450867052023122</v>
      </c>
      <c r="M27" s="33">
        <v>0.33526011560693642</v>
      </c>
      <c r="N27" s="33">
        <v>0.6</v>
      </c>
      <c r="O27" s="33">
        <v>0.44827586206896552</v>
      </c>
      <c r="P27" s="33">
        <v>0.44642857142857145</v>
      </c>
    </row>
    <row r="28" spans="1:16" x14ac:dyDescent="0.45">
      <c r="A28" s="35">
        <v>25</v>
      </c>
      <c r="B28" s="32">
        <v>41</v>
      </c>
      <c r="C28" s="32">
        <v>1.64</v>
      </c>
      <c r="D28" s="37">
        <v>2</v>
      </c>
      <c r="E28" s="33">
        <v>0.36</v>
      </c>
      <c r="F28" s="33">
        <v>0.36</v>
      </c>
      <c r="G28" s="33">
        <v>0.30939226519337015</v>
      </c>
      <c r="H28" s="33">
        <v>0.13259668508287292</v>
      </c>
      <c r="I28" s="34">
        <v>7930.3571428571431</v>
      </c>
      <c r="J28" s="34">
        <v>-7887.5</v>
      </c>
      <c r="K28" s="33">
        <v>0.24</v>
      </c>
      <c r="L28" s="33">
        <v>0.13812154696132597</v>
      </c>
      <c r="M28" s="33">
        <v>0.32044198895027626</v>
      </c>
      <c r="N28" s="33">
        <v>0.6</v>
      </c>
      <c r="O28" s="33">
        <v>0.44827586206896552</v>
      </c>
      <c r="P28" s="33">
        <v>0.44642857142857145</v>
      </c>
    </row>
    <row r="29" spans="1:16" x14ac:dyDescent="0.45">
      <c r="A29" s="35">
        <v>26</v>
      </c>
      <c r="B29" s="32">
        <v>86.8</v>
      </c>
      <c r="C29" s="32">
        <v>3.3384615384615381</v>
      </c>
      <c r="D29" s="37">
        <v>1.9615384615384615</v>
      </c>
      <c r="E29" s="33">
        <v>0.38461538461538464</v>
      </c>
      <c r="F29" s="33">
        <v>0.34615384615384615</v>
      </c>
      <c r="G29" s="33">
        <v>0.31413612565445026</v>
      </c>
      <c r="H29" s="33">
        <v>0.14136125654450263</v>
      </c>
      <c r="I29" s="34">
        <v>8308.3333333333339</v>
      </c>
      <c r="J29" s="34">
        <v>-7514.8148148148148</v>
      </c>
      <c r="K29" s="33">
        <v>0.23076923076923078</v>
      </c>
      <c r="L29" s="33">
        <v>0.14136125654450263</v>
      </c>
      <c r="M29" s="33">
        <v>0.31413612565445026</v>
      </c>
      <c r="N29" s="33">
        <v>0.62962962962962965</v>
      </c>
      <c r="O29" s="33">
        <v>0.43333333333333335</v>
      </c>
      <c r="P29" s="33">
        <v>0.46666666666666667</v>
      </c>
    </row>
  </sheetData>
  <phoneticPr fontId="1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CFE654-2900-4EDC-9EE1-9CC5F2C70CB1}">
  <sheetPr codeName="Sheet16"/>
  <dimension ref="A1:Q48"/>
  <sheetViews>
    <sheetView workbookViewId="0"/>
  </sheetViews>
  <sheetFormatPr defaultColWidth="10.69921875" defaultRowHeight="18" x14ac:dyDescent="0.45"/>
  <cols>
    <col min="1" max="1" width="10.69921875" style="35"/>
    <col min="2" max="3" width="10.69921875" style="32"/>
    <col min="4" max="4" width="10.69921875" style="37"/>
    <col min="5" max="8" width="10.69921875" style="33"/>
    <col min="9" max="10" width="10.69921875" style="34"/>
    <col min="11" max="16" width="10.69921875" style="33"/>
    <col min="17" max="16384" width="10.69921875" style="36"/>
  </cols>
  <sheetData>
    <row r="1" spans="1:17" x14ac:dyDescent="0.45">
      <c r="A1" s="36" t="s">
        <v>192</v>
      </c>
      <c r="B1" s="36" t="s">
        <v>192</v>
      </c>
      <c r="C1" s="36" t="s">
        <v>192</v>
      </c>
      <c r="D1" s="37" t="s">
        <v>192</v>
      </c>
      <c r="E1" s="36" t="s">
        <v>192</v>
      </c>
      <c r="F1" s="36" t="s">
        <v>192</v>
      </c>
      <c r="G1" s="36" t="s">
        <v>192</v>
      </c>
      <c r="H1" s="36" t="s">
        <v>192</v>
      </c>
      <c r="I1" s="36" t="s">
        <v>192</v>
      </c>
      <c r="J1" s="36" t="s">
        <v>192</v>
      </c>
      <c r="K1" s="36" t="s">
        <v>192</v>
      </c>
      <c r="L1" s="36" t="s">
        <v>192</v>
      </c>
      <c r="M1" s="36" t="s">
        <v>192</v>
      </c>
      <c r="N1" s="36" t="s">
        <v>192</v>
      </c>
      <c r="O1" s="36" t="s">
        <v>192</v>
      </c>
      <c r="P1" s="36" t="s">
        <v>192</v>
      </c>
      <c r="Q1" s="36" t="s">
        <v>192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-0.5</v>
      </c>
      <c r="C4" s="32">
        <v>-0.5</v>
      </c>
      <c r="D4" s="37">
        <v>2</v>
      </c>
      <c r="E4" s="33">
        <v>0</v>
      </c>
      <c r="F4" s="33">
        <v>0</v>
      </c>
      <c r="G4" s="33">
        <v>0.5</v>
      </c>
      <c r="H4" s="33">
        <v>0</v>
      </c>
      <c r="I4" s="34">
        <v>14000</v>
      </c>
      <c r="J4" s="34">
        <v>0</v>
      </c>
      <c r="K4" s="33">
        <v>0</v>
      </c>
      <c r="L4" s="33">
        <v>0.5</v>
      </c>
      <c r="M4" s="33">
        <v>0</v>
      </c>
      <c r="N4" s="33">
        <v>1</v>
      </c>
      <c r="O4" s="33">
        <v>0</v>
      </c>
      <c r="P4" s="33">
        <v>0</v>
      </c>
    </row>
    <row r="5" spans="1:17" x14ac:dyDescent="0.45">
      <c r="A5" s="35">
        <v>2</v>
      </c>
      <c r="B5" s="32">
        <v>-62.8</v>
      </c>
      <c r="C5" s="32">
        <v>-31.4</v>
      </c>
      <c r="D5" s="37">
        <v>2.5</v>
      </c>
      <c r="E5" s="33">
        <v>0</v>
      </c>
      <c r="F5" s="33">
        <v>0.5</v>
      </c>
      <c r="G5" s="33">
        <v>0.2</v>
      </c>
      <c r="H5" s="33">
        <v>0.2</v>
      </c>
      <c r="I5" s="34">
        <v>14000</v>
      </c>
      <c r="J5" s="34">
        <v>-17950</v>
      </c>
      <c r="K5" s="33">
        <v>0.5</v>
      </c>
      <c r="L5" s="33">
        <v>0.5</v>
      </c>
      <c r="M5" s="33">
        <v>0</v>
      </c>
      <c r="N5" s="33">
        <v>0.4</v>
      </c>
      <c r="O5" s="33">
        <v>0</v>
      </c>
      <c r="P5" s="33">
        <v>0</v>
      </c>
    </row>
    <row r="6" spans="1:17" x14ac:dyDescent="0.45">
      <c r="A6" s="35">
        <v>3</v>
      </c>
      <c r="B6" s="32">
        <v>-48.5</v>
      </c>
      <c r="C6" s="32">
        <v>-16.166666666666668</v>
      </c>
      <c r="D6" s="37">
        <v>2</v>
      </c>
      <c r="E6" s="33">
        <v>0.33333333333333331</v>
      </c>
      <c r="F6" s="33">
        <v>0.33333333333333331</v>
      </c>
      <c r="G6" s="33">
        <v>0.25</v>
      </c>
      <c r="H6" s="33">
        <v>0.25</v>
      </c>
      <c r="I6" s="34">
        <v>12000</v>
      </c>
      <c r="J6" s="34">
        <v>-11775</v>
      </c>
      <c r="K6" s="33">
        <v>0.33333333333333331</v>
      </c>
      <c r="L6" s="33">
        <v>0.375</v>
      </c>
      <c r="M6" s="33">
        <v>6.25E-2</v>
      </c>
      <c r="N6" s="33">
        <v>0.5</v>
      </c>
      <c r="O6" s="33">
        <v>0</v>
      </c>
      <c r="P6" s="33">
        <v>0.5</v>
      </c>
    </row>
    <row r="7" spans="1:17" x14ac:dyDescent="0.45">
      <c r="A7" s="35">
        <v>4</v>
      </c>
      <c r="B7" s="32">
        <v>-75.599999999999994</v>
      </c>
      <c r="C7" s="32">
        <v>-18.899999999999999</v>
      </c>
      <c r="D7" s="37">
        <v>2.25</v>
      </c>
      <c r="E7" s="33">
        <v>0.25</v>
      </c>
      <c r="F7" s="33">
        <v>0.5</v>
      </c>
      <c r="G7" s="33">
        <v>0.22727272727272727</v>
      </c>
      <c r="H7" s="33">
        <v>0.22727272727272727</v>
      </c>
      <c r="I7" s="34">
        <v>10160</v>
      </c>
      <c r="J7" s="34">
        <v>-9940</v>
      </c>
      <c r="K7" s="33">
        <v>0.25</v>
      </c>
      <c r="L7" s="33">
        <v>0.40909090909090912</v>
      </c>
      <c r="M7" s="33">
        <v>4.5454545454545456E-2</v>
      </c>
      <c r="N7" s="33">
        <v>0.44444444444444442</v>
      </c>
      <c r="O7" s="33">
        <v>0</v>
      </c>
      <c r="P7" s="33">
        <v>0.6</v>
      </c>
    </row>
    <row r="8" spans="1:17" x14ac:dyDescent="0.45">
      <c r="A8" s="35">
        <v>5</v>
      </c>
      <c r="B8" s="32">
        <v>-96.5</v>
      </c>
      <c r="C8" s="32">
        <v>-19.3</v>
      </c>
      <c r="D8" s="37">
        <v>2.4</v>
      </c>
      <c r="E8" s="33">
        <v>0.2</v>
      </c>
      <c r="F8" s="33">
        <v>0.6</v>
      </c>
      <c r="G8" s="33">
        <v>0.20689655172413793</v>
      </c>
      <c r="H8" s="33">
        <v>0.20689655172413793</v>
      </c>
      <c r="I8" s="34">
        <v>8900</v>
      </c>
      <c r="J8" s="34">
        <v>-9150</v>
      </c>
      <c r="K8" s="33">
        <v>0.2</v>
      </c>
      <c r="L8" s="33">
        <v>0.34482758620689657</v>
      </c>
      <c r="M8" s="33">
        <v>3.4482758620689655E-2</v>
      </c>
      <c r="N8" s="33">
        <v>0.4</v>
      </c>
      <c r="O8" s="33">
        <v>0</v>
      </c>
      <c r="P8" s="33">
        <v>0.5</v>
      </c>
    </row>
    <row r="9" spans="1:17" x14ac:dyDescent="0.45">
      <c r="A9" s="35">
        <v>6</v>
      </c>
      <c r="B9" s="32">
        <v>-70.5</v>
      </c>
      <c r="C9" s="32">
        <v>-11.75</v>
      </c>
      <c r="D9" s="37">
        <v>2.1666666666666665</v>
      </c>
      <c r="E9" s="33">
        <v>0.33333333333333331</v>
      </c>
      <c r="F9" s="33">
        <v>0.5</v>
      </c>
      <c r="G9" s="33">
        <v>0.25</v>
      </c>
      <c r="H9" s="33">
        <v>0.19444444444444445</v>
      </c>
      <c r="I9" s="34">
        <v>8566.6666666666661</v>
      </c>
      <c r="J9" s="34">
        <v>-8585.7142857142862</v>
      </c>
      <c r="K9" s="33">
        <v>0.16666666666666666</v>
      </c>
      <c r="L9" s="33">
        <v>0.3888888888888889</v>
      </c>
      <c r="M9" s="33">
        <v>2.7777777777777776E-2</v>
      </c>
      <c r="N9" s="33">
        <v>0.5</v>
      </c>
      <c r="O9" s="33">
        <v>0</v>
      </c>
      <c r="P9" s="33">
        <v>0.44444444444444442</v>
      </c>
    </row>
    <row r="10" spans="1:17" x14ac:dyDescent="0.45">
      <c r="A10" s="35">
        <v>7</v>
      </c>
      <c r="B10" s="32">
        <v>-38.6</v>
      </c>
      <c r="C10" s="32">
        <v>-5.5142857142857142</v>
      </c>
      <c r="D10" s="37">
        <v>2</v>
      </c>
      <c r="E10" s="33">
        <v>0.42857142857142855</v>
      </c>
      <c r="F10" s="33">
        <v>0.42857142857142855</v>
      </c>
      <c r="G10" s="33">
        <v>0.28888888888888886</v>
      </c>
      <c r="H10" s="33">
        <v>0.15555555555555556</v>
      </c>
      <c r="I10" s="34">
        <v>8769.2307692307695</v>
      </c>
      <c r="J10" s="34">
        <v>-8585.7142857142862</v>
      </c>
      <c r="K10" s="33">
        <v>0.14285714285714285</v>
      </c>
      <c r="L10" s="33">
        <v>0.35555555555555557</v>
      </c>
      <c r="M10" s="33">
        <v>8.8888888888888892E-2</v>
      </c>
      <c r="N10" s="33">
        <v>0.5625</v>
      </c>
      <c r="O10" s="33">
        <v>0.25</v>
      </c>
      <c r="P10" s="33">
        <v>0.38461538461538464</v>
      </c>
    </row>
    <row r="11" spans="1:17" x14ac:dyDescent="0.45">
      <c r="A11" s="35">
        <v>8</v>
      </c>
      <c r="B11" s="32">
        <v>-28.3</v>
      </c>
      <c r="C11" s="32">
        <v>-3.5375000000000001</v>
      </c>
      <c r="D11" s="37">
        <v>2</v>
      </c>
      <c r="E11" s="33">
        <v>0.375</v>
      </c>
      <c r="F11" s="33">
        <v>0.375</v>
      </c>
      <c r="G11" s="33">
        <v>0.2857142857142857</v>
      </c>
      <c r="H11" s="33">
        <v>0.14285714285714285</v>
      </c>
      <c r="I11" s="34">
        <v>9431.25</v>
      </c>
      <c r="J11" s="34">
        <v>-8475</v>
      </c>
      <c r="K11" s="33">
        <v>0.125</v>
      </c>
      <c r="L11" s="33">
        <v>0.32142857142857145</v>
      </c>
      <c r="M11" s="33">
        <v>0.14285714285714285</v>
      </c>
      <c r="N11" s="33">
        <v>0.55555555555555558</v>
      </c>
      <c r="O11" s="33">
        <v>0.375</v>
      </c>
      <c r="P11" s="33">
        <v>0.375</v>
      </c>
    </row>
    <row r="12" spans="1:17" x14ac:dyDescent="0.45">
      <c r="A12" s="35">
        <v>9</v>
      </c>
      <c r="B12" s="32">
        <v>-20.3</v>
      </c>
      <c r="C12" s="32">
        <v>-2.2555555555555555</v>
      </c>
      <c r="D12" s="37">
        <v>2</v>
      </c>
      <c r="E12" s="33">
        <v>0.33333333333333331</v>
      </c>
      <c r="F12" s="33">
        <v>0.33333333333333331</v>
      </c>
      <c r="G12" s="33">
        <v>0.27692307692307694</v>
      </c>
      <c r="H12" s="33">
        <v>0.12307692307692308</v>
      </c>
      <c r="I12" s="34">
        <v>9316.6666666666661</v>
      </c>
      <c r="J12" s="34">
        <v>-8475</v>
      </c>
      <c r="K12" s="33">
        <v>0.1111111111111111</v>
      </c>
      <c r="L12" s="33">
        <v>0.30769230769230771</v>
      </c>
      <c r="M12" s="33">
        <v>0.15384615384615385</v>
      </c>
      <c r="N12" s="33">
        <v>0.55000000000000004</v>
      </c>
      <c r="O12" s="33">
        <v>0.4</v>
      </c>
      <c r="P12" s="33">
        <v>0.3888888888888889</v>
      </c>
    </row>
    <row r="13" spans="1:17" x14ac:dyDescent="0.45">
      <c r="A13" s="35">
        <v>10</v>
      </c>
      <c r="B13" s="32">
        <v>-14.9</v>
      </c>
      <c r="C13" s="32">
        <v>-1.49</v>
      </c>
      <c r="D13" s="37">
        <v>2</v>
      </c>
      <c r="E13" s="33">
        <v>0.3</v>
      </c>
      <c r="F13" s="33">
        <v>0.3</v>
      </c>
      <c r="G13" s="33">
        <v>0.30263157894736842</v>
      </c>
      <c r="H13" s="33">
        <v>0.11842105263157894</v>
      </c>
      <c r="I13" s="34">
        <v>8526.0869565217399</v>
      </c>
      <c r="J13" s="34">
        <v>-11088.888888888889</v>
      </c>
      <c r="K13" s="33">
        <v>0.1</v>
      </c>
      <c r="L13" s="33">
        <v>0.31578947368421051</v>
      </c>
      <c r="M13" s="33">
        <v>0.17105263157894737</v>
      </c>
      <c r="N13" s="33">
        <v>0.54166666666666663</v>
      </c>
      <c r="O13" s="33">
        <v>0.53846153846153844</v>
      </c>
      <c r="P13" s="33">
        <v>0.30434782608695654</v>
      </c>
    </row>
    <row r="14" spans="1:17" x14ac:dyDescent="0.45">
      <c r="A14" s="35">
        <v>11</v>
      </c>
      <c r="B14" s="32">
        <v>-46</v>
      </c>
      <c r="C14" s="32">
        <v>-4.1818181818181817</v>
      </c>
      <c r="D14" s="37">
        <v>2</v>
      </c>
      <c r="E14" s="33">
        <v>0.27272727272727271</v>
      </c>
      <c r="F14" s="33">
        <v>0.27272727272727271</v>
      </c>
      <c r="G14" s="33">
        <v>0.28915662650602408</v>
      </c>
      <c r="H14" s="33">
        <v>0.10843373493975904</v>
      </c>
      <c r="I14" s="34">
        <v>8225</v>
      </c>
      <c r="J14" s="34">
        <v>-11088.888888888889</v>
      </c>
      <c r="K14" s="33">
        <v>9.0909090909090912E-2</v>
      </c>
      <c r="L14" s="33">
        <v>0.3253012048192771</v>
      </c>
      <c r="M14" s="33">
        <v>0.18072289156626506</v>
      </c>
      <c r="N14" s="33">
        <v>0.51851851851851849</v>
      </c>
      <c r="O14" s="33">
        <v>0.46666666666666667</v>
      </c>
      <c r="P14" s="33">
        <v>0.29166666666666669</v>
      </c>
    </row>
    <row r="15" spans="1:17" x14ac:dyDescent="0.45">
      <c r="A15" s="35">
        <v>12</v>
      </c>
      <c r="B15" s="32">
        <v>-87.6</v>
      </c>
      <c r="C15" s="32">
        <v>-7.3</v>
      </c>
      <c r="D15" s="37">
        <v>2.0833333333333335</v>
      </c>
      <c r="E15" s="33">
        <v>0.25</v>
      </c>
      <c r="F15" s="33">
        <v>0.33333333333333331</v>
      </c>
      <c r="G15" s="33">
        <v>0.26881720430107525</v>
      </c>
      <c r="H15" s="33">
        <v>0.13978494623655913</v>
      </c>
      <c r="I15" s="34">
        <v>7960</v>
      </c>
      <c r="J15" s="34">
        <v>-9323.0769230769238</v>
      </c>
      <c r="K15" s="33">
        <v>8.3333333333333329E-2</v>
      </c>
      <c r="L15" s="33">
        <v>0.30107526881720431</v>
      </c>
      <c r="M15" s="33">
        <v>0.19354838709677419</v>
      </c>
      <c r="N15" s="33">
        <v>0.5</v>
      </c>
      <c r="O15" s="33">
        <v>0.3888888888888889</v>
      </c>
      <c r="P15" s="33">
        <v>0.32</v>
      </c>
    </row>
    <row r="16" spans="1:17" x14ac:dyDescent="0.45">
      <c r="A16" s="35">
        <v>13</v>
      </c>
      <c r="B16" s="32">
        <v>-125.89999999999999</v>
      </c>
      <c r="C16" s="32">
        <v>-9.684615384615384</v>
      </c>
      <c r="D16" s="37">
        <v>2.1538461538461537</v>
      </c>
      <c r="E16" s="33">
        <v>0.23076923076923078</v>
      </c>
      <c r="F16" s="33">
        <v>0.38461538461538464</v>
      </c>
      <c r="G16" s="33">
        <v>0.25252525252525254</v>
      </c>
      <c r="H16" s="33">
        <v>0.15151515151515152</v>
      </c>
      <c r="I16" s="34">
        <v>7960</v>
      </c>
      <c r="J16" s="34">
        <v>-8700</v>
      </c>
      <c r="K16" s="33">
        <v>7.6923076923076927E-2</v>
      </c>
      <c r="L16" s="33">
        <v>0.30303030303030304</v>
      </c>
      <c r="M16" s="33">
        <v>0.19191919191919191</v>
      </c>
      <c r="N16" s="33">
        <v>0.46666666666666667</v>
      </c>
      <c r="O16" s="33">
        <v>0.36842105263157893</v>
      </c>
      <c r="P16" s="33">
        <v>0.32</v>
      </c>
    </row>
    <row r="17" spans="1:16" x14ac:dyDescent="0.45">
      <c r="A17" s="35">
        <v>14</v>
      </c>
      <c r="B17" s="32">
        <v>-149.39999999999998</v>
      </c>
      <c r="C17" s="32">
        <v>-10.671428571428569</v>
      </c>
      <c r="D17" s="37">
        <v>2.1428571428571428</v>
      </c>
      <c r="E17" s="33">
        <v>0.21428571428571427</v>
      </c>
      <c r="F17" s="33">
        <v>0.35714285714285715</v>
      </c>
      <c r="G17" s="33">
        <v>0.24299065420560748</v>
      </c>
      <c r="H17" s="33">
        <v>0.14953271028037382</v>
      </c>
      <c r="I17" s="34">
        <v>7753.8461538461543</v>
      </c>
      <c r="J17" s="34">
        <v>-8881.25</v>
      </c>
      <c r="K17" s="33">
        <v>7.1428571428571425E-2</v>
      </c>
      <c r="L17" s="33">
        <v>0.29906542056074764</v>
      </c>
      <c r="M17" s="33">
        <v>0.18691588785046728</v>
      </c>
      <c r="N17" s="33">
        <v>0.46875</v>
      </c>
      <c r="O17" s="33">
        <v>0.35</v>
      </c>
      <c r="P17" s="33">
        <v>0.30769230769230771</v>
      </c>
    </row>
    <row r="18" spans="1:16" x14ac:dyDescent="0.45">
      <c r="A18" s="35">
        <v>15</v>
      </c>
      <c r="B18" s="32">
        <v>-121.39999999999998</v>
      </c>
      <c r="C18" s="32">
        <v>-8.0933333333333319</v>
      </c>
      <c r="D18" s="37">
        <v>2.0666666666666669</v>
      </c>
      <c r="E18" s="33">
        <v>0.26666666666666666</v>
      </c>
      <c r="F18" s="33">
        <v>0.33333333333333331</v>
      </c>
      <c r="G18" s="33">
        <v>0.25663716814159293</v>
      </c>
      <c r="H18" s="33">
        <v>0.1415929203539823</v>
      </c>
      <c r="I18" s="34">
        <v>7813.7931034482763</v>
      </c>
      <c r="J18" s="34">
        <v>-8881.25</v>
      </c>
      <c r="K18" s="33">
        <v>6.6666666666666666E-2</v>
      </c>
      <c r="L18" s="33">
        <v>0.29203539823008851</v>
      </c>
      <c r="M18" s="33">
        <v>0.21238938053097345</v>
      </c>
      <c r="N18" s="33">
        <v>0.48484848484848486</v>
      </c>
      <c r="O18" s="33">
        <v>0.375</v>
      </c>
      <c r="P18" s="33">
        <v>0.31034482758620691</v>
      </c>
    </row>
    <row r="19" spans="1:16" x14ac:dyDescent="0.45">
      <c r="A19" s="35">
        <v>16</v>
      </c>
      <c r="B19" s="32">
        <v>-141.29999999999998</v>
      </c>
      <c r="C19" s="32">
        <v>-8.8312499999999989</v>
      </c>
      <c r="D19" s="37">
        <v>2.0625</v>
      </c>
      <c r="E19" s="33">
        <v>0.25</v>
      </c>
      <c r="F19" s="33">
        <v>0.3125</v>
      </c>
      <c r="G19" s="33">
        <v>0.24193548387096775</v>
      </c>
      <c r="H19" s="33">
        <v>0.15322580645161291</v>
      </c>
      <c r="I19" s="34">
        <v>7683.333333333333</v>
      </c>
      <c r="J19" s="34">
        <v>-8157.894736842105</v>
      </c>
      <c r="K19" s="33">
        <v>6.25E-2</v>
      </c>
      <c r="L19" s="33">
        <v>0.2661290322580645</v>
      </c>
      <c r="M19" s="33">
        <v>0.22580645161290322</v>
      </c>
      <c r="N19" s="33">
        <v>0.48484848484848486</v>
      </c>
      <c r="O19" s="33">
        <v>0.35714285714285715</v>
      </c>
      <c r="P19" s="33">
        <v>0.3</v>
      </c>
    </row>
    <row r="20" spans="1:16" x14ac:dyDescent="0.45">
      <c r="A20" s="35">
        <v>17</v>
      </c>
      <c r="B20" s="32">
        <v>-149.1</v>
      </c>
      <c r="C20" s="32">
        <v>-8.7705882352941167</v>
      </c>
      <c r="D20" s="37">
        <v>2.0588235294117645</v>
      </c>
      <c r="E20" s="33">
        <v>0.23529411764705882</v>
      </c>
      <c r="F20" s="33">
        <v>0.29411764705882354</v>
      </c>
      <c r="G20" s="33">
        <v>0.23846153846153847</v>
      </c>
      <c r="H20" s="33">
        <v>0.14615384615384616</v>
      </c>
      <c r="I20" s="34">
        <v>7564.5161290322585</v>
      </c>
      <c r="J20" s="34">
        <v>-8157.894736842105</v>
      </c>
      <c r="K20" s="33">
        <v>5.8823529411764705E-2</v>
      </c>
      <c r="L20" s="33">
        <v>0.26923076923076922</v>
      </c>
      <c r="M20" s="33">
        <v>0.23076923076923078</v>
      </c>
      <c r="N20" s="33">
        <v>0.48571428571428571</v>
      </c>
      <c r="O20" s="33">
        <v>0.33333333333333331</v>
      </c>
      <c r="P20" s="33">
        <v>0.32258064516129031</v>
      </c>
    </row>
    <row r="21" spans="1:16" x14ac:dyDescent="0.45">
      <c r="A21" s="35">
        <v>18</v>
      </c>
      <c r="B21" s="32">
        <v>-201.89999999999998</v>
      </c>
      <c r="C21" s="32">
        <v>-11.216666666666665</v>
      </c>
      <c r="D21" s="37">
        <v>2.1111111111111112</v>
      </c>
      <c r="E21" s="33">
        <v>0.22222222222222221</v>
      </c>
      <c r="F21" s="33">
        <v>0.33333333333333331</v>
      </c>
      <c r="G21" s="33">
        <v>0.22794117647058823</v>
      </c>
      <c r="H21" s="33">
        <v>0.15441176470588236</v>
      </c>
      <c r="I21" s="34">
        <v>7564.5161290322585</v>
      </c>
      <c r="J21" s="34">
        <v>-8300</v>
      </c>
      <c r="K21" s="33">
        <v>0.1111111111111111</v>
      </c>
      <c r="L21" s="33">
        <v>0.26470588235294118</v>
      </c>
      <c r="M21" s="33">
        <v>0.22794117647058823</v>
      </c>
      <c r="N21" s="33">
        <v>0.47222222222222221</v>
      </c>
      <c r="O21" s="33">
        <v>0.32258064516129031</v>
      </c>
      <c r="P21" s="33">
        <v>0.32258064516129031</v>
      </c>
    </row>
    <row r="22" spans="1:16" x14ac:dyDescent="0.45">
      <c r="A22" s="35">
        <v>19</v>
      </c>
      <c r="B22" s="32">
        <v>-152.39999999999998</v>
      </c>
      <c r="C22" s="32">
        <v>-8.0210526315789465</v>
      </c>
      <c r="D22" s="37">
        <v>2.0526315789473686</v>
      </c>
      <c r="E22" s="33">
        <v>0.26315789473684209</v>
      </c>
      <c r="F22" s="33">
        <v>0.31578947368421051</v>
      </c>
      <c r="G22" s="33">
        <v>0.23943661971830985</v>
      </c>
      <c r="H22" s="33">
        <v>0.14788732394366197</v>
      </c>
      <c r="I22" s="34">
        <v>7994.1176470588234</v>
      </c>
      <c r="J22" s="34">
        <v>-8300</v>
      </c>
      <c r="K22" s="33">
        <v>0.10526315789473684</v>
      </c>
      <c r="L22" s="33">
        <v>0.26760563380281688</v>
      </c>
      <c r="M22" s="33">
        <v>0.23239436619718309</v>
      </c>
      <c r="N22" s="33">
        <v>0.5</v>
      </c>
      <c r="O22" s="33">
        <v>0.33333333333333331</v>
      </c>
      <c r="P22" s="33">
        <v>0.35294117647058826</v>
      </c>
    </row>
    <row r="23" spans="1:16" x14ac:dyDescent="0.45">
      <c r="A23" s="35">
        <v>20</v>
      </c>
      <c r="B23" s="32">
        <v>-140.19999999999999</v>
      </c>
      <c r="C23" s="32">
        <v>-7.01</v>
      </c>
      <c r="D23" s="37">
        <v>2.0499999999999998</v>
      </c>
      <c r="E23" s="33">
        <v>0.25</v>
      </c>
      <c r="F23" s="33">
        <v>0.3</v>
      </c>
      <c r="G23" s="33">
        <v>0.23841059602649006</v>
      </c>
      <c r="H23" s="33">
        <v>0.13907284768211919</v>
      </c>
      <c r="I23" s="34">
        <v>7994.4444444444443</v>
      </c>
      <c r="J23" s="34">
        <v>-8300</v>
      </c>
      <c r="K23" s="33">
        <v>0.1</v>
      </c>
      <c r="L23" s="33">
        <v>0.27152317880794702</v>
      </c>
      <c r="M23" s="33">
        <v>0.23178807947019867</v>
      </c>
      <c r="N23" s="33">
        <v>0.48780487804878048</v>
      </c>
      <c r="O23" s="33">
        <v>0.34285714285714286</v>
      </c>
      <c r="P23" s="33">
        <v>0.3611111111111111</v>
      </c>
    </row>
    <row r="24" spans="1:16" x14ac:dyDescent="0.45">
      <c r="A24" s="35">
        <v>21</v>
      </c>
      <c r="B24" s="32">
        <v>-76.699999999999989</v>
      </c>
      <c r="C24" s="32">
        <v>-3.6523809523809518</v>
      </c>
      <c r="D24" s="37">
        <v>2</v>
      </c>
      <c r="E24" s="33">
        <v>0.2857142857142857</v>
      </c>
      <c r="F24" s="33">
        <v>0.2857142857142857</v>
      </c>
      <c r="G24" s="33">
        <v>0.26114649681528662</v>
      </c>
      <c r="H24" s="33">
        <v>0.14012738853503184</v>
      </c>
      <c r="I24" s="34">
        <v>8363.414634146342</v>
      </c>
      <c r="J24" s="34">
        <v>-8040.909090909091</v>
      </c>
      <c r="K24" s="33">
        <v>9.5238095238095233E-2</v>
      </c>
      <c r="L24" s="33">
        <v>0.28662420382165604</v>
      </c>
      <c r="M24" s="33">
        <v>0.22929936305732485</v>
      </c>
      <c r="N24" s="33">
        <v>0.53333333333333333</v>
      </c>
      <c r="O24" s="33">
        <v>0.33333333333333331</v>
      </c>
      <c r="P24" s="33">
        <v>0.34146341463414637</v>
      </c>
    </row>
    <row r="25" spans="1:16" x14ac:dyDescent="0.45">
      <c r="A25" s="35">
        <v>22</v>
      </c>
      <c r="B25" s="32">
        <v>-46.699999999999989</v>
      </c>
      <c r="C25" s="32">
        <v>-2.1227272727272721</v>
      </c>
      <c r="D25" s="37">
        <v>1.9545454545454546</v>
      </c>
      <c r="E25" s="33">
        <v>0.31818181818181818</v>
      </c>
      <c r="F25" s="33">
        <v>0.27272727272727271</v>
      </c>
      <c r="G25" s="33">
        <v>0.27272727272727271</v>
      </c>
      <c r="H25" s="33">
        <v>0.1393939393939394</v>
      </c>
      <c r="I25" s="34">
        <v>8211.1111111111113</v>
      </c>
      <c r="J25" s="34">
        <v>-7804.347826086957</v>
      </c>
      <c r="K25" s="33">
        <v>9.0909090909090912E-2</v>
      </c>
      <c r="L25" s="33">
        <v>0.28484848484848485</v>
      </c>
      <c r="M25" s="33">
        <v>0.21818181818181817</v>
      </c>
      <c r="N25" s="33">
        <v>0.53191489361702127</v>
      </c>
      <c r="O25" s="33">
        <v>0.33333333333333331</v>
      </c>
      <c r="P25" s="33">
        <v>0.4</v>
      </c>
    </row>
    <row r="26" spans="1:16" x14ac:dyDescent="0.45">
      <c r="A26" s="35">
        <v>23</v>
      </c>
      <c r="B26" s="32">
        <v>-43.199999999999989</v>
      </c>
      <c r="C26" s="32">
        <v>-1.878260869565217</v>
      </c>
      <c r="D26" s="37">
        <v>1.9565217391304348</v>
      </c>
      <c r="E26" s="33">
        <v>0.30434782608695654</v>
      </c>
      <c r="F26" s="33">
        <v>0.2608695652173913</v>
      </c>
      <c r="G26" s="33">
        <v>0.27218934911242604</v>
      </c>
      <c r="H26" s="33">
        <v>0.13609467455621302</v>
      </c>
      <c r="I26" s="34">
        <v>8206.5217391304341</v>
      </c>
      <c r="J26" s="34">
        <v>-7804.347826086957</v>
      </c>
      <c r="K26" s="33">
        <v>8.6956521739130432E-2</v>
      </c>
      <c r="L26" s="33">
        <v>0.28402366863905326</v>
      </c>
      <c r="M26" s="33">
        <v>0.21301775147928995</v>
      </c>
      <c r="N26" s="33">
        <v>0.54166666666666663</v>
      </c>
      <c r="O26" s="33">
        <v>0.33333333333333331</v>
      </c>
      <c r="P26" s="33">
        <v>0.39130434782608697</v>
      </c>
    </row>
    <row r="27" spans="1:16" x14ac:dyDescent="0.45">
      <c r="A27" s="35">
        <v>24</v>
      </c>
      <c r="B27" s="32">
        <v>-9.1999999999999886</v>
      </c>
      <c r="C27" s="32">
        <v>-0.38333333333333286</v>
      </c>
      <c r="D27" s="37">
        <v>1.9166666666666667</v>
      </c>
      <c r="E27" s="33">
        <v>0.33333333333333331</v>
      </c>
      <c r="F27" s="33">
        <v>0.25</v>
      </c>
      <c r="G27" s="33">
        <v>0.2824858757062147</v>
      </c>
      <c r="H27" s="33">
        <v>0.13559322033898305</v>
      </c>
      <c r="I27" s="34">
        <v>8070</v>
      </c>
      <c r="J27" s="34">
        <v>-7541.666666666667</v>
      </c>
      <c r="K27" s="33">
        <v>8.3333333333333329E-2</v>
      </c>
      <c r="L27" s="33">
        <v>0.2768361581920904</v>
      </c>
      <c r="M27" s="33">
        <v>0.22033898305084745</v>
      </c>
      <c r="N27" s="33">
        <v>0.55102040816326525</v>
      </c>
      <c r="O27" s="33">
        <v>0.33333333333333331</v>
      </c>
      <c r="P27" s="33">
        <v>0.4</v>
      </c>
    </row>
    <row r="28" spans="1:16" x14ac:dyDescent="0.45">
      <c r="A28" s="35">
        <v>25</v>
      </c>
      <c r="B28" s="32">
        <v>-13.199999999999989</v>
      </c>
      <c r="C28" s="32">
        <v>-0.52799999999999958</v>
      </c>
      <c r="D28" s="37">
        <v>1.92</v>
      </c>
      <c r="E28" s="33">
        <v>0.32</v>
      </c>
      <c r="F28" s="33">
        <v>0.24</v>
      </c>
      <c r="G28" s="33">
        <v>0.27624309392265195</v>
      </c>
      <c r="H28" s="33">
        <v>0.13259668508287292</v>
      </c>
      <c r="I28" s="34">
        <v>8070</v>
      </c>
      <c r="J28" s="34">
        <v>-7541.666666666667</v>
      </c>
      <c r="K28" s="33">
        <v>0.08</v>
      </c>
      <c r="L28" s="33">
        <v>0.27071823204419887</v>
      </c>
      <c r="M28" s="33">
        <v>0.22099447513812154</v>
      </c>
      <c r="N28" s="33">
        <v>0.55102040816326525</v>
      </c>
      <c r="O28" s="33">
        <v>0.32500000000000001</v>
      </c>
      <c r="P28" s="33">
        <v>0.4</v>
      </c>
    </row>
    <row r="29" spans="1:16" x14ac:dyDescent="0.45">
      <c r="A29" s="35">
        <v>26</v>
      </c>
      <c r="B29" s="32">
        <v>-24.699999999999989</v>
      </c>
      <c r="C29" s="32">
        <v>-0.94999999999999951</v>
      </c>
      <c r="D29" s="37">
        <v>1.9230769230769231</v>
      </c>
      <c r="E29" s="33">
        <v>0.30769230769230771</v>
      </c>
      <c r="F29" s="33">
        <v>0.23076923076923078</v>
      </c>
      <c r="G29" s="33">
        <v>0.27419354838709675</v>
      </c>
      <c r="H29" s="33">
        <v>0.12903225806451613</v>
      </c>
      <c r="I29" s="34">
        <v>8147.0588235294117</v>
      </c>
      <c r="J29" s="34">
        <v>-7541.666666666667</v>
      </c>
      <c r="K29" s="33">
        <v>7.6923076923076927E-2</v>
      </c>
      <c r="L29" s="33">
        <v>0.27419354838709675</v>
      </c>
      <c r="M29" s="33">
        <v>0.22043010752688172</v>
      </c>
      <c r="N29" s="33">
        <v>0.5490196078431373</v>
      </c>
      <c r="O29" s="33">
        <v>0.31707317073170732</v>
      </c>
      <c r="P29" s="33">
        <v>0.39215686274509803</v>
      </c>
    </row>
    <row r="30" spans="1:16" x14ac:dyDescent="0.45">
      <c r="A30" s="35">
        <v>27</v>
      </c>
      <c r="B30" s="32">
        <v>-58.099999999999987</v>
      </c>
      <c r="C30" s="32">
        <v>-2.1518518518518515</v>
      </c>
      <c r="D30" s="37">
        <v>1.962962962962963</v>
      </c>
      <c r="E30" s="33">
        <v>0.29629629629629628</v>
      </c>
      <c r="F30" s="33">
        <v>0.25925925925925924</v>
      </c>
      <c r="G30" s="33">
        <v>0.27179487179487177</v>
      </c>
      <c r="H30" s="33">
        <v>0.13333333333333333</v>
      </c>
      <c r="I30" s="34">
        <v>8015.0943396226412</v>
      </c>
      <c r="J30" s="34">
        <v>-7623.0769230769229</v>
      </c>
      <c r="K30" s="33">
        <v>7.407407407407407E-2</v>
      </c>
      <c r="L30" s="33">
        <v>0.28205128205128205</v>
      </c>
      <c r="M30" s="33">
        <v>0.22051282051282051</v>
      </c>
      <c r="N30" s="33">
        <v>0.54545454545454541</v>
      </c>
      <c r="O30" s="33">
        <v>0.30232558139534882</v>
      </c>
      <c r="P30" s="33">
        <v>0.37735849056603776</v>
      </c>
    </row>
    <row r="31" spans="1:16" x14ac:dyDescent="0.45">
      <c r="A31" s="35">
        <v>28</v>
      </c>
      <c r="B31" s="32">
        <v>-115.69999999999999</v>
      </c>
      <c r="C31" s="32">
        <v>-4.1321428571428571</v>
      </c>
      <c r="D31" s="37">
        <v>2</v>
      </c>
      <c r="E31" s="33">
        <v>0.2857142857142857</v>
      </c>
      <c r="F31" s="33">
        <v>0.2857142857142857</v>
      </c>
      <c r="G31" s="33">
        <v>0.26829268292682928</v>
      </c>
      <c r="H31" s="33">
        <v>0.13658536585365855</v>
      </c>
      <c r="I31" s="34">
        <v>7890.909090909091</v>
      </c>
      <c r="J31" s="34">
        <v>-7782.1428571428569</v>
      </c>
      <c r="K31" s="33">
        <v>0.10714285714285714</v>
      </c>
      <c r="L31" s="33">
        <v>0.27317073170731709</v>
      </c>
      <c r="M31" s="33">
        <v>0.22439024390243903</v>
      </c>
      <c r="N31" s="33">
        <v>0.5357142857142857</v>
      </c>
      <c r="O31" s="33">
        <v>0.30434782608695654</v>
      </c>
      <c r="P31" s="33">
        <v>0.4</v>
      </c>
    </row>
    <row r="32" spans="1:16" x14ac:dyDescent="0.45">
      <c r="A32" s="35">
        <v>29</v>
      </c>
      <c r="B32" s="32">
        <v>-163.79999999999998</v>
      </c>
      <c r="C32" s="32">
        <v>-5.6482758620689646</v>
      </c>
      <c r="D32" s="37">
        <v>2.0344827586206895</v>
      </c>
      <c r="E32" s="33">
        <v>0.27586206896551724</v>
      </c>
      <c r="F32" s="33">
        <v>0.31034482758620691</v>
      </c>
      <c r="G32" s="33">
        <v>0.26511627906976742</v>
      </c>
      <c r="H32" s="33">
        <v>0.13488372093023257</v>
      </c>
      <c r="I32" s="34">
        <v>7773.6842105263158</v>
      </c>
      <c r="J32" s="34">
        <v>-7779.3103448275861</v>
      </c>
      <c r="K32" s="33">
        <v>0.13793103448275862</v>
      </c>
      <c r="L32" s="33">
        <v>0.26511627906976742</v>
      </c>
      <c r="M32" s="33">
        <v>0.22790697674418606</v>
      </c>
      <c r="N32" s="33">
        <v>0.54385964912280704</v>
      </c>
      <c r="O32" s="33">
        <v>0.30612244897959184</v>
      </c>
      <c r="P32" s="33">
        <v>0.38596491228070173</v>
      </c>
    </row>
    <row r="33" spans="1:16" x14ac:dyDescent="0.45">
      <c r="A33" s="35">
        <v>30</v>
      </c>
      <c r="B33" s="32">
        <v>-201</v>
      </c>
      <c r="C33" s="32">
        <v>-6.7</v>
      </c>
      <c r="D33" s="37">
        <v>2.0666666666666669</v>
      </c>
      <c r="E33" s="33">
        <v>0.26666666666666666</v>
      </c>
      <c r="F33" s="33">
        <v>0.33333333333333331</v>
      </c>
      <c r="G33" s="33">
        <v>0.26106194690265488</v>
      </c>
      <c r="H33" s="33">
        <v>0.13716814159292035</v>
      </c>
      <c r="I33" s="34">
        <v>7681.3559322033898</v>
      </c>
      <c r="J33" s="34">
        <v>-7790.322580645161</v>
      </c>
      <c r="K33" s="33">
        <v>0.13333333333333333</v>
      </c>
      <c r="L33" s="33">
        <v>0.26991150442477874</v>
      </c>
      <c r="M33" s="33">
        <v>0.22566371681415928</v>
      </c>
      <c r="N33" s="33">
        <v>0.52459016393442626</v>
      </c>
      <c r="O33" s="33">
        <v>0.29411764705882354</v>
      </c>
      <c r="P33" s="33">
        <v>0.38983050847457629</v>
      </c>
    </row>
    <row r="34" spans="1:16" x14ac:dyDescent="0.45">
      <c r="A34" s="35">
        <v>31</v>
      </c>
      <c r="B34" s="32">
        <v>-181.9</v>
      </c>
      <c r="C34" s="32">
        <v>-5.8677419354838714</v>
      </c>
      <c r="D34" s="37">
        <v>2.032258064516129</v>
      </c>
      <c r="E34" s="33">
        <v>0.29032258064516131</v>
      </c>
      <c r="F34" s="33">
        <v>0.32258064516129031</v>
      </c>
      <c r="G34" s="33">
        <v>0.26495726495726496</v>
      </c>
      <c r="H34" s="33">
        <v>0.13247863247863248</v>
      </c>
      <c r="I34" s="34">
        <v>7474.1935483870966</v>
      </c>
      <c r="J34" s="34">
        <v>-7790.322580645161</v>
      </c>
      <c r="K34" s="33">
        <v>0.12903225806451613</v>
      </c>
      <c r="L34" s="33">
        <v>0.26923076923076922</v>
      </c>
      <c r="M34" s="33">
        <v>0.22222222222222221</v>
      </c>
      <c r="N34" s="33">
        <v>0.53968253968253965</v>
      </c>
      <c r="O34" s="33">
        <v>0.30769230769230771</v>
      </c>
      <c r="P34" s="33">
        <v>0.38709677419354838</v>
      </c>
    </row>
    <row r="35" spans="1:16" x14ac:dyDescent="0.45">
      <c r="A35" s="35">
        <v>32</v>
      </c>
      <c r="B35" s="32">
        <v>-137.5</v>
      </c>
      <c r="C35" s="32">
        <v>-4.296875</v>
      </c>
      <c r="D35" s="37">
        <v>2</v>
      </c>
      <c r="E35" s="33">
        <v>0.3125</v>
      </c>
      <c r="F35" s="33">
        <v>0.3125</v>
      </c>
      <c r="G35" s="33">
        <v>0.27459016393442626</v>
      </c>
      <c r="H35" s="33">
        <v>0.12704918032786885</v>
      </c>
      <c r="I35" s="34">
        <v>7502.9850746268658</v>
      </c>
      <c r="J35" s="34">
        <v>-7790.322580645161</v>
      </c>
      <c r="K35" s="33">
        <v>0.125</v>
      </c>
      <c r="L35" s="33">
        <v>0.27049180327868855</v>
      </c>
      <c r="M35" s="33">
        <v>0.22540983606557377</v>
      </c>
      <c r="N35" s="33">
        <v>0.56060606060606055</v>
      </c>
      <c r="O35" s="33">
        <v>0.30909090909090908</v>
      </c>
      <c r="P35" s="33">
        <v>0.38805970149253732</v>
      </c>
    </row>
    <row r="36" spans="1:16" x14ac:dyDescent="0.45">
      <c r="A36" s="35">
        <v>33</v>
      </c>
      <c r="B36" s="32">
        <v>-142.19999999999999</v>
      </c>
      <c r="C36" s="32">
        <v>-4.3090909090909086</v>
      </c>
      <c r="D36" s="37">
        <v>2</v>
      </c>
      <c r="E36" s="33">
        <v>0.30303030303030304</v>
      </c>
      <c r="F36" s="33">
        <v>0.30303030303030304</v>
      </c>
      <c r="G36" s="33">
        <v>0.26984126984126983</v>
      </c>
      <c r="H36" s="33">
        <v>0.12301587301587301</v>
      </c>
      <c r="I36" s="34">
        <v>7411.7647058823532</v>
      </c>
      <c r="J36" s="34">
        <v>-7790.322580645161</v>
      </c>
      <c r="K36" s="33">
        <v>0.12121212121212122</v>
      </c>
      <c r="L36" s="33">
        <v>0.26190476190476192</v>
      </c>
      <c r="M36" s="33">
        <v>0.23015873015873015</v>
      </c>
      <c r="N36" s="33">
        <v>0.56060606060606055</v>
      </c>
      <c r="O36" s="33">
        <v>0.29310344827586204</v>
      </c>
      <c r="P36" s="33">
        <v>0.38235294117647056</v>
      </c>
    </row>
    <row r="37" spans="1:16" x14ac:dyDescent="0.45">
      <c r="A37" s="35">
        <v>34</v>
      </c>
      <c r="B37" s="32">
        <v>-158.79999999999998</v>
      </c>
      <c r="C37" s="32">
        <v>-4.670588235294117</v>
      </c>
      <c r="D37" s="37">
        <v>2</v>
      </c>
      <c r="E37" s="33">
        <v>0.29411764705882354</v>
      </c>
      <c r="F37" s="33">
        <v>0.29411764705882354</v>
      </c>
      <c r="G37" s="33">
        <v>0.26848249027237353</v>
      </c>
      <c r="H37" s="33">
        <v>0.12062256809338522</v>
      </c>
      <c r="I37" s="34">
        <v>7360.869565217391</v>
      </c>
      <c r="J37" s="34">
        <v>-7790.322580645161</v>
      </c>
      <c r="K37" s="33">
        <v>0.11764705882352941</v>
      </c>
      <c r="L37" s="33">
        <v>0.26070038910505838</v>
      </c>
      <c r="M37" s="33">
        <v>0.22957198443579765</v>
      </c>
      <c r="N37" s="33">
        <v>0.55223880597014929</v>
      </c>
      <c r="O37" s="33">
        <v>0.30508474576271188</v>
      </c>
      <c r="P37" s="33">
        <v>0.37681159420289856</v>
      </c>
    </row>
    <row r="38" spans="1:16" x14ac:dyDescent="0.45">
      <c r="A38" s="35">
        <v>35</v>
      </c>
      <c r="B38" s="32">
        <v>-182.49999999999997</v>
      </c>
      <c r="C38" s="32">
        <v>-5.2142857142857135</v>
      </c>
      <c r="D38" s="37">
        <v>2.0285714285714285</v>
      </c>
      <c r="E38" s="33">
        <v>0.2857142857142857</v>
      </c>
      <c r="F38" s="33">
        <v>0.31428571428571428</v>
      </c>
      <c r="G38" s="33">
        <v>0.26865671641791045</v>
      </c>
      <c r="H38" s="33">
        <v>0.12686567164179105</v>
      </c>
      <c r="I38" s="34">
        <v>7419.4444444444443</v>
      </c>
      <c r="J38" s="34">
        <v>-7879.411764705882</v>
      </c>
      <c r="K38" s="33">
        <v>0.11428571428571428</v>
      </c>
      <c r="L38" s="33">
        <v>0.2574626865671642</v>
      </c>
      <c r="M38" s="33">
        <v>0.23134328358208955</v>
      </c>
      <c r="N38" s="33">
        <v>0.53623188405797106</v>
      </c>
      <c r="O38" s="33">
        <v>0.32258064516129031</v>
      </c>
      <c r="P38" s="33">
        <v>0.3888888888888889</v>
      </c>
    </row>
    <row r="39" spans="1:16" x14ac:dyDescent="0.45">
      <c r="A39" s="35">
        <v>36</v>
      </c>
      <c r="B39" s="32">
        <v>-211.19999999999996</v>
      </c>
      <c r="C39" s="32">
        <v>-5.8666666666666654</v>
      </c>
      <c r="D39" s="37">
        <v>2.0277777777777777</v>
      </c>
      <c r="E39" s="33">
        <v>0.27777777777777779</v>
      </c>
      <c r="F39" s="33">
        <v>0.30555555555555558</v>
      </c>
      <c r="G39" s="33">
        <v>0.26353790613718414</v>
      </c>
      <c r="H39" s="33">
        <v>0.1263537906137184</v>
      </c>
      <c r="I39" s="34">
        <v>7353.4246575342468</v>
      </c>
      <c r="J39" s="34">
        <v>-7997.1428571428569</v>
      </c>
      <c r="K39" s="33">
        <v>0.1111111111111111</v>
      </c>
      <c r="L39" s="33">
        <v>0.2563176895306859</v>
      </c>
      <c r="M39" s="33">
        <v>0.23104693140794225</v>
      </c>
      <c r="N39" s="33">
        <v>0.53521126760563376</v>
      </c>
      <c r="O39" s="33">
        <v>0.3125</v>
      </c>
      <c r="P39" s="33">
        <v>0.38356164383561642</v>
      </c>
    </row>
    <row r="40" spans="1:16" x14ac:dyDescent="0.45">
      <c r="A40" s="35">
        <v>37</v>
      </c>
      <c r="B40" s="32">
        <v>-171.09999999999997</v>
      </c>
      <c r="C40" s="32">
        <v>-4.6243243243243235</v>
      </c>
      <c r="D40" s="37">
        <v>2</v>
      </c>
      <c r="E40" s="33">
        <v>0.29729729729729731</v>
      </c>
      <c r="F40" s="33">
        <v>0.29729729729729731</v>
      </c>
      <c r="G40" s="33">
        <v>0.26829268292682928</v>
      </c>
      <c r="H40" s="33">
        <v>0.12195121951219512</v>
      </c>
      <c r="I40" s="34">
        <v>7484.4155844155848</v>
      </c>
      <c r="J40" s="34">
        <v>-7997.1428571428569</v>
      </c>
      <c r="K40" s="33">
        <v>0.10810810810810811</v>
      </c>
      <c r="L40" s="33">
        <v>0.25783972125435539</v>
      </c>
      <c r="M40" s="33">
        <v>0.23344947735191637</v>
      </c>
      <c r="N40" s="33">
        <v>0.52702702702702697</v>
      </c>
      <c r="O40" s="33">
        <v>0.34328358208955223</v>
      </c>
      <c r="P40" s="33">
        <v>0.38961038961038963</v>
      </c>
    </row>
    <row r="41" spans="1:16" x14ac:dyDescent="0.45">
      <c r="A41" s="35">
        <v>38</v>
      </c>
      <c r="B41" s="32">
        <v>-97.399999999999963</v>
      </c>
      <c r="C41" s="32">
        <v>-2.563157894736841</v>
      </c>
      <c r="D41" s="37">
        <v>1.9736842105263157</v>
      </c>
      <c r="E41" s="33">
        <v>0.31578947368421051</v>
      </c>
      <c r="F41" s="33">
        <v>0.28947368421052633</v>
      </c>
      <c r="G41" s="33">
        <v>0.28135593220338984</v>
      </c>
      <c r="H41" s="33">
        <v>0.12203389830508475</v>
      </c>
      <c r="I41" s="34">
        <v>7691.5662650602408</v>
      </c>
      <c r="J41" s="34">
        <v>-7855.5555555555557</v>
      </c>
      <c r="K41" s="33">
        <v>0.10526315789473684</v>
      </c>
      <c r="L41" s="33">
        <v>0.25762711864406779</v>
      </c>
      <c r="M41" s="33">
        <v>0.2440677966101695</v>
      </c>
      <c r="N41" s="33">
        <v>0.53947368421052633</v>
      </c>
      <c r="O41" s="33">
        <v>0.3611111111111111</v>
      </c>
      <c r="P41" s="33">
        <v>0.39759036144578314</v>
      </c>
    </row>
    <row r="42" spans="1:16" x14ac:dyDescent="0.45">
      <c r="A42" s="35">
        <v>39</v>
      </c>
      <c r="B42" s="32">
        <v>-77.999999999999972</v>
      </c>
      <c r="C42" s="32">
        <v>-1.9999999999999993</v>
      </c>
      <c r="D42" s="37">
        <v>1.9743589743589745</v>
      </c>
      <c r="E42" s="33">
        <v>0.30769230769230771</v>
      </c>
      <c r="F42" s="33">
        <v>0.28205128205128205</v>
      </c>
      <c r="G42" s="33">
        <v>0.28196721311475409</v>
      </c>
      <c r="H42" s="33">
        <v>0.11803278688524591</v>
      </c>
      <c r="I42" s="34">
        <v>7840.6976744186049</v>
      </c>
      <c r="J42" s="34">
        <v>-7855.5555555555557</v>
      </c>
      <c r="K42" s="33">
        <v>0.10256410256410256</v>
      </c>
      <c r="L42" s="33">
        <v>0.25245901639344265</v>
      </c>
      <c r="M42" s="33">
        <v>0.24918032786885247</v>
      </c>
      <c r="N42" s="33">
        <v>0.54545454545454541</v>
      </c>
      <c r="O42" s="33">
        <v>0.36842105263157893</v>
      </c>
      <c r="P42" s="33">
        <v>0.39534883720930231</v>
      </c>
    </row>
    <row r="43" spans="1:16" x14ac:dyDescent="0.45">
      <c r="A43" s="35">
        <v>40</v>
      </c>
      <c r="B43" s="32">
        <v>-71.499999999999972</v>
      </c>
      <c r="C43" s="32">
        <v>-1.7874999999999992</v>
      </c>
      <c r="D43" s="37">
        <v>1.9750000000000001</v>
      </c>
      <c r="E43" s="33">
        <v>0.3</v>
      </c>
      <c r="F43" s="33">
        <v>0.27500000000000002</v>
      </c>
      <c r="G43" s="33">
        <v>0.27619047619047621</v>
      </c>
      <c r="H43" s="33">
        <v>0.11428571428571428</v>
      </c>
      <c r="I43" s="34">
        <v>7796.5517241379312</v>
      </c>
      <c r="J43" s="34">
        <v>-7855.5555555555557</v>
      </c>
      <c r="K43" s="33">
        <v>0.1</v>
      </c>
      <c r="L43" s="33">
        <v>0.25079365079365079</v>
      </c>
      <c r="M43" s="33">
        <v>0.24444444444444444</v>
      </c>
      <c r="N43" s="33">
        <v>0.54430379746835444</v>
      </c>
      <c r="O43" s="33">
        <v>0.36363636363636365</v>
      </c>
      <c r="P43" s="33">
        <v>0.40229885057471265</v>
      </c>
    </row>
    <row r="44" spans="1:16" x14ac:dyDescent="0.45">
      <c r="A44" s="35">
        <v>41</v>
      </c>
      <c r="B44" s="32">
        <v>-106.09999999999997</v>
      </c>
      <c r="C44" s="32">
        <v>-2.5878048780487797</v>
      </c>
      <c r="D44" s="37">
        <v>2</v>
      </c>
      <c r="E44" s="33">
        <v>0.29268292682926828</v>
      </c>
      <c r="F44" s="33">
        <v>0.29268292682926828</v>
      </c>
      <c r="G44" s="33">
        <v>0.27384615384615385</v>
      </c>
      <c r="H44" s="33">
        <v>0.11384615384615385</v>
      </c>
      <c r="I44" s="34">
        <v>7711.2359550561796</v>
      </c>
      <c r="J44" s="34">
        <v>-7956.7567567567567</v>
      </c>
      <c r="K44" s="33">
        <v>9.7560975609756101E-2</v>
      </c>
      <c r="L44" s="33">
        <v>0.24923076923076923</v>
      </c>
      <c r="M44" s="33">
        <v>0.24615384615384617</v>
      </c>
      <c r="N44" s="33">
        <v>0.54320987654320985</v>
      </c>
      <c r="O44" s="33">
        <v>0.36249999999999999</v>
      </c>
      <c r="P44" s="33">
        <v>0.4044943820224719</v>
      </c>
    </row>
    <row r="45" spans="1:16" x14ac:dyDescent="0.45">
      <c r="A45" s="35">
        <v>42</v>
      </c>
      <c r="B45" s="32">
        <v>-92.299999999999969</v>
      </c>
      <c r="C45" s="32">
        <v>-2.1976190476190469</v>
      </c>
      <c r="D45" s="37">
        <v>2</v>
      </c>
      <c r="E45" s="33">
        <v>0.2857142857142857</v>
      </c>
      <c r="F45" s="33">
        <v>0.2857142857142857</v>
      </c>
      <c r="G45" s="33">
        <v>0.27844311377245506</v>
      </c>
      <c r="H45" s="33">
        <v>0.11377245508982035</v>
      </c>
      <c r="I45" s="34">
        <v>7629.0322580645161</v>
      </c>
      <c r="J45" s="34">
        <v>-7850</v>
      </c>
      <c r="K45" s="33">
        <v>9.5238095238095233E-2</v>
      </c>
      <c r="L45" s="33">
        <v>0.24550898203592814</v>
      </c>
      <c r="M45" s="33">
        <v>0.24850299401197604</v>
      </c>
      <c r="N45" s="33">
        <v>0.54878048780487809</v>
      </c>
      <c r="O45" s="33">
        <v>0.37349397590361444</v>
      </c>
      <c r="P45" s="33">
        <v>0.40860215053763443</v>
      </c>
    </row>
    <row r="46" spans="1:16" x14ac:dyDescent="0.45">
      <c r="A46" s="35">
        <v>43</v>
      </c>
      <c r="B46" s="32">
        <v>-117.99999999999997</v>
      </c>
      <c r="C46" s="32">
        <v>-2.7441860465116275</v>
      </c>
      <c r="D46" s="37">
        <v>2.0232558139534884</v>
      </c>
      <c r="E46" s="33">
        <v>0.27906976744186046</v>
      </c>
      <c r="F46" s="33">
        <v>0.30232558139534882</v>
      </c>
      <c r="G46" s="33">
        <v>0.27696793002915454</v>
      </c>
      <c r="H46" s="33">
        <v>0.11661807580174927</v>
      </c>
      <c r="I46" s="34">
        <v>7565.2631578947367</v>
      </c>
      <c r="J46" s="34">
        <v>-7855</v>
      </c>
      <c r="K46" s="33">
        <v>9.3023255813953487E-2</v>
      </c>
      <c r="L46" s="33">
        <v>0.24198250728862974</v>
      </c>
      <c r="M46" s="33">
        <v>0.24781341107871721</v>
      </c>
      <c r="N46" s="33">
        <v>0.54216867469879515</v>
      </c>
      <c r="O46" s="33">
        <v>0.36470588235294116</v>
      </c>
      <c r="P46" s="33">
        <v>0.41052631578947368</v>
      </c>
    </row>
    <row r="47" spans="1:16" x14ac:dyDescent="0.45">
      <c r="A47" s="35">
        <v>44</v>
      </c>
      <c r="B47" s="32">
        <v>-94.799999999999969</v>
      </c>
      <c r="C47" s="32">
        <v>-2.1545454545454539</v>
      </c>
      <c r="D47" s="37">
        <v>2</v>
      </c>
      <c r="E47" s="33">
        <v>0.29545454545454547</v>
      </c>
      <c r="F47" s="33">
        <v>0.29545454545454547</v>
      </c>
      <c r="G47" s="33">
        <v>0.27793696275071633</v>
      </c>
      <c r="H47" s="33">
        <v>0.11461318051575932</v>
      </c>
      <c r="I47" s="34">
        <v>7615.4639175257735</v>
      </c>
      <c r="J47" s="34">
        <v>-7855</v>
      </c>
      <c r="K47" s="33">
        <v>9.0909090909090912E-2</v>
      </c>
      <c r="L47" s="33">
        <v>0.24928366762177651</v>
      </c>
      <c r="M47" s="33">
        <v>0.24355300859598855</v>
      </c>
      <c r="N47" s="33">
        <v>0.54022988505747127</v>
      </c>
      <c r="O47" s="33">
        <v>0.36470588235294116</v>
      </c>
      <c r="P47" s="33">
        <v>0.40206185567010311</v>
      </c>
    </row>
    <row r="48" spans="1:16" x14ac:dyDescent="0.45">
      <c r="A48" s="35">
        <v>45</v>
      </c>
      <c r="B48" s="32">
        <v>-60.89999999999997</v>
      </c>
      <c r="C48" s="32">
        <v>-1.3533333333333326</v>
      </c>
      <c r="D48" s="37">
        <v>1.9777777777777779</v>
      </c>
      <c r="E48" s="33">
        <v>0.31111111111111112</v>
      </c>
      <c r="F48" s="33">
        <v>0.28888888888888886</v>
      </c>
      <c r="G48" s="33">
        <v>0.28055555555555556</v>
      </c>
      <c r="H48" s="33">
        <v>0.1111111111111111</v>
      </c>
      <c r="I48" s="34">
        <v>7611.8811881188121</v>
      </c>
      <c r="J48" s="34">
        <v>-7855</v>
      </c>
      <c r="K48" s="33">
        <v>8.8888888888888892E-2</v>
      </c>
      <c r="L48" s="33">
        <v>0.25</v>
      </c>
      <c r="M48" s="33">
        <v>0.24722222222222223</v>
      </c>
      <c r="N48" s="33">
        <v>0.53333333333333333</v>
      </c>
      <c r="O48" s="33">
        <v>0.3707865168539326</v>
      </c>
      <c r="P48" s="33">
        <v>0.41584158415841582</v>
      </c>
    </row>
  </sheetData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F36A24-DE2D-43CC-A0CF-AD1848468B32}">
  <sheetPr codeName="Sheet14"/>
  <dimension ref="A1:Q30"/>
  <sheetViews>
    <sheetView workbookViewId="0"/>
  </sheetViews>
  <sheetFormatPr defaultColWidth="10.69921875" defaultRowHeight="18" x14ac:dyDescent="0.45"/>
  <cols>
    <col min="1" max="1" width="10.69921875" style="35"/>
    <col min="2" max="3" width="10.69921875" style="32"/>
    <col min="4" max="4" width="10.69921875" style="37"/>
    <col min="5" max="8" width="10.69921875" style="33"/>
    <col min="9" max="10" width="10.69921875" style="34"/>
    <col min="11" max="16" width="10.69921875" style="33"/>
    <col min="17" max="16384" width="10.69921875" style="36"/>
  </cols>
  <sheetData>
    <row r="1" spans="1:17" x14ac:dyDescent="0.45">
      <c r="A1" s="36" t="s">
        <v>194</v>
      </c>
      <c r="B1" s="36" t="s">
        <v>194</v>
      </c>
      <c r="C1" s="36" t="s">
        <v>194</v>
      </c>
      <c r="D1" s="37" t="s">
        <v>194</v>
      </c>
      <c r="E1" s="36" t="s">
        <v>194</v>
      </c>
      <c r="F1" s="36" t="s">
        <v>194</v>
      </c>
      <c r="G1" s="36" t="s">
        <v>194</v>
      </c>
      <c r="H1" s="36" t="s">
        <v>194</v>
      </c>
      <c r="I1" s="36" t="s">
        <v>194</v>
      </c>
      <c r="J1" s="36" t="s">
        <v>194</v>
      </c>
      <c r="K1" s="36" t="s">
        <v>194</v>
      </c>
      <c r="L1" s="36" t="s">
        <v>194</v>
      </c>
      <c r="M1" s="36" t="s">
        <v>194</v>
      </c>
      <c r="N1" s="36" t="s">
        <v>194</v>
      </c>
      <c r="O1" s="36" t="s">
        <v>194</v>
      </c>
      <c r="P1" s="36" t="s">
        <v>194</v>
      </c>
      <c r="Q1" s="36" t="s">
        <v>194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-55.5</v>
      </c>
      <c r="C4" s="32">
        <v>-55.5</v>
      </c>
      <c r="D4" s="37">
        <v>3</v>
      </c>
      <c r="E4" s="33">
        <v>0</v>
      </c>
      <c r="F4" s="33">
        <v>1</v>
      </c>
      <c r="G4" s="33">
        <v>0</v>
      </c>
      <c r="H4" s="33">
        <v>0.25</v>
      </c>
      <c r="I4" s="34">
        <v>0</v>
      </c>
      <c r="J4" s="34">
        <v>-16000</v>
      </c>
      <c r="K4" s="33">
        <v>1</v>
      </c>
      <c r="L4" s="33">
        <v>0.5</v>
      </c>
      <c r="M4" s="33">
        <v>0</v>
      </c>
      <c r="N4" s="33">
        <v>0</v>
      </c>
      <c r="O4" s="33">
        <v>0</v>
      </c>
      <c r="P4" s="33">
        <v>0</v>
      </c>
    </row>
    <row r="5" spans="1:17" x14ac:dyDescent="0.45">
      <c r="A5" s="35">
        <v>2</v>
      </c>
      <c r="B5" s="32">
        <v>-106.5</v>
      </c>
      <c r="C5" s="32">
        <v>-53.25</v>
      </c>
      <c r="D5" s="37">
        <v>3</v>
      </c>
      <c r="E5" s="33">
        <v>0</v>
      </c>
      <c r="F5" s="33">
        <v>1</v>
      </c>
      <c r="G5" s="33">
        <v>0</v>
      </c>
      <c r="H5" s="33">
        <v>0.33333333333333331</v>
      </c>
      <c r="I5" s="34">
        <v>0</v>
      </c>
      <c r="J5" s="34">
        <v>-7725</v>
      </c>
      <c r="K5" s="33">
        <v>1</v>
      </c>
      <c r="L5" s="33">
        <v>0.33333333333333331</v>
      </c>
      <c r="M5" s="33">
        <v>8.3333333333333329E-2</v>
      </c>
      <c r="N5" s="33">
        <v>0</v>
      </c>
      <c r="O5" s="33">
        <v>0</v>
      </c>
      <c r="P5" s="33">
        <v>0</v>
      </c>
    </row>
    <row r="6" spans="1:17" x14ac:dyDescent="0.45">
      <c r="A6" s="35">
        <v>3</v>
      </c>
      <c r="B6" s="32">
        <v>-108</v>
      </c>
      <c r="C6" s="32">
        <v>-36</v>
      </c>
      <c r="D6" s="37">
        <v>2.6666666666666665</v>
      </c>
      <c r="E6" s="33">
        <v>0</v>
      </c>
      <c r="F6" s="33">
        <v>0.66666666666666663</v>
      </c>
      <c r="G6" s="33">
        <v>0.16666666666666666</v>
      </c>
      <c r="H6" s="33">
        <v>0.22222222222222221</v>
      </c>
      <c r="I6" s="34">
        <v>2900</v>
      </c>
      <c r="J6" s="34">
        <v>-7725</v>
      </c>
      <c r="K6" s="33">
        <v>0.66666666666666663</v>
      </c>
      <c r="L6" s="33">
        <v>0.33333333333333331</v>
      </c>
      <c r="M6" s="33">
        <v>5.5555555555555552E-2</v>
      </c>
      <c r="N6" s="33">
        <v>0.33333333333333331</v>
      </c>
      <c r="O6" s="33">
        <v>0</v>
      </c>
      <c r="P6" s="33">
        <v>0.66666666666666663</v>
      </c>
    </row>
    <row r="7" spans="1:17" x14ac:dyDescent="0.45">
      <c r="A7" s="35">
        <v>4</v>
      </c>
      <c r="B7" s="32">
        <v>-115.5</v>
      </c>
      <c r="C7" s="32">
        <v>-28.875</v>
      </c>
      <c r="D7" s="37">
        <v>2.5</v>
      </c>
      <c r="E7" s="33">
        <v>0</v>
      </c>
      <c r="F7" s="33">
        <v>0.5</v>
      </c>
      <c r="G7" s="33">
        <v>0.13043478260869565</v>
      </c>
      <c r="H7" s="33">
        <v>0.17391304347826086</v>
      </c>
      <c r="I7" s="34">
        <v>2900</v>
      </c>
      <c r="J7" s="34">
        <v>-7725</v>
      </c>
      <c r="K7" s="33">
        <v>0.5</v>
      </c>
      <c r="L7" s="33">
        <v>0.30434782608695654</v>
      </c>
      <c r="M7" s="33">
        <v>4.3478260869565216E-2</v>
      </c>
      <c r="N7" s="33">
        <v>0.2857142857142857</v>
      </c>
      <c r="O7" s="33">
        <v>0</v>
      </c>
      <c r="P7" s="33">
        <v>0.66666666666666663</v>
      </c>
    </row>
    <row r="8" spans="1:17" x14ac:dyDescent="0.45">
      <c r="A8" s="35">
        <v>5</v>
      </c>
      <c r="B8" s="32">
        <v>-116</v>
      </c>
      <c r="C8" s="32">
        <v>-23.2</v>
      </c>
      <c r="D8" s="37">
        <v>2.4</v>
      </c>
      <c r="E8" s="33">
        <v>0</v>
      </c>
      <c r="F8" s="33">
        <v>0.4</v>
      </c>
      <c r="G8" s="33">
        <v>0.2</v>
      </c>
      <c r="H8" s="33">
        <v>0.2</v>
      </c>
      <c r="I8" s="34">
        <v>4516.666666666667</v>
      </c>
      <c r="J8" s="34">
        <v>-7583.333333333333</v>
      </c>
      <c r="K8" s="33">
        <v>0.4</v>
      </c>
      <c r="L8" s="33">
        <v>0.3</v>
      </c>
      <c r="M8" s="33">
        <v>3.3333333333333333E-2</v>
      </c>
      <c r="N8" s="33">
        <v>0.33333333333333331</v>
      </c>
      <c r="O8" s="33">
        <v>0</v>
      </c>
      <c r="P8" s="33">
        <v>0.33333333333333331</v>
      </c>
    </row>
    <row r="9" spans="1:17" x14ac:dyDescent="0.45">
      <c r="A9" s="35">
        <v>6</v>
      </c>
      <c r="B9" s="32">
        <v>-146</v>
      </c>
      <c r="C9" s="32">
        <v>-24.333333333333332</v>
      </c>
      <c r="D9" s="37">
        <v>2.5</v>
      </c>
      <c r="E9" s="33">
        <v>0</v>
      </c>
      <c r="F9" s="33">
        <v>0.5</v>
      </c>
      <c r="G9" s="33">
        <v>0.16216216216216217</v>
      </c>
      <c r="H9" s="33">
        <v>0.1891891891891892</v>
      </c>
      <c r="I9" s="34">
        <v>4516.666666666667</v>
      </c>
      <c r="J9" s="34">
        <v>-8214.2857142857138</v>
      </c>
      <c r="K9" s="33">
        <v>0.33333333333333331</v>
      </c>
      <c r="L9" s="33">
        <v>0.32432432432432434</v>
      </c>
      <c r="M9" s="33">
        <v>5.4054054054054057E-2</v>
      </c>
      <c r="N9" s="33">
        <v>0.25</v>
      </c>
      <c r="O9" s="33">
        <v>0</v>
      </c>
      <c r="P9" s="33">
        <v>0.33333333333333331</v>
      </c>
    </row>
    <row r="10" spans="1:17" x14ac:dyDescent="0.45">
      <c r="A10" s="35">
        <v>7</v>
      </c>
      <c r="B10" s="32">
        <v>-168.5</v>
      </c>
      <c r="C10" s="32">
        <v>-24.071428571428573</v>
      </c>
      <c r="D10" s="37">
        <v>2.5714285714285716</v>
      </c>
      <c r="E10" s="33">
        <v>0</v>
      </c>
      <c r="F10" s="33">
        <v>0.5714285714285714</v>
      </c>
      <c r="G10" s="33">
        <v>0.17391304347826086</v>
      </c>
      <c r="H10" s="33">
        <v>0.17391304347826086</v>
      </c>
      <c r="I10" s="34">
        <v>5137.5</v>
      </c>
      <c r="J10" s="34">
        <v>-9187.5</v>
      </c>
      <c r="K10" s="33">
        <v>0.2857142857142857</v>
      </c>
      <c r="L10" s="33">
        <v>0.30434782608695654</v>
      </c>
      <c r="M10" s="33">
        <v>8.6956521739130432E-2</v>
      </c>
      <c r="N10" s="33">
        <v>0.2857142857142857</v>
      </c>
      <c r="O10" s="33">
        <v>0.25</v>
      </c>
      <c r="P10" s="33">
        <v>0.375</v>
      </c>
    </row>
    <row r="11" spans="1:17" x14ac:dyDescent="0.45">
      <c r="A11" s="35">
        <v>8</v>
      </c>
      <c r="B11" s="32">
        <v>-157.19999999999999</v>
      </c>
      <c r="C11" s="32">
        <v>-19.649999999999999</v>
      </c>
      <c r="D11" s="37">
        <v>2.5</v>
      </c>
      <c r="E11" s="33">
        <v>0</v>
      </c>
      <c r="F11" s="33">
        <v>0.5</v>
      </c>
      <c r="G11" s="33">
        <v>0.21153846153846154</v>
      </c>
      <c r="H11" s="33">
        <v>0.15384615384615385</v>
      </c>
      <c r="I11" s="34">
        <v>5672.727272727273</v>
      </c>
      <c r="J11" s="34">
        <v>-9187.5</v>
      </c>
      <c r="K11" s="33">
        <v>0.25</v>
      </c>
      <c r="L11" s="33">
        <v>0.34615384615384615</v>
      </c>
      <c r="M11" s="33">
        <v>7.6923076923076927E-2</v>
      </c>
      <c r="N11" s="33">
        <v>0.3888888888888889</v>
      </c>
      <c r="O11" s="33">
        <v>0.25</v>
      </c>
      <c r="P11" s="33">
        <v>0.36363636363636365</v>
      </c>
    </row>
    <row r="12" spans="1:17" x14ac:dyDescent="0.45">
      <c r="A12" s="35">
        <v>9</v>
      </c>
      <c r="B12" s="32">
        <v>-172.39999999999998</v>
      </c>
      <c r="C12" s="32">
        <v>-19.155555555555551</v>
      </c>
      <c r="D12" s="37">
        <v>2.5555555555555554</v>
      </c>
      <c r="E12" s="33">
        <v>0</v>
      </c>
      <c r="F12" s="33">
        <v>0.55555555555555558</v>
      </c>
      <c r="G12" s="33">
        <v>0.22413793103448276</v>
      </c>
      <c r="H12" s="33">
        <v>0.13793103448275862</v>
      </c>
      <c r="I12" s="34">
        <v>5169.2307692307695</v>
      </c>
      <c r="J12" s="34">
        <v>-9187.5</v>
      </c>
      <c r="K12" s="33">
        <v>0.22222222222222221</v>
      </c>
      <c r="L12" s="33">
        <v>0.36206896551724138</v>
      </c>
      <c r="M12" s="33">
        <v>8.6206896551724144E-2</v>
      </c>
      <c r="N12" s="33">
        <v>0.38095238095238093</v>
      </c>
      <c r="O12" s="33">
        <v>0.4</v>
      </c>
      <c r="P12" s="33">
        <v>0.38461538461538464</v>
      </c>
    </row>
    <row r="13" spans="1:17" x14ac:dyDescent="0.45">
      <c r="A13" s="35">
        <v>10</v>
      </c>
      <c r="B13" s="32">
        <v>-217.59999999999997</v>
      </c>
      <c r="C13" s="32">
        <v>-21.759999999999998</v>
      </c>
      <c r="D13" s="37">
        <v>2.6</v>
      </c>
      <c r="E13" s="33">
        <v>0</v>
      </c>
      <c r="F13" s="33">
        <v>0.6</v>
      </c>
      <c r="G13" s="33">
        <v>0.20967741935483872</v>
      </c>
      <c r="H13" s="33">
        <v>0.12903225806451613</v>
      </c>
      <c r="I13" s="34">
        <v>5169.2307692307695</v>
      </c>
      <c r="J13" s="34">
        <v>-9187.5</v>
      </c>
      <c r="K13" s="33">
        <v>0.3</v>
      </c>
      <c r="L13" s="33">
        <v>0.33870967741935482</v>
      </c>
      <c r="M13" s="33">
        <v>0.11290322580645161</v>
      </c>
      <c r="N13" s="33">
        <v>0.38095238095238093</v>
      </c>
      <c r="O13" s="33">
        <v>0.2857142857142857</v>
      </c>
      <c r="P13" s="33">
        <v>0.38461538461538464</v>
      </c>
    </row>
    <row r="14" spans="1:17" x14ac:dyDescent="0.45">
      <c r="A14" s="35">
        <v>11</v>
      </c>
      <c r="B14" s="32">
        <v>-264.89999999999998</v>
      </c>
      <c r="C14" s="32">
        <v>-24.081818181818178</v>
      </c>
      <c r="D14" s="37">
        <v>2.6363636363636362</v>
      </c>
      <c r="E14" s="33">
        <v>0</v>
      </c>
      <c r="F14" s="33">
        <v>0.63636363636363635</v>
      </c>
      <c r="G14" s="33">
        <v>0.19696969696969696</v>
      </c>
      <c r="H14" s="33">
        <v>0.16666666666666666</v>
      </c>
      <c r="I14" s="34">
        <v>5169.2307692307695</v>
      </c>
      <c r="J14" s="34">
        <v>-9490.9090909090901</v>
      </c>
      <c r="K14" s="33">
        <v>0.36363636363636365</v>
      </c>
      <c r="L14" s="33">
        <v>0.33333333333333331</v>
      </c>
      <c r="M14" s="33">
        <v>0.12121212121212122</v>
      </c>
      <c r="N14" s="33">
        <v>0.36363636363636365</v>
      </c>
      <c r="O14" s="33">
        <v>0.25</v>
      </c>
      <c r="P14" s="33">
        <v>0.38461538461538464</v>
      </c>
    </row>
    <row r="15" spans="1:17" x14ac:dyDescent="0.45">
      <c r="A15" s="35">
        <v>12</v>
      </c>
      <c r="B15" s="32">
        <v>-260.59999999999997</v>
      </c>
      <c r="C15" s="32">
        <v>-21.716666666666665</v>
      </c>
      <c r="D15" s="37">
        <v>2.5833333333333335</v>
      </c>
      <c r="E15" s="33">
        <v>0</v>
      </c>
      <c r="F15" s="33">
        <v>0.58333333333333337</v>
      </c>
      <c r="G15" s="33">
        <v>0.2</v>
      </c>
      <c r="H15" s="33">
        <v>0.14666666666666667</v>
      </c>
      <c r="I15" s="34">
        <v>6253.333333333333</v>
      </c>
      <c r="J15" s="34">
        <v>-9490.9090909090901</v>
      </c>
      <c r="K15" s="33">
        <v>0.33333333333333331</v>
      </c>
      <c r="L15" s="33">
        <v>0.30666666666666664</v>
      </c>
      <c r="M15" s="33">
        <v>0.12</v>
      </c>
      <c r="N15" s="33">
        <v>0.39130434782608697</v>
      </c>
      <c r="O15" s="33">
        <v>0.22222222222222221</v>
      </c>
      <c r="P15" s="33">
        <v>0.33333333333333331</v>
      </c>
    </row>
    <row r="16" spans="1:17" x14ac:dyDescent="0.45">
      <c r="A16" s="35">
        <v>13</v>
      </c>
      <c r="B16" s="32">
        <v>-280.59999999999997</v>
      </c>
      <c r="C16" s="32">
        <v>-21.584615384615383</v>
      </c>
      <c r="D16" s="37">
        <v>2.5384615384615383</v>
      </c>
      <c r="E16" s="33">
        <v>0</v>
      </c>
      <c r="F16" s="33">
        <v>0.53846153846153844</v>
      </c>
      <c r="G16" s="33">
        <v>0.189873417721519</v>
      </c>
      <c r="H16" s="33">
        <v>0.13924050632911392</v>
      </c>
      <c r="I16" s="34">
        <v>6253.333333333333</v>
      </c>
      <c r="J16" s="34">
        <v>-9490.9090909090901</v>
      </c>
      <c r="K16" s="33">
        <v>0.30769230769230771</v>
      </c>
      <c r="L16" s="33">
        <v>0.29113924050632911</v>
      </c>
      <c r="M16" s="33">
        <v>0.12658227848101267</v>
      </c>
      <c r="N16" s="33">
        <v>0.39130434782608697</v>
      </c>
      <c r="O16" s="33">
        <v>0.2</v>
      </c>
      <c r="P16" s="33">
        <v>0.33333333333333331</v>
      </c>
    </row>
    <row r="17" spans="1:16" x14ac:dyDescent="0.45">
      <c r="A17" s="35">
        <v>14</v>
      </c>
      <c r="B17" s="32">
        <v>-330.7</v>
      </c>
      <c r="C17" s="32">
        <v>-23.62142857142857</v>
      </c>
      <c r="D17" s="37">
        <v>2.5714285714285716</v>
      </c>
      <c r="E17" s="33">
        <v>0</v>
      </c>
      <c r="F17" s="33">
        <v>0.5714285714285714</v>
      </c>
      <c r="G17" s="33">
        <v>0.17241379310344829</v>
      </c>
      <c r="H17" s="33">
        <v>0.14942528735632185</v>
      </c>
      <c r="I17" s="34">
        <v>6253.333333333333</v>
      </c>
      <c r="J17" s="34">
        <v>-9046.1538461538457</v>
      </c>
      <c r="K17" s="33">
        <v>0.35714285714285715</v>
      </c>
      <c r="L17" s="33">
        <v>0.2988505747126437</v>
      </c>
      <c r="M17" s="33">
        <v>0.11494252873563218</v>
      </c>
      <c r="N17" s="33">
        <v>0.34615384615384615</v>
      </c>
      <c r="O17" s="33">
        <v>0.2</v>
      </c>
      <c r="P17" s="33">
        <v>0.33333333333333331</v>
      </c>
    </row>
    <row r="18" spans="1:16" x14ac:dyDescent="0.45">
      <c r="A18" s="35">
        <v>15</v>
      </c>
      <c r="B18" s="32">
        <v>-284.09999999999997</v>
      </c>
      <c r="C18" s="32">
        <v>-18.939999999999998</v>
      </c>
      <c r="D18" s="37">
        <v>2.4666666666666668</v>
      </c>
      <c r="E18" s="33">
        <v>6.6666666666666666E-2</v>
      </c>
      <c r="F18" s="33">
        <v>0.53333333333333333</v>
      </c>
      <c r="G18" s="33">
        <v>0.20618556701030927</v>
      </c>
      <c r="H18" s="33">
        <v>0.15463917525773196</v>
      </c>
      <c r="I18" s="34">
        <v>7195</v>
      </c>
      <c r="J18" s="34">
        <v>-8773.3333333333339</v>
      </c>
      <c r="K18" s="33">
        <v>0.33333333333333331</v>
      </c>
      <c r="L18" s="33">
        <v>0.30927835051546393</v>
      </c>
      <c r="M18" s="33">
        <v>0.12371134020618557</v>
      </c>
      <c r="N18" s="33">
        <v>0.36666666666666664</v>
      </c>
      <c r="O18" s="33">
        <v>0.33333333333333331</v>
      </c>
      <c r="P18" s="33">
        <v>0.35</v>
      </c>
    </row>
    <row r="19" spans="1:16" x14ac:dyDescent="0.45">
      <c r="A19" s="35">
        <v>16</v>
      </c>
      <c r="B19" s="32">
        <v>-234.59999999999997</v>
      </c>
      <c r="C19" s="32">
        <v>-14.662499999999998</v>
      </c>
      <c r="D19" s="37">
        <v>2.375</v>
      </c>
      <c r="E19" s="33">
        <v>0.125</v>
      </c>
      <c r="F19" s="33">
        <v>0.5</v>
      </c>
      <c r="G19" s="33">
        <v>0.21568627450980393</v>
      </c>
      <c r="H19" s="33">
        <v>0.14705882352941177</v>
      </c>
      <c r="I19" s="34">
        <v>8777.2727272727279</v>
      </c>
      <c r="J19" s="34">
        <v>-8773.3333333333339</v>
      </c>
      <c r="K19" s="33">
        <v>0.3125</v>
      </c>
      <c r="L19" s="33">
        <v>0.29411764705882354</v>
      </c>
      <c r="M19" s="33">
        <v>0.12745098039215685</v>
      </c>
      <c r="N19" s="33">
        <v>0.36666666666666664</v>
      </c>
      <c r="O19" s="33">
        <v>0.38461538461538464</v>
      </c>
      <c r="P19" s="33">
        <v>0.36363636363636365</v>
      </c>
    </row>
    <row r="20" spans="1:16" x14ac:dyDescent="0.45">
      <c r="A20" s="35">
        <v>17</v>
      </c>
      <c r="B20" s="32">
        <v>-233.19999999999996</v>
      </c>
      <c r="C20" s="32">
        <v>-13.717647058823527</v>
      </c>
      <c r="D20" s="37">
        <v>2.3529411764705883</v>
      </c>
      <c r="E20" s="33">
        <v>0.11764705882352941</v>
      </c>
      <c r="F20" s="33">
        <v>0.47058823529411764</v>
      </c>
      <c r="G20" s="33">
        <v>0.23008849557522124</v>
      </c>
      <c r="H20" s="33">
        <v>0.13274336283185842</v>
      </c>
      <c r="I20" s="34">
        <v>8492.3076923076915</v>
      </c>
      <c r="J20" s="34">
        <v>-8773.3333333333339</v>
      </c>
      <c r="K20" s="33">
        <v>0.29411764705882354</v>
      </c>
      <c r="L20" s="33">
        <v>0.27433628318584069</v>
      </c>
      <c r="M20" s="33">
        <v>0.12389380530973451</v>
      </c>
      <c r="N20" s="33">
        <v>0.38709677419354838</v>
      </c>
      <c r="O20" s="33">
        <v>0.42857142857142855</v>
      </c>
      <c r="P20" s="33">
        <v>0.38461538461538464</v>
      </c>
    </row>
    <row r="21" spans="1:16" x14ac:dyDescent="0.45">
      <c r="A21" s="35">
        <v>18</v>
      </c>
      <c r="B21" s="32">
        <v>-154.09999999999997</v>
      </c>
      <c r="C21" s="32">
        <v>-8.56111111111111</v>
      </c>
      <c r="D21" s="37">
        <v>2.2777777777777777</v>
      </c>
      <c r="E21" s="33">
        <v>0.16666666666666666</v>
      </c>
      <c r="F21" s="33">
        <v>0.44444444444444442</v>
      </c>
      <c r="G21" s="33">
        <v>0.25409836065573771</v>
      </c>
      <c r="H21" s="33">
        <v>0.12295081967213115</v>
      </c>
      <c r="I21" s="34">
        <v>8835.4838709677424</v>
      </c>
      <c r="J21" s="34">
        <v>-8773.3333333333339</v>
      </c>
      <c r="K21" s="33">
        <v>0.27777777777777779</v>
      </c>
      <c r="L21" s="33">
        <v>0.27868852459016391</v>
      </c>
      <c r="M21" s="33">
        <v>0.13114754098360656</v>
      </c>
      <c r="N21" s="33">
        <v>0.41176470588235292</v>
      </c>
      <c r="O21" s="33">
        <v>0.4375</v>
      </c>
      <c r="P21" s="33">
        <v>0.38709677419354838</v>
      </c>
    </row>
    <row r="22" spans="1:16" x14ac:dyDescent="0.45">
      <c r="A22" s="35">
        <v>19</v>
      </c>
      <c r="B22" s="32">
        <v>-167.29999999999995</v>
      </c>
      <c r="C22" s="32">
        <v>-8.8052631578947338</v>
      </c>
      <c r="D22" s="37">
        <v>2.3157894736842106</v>
      </c>
      <c r="E22" s="33">
        <v>0.15789473684210525</v>
      </c>
      <c r="F22" s="33">
        <v>0.47368421052631576</v>
      </c>
      <c r="G22" s="33">
        <v>0.26153846153846155</v>
      </c>
      <c r="H22" s="33">
        <v>0.13846153846153847</v>
      </c>
      <c r="I22" s="34">
        <v>8441.176470588236</v>
      </c>
      <c r="J22" s="34">
        <v>-8133.333333333333</v>
      </c>
      <c r="K22" s="33">
        <v>0.26315789473684209</v>
      </c>
      <c r="L22" s="33">
        <v>0.26923076923076922</v>
      </c>
      <c r="M22" s="33">
        <v>0.13076923076923078</v>
      </c>
      <c r="N22" s="33">
        <v>0.42857142857142855</v>
      </c>
      <c r="O22" s="33">
        <v>0.47058823529411764</v>
      </c>
      <c r="P22" s="33">
        <v>0.38235294117647056</v>
      </c>
    </row>
    <row r="23" spans="1:16" x14ac:dyDescent="0.45">
      <c r="A23" s="35">
        <v>20</v>
      </c>
      <c r="B23" s="32">
        <v>-202.59999999999997</v>
      </c>
      <c r="C23" s="32">
        <v>-10.129999999999999</v>
      </c>
      <c r="D23" s="37">
        <v>2.35</v>
      </c>
      <c r="E23" s="33">
        <v>0.15</v>
      </c>
      <c r="F23" s="33">
        <v>0.5</v>
      </c>
      <c r="G23" s="33">
        <v>0.25714285714285712</v>
      </c>
      <c r="H23" s="33">
        <v>0.15714285714285714</v>
      </c>
      <c r="I23" s="34">
        <v>8522.2222222222226</v>
      </c>
      <c r="J23" s="34">
        <v>-7845.454545454545</v>
      </c>
      <c r="K23" s="33">
        <v>0.25</v>
      </c>
      <c r="L23" s="33">
        <v>0.26428571428571429</v>
      </c>
      <c r="M23" s="33">
        <v>0.12142857142857143</v>
      </c>
      <c r="N23" s="33">
        <v>0.45945945945945948</v>
      </c>
      <c r="O23" s="33">
        <v>0.47058823529411764</v>
      </c>
      <c r="P23" s="33">
        <v>0.41666666666666669</v>
      </c>
    </row>
    <row r="24" spans="1:16" x14ac:dyDescent="0.45">
      <c r="A24" s="35">
        <v>21</v>
      </c>
      <c r="B24" s="32">
        <v>-225.09999999999997</v>
      </c>
      <c r="C24" s="32">
        <v>-10.719047619047618</v>
      </c>
      <c r="D24" s="37">
        <v>2.3333333333333335</v>
      </c>
      <c r="E24" s="33">
        <v>0.14285714285714285</v>
      </c>
      <c r="F24" s="33">
        <v>0.47619047619047616</v>
      </c>
      <c r="G24" s="33">
        <v>0.25675675675675674</v>
      </c>
      <c r="H24" s="33">
        <v>0.16216216216216217</v>
      </c>
      <c r="I24" s="34">
        <v>8255.2631578947367</v>
      </c>
      <c r="J24" s="34">
        <v>-7475</v>
      </c>
      <c r="K24" s="33">
        <v>0.23809523809523808</v>
      </c>
      <c r="L24" s="33">
        <v>0.25675675675675674</v>
      </c>
      <c r="M24" s="33">
        <v>0.12837837837837837</v>
      </c>
      <c r="N24" s="33">
        <v>0.47368421052631576</v>
      </c>
      <c r="O24" s="33">
        <v>0.47368421052631576</v>
      </c>
      <c r="P24" s="33">
        <v>0.42105263157894735</v>
      </c>
    </row>
    <row r="25" spans="1:16" x14ac:dyDescent="0.45">
      <c r="A25" s="35">
        <v>22</v>
      </c>
      <c r="B25" s="32">
        <v>-290.29999999999995</v>
      </c>
      <c r="C25" s="32">
        <v>-13.195454545454544</v>
      </c>
      <c r="D25" s="37">
        <v>2.3636363636363638</v>
      </c>
      <c r="E25" s="33">
        <v>0.13636363636363635</v>
      </c>
      <c r="F25" s="33">
        <v>0.5</v>
      </c>
      <c r="G25" s="33">
        <v>0.25316455696202533</v>
      </c>
      <c r="H25" s="33">
        <v>0.16455696202531644</v>
      </c>
      <c r="I25" s="34">
        <v>8085</v>
      </c>
      <c r="J25" s="34">
        <v>-8438.461538461539</v>
      </c>
      <c r="K25" s="33">
        <v>0.27272727272727271</v>
      </c>
      <c r="L25" s="33">
        <v>0.24683544303797469</v>
      </c>
      <c r="M25" s="33">
        <v>0.12025316455696203</v>
      </c>
      <c r="N25" s="33">
        <v>0.48717948717948717</v>
      </c>
      <c r="O25" s="33">
        <v>0.47368421052631576</v>
      </c>
      <c r="P25" s="33">
        <v>0.4</v>
      </c>
    </row>
    <row r="26" spans="1:16" x14ac:dyDescent="0.45">
      <c r="A26" s="35">
        <v>23</v>
      </c>
      <c r="B26" s="32">
        <v>-232.39999999999995</v>
      </c>
      <c r="C26" s="32">
        <v>-10.104347826086954</v>
      </c>
      <c r="D26" s="37">
        <v>2.3043478260869565</v>
      </c>
      <c r="E26" s="33">
        <v>0.17391304347826086</v>
      </c>
      <c r="F26" s="33">
        <v>0.47826086956521741</v>
      </c>
      <c r="G26" s="33">
        <v>0.26785714285714285</v>
      </c>
      <c r="H26" s="33">
        <v>0.16071428571428573</v>
      </c>
      <c r="I26" s="34">
        <v>8466.6666666666661</v>
      </c>
      <c r="J26" s="34">
        <v>-8318.5185185185182</v>
      </c>
      <c r="K26" s="33">
        <v>0.2608695652173913</v>
      </c>
      <c r="L26" s="33">
        <v>0.23809523809523808</v>
      </c>
      <c r="M26" s="33">
        <v>0.13690476190476192</v>
      </c>
      <c r="N26" s="33">
        <v>0.5</v>
      </c>
      <c r="O26" s="33">
        <v>0.52173913043478259</v>
      </c>
      <c r="P26" s="33">
        <v>0.42222222222222222</v>
      </c>
    </row>
    <row r="27" spans="1:16" x14ac:dyDescent="0.45">
      <c r="A27" s="35">
        <v>24</v>
      </c>
      <c r="B27" s="32">
        <v>-207.09999999999994</v>
      </c>
      <c r="C27" s="32">
        <v>-8.6291666666666647</v>
      </c>
      <c r="D27" s="37">
        <v>2.25</v>
      </c>
      <c r="E27" s="33">
        <v>0.20833333333333334</v>
      </c>
      <c r="F27" s="33">
        <v>0.45833333333333331</v>
      </c>
      <c r="G27" s="33">
        <v>0.2768361581920904</v>
      </c>
      <c r="H27" s="33">
        <v>0.15819209039548024</v>
      </c>
      <c r="I27" s="34">
        <v>8167.3469387755104</v>
      </c>
      <c r="J27" s="34">
        <v>-8075</v>
      </c>
      <c r="K27" s="33">
        <v>0.25</v>
      </c>
      <c r="L27" s="33">
        <v>0.22598870056497175</v>
      </c>
      <c r="M27" s="33">
        <v>0.14124293785310735</v>
      </c>
      <c r="N27" s="33">
        <v>0.5</v>
      </c>
      <c r="O27" s="33">
        <v>0.52</v>
      </c>
      <c r="P27" s="33">
        <v>0.40816326530612246</v>
      </c>
    </row>
    <row r="28" spans="1:16" x14ac:dyDescent="0.45">
      <c r="A28" s="35">
        <v>25</v>
      </c>
      <c r="B28" s="32">
        <v>-227.29999999999993</v>
      </c>
      <c r="C28" s="32">
        <v>-9.091999999999997</v>
      </c>
      <c r="D28" s="37">
        <v>2.2799999999999998</v>
      </c>
      <c r="E28" s="33">
        <v>0.2</v>
      </c>
      <c r="F28" s="33">
        <v>0.48</v>
      </c>
      <c r="G28" s="33">
        <v>0.27513227513227512</v>
      </c>
      <c r="H28" s="33">
        <v>0.16402116402116401</v>
      </c>
      <c r="I28" s="34">
        <v>8023.0769230769229</v>
      </c>
      <c r="J28" s="34">
        <v>-7961.2903225806449</v>
      </c>
      <c r="K28" s="33">
        <v>0.24</v>
      </c>
      <c r="L28" s="33">
        <v>0.21693121693121692</v>
      </c>
      <c r="M28" s="33">
        <v>0.14814814814814814</v>
      </c>
      <c r="N28" s="33">
        <v>0.48780487804878048</v>
      </c>
      <c r="O28" s="33">
        <v>0.5714285714285714</v>
      </c>
      <c r="P28" s="33">
        <v>0.42307692307692307</v>
      </c>
    </row>
    <row r="29" spans="1:16" x14ac:dyDescent="0.45">
      <c r="A29" s="35">
        <v>26</v>
      </c>
      <c r="B29" s="32">
        <v>-260.29999999999995</v>
      </c>
      <c r="C29" s="32">
        <v>-10.011538461538461</v>
      </c>
      <c r="D29" s="37">
        <v>2.3076923076923075</v>
      </c>
      <c r="E29" s="33">
        <v>0.19230769230769232</v>
      </c>
      <c r="F29" s="33">
        <v>0.5</v>
      </c>
      <c r="G29" s="33">
        <v>0.26903553299492383</v>
      </c>
      <c r="H29" s="33">
        <v>0.17766497461928935</v>
      </c>
      <c r="I29" s="34">
        <v>8022.6415094339627</v>
      </c>
      <c r="J29" s="34">
        <v>-7828.5714285714284</v>
      </c>
      <c r="K29" s="33">
        <v>0.23076923076923078</v>
      </c>
      <c r="L29" s="33">
        <v>0.2233502538071066</v>
      </c>
      <c r="M29" s="33">
        <v>0.14213197969543148</v>
      </c>
      <c r="N29" s="33">
        <v>0.47727272727272729</v>
      </c>
      <c r="O29" s="33">
        <v>0.5714285714285714</v>
      </c>
      <c r="P29" s="33">
        <v>0.43396226415094341</v>
      </c>
    </row>
    <row r="30" spans="1:16" x14ac:dyDescent="0.45">
      <c r="A30" s="35">
        <v>27</v>
      </c>
      <c r="B30" s="32">
        <v>-225.79999999999995</v>
      </c>
      <c r="C30" s="32">
        <v>-8.3629629629629605</v>
      </c>
      <c r="D30" s="37">
        <v>2.2592592592592591</v>
      </c>
      <c r="E30" s="33">
        <v>0.22222222222222221</v>
      </c>
      <c r="F30" s="33">
        <v>0.48148148148148145</v>
      </c>
      <c r="G30" s="33">
        <v>0.27941176470588236</v>
      </c>
      <c r="H30" s="33">
        <v>0.17156862745098039</v>
      </c>
      <c r="I30" s="34">
        <v>7915.7894736842109</v>
      </c>
      <c r="J30" s="34">
        <v>-7828.5714285714284</v>
      </c>
      <c r="K30" s="33">
        <v>0.22222222222222221</v>
      </c>
      <c r="L30" s="33">
        <v>0.22549019607843138</v>
      </c>
      <c r="M30" s="33">
        <v>0.14215686274509803</v>
      </c>
      <c r="N30" s="33">
        <v>0.5</v>
      </c>
      <c r="O30" s="33">
        <v>0.58620689655172409</v>
      </c>
      <c r="P30" s="33">
        <v>0.45614035087719296</v>
      </c>
    </row>
  </sheetData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573FEB-1E08-4577-B68D-C4F42684FC0D}">
  <sheetPr codeName="Sheet12"/>
  <dimension ref="A1:Q66"/>
  <sheetViews>
    <sheetView workbookViewId="0"/>
  </sheetViews>
  <sheetFormatPr defaultColWidth="10.69921875" defaultRowHeight="18" x14ac:dyDescent="0.45"/>
  <cols>
    <col min="1" max="1" width="10.69921875" style="35"/>
    <col min="2" max="3" width="10.69921875" style="32"/>
    <col min="4" max="4" width="10.69921875" style="37"/>
    <col min="5" max="8" width="10.69921875" style="33"/>
    <col min="9" max="10" width="10.69921875" style="34"/>
    <col min="11" max="16" width="10.69921875" style="33"/>
    <col min="17" max="16384" width="10.69921875" style="36"/>
  </cols>
  <sheetData>
    <row r="1" spans="1:17" x14ac:dyDescent="0.45">
      <c r="A1" s="36" t="s">
        <v>126</v>
      </c>
      <c r="B1" s="36" t="s">
        <v>126</v>
      </c>
      <c r="C1" s="36" t="s">
        <v>126</v>
      </c>
      <c r="D1" s="37" t="s">
        <v>126</v>
      </c>
      <c r="E1" s="36" t="s">
        <v>126</v>
      </c>
      <c r="F1" s="36" t="s">
        <v>126</v>
      </c>
      <c r="G1" s="36" t="s">
        <v>126</v>
      </c>
      <c r="H1" s="36" t="s">
        <v>126</v>
      </c>
      <c r="I1" s="36" t="s">
        <v>126</v>
      </c>
      <c r="J1" s="36" t="s">
        <v>126</v>
      </c>
      <c r="K1" s="36" t="s">
        <v>126</v>
      </c>
      <c r="L1" s="36" t="s">
        <v>126</v>
      </c>
      <c r="M1" s="36" t="s">
        <v>126</v>
      </c>
      <c r="N1" s="36" t="s">
        <v>126</v>
      </c>
      <c r="O1" s="36" t="s">
        <v>126</v>
      </c>
      <c r="P1" s="36" t="s">
        <v>126</v>
      </c>
      <c r="Q1" s="36" t="s">
        <v>126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39.200000000000003</v>
      </c>
      <c r="C4" s="32">
        <v>39.200000000000003</v>
      </c>
      <c r="D4" s="37">
        <v>1</v>
      </c>
      <c r="E4" s="33">
        <v>1</v>
      </c>
      <c r="F4" s="33">
        <v>0</v>
      </c>
      <c r="G4" s="33">
        <v>0.625</v>
      </c>
      <c r="H4" s="33">
        <v>0</v>
      </c>
      <c r="I4" s="34">
        <v>6500</v>
      </c>
      <c r="J4" s="34">
        <v>0</v>
      </c>
      <c r="K4" s="33">
        <v>0</v>
      </c>
      <c r="L4" s="33">
        <v>0</v>
      </c>
      <c r="M4" s="33">
        <v>0.375</v>
      </c>
      <c r="N4" s="33">
        <v>0</v>
      </c>
      <c r="O4" s="33">
        <v>1</v>
      </c>
      <c r="P4" s="33">
        <v>0.2</v>
      </c>
    </row>
    <row r="5" spans="1:17" x14ac:dyDescent="0.45">
      <c r="A5" s="35">
        <v>2</v>
      </c>
      <c r="B5" s="32">
        <v>99.6</v>
      </c>
      <c r="C5" s="32">
        <v>49.8</v>
      </c>
      <c r="D5" s="37">
        <v>1</v>
      </c>
      <c r="E5" s="33">
        <v>1</v>
      </c>
      <c r="F5" s="33">
        <v>0</v>
      </c>
      <c r="G5" s="33">
        <v>0.6428571428571429</v>
      </c>
      <c r="H5" s="33">
        <v>7.1428571428571425E-2</v>
      </c>
      <c r="I5" s="34">
        <v>9833.3333333333339</v>
      </c>
      <c r="J5" s="34">
        <v>-7700</v>
      </c>
      <c r="K5" s="33">
        <v>0</v>
      </c>
      <c r="L5" s="33">
        <v>0</v>
      </c>
      <c r="M5" s="33">
        <v>0.42857142857142855</v>
      </c>
      <c r="N5" s="33">
        <v>0</v>
      </c>
      <c r="O5" s="33">
        <v>1</v>
      </c>
      <c r="P5" s="33">
        <v>0.33333333333333331</v>
      </c>
    </row>
    <row r="6" spans="1:17" x14ac:dyDescent="0.45">
      <c r="A6" s="35">
        <v>3</v>
      </c>
      <c r="B6" s="32">
        <v>98.1</v>
      </c>
      <c r="C6" s="32">
        <v>32.699999999999996</v>
      </c>
      <c r="D6" s="37">
        <v>1.3333333333333333</v>
      </c>
      <c r="E6" s="33">
        <v>0.66666666666666663</v>
      </c>
      <c r="F6" s="33">
        <v>0</v>
      </c>
      <c r="G6" s="33">
        <v>0.5</v>
      </c>
      <c r="H6" s="33">
        <v>0.05</v>
      </c>
      <c r="I6" s="34">
        <v>9650</v>
      </c>
      <c r="J6" s="34">
        <v>-7700</v>
      </c>
      <c r="K6" s="33">
        <v>0</v>
      </c>
      <c r="L6" s="33">
        <v>0</v>
      </c>
      <c r="M6" s="33">
        <v>0.35</v>
      </c>
      <c r="N6" s="33">
        <v>0</v>
      </c>
      <c r="O6" s="33">
        <v>1</v>
      </c>
      <c r="P6" s="33">
        <v>0.4</v>
      </c>
    </row>
    <row r="7" spans="1:17" x14ac:dyDescent="0.45">
      <c r="A7" s="35">
        <v>4</v>
      </c>
      <c r="B7" s="32">
        <v>101.5</v>
      </c>
      <c r="C7" s="32">
        <v>25.375</v>
      </c>
      <c r="D7" s="37">
        <v>1.5</v>
      </c>
      <c r="E7" s="33">
        <v>0.5</v>
      </c>
      <c r="F7" s="33">
        <v>0</v>
      </c>
      <c r="G7" s="33">
        <v>0.40625</v>
      </c>
      <c r="H7" s="33">
        <v>3.125E-2</v>
      </c>
      <c r="I7" s="34">
        <v>8861.538461538461</v>
      </c>
      <c r="J7" s="34">
        <v>-7700</v>
      </c>
      <c r="K7" s="33">
        <v>0</v>
      </c>
      <c r="L7" s="33">
        <v>6.25E-2</v>
      </c>
      <c r="M7" s="33">
        <v>0.3125</v>
      </c>
      <c r="N7" s="33">
        <v>0</v>
      </c>
      <c r="O7" s="33">
        <v>0.9</v>
      </c>
      <c r="P7" s="33">
        <v>0.30769230769230771</v>
      </c>
    </row>
    <row r="8" spans="1:17" x14ac:dyDescent="0.45">
      <c r="A8" s="35">
        <v>5</v>
      </c>
      <c r="B8" s="32">
        <v>143.1</v>
      </c>
      <c r="C8" s="32">
        <v>28.619999999999997</v>
      </c>
      <c r="D8" s="37">
        <v>1.4</v>
      </c>
      <c r="E8" s="33">
        <v>0.6</v>
      </c>
      <c r="F8" s="33">
        <v>0</v>
      </c>
      <c r="G8" s="33">
        <v>0.45945945945945948</v>
      </c>
      <c r="H8" s="33">
        <v>5.4054054054054057E-2</v>
      </c>
      <c r="I8" s="34">
        <v>8635.2941176470595</v>
      </c>
      <c r="J8" s="34">
        <v>-7850</v>
      </c>
      <c r="K8" s="33">
        <v>0</v>
      </c>
      <c r="L8" s="33">
        <v>0.1891891891891892</v>
      </c>
      <c r="M8" s="33">
        <v>0.27027027027027029</v>
      </c>
      <c r="N8" s="33">
        <v>0.5714285714285714</v>
      </c>
      <c r="O8" s="33">
        <v>0.9</v>
      </c>
      <c r="P8" s="33">
        <v>0.35294117647058826</v>
      </c>
    </row>
    <row r="9" spans="1:17" x14ac:dyDescent="0.45">
      <c r="A9" s="35">
        <v>6</v>
      </c>
      <c r="B9" s="32">
        <v>164.5</v>
      </c>
      <c r="C9" s="32">
        <v>27.416666666666668</v>
      </c>
      <c r="D9" s="37">
        <v>1.3333333333333333</v>
      </c>
      <c r="E9" s="33">
        <v>0.66666666666666663</v>
      </c>
      <c r="F9" s="33">
        <v>0</v>
      </c>
      <c r="G9" s="33">
        <v>0.43181818181818182</v>
      </c>
      <c r="H9" s="33">
        <v>9.0909090909090912E-2</v>
      </c>
      <c r="I9" s="34">
        <v>8968.4210526315783</v>
      </c>
      <c r="J9" s="34">
        <v>-7225</v>
      </c>
      <c r="K9" s="33">
        <v>0</v>
      </c>
      <c r="L9" s="33">
        <v>0.25</v>
      </c>
      <c r="M9" s="33">
        <v>0.22727272727272727</v>
      </c>
      <c r="N9" s="33">
        <v>0.54545454545454541</v>
      </c>
      <c r="O9" s="33">
        <v>0.9</v>
      </c>
      <c r="P9" s="33">
        <v>0.36842105263157893</v>
      </c>
    </row>
    <row r="10" spans="1:17" x14ac:dyDescent="0.45">
      <c r="A10" s="35">
        <v>7</v>
      </c>
      <c r="B10" s="32">
        <v>168.5</v>
      </c>
      <c r="C10" s="32">
        <v>24.071428571428573</v>
      </c>
      <c r="D10" s="37">
        <v>1.4285714285714286</v>
      </c>
      <c r="E10" s="33">
        <v>0.5714285714285714</v>
      </c>
      <c r="F10" s="33">
        <v>0</v>
      </c>
      <c r="G10" s="33">
        <v>0.41176470588235292</v>
      </c>
      <c r="H10" s="33">
        <v>9.8039215686274508E-2</v>
      </c>
      <c r="I10" s="34">
        <v>8552.3809523809523</v>
      </c>
      <c r="J10" s="34">
        <v>-7320</v>
      </c>
      <c r="K10" s="33">
        <v>0</v>
      </c>
      <c r="L10" s="33">
        <v>0.23529411764705882</v>
      </c>
      <c r="M10" s="33">
        <v>0.23529411764705882</v>
      </c>
      <c r="N10" s="33">
        <v>0.58333333333333337</v>
      </c>
      <c r="O10" s="33">
        <v>0.83333333333333337</v>
      </c>
      <c r="P10" s="33">
        <v>0.38095238095238093</v>
      </c>
    </row>
    <row r="11" spans="1:17" x14ac:dyDescent="0.45">
      <c r="A11" s="35">
        <v>8</v>
      </c>
      <c r="B11" s="32">
        <v>132.6</v>
      </c>
      <c r="C11" s="32">
        <v>16.574999999999999</v>
      </c>
      <c r="D11" s="37">
        <v>1.625</v>
      </c>
      <c r="E11" s="33">
        <v>0.5</v>
      </c>
      <c r="F11" s="33">
        <v>0.125</v>
      </c>
      <c r="G11" s="33">
        <v>0.38709677419354838</v>
      </c>
      <c r="H11" s="33">
        <v>9.6774193548387094E-2</v>
      </c>
      <c r="I11" s="34">
        <v>8175</v>
      </c>
      <c r="J11" s="34">
        <v>-8100</v>
      </c>
      <c r="K11" s="33">
        <v>0</v>
      </c>
      <c r="L11" s="33">
        <v>0.22580645161290322</v>
      </c>
      <c r="M11" s="33">
        <v>0.24193548387096775</v>
      </c>
      <c r="N11" s="33">
        <v>0.5714285714285714</v>
      </c>
      <c r="O11" s="33">
        <v>0.73333333333333328</v>
      </c>
      <c r="P11" s="33">
        <v>0.41666666666666669</v>
      </c>
    </row>
    <row r="12" spans="1:17" x14ac:dyDescent="0.45">
      <c r="A12" s="35">
        <v>9</v>
      </c>
      <c r="B12" s="32">
        <v>151.29999999999998</v>
      </c>
      <c r="C12" s="32">
        <v>16.81111111111111</v>
      </c>
      <c r="D12" s="37">
        <v>1.5555555555555556</v>
      </c>
      <c r="E12" s="33">
        <v>0.55555555555555558</v>
      </c>
      <c r="F12" s="33">
        <v>0.1111111111111111</v>
      </c>
      <c r="G12" s="33">
        <v>0.39436619718309857</v>
      </c>
      <c r="H12" s="33">
        <v>0.11267605633802817</v>
      </c>
      <c r="I12" s="34">
        <v>7882.1428571428569</v>
      </c>
      <c r="J12" s="34">
        <v>-8000</v>
      </c>
      <c r="K12" s="33">
        <v>0</v>
      </c>
      <c r="L12" s="33">
        <v>0.25352112676056338</v>
      </c>
      <c r="M12" s="33">
        <v>0.22535211267605634</v>
      </c>
      <c r="N12" s="33">
        <v>0.55555555555555558</v>
      </c>
      <c r="O12" s="33">
        <v>0.6875</v>
      </c>
      <c r="P12" s="33">
        <v>0.42857142857142855</v>
      </c>
    </row>
    <row r="13" spans="1:17" x14ac:dyDescent="0.45">
      <c r="A13" s="35">
        <v>10</v>
      </c>
      <c r="B13" s="32">
        <v>229</v>
      </c>
      <c r="C13" s="32">
        <v>22.9</v>
      </c>
      <c r="D13" s="37">
        <v>1.5</v>
      </c>
      <c r="E13" s="33">
        <v>0.6</v>
      </c>
      <c r="F13" s="33">
        <v>0.1</v>
      </c>
      <c r="G13" s="33">
        <v>0.41025641025641024</v>
      </c>
      <c r="H13" s="33">
        <v>0.10256410256410256</v>
      </c>
      <c r="I13" s="34">
        <v>9075</v>
      </c>
      <c r="J13" s="34">
        <v>-8000</v>
      </c>
      <c r="K13" s="33">
        <v>0</v>
      </c>
      <c r="L13" s="33">
        <v>0.24358974358974358</v>
      </c>
      <c r="M13" s="33">
        <v>0.23076923076923078</v>
      </c>
      <c r="N13" s="33">
        <v>0.52631578947368418</v>
      </c>
      <c r="O13" s="33">
        <v>0.72222222222222221</v>
      </c>
      <c r="P13" s="33">
        <v>0.46875</v>
      </c>
    </row>
    <row r="14" spans="1:17" x14ac:dyDescent="0.45">
      <c r="A14" s="35">
        <v>11</v>
      </c>
      <c r="B14" s="32">
        <v>242.7</v>
      </c>
      <c r="C14" s="32">
        <v>22.063636363636363</v>
      </c>
      <c r="D14" s="37">
        <v>1.5454545454545454</v>
      </c>
      <c r="E14" s="33">
        <v>0.54545454545454541</v>
      </c>
      <c r="F14" s="33">
        <v>9.0909090909090912E-2</v>
      </c>
      <c r="G14" s="33">
        <v>0.42045454545454547</v>
      </c>
      <c r="H14" s="33">
        <v>0.10227272727272728</v>
      </c>
      <c r="I14" s="34">
        <v>8632.4324324324316</v>
      </c>
      <c r="J14" s="34">
        <v>-8444.4444444444453</v>
      </c>
      <c r="K14" s="33">
        <v>0</v>
      </c>
      <c r="L14" s="33">
        <v>0.23863636363636365</v>
      </c>
      <c r="M14" s="33">
        <v>0.23863636363636365</v>
      </c>
      <c r="N14" s="33">
        <v>0.5714285714285714</v>
      </c>
      <c r="O14" s="33">
        <v>0.66666666666666663</v>
      </c>
      <c r="P14" s="33">
        <v>0.45945945945945948</v>
      </c>
    </row>
    <row r="15" spans="1:17" x14ac:dyDescent="0.45">
      <c r="A15" s="35">
        <v>12</v>
      </c>
      <c r="B15" s="32">
        <v>198</v>
      </c>
      <c r="C15" s="32">
        <v>16.5</v>
      </c>
      <c r="D15" s="37">
        <v>1.6666666666666667</v>
      </c>
      <c r="E15" s="33">
        <v>0.5</v>
      </c>
      <c r="F15" s="33">
        <v>0.16666666666666666</v>
      </c>
      <c r="G15" s="33">
        <v>0.39583333333333331</v>
      </c>
      <c r="H15" s="33">
        <v>0.125</v>
      </c>
      <c r="I15" s="34">
        <v>8439.4736842105267</v>
      </c>
      <c r="J15" s="34">
        <v>-7875</v>
      </c>
      <c r="K15" s="33">
        <v>0</v>
      </c>
      <c r="L15" s="33">
        <v>0.22916666666666666</v>
      </c>
      <c r="M15" s="33">
        <v>0.23958333333333334</v>
      </c>
      <c r="N15" s="33">
        <v>0.59090909090909094</v>
      </c>
      <c r="O15" s="33">
        <v>0.60869565217391308</v>
      </c>
      <c r="P15" s="33">
        <v>0.44736842105263158</v>
      </c>
    </row>
    <row r="16" spans="1:17" x14ac:dyDescent="0.45">
      <c r="A16" s="35">
        <v>13</v>
      </c>
      <c r="B16" s="32">
        <v>197</v>
      </c>
      <c r="C16" s="32">
        <v>15.153846153846153</v>
      </c>
      <c r="D16" s="37">
        <v>1.6923076923076923</v>
      </c>
      <c r="E16" s="33">
        <v>0.46153846153846156</v>
      </c>
      <c r="F16" s="33">
        <v>0.15384615384615385</v>
      </c>
      <c r="G16" s="33">
        <v>0.38235294117647056</v>
      </c>
      <c r="H16" s="33">
        <v>0.12745098039215685</v>
      </c>
      <c r="I16" s="34">
        <v>8530.7692307692305</v>
      </c>
      <c r="J16" s="34">
        <v>-7861.5384615384619</v>
      </c>
      <c r="K16" s="33">
        <v>0</v>
      </c>
      <c r="L16" s="33">
        <v>0.22549019607843138</v>
      </c>
      <c r="M16" s="33">
        <v>0.24509803921568626</v>
      </c>
      <c r="N16" s="33">
        <v>0.56521739130434778</v>
      </c>
      <c r="O16" s="33">
        <v>0.56000000000000005</v>
      </c>
      <c r="P16" s="33">
        <v>0.46153846153846156</v>
      </c>
    </row>
    <row r="17" spans="1:16" x14ac:dyDescent="0.45">
      <c r="A17" s="35">
        <v>14</v>
      </c>
      <c r="B17" s="32">
        <v>249.2</v>
      </c>
      <c r="C17" s="32">
        <v>17.8</v>
      </c>
      <c r="D17" s="37">
        <v>1.6428571428571428</v>
      </c>
      <c r="E17" s="33">
        <v>0.5</v>
      </c>
      <c r="F17" s="33">
        <v>0.14285714285714285</v>
      </c>
      <c r="G17" s="33">
        <v>0.37168141592920356</v>
      </c>
      <c r="H17" s="33">
        <v>0.11504424778761062</v>
      </c>
      <c r="I17" s="34">
        <v>8873.8095238095229</v>
      </c>
      <c r="J17" s="34">
        <v>-7861.5384615384619</v>
      </c>
      <c r="K17" s="33">
        <v>0</v>
      </c>
      <c r="L17" s="33">
        <v>0.21238938053097345</v>
      </c>
      <c r="M17" s="33">
        <v>0.22123893805309736</v>
      </c>
      <c r="N17" s="33">
        <v>0.54166666666666663</v>
      </c>
      <c r="O17" s="33">
        <v>0.56000000000000005</v>
      </c>
      <c r="P17" s="33">
        <v>0.45238095238095238</v>
      </c>
    </row>
    <row r="18" spans="1:16" x14ac:dyDescent="0.45">
      <c r="A18" s="35">
        <v>15</v>
      </c>
      <c r="B18" s="32">
        <v>213.5</v>
      </c>
      <c r="C18" s="32">
        <v>14.233333333333333</v>
      </c>
      <c r="D18" s="37">
        <v>1.7333333333333334</v>
      </c>
      <c r="E18" s="33">
        <v>0.46666666666666667</v>
      </c>
      <c r="F18" s="33">
        <v>0.2</v>
      </c>
      <c r="G18" s="33">
        <v>0.36974789915966388</v>
      </c>
      <c r="H18" s="33">
        <v>0.12605042016806722</v>
      </c>
      <c r="I18" s="34">
        <v>8772.7272727272721</v>
      </c>
      <c r="J18" s="34">
        <v>-8946.6666666666661</v>
      </c>
      <c r="K18" s="33">
        <v>0</v>
      </c>
      <c r="L18" s="33">
        <v>0.21848739495798319</v>
      </c>
      <c r="M18" s="33">
        <v>0.21008403361344538</v>
      </c>
      <c r="N18" s="33">
        <v>0.53846153846153844</v>
      </c>
      <c r="O18" s="33">
        <v>0.56000000000000005</v>
      </c>
      <c r="P18" s="33">
        <v>0.47727272727272729</v>
      </c>
    </row>
    <row r="19" spans="1:16" x14ac:dyDescent="0.45">
      <c r="A19" s="35">
        <v>16</v>
      </c>
      <c r="B19" s="32">
        <v>273.8</v>
      </c>
      <c r="C19" s="32">
        <v>17.112500000000001</v>
      </c>
      <c r="D19" s="37">
        <v>1.6875</v>
      </c>
      <c r="E19" s="33">
        <v>0.5</v>
      </c>
      <c r="F19" s="33">
        <v>0.1875</v>
      </c>
      <c r="G19" s="33">
        <v>0.38400000000000001</v>
      </c>
      <c r="H19" s="33">
        <v>0.128</v>
      </c>
      <c r="I19" s="34">
        <v>9218.75</v>
      </c>
      <c r="J19" s="34">
        <v>-8868.75</v>
      </c>
      <c r="K19" s="33">
        <v>0</v>
      </c>
      <c r="L19" s="33">
        <v>0.24</v>
      </c>
      <c r="M19" s="33">
        <v>0.20799999999999999</v>
      </c>
      <c r="N19" s="33">
        <v>0.6</v>
      </c>
      <c r="O19" s="33">
        <v>0.53846153846153844</v>
      </c>
      <c r="P19" s="33">
        <v>0.45833333333333331</v>
      </c>
    </row>
    <row r="20" spans="1:16" x14ac:dyDescent="0.45">
      <c r="A20" s="35">
        <v>17</v>
      </c>
      <c r="B20" s="32">
        <v>242.8</v>
      </c>
      <c r="C20" s="32">
        <v>14.282352941176471</v>
      </c>
      <c r="D20" s="37">
        <v>1.7647058823529411</v>
      </c>
      <c r="E20" s="33">
        <v>0.47058823529411764</v>
      </c>
      <c r="F20" s="33">
        <v>0.23529411764705882</v>
      </c>
      <c r="G20" s="33">
        <v>0.38345864661654133</v>
      </c>
      <c r="H20" s="33">
        <v>0.13533834586466165</v>
      </c>
      <c r="I20" s="34">
        <v>9060.7843137254895</v>
      </c>
      <c r="J20" s="34">
        <v>-9638.8888888888887</v>
      </c>
      <c r="K20" s="33">
        <v>0</v>
      </c>
      <c r="L20" s="33">
        <v>0.24060150375939848</v>
      </c>
      <c r="M20" s="33">
        <v>0.21052631578947367</v>
      </c>
      <c r="N20" s="33">
        <v>0.59375</v>
      </c>
      <c r="O20" s="33">
        <v>0.5714285714285714</v>
      </c>
      <c r="P20" s="33">
        <v>0.45098039215686275</v>
      </c>
    </row>
    <row r="21" spans="1:16" x14ac:dyDescent="0.45">
      <c r="A21" s="35">
        <v>18</v>
      </c>
      <c r="B21" s="32">
        <v>280</v>
      </c>
      <c r="C21" s="32">
        <v>15.555555555555555</v>
      </c>
      <c r="D21" s="37">
        <v>1.7222222222222223</v>
      </c>
      <c r="E21" s="33">
        <v>0.5</v>
      </c>
      <c r="F21" s="33">
        <v>0.22222222222222221</v>
      </c>
      <c r="G21" s="33">
        <v>0.38028169014084506</v>
      </c>
      <c r="H21" s="33">
        <v>0.13380281690140844</v>
      </c>
      <c r="I21" s="34">
        <v>9292.5925925925931</v>
      </c>
      <c r="J21" s="34">
        <v>-9763.1578947368416</v>
      </c>
      <c r="K21" s="33">
        <v>0</v>
      </c>
      <c r="L21" s="33">
        <v>0.24647887323943662</v>
      </c>
      <c r="M21" s="33">
        <v>0.21126760563380281</v>
      </c>
      <c r="N21" s="33">
        <v>0.5714285714285714</v>
      </c>
      <c r="O21" s="33">
        <v>0.6</v>
      </c>
      <c r="P21" s="33">
        <v>0.46296296296296297</v>
      </c>
    </row>
    <row r="22" spans="1:16" x14ac:dyDescent="0.45">
      <c r="A22" s="35">
        <v>19</v>
      </c>
      <c r="B22" s="32">
        <v>281.5</v>
      </c>
      <c r="C22" s="32">
        <v>14.815789473684211</v>
      </c>
      <c r="D22" s="37">
        <v>1.736842105263158</v>
      </c>
      <c r="E22" s="33">
        <v>0.47368421052631576</v>
      </c>
      <c r="F22" s="33">
        <v>0.21052631578947367</v>
      </c>
      <c r="G22" s="33">
        <v>0.37414965986394561</v>
      </c>
      <c r="H22" s="33">
        <v>0.12925170068027211</v>
      </c>
      <c r="I22" s="34">
        <v>9341.818181818182</v>
      </c>
      <c r="J22" s="34">
        <v>-9763.1578947368416</v>
      </c>
      <c r="K22" s="33">
        <v>0</v>
      </c>
      <c r="L22" s="33">
        <v>0.24489795918367346</v>
      </c>
      <c r="M22" s="33">
        <v>0.21088435374149661</v>
      </c>
      <c r="N22" s="33">
        <v>0.55555555555555558</v>
      </c>
      <c r="O22" s="33">
        <v>0.58064516129032262</v>
      </c>
      <c r="P22" s="33">
        <v>0.45454545454545453</v>
      </c>
    </row>
    <row r="23" spans="1:16" x14ac:dyDescent="0.45">
      <c r="A23" s="35">
        <v>20</v>
      </c>
      <c r="B23" s="32">
        <v>287.2</v>
      </c>
      <c r="C23" s="32">
        <v>14.36</v>
      </c>
      <c r="D23" s="37">
        <v>1.75</v>
      </c>
      <c r="E23" s="33">
        <v>0.45</v>
      </c>
      <c r="F23" s="33">
        <v>0.2</v>
      </c>
      <c r="G23" s="33">
        <v>0.37419354838709679</v>
      </c>
      <c r="H23" s="33">
        <v>0.12903225806451613</v>
      </c>
      <c r="I23" s="34">
        <v>9293.1034482758623</v>
      </c>
      <c r="J23" s="34">
        <v>-9675</v>
      </c>
      <c r="K23" s="33">
        <v>0</v>
      </c>
      <c r="L23" s="33">
        <v>0.24516129032258063</v>
      </c>
      <c r="M23" s="33">
        <v>0.20645161290322581</v>
      </c>
      <c r="N23" s="33">
        <v>0.57894736842105265</v>
      </c>
      <c r="O23" s="33">
        <v>0.5625</v>
      </c>
      <c r="P23" s="33">
        <v>0.44827586206896552</v>
      </c>
    </row>
    <row r="24" spans="1:16" x14ac:dyDescent="0.45">
      <c r="A24" s="35">
        <v>21</v>
      </c>
      <c r="B24" s="32">
        <v>286.3</v>
      </c>
      <c r="C24" s="32">
        <v>13.633333333333335</v>
      </c>
      <c r="D24" s="37">
        <v>1.7619047619047619</v>
      </c>
      <c r="E24" s="33">
        <v>0.42857142857142855</v>
      </c>
      <c r="F24" s="33">
        <v>0.19047619047619047</v>
      </c>
      <c r="G24" s="33">
        <v>0.36645962732919257</v>
      </c>
      <c r="H24" s="33">
        <v>0.13043478260869565</v>
      </c>
      <c r="I24" s="34">
        <v>9271.1864406779659</v>
      </c>
      <c r="J24" s="34">
        <v>-9309.5238095238092</v>
      </c>
      <c r="K24" s="33">
        <v>0</v>
      </c>
      <c r="L24" s="33">
        <v>0.2360248447204969</v>
      </c>
      <c r="M24" s="33">
        <v>0.20496894409937888</v>
      </c>
      <c r="N24" s="33">
        <v>0.57894736842105265</v>
      </c>
      <c r="O24" s="33">
        <v>0.5757575757575758</v>
      </c>
      <c r="P24" s="33">
        <v>0.4576271186440678</v>
      </c>
    </row>
    <row r="25" spans="1:16" x14ac:dyDescent="0.45">
      <c r="A25" s="35">
        <v>22</v>
      </c>
      <c r="B25" s="32">
        <v>344.1</v>
      </c>
      <c r="C25" s="32">
        <v>15.640909090909092</v>
      </c>
      <c r="D25" s="37">
        <v>1.7272727272727273</v>
      </c>
      <c r="E25" s="33">
        <v>0.45454545454545453</v>
      </c>
      <c r="F25" s="33">
        <v>0.18181818181818182</v>
      </c>
      <c r="G25" s="33">
        <v>0.36969696969696969</v>
      </c>
      <c r="H25" s="33">
        <v>0.12727272727272726</v>
      </c>
      <c r="I25" s="34">
        <v>9885.2459016393441</v>
      </c>
      <c r="J25" s="34">
        <v>-9309.5238095238092</v>
      </c>
      <c r="K25" s="33">
        <v>0</v>
      </c>
      <c r="L25" s="33">
        <v>0.24242424242424243</v>
      </c>
      <c r="M25" s="33">
        <v>0.20606060606060606</v>
      </c>
      <c r="N25" s="33">
        <v>0.6</v>
      </c>
      <c r="O25" s="33">
        <v>0.55882352941176472</v>
      </c>
      <c r="P25" s="33">
        <v>0.47540983606557374</v>
      </c>
    </row>
    <row r="26" spans="1:16" x14ac:dyDescent="0.45">
      <c r="A26" s="35">
        <v>23</v>
      </c>
      <c r="B26" s="32">
        <v>396.90000000000003</v>
      </c>
      <c r="C26" s="32">
        <v>17.256521739130438</v>
      </c>
      <c r="D26" s="37">
        <v>1.6956521739130435</v>
      </c>
      <c r="E26" s="33">
        <v>0.47826086956521741</v>
      </c>
      <c r="F26" s="33">
        <v>0.17391304347826086</v>
      </c>
      <c r="G26" s="33">
        <v>0.37356321839080459</v>
      </c>
      <c r="H26" s="33">
        <v>0.12643678160919541</v>
      </c>
      <c r="I26" s="34">
        <v>10163.076923076924</v>
      </c>
      <c r="J26" s="34">
        <v>-9150</v>
      </c>
      <c r="K26" s="33">
        <v>0</v>
      </c>
      <c r="L26" s="33">
        <v>0.2471264367816092</v>
      </c>
      <c r="M26" s="33">
        <v>0.20114942528735633</v>
      </c>
      <c r="N26" s="33">
        <v>0.62790697674418605</v>
      </c>
      <c r="O26" s="33">
        <v>0.54285714285714282</v>
      </c>
      <c r="P26" s="33">
        <v>0.49230769230769234</v>
      </c>
    </row>
    <row r="27" spans="1:16" x14ac:dyDescent="0.45">
      <c r="A27" s="35">
        <v>24</v>
      </c>
      <c r="B27" s="32">
        <v>469.90000000000003</v>
      </c>
      <c r="C27" s="32">
        <v>19.579166666666669</v>
      </c>
      <c r="D27" s="37">
        <v>1.6666666666666667</v>
      </c>
      <c r="E27" s="33">
        <v>0.5</v>
      </c>
      <c r="F27" s="33">
        <v>0.16666666666666666</v>
      </c>
      <c r="G27" s="33">
        <v>0.38764044943820225</v>
      </c>
      <c r="H27" s="33">
        <v>0.12359550561797752</v>
      </c>
      <c r="I27" s="34">
        <v>10443.478260869566</v>
      </c>
      <c r="J27" s="34">
        <v>-9150</v>
      </c>
      <c r="K27" s="33">
        <v>0</v>
      </c>
      <c r="L27" s="33">
        <v>0.25280898876404495</v>
      </c>
      <c r="M27" s="33">
        <v>0.20786516853932585</v>
      </c>
      <c r="N27" s="33">
        <v>0.64444444444444449</v>
      </c>
      <c r="O27" s="33">
        <v>0.56756756756756754</v>
      </c>
      <c r="P27" s="33">
        <v>0.49275362318840582</v>
      </c>
    </row>
    <row r="28" spans="1:16" x14ac:dyDescent="0.45">
      <c r="A28" s="35">
        <v>25</v>
      </c>
      <c r="B28" s="32">
        <v>465.6</v>
      </c>
      <c r="C28" s="32">
        <v>18.624000000000002</v>
      </c>
      <c r="D28" s="37">
        <v>1.68</v>
      </c>
      <c r="E28" s="33">
        <v>0.48</v>
      </c>
      <c r="F28" s="33">
        <v>0.16</v>
      </c>
      <c r="G28" s="33">
        <v>0.38172043010752688</v>
      </c>
      <c r="H28" s="33">
        <v>0.12365591397849462</v>
      </c>
      <c r="I28" s="34">
        <v>10487.323943661971</v>
      </c>
      <c r="J28" s="34">
        <v>-8921.7391304347821</v>
      </c>
      <c r="K28" s="33">
        <v>0</v>
      </c>
      <c r="L28" s="33">
        <v>0.24731182795698925</v>
      </c>
      <c r="M28" s="33">
        <v>0.21505376344086022</v>
      </c>
      <c r="N28" s="33">
        <v>0.65217391304347827</v>
      </c>
      <c r="O28" s="33">
        <v>0.55000000000000004</v>
      </c>
      <c r="P28" s="33">
        <v>0.47887323943661969</v>
      </c>
    </row>
    <row r="29" spans="1:16" x14ac:dyDescent="0.45">
      <c r="A29" s="35">
        <v>26</v>
      </c>
      <c r="B29" s="32">
        <v>525.30000000000007</v>
      </c>
      <c r="C29" s="32">
        <v>20.203846153846158</v>
      </c>
      <c r="D29" s="37">
        <v>1.6538461538461537</v>
      </c>
      <c r="E29" s="33">
        <v>0.5</v>
      </c>
      <c r="F29" s="33">
        <v>0.15384615384615385</v>
      </c>
      <c r="G29" s="33">
        <v>0.38743455497382201</v>
      </c>
      <c r="H29" s="33">
        <v>0.12041884816753927</v>
      </c>
      <c r="I29" s="34">
        <v>10679.72972972973</v>
      </c>
      <c r="J29" s="34">
        <v>-8921.7391304347821</v>
      </c>
      <c r="K29" s="33">
        <v>0</v>
      </c>
      <c r="L29" s="33">
        <v>0.24607329842931938</v>
      </c>
      <c r="M29" s="33">
        <v>0.21465968586387435</v>
      </c>
      <c r="N29" s="33">
        <v>0.65957446808510634</v>
      </c>
      <c r="O29" s="33">
        <v>0.56097560975609762</v>
      </c>
      <c r="P29" s="33">
        <v>0.48648648648648651</v>
      </c>
    </row>
    <row r="30" spans="1:16" x14ac:dyDescent="0.45">
      <c r="A30" s="35">
        <v>27</v>
      </c>
      <c r="B30" s="32">
        <v>530.30000000000007</v>
      </c>
      <c r="C30" s="32">
        <v>19.640740740740743</v>
      </c>
      <c r="D30" s="37">
        <v>1.6666666666666667</v>
      </c>
      <c r="E30" s="33">
        <v>0.48148148148148145</v>
      </c>
      <c r="F30" s="33">
        <v>0.14814814814814814</v>
      </c>
      <c r="G30" s="33">
        <v>0.3888888888888889</v>
      </c>
      <c r="H30" s="33">
        <v>0.11616161616161616</v>
      </c>
      <c r="I30" s="34">
        <v>10424.675324675325</v>
      </c>
      <c r="J30" s="34">
        <v>-8921.7391304347821</v>
      </c>
      <c r="K30" s="33">
        <v>0</v>
      </c>
      <c r="L30" s="33">
        <v>0.24747474747474749</v>
      </c>
      <c r="M30" s="33">
        <v>0.21212121212121213</v>
      </c>
      <c r="N30" s="33">
        <v>0.65306122448979587</v>
      </c>
      <c r="O30" s="33">
        <v>0.5714285714285714</v>
      </c>
      <c r="P30" s="33">
        <v>0.48051948051948051</v>
      </c>
    </row>
    <row r="31" spans="1:16" x14ac:dyDescent="0.45">
      <c r="A31" s="35">
        <v>28</v>
      </c>
      <c r="B31" s="32">
        <v>561.90000000000009</v>
      </c>
      <c r="C31" s="32">
        <v>20.067857142857147</v>
      </c>
      <c r="D31" s="37">
        <v>1.6428571428571428</v>
      </c>
      <c r="E31" s="33">
        <v>0.5</v>
      </c>
      <c r="F31" s="33">
        <v>0.14285714285714285</v>
      </c>
      <c r="G31" s="33">
        <v>0.39613526570048307</v>
      </c>
      <c r="H31" s="33">
        <v>0.1111111111111111</v>
      </c>
      <c r="I31" s="34">
        <v>10068.292682926829</v>
      </c>
      <c r="J31" s="34">
        <v>-8921.7391304347821</v>
      </c>
      <c r="K31" s="33">
        <v>0</v>
      </c>
      <c r="L31" s="33">
        <v>0.24637681159420291</v>
      </c>
      <c r="M31" s="33">
        <v>0.20772946859903382</v>
      </c>
      <c r="N31" s="33">
        <v>0.66666666666666663</v>
      </c>
      <c r="O31" s="33">
        <v>0.58139534883720934</v>
      </c>
      <c r="P31" s="33">
        <v>0.48780487804878048</v>
      </c>
    </row>
    <row r="32" spans="1:16" x14ac:dyDescent="0.45">
      <c r="A32" s="35">
        <v>29</v>
      </c>
      <c r="B32" s="32">
        <v>623.50000000000011</v>
      </c>
      <c r="C32" s="32">
        <v>21.500000000000004</v>
      </c>
      <c r="D32" s="37">
        <v>1.6206896551724137</v>
      </c>
      <c r="E32" s="33">
        <v>0.51724137931034486</v>
      </c>
      <c r="F32" s="33">
        <v>0.13793103448275862</v>
      </c>
      <c r="G32" s="33">
        <v>0.39189189189189189</v>
      </c>
      <c r="H32" s="33">
        <v>0.1036036036036036</v>
      </c>
      <c r="I32" s="34">
        <v>10133.333333333334</v>
      </c>
      <c r="J32" s="34">
        <v>-8921.7391304347821</v>
      </c>
      <c r="K32" s="33">
        <v>0</v>
      </c>
      <c r="L32" s="33">
        <v>0.24774774774774774</v>
      </c>
      <c r="M32" s="33">
        <v>0.2072072072072072</v>
      </c>
      <c r="N32" s="33">
        <v>0.67272727272727273</v>
      </c>
      <c r="O32" s="33">
        <v>0.58695652173913049</v>
      </c>
      <c r="P32" s="33">
        <v>0.47126436781609193</v>
      </c>
    </row>
    <row r="33" spans="1:16" x14ac:dyDescent="0.45">
      <c r="A33" s="35">
        <v>30</v>
      </c>
      <c r="B33" s="32">
        <v>601.00000000000011</v>
      </c>
      <c r="C33" s="32">
        <v>20.033333333333339</v>
      </c>
      <c r="D33" s="37">
        <v>1.6666666666666667</v>
      </c>
      <c r="E33" s="33">
        <v>0.5</v>
      </c>
      <c r="F33" s="33">
        <v>0.16666666666666666</v>
      </c>
      <c r="G33" s="33">
        <v>0.38427947598253276</v>
      </c>
      <c r="H33" s="33">
        <v>0.1091703056768559</v>
      </c>
      <c r="I33" s="34">
        <v>10063.636363636364</v>
      </c>
      <c r="J33" s="34">
        <v>-8608</v>
      </c>
      <c r="K33" s="33">
        <v>0</v>
      </c>
      <c r="L33" s="33">
        <v>0.24890829694323144</v>
      </c>
      <c r="M33" s="33">
        <v>0.20087336244541484</v>
      </c>
      <c r="N33" s="33">
        <v>0.64912280701754388</v>
      </c>
      <c r="O33" s="33">
        <v>0.58695652173913049</v>
      </c>
      <c r="P33" s="33">
        <v>0.47727272727272729</v>
      </c>
    </row>
    <row r="34" spans="1:16" x14ac:dyDescent="0.45">
      <c r="A34" s="35">
        <v>31</v>
      </c>
      <c r="B34" s="32">
        <v>606.50000000000011</v>
      </c>
      <c r="C34" s="32">
        <v>19.564516129032263</v>
      </c>
      <c r="D34" s="37">
        <v>1.6774193548387097</v>
      </c>
      <c r="E34" s="33">
        <v>0.4838709677419355</v>
      </c>
      <c r="F34" s="33">
        <v>0.16129032258064516</v>
      </c>
      <c r="G34" s="33">
        <v>0.37872340425531914</v>
      </c>
      <c r="H34" s="33">
        <v>0.10638297872340426</v>
      </c>
      <c r="I34" s="34">
        <v>10010.112359550561</v>
      </c>
      <c r="J34" s="34">
        <v>-8608</v>
      </c>
      <c r="K34" s="33">
        <v>0</v>
      </c>
      <c r="L34" s="33">
        <v>0.25106382978723402</v>
      </c>
      <c r="M34" s="33">
        <v>0.19574468085106383</v>
      </c>
      <c r="N34" s="33">
        <v>0.64406779661016944</v>
      </c>
      <c r="O34" s="33">
        <v>0.58695652173913049</v>
      </c>
      <c r="P34" s="33">
        <v>0.48314606741573035</v>
      </c>
    </row>
    <row r="35" spans="1:16" x14ac:dyDescent="0.45">
      <c r="A35" s="35">
        <v>32</v>
      </c>
      <c r="B35" s="32">
        <v>583.00000000000011</v>
      </c>
      <c r="C35" s="32">
        <v>18.218750000000004</v>
      </c>
      <c r="D35" s="37">
        <v>1.6875</v>
      </c>
      <c r="E35" s="33">
        <v>0.46875</v>
      </c>
      <c r="F35" s="33">
        <v>0.15625</v>
      </c>
      <c r="G35" s="33">
        <v>0.3723849372384937</v>
      </c>
      <c r="H35" s="33">
        <v>0.10460251046025104</v>
      </c>
      <c r="I35" s="34">
        <v>10010.112359550561</v>
      </c>
      <c r="J35" s="34">
        <v>-8608</v>
      </c>
      <c r="K35" s="33">
        <v>0</v>
      </c>
      <c r="L35" s="33">
        <v>0.2510460251046025</v>
      </c>
      <c r="M35" s="33">
        <v>0.19246861924686193</v>
      </c>
      <c r="N35" s="33">
        <v>0.6333333333333333</v>
      </c>
      <c r="O35" s="33">
        <v>0.58695652173913049</v>
      </c>
      <c r="P35" s="33">
        <v>0.48314606741573035</v>
      </c>
    </row>
    <row r="36" spans="1:16" x14ac:dyDescent="0.45">
      <c r="A36" s="35">
        <v>33</v>
      </c>
      <c r="B36" s="32">
        <v>577.60000000000014</v>
      </c>
      <c r="C36" s="32">
        <v>17.503030303030307</v>
      </c>
      <c r="D36" s="37">
        <v>1.696969696969697</v>
      </c>
      <c r="E36" s="33">
        <v>0.45454545454545453</v>
      </c>
      <c r="F36" s="33">
        <v>0.15151515151515152</v>
      </c>
      <c r="G36" s="33">
        <v>0.36220472440944884</v>
      </c>
      <c r="H36" s="33">
        <v>0.1062992125984252</v>
      </c>
      <c r="I36" s="34">
        <v>10118.478260869566</v>
      </c>
      <c r="J36" s="34">
        <v>-8711.1111111111113</v>
      </c>
      <c r="K36" s="33">
        <v>0</v>
      </c>
      <c r="L36" s="33">
        <v>0.25984251968503935</v>
      </c>
      <c r="M36" s="33">
        <v>0.19291338582677164</v>
      </c>
      <c r="N36" s="33">
        <v>0.60606060606060608</v>
      </c>
      <c r="O36" s="33">
        <v>0.5714285714285714</v>
      </c>
      <c r="P36" s="33">
        <v>0.47826086956521741</v>
      </c>
    </row>
    <row r="37" spans="1:16" x14ac:dyDescent="0.45">
      <c r="A37" s="35">
        <v>34</v>
      </c>
      <c r="B37" s="32">
        <v>591.40000000000009</v>
      </c>
      <c r="C37" s="32">
        <v>17.394117647058827</v>
      </c>
      <c r="D37" s="37">
        <v>1.6764705882352942</v>
      </c>
      <c r="E37" s="33">
        <v>0.47058823529411764</v>
      </c>
      <c r="F37" s="33">
        <v>0.14705882352941177</v>
      </c>
      <c r="G37" s="33">
        <v>0.36153846153846153</v>
      </c>
      <c r="H37" s="33">
        <v>0.10384615384615385</v>
      </c>
      <c r="I37" s="34">
        <v>10005.319148936171</v>
      </c>
      <c r="J37" s="34">
        <v>-8711.1111111111113</v>
      </c>
      <c r="K37" s="33">
        <v>0</v>
      </c>
      <c r="L37" s="33">
        <v>0.25769230769230766</v>
      </c>
      <c r="M37" s="33">
        <v>0.19230769230769232</v>
      </c>
      <c r="N37" s="33">
        <v>0.61194029850746268</v>
      </c>
      <c r="O37" s="33">
        <v>0.57999999999999996</v>
      </c>
      <c r="P37" s="33">
        <v>0.48936170212765956</v>
      </c>
    </row>
    <row r="38" spans="1:16" x14ac:dyDescent="0.45">
      <c r="A38" s="35">
        <v>35</v>
      </c>
      <c r="B38" s="32">
        <v>526.40000000000009</v>
      </c>
      <c r="C38" s="32">
        <v>15.040000000000003</v>
      </c>
      <c r="D38" s="37">
        <v>1.7142857142857142</v>
      </c>
      <c r="E38" s="33">
        <v>0.45714285714285713</v>
      </c>
      <c r="F38" s="33">
        <v>0.17142857142857143</v>
      </c>
      <c r="G38" s="33">
        <v>0.35471698113207545</v>
      </c>
      <c r="H38" s="33">
        <v>0.10566037735849057</v>
      </c>
      <c r="I38" s="34">
        <v>10005.319148936171</v>
      </c>
      <c r="J38" s="34">
        <v>-10114.285714285714</v>
      </c>
      <c r="K38" s="33">
        <v>2.8571428571428571E-2</v>
      </c>
      <c r="L38" s="33">
        <v>0.25283018867924528</v>
      </c>
      <c r="M38" s="33">
        <v>0.18867924528301888</v>
      </c>
      <c r="N38" s="33">
        <v>0.61194029850746268</v>
      </c>
      <c r="O38" s="33">
        <v>0.57999999999999996</v>
      </c>
      <c r="P38" s="33">
        <v>0.48936170212765956</v>
      </c>
    </row>
    <row r="39" spans="1:16" x14ac:dyDescent="0.45">
      <c r="A39" s="35">
        <v>36</v>
      </c>
      <c r="B39" s="32">
        <v>564.40000000000009</v>
      </c>
      <c r="C39" s="32">
        <v>15.677777777777781</v>
      </c>
      <c r="D39" s="37">
        <v>1.6944444444444444</v>
      </c>
      <c r="E39" s="33">
        <v>0.47222222222222221</v>
      </c>
      <c r="F39" s="33">
        <v>0.16666666666666666</v>
      </c>
      <c r="G39" s="33">
        <v>0.35294117647058826</v>
      </c>
      <c r="H39" s="33">
        <v>0.10294117647058823</v>
      </c>
      <c r="I39" s="34">
        <v>10234.375</v>
      </c>
      <c r="J39" s="34">
        <v>-10114.285714285714</v>
      </c>
      <c r="K39" s="33">
        <v>2.7777777777777776E-2</v>
      </c>
      <c r="L39" s="33">
        <v>0.25</v>
      </c>
      <c r="M39" s="33">
        <v>0.18382352941176472</v>
      </c>
      <c r="N39" s="33">
        <v>0.61764705882352944</v>
      </c>
      <c r="O39" s="33">
        <v>0.57999999999999996</v>
      </c>
      <c r="P39" s="33">
        <v>0.5</v>
      </c>
    </row>
    <row r="40" spans="1:16" x14ac:dyDescent="0.45">
      <c r="A40" s="35">
        <v>37</v>
      </c>
      <c r="B40" s="32">
        <v>523.60000000000014</v>
      </c>
      <c r="C40" s="32">
        <v>14.151351351351355</v>
      </c>
      <c r="D40" s="37">
        <v>1.7297297297297298</v>
      </c>
      <c r="E40" s="33">
        <v>0.45945945945945948</v>
      </c>
      <c r="F40" s="33">
        <v>0.1891891891891892</v>
      </c>
      <c r="G40" s="33">
        <v>0.34408602150537637</v>
      </c>
      <c r="H40" s="33">
        <v>0.1039426523297491</v>
      </c>
      <c r="I40" s="34">
        <v>10234.375</v>
      </c>
      <c r="J40" s="34">
        <v>-10593.103448275862</v>
      </c>
      <c r="K40" s="33">
        <v>2.7027027027027029E-2</v>
      </c>
      <c r="L40" s="33">
        <v>0.24731182795698925</v>
      </c>
      <c r="M40" s="33">
        <v>0.18279569892473119</v>
      </c>
      <c r="N40" s="33">
        <v>0.60869565217391308</v>
      </c>
      <c r="O40" s="33">
        <v>0.56862745098039214</v>
      </c>
      <c r="P40" s="33">
        <v>0.5</v>
      </c>
    </row>
    <row r="41" spans="1:16" x14ac:dyDescent="0.45">
      <c r="A41" s="35">
        <v>38</v>
      </c>
      <c r="B41" s="32">
        <v>497.80000000000013</v>
      </c>
      <c r="C41" s="32">
        <v>13.100000000000003</v>
      </c>
      <c r="D41" s="37">
        <v>1.763157894736842</v>
      </c>
      <c r="E41" s="33">
        <v>0.44736842105263158</v>
      </c>
      <c r="F41" s="33">
        <v>0.21052631578947367</v>
      </c>
      <c r="G41" s="33">
        <v>0.33449477351916379</v>
      </c>
      <c r="H41" s="33">
        <v>0.10801393728222997</v>
      </c>
      <c r="I41" s="34">
        <v>10234.375</v>
      </c>
      <c r="J41" s="34">
        <v>-10141.935483870968</v>
      </c>
      <c r="K41" s="33">
        <v>2.6315789473684209E-2</v>
      </c>
      <c r="L41" s="33">
        <v>0.24041811846689895</v>
      </c>
      <c r="M41" s="33">
        <v>0.18466898954703834</v>
      </c>
      <c r="N41" s="33">
        <v>0.60869565217391308</v>
      </c>
      <c r="O41" s="33">
        <v>0.54716981132075471</v>
      </c>
      <c r="P41" s="33">
        <v>0.5</v>
      </c>
    </row>
    <row r="42" spans="1:16" x14ac:dyDescent="0.45">
      <c r="A42" s="35">
        <v>39</v>
      </c>
      <c r="B42" s="32">
        <v>501.00000000000011</v>
      </c>
      <c r="C42" s="32">
        <v>12.846153846153848</v>
      </c>
      <c r="D42" s="37">
        <v>1.7692307692307692</v>
      </c>
      <c r="E42" s="33">
        <v>0.4358974358974359</v>
      </c>
      <c r="F42" s="33">
        <v>0.20512820512820512</v>
      </c>
      <c r="G42" s="33">
        <v>0.33333333333333331</v>
      </c>
      <c r="H42" s="33">
        <v>0.10774410774410774</v>
      </c>
      <c r="I42" s="34">
        <v>10144.444444444445</v>
      </c>
      <c r="J42" s="34">
        <v>-9915.625</v>
      </c>
      <c r="K42" s="33">
        <v>2.564102564102564E-2</v>
      </c>
      <c r="L42" s="33">
        <v>0.24579124579124578</v>
      </c>
      <c r="M42" s="33">
        <v>0.18518518518518517</v>
      </c>
      <c r="N42" s="33">
        <v>0.60273972602739723</v>
      </c>
      <c r="O42" s="33">
        <v>0.54545454545454541</v>
      </c>
      <c r="P42" s="33">
        <v>0.50505050505050508</v>
      </c>
    </row>
    <row r="43" spans="1:16" x14ac:dyDescent="0.45">
      <c r="A43" s="35">
        <v>40</v>
      </c>
      <c r="B43" s="32">
        <v>526.50000000000011</v>
      </c>
      <c r="C43" s="32">
        <v>13.162500000000003</v>
      </c>
      <c r="D43" s="37">
        <v>1.75</v>
      </c>
      <c r="E43" s="33">
        <v>0.45</v>
      </c>
      <c r="F43" s="33">
        <v>0.2</v>
      </c>
      <c r="G43" s="33">
        <v>0.33552631578947367</v>
      </c>
      <c r="H43" s="33">
        <v>0.1118421052631579</v>
      </c>
      <c r="I43" s="34">
        <v>10108.823529411764</v>
      </c>
      <c r="J43" s="34">
        <v>-9605.8823529411766</v>
      </c>
      <c r="K43" s="33">
        <v>2.5000000000000001E-2</v>
      </c>
      <c r="L43" s="33">
        <v>0.24671052631578946</v>
      </c>
      <c r="M43" s="33">
        <v>0.18421052631578946</v>
      </c>
      <c r="N43" s="33">
        <v>0.6</v>
      </c>
      <c r="O43" s="33">
        <v>0.5357142857142857</v>
      </c>
      <c r="P43" s="33">
        <v>0.50980392156862742</v>
      </c>
    </row>
    <row r="44" spans="1:16" x14ac:dyDescent="0.45">
      <c r="A44" s="35">
        <v>41</v>
      </c>
      <c r="B44" s="32">
        <v>522.10000000000014</v>
      </c>
      <c r="C44" s="32">
        <v>12.734146341463418</v>
      </c>
      <c r="D44" s="37">
        <v>1.7560975609756098</v>
      </c>
      <c r="E44" s="33">
        <v>0.43902439024390244</v>
      </c>
      <c r="F44" s="33">
        <v>0.1951219512195122</v>
      </c>
      <c r="G44" s="33">
        <v>0.33548387096774196</v>
      </c>
      <c r="H44" s="33">
        <v>0.10967741935483871</v>
      </c>
      <c r="I44" s="34">
        <v>10107.692307692309</v>
      </c>
      <c r="J44" s="34">
        <v>-9605.8823529411766</v>
      </c>
      <c r="K44" s="33">
        <v>2.4390243902439025E-2</v>
      </c>
      <c r="L44" s="33">
        <v>0.24516129032258063</v>
      </c>
      <c r="M44" s="33">
        <v>0.18064516129032257</v>
      </c>
      <c r="N44" s="33">
        <v>0.60526315789473684</v>
      </c>
      <c r="O44" s="33">
        <v>0.5357142857142857</v>
      </c>
      <c r="P44" s="33">
        <v>0.51923076923076927</v>
      </c>
    </row>
    <row r="45" spans="1:16" x14ac:dyDescent="0.45">
      <c r="A45" s="35">
        <v>42</v>
      </c>
      <c r="B45" s="32">
        <v>530.70000000000016</v>
      </c>
      <c r="C45" s="32">
        <v>12.63571428571429</v>
      </c>
      <c r="D45" s="37">
        <v>1.7619047619047619</v>
      </c>
      <c r="E45" s="33">
        <v>0.42857142857142855</v>
      </c>
      <c r="F45" s="33">
        <v>0.19047619047619047</v>
      </c>
      <c r="G45" s="33">
        <v>0.33650793650793653</v>
      </c>
      <c r="H45" s="33">
        <v>0.10793650793650794</v>
      </c>
      <c r="I45" s="34">
        <v>10065.094339622641</v>
      </c>
      <c r="J45" s="34">
        <v>-9605.8823529411766</v>
      </c>
      <c r="K45" s="33">
        <v>2.3809523809523808E-2</v>
      </c>
      <c r="L45" s="33">
        <v>0.25079365079365079</v>
      </c>
      <c r="M45" s="33">
        <v>0.17777777777777778</v>
      </c>
      <c r="N45" s="33">
        <v>0.60759493670886078</v>
      </c>
      <c r="O45" s="33">
        <v>0.5357142857142857</v>
      </c>
      <c r="P45" s="33">
        <v>0.51886792452830188</v>
      </c>
    </row>
    <row r="46" spans="1:16" x14ac:dyDescent="0.45">
      <c r="A46" s="35">
        <v>43</v>
      </c>
      <c r="B46" s="32">
        <v>575.50000000000011</v>
      </c>
      <c r="C46" s="32">
        <v>13.383720930232561</v>
      </c>
      <c r="D46" s="37">
        <v>1.7441860465116279</v>
      </c>
      <c r="E46" s="33">
        <v>0.44186046511627908</v>
      </c>
      <c r="F46" s="33">
        <v>0.18604651162790697</v>
      </c>
      <c r="G46" s="33">
        <v>0.34365325077399383</v>
      </c>
      <c r="H46" s="33">
        <v>0.11145510835913312</v>
      </c>
      <c r="I46" s="34">
        <v>9997.2972972972966</v>
      </c>
      <c r="J46" s="34">
        <v>-9252.7777777777774</v>
      </c>
      <c r="K46" s="33">
        <v>2.3255813953488372E-2</v>
      </c>
      <c r="L46" s="33">
        <v>0.25386996904024767</v>
      </c>
      <c r="M46" s="33">
        <v>0.1826625386996904</v>
      </c>
      <c r="N46" s="33">
        <v>0.62195121951219512</v>
      </c>
      <c r="O46" s="33">
        <v>0.5423728813559322</v>
      </c>
      <c r="P46" s="33">
        <v>0.52252252252252251</v>
      </c>
    </row>
    <row r="47" spans="1:16" x14ac:dyDescent="0.45">
      <c r="A47" s="35">
        <v>44</v>
      </c>
      <c r="B47" s="32">
        <v>571.60000000000014</v>
      </c>
      <c r="C47" s="32">
        <v>12.990909090909094</v>
      </c>
      <c r="D47" s="37">
        <v>1.75</v>
      </c>
      <c r="E47" s="33">
        <v>0.43181818181818182</v>
      </c>
      <c r="F47" s="33">
        <v>0.18181818181818182</v>
      </c>
      <c r="G47" s="33">
        <v>0.34029850746268658</v>
      </c>
      <c r="H47" s="33">
        <v>0.11940298507462686</v>
      </c>
      <c r="I47" s="34">
        <v>9979.8245614035095</v>
      </c>
      <c r="J47" s="34">
        <v>-9085</v>
      </c>
      <c r="K47" s="33">
        <v>2.2727272727272728E-2</v>
      </c>
      <c r="L47" s="33">
        <v>0.25671641791044775</v>
      </c>
      <c r="M47" s="33">
        <v>0.18208955223880596</v>
      </c>
      <c r="N47" s="33">
        <v>0.60465116279069764</v>
      </c>
      <c r="O47" s="33">
        <v>0.54098360655737709</v>
      </c>
      <c r="P47" s="33">
        <v>0.52631578947368418</v>
      </c>
    </row>
    <row r="48" spans="1:16" x14ac:dyDescent="0.45">
      <c r="A48" s="35">
        <v>45</v>
      </c>
      <c r="B48" s="32">
        <v>616.90000000000009</v>
      </c>
      <c r="C48" s="32">
        <v>13.708888888888891</v>
      </c>
      <c r="D48" s="37">
        <v>1.7333333333333334</v>
      </c>
      <c r="E48" s="33">
        <v>0.44444444444444442</v>
      </c>
      <c r="F48" s="33">
        <v>0.17777777777777778</v>
      </c>
      <c r="G48" s="33">
        <v>0.34402332361516036</v>
      </c>
      <c r="H48" s="33">
        <v>0.119533527696793</v>
      </c>
      <c r="I48" s="34">
        <v>9950</v>
      </c>
      <c r="J48" s="34">
        <v>-8895.121951219513</v>
      </c>
      <c r="K48" s="33">
        <v>2.2222222222222223E-2</v>
      </c>
      <c r="L48" s="33">
        <v>0.25947521865889212</v>
      </c>
      <c r="M48" s="33">
        <v>0.17784256559766765</v>
      </c>
      <c r="N48" s="33">
        <v>0.6067415730337079</v>
      </c>
      <c r="O48" s="33">
        <v>0.54098360655737709</v>
      </c>
      <c r="P48" s="33">
        <v>0.52542372881355937</v>
      </c>
    </row>
    <row r="49" spans="1:16" x14ac:dyDescent="0.45">
      <c r="A49" s="35">
        <v>46</v>
      </c>
      <c r="B49" s="32">
        <v>687.90000000000009</v>
      </c>
      <c r="C49" s="32">
        <v>14.954347826086959</v>
      </c>
      <c r="D49" s="37">
        <v>1.7173913043478262</v>
      </c>
      <c r="E49" s="33">
        <v>0.45652173913043476</v>
      </c>
      <c r="F49" s="33">
        <v>0.17391304347826086</v>
      </c>
      <c r="G49" s="33">
        <v>0.35057471264367818</v>
      </c>
      <c r="H49" s="33">
        <v>0.11781609195402298</v>
      </c>
      <c r="I49" s="34">
        <v>10115.573770491803</v>
      </c>
      <c r="J49" s="34">
        <v>-8895.121951219513</v>
      </c>
      <c r="K49" s="33">
        <v>2.1739130434782608E-2</v>
      </c>
      <c r="L49" s="33">
        <v>0.25862068965517243</v>
      </c>
      <c r="M49" s="33">
        <v>0.17816091954022989</v>
      </c>
      <c r="N49" s="33">
        <v>0.61111111111111116</v>
      </c>
      <c r="O49" s="33">
        <v>0.54838709677419351</v>
      </c>
      <c r="P49" s="33">
        <v>0.53278688524590168</v>
      </c>
    </row>
    <row r="50" spans="1:16" x14ac:dyDescent="0.45">
      <c r="A50" s="35">
        <v>47</v>
      </c>
      <c r="B50" s="32">
        <v>710.2</v>
      </c>
      <c r="C50" s="32">
        <v>15.110638297872342</v>
      </c>
      <c r="D50" s="37">
        <v>1.7021276595744681</v>
      </c>
      <c r="E50" s="33">
        <v>0.46808510638297873</v>
      </c>
      <c r="F50" s="33">
        <v>0.1702127659574468</v>
      </c>
      <c r="G50" s="33">
        <v>0.35097493036211697</v>
      </c>
      <c r="H50" s="33">
        <v>0.11977715877437325</v>
      </c>
      <c r="I50" s="34">
        <v>10099.20634920635</v>
      </c>
      <c r="J50" s="34">
        <v>-8820.9302325581393</v>
      </c>
      <c r="K50" s="33">
        <v>2.1276595744680851E-2</v>
      </c>
      <c r="L50" s="33">
        <v>0.2618384401114206</v>
      </c>
      <c r="M50" s="33">
        <v>0.17548746518105848</v>
      </c>
      <c r="N50" s="33">
        <v>0.62765957446808507</v>
      </c>
      <c r="O50" s="33">
        <v>0.53968253968253965</v>
      </c>
      <c r="P50" s="33">
        <v>0.53174603174603174</v>
      </c>
    </row>
    <row r="51" spans="1:16" x14ac:dyDescent="0.45">
      <c r="A51" s="35">
        <v>48</v>
      </c>
      <c r="B51" s="32">
        <v>659.80000000000007</v>
      </c>
      <c r="C51" s="32">
        <v>13.745833333333335</v>
      </c>
      <c r="D51" s="37">
        <v>1.7291666666666667</v>
      </c>
      <c r="E51" s="33">
        <v>0.45833333333333331</v>
      </c>
      <c r="F51" s="33">
        <v>0.1875</v>
      </c>
      <c r="G51" s="33">
        <v>0.34239130434782611</v>
      </c>
      <c r="H51" s="33">
        <v>0.125</v>
      </c>
      <c r="I51" s="34">
        <v>10099.20634920635</v>
      </c>
      <c r="J51" s="34">
        <v>-8595.652173913044</v>
      </c>
      <c r="K51" s="33">
        <v>4.1666666666666664E-2</v>
      </c>
      <c r="L51" s="33">
        <v>0.26358695652173914</v>
      </c>
      <c r="M51" s="33">
        <v>0.17119565217391305</v>
      </c>
      <c r="N51" s="33">
        <v>0.60824742268041232</v>
      </c>
      <c r="O51" s="33">
        <v>0.53968253968253965</v>
      </c>
      <c r="P51" s="33">
        <v>0.53174603174603174</v>
      </c>
    </row>
    <row r="52" spans="1:16" x14ac:dyDescent="0.45">
      <c r="A52" s="35">
        <v>49</v>
      </c>
      <c r="B52" s="32">
        <v>689.2</v>
      </c>
      <c r="C52" s="32">
        <v>14.06530612244898</v>
      </c>
      <c r="D52" s="37">
        <v>1.7142857142857142</v>
      </c>
      <c r="E52" s="33">
        <v>0.46938775510204084</v>
      </c>
      <c r="F52" s="33">
        <v>0.18367346938775511</v>
      </c>
      <c r="G52" s="33">
        <v>0.34491978609625668</v>
      </c>
      <c r="H52" s="33">
        <v>0.12299465240641712</v>
      </c>
      <c r="I52" s="34">
        <v>10014.728682170542</v>
      </c>
      <c r="J52" s="34">
        <v>-8595.652173913044</v>
      </c>
      <c r="K52" s="33">
        <v>4.0816326530612242E-2</v>
      </c>
      <c r="L52" s="33">
        <v>0.26470588235294118</v>
      </c>
      <c r="M52" s="33">
        <v>0.16844919786096257</v>
      </c>
      <c r="N52" s="33">
        <v>0.61616161616161613</v>
      </c>
      <c r="O52" s="33">
        <v>0.53968253968253965</v>
      </c>
      <c r="P52" s="33">
        <v>0.52713178294573648</v>
      </c>
    </row>
    <row r="53" spans="1:16" x14ac:dyDescent="0.45">
      <c r="A53" s="35">
        <v>50</v>
      </c>
      <c r="B53" s="32">
        <v>689.90000000000009</v>
      </c>
      <c r="C53" s="32">
        <v>13.798000000000002</v>
      </c>
      <c r="D53" s="37">
        <v>1.72</v>
      </c>
      <c r="E53" s="33">
        <v>0.46</v>
      </c>
      <c r="F53" s="33">
        <v>0.18</v>
      </c>
      <c r="G53" s="33">
        <v>0.34293193717277487</v>
      </c>
      <c r="H53" s="33">
        <v>0.12303664921465969</v>
      </c>
      <c r="I53" s="34">
        <v>9916.0305343511445</v>
      </c>
      <c r="J53" s="34">
        <v>-8495.7446808510631</v>
      </c>
      <c r="K53" s="33">
        <v>0.04</v>
      </c>
      <c r="L53" s="33">
        <v>0.26701570680628273</v>
      </c>
      <c r="M53" s="33">
        <v>0.17015706806282724</v>
      </c>
      <c r="N53" s="33">
        <v>0.61764705882352944</v>
      </c>
      <c r="O53" s="33">
        <v>0.52307692307692311</v>
      </c>
      <c r="P53" s="33">
        <v>0.51908396946564883</v>
      </c>
    </row>
    <row r="54" spans="1:16" x14ac:dyDescent="0.45">
      <c r="A54" s="35">
        <v>51</v>
      </c>
      <c r="B54" s="32">
        <v>639.30000000000007</v>
      </c>
      <c r="C54" s="32">
        <v>12.53529411764706</v>
      </c>
      <c r="D54" s="37">
        <v>1.7450980392156863</v>
      </c>
      <c r="E54" s="33">
        <v>0.45098039215686275</v>
      </c>
      <c r="F54" s="33">
        <v>0.19607843137254902</v>
      </c>
      <c r="G54" s="33">
        <v>0.33762886597938147</v>
      </c>
      <c r="H54" s="33">
        <v>0.12886597938144329</v>
      </c>
      <c r="I54" s="34">
        <v>9916.0305343511445</v>
      </c>
      <c r="J54" s="34">
        <v>-8418</v>
      </c>
      <c r="K54" s="33">
        <v>5.8823529411764705E-2</v>
      </c>
      <c r="L54" s="33">
        <v>0.26288659793814434</v>
      </c>
      <c r="M54" s="33">
        <v>0.17010309278350516</v>
      </c>
      <c r="N54" s="33">
        <v>0.61764705882352944</v>
      </c>
      <c r="O54" s="33">
        <v>0.51515151515151514</v>
      </c>
      <c r="P54" s="33">
        <v>0.51908396946564883</v>
      </c>
    </row>
    <row r="55" spans="1:16" x14ac:dyDescent="0.45">
      <c r="A55" s="35">
        <v>52</v>
      </c>
      <c r="B55" s="32">
        <v>644.20000000000005</v>
      </c>
      <c r="C55" s="32">
        <v>12.38846153846154</v>
      </c>
      <c r="D55" s="37">
        <v>1.75</v>
      </c>
      <c r="E55" s="33">
        <v>0.44230769230769229</v>
      </c>
      <c r="F55" s="33">
        <v>0.19230769230769232</v>
      </c>
      <c r="G55" s="33">
        <v>0.33501259445843828</v>
      </c>
      <c r="H55" s="33">
        <v>0.13602015113350127</v>
      </c>
      <c r="I55" s="34">
        <v>10085.714285714286</v>
      </c>
      <c r="J55" s="34">
        <v>-8479.6296296296296</v>
      </c>
      <c r="K55" s="33">
        <v>5.7692307692307696E-2</v>
      </c>
      <c r="L55" s="33">
        <v>0.25944584382871538</v>
      </c>
      <c r="M55" s="33">
        <v>0.16624685138539042</v>
      </c>
      <c r="N55" s="33">
        <v>0.62135922330097082</v>
      </c>
      <c r="O55" s="33">
        <v>0.51515151515151514</v>
      </c>
      <c r="P55" s="33">
        <v>0.51879699248120303</v>
      </c>
    </row>
    <row r="56" spans="1:16" x14ac:dyDescent="0.45">
      <c r="A56" s="35">
        <v>53</v>
      </c>
      <c r="B56" s="32">
        <v>605.20000000000005</v>
      </c>
      <c r="C56" s="32">
        <v>11.418867924528303</v>
      </c>
      <c r="D56" s="37">
        <v>1.7735849056603774</v>
      </c>
      <c r="E56" s="33">
        <v>0.43396226415094341</v>
      </c>
      <c r="F56" s="33">
        <v>0.20754716981132076</v>
      </c>
      <c r="G56" s="33">
        <v>0.33169533169533172</v>
      </c>
      <c r="H56" s="33">
        <v>0.14496314496314497</v>
      </c>
      <c r="I56" s="34">
        <v>10108.888888888889</v>
      </c>
      <c r="J56" s="34">
        <v>-8622.0338983050842</v>
      </c>
      <c r="K56" s="33">
        <v>5.6603773584905662E-2</v>
      </c>
      <c r="L56" s="33">
        <v>0.25798525798525801</v>
      </c>
      <c r="M56" s="33">
        <v>0.16461916461916462</v>
      </c>
      <c r="N56" s="33">
        <v>0.62857142857142856</v>
      </c>
      <c r="O56" s="33">
        <v>0.5074626865671642</v>
      </c>
      <c r="P56" s="33">
        <v>0.51851851851851849</v>
      </c>
    </row>
    <row r="57" spans="1:16" x14ac:dyDescent="0.45">
      <c r="A57" s="35">
        <v>54</v>
      </c>
      <c r="B57" s="32">
        <v>598.90000000000009</v>
      </c>
      <c r="C57" s="32">
        <v>11.090740740740742</v>
      </c>
      <c r="D57" s="37">
        <v>1.7777777777777777</v>
      </c>
      <c r="E57" s="33">
        <v>0.42592592592592593</v>
      </c>
      <c r="F57" s="33">
        <v>0.20370370370370369</v>
      </c>
      <c r="G57" s="33">
        <v>0.33090024330900242</v>
      </c>
      <c r="H57" s="33">
        <v>0.14355231143552311</v>
      </c>
      <c r="I57" s="34">
        <v>10211.029411764706</v>
      </c>
      <c r="J57" s="34">
        <v>-8622.0338983050842</v>
      </c>
      <c r="K57" s="33">
        <v>5.5555555555555552E-2</v>
      </c>
      <c r="L57" s="33">
        <v>0.26034063260340634</v>
      </c>
      <c r="M57" s="33">
        <v>0.16545012165450121</v>
      </c>
      <c r="N57" s="33">
        <v>0.62616822429906538</v>
      </c>
      <c r="O57" s="33">
        <v>0.5</v>
      </c>
      <c r="P57" s="33">
        <v>0.5220588235294118</v>
      </c>
    </row>
    <row r="58" spans="1:16" x14ac:dyDescent="0.45">
      <c r="A58" s="35">
        <v>55</v>
      </c>
      <c r="B58" s="32">
        <v>627.40000000000009</v>
      </c>
      <c r="C58" s="32">
        <v>11.407272727272728</v>
      </c>
      <c r="D58" s="37">
        <v>1.7636363636363637</v>
      </c>
      <c r="E58" s="33">
        <v>0.43636363636363634</v>
      </c>
      <c r="F58" s="33">
        <v>0.2</v>
      </c>
      <c r="G58" s="33">
        <v>0.33333333333333331</v>
      </c>
      <c r="H58" s="33">
        <v>0.14184397163120568</v>
      </c>
      <c r="I58" s="34">
        <v>10036.879432624113</v>
      </c>
      <c r="J58" s="34">
        <v>-8511.6666666666661</v>
      </c>
      <c r="K58" s="33">
        <v>5.4545454545454543E-2</v>
      </c>
      <c r="L58" s="33">
        <v>0.25295508274231676</v>
      </c>
      <c r="M58" s="33">
        <v>0.16548463356973994</v>
      </c>
      <c r="N58" s="33">
        <v>0.62616822429906538</v>
      </c>
      <c r="O58" s="33">
        <v>0.51428571428571423</v>
      </c>
      <c r="P58" s="33">
        <v>0.51773049645390068</v>
      </c>
    </row>
    <row r="59" spans="1:16" x14ac:dyDescent="0.45">
      <c r="A59" s="35">
        <v>56</v>
      </c>
      <c r="B59" s="32">
        <v>646.00000000000011</v>
      </c>
      <c r="C59" s="32">
        <v>11.535714285714288</v>
      </c>
      <c r="D59" s="37">
        <v>1.75</v>
      </c>
      <c r="E59" s="33">
        <v>0.44642857142857145</v>
      </c>
      <c r="F59" s="33">
        <v>0.19642857142857142</v>
      </c>
      <c r="G59" s="33">
        <v>0.33101851851851855</v>
      </c>
      <c r="H59" s="33">
        <v>0.14120370370370369</v>
      </c>
      <c r="I59" s="34">
        <v>10022.377622377622</v>
      </c>
      <c r="J59" s="34">
        <v>-8411.4754098360663</v>
      </c>
      <c r="K59" s="33">
        <v>5.3571428571428568E-2</v>
      </c>
      <c r="L59" s="33">
        <v>0.25462962962962965</v>
      </c>
      <c r="M59" s="33">
        <v>0.16203703703703703</v>
      </c>
      <c r="N59" s="33">
        <v>0.62727272727272732</v>
      </c>
      <c r="O59" s="33">
        <v>0.51428571428571423</v>
      </c>
      <c r="P59" s="33">
        <v>0.5174825174825175</v>
      </c>
    </row>
    <row r="60" spans="1:16" x14ac:dyDescent="0.45">
      <c r="A60" s="35">
        <v>57</v>
      </c>
      <c r="B60" s="32">
        <v>644.60000000000014</v>
      </c>
      <c r="C60" s="32">
        <v>11.308771929824564</v>
      </c>
      <c r="D60" s="37">
        <v>1.7543859649122806</v>
      </c>
      <c r="E60" s="33">
        <v>0.43859649122807015</v>
      </c>
      <c r="F60" s="33">
        <v>0.19298245614035087</v>
      </c>
      <c r="G60" s="33">
        <v>0.33105022831050229</v>
      </c>
      <c r="H60" s="33">
        <v>0.14383561643835616</v>
      </c>
      <c r="I60" s="34">
        <v>10022.068965517241</v>
      </c>
      <c r="J60" s="34">
        <v>-8461.9047619047615</v>
      </c>
      <c r="K60" s="33">
        <v>5.2631578947368418E-2</v>
      </c>
      <c r="L60" s="33">
        <v>0.25114155251141551</v>
      </c>
      <c r="M60" s="33">
        <v>0.15981735159817351</v>
      </c>
      <c r="N60" s="33">
        <v>0.62727272727272732</v>
      </c>
      <c r="O60" s="33">
        <v>0.51428571428571423</v>
      </c>
      <c r="P60" s="33">
        <v>0.51724137931034486</v>
      </c>
    </row>
    <row r="61" spans="1:16" x14ac:dyDescent="0.45">
      <c r="A61" s="35">
        <v>58</v>
      </c>
      <c r="B61" s="32">
        <v>636.70000000000016</v>
      </c>
      <c r="C61" s="32">
        <v>10.977586206896554</v>
      </c>
      <c r="D61" s="37">
        <v>1.7586206896551724</v>
      </c>
      <c r="E61" s="33">
        <v>0.43103448275862066</v>
      </c>
      <c r="F61" s="33">
        <v>0.18965517241379309</v>
      </c>
      <c r="G61" s="33">
        <v>0.32511210762331838</v>
      </c>
      <c r="H61" s="33">
        <v>0.14125560538116591</v>
      </c>
      <c r="I61" s="34">
        <v>10022.068965517241</v>
      </c>
      <c r="J61" s="34">
        <v>-8461.9047619047615</v>
      </c>
      <c r="K61" s="33">
        <v>5.1724137931034482E-2</v>
      </c>
      <c r="L61" s="33">
        <v>0.24663677130044842</v>
      </c>
      <c r="M61" s="33">
        <v>0.15919282511210761</v>
      </c>
      <c r="N61" s="33">
        <v>0.62727272727272732</v>
      </c>
      <c r="O61" s="33">
        <v>0.50704225352112675</v>
      </c>
      <c r="P61" s="33">
        <v>0.51724137931034486</v>
      </c>
    </row>
    <row r="62" spans="1:16" x14ac:dyDescent="0.45">
      <c r="A62" s="35">
        <v>59</v>
      </c>
      <c r="B62" s="32">
        <v>633.30000000000018</v>
      </c>
      <c r="C62" s="32">
        <v>10.733898305084749</v>
      </c>
      <c r="D62" s="37">
        <v>1.7627118644067796</v>
      </c>
      <c r="E62" s="33">
        <v>0.42372881355932202</v>
      </c>
      <c r="F62" s="33">
        <v>0.1864406779661017</v>
      </c>
      <c r="G62" s="33">
        <v>0.32527472527472528</v>
      </c>
      <c r="H62" s="33">
        <v>0.14285714285714285</v>
      </c>
      <c r="I62" s="34">
        <v>10129.72972972973</v>
      </c>
      <c r="J62" s="34">
        <v>-8615.3846153846152</v>
      </c>
      <c r="K62" s="33">
        <v>5.0847457627118647E-2</v>
      </c>
      <c r="L62" s="33">
        <v>0.25274725274725274</v>
      </c>
      <c r="M62" s="33">
        <v>0.15824175824175823</v>
      </c>
      <c r="N62" s="33">
        <v>0.62608695652173918</v>
      </c>
      <c r="O62" s="33">
        <v>0.5</v>
      </c>
      <c r="P62" s="33">
        <v>0.51351351351351349</v>
      </c>
    </row>
    <row r="63" spans="1:16" x14ac:dyDescent="0.45">
      <c r="A63" s="35">
        <v>60</v>
      </c>
      <c r="B63" s="32">
        <v>629.20000000000016</v>
      </c>
      <c r="C63" s="32">
        <v>10.48666666666667</v>
      </c>
      <c r="D63" s="37">
        <v>1.7666666666666666</v>
      </c>
      <c r="E63" s="33">
        <v>0.41666666666666669</v>
      </c>
      <c r="F63" s="33">
        <v>0.18333333333333332</v>
      </c>
      <c r="G63" s="33">
        <v>0.32188841201716739</v>
      </c>
      <c r="H63" s="33">
        <v>0.13948497854077252</v>
      </c>
      <c r="I63" s="34">
        <v>10082.666666666666</v>
      </c>
      <c r="J63" s="34">
        <v>-8615.3846153846152</v>
      </c>
      <c r="K63" s="33">
        <v>0.05</v>
      </c>
      <c r="L63" s="33">
        <v>0.24892703862660945</v>
      </c>
      <c r="M63" s="33">
        <v>0.1609442060085837</v>
      </c>
      <c r="N63" s="33">
        <v>0.62931034482758619</v>
      </c>
      <c r="O63" s="33">
        <v>0.49333333333333335</v>
      </c>
      <c r="P63" s="33">
        <v>0.52</v>
      </c>
    </row>
    <row r="64" spans="1:16" x14ac:dyDescent="0.45">
      <c r="A64" s="35">
        <v>61</v>
      </c>
      <c r="B64" s="32">
        <v>581.20000000000016</v>
      </c>
      <c r="C64" s="32">
        <v>9.5278688524590187</v>
      </c>
      <c r="D64" s="37">
        <v>1.7868852459016393</v>
      </c>
      <c r="E64" s="33">
        <v>0.4098360655737705</v>
      </c>
      <c r="F64" s="33">
        <v>0.19672131147540983</v>
      </c>
      <c r="G64" s="33">
        <v>0.31923890063424948</v>
      </c>
      <c r="H64" s="33">
        <v>0.14164904862579281</v>
      </c>
      <c r="I64" s="34">
        <v>10042.384105960266</v>
      </c>
      <c r="J64" s="34">
        <v>-8656.7164179104475</v>
      </c>
      <c r="K64" s="33">
        <v>6.5573770491803282E-2</v>
      </c>
      <c r="L64" s="33">
        <v>0.25158562367864695</v>
      </c>
      <c r="M64" s="33">
        <v>0.15856236786469344</v>
      </c>
      <c r="N64" s="33">
        <v>0.62184873949579833</v>
      </c>
      <c r="O64" s="33">
        <v>0.49333333333333335</v>
      </c>
      <c r="P64" s="33">
        <v>0.52317880794701987</v>
      </c>
    </row>
    <row r="65" spans="1:16" x14ac:dyDescent="0.45">
      <c r="A65" s="35">
        <v>62</v>
      </c>
      <c r="B65" s="32">
        <v>534.9000000000002</v>
      </c>
      <c r="C65" s="32">
        <v>8.6274193548387128</v>
      </c>
      <c r="D65" s="37">
        <v>1.8064516129032258</v>
      </c>
      <c r="E65" s="33">
        <v>0.40322580645161288</v>
      </c>
      <c r="F65" s="33">
        <v>0.20967741935483872</v>
      </c>
      <c r="G65" s="33">
        <v>0.3134020618556701</v>
      </c>
      <c r="H65" s="33">
        <v>0.14020618556701031</v>
      </c>
      <c r="I65" s="34">
        <v>10015.78947368421</v>
      </c>
      <c r="J65" s="34">
        <v>-8623.5294117647063</v>
      </c>
      <c r="K65" s="33">
        <v>8.0645161290322578E-2</v>
      </c>
      <c r="L65" s="33">
        <v>0.25567010309278349</v>
      </c>
      <c r="M65" s="33">
        <v>0.16082474226804125</v>
      </c>
      <c r="N65" s="33">
        <v>0.60483870967741937</v>
      </c>
      <c r="O65" s="33">
        <v>0.47435897435897434</v>
      </c>
      <c r="P65" s="33">
        <v>0.52631578947368418</v>
      </c>
    </row>
    <row r="66" spans="1:16" x14ac:dyDescent="0.45">
      <c r="A66" s="35">
        <v>63</v>
      </c>
      <c r="B66" s="32">
        <v>511.30000000000018</v>
      </c>
      <c r="C66" s="32">
        <v>8.115873015873019</v>
      </c>
      <c r="D66" s="37">
        <v>1.8095238095238095</v>
      </c>
      <c r="E66" s="33">
        <v>0.3968253968253968</v>
      </c>
      <c r="F66" s="33">
        <v>0.20634920634920634</v>
      </c>
      <c r="G66" s="33">
        <v>0.30645161290322581</v>
      </c>
      <c r="H66" s="33">
        <v>0.13709677419354838</v>
      </c>
      <c r="I66" s="34">
        <v>10015.78947368421</v>
      </c>
      <c r="J66" s="34">
        <v>-8623.5294117647063</v>
      </c>
      <c r="K66" s="33">
        <v>7.9365079365079361E-2</v>
      </c>
      <c r="L66" s="33">
        <v>0.25403225806451613</v>
      </c>
      <c r="M66" s="33">
        <v>0.16129032258064516</v>
      </c>
      <c r="N66" s="33">
        <v>0.59523809523809523</v>
      </c>
      <c r="O66" s="33">
        <v>0.46250000000000002</v>
      </c>
      <c r="P66" s="33">
        <v>0.52631578947368418</v>
      </c>
    </row>
  </sheetData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3C6B25-625F-4E86-A808-6031B39D28A2}">
  <sheetPr codeName="Sheet10"/>
  <dimension ref="A1:Q12"/>
  <sheetViews>
    <sheetView workbookViewId="0"/>
  </sheetViews>
  <sheetFormatPr defaultColWidth="10.69921875" defaultRowHeight="18" x14ac:dyDescent="0.45"/>
  <cols>
    <col min="1" max="1" width="10.69921875" style="35"/>
    <col min="2" max="3" width="10.69921875" style="32"/>
    <col min="4" max="4" width="10.69921875" style="37"/>
    <col min="5" max="8" width="10.69921875" style="33"/>
    <col min="9" max="10" width="10.69921875" style="34"/>
    <col min="11" max="16" width="10.69921875" style="33"/>
    <col min="17" max="16384" width="10.69921875" style="36"/>
  </cols>
  <sheetData>
    <row r="1" spans="1:17" x14ac:dyDescent="0.45">
      <c r="A1" s="36" t="s">
        <v>189</v>
      </c>
      <c r="B1" s="36" t="s">
        <v>189</v>
      </c>
      <c r="C1" s="36" t="s">
        <v>189</v>
      </c>
      <c r="D1" s="37" t="s">
        <v>189</v>
      </c>
      <c r="E1" s="36" t="s">
        <v>189</v>
      </c>
      <c r="F1" s="36" t="s">
        <v>189</v>
      </c>
      <c r="G1" s="36" t="s">
        <v>189</v>
      </c>
      <c r="H1" s="36" t="s">
        <v>189</v>
      </c>
      <c r="I1" s="36" t="s">
        <v>189</v>
      </c>
      <c r="J1" s="36" t="s">
        <v>189</v>
      </c>
      <c r="K1" s="36" t="s">
        <v>189</v>
      </c>
      <c r="L1" s="36" t="s">
        <v>189</v>
      </c>
      <c r="M1" s="36" t="s">
        <v>189</v>
      </c>
      <c r="N1" s="36" t="s">
        <v>189</v>
      </c>
      <c r="O1" s="36" t="s">
        <v>189</v>
      </c>
      <c r="P1" s="36" t="s">
        <v>189</v>
      </c>
      <c r="Q1" s="36" t="s">
        <v>189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-36.299999999999997</v>
      </c>
      <c r="C4" s="32">
        <v>-36.299999999999997</v>
      </c>
      <c r="D4" s="37">
        <v>3</v>
      </c>
      <c r="E4" s="33">
        <v>0</v>
      </c>
      <c r="F4" s="33">
        <v>1</v>
      </c>
      <c r="G4" s="33">
        <v>0.125</v>
      </c>
      <c r="H4" s="33">
        <v>0.375</v>
      </c>
      <c r="I4" s="34">
        <v>2100</v>
      </c>
      <c r="J4" s="34">
        <v>-4166.666666666667</v>
      </c>
      <c r="K4" s="33">
        <v>0</v>
      </c>
      <c r="L4" s="33">
        <v>0.375</v>
      </c>
      <c r="M4" s="33">
        <v>0</v>
      </c>
      <c r="N4" s="33">
        <v>0.33333333333333331</v>
      </c>
      <c r="O4" s="33">
        <v>0</v>
      </c>
      <c r="P4" s="33">
        <v>1</v>
      </c>
    </row>
    <row r="5" spans="1:17" x14ac:dyDescent="0.45">
      <c r="A5" s="35">
        <v>2</v>
      </c>
      <c r="B5" s="32">
        <v>-75.5</v>
      </c>
      <c r="C5" s="32">
        <v>-37.75</v>
      </c>
      <c r="D5" s="37">
        <v>3</v>
      </c>
      <c r="E5" s="33">
        <v>0</v>
      </c>
      <c r="F5" s="33">
        <v>1</v>
      </c>
      <c r="G5" s="33">
        <v>0.2</v>
      </c>
      <c r="H5" s="33">
        <v>0.45</v>
      </c>
      <c r="I5" s="34">
        <v>7050</v>
      </c>
      <c r="J5" s="34">
        <v>-6088.8888888888887</v>
      </c>
      <c r="K5" s="33">
        <v>0</v>
      </c>
      <c r="L5" s="33">
        <v>0.25</v>
      </c>
      <c r="M5" s="33">
        <v>0.05</v>
      </c>
      <c r="N5" s="33">
        <v>0.4</v>
      </c>
      <c r="O5" s="33">
        <v>0</v>
      </c>
      <c r="P5" s="33">
        <v>1</v>
      </c>
    </row>
    <row r="6" spans="1:17" x14ac:dyDescent="0.45">
      <c r="A6" s="35">
        <v>3</v>
      </c>
      <c r="B6" s="32">
        <v>-90.3</v>
      </c>
      <c r="C6" s="32">
        <v>-30.099999999999998</v>
      </c>
      <c r="D6" s="37">
        <v>2.6666666666666665</v>
      </c>
      <c r="E6" s="33">
        <v>0</v>
      </c>
      <c r="F6" s="33">
        <v>0.66666666666666663</v>
      </c>
      <c r="G6" s="33">
        <v>0.23076923076923078</v>
      </c>
      <c r="H6" s="33">
        <v>0.34615384615384615</v>
      </c>
      <c r="I6" s="34">
        <v>7350</v>
      </c>
      <c r="J6" s="34">
        <v>-6088.8888888888887</v>
      </c>
      <c r="K6" s="33">
        <v>0</v>
      </c>
      <c r="L6" s="33">
        <v>0.30769230769230771</v>
      </c>
      <c r="M6" s="33">
        <v>3.8461538461538464E-2</v>
      </c>
      <c r="N6" s="33">
        <v>0.5</v>
      </c>
      <c r="O6" s="33">
        <v>0</v>
      </c>
      <c r="P6" s="33">
        <v>0.66666666666666663</v>
      </c>
    </row>
    <row r="7" spans="1:17" x14ac:dyDescent="0.45">
      <c r="A7" s="35">
        <v>4</v>
      </c>
      <c r="B7" s="32">
        <v>-83.899999999999991</v>
      </c>
      <c r="C7" s="32">
        <v>-20.974999999999998</v>
      </c>
      <c r="D7" s="37">
        <v>2.5</v>
      </c>
      <c r="E7" s="33">
        <v>0</v>
      </c>
      <c r="F7" s="33">
        <v>0.5</v>
      </c>
      <c r="G7" s="33">
        <v>0.23529411764705882</v>
      </c>
      <c r="H7" s="33">
        <v>0.3235294117647059</v>
      </c>
      <c r="I7" s="34">
        <v>9262.5</v>
      </c>
      <c r="J7" s="34">
        <v>-6763.636363636364</v>
      </c>
      <c r="K7" s="33">
        <v>0</v>
      </c>
      <c r="L7" s="33">
        <v>0.29411764705882354</v>
      </c>
      <c r="M7" s="33">
        <v>5.8823529411764705E-2</v>
      </c>
      <c r="N7" s="33">
        <v>0.5</v>
      </c>
      <c r="O7" s="33">
        <v>0.5</v>
      </c>
      <c r="P7" s="33">
        <v>0.625</v>
      </c>
    </row>
    <row r="8" spans="1:17" x14ac:dyDescent="0.45">
      <c r="A8" s="35">
        <v>5</v>
      </c>
      <c r="B8" s="32">
        <v>-57.899999999999991</v>
      </c>
      <c r="C8" s="32">
        <v>-11.579999999999998</v>
      </c>
      <c r="D8" s="37">
        <v>2.2000000000000002</v>
      </c>
      <c r="E8" s="33">
        <v>0.2</v>
      </c>
      <c r="F8" s="33">
        <v>0.4</v>
      </c>
      <c r="G8" s="33">
        <v>0.23809523809523808</v>
      </c>
      <c r="H8" s="33">
        <v>0.2857142857142857</v>
      </c>
      <c r="I8" s="34">
        <v>10010</v>
      </c>
      <c r="J8" s="34">
        <v>-6866.666666666667</v>
      </c>
      <c r="K8" s="33">
        <v>0</v>
      </c>
      <c r="L8" s="33">
        <v>0.2857142857142857</v>
      </c>
      <c r="M8" s="33">
        <v>4.7619047619047616E-2</v>
      </c>
      <c r="N8" s="33">
        <v>0.5</v>
      </c>
      <c r="O8" s="33">
        <v>0.5</v>
      </c>
      <c r="P8" s="33">
        <v>0.7</v>
      </c>
    </row>
    <row r="9" spans="1:17" x14ac:dyDescent="0.45">
      <c r="A9" s="35">
        <v>6</v>
      </c>
      <c r="B9" s="32">
        <v>-16.199999999999989</v>
      </c>
      <c r="C9" s="32">
        <v>-2.699999999999998</v>
      </c>
      <c r="D9" s="37">
        <v>2</v>
      </c>
      <c r="E9" s="33">
        <v>0.33333333333333331</v>
      </c>
      <c r="F9" s="33">
        <v>0.33333333333333331</v>
      </c>
      <c r="G9" s="33">
        <v>0.28260869565217389</v>
      </c>
      <c r="H9" s="33">
        <v>0.2608695652173913</v>
      </c>
      <c r="I9" s="34">
        <v>10138.461538461539</v>
      </c>
      <c r="J9" s="34">
        <v>-6866.666666666667</v>
      </c>
      <c r="K9" s="33">
        <v>0</v>
      </c>
      <c r="L9" s="33">
        <v>0.28260869565217389</v>
      </c>
      <c r="M9" s="33">
        <v>8.6956521739130432E-2</v>
      </c>
      <c r="N9" s="33">
        <v>0.53846153846153844</v>
      </c>
      <c r="O9" s="33">
        <v>0.75</v>
      </c>
      <c r="P9" s="33">
        <v>0.61538461538461542</v>
      </c>
    </row>
    <row r="10" spans="1:17" x14ac:dyDescent="0.45">
      <c r="A10" s="35">
        <v>7</v>
      </c>
      <c r="B10" s="32">
        <v>-26.899999999999988</v>
      </c>
      <c r="C10" s="32">
        <v>-3.8428571428571412</v>
      </c>
      <c r="D10" s="37">
        <v>2</v>
      </c>
      <c r="E10" s="33">
        <v>0.2857142857142857</v>
      </c>
      <c r="F10" s="33">
        <v>0.2857142857142857</v>
      </c>
      <c r="G10" s="33">
        <v>0.25925925925925924</v>
      </c>
      <c r="H10" s="33">
        <v>0.25925925925925924</v>
      </c>
      <c r="I10" s="34">
        <v>9985.7142857142862</v>
      </c>
      <c r="J10" s="34">
        <v>-6628.5714285714284</v>
      </c>
      <c r="K10" s="33">
        <v>0</v>
      </c>
      <c r="L10" s="33">
        <v>0.27777777777777779</v>
      </c>
      <c r="M10" s="33">
        <v>9.2592592592592587E-2</v>
      </c>
      <c r="N10" s="33">
        <v>0.53333333333333333</v>
      </c>
      <c r="O10" s="33">
        <v>0.6</v>
      </c>
      <c r="P10" s="33">
        <v>0.6428571428571429</v>
      </c>
    </row>
    <row r="11" spans="1:17" x14ac:dyDescent="0.45">
      <c r="A11" s="35">
        <v>8</v>
      </c>
      <c r="B11" s="32">
        <v>-59.899999999999991</v>
      </c>
      <c r="C11" s="32">
        <v>-7.4874999999999989</v>
      </c>
      <c r="D11" s="37">
        <v>2.125</v>
      </c>
      <c r="E11" s="33">
        <v>0.25</v>
      </c>
      <c r="F11" s="33">
        <v>0.375</v>
      </c>
      <c r="G11" s="33">
        <v>0.24193548387096775</v>
      </c>
      <c r="H11" s="33">
        <v>0.24193548387096775</v>
      </c>
      <c r="I11" s="34">
        <v>9493.3333333333339</v>
      </c>
      <c r="J11" s="34">
        <v>-6986.666666666667</v>
      </c>
      <c r="K11" s="33">
        <v>0</v>
      </c>
      <c r="L11" s="33">
        <v>0.29032258064516131</v>
      </c>
      <c r="M11" s="33">
        <v>9.6774193548387094E-2</v>
      </c>
      <c r="N11" s="33">
        <v>0.5</v>
      </c>
      <c r="O11" s="33">
        <v>0.5</v>
      </c>
      <c r="P11" s="33">
        <v>0.6</v>
      </c>
    </row>
    <row r="12" spans="1:17" x14ac:dyDescent="0.45">
      <c r="A12" s="35">
        <v>9</v>
      </c>
      <c r="B12" s="32">
        <v>-105.5</v>
      </c>
      <c r="C12" s="32">
        <v>-11.722222222222221</v>
      </c>
      <c r="D12" s="37">
        <v>2.2222222222222223</v>
      </c>
      <c r="E12" s="33">
        <v>0.22222222222222221</v>
      </c>
      <c r="F12" s="33">
        <v>0.44444444444444442</v>
      </c>
      <c r="G12" s="33">
        <v>0.21621621621621623</v>
      </c>
      <c r="H12" s="33">
        <v>0.22972972972972974</v>
      </c>
      <c r="I12" s="34">
        <v>9062.5</v>
      </c>
      <c r="J12" s="34">
        <v>-7317.6470588235297</v>
      </c>
      <c r="K12" s="33">
        <v>0.1111111111111111</v>
      </c>
      <c r="L12" s="33">
        <v>0.28378378378378377</v>
      </c>
      <c r="M12" s="33">
        <v>8.1081081081081086E-2</v>
      </c>
      <c r="N12" s="33">
        <v>0.47619047619047616</v>
      </c>
      <c r="O12" s="33">
        <v>0.5</v>
      </c>
      <c r="P12" s="33">
        <v>0.5625</v>
      </c>
    </row>
  </sheetData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51C3E4-15CE-42DC-B805-ABCB5CF2957D}">
  <sheetPr codeName="Sheet8"/>
  <dimension ref="A1:Q51"/>
  <sheetViews>
    <sheetView workbookViewId="0"/>
  </sheetViews>
  <sheetFormatPr defaultColWidth="10.69921875" defaultRowHeight="18" x14ac:dyDescent="0.45"/>
  <cols>
    <col min="1" max="1" width="10.69921875" style="35"/>
    <col min="2" max="3" width="10.69921875" style="32"/>
    <col min="4" max="4" width="10.69921875" style="37"/>
    <col min="5" max="8" width="10.69921875" style="33"/>
    <col min="9" max="10" width="10.69921875" style="34"/>
    <col min="11" max="16" width="10.69921875" style="33"/>
    <col min="17" max="16384" width="10.69921875" style="36"/>
  </cols>
  <sheetData>
    <row r="1" spans="1:17" x14ac:dyDescent="0.45">
      <c r="A1" s="36" t="s">
        <v>164</v>
      </c>
      <c r="B1" s="36" t="s">
        <v>164</v>
      </c>
      <c r="C1" s="36" t="s">
        <v>164</v>
      </c>
      <c r="D1" s="37" t="s">
        <v>164</v>
      </c>
      <c r="E1" s="36" t="s">
        <v>164</v>
      </c>
      <c r="F1" s="36" t="s">
        <v>164</v>
      </c>
      <c r="G1" s="36" t="s">
        <v>164</v>
      </c>
      <c r="H1" s="36" t="s">
        <v>164</v>
      </c>
      <c r="I1" s="36" t="s">
        <v>164</v>
      </c>
      <c r="J1" s="36" t="s">
        <v>164</v>
      </c>
      <c r="K1" s="36" t="s">
        <v>164</v>
      </c>
      <c r="L1" s="36" t="s">
        <v>164</v>
      </c>
      <c r="M1" s="36" t="s">
        <v>164</v>
      </c>
      <c r="N1" s="36" t="s">
        <v>164</v>
      </c>
      <c r="O1" s="36" t="s">
        <v>164</v>
      </c>
      <c r="P1" s="36" t="s">
        <v>164</v>
      </c>
      <c r="Q1" s="36" t="s">
        <v>164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-2.9</v>
      </c>
      <c r="C4" s="32">
        <v>-2.9</v>
      </c>
      <c r="D4" s="37">
        <v>2</v>
      </c>
      <c r="E4" s="33">
        <v>0</v>
      </c>
      <c r="F4" s="33">
        <v>0</v>
      </c>
      <c r="G4" s="33">
        <v>0.125</v>
      </c>
      <c r="H4" s="33">
        <v>0.125</v>
      </c>
      <c r="I4" s="34">
        <v>6400</v>
      </c>
      <c r="J4" s="34">
        <v>-2000</v>
      </c>
      <c r="K4" s="33">
        <v>0</v>
      </c>
      <c r="L4" s="33">
        <v>0.5</v>
      </c>
      <c r="M4" s="33">
        <v>0.25</v>
      </c>
      <c r="N4" s="33">
        <v>0.25</v>
      </c>
      <c r="O4" s="33">
        <v>0</v>
      </c>
      <c r="P4" s="33">
        <v>1</v>
      </c>
    </row>
    <row r="5" spans="1:17" x14ac:dyDescent="0.45">
      <c r="A5" s="35">
        <v>2</v>
      </c>
      <c r="B5" s="32">
        <v>32.9</v>
      </c>
      <c r="C5" s="32">
        <v>16.45</v>
      </c>
      <c r="D5" s="37">
        <v>1.5</v>
      </c>
      <c r="E5" s="33">
        <v>0.5</v>
      </c>
      <c r="F5" s="33">
        <v>0</v>
      </c>
      <c r="G5" s="33">
        <v>0.25</v>
      </c>
      <c r="H5" s="33">
        <v>0.05</v>
      </c>
      <c r="I5" s="34">
        <v>8400</v>
      </c>
      <c r="J5" s="34">
        <v>-2000</v>
      </c>
      <c r="K5" s="33">
        <v>0</v>
      </c>
      <c r="L5" s="33">
        <v>0.4</v>
      </c>
      <c r="M5" s="33">
        <v>0.2</v>
      </c>
      <c r="N5" s="33">
        <v>0.5</v>
      </c>
      <c r="O5" s="33">
        <v>0</v>
      </c>
      <c r="P5" s="33">
        <v>0.4</v>
      </c>
    </row>
    <row r="6" spans="1:17" x14ac:dyDescent="0.45">
      <c r="A6" s="35">
        <v>3</v>
      </c>
      <c r="B6" s="32">
        <v>61.5</v>
      </c>
      <c r="C6" s="32">
        <v>20.5</v>
      </c>
      <c r="D6" s="37">
        <v>1.3333333333333333</v>
      </c>
      <c r="E6" s="33">
        <v>0.66666666666666663</v>
      </c>
      <c r="F6" s="33">
        <v>0</v>
      </c>
      <c r="G6" s="33">
        <v>0.23076923076923078</v>
      </c>
      <c r="H6" s="33">
        <v>3.8461538461538464E-2</v>
      </c>
      <c r="I6" s="34">
        <v>10000</v>
      </c>
      <c r="J6" s="34">
        <v>-2000</v>
      </c>
      <c r="K6" s="33">
        <v>0</v>
      </c>
      <c r="L6" s="33">
        <v>0.34615384615384615</v>
      </c>
      <c r="M6" s="33">
        <v>0.26923076923076922</v>
      </c>
      <c r="N6" s="33">
        <v>0.55555555555555558</v>
      </c>
      <c r="O6" s="33">
        <v>0</v>
      </c>
      <c r="P6" s="33">
        <v>0.5</v>
      </c>
    </row>
    <row r="7" spans="1:17" x14ac:dyDescent="0.45">
      <c r="A7" s="35">
        <v>4</v>
      </c>
      <c r="B7" s="32">
        <v>27.4</v>
      </c>
      <c r="C7" s="32">
        <v>6.85</v>
      </c>
      <c r="D7" s="37">
        <v>1.75</v>
      </c>
      <c r="E7" s="33">
        <v>0.5</v>
      </c>
      <c r="F7" s="33">
        <v>0.25</v>
      </c>
      <c r="G7" s="33">
        <v>0.22580645161290322</v>
      </c>
      <c r="H7" s="33">
        <v>9.6774193548387094E-2</v>
      </c>
      <c r="I7" s="34">
        <v>9714.2857142857138</v>
      </c>
      <c r="J7" s="34">
        <v>-4533.333333333333</v>
      </c>
      <c r="K7" s="33">
        <v>0</v>
      </c>
      <c r="L7" s="33">
        <v>0.32258064516129031</v>
      </c>
      <c r="M7" s="33">
        <v>0.22580645161290322</v>
      </c>
      <c r="N7" s="33">
        <v>0.5</v>
      </c>
      <c r="O7" s="33">
        <v>0</v>
      </c>
      <c r="P7" s="33">
        <v>0.42857142857142855</v>
      </c>
    </row>
    <row r="8" spans="1:17" x14ac:dyDescent="0.45">
      <c r="A8" s="35">
        <v>5</v>
      </c>
      <c r="B8" s="32">
        <v>18</v>
      </c>
      <c r="C8" s="32">
        <v>3.6</v>
      </c>
      <c r="D8" s="37">
        <v>1.8</v>
      </c>
      <c r="E8" s="33">
        <v>0.4</v>
      </c>
      <c r="F8" s="33">
        <v>0.2</v>
      </c>
      <c r="G8" s="33">
        <v>0.22500000000000001</v>
      </c>
      <c r="H8" s="33">
        <v>0.17499999999999999</v>
      </c>
      <c r="I8" s="34">
        <v>11111.111111111111</v>
      </c>
      <c r="J8" s="34">
        <v>-6642.8571428571431</v>
      </c>
      <c r="K8" s="33">
        <v>0</v>
      </c>
      <c r="L8" s="33">
        <v>0.32500000000000001</v>
      </c>
      <c r="M8" s="33">
        <v>0.22500000000000001</v>
      </c>
      <c r="N8" s="33">
        <v>0.46153846153846156</v>
      </c>
      <c r="O8" s="33">
        <v>0.1111111111111111</v>
      </c>
      <c r="P8" s="33">
        <v>0.44444444444444442</v>
      </c>
    </row>
    <row r="9" spans="1:17" x14ac:dyDescent="0.45">
      <c r="A9" s="35">
        <v>6</v>
      </c>
      <c r="B9" s="32">
        <v>43.6</v>
      </c>
      <c r="C9" s="32">
        <v>7.2666666666666666</v>
      </c>
      <c r="D9" s="37">
        <v>1.6666666666666667</v>
      </c>
      <c r="E9" s="33">
        <v>0.5</v>
      </c>
      <c r="F9" s="33">
        <v>0.16666666666666666</v>
      </c>
      <c r="G9" s="33">
        <v>0.25490196078431371</v>
      </c>
      <c r="H9" s="33">
        <v>0.19607843137254902</v>
      </c>
      <c r="I9" s="34">
        <v>11515.384615384615</v>
      </c>
      <c r="J9" s="34">
        <v>-6520</v>
      </c>
      <c r="K9" s="33">
        <v>0</v>
      </c>
      <c r="L9" s="33">
        <v>0.33333333333333331</v>
      </c>
      <c r="M9" s="33">
        <v>0.23529411764705882</v>
      </c>
      <c r="N9" s="33">
        <v>0.47058823529411764</v>
      </c>
      <c r="O9" s="33">
        <v>0.25</v>
      </c>
      <c r="P9" s="33">
        <v>0.46153846153846156</v>
      </c>
    </row>
    <row r="10" spans="1:17" x14ac:dyDescent="0.45">
      <c r="A10" s="35">
        <v>7</v>
      </c>
      <c r="B10" s="32">
        <v>16.900000000000002</v>
      </c>
      <c r="C10" s="32">
        <v>2.4142857142857146</v>
      </c>
      <c r="D10" s="37">
        <v>1.8571428571428572</v>
      </c>
      <c r="E10" s="33">
        <v>0.42857142857142855</v>
      </c>
      <c r="F10" s="33">
        <v>0.2857142857142857</v>
      </c>
      <c r="G10" s="33">
        <v>0.25</v>
      </c>
      <c r="H10" s="33">
        <v>0.21666666666666667</v>
      </c>
      <c r="I10" s="34">
        <v>11006.666666666666</v>
      </c>
      <c r="J10" s="34">
        <v>-6800</v>
      </c>
      <c r="K10" s="33">
        <v>0</v>
      </c>
      <c r="L10" s="33">
        <v>0.3</v>
      </c>
      <c r="M10" s="33">
        <v>0.23333333333333334</v>
      </c>
      <c r="N10" s="33">
        <v>0.5</v>
      </c>
      <c r="O10" s="33">
        <v>0.2857142857142857</v>
      </c>
      <c r="P10" s="33">
        <v>0.4</v>
      </c>
    </row>
    <row r="11" spans="1:17" x14ac:dyDescent="0.45">
      <c r="A11" s="35">
        <v>8</v>
      </c>
      <c r="B11" s="32">
        <v>-9.9999999999999964</v>
      </c>
      <c r="C11" s="32">
        <v>-1.2499999999999996</v>
      </c>
      <c r="D11" s="37">
        <v>2</v>
      </c>
      <c r="E11" s="33">
        <v>0.375</v>
      </c>
      <c r="F11" s="33">
        <v>0.375</v>
      </c>
      <c r="G11" s="33">
        <v>0.23943661971830985</v>
      </c>
      <c r="H11" s="33">
        <v>0.28169014084507044</v>
      </c>
      <c r="I11" s="34">
        <v>11688.235294117647</v>
      </c>
      <c r="J11" s="34">
        <v>-6320</v>
      </c>
      <c r="K11" s="33">
        <v>0</v>
      </c>
      <c r="L11" s="33">
        <v>0.26760563380281688</v>
      </c>
      <c r="M11" s="33">
        <v>0.21126760563380281</v>
      </c>
      <c r="N11" s="33">
        <v>0.47368421052631576</v>
      </c>
      <c r="O11" s="33">
        <v>0.26666666666666666</v>
      </c>
      <c r="P11" s="33">
        <v>0.35294117647058826</v>
      </c>
    </row>
    <row r="12" spans="1:17" x14ac:dyDescent="0.45">
      <c r="A12" s="35">
        <v>9</v>
      </c>
      <c r="B12" s="32">
        <v>33.5</v>
      </c>
      <c r="C12" s="32">
        <v>3.7222222222222223</v>
      </c>
      <c r="D12" s="37">
        <v>1.8888888888888888</v>
      </c>
      <c r="E12" s="33">
        <v>0.44444444444444442</v>
      </c>
      <c r="F12" s="33">
        <v>0.33333333333333331</v>
      </c>
      <c r="G12" s="33">
        <v>0.25974025974025972</v>
      </c>
      <c r="H12" s="33">
        <v>0.25974025974025972</v>
      </c>
      <c r="I12" s="34">
        <v>12135</v>
      </c>
      <c r="J12" s="34">
        <v>-6320</v>
      </c>
      <c r="K12" s="33">
        <v>0</v>
      </c>
      <c r="L12" s="33">
        <v>0.31168831168831168</v>
      </c>
      <c r="M12" s="33">
        <v>0.19480519480519481</v>
      </c>
      <c r="N12" s="33">
        <v>0.5</v>
      </c>
      <c r="O12" s="33">
        <v>0.26666666666666666</v>
      </c>
      <c r="P12" s="33">
        <v>0.35</v>
      </c>
    </row>
    <row r="13" spans="1:17" x14ac:dyDescent="0.45">
      <c r="A13" s="35">
        <v>10</v>
      </c>
      <c r="B13" s="32">
        <v>26</v>
      </c>
      <c r="C13" s="32">
        <v>2.6</v>
      </c>
      <c r="D13" s="37">
        <v>1.9</v>
      </c>
      <c r="E13" s="33">
        <v>0.4</v>
      </c>
      <c r="F13" s="33">
        <v>0.3</v>
      </c>
      <c r="G13" s="33">
        <v>0.25301204819277107</v>
      </c>
      <c r="H13" s="33">
        <v>0.25301204819277107</v>
      </c>
      <c r="I13" s="34">
        <v>11923.809523809523</v>
      </c>
      <c r="J13" s="34">
        <v>-6266.666666666667</v>
      </c>
      <c r="K13" s="33">
        <v>0</v>
      </c>
      <c r="L13" s="33">
        <v>0.30120481927710846</v>
      </c>
      <c r="M13" s="33">
        <v>0.19277108433734941</v>
      </c>
      <c r="N13" s="33">
        <v>0.48</v>
      </c>
      <c r="O13" s="33">
        <v>0.3125</v>
      </c>
      <c r="P13" s="33">
        <v>0.33333333333333331</v>
      </c>
    </row>
    <row r="14" spans="1:17" x14ac:dyDescent="0.45">
      <c r="A14" s="35">
        <v>11</v>
      </c>
      <c r="B14" s="32">
        <v>-8.7000000000000028</v>
      </c>
      <c r="C14" s="32">
        <v>-0.79090909090909112</v>
      </c>
      <c r="D14" s="37">
        <v>2</v>
      </c>
      <c r="E14" s="33">
        <v>0.36363636363636365</v>
      </c>
      <c r="F14" s="33">
        <v>0.36363636363636365</v>
      </c>
      <c r="G14" s="33">
        <v>0.24719101123595505</v>
      </c>
      <c r="H14" s="33">
        <v>0.2696629213483146</v>
      </c>
      <c r="I14" s="34">
        <v>11731.818181818182</v>
      </c>
      <c r="J14" s="34">
        <v>-6479.166666666667</v>
      </c>
      <c r="K14" s="33">
        <v>0</v>
      </c>
      <c r="L14" s="33">
        <v>0.30337078651685395</v>
      </c>
      <c r="M14" s="33">
        <v>0.1797752808988764</v>
      </c>
      <c r="N14" s="33">
        <v>0.48148148148148145</v>
      </c>
      <c r="O14" s="33">
        <v>0.3125</v>
      </c>
      <c r="P14" s="33">
        <v>0.36363636363636365</v>
      </c>
    </row>
    <row r="15" spans="1:17" x14ac:dyDescent="0.45">
      <c r="A15" s="35">
        <v>12</v>
      </c>
      <c r="B15" s="32">
        <v>15.899999999999999</v>
      </c>
      <c r="C15" s="32">
        <v>1.325</v>
      </c>
      <c r="D15" s="37">
        <v>1.9166666666666667</v>
      </c>
      <c r="E15" s="33">
        <v>0.41666666666666669</v>
      </c>
      <c r="F15" s="33">
        <v>0.33333333333333331</v>
      </c>
      <c r="G15" s="33">
        <v>0.26804123711340205</v>
      </c>
      <c r="H15" s="33">
        <v>0.26804123711340205</v>
      </c>
      <c r="I15" s="34">
        <v>11434.615384615385</v>
      </c>
      <c r="J15" s="34">
        <v>-6426.9230769230771</v>
      </c>
      <c r="K15" s="33">
        <v>0</v>
      </c>
      <c r="L15" s="33">
        <v>0.30927835051546393</v>
      </c>
      <c r="M15" s="33">
        <v>0.18556701030927836</v>
      </c>
      <c r="N15" s="33">
        <v>0.5</v>
      </c>
      <c r="O15" s="33">
        <v>0.3888888888888889</v>
      </c>
      <c r="P15" s="33">
        <v>0.30769230769230771</v>
      </c>
    </row>
    <row r="16" spans="1:17" x14ac:dyDescent="0.45">
      <c r="A16" s="35">
        <v>13</v>
      </c>
      <c r="B16" s="32">
        <v>-33.5</v>
      </c>
      <c r="C16" s="32">
        <v>-2.5769230769230771</v>
      </c>
      <c r="D16" s="37">
        <v>2</v>
      </c>
      <c r="E16" s="33">
        <v>0.38461538461538464</v>
      </c>
      <c r="F16" s="33">
        <v>0.38461538461538464</v>
      </c>
      <c r="G16" s="33">
        <v>0.24528301886792453</v>
      </c>
      <c r="H16" s="33">
        <v>0.25471698113207547</v>
      </c>
      <c r="I16" s="34">
        <v>11434.615384615385</v>
      </c>
      <c r="J16" s="34">
        <v>-7077.7777777777774</v>
      </c>
      <c r="K16" s="33">
        <v>7.6923076923076927E-2</v>
      </c>
      <c r="L16" s="33">
        <v>0.29245283018867924</v>
      </c>
      <c r="M16" s="33">
        <v>0.19811320754716982</v>
      </c>
      <c r="N16" s="33">
        <v>0.4838709677419355</v>
      </c>
      <c r="O16" s="33">
        <v>0.33333333333333331</v>
      </c>
      <c r="P16" s="33">
        <v>0.30769230769230771</v>
      </c>
    </row>
    <row r="17" spans="1:16" x14ac:dyDescent="0.45">
      <c r="A17" s="35">
        <v>14</v>
      </c>
      <c r="B17" s="32">
        <v>15.100000000000001</v>
      </c>
      <c r="C17" s="32">
        <v>1.0785714285714287</v>
      </c>
      <c r="D17" s="37">
        <v>1.9285714285714286</v>
      </c>
      <c r="E17" s="33">
        <v>0.42857142857142855</v>
      </c>
      <c r="F17" s="33">
        <v>0.35714285714285715</v>
      </c>
      <c r="G17" s="33">
        <v>0.26126126126126126</v>
      </c>
      <c r="H17" s="33">
        <v>0.24324324324324326</v>
      </c>
      <c r="I17" s="34">
        <v>11479.310344827587</v>
      </c>
      <c r="J17" s="34">
        <v>-7077.7777777777774</v>
      </c>
      <c r="K17" s="33">
        <v>7.1428571428571425E-2</v>
      </c>
      <c r="L17" s="33">
        <v>0.30630630630630629</v>
      </c>
      <c r="M17" s="33">
        <v>0.2072072072072072</v>
      </c>
      <c r="N17" s="33">
        <v>0.5</v>
      </c>
      <c r="O17" s="33">
        <v>0.34782608695652173</v>
      </c>
      <c r="P17" s="33">
        <v>0.34482758620689657</v>
      </c>
    </row>
    <row r="18" spans="1:16" x14ac:dyDescent="0.45">
      <c r="A18" s="35">
        <v>15</v>
      </c>
      <c r="B18" s="32">
        <v>-33.1</v>
      </c>
      <c r="C18" s="32">
        <v>-2.2066666666666666</v>
      </c>
      <c r="D18" s="37">
        <v>2</v>
      </c>
      <c r="E18" s="33">
        <v>0.4</v>
      </c>
      <c r="F18" s="33">
        <v>0.4</v>
      </c>
      <c r="G18" s="33">
        <v>0.25</v>
      </c>
      <c r="H18" s="33">
        <v>0.25</v>
      </c>
      <c r="I18" s="34">
        <v>11479.310344827587</v>
      </c>
      <c r="J18" s="34">
        <v>-7268.9655172413795</v>
      </c>
      <c r="K18" s="33">
        <v>0.13333333333333333</v>
      </c>
      <c r="L18" s="33">
        <v>0.31034482758620691</v>
      </c>
      <c r="M18" s="33">
        <v>0.21551724137931033</v>
      </c>
      <c r="N18" s="33">
        <v>0.47222222222222221</v>
      </c>
      <c r="O18" s="33">
        <v>0.32</v>
      </c>
      <c r="P18" s="33">
        <v>0.34482758620689657</v>
      </c>
    </row>
    <row r="19" spans="1:16" x14ac:dyDescent="0.45">
      <c r="A19" s="35">
        <v>16</v>
      </c>
      <c r="B19" s="32">
        <v>-10.8</v>
      </c>
      <c r="C19" s="32">
        <v>-0.67500000000000004</v>
      </c>
      <c r="D19" s="37">
        <v>1.9375</v>
      </c>
      <c r="E19" s="33">
        <v>0.4375</v>
      </c>
      <c r="F19" s="33">
        <v>0.375</v>
      </c>
      <c r="G19" s="33">
        <v>0.25203252032520324</v>
      </c>
      <c r="H19" s="33">
        <v>0.23577235772357724</v>
      </c>
      <c r="I19" s="34">
        <v>11374.193548387097</v>
      </c>
      <c r="J19" s="34">
        <v>-7268.9655172413795</v>
      </c>
      <c r="K19" s="33">
        <v>0.125</v>
      </c>
      <c r="L19" s="33">
        <v>0.30894308943089432</v>
      </c>
      <c r="M19" s="33">
        <v>0.21138211382113822</v>
      </c>
      <c r="N19" s="33">
        <v>0.47368421052631576</v>
      </c>
      <c r="O19" s="33">
        <v>0.34615384615384615</v>
      </c>
      <c r="P19" s="33">
        <v>0.35483870967741937</v>
      </c>
    </row>
    <row r="20" spans="1:16" x14ac:dyDescent="0.45">
      <c r="A20" s="35">
        <v>17</v>
      </c>
      <c r="B20" s="32">
        <v>-32.900000000000006</v>
      </c>
      <c r="C20" s="32">
        <v>-1.9352941176470591</v>
      </c>
      <c r="D20" s="37">
        <v>2</v>
      </c>
      <c r="E20" s="33">
        <v>0.41176470588235292</v>
      </c>
      <c r="F20" s="33">
        <v>0.41176470588235292</v>
      </c>
      <c r="G20" s="33">
        <v>0.24242424242424243</v>
      </c>
      <c r="H20" s="33">
        <v>0.22727272727272727</v>
      </c>
      <c r="I20" s="34">
        <v>11268.75</v>
      </c>
      <c r="J20" s="34">
        <v>-7283.333333333333</v>
      </c>
      <c r="K20" s="33">
        <v>0.11764705882352941</v>
      </c>
      <c r="L20" s="33">
        <v>0.31060606060606061</v>
      </c>
      <c r="M20" s="33">
        <v>0.20454545454545456</v>
      </c>
      <c r="N20" s="33">
        <v>0.46341463414634149</v>
      </c>
      <c r="O20" s="33">
        <v>0.33333333333333331</v>
      </c>
      <c r="P20" s="33">
        <v>0.375</v>
      </c>
    </row>
    <row r="21" spans="1:16" x14ac:dyDescent="0.45">
      <c r="A21" s="35">
        <v>18</v>
      </c>
      <c r="B21" s="32">
        <v>-69.300000000000011</v>
      </c>
      <c r="C21" s="32">
        <v>-3.8500000000000005</v>
      </c>
      <c r="D21" s="37">
        <v>2.0555555555555554</v>
      </c>
      <c r="E21" s="33">
        <v>0.3888888888888889</v>
      </c>
      <c r="F21" s="33">
        <v>0.44444444444444442</v>
      </c>
      <c r="G21" s="33">
        <v>0.22448979591836735</v>
      </c>
      <c r="H21" s="33">
        <v>0.22448979591836735</v>
      </c>
      <c r="I21" s="34">
        <v>11169.69696969697</v>
      </c>
      <c r="J21" s="34">
        <v>-7075.757575757576</v>
      </c>
      <c r="K21" s="33">
        <v>0.1111111111111111</v>
      </c>
      <c r="L21" s="33">
        <v>0.32653061224489793</v>
      </c>
      <c r="M21" s="33">
        <v>0.19047619047619047</v>
      </c>
      <c r="N21" s="33">
        <v>0.41666666666666669</v>
      </c>
      <c r="O21" s="33">
        <v>0.32142857142857145</v>
      </c>
      <c r="P21" s="33">
        <v>0.36363636363636365</v>
      </c>
    </row>
    <row r="22" spans="1:16" x14ac:dyDescent="0.45">
      <c r="A22" s="35">
        <v>19</v>
      </c>
      <c r="B22" s="32">
        <v>-44.500000000000014</v>
      </c>
      <c r="C22" s="32">
        <v>-2.3421052631578956</v>
      </c>
      <c r="D22" s="37">
        <v>2</v>
      </c>
      <c r="E22" s="33">
        <v>0.42105263157894735</v>
      </c>
      <c r="F22" s="33">
        <v>0.42105263157894735</v>
      </c>
      <c r="G22" s="33">
        <v>0.22727272727272727</v>
      </c>
      <c r="H22" s="33">
        <v>0.22077922077922077</v>
      </c>
      <c r="I22" s="34">
        <v>11102.857142857143</v>
      </c>
      <c r="J22" s="34">
        <v>-7020.588235294118</v>
      </c>
      <c r="K22" s="33">
        <v>0.10526315789473684</v>
      </c>
      <c r="L22" s="33">
        <v>0.33766233766233766</v>
      </c>
      <c r="M22" s="33">
        <v>0.18831168831168832</v>
      </c>
      <c r="N22" s="33">
        <v>0.40384615384615385</v>
      </c>
      <c r="O22" s="33">
        <v>0.31034482758620691</v>
      </c>
      <c r="P22" s="33">
        <v>0.37142857142857144</v>
      </c>
    </row>
    <row r="23" spans="1:16" x14ac:dyDescent="0.45">
      <c r="A23" s="35">
        <v>20</v>
      </c>
      <c r="B23" s="32">
        <v>-72.000000000000014</v>
      </c>
      <c r="C23" s="32">
        <v>-3.6000000000000005</v>
      </c>
      <c r="D23" s="37">
        <v>2.0499999999999998</v>
      </c>
      <c r="E23" s="33">
        <v>0.4</v>
      </c>
      <c r="F23" s="33">
        <v>0.45</v>
      </c>
      <c r="G23" s="33">
        <v>0.21875</v>
      </c>
      <c r="H23" s="33">
        <v>0.22500000000000001</v>
      </c>
      <c r="I23" s="34">
        <v>11102.857142857143</v>
      </c>
      <c r="J23" s="34">
        <v>-6961.1111111111113</v>
      </c>
      <c r="K23" s="33">
        <v>0.1</v>
      </c>
      <c r="L23" s="33">
        <v>0.33750000000000002</v>
      </c>
      <c r="M23" s="33">
        <v>0.2</v>
      </c>
      <c r="N23" s="33">
        <v>0.3888888888888889</v>
      </c>
      <c r="O23" s="33">
        <v>0.28125</v>
      </c>
      <c r="P23" s="33">
        <v>0.37142857142857144</v>
      </c>
    </row>
    <row r="24" spans="1:16" x14ac:dyDescent="0.45">
      <c r="A24" s="35">
        <v>21</v>
      </c>
      <c r="B24" s="32">
        <v>-118.50000000000001</v>
      </c>
      <c r="C24" s="32">
        <v>-5.6428571428571432</v>
      </c>
      <c r="D24" s="37">
        <v>2.0952380952380953</v>
      </c>
      <c r="E24" s="33">
        <v>0.38095238095238093</v>
      </c>
      <c r="F24" s="33">
        <v>0.47619047619047616</v>
      </c>
      <c r="G24" s="33">
        <v>0.21341463414634146</v>
      </c>
      <c r="H24" s="33">
        <v>0.22560975609756098</v>
      </c>
      <c r="I24" s="34">
        <v>11102.857142857143</v>
      </c>
      <c r="J24" s="34">
        <v>-7097.2972972972975</v>
      </c>
      <c r="K24" s="33">
        <v>0.14285714285714285</v>
      </c>
      <c r="L24" s="33">
        <v>0.34146341463414637</v>
      </c>
      <c r="M24" s="33">
        <v>0.20121951219512196</v>
      </c>
      <c r="N24" s="33">
        <v>0.375</v>
      </c>
      <c r="O24" s="33">
        <v>0.27272727272727271</v>
      </c>
      <c r="P24" s="33">
        <v>0.37142857142857144</v>
      </c>
    </row>
    <row r="25" spans="1:16" x14ac:dyDescent="0.45">
      <c r="A25" s="35">
        <v>22</v>
      </c>
      <c r="B25" s="32">
        <v>-81.200000000000017</v>
      </c>
      <c r="C25" s="32">
        <v>-3.6909090909090918</v>
      </c>
      <c r="D25" s="37">
        <v>2.0454545454545454</v>
      </c>
      <c r="E25" s="33">
        <v>0.40909090909090912</v>
      </c>
      <c r="F25" s="33">
        <v>0.45454545454545453</v>
      </c>
      <c r="G25" s="33">
        <v>0.23463687150837989</v>
      </c>
      <c r="H25" s="33">
        <v>0.22905027932960895</v>
      </c>
      <c r="I25" s="34">
        <v>11002.380952380952</v>
      </c>
      <c r="J25" s="34">
        <v>-7146.3414634146338</v>
      </c>
      <c r="K25" s="33">
        <v>0.13636363636363635</v>
      </c>
      <c r="L25" s="33">
        <v>0.33519553072625696</v>
      </c>
      <c r="M25" s="33">
        <v>0.20670391061452514</v>
      </c>
      <c r="N25" s="33">
        <v>0.38333333333333336</v>
      </c>
      <c r="O25" s="33">
        <v>0.32432432432432434</v>
      </c>
      <c r="P25" s="33">
        <v>0.35714285714285715</v>
      </c>
    </row>
    <row r="26" spans="1:16" x14ac:dyDescent="0.45">
      <c r="A26" s="35">
        <v>23</v>
      </c>
      <c r="B26" s="32">
        <v>-79.90000000000002</v>
      </c>
      <c r="C26" s="32">
        <v>-3.4739130434782619</v>
      </c>
      <c r="D26" s="37">
        <v>2.0434782608695654</v>
      </c>
      <c r="E26" s="33">
        <v>0.39130434782608697</v>
      </c>
      <c r="F26" s="33">
        <v>0.43478260869565216</v>
      </c>
      <c r="G26" s="33">
        <v>0.24324324324324326</v>
      </c>
      <c r="H26" s="33">
        <v>0.22702702702702704</v>
      </c>
      <c r="I26" s="34">
        <v>10671.111111111111</v>
      </c>
      <c r="J26" s="34">
        <v>-7261.9047619047615</v>
      </c>
      <c r="K26" s="33">
        <v>0.13043478260869565</v>
      </c>
      <c r="L26" s="33">
        <v>0.33513513513513515</v>
      </c>
      <c r="M26" s="33">
        <v>0.2</v>
      </c>
      <c r="N26" s="33">
        <v>0.40322580645161288</v>
      </c>
      <c r="O26" s="33">
        <v>0.32432432432432434</v>
      </c>
      <c r="P26" s="33">
        <v>0.37777777777777777</v>
      </c>
    </row>
    <row r="27" spans="1:16" x14ac:dyDescent="0.45">
      <c r="A27" s="35">
        <v>24</v>
      </c>
      <c r="B27" s="32">
        <v>7.3999999999999773</v>
      </c>
      <c r="C27" s="32">
        <v>0.3083333333333324</v>
      </c>
      <c r="D27" s="37">
        <v>2</v>
      </c>
      <c r="E27" s="33">
        <v>0.41666666666666669</v>
      </c>
      <c r="F27" s="33">
        <v>0.41666666666666669</v>
      </c>
      <c r="G27" s="33">
        <v>0.25789473684210529</v>
      </c>
      <c r="H27" s="33">
        <v>0.22631578947368422</v>
      </c>
      <c r="I27" s="34">
        <v>11500</v>
      </c>
      <c r="J27" s="34">
        <v>-7279.0697674418607</v>
      </c>
      <c r="K27" s="33">
        <v>0.125</v>
      </c>
      <c r="L27" s="33">
        <v>0.33684210526315789</v>
      </c>
      <c r="M27" s="33">
        <v>0.19473684210526315</v>
      </c>
      <c r="N27" s="33">
        <v>0.421875</v>
      </c>
      <c r="O27" s="33">
        <v>0.32432432432432434</v>
      </c>
      <c r="P27" s="33">
        <v>0.36734693877551022</v>
      </c>
    </row>
    <row r="28" spans="1:16" x14ac:dyDescent="0.45">
      <c r="A28" s="35">
        <v>25</v>
      </c>
      <c r="B28" s="32">
        <v>-45.500000000000021</v>
      </c>
      <c r="C28" s="32">
        <v>-1.820000000000001</v>
      </c>
      <c r="D28" s="37">
        <v>2.04</v>
      </c>
      <c r="E28" s="33">
        <v>0.4</v>
      </c>
      <c r="F28" s="33">
        <v>0.44</v>
      </c>
      <c r="G28" s="33">
        <v>0.255</v>
      </c>
      <c r="H28" s="33">
        <v>0.23</v>
      </c>
      <c r="I28" s="34">
        <v>11164.705882352941</v>
      </c>
      <c r="J28" s="34">
        <v>-7717.391304347826</v>
      </c>
      <c r="K28" s="33">
        <v>0.16</v>
      </c>
      <c r="L28" s="33">
        <v>0.32500000000000001</v>
      </c>
      <c r="M28" s="33">
        <v>0.19500000000000001</v>
      </c>
      <c r="N28" s="33">
        <v>0.41538461538461541</v>
      </c>
      <c r="O28" s="33">
        <v>0.35897435897435898</v>
      </c>
      <c r="P28" s="33">
        <v>0.37254901960784315</v>
      </c>
    </row>
    <row r="29" spans="1:16" x14ac:dyDescent="0.45">
      <c r="A29" s="35">
        <v>26</v>
      </c>
      <c r="B29" s="32">
        <v>-118.20000000000002</v>
      </c>
      <c r="C29" s="32">
        <v>-4.5461538461538469</v>
      </c>
      <c r="D29" s="37">
        <v>2.0769230769230771</v>
      </c>
      <c r="E29" s="33">
        <v>0.38461538461538464</v>
      </c>
      <c r="F29" s="33">
        <v>0.46153846153846156</v>
      </c>
      <c r="G29" s="33">
        <v>0.24878048780487805</v>
      </c>
      <c r="H29" s="33">
        <v>0.22926829268292684</v>
      </c>
      <c r="I29" s="34">
        <v>11164.705882352941</v>
      </c>
      <c r="J29" s="34">
        <v>-8574.4680851063822</v>
      </c>
      <c r="K29" s="33">
        <v>0.19230769230769232</v>
      </c>
      <c r="L29" s="33">
        <v>0.31707317073170732</v>
      </c>
      <c r="M29" s="33">
        <v>0.1951219512195122</v>
      </c>
      <c r="N29" s="33">
        <v>0.41538461538461541</v>
      </c>
      <c r="O29" s="33">
        <v>0.35</v>
      </c>
      <c r="P29" s="33">
        <v>0.37254901960784315</v>
      </c>
    </row>
    <row r="30" spans="1:16" x14ac:dyDescent="0.45">
      <c r="A30" s="35">
        <v>27</v>
      </c>
      <c r="B30" s="32">
        <v>-164.8</v>
      </c>
      <c r="C30" s="32">
        <v>-6.1037037037037045</v>
      </c>
      <c r="D30" s="37">
        <v>2.1111111111111112</v>
      </c>
      <c r="E30" s="33">
        <v>0.37037037037037035</v>
      </c>
      <c r="F30" s="33">
        <v>0.48148148148148145</v>
      </c>
      <c r="G30" s="33">
        <v>0.24056603773584906</v>
      </c>
      <c r="H30" s="33">
        <v>0.22641509433962265</v>
      </c>
      <c r="I30" s="34">
        <v>11164.705882352941</v>
      </c>
      <c r="J30" s="34">
        <v>-8450</v>
      </c>
      <c r="K30" s="33">
        <v>0.22222222222222221</v>
      </c>
      <c r="L30" s="33">
        <v>0.31132075471698112</v>
      </c>
      <c r="M30" s="33">
        <v>0.20754716981132076</v>
      </c>
      <c r="N30" s="33">
        <v>0.40909090909090912</v>
      </c>
      <c r="O30" s="33">
        <v>0.31818181818181818</v>
      </c>
      <c r="P30" s="33">
        <v>0.37254901960784315</v>
      </c>
    </row>
    <row r="31" spans="1:16" x14ac:dyDescent="0.45">
      <c r="A31" s="35">
        <v>28</v>
      </c>
      <c r="B31" s="32">
        <v>-131.20000000000002</v>
      </c>
      <c r="C31" s="32">
        <v>-4.6857142857142859</v>
      </c>
      <c r="D31" s="37">
        <v>2.0714285714285716</v>
      </c>
      <c r="E31" s="33">
        <v>0.39285714285714285</v>
      </c>
      <c r="F31" s="33">
        <v>0.4642857142857143</v>
      </c>
      <c r="G31" s="33">
        <v>0.24657534246575341</v>
      </c>
      <c r="H31" s="33">
        <v>0.22374429223744291</v>
      </c>
      <c r="I31" s="34">
        <v>10968.518518518518</v>
      </c>
      <c r="J31" s="34">
        <v>-8297.9591836734689</v>
      </c>
      <c r="K31" s="33">
        <v>0.21428571428571427</v>
      </c>
      <c r="L31" s="33">
        <v>0.30593607305936071</v>
      </c>
      <c r="M31" s="33">
        <v>0.20547945205479451</v>
      </c>
      <c r="N31" s="33">
        <v>0.41791044776119401</v>
      </c>
      <c r="O31" s="33">
        <v>0.33333333333333331</v>
      </c>
      <c r="P31" s="33">
        <v>0.37037037037037035</v>
      </c>
    </row>
    <row r="32" spans="1:16" x14ac:dyDescent="0.45">
      <c r="A32" s="35">
        <v>29</v>
      </c>
      <c r="B32" s="32">
        <v>-89.600000000000023</v>
      </c>
      <c r="C32" s="32">
        <v>-3.0896551724137939</v>
      </c>
      <c r="D32" s="37">
        <v>2.0344827586206895</v>
      </c>
      <c r="E32" s="33">
        <v>0.41379310344827586</v>
      </c>
      <c r="F32" s="33">
        <v>0.44827586206896552</v>
      </c>
      <c r="G32" s="33">
        <v>0.25438596491228072</v>
      </c>
      <c r="H32" s="33">
        <v>0.22807017543859648</v>
      </c>
      <c r="I32" s="34">
        <v>11127.586206896553</v>
      </c>
      <c r="J32" s="34">
        <v>-8242.3076923076915</v>
      </c>
      <c r="K32" s="33">
        <v>0.20689655172413793</v>
      </c>
      <c r="L32" s="33">
        <v>0.30701754385964913</v>
      </c>
      <c r="M32" s="33">
        <v>0.20614035087719298</v>
      </c>
      <c r="N32" s="33">
        <v>0.41428571428571431</v>
      </c>
      <c r="O32" s="33">
        <v>0.36170212765957449</v>
      </c>
      <c r="P32" s="33">
        <v>0.36206896551724138</v>
      </c>
    </row>
    <row r="33" spans="1:16" x14ac:dyDescent="0.45">
      <c r="A33" s="35">
        <v>30</v>
      </c>
      <c r="B33" s="32">
        <v>1.3999999999999773</v>
      </c>
      <c r="C33" s="32">
        <v>4.6666666666665906E-2</v>
      </c>
      <c r="D33" s="37">
        <v>2</v>
      </c>
      <c r="E33" s="33">
        <v>0.43333333333333335</v>
      </c>
      <c r="F33" s="33">
        <v>0.43333333333333335</v>
      </c>
      <c r="G33" s="33">
        <v>0.27310924369747897</v>
      </c>
      <c r="H33" s="33">
        <v>0.21848739495798319</v>
      </c>
      <c r="I33" s="34">
        <v>11070.76923076923</v>
      </c>
      <c r="J33" s="34">
        <v>-8242.3076923076915</v>
      </c>
      <c r="K33" s="33">
        <v>0.2</v>
      </c>
      <c r="L33" s="33">
        <v>0.31092436974789917</v>
      </c>
      <c r="M33" s="33">
        <v>0.21848739495798319</v>
      </c>
      <c r="N33" s="33">
        <v>0.43243243243243246</v>
      </c>
      <c r="O33" s="33">
        <v>0.40384615384615385</v>
      </c>
      <c r="P33" s="33">
        <v>0.41538461538461541</v>
      </c>
    </row>
    <row r="34" spans="1:16" x14ac:dyDescent="0.45">
      <c r="A34" s="35">
        <v>31</v>
      </c>
      <c r="B34" s="32">
        <v>8.199999999999978</v>
      </c>
      <c r="C34" s="32">
        <v>0.26451612903225735</v>
      </c>
      <c r="D34" s="37">
        <v>2</v>
      </c>
      <c r="E34" s="33">
        <v>0.41935483870967744</v>
      </c>
      <c r="F34" s="33">
        <v>0.41935483870967744</v>
      </c>
      <c r="G34" s="33">
        <v>0.27419354838709675</v>
      </c>
      <c r="H34" s="33">
        <v>0.21774193548387097</v>
      </c>
      <c r="I34" s="34">
        <v>11077.941176470587</v>
      </c>
      <c r="J34" s="34">
        <v>-8175.9259259259261</v>
      </c>
      <c r="K34" s="33">
        <v>0.19354838709677419</v>
      </c>
      <c r="L34" s="33">
        <v>0.31451612903225806</v>
      </c>
      <c r="M34" s="33">
        <v>0.21774193548387097</v>
      </c>
      <c r="N34" s="33">
        <v>0.4358974358974359</v>
      </c>
      <c r="O34" s="33">
        <v>0.3888888888888889</v>
      </c>
      <c r="P34" s="33">
        <v>0.4264705882352941</v>
      </c>
    </row>
    <row r="35" spans="1:16" x14ac:dyDescent="0.45">
      <c r="A35" s="35">
        <v>32</v>
      </c>
      <c r="B35" s="32">
        <v>-18.600000000000023</v>
      </c>
      <c r="C35" s="32">
        <v>-0.58125000000000071</v>
      </c>
      <c r="D35" s="37">
        <v>2</v>
      </c>
      <c r="E35" s="33">
        <v>0.40625</v>
      </c>
      <c r="F35" s="33">
        <v>0.40625</v>
      </c>
      <c r="G35" s="33">
        <v>0.27027027027027029</v>
      </c>
      <c r="H35" s="33">
        <v>0.21235521235521235</v>
      </c>
      <c r="I35" s="34">
        <v>10834.285714285714</v>
      </c>
      <c r="J35" s="34">
        <v>-8172.727272727273</v>
      </c>
      <c r="K35" s="33">
        <v>0.1875</v>
      </c>
      <c r="L35" s="33">
        <v>0.30501930501930502</v>
      </c>
      <c r="M35" s="33">
        <v>0.22007722007722008</v>
      </c>
      <c r="N35" s="33">
        <v>0.43037974683544306</v>
      </c>
      <c r="O35" s="33">
        <v>0.40350877192982454</v>
      </c>
      <c r="P35" s="33">
        <v>0.44285714285714284</v>
      </c>
    </row>
    <row r="36" spans="1:16" x14ac:dyDescent="0.45">
      <c r="A36" s="35">
        <v>33</v>
      </c>
      <c r="B36" s="32">
        <v>-17.800000000000022</v>
      </c>
      <c r="C36" s="32">
        <v>-0.53939393939394009</v>
      </c>
      <c r="D36" s="37">
        <v>2</v>
      </c>
      <c r="E36" s="33">
        <v>0.39393939393939392</v>
      </c>
      <c r="F36" s="33">
        <v>0.39393939393939392</v>
      </c>
      <c r="G36" s="33">
        <v>0.27443609022556392</v>
      </c>
      <c r="H36" s="33">
        <v>0.21428571428571427</v>
      </c>
      <c r="I36" s="34">
        <v>10680.82191780822</v>
      </c>
      <c r="J36" s="34">
        <v>-8117.5438596491231</v>
      </c>
      <c r="K36" s="33">
        <v>0.18181818181818182</v>
      </c>
      <c r="L36" s="33">
        <v>0.30451127819548873</v>
      </c>
      <c r="M36" s="33">
        <v>0.21804511278195488</v>
      </c>
      <c r="N36" s="33">
        <v>0.44444444444444442</v>
      </c>
      <c r="O36" s="33">
        <v>0.39655172413793105</v>
      </c>
      <c r="P36" s="33">
        <v>0.42465753424657532</v>
      </c>
    </row>
    <row r="37" spans="1:16" x14ac:dyDescent="0.45">
      <c r="A37" s="35">
        <v>34</v>
      </c>
      <c r="B37" s="32">
        <v>-68.100000000000023</v>
      </c>
      <c r="C37" s="32">
        <v>-2.0029411764705891</v>
      </c>
      <c r="D37" s="37">
        <v>2.0294117647058822</v>
      </c>
      <c r="E37" s="33">
        <v>0.38235294117647056</v>
      </c>
      <c r="F37" s="33">
        <v>0.41176470588235292</v>
      </c>
      <c r="G37" s="33">
        <v>0.26838235294117646</v>
      </c>
      <c r="H37" s="33">
        <v>0.20955882352941177</v>
      </c>
      <c r="I37" s="34">
        <v>10680.82191780822</v>
      </c>
      <c r="J37" s="34">
        <v>-8117.5438596491231</v>
      </c>
      <c r="K37" s="33">
        <v>0.20588235294117646</v>
      </c>
      <c r="L37" s="33">
        <v>0.29779411764705882</v>
      </c>
      <c r="M37" s="33">
        <v>0.21323529411764705</v>
      </c>
      <c r="N37" s="33">
        <v>0.44444444444444442</v>
      </c>
      <c r="O37" s="33">
        <v>0.39655172413793105</v>
      </c>
      <c r="P37" s="33">
        <v>0.42465753424657532</v>
      </c>
    </row>
    <row r="38" spans="1:16" x14ac:dyDescent="0.45">
      <c r="A38" s="35">
        <v>35</v>
      </c>
      <c r="B38" s="32">
        <v>-29.40000000000002</v>
      </c>
      <c r="C38" s="32">
        <v>-0.84000000000000052</v>
      </c>
      <c r="D38" s="37">
        <v>2</v>
      </c>
      <c r="E38" s="33">
        <v>0.4</v>
      </c>
      <c r="F38" s="33">
        <v>0.4</v>
      </c>
      <c r="G38" s="33">
        <v>0.27436823104693142</v>
      </c>
      <c r="H38" s="33">
        <v>0.20577617328519857</v>
      </c>
      <c r="I38" s="34">
        <v>10676.315789473685</v>
      </c>
      <c r="J38" s="34">
        <v>-8117.5438596491231</v>
      </c>
      <c r="K38" s="33">
        <v>0.2</v>
      </c>
      <c r="L38" s="33">
        <v>0.29602888086642598</v>
      </c>
      <c r="M38" s="33">
        <v>0.21299638989169675</v>
      </c>
      <c r="N38" s="33">
        <v>0.45121951219512196</v>
      </c>
      <c r="O38" s="33">
        <v>0.40677966101694918</v>
      </c>
      <c r="P38" s="33">
        <v>0.43421052631578949</v>
      </c>
    </row>
    <row r="39" spans="1:16" x14ac:dyDescent="0.45">
      <c r="A39" s="35">
        <v>36</v>
      </c>
      <c r="B39" s="32">
        <v>-70.000000000000028</v>
      </c>
      <c r="C39" s="32">
        <v>-1.9444444444444453</v>
      </c>
      <c r="D39" s="37">
        <v>2.0277777777777777</v>
      </c>
      <c r="E39" s="33">
        <v>0.3888888888888889</v>
      </c>
      <c r="F39" s="33">
        <v>0.41666666666666669</v>
      </c>
      <c r="G39" s="33">
        <v>0.27017543859649124</v>
      </c>
      <c r="H39" s="33">
        <v>0.20701754385964913</v>
      </c>
      <c r="I39" s="34">
        <v>10564.935064935065</v>
      </c>
      <c r="J39" s="34">
        <v>-8293.2203389830502</v>
      </c>
      <c r="K39" s="33">
        <v>0.19444444444444445</v>
      </c>
      <c r="L39" s="33">
        <v>0.2982456140350877</v>
      </c>
      <c r="M39" s="33">
        <v>0.21754385964912282</v>
      </c>
      <c r="N39" s="33">
        <v>0.43529411764705883</v>
      </c>
      <c r="O39" s="33">
        <v>0.38709677419354838</v>
      </c>
      <c r="P39" s="33">
        <v>0.44155844155844154</v>
      </c>
    </row>
    <row r="40" spans="1:16" x14ac:dyDescent="0.45">
      <c r="A40" s="35">
        <v>37</v>
      </c>
      <c r="B40" s="32">
        <v>-124.40000000000003</v>
      </c>
      <c r="C40" s="32">
        <v>-3.3621621621621629</v>
      </c>
      <c r="D40" s="37">
        <v>2.0540540540540539</v>
      </c>
      <c r="E40" s="33">
        <v>0.3783783783783784</v>
      </c>
      <c r="F40" s="33">
        <v>0.43243243243243246</v>
      </c>
      <c r="G40" s="33">
        <v>0.26551724137931032</v>
      </c>
      <c r="H40" s="33">
        <v>0.2103448275862069</v>
      </c>
      <c r="I40" s="34">
        <v>10564.935064935065</v>
      </c>
      <c r="J40" s="34">
        <v>-8347.5409836065573</v>
      </c>
      <c r="K40" s="33">
        <v>0.21621621621621623</v>
      </c>
      <c r="L40" s="33">
        <v>0.29310344827586204</v>
      </c>
      <c r="M40" s="33">
        <v>0.21724137931034482</v>
      </c>
      <c r="N40" s="33">
        <v>0.43529411764705883</v>
      </c>
      <c r="O40" s="33">
        <v>0.38095238095238093</v>
      </c>
      <c r="P40" s="33">
        <v>0.44155844155844154</v>
      </c>
    </row>
    <row r="41" spans="1:16" x14ac:dyDescent="0.45">
      <c r="A41" s="35">
        <v>38</v>
      </c>
      <c r="B41" s="32">
        <v>-160.30000000000004</v>
      </c>
      <c r="C41" s="32">
        <v>-4.2184210526315802</v>
      </c>
      <c r="D41" s="37">
        <v>2.0789473684210527</v>
      </c>
      <c r="E41" s="33">
        <v>0.36842105263157893</v>
      </c>
      <c r="F41" s="33">
        <v>0.44736842105263158</v>
      </c>
      <c r="G41" s="33">
        <v>0.26351351351351349</v>
      </c>
      <c r="H41" s="33">
        <v>0.2195945945945946</v>
      </c>
      <c r="I41" s="34">
        <v>10479.48717948718</v>
      </c>
      <c r="J41" s="34">
        <v>-8253.8461538461543</v>
      </c>
      <c r="K41" s="33">
        <v>0.21052631578947367</v>
      </c>
      <c r="L41" s="33">
        <v>0.29054054054054052</v>
      </c>
      <c r="M41" s="33">
        <v>0.21621621621621623</v>
      </c>
      <c r="N41" s="33">
        <v>0.43023255813953487</v>
      </c>
      <c r="O41" s="33">
        <v>0.390625</v>
      </c>
      <c r="P41" s="33">
        <v>0.4358974358974359</v>
      </c>
    </row>
    <row r="42" spans="1:16" x14ac:dyDescent="0.45">
      <c r="A42" s="35">
        <v>39</v>
      </c>
      <c r="B42" s="32">
        <v>-154.80000000000004</v>
      </c>
      <c r="C42" s="32">
        <v>-3.9692307692307702</v>
      </c>
      <c r="D42" s="37">
        <v>2.0769230769230771</v>
      </c>
      <c r="E42" s="33">
        <v>0.35897435897435898</v>
      </c>
      <c r="F42" s="33">
        <v>0.4358974358974359</v>
      </c>
      <c r="G42" s="33">
        <v>0.26158940397350994</v>
      </c>
      <c r="H42" s="33">
        <v>0.21523178807947019</v>
      </c>
      <c r="I42" s="34">
        <v>10498.73417721519</v>
      </c>
      <c r="J42" s="34">
        <v>-8253.8461538461543</v>
      </c>
      <c r="K42" s="33">
        <v>0.20512820512820512</v>
      </c>
      <c r="L42" s="33">
        <v>0.29139072847682118</v>
      </c>
      <c r="M42" s="33">
        <v>0.21523178807947019</v>
      </c>
      <c r="N42" s="33">
        <v>0.42045454545454547</v>
      </c>
      <c r="O42" s="33">
        <v>0.4</v>
      </c>
      <c r="P42" s="33">
        <v>0.44303797468354428</v>
      </c>
    </row>
    <row r="43" spans="1:16" x14ac:dyDescent="0.45">
      <c r="A43" s="35">
        <v>40</v>
      </c>
      <c r="B43" s="32">
        <v>-180.70000000000005</v>
      </c>
      <c r="C43" s="32">
        <v>-4.517500000000001</v>
      </c>
      <c r="D43" s="37">
        <v>2.1</v>
      </c>
      <c r="E43" s="33">
        <v>0.35</v>
      </c>
      <c r="F43" s="33">
        <v>0.45</v>
      </c>
      <c r="G43" s="33">
        <v>0.26045016077170419</v>
      </c>
      <c r="H43" s="33">
        <v>0.21543408360128619</v>
      </c>
      <c r="I43" s="34">
        <v>10486.41975308642</v>
      </c>
      <c r="J43" s="34">
        <v>-8282.0895522388055</v>
      </c>
      <c r="K43" s="33">
        <v>0.2</v>
      </c>
      <c r="L43" s="33">
        <v>0.28295819935691319</v>
      </c>
      <c r="M43" s="33">
        <v>0.21864951768488747</v>
      </c>
      <c r="N43" s="33">
        <v>0.42045454545454547</v>
      </c>
      <c r="O43" s="33">
        <v>0.39705882352941174</v>
      </c>
      <c r="P43" s="33">
        <v>0.43209876543209874</v>
      </c>
    </row>
    <row r="44" spans="1:16" x14ac:dyDescent="0.45">
      <c r="A44" s="35">
        <v>41</v>
      </c>
      <c r="B44" s="32">
        <v>-148.20000000000005</v>
      </c>
      <c r="C44" s="32">
        <v>-3.6146341463414644</v>
      </c>
      <c r="D44" s="37">
        <v>2.0731707317073171</v>
      </c>
      <c r="E44" s="33">
        <v>0.36585365853658536</v>
      </c>
      <c r="F44" s="33">
        <v>0.43902439024390244</v>
      </c>
      <c r="G44" s="33">
        <v>0.26791277258566976</v>
      </c>
      <c r="H44" s="33">
        <v>0.21183800623052959</v>
      </c>
      <c r="I44" s="34">
        <v>10467.441860465116</v>
      </c>
      <c r="J44" s="34">
        <v>-8425</v>
      </c>
      <c r="K44" s="33">
        <v>0.1951219512195122</v>
      </c>
      <c r="L44" s="33">
        <v>0.29283489096573206</v>
      </c>
      <c r="M44" s="33">
        <v>0.21183800623052959</v>
      </c>
      <c r="N44" s="33">
        <v>0.42553191489361702</v>
      </c>
      <c r="O44" s="33">
        <v>0.39705882352941174</v>
      </c>
      <c r="P44" s="33">
        <v>0.40697674418604651</v>
      </c>
    </row>
    <row r="45" spans="1:16" x14ac:dyDescent="0.45">
      <c r="A45" s="35">
        <v>42</v>
      </c>
      <c r="B45" s="32">
        <v>-193.80000000000004</v>
      </c>
      <c r="C45" s="32">
        <v>-4.6142857142857157</v>
      </c>
      <c r="D45" s="37">
        <v>2.0952380952380953</v>
      </c>
      <c r="E45" s="33">
        <v>0.35714285714285715</v>
      </c>
      <c r="F45" s="33">
        <v>0.45238095238095238</v>
      </c>
      <c r="G45" s="33">
        <v>0.26769230769230767</v>
      </c>
      <c r="H45" s="33">
        <v>0.20923076923076922</v>
      </c>
      <c r="I45" s="34">
        <v>10435.632183908046</v>
      </c>
      <c r="J45" s="34">
        <v>-8425</v>
      </c>
      <c r="K45" s="33">
        <v>0.21428571428571427</v>
      </c>
      <c r="L45" s="33">
        <v>0.29846153846153844</v>
      </c>
      <c r="M45" s="33">
        <v>0.20923076923076922</v>
      </c>
      <c r="N45" s="33">
        <v>0.42268041237113402</v>
      </c>
      <c r="O45" s="33">
        <v>0.39705882352941174</v>
      </c>
      <c r="P45" s="33">
        <v>0.40229885057471265</v>
      </c>
    </row>
    <row r="46" spans="1:16" x14ac:dyDescent="0.45">
      <c r="A46" s="35">
        <v>43</v>
      </c>
      <c r="B46" s="32">
        <v>-202.10000000000005</v>
      </c>
      <c r="C46" s="32">
        <v>-4.7000000000000011</v>
      </c>
      <c r="D46" s="37">
        <v>2.0930232558139537</v>
      </c>
      <c r="E46" s="33">
        <v>0.34883720930232559</v>
      </c>
      <c r="F46" s="33">
        <v>0.44186046511627908</v>
      </c>
      <c r="G46" s="33">
        <v>0.26112759643916916</v>
      </c>
      <c r="H46" s="33">
        <v>0.20474777448071216</v>
      </c>
      <c r="I46" s="34">
        <v>10453.40909090909</v>
      </c>
      <c r="J46" s="34">
        <v>-8340.579710144928</v>
      </c>
      <c r="K46" s="33">
        <v>0.20930232558139536</v>
      </c>
      <c r="L46" s="33">
        <v>0.28783382789317508</v>
      </c>
      <c r="M46" s="33">
        <v>0.20474777448071216</v>
      </c>
      <c r="N46" s="33">
        <v>0.42268041237113402</v>
      </c>
      <c r="O46" s="33">
        <v>0.39130434782608697</v>
      </c>
      <c r="P46" s="33">
        <v>0.39772727272727271</v>
      </c>
    </row>
    <row r="47" spans="1:16" x14ac:dyDescent="0.45">
      <c r="A47" s="35">
        <v>44</v>
      </c>
      <c r="B47" s="32">
        <v>-184.20000000000005</v>
      </c>
      <c r="C47" s="32">
        <v>-4.1863636363636374</v>
      </c>
      <c r="D47" s="37">
        <v>2.0681818181818183</v>
      </c>
      <c r="E47" s="33">
        <v>0.36363636363636365</v>
      </c>
      <c r="F47" s="33">
        <v>0.43181818181818182</v>
      </c>
      <c r="G47" s="33">
        <v>0.26011560693641617</v>
      </c>
      <c r="H47" s="33">
        <v>0.20520231213872833</v>
      </c>
      <c r="I47" s="34">
        <v>10621.111111111111</v>
      </c>
      <c r="J47" s="34">
        <v>-8311.2676056338023</v>
      </c>
      <c r="K47" s="33">
        <v>0.20454545454545456</v>
      </c>
      <c r="L47" s="33">
        <v>0.28901734104046245</v>
      </c>
      <c r="M47" s="33">
        <v>0.20231213872832371</v>
      </c>
      <c r="N47" s="33">
        <v>0.43</v>
      </c>
      <c r="O47" s="33">
        <v>0.38571428571428573</v>
      </c>
      <c r="P47" s="33">
        <v>0.4</v>
      </c>
    </row>
    <row r="48" spans="1:16" x14ac:dyDescent="0.45">
      <c r="A48" s="35">
        <v>45</v>
      </c>
      <c r="B48" s="32">
        <v>-214.00000000000006</v>
      </c>
      <c r="C48" s="32">
        <v>-4.7555555555555564</v>
      </c>
      <c r="D48" s="37">
        <v>2.088888888888889</v>
      </c>
      <c r="E48" s="33">
        <v>0.35555555555555557</v>
      </c>
      <c r="F48" s="33">
        <v>0.44444444444444442</v>
      </c>
      <c r="G48" s="33">
        <v>0.25770308123249297</v>
      </c>
      <c r="H48" s="33">
        <v>0.20168067226890757</v>
      </c>
      <c r="I48" s="34">
        <v>10435.869565217392</v>
      </c>
      <c r="J48" s="34">
        <v>-8362.5</v>
      </c>
      <c r="K48" s="33">
        <v>0.2</v>
      </c>
      <c r="L48" s="33">
        <v>0.28851540616246496</v>
      </c>
      <c r="M48" s="33">
        <v>0.20728291316526612</v>
      </c>
      <c r="N48" s="33">
        <v>0.41747572815533979</v>
      </c>
      <c r="O48" s="33">
        <v>0.39189189189189189</v>
      </c>
      <c r="P48" s="33">
        <v>0.41304347826086957</v>
      </c>
    </row>
    <row r="49" spans="1:16" x14ac:dyDescent="0.45">
      <c r="A49" s="35">
        <v>46</v>
      </c>
      <c r="B49" s="32">
        <v>-200.50000000000006</v>
      </c>
      <c r="C49" s="32">
        <v>-4.358695652173914</v>
      </c>
      <c r="D49" s="37">
        <v>2.0869565217391304</v>
      </c>
      <c r="E49" s="33">
        <v>0.34782608695652173</v>
      </c>
      <c r="F49" s="33">
        <v>0.43478260869565216</v>
      </c>
      <c r="G49" s="33">
        <v>0.25824175824175827</v>
      </c>
      <c r="H49" s="33">
        <v>0.19780219780219779</v>
      </c>
      <c r="I49" s="34">
        <v>10532.978723404256</v>
      </c>
      <c r="J49" s="34">
        <v>-8362.5</v>
      </c>
      <c r="K49" s="33">
        <v>0.19565217391304349</v>
      </c>
      <c r="L49" s="33">
        <v>0.29120879120879123</v>
      </c>
      <c r="M49" s="33">
        <v>0.2087912087912088</v>
      </c>
      <c r="N49" s="33">
        <v>0.42452830188679247</v>
      </c>
      <c r="O49" s="33">
        <v>0.38157894736842107</v>
      </c>
      <c r="P49" s="33">
        <v>0.41489361702127658</v>
      </c>
    </row>
    <row r="50" spans="1:16" x14ac:dyDescent="0.45">
      <c r="A50" s="35">
        <v>47</v>
      </c>
      <c r="B50" s="32">
        <v>-157.00000000000006</v>
      </c>
      <c r="C50" s="32">
        <v>-3.340425531914895</v>
      </c>
      <c r="D50" s="37">
        <v>2.0638297872340425</v>
      </c>
      <c r="E50" s="33">
        <v>0.36170212765957449</v>
      </c>
      <c r="F50" s="33">
        <v>0.42553191489361702</v>
      </c>
      <c r="G50" s="33">
        <v>0.26861702127659576</v>
      </c>
      <c r="H50" s="33">
        <v>0.19414893617021275</v>
      </c>
      <c r="I50" s="34">
        <v>10270.29702970297</v>
      </c>
      <c r="J50" s="34">
        <v>-8353.4246575342459</v>
      </c>
      <c r="K50" s="33">
        <v>0.19148936170212766</v>
      </c>
      <c r="L50" s="33">
        <v>0.29521276595744683</v>
      </c>
      <c r="M50" s="33">
        <v>0.20212765957446807</v>
      </c>
      <c r="N50" s="33">
        <v>0.45045045045045046</v>
      </c>
      <c r="O50" s="33">
        <v>0.38157894736842107</v>
      </c>
      <c r="P50" s="33">
        <v>0.42574257425742573</v>
      </c>
    </row>
    <row r="51" spans="1:16" x14ac:dyDescent="0.45">
      <c r="A51" s="35">
        <v>48</v>
      </c>
      <c r="B51" s="32">
        <v>-87.900000000000063</v>
      </c>
      <c r="C51" s="32">
        <v>-1.8312500000000014</v>
      </c>
      <c r="D51" s="37">
        <v>2.0416666666666665</v>
      </c>
      <c r="E51" s="33">
        <v>0.375</v>
      </c>
      <c r="F51" s="33">
        <v>0.41666666666666669</v>
      </c>
      <c r="G51" s="33">
        <v>0.27648578811369506</v>
      </c>
      <c r="H51" s="33">
        <v>0.19121447028423771</v>
      </c>
      <c r="I51" s="34">
        <v>10267.289719626167</v>
      </c>
      <c r="J51" s="34">
        <v>-8344.594594594595</v>
      </c>
      <c r="K51" s="33">
        <v>0.1875</v>
      </c>
      <c r="L51" s="33">
        <v>0.29715762273901808</v>
      </c>
      <c r="M51" s="33">
        <v>0.20155038759689922</v>
      </c>
      <c r="N51" s="33">
        <v>0.46086956521739131</v>
      </c>
      <c r="O51" s="33">
        <v>0.38461538461538464</v>
      </c>
      <c r="P51" s="33">
        <v>0.43925233644859812</v>
      </c>
    </row>
  </sheetData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76D08D-88BC-4907-8864-C6AE0DE4B074}">
  <sheetPr codeName="Sheet6"/>
  <dimension ref="A1:Q89"/>
  <sheetViews>
    <sheetView workbookViewId="0"/>
  </sheetViews>
  <sheetFormatPr defaultColWidth="10.69921875" defaultRowHeight="18" x14ac:dyDescent="0.45"/>
  <cols>
    <col min="1" max="1" width="10.69921875" style="35"/>
    <col min="2" max="3" width="10.69921875" style="32"/>
    <col min="4" max="4" width="10.69921875" style="37"/>
    <col min="5" max="8" width="10.69921875" style="33"/>
    <col min="9" max="10" width="10.69921875" style="34"/>
    <col min="11" max="16" width="10.69921875" style="33"/>
    <col min="17" max="16384" width="10.69921875" style="36"/>
  </cols>
  <sheetData>
    <row r="1" spans="1:17" x14ac:dyDescent="0.45">
      <c r="A1" s="36" t="s">
        <v>139</v>
      </c>
      <c r="B1" s="36" t="s">
        <v>139</v>
      </c>
      <c r="C1" s="36" t="s">
        <v>139</v>
      </c>
      <c r="D1" s="37" t="s">
        <v>139</v>
      </c>
      <c r="E1" s="36" t="s">
        <v>139</v>
      </c>
      <c r="F1" s="36" t="s">
        <v>139</v>
      </c>
      <c r="G1" s="36" t="s">
        <v>139</v>
      </c>
      <c r="H1" s="36" t="s">
        <v>139</v>
      </c>
      <c r="I1" s="36" t="s">
        <v>139</v>
      </c>
      <c r="J1" s="36" t="s">
        <v>139</v>
      </c>
      <c r="K1" s="36" t="s">
        <v>139</v>
      </c>
      <c r="L1" s="36" t="s">
        <v>139</v>
      </c>
      <c r="M1" s="36" t="s">
        <v>139</v>
      </c>
      <c r="N1" s="36" t="s">
        <v>139</v>
      </c>
      <c r="O1" s="36" t="s">
        <v>139</v>
      </c>
      <c r="P1" s="36" t="s">
        <v>139</v>
      </c>
      <c r="Q1" s="36" t="s">
        <v>139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7.1054273576010019E-15</v>
      </c>
      <c r="C4" s="32">
        <v>2.3684757858670005E-15</v>
      </c>
      <c r="D4" s="37">
        <v>2</v>
      </c>
      <c r="E4" s="33">
        <v>0.33333333333333331</v>
      </c>
      <c r="F4" s="33">
        <v>0.33333333333333331</v>
      </c>
      <c r="G4" s="33">
        <v>0.29166666666666669</v>
      </c>
      <c r="H4" s="33">
        <v>0.16666666666666666</v>
      </c>
      <c r="I4" s="34">
        <v>5857.1428571428569</v>
      </c>
      <c r="J4" s="34">
        <v>-3625</v>
      </c>
      <c r="K4" s="33">
        <v>0</v>
      </c>
      <c r="L4" s="33">
        <v>0.29166666666666669</v>
      </c>
      <c r="M4" s="33">
        <v>0.20833333333333334</v>
      </c>
      <c r="N4" s="33">
        <v>0.2857142857142857</v>
      </c>
      <c r="O4" s="33">
        <v>0.6</v>
      </c>
      <c r="P4" s="33">
        <v>0.42857142857142855</v>
      </c>
    </row>
    <row r="5" spans="1:17" x14ac:dyDescent="0.45">
      <c r="A5" s="35">
        <v>2</v>
      </c>
      <c r="B5" s="32">
        <v>7.1054273576010019E-15</v>
      </c>
      <c r="C5" s="32">
        <v>1.1842378929335002E-15</v>
      </c>
      <c r="D5" s="37">
        <v>2</v>
      </c>
      <c r="E5" s="33">
        <v>0.33333333333333331</v>
      </c>
      <c r="F5" s="33">
        <v>0.33333333333333331</v>
      </c>
      <c r="G5" s="33">
        <v>0.30555555555555558</v>
      </c>
      <c r="H5" s="33">
        <v>0.16666666666666666</v>
      </c>
      <c r="I5" s="34">
        <v>11363.636363636364</v>
      </c>
      <c r="J5" s="34">
        <v>-7083.333333333333</v>
      </c>
      <c r="K5" s="33">
        <v>0.16666666666666666</v>
      </c>
      <c r="L5" s="33">
        <v>0.30555555555555558</v>
      </c>
      <c r="M5" s="33">
        <v>0.19444444444444445</v>
      </c>
      <c r="N5" s="33">
        <v>0.36363636363636365</v>
      </c>
      <c r="O5" s="33">
        <v>0.5714285714285714</v>
      </c>
      <c r="P5" s="33">
        <v>0.45454545454545453</v>
      </c>
    </row>
    <row r="6" spans="1:17" x14ac:dyDescent="0.45">
      <c r="A6" s="35">
        <v>3</v>
      </c>
      <c r="B6" s="32">
        <v>0</v>
      </c>
      <c r="C6" s="32">
        <v>0</v>
      </c>
      <c r="D6" s="37">
        <v>2</v>
      </c>
      <c r="E6" s="33">
        <v>0.33333333333333331</v>
      </c>
      <c r="F6" s="33">
        <v>0.33333333333333331</v>
      </c>
      <c r="G6" s="33">
        <v>0.3</v>
      </c>
      <c r="H6" s="33">
        <v>0.16666666666666666</v>
      </c>
      <c r="I6" s="34">
        <v>10111.111111111111</v>
      </c>
      <c r="J6" s="34">
        <v>-6130</v>
      </c>
      <c r="K6" s="33">
        <v>0.22222222222222221</v>
      </c>
      <c r="L6" s="33">
        <v>0.28333333333333333</v>
      </c>
      <c r="M6" s="33">
        <v>0.16666666666666666</v>
      </c>
      <c r="N6" s="33">
        <v>0.47058823529411764</v>
      </c>
      <c r="O6" s="33">
        <v>0.5</v>
      </c>
      <c r="P6" s="33">
        <v>0.44444444444444442</v>
      </c>
    </row>
    <row r="7" spans="1:17" x14ac:dyDescent="0.45">
      <c r="A7" s="35">
        <v>4</v>
      </c>
      <c r="B7" s="32">
        <v>1.3322676295501878E-15</v>
      </c>
      <c r="C7" s="32">
        <v>1.1102230246251565E-16</v>
      </c>
      <c r="D7" s="37">
        <v>2</v>
      </c>
      <c r="E7" s="33">
        <v>0.33333333333333331</v>
      </c>
      <c r="F7" s="33">
        <v>0.33333333333333331</v>
      </c>
      <c r="G7" s="33">
        <v>0.30769230769230771</v>
      </c>
      <c r="H7" s="33">
        <v>0.16666666666666666</v>
      </c>
      <c r="I7" s="34">
        <v>10300</v>
      </c>
      <c r="J7" s="34">
        <v>-8069.2307692307695</v>
      </c>
      <c r="K7" s="33">
        <v>0.25</v>
      </c>
      <c r="L7" s="33">
        <v>0.26923076923076922</v>
      </c>
      <c r="M7" s="33">
        <v>0.16666666666666666</v>
      </c>
      <c r="N7" s="33">
        <v>0.42857142857142855</v>
      </c>
      <c r="O7" s="33">
        <v>0.61538461538461542</v>
      </c>
      <c r="P7" s="33">
        <v>0.45833333333333331</v>
      </c>
    </row>
    <row r="8" spans="1:17" x14ac:dyDescent="0.45">
      <c r="A8" s="35">
        <v>5</v>
      </c>
      <c r="B8" s="32">
        <v>1.7763568394002505E-15</v>
      </c>
      <c r="C8" s="32">
        <v>1.1842378929335003E-16</v>
      </c>
      <c r="D8" s="37">
        <v>2</v>
      </c>
      <c r="E8" s="33">
        <v>0.33333333333333331</v>
      </c>
      <c r="F8" s="33">
        <v>0.33333333333333331</v>
      </c>
      <c r="G8" s="33">
        <v>0.30208333333333331</v>
      </c>
      <c r="H8" s="33">
        <v>0.15625</v>
      </c>
      <c r="I8" s="34">
        <v>9875.8620689655181</v>
      </c>
      <c r="J8" s="34">
        <v>-7740</v>
      </c>
      <c r="K8" s="33">
        <v>0.2</v>
      </c>
      <c r="L8" s="33">
        <v>0.26041666666666669</v>
      </c>
      <c r="M8" s="33">
        <v>0.15625</v>
      </c>
      <c r="N8" s="33">
        <v>0.48</v>
      </c>
      <c r="O8" s="33">
        <v>0.6</v>
      </c>
      <c r="P8" s="33">
        <v>0.48275862068965519</v>
      </c>
    </row>
    <row r="9" spans="1:17" x14ac:dyDescent="0.45">
      <c r="A9" s="35">
        <v>6</v>
      </c>
      <c r="B9" s="32">
        <v>-7.1054273576010019E-15</v>
      </c>
      <c r="C9" s="32">
        <v>-3.9474596431116675E-16</v>
      </c>
      <c r="D9" s="37">
        <v>2</v>
      </c>
      <c r="E9" s="33">
        <v>0.33333333333333331</v>
      </c>
      <c r="F9" s="33">
        <v>0.33333333333333331</v>
      </c>
      <c r="G9" s="33">
        <v>0.29545454545454547</v>
      </c>
      <c r="H9" s="33">
        <v>0.15909090909090909</v>
      </c>
      <c r="I9" s="34">
        <v>9405.1282051282051</v>
      </c>
      <c r="J9" s="34">
        <v>-7542.8571428571431</v>
      </c>
      <c r="K9" s="33">
        <v>0.16666666666666666</v>
      </c>
      <c r="L9" s="33">
        <v>0.25</v>
      </c>
      <c r="M9" s="33">
        <v>0.15909090909090909</v>
      </c>
      <c r="N9" s="33">
        <v>0.48484848484848486</v>
      </c>
      <c r="O9" s="33">
        <v>0.52380952380952384</v>
      </c>
      <c r="P9" s="33">
        <v>0.46153846153846156</v>
      </c>
    </row>
    <row r="10" spans="1:17" x14ac:dyDescent="0.45">
      <c r="A10" s="35">
        <v>7</v>
      </c>
      <c r="B10" s="32">
        <v>-7.1054273576010019E-15</v>
      </c>
      <c r="C10" s="32">
        <v>-3.3835368369528578E-16</v>
      </c>
      <c r="D10" s="37">
        <v>2</v>
      </c>
      <c r="E10" s="33">
        <v>0.33333333333333331</v>
      </c>
      <c r="F10" s="33">
        <v>0.33333333333333331</v>
      </c>
      <c r="G10" s="33">
        <v>0.29333333333333333</v>
      </c>
      <c r="H10" s="33">
        <v>0.14666666666666667</v>
      </c>
      <c r="I10" s="34">
        <v>9006.818181818182</v>
      </c>
      <c r="J10" s="34">
        <v>-7318.181818181818</v>
      </c>
      <c r="K10" s="33">
        <v>0.14285714285714285</v>
      </c>
      <c r="L10" s="33">
        <v>0.26</v>
      </c>
      <c r="M10" s="33">
        <v>0.16</v>
      </c>
      <c r="N10" s="33">
        <v>0.51282051282051277</v>
      </c>
      <c r="O10" s="33">
        <v>0.45833333333333331</v>
      </c>
      <c r="P10" s="33">
        <v>0.5</v>
      </c>
    </row>
    <row r="11" spans="1:17" x14ac:dyDescent="0.45">
      <c r="A11" s="35">
        <v>8</v>
      </c>
      <c r="B11" s="32">
        <v>-7.1054273576010019E-15</v>
      </c>
      <c r="C11" s="32">
        <v>-2.9605947323337506E-16</v>
      </c>
      <c r="D11" s="37">
        <v>2</v>
      </c>
      <c r="E11" s="33">
        <v>0.33333333333333331</v>
      </c>
      <c r="F11" s="33">
        <v>0.33333333333333331</v>
      </c>
      <c r="G11" s="33">
        <v>0.29696969696969699</v>
      </c>
      <c r="H11" s="33">
        <v>0.15151515151515152</v>
      </c>
      <c r="I11" s="34">
        <v>8895.9183673469379</v>
      </c>
      <c r="J11" s="34">
        <v>-7224</v>
      </c>
      <c r="K11" s="33">
        <v>0.125</v>
      </c>
      <c r="L11" s="33">
        <v>0.27878787878787881</v>
      </c>
      <c r="M11" s="33">
        <v>0.14545454545454545</v>
      </c>
      <c r="N11" s="33">
        <v>0.52173913043478259</v>
      </c>
      <c r="O11" s="33">
        <v>0.45833333333333331</v>
      </c>
      <c r="P11" s="33">
        <v>0.48979591836734693</v>
      </c>
    </row>
    <row r="12" spans="1:17" x14ac:dyDescent="0.45">
      <c r="A12" s="35">
        <v>9</v>
      </c>
      <c r="B12" s="32">
        <v>-7.1054273576010019E-15</v>
      </c>
      <c r="C12" s="32">
        <v>-2.631639762074445E-16</v>
      </c>
      <c r="D12" s="37">
        <v>2</v>
      </c>
      <c r="E12" s="33">
        <v>0.33333333333333331</v>
      </c>
      <c r="F12" s="33">
        <v>0.33333333333333331</v>
      </c>
      <c r="G12" s="33">
        <v>0.29569892473118281</v>
      </c>
      <c r="H12" s="33">
        <v>0.16129032258064516</v>
      </c>
      <c r="I12" s="34">
        <v>8736.363636363636</v>
      </c>
      <c r="J12" s="34">
        <v>-7120</v>
      </c>
      <c r="K12" s="33">
        <v>0.1111111111111111</v>
      </c>
      <c r="L12" s="33">
        <v>0.28494623655913981</v>
      </c>
      <c r="M12" s="33">
        <v>0.12903225806451613</v>
      </c>
      <c r="N12" s="33">
        <v>0.50943396226415094</v>
      </c>
      <c r="O12" s="33">
        <v>0.45833333333333331</v>
      </c>
      <c r="P12" s="33">
        <v>0.45454545454545453</v>
      </c>
    </row>
    <row r="13" spans="1:17" x14ac:dyDescent="0.45">
      <c r="A13" s="35">
        <v>10</v>
      </c>
      <c r="B13" s="32">
        <v>-7.1054273576010019E-15</v>
      </c>
      <c r="C13" s="32">
        <v>-2.3684757858670006E-16</v>
      </c>
      <c r="D13" s="37">
        <v>2</v>
      </c>
      <c r="E13" s="33">
        <v>0.33333333333333331</v>
      </c>
      <c r="F13" s="33">
        <v>0.33333333333333331</v>
      </c>
      <c r="G13" s="33">
        <v>0.28985507246376813</v>
      </c>
      <c r="H13" s="33">
        <v>0.15942028985507245</v>
      </c>
      <c r="I13" s="34">
        <v>8556.6666666666661</v>
      </c>
      <c r="J13" s="34">
        <v>-7227.272727272727</v>
      </c>
      <c r="K13" s="33">
        <v>0.1</v>
      </c>
      <c r="L13" s="33">
        <v>0.29468599033816423</v>
      </c>
      <c r="M13" s="33">
        <v>0.13043478260869565</v>
      </c>
      <c r="N13" s="33">
        <v>0.50819672131147542</v>
      </c>
      <c r="O13" s="33">
        <v>0.44444444444444442</v>
      </c>
      <c r="P13" s="33">
        <v>0.45</v>
      </c>
    </row>
    <row r="14" spans="1:17" x14ac:dyDescent="0.45">
      <c r="A14" s="35">
        <v>11</v>
      </c>
      <c r="B14" s="32">
        <v>-7.1054273576010019E-15</v>
      </c>
      <c r="C14" s="32">
        <v>-2.153159805333637E-16</v>
      </c>
      <c r="D14" s="37">
        <v>2</v>
      </c>
      <c r="E14" s="33">
        <v>0.33333333333333331</v>
      </c>
      <c r="F14" s="33">
        <v>0.33333333333333331</v>
      </c>
      <c r="G14" s="33">
        <v>0.29059829059829062</v>
      </c>
      <c r="H14" s="33">
        <v>0.1623931623931624</v>
      </c>
      <c r="I14" s="34">
        <v>8769.1176470588234</v>
      </c>
      <c r="J14" s="34">
        <v>-7563.1578947368425</v>
      </c>
      <c r="K14" s="33">
        <v>9.0909090909090912E-2</v>
      </c>
      <c r="L14" s="33">
        <v>0.29059829059829062</v>
      </c>
      <c r="M14" s="33">
        <v>0.14529914529914531</v>
      </c>
      <c r="N14" s="33">
        <v>0.51470588235294112</v>
      </c>
      <c r="O14" s="33">
        <v>0.44117647058823528</v>
      </c>
      <c r="P14" s="33">
        <v>0.44117647058823528</v>
      </c>
    </row>
    <row r="15" spans="1:17" x14ac:dyDescent="0.45">
      <c r="A15" s="35">
        <v>12</v>
      </c>
      <c r="B15" s="32">
        <v>-3.5527136788005009E-15</v>
      </c>
      <c r="C15" s="32">
        <v>-9.8686491077791687E-17</v>
      </c>
      <c r="D15" s="37">
        <v>2</v>
      </c>
      <c r="E15" s="33">
        <v>0.33333333333333331</v>
      </c>
      <c r="F15" s="33">
        <v>0.33333333333333331</v>
      </c>
      <c r="G15" s="33">
        <v>0.29213483146067415</v>
      </c>
      <c r="H15" s="33">
        <v>0.16104868913857678</v>
      </c>
      <c r="I15" s="34">
        <v>8967.9487179487187</v>
      </c>
      <c r="J15" s="34">
        <v>-7576.7441860465115</v>
      </c>
      <c r="K15" s="33">
        <v>8.3333333333333329E-2</v>
      </c>
      <c r="L15" s="33">
        <v>0.28464419475655428</v>
      </c>
      <c r="M15" s="33">
        <v>0.16479400749063669</v>
      </c>
      <c r="N15" s="33">
        <v>0.51315789473684215</v>
      </c>
      <c r="O15" s="33">
        <v>0.45454545454545453</v>
      </c>
      <c r="P15" s="33">
        <v>0.44871794871794873</v>
      </c>
    </row>
    <row r="16" spans="1:17" x14ac:dyDescent="0.45">
      <c r="A16" s="35">
        <v>13</v>
      </c>
      <c r="B16" s="32">
        <v>-3.5527136788005009E-15</v>
      </c>
      <c r="C16" s="32">
        <v>-9.1095222533346175E-17</v>
      </c>
      <c r="D16" s="37">
        <v>2</v>
      </c>
      <c r="E16" s="33">
        <v>0.33333333333333331</v>
      </c>
      <c r="F16" s="33">
        <v>0.33333333333333331</v>
      </c>
      <c r="G16" s="33">
        <v>0.29251700680272108</v>
      </c>
      <c r="H16" s="33">
        <v>0.16326530612244897</v>
      </c>
      <c r="I16" s="34">
        <v>8793.0232558139542</v>
      </c>
      <c r="J16" s="34">
        <v>-7591.666666666667</v>
      </c>
      <c r="K16" s="33">
        <v>7.6923076923076927E-2</v>
      </c>
      <c r="L16" s="33">
        <v>0.28231292517006801</v>
      </c>
      <c r="M16" s="33">
        <v>0.16666666666666666</v>
      </c>
      <c r="N16" s="33">
        <v>0.51807228915662651</v>
      </c>
      <c r="O16" s="33">
        <v>0.44897959183673469</v>
      </c>
      <c r="P16" s="33">
        <v>0.44186046511627908</v>
      </c>
    </row>
    <row r="17" spans="1:16" x14ac:dyDescent="0.45">
      <c r="A17" s="35">
        <v>14</v>
      </c>
      <c r="B17" s="32">
        <v>-1.7763568394002505E-15</v>
      </c>
      <c r="C17" s="32">
        <v>-4.2294210461910723E-17</v>
      </c>
      <c r="D17" s="37">
        <v>2</v>
      </c>
      <c r="E17" s="33">
        <v>0.33333333333333331</v>
      </c>
      <c r="F17" s="33">
        <v>0.33333333333333331</v>
      </c>
      <c r="G17" s="33">
        <v>0.29357798165137616</v>
      </c>
      <c r="H17" s="33">
        <v>0.1743119266055046</v>
      </c>
      <c r="I17" s="34">
        <v>8747.9166666666661</v>
      </c>
      <c r="J17" s="34">
        <v>-7649.1228070175439</v>
      </c>
      <c r="K17" s="33">
        <v>7.1428571428571425E-2</v>
      </c>
      <c r="L17" s="33">
        <v>0.27522935779816515</v>
      </c>
      <c r="M17" s="33">
        <v>0.17125382262996941</v>
      </c>
      <c r="N17" s="33">
        <v>0.5</v>
      </c>
      <c r="O17" s="33">
        <v>0.4642857142857143</v>
      </c>
      <c r="P17" s="33">
        <v>0.40625</v>
      </c>
    </row>
    <row r="18" spans="1:16" x14ac:dyDescent="0.45">
      <c r="A18" s="35">
        <v>15</v>
      </c>
      <c r="B18" s="32">
        <v>0</v>
      </c>
      <c r="C18" s="32">
        <v>0</v>
      </c>
      <c r="D18" s="37">
        <v>2</v>
      </c>
      <c r="E18" s="33">
        <v>0.33333333333333331</v>
      </c>
      <c r="F18" s="33">
        <v>0.33333333333333331</v>
      </c>
      <c r="G18" s="33">
        <v>0.29022988505747127</v>
      </c>
      <c r="H18" s="33">
        <v>0.16954022988505746</v>
      </c>
      <c r="I18" s="34">
        <v>9017.8217821782182</v>
      </c>
      <c r="J18" s="34">
        <v>-7445.7627118644068</v>
      </c>
      <c r="K18" s="33">
        <v>8.8888888888888892E-2</v>
      </c>
      <c r="L18" s="33">
        <v>0.27298850574712646</v>
      </c>
      <c r="M18" s="33">
        <v>0.18390804597701149</v>
      </c>
      <c r="N18" s="33">
        <v>0.48421052631578948</v>
      </c>
      <c r="O18" s="33">
        <v>0.4375</v>
      </c>
      <c r="P18" s="33">
        <v>0.41584158415841582</v>
      </c>
    </row>
    <row r="19" spans="1:16" x14ac:dyDescent="0.45">
      <c r="A19" s="35">
        <v>16</v>
      </c>
      <c r="B19" s="32">
        <v>-3.5527136788005009E-15</v>
      </c>
      <c r="C19" s="32">
        <v>-7.4014868308343765E-17</v>
      </c>
      <c r="D19" s="37">
        <v>2</v>
      </c>
      <c r="E19" s="33">
        <v>0.33333333333333331</v>
      </c>
      <c r="F19" s="33">
        <v>0.33333333333333331</v>
      </c>
      <c r="G19" s="33">
        <v>0.29365079365079366</v>
      </c>
      <c r="H19" s="33">
        <v>0.17195767195767195</v>
      </c>
      <c r="I19" s="34">
        <v>8755.8558558558561</v>
      </c>
      <c r="J19" s="34">
        <v>-7395.3846153846152</v>
      </c>
      <c r="K19" s="33">
        <v>8.3333333333333329E-2</v>
      </c>
      <c r="L19" s="33">
        <v>0.26455026455026454</v>
      </c>
      <c r="M19" s="33">
        <v>0.1984126984126984</v>
      </c>
      <c r="N19" s="33">
        <v>0.49</v>
      </c>
      <c r="O19" s="33">
        <v>0.42666666666666669</v>
      </c>
      <c r="P19" s="33">
        <v>0.4144144144144144</v>
      </c>
    </row>
    <row r="20" spans="1:16" x14ac:dyDescent="0.45">
      <c r="A20" s="35">
        <v>17</v>
      </c>
      <c r="B20" s="32">
        <v>3.5527136788005009E-15</v>
      </c>
      <c r="C20" s="32">
        <v>6.9661052525500017E-17</v>
      </c>
      <c r="D20" s="37">
        <v>2</v>
      </c>
      <c r="E20" s="33">
        <v>0.33333333333333331</v>
      </c>
      <c r="F20" s="33">
        <v>0.33333333333333331</v>
      </c>
      <c r="G20" s="33">
        <v>0.29292929292929293</v>
      </c>
      <c r="H20" s="33">
        <v>0.1691919191919192</v>
      </c>
      <c r="I20" s="34">
        <v>8734.4827586206902</v>
      </c>
      <c r="J20" s="34">
        <v>-7313.4328358208959</v>
      </c>
      <c r="K20" s="33">
        <v>7.8431372549019607E-2</v>
      </c>
      <c r="L20" s="33">
        <v>0.27272727272727271</v>
      </c>
      <c r="M20" s="33">
        <v>0.19696969696969696</v>
      </c>
      <c r="N20" s="33">
        <v>0.5</v>
      </c>
      <c r="O20" s="33">
        <v>0.41025641025641024</v>
      </c>
      <c r="P20" s="33">
        <v>0.42241379310344829</v>
      </c>
    </row>
    <row r="21" spans="1:16" x14ac:dyDescent="0.45">
      <c r="A21" s="35">
        <v>18</v>
      </c>
      <c r="B21" s="32">
        <v>0</v>
      </c>
      <c r="C21" s="32">
        <v>0</v>
      </c>
      <c r="D21" s="37">
        <v>2</v>
      </c>
      <c r="E21" s="33">
        <v>0.33333333333333331</v>
      </c>
      <c r="F21" s="33">
        <v>0.33333333333333331</v>
      </c>
      <c r="G21" s="33">
        <v>0.29523809523809524</v>
      </c>
      <c r="H21" s="33">
        <v>0.1738095238095238</v>
      </c>
      <c r="I21" s="34">
        <v>8703.2258064516136</v>
      </c>
      <c r="J21" s="34">
        <v>-7178.0821917808216</v>
      </c>
      <c r="K21" s="33">
        <v>7.407407407407407E-2</v>
      </c>
      <c r="L21" s="33">
        <v>0.26904761904761904</v>
      </c>
      <c r="M21" s="33">
        <v>0.19523809523809524</v>
      </c>
      <c r="N21" s="33">
        <v>0.51327433628318586</v>
      </c>
      <c r="O21" s="33">
        <v>0.40243902439024393</v>
      </c>
      <c r="P21" s="33">
        <v>0.41129032258064518</v>
      </c>
    </row>
    <row r="22" spans="1:16" x14ac:dyDescent="0.45">
      <c r="A22" s="35">
        <v>19</v>
      </c>
      <c r="B22" s="32">
        <v>0</v>
      </c>
      <c r="C22" s="32">
        <v>0</v>
      </c>
      <c r="D22" s="37">
        <v>2</v>
      </c>
      <c r="E22" s="33">
        <v>0.33333333333333331</v>
      </c>
      <c r="F22" s="33">
        <v>0.33333333333333331</v>
      </c>
      <c r="G22" s="33">
        <v>0.29452054794520549</v>
      </c>
      <c r="H22" s="33">
        <v>0.17123287671232876</v>
      </c>
      <c r="I22" s="34">
        <v>8683.7209302325573</v>
      </c>
      <c r="J22" s="34">
        <v>-7249.333333333333</v>
      </c>
      <c r="K22" s="33">
        <v>7.0175438596491224E-2</v>
      </c>
      <c r="L22" s="33">
        <v>0.26484018264840181</v>
      </c>
      <c r="M22" s="33">
        <v>0.20319634703196346</v>
      </c>
      <c r="N22" s="33">
        <v>0.50862068965517238</v>
      </c>
      <c r="O22" s="33">
        <v>0.39325842696629215</v>
      </c>
      <c r="P22" s="33">
        <v>0.41860465116279072</v>
      </c>
    </row>
    <row r="23" spans="1:16" x14ac:dyDescent="0.45">
      <c r="A23" s="35">
        <v>20</v>
      </c>
      <c r="B23" s="32">
        <v>7.1054273576010019E-15</v>
      </c>
      <c r="C23" s="32">
        <v>1.1842378929335003E-16</v>
      </c>
      <c r="D23" s="37">
        <v>2</v>
      </c>
      <c r="E23" s="33">
        <v>0.33333333333333331</v>
      </c>
      <c r="F23" s="33">
        <v>0.33333333333333331</v>
      </c>
      <c r="G23" s="33">
        <v>0.28874734607218683</v>
      </c>
      <c r="H23" s="33">
        <v>0.16985138004246284</v>
      </c>
      <c r="I23" s="34">
        <v>8652.2058823529405</v>
      </c>
      <c r="J23" s="34">
        <v>-7306.25</v>
      </c>
      <c r="K23" s="33">
        <v>6.6666666666666666E-2</v>
      </c>
      <c r="L23" s="33">
        <v>0.25265392781316348</v>
      </c>
      <c r="M23" s="33">
        <v>0.20169851380042464</v>
      </c>
      <c r="N23" s="33">
        <v>0.50420168067226889</v>
      </c>
      <c r="O23" s="33">
        <v>0.37894736842105264</v>
      </c>
      <c r="P23" s="33">
        <v>0.41176470588235292</v>
      </c>
    </row>
    <row r="24" spans="1:16" x14ac:dyDescent="0.45">
      <c r="A24" s="35">
        <v>21</v>
      </c>
      <c r="B24" s="32">
        <v>4.4408920985006262E-15</v>
      </c>
      <c r="C24" s="32">
        <v>7.0490350769851205E-17</v>
      </c>
      <c r="D24" s="37">
        <v>2</v>
      </c>
      <c r="E24" s="33">
        <v>0.33333333333333331</v>
      </c>
      <c r="F24" s="33">
        <v>0.33333333333333331</v>
      </c>
      <c r="G24" s="33">
        <v>0.29038854805725972</v>
      </c>
      <c r="H24" s="33">
        <v>0.16768916155419222</v>
      </c>
      <c r="I24" s="34">
        <v>8718.3098591549297</v>
      </c>
      <c r="J24" s="34">
        <v>-7518.292682926829</v>
      </c>
      <c r="K24" s="33">
        <v>6.3492063492063489E-2</v>
      </c>
      <c r="L24" s="33">
        <v>0.26175869120654399</v>
      </c>
      <c r="M24" s="33">
        <v>0.19836400817995911</v>
      </c>
      <c r="N24" s="33">
        <v>0.5078125</v>
      </c>
      <c r="O24" s="33">
        <v>0.37113402061855671</v>
      </c>
      <c r="P24" s="33">
        <v>0.42253521126760563</v>
      </c>
    </row>
    <row r="25" spans="1:16" x14ac:dyDescent="0.45">
      <c r="A25" s="35">
        <v>22</v>
      </c>
      <c r="B25" s="32">
        <v>7.1054273576010019E-15</v>
      </c>
      <c r="C25" s="32">
        <v>1.0765799026668185E-16</v>
      </c>
      <c r="D25" s="37">
        <v>2</v>
      </c>
      <c r="E25" s="33">
        <v>0.33333333333333331</v>
      </c>
      <c r="F25" s="33">
        <v>0.33333333333333331</v>
      </c>
      <c r="G25" s="33">
        <v>0.28994082840236685</v>
      </c>
      <c r="H25" s="33">
        <v>0.16962524654832348</v>
      </c>
      <c r="I25" s="34">
        <v>8858.5034013605436</v>
      </c>
      <c r="J25" s="34">
        <v>-7543.0232558139533</v>
      </c>
      <c r="K25" s="33">
        <v>7.575757575757576E-2</v>
      </c>
      <c r="L25" s="33">
        <v>0.26429980276134124</v>
      </c>
      <c r="M25" s="33">
        <v>0.19723865877712032</v>
      </c>
      <c r="N25" s="33">
        <v>0.5149253731343284</v>
      </c>
      <c r="O25" s="33">
        <v>0.37</v>
      </c>
      <c r="P25" s="33">
        <v>0.41496598639455784</v>
      </c>
    </row>
    <row r="26" spans="1:16" x14ac:dyDescent="0.45">
      <c r="A26" s="35">
        <v>23</v>
      </c>
      <c r="B26" s="32">
        <v>0</v>
      </c>
      <c r="C26" s="32">
        <v>0</v>
      </c>
      <c r="D26" s="37">
        <v>2</v>
      </c>
      <c r="E26" s="33">
        <v>0.33333333333333331</v>
      </c>
      <c r="F26" s="33">
        <v>0.33333333333333331</v>
      </c>
      <c r="G26" s="33">
        <v>0.29142857142857143</v>
      </c>
      <c r="H26" s="33">
        <v>0.16952380952380952</v>
      </c>
      <c r="I26" s="34">
        <v>8909.1503267973858</v>
      </c>
      <c r="J26" s="34">
        <v>-7557.303370786517</v>
      </c>
      <c r="K26" s="33">
        <v>7.2463768115942032E-2</v>
      </c>
      <c r="L26" s="33">
        <v>0.26857142857142857</v>
      </c>
      <c r="M26" s="33">
        <v>0.19428571428571428</v>
      </c>
      <c r="N26" s="33">
        <v>0.52482269503546097</v>
      </c>
      <c r="O26" s="33">
        <v>0.37254901960784315</v>
      </c>
      <c r="P26" s="33">
        <v>0.41830065359477125</v>
      </c>
    </row>
    <row r="27" spans="1:16" x14ac:dyDescent="0.45">
      <c r="A27" s="35">
        <v>24</v>
      </c>
      <c r="B27" s="32">
        <v>0</v>
      </c>
      <c r="C27" s="32">
        <v>0</v>
      </c>
      <c r="D27" s="37">
        <v>2</v>
      </c>
      <c r="E27" s="33">
        <v>0.33333333333333331</v>
      </c>
      <c r="F27" s="33">
        <v>0.33333333333333331</v>
      </c>
      <c r="G27" s="33">
        <v>0.29508196721311475</v>
      </c>
      <c r="H27" s="33">
        <v>0.17304189435336975</v>
      </c>
      <c r="I27" s="34">
        <v>8962.3456790123455</v>
      </c>
      <c r="J27" s="34">
        <v>-7741.0526315789475</v>
      </c>
      <c r="K27" s="33">
        <v>6.9444444444444448E-2</v>
      </c>
      <c r="L27" s="33">
        <v>0.26958105646630237</v>
      </c>
      <c r="M27" s="33">
        <v>0.19489981785063754</v>
      </c>
      <c r="N27" s="33">
        <v>0.52702702702702697</v>
      </c>
      <c r="O27" s="33">
        <v>0.40186915887850466</v>
      </c>
      <c r="P27" s="33">
        <v>0.40740740740740738</v>
      </c>
    </row>
    <row r="28" spans="1:16" x14ac:dyDescent="0.45">
      <c r="A28" s="35">
        <v>25</v>
      </c>
      <c r="B28" s="32">
        <v>0</v>
      </c>
      <c r="C28" s="32">
        <v>0</v>
      </c>
      <c r="D28" s="37">
        <v>2</v>
      </c>
      <c r="E28" s="33">
        <v>0.33333333333333331</v>
      </c>
      <c r="F28" s="33">
        <v>0.33333333333333331</v>
      </c>
      <c r="G28" s="33">
        <v>0.28993055555555558</v>
      </c>
      <c r="H28" s="33">
        <v>0.16840277777777779</v>
      </c>
      <c r="I28" s="34">
        <v>9027.5449101796403</v>
      </c>
      <c r="J28" s="34">
        <v>-7952.5773195876291</v>
      </c>
      <c r="K28" s="33">
        <v>0.08</v>
      </c>
      <c r="L28" s="33">
        <v>0.26909722222222221</v>
      </c>
      <c r="M28" s="33">
        <v>0.19791666666666666</v>
      </c>
      <c r="N28" s="33">
        <v>0.5161290322580645</v>
      </c>
      <c r="O28" s="33">
        <v>0.40350877192982454</v>
      </c>
      <c r="P28" s="33">
        <v>0.41317365269461076</v>
      </c>
    </row>
    <row r="29" spans="1:16" x14ac:dyDescent="0.45">
      <c r="A29" s="35">
        <v>26</v>
      </c>
      <c r="B29" s="32">
        <v>0</v>
      </c>
      <c r="C29" s="32">
        <v>0</v>
      </c>
      <c r="D29" s="37">
        <v>2</v>
      </c>
      <c r="E29" s="33">
        <v>0.33333333333333331</v>
      </c>
      <c r="F29" s="33">
        <v>0.33333333333333331</v>
      </c>
      <c r="G29" s="33">
        <v>0.29124579124579125</v>
      </c>
      <c r="H29" s="33">
        <v>0.17171717171717171</v>
      </c>
      <c r="I29" s="34">
        <v>9047.976878612717</v>
      </c>
      <c r="J29" s="34">
        <v>-8089.2156862745096</v>
      </c>
      <c r="K29" s="33">
        <v>8.9743589743589744E-2</v>
      </c>
      <c r="L29" s="33">
        <v>0.27104377104377103</v>
      </c>
      <c r="M29" s="33">
        <v>0.19865319865319866</v>
      </c>
      <c r="N29" s="33">
        <v>0.52173913043478259</v>
      </c>
      <c r="O29" s="33">
        <v>0.38983050847457629</v>
      </c>
      <c r="P29" s="33">
        <v>0.40462427745664742</v>
      </c>
    </row>
    <row r="30" spans="1:16" x14ac:dyDescent="0.45">
      <c r="A30" s="35">
        <v>27</v>
      </c>
      <c r="B30" s="32">
        <v>0</v>
      </c>
      <c r="C30" s="32">
        <v>0</v>
      </c>
      <c r="D30" s="37">
        <v>2</v>
      </c>
      <c r="E30" s="33">
        <v>0.33333333333333331</v>
      </c>
      <c r="F30" s="33">
        <v>0.33333333333333331</v>
      </c>
      <c r="G30" s="33">
        <v>0.29288025889967639</v>
      </c>
      <c r="H30" s="33">
        <v>0.16990291262135923</v>
      </c>
      <c r="I30" s="34">
        <v>8862.4309392265186</v>
      </c>
      <c r="J30" s="34">
        <v>-7917.1428571428569</v>
      </c>
      <c r="K30" s="33">
        <v>8.6419753086419748E-2</v>
      </c>
      <c r="L30" s="33">
        <v>0.27022653721682849</v>
      </c>
      <c r="M30" s="33">
        <v>0.20550161812297735</v>
      </c>
      <c r="N30" s="33">
        <v>0.51497005988023947</v>
      </c>
      <c r="O30" s="33">
        <v>0.38582677165354329</v>
      </c>
      <c r="P30" s="33">
        <v>0.4143646408839779</v>
      </c>
    </row>
    <row r="31" spans="1:16" x14ac:dyDescent="0.45">
      <c r="A31" s="35">
        <v>28</v>
      </c>
      <c r="B31" s="32">
        <v>0</v>
      </c>
      <c r="C31" s="32">
        <v>0</v>
      </c>
      <c r="D31" s="37">
        <v>2</v>
      </c>
      <c r="E31" s="33">
        <v>0.33333333333333331</v>
      </c>
      <c r="F31" s="33">
        <v>0.33333333333333331</v>
      </c>
      <c r="G31" s="33">
        <v>0.29225908372827802</v>
      </c>
      <c r="H31" s="33">
        <v>0.16903633491311215</v>
      </c>
      <c r="I31" s="34">
        <v>8928.1081081081084</v>
      </c>
      <c r="J31" s="34">
        <v>-7989.7196261682247</v>
      </c>
      <c r="K31" s="33">
        <v>9.5238095238095233E-2</v>
      </c>
      <c r="L31" s="33">
        <v>0.27014218009478674</v>
      </c>
      <c r="M31" s="33">
        <v>0.21011058451816747</v>
      </c>
      <c r="N31" s="33">
        <v>0.51461988304093564</v>
      </c>
      <c r="O31" s="33">
        <v>0.37593984962406013</v>
      </c>
      <c r="P31" s="33">
        <v>0.41621621621621624</v>
      </c>
    </row>
    <row r="32" spans="1:16" x14ac:dyDescent="0.45">
      <c r="A32" s="35">
        <v>29</v>
      </c>
      <c r="B32" s="32">
        <v>8.8817841970012523E-16</v>
      </c>
      <c r="C32" s="32">
        <v>1.0208947352875003E-17</v>
      </c>
      <c r="D32" s="37">
        <v>2</v>
      </c>
      <c r="E32" s="33">
        <v>0.33333333333333331</v>
      </c>
      <c r="F32" s="33">
        <v>0.33333333333333331</v>
      </c>
      <c r="G32" s="33">
        <v>0.29223744292237441</v>
      </c>
      <c r="H32" s="33">
        <v>0.16894977168949771</v>
      </c>
      <c r="I32" s="34">
        <v>8952.6041666666661</v>
      </c>
      <c r="J32" s="34">
        <v>-7964.864864864865</v>
      </c>
      <c r="K32" s="33">
        <v>9.1954022988505746E-2</v>
      </c>
      <c r="L32" s="33">
        <v>0.26636225266362251</v>
      </c>
      <c r="M32" s="33">
        <v>0.21308980213089801</v>
      </c>
      <c r="N32" s="33">
        <v>0.52</v>
      </c>
      <c r="O32" s="33">
        <v>0.37142857142857144</v>
      </c>
      <c r="P32" s="33">
        <v>0.41666666666666669</v>
      </c>
    </row>
    <row r="33" spans="1:16" x14ac:dyDescent="0.45">
      <c r="A33" s="35">
        <v>30</v>
      </c>
      <c r="B33" s="32">
        <v>0</v>
      </c>
      <c r="C33" s="32">
        <v>0</v>
      </c>
      <c r="D33" s="37">
        <v>2</v>
      </c>
      <c r="E33" s="33">
        <v>0.33333333333333331</v>
      </c>
      <c r="F33" s="33">
        <v>0.33333333333333331</v>
      </c>
      <c r="G33" s="33">
        <v>0.29297458893871448</v>
      </c>
      <c r="H33" s="33">
        <v>0.17040358744394618</v>
      </c>
      <c r="I33" s="34">
        <v>8972.4489795918362</v>
      </c>
      <c r="J33" s="34">
        <v>-7998.2456140350878</v>
      </c>
      <c r="K33" s="33">
        <v>0.1</v>
      </c>
      <c r="L33" s="33">
        <v>0.26457399103139012</v>
      </c>
      <c r="M33" s="33">
        <v>0.21674140508221226</v>
      </c>
      <c r="N33" s="33">
        <v>0.52542372881355937</v>
      </c>
      <c r="O33" s="33">
        <v>0.3724137931034483</v>
      </c>
      <c r="P33" s="33">
        <v>0.41326530612244899</v>
      </c>
    </row>
    <row r="34" spans="1:16" x14ac:dyDescent="0.45">
      <c r="A34" s="35">
        <v>31</v>
      </c>
      <c r="B34" s="32">
        <v>0</v>
      </c>
      <c r="C34" s="32">
        <v>0</v>
      </c>
      <c r="D34" s="37">
        <v>2</v>
      </c>
      <c r="E34" s="33">
        <v>0.33333333333333331</v>
      </c>
      <c r="F34" s="33">
        <v>0.33333333333333331</v>
      </c>
      <c r="G34" s="33">
        <v>0.29148629148629146</v>
      </c>
      <c r="H34" s="33">
        <v>0.16883116883116883</v>
      </c>
      <c r="I34" s="34">
        <v>8881.6831683168311</v>
      </c>
      <c r="J34" s="34">
        <v>-7894.8717948717949</v>
      </c>
      <c r="K34" s="33">
        <v>9.6774193548387094E-2</v>
      </c>
      <c r="L34" s="33">
        <v>0.25974025974025972</v>
      </c>
      <c r="M34" s="33">
        <v>0.21645021645021645</v>
      </c>
      <c r="N34" s="33">
        <v>0.52777777777777779</v>
      </c>
      <c r="O34" s="33">
        <v>0.37333333333333335</v>
      </c>
      <c r="P34" s="33">
        <v>0.41584158415841582</v>
      </c>
    </row>
    <row r="35" spans="1:16" x14ac:dyDescent="0.45">
      <c r="A35" s="35">
        <v>32</v>
      </c>
      <c r="B35" s="32">
        <v>1.7763568394002505E-15</v>
      </c>
      <c r="C35" s="32">
        <v>1.8503717077085941E-17</v>
      </c>
      <c r="D35" s="37">
        <v>2</v>
      </c>
      <c r="E35" s="33">
        <v>0.33333333333333331</v>
      </c>
      <c r="F35" s="33">
        <v>0.33333333333333331</v>
      </c>
      <c r="G35" s="33">
        <v>0.29254571026722925</v>
      </c>
      <c r="H35" s="33">
        <v>0.16596343178621659</v>
      </c>
      <c r="I35" s="34">
        <v>8736.0576923076915</v>
      </c>
      <c r="J35" s="34">
        <v>-7844.9152542372885</v>
      </c>
      <c r="K35" s="33">
        <v>9.375E-2</v>
      </c>
      <c r="L35" s="33">
        <v>0.2587904360056259</v>
      </c>
      <c r="M35" s="33">
        <v>0.21518987341772153</v>
      </c>
      <c r="N35" s="33">
        <v>0.52717391304347827</v>
      </c>
      <c r="O35" s="33">
        <v>0.38562091503267976</v>
      </c>
      <c r="P35" s="33">
        <v>0.42788461538461536</v>
      </c>
    </row>
    <row r="36" spans="1:16" x14ac:dyDescent="0.45">
      <c r="A36" s="35">
        <v>33</v>
      </c>
      <c r="B36" s="32">
        <v>0</v>
      </c>
      <c r="C36" s="32">
        <v>0</v>
      </c>
      <c r="D36" s="37">
        <v>2</v>
      </c>
      <c r="E36" s="33">
        <v>0.33333333333333331</v>
      </c>
      <c r="F36" s="33">
        <v>0.33333333333333331</v>
      </c>
      <c r="G36" s="33">
        <v>0.29322268326417705</v>
      </c>
      <c r="H36" s="33">
        <v>0.16320885200553251</v>
      </c>
      <c r="I36" s="34">
        <v>8908.0188679245275</v>
      </c>
      <c r="J36" s="34">
        <v>-7844.9152542372885</v>
      </c>
      <c r="K36" s="33">
        <v>0.10101010101010101</v>
      </c>
      <c r="L36" s="33">
        <v>0.25726141078838172</v>
      </c>
      <c r="M36" s="33">
        <v>0.21853388658367912</v>
      </c>
      <c r="N36" s="33">
        <v>0.532258064516129</v>
      </c>
      <c r="O36" s="33">
        <v>0.38607594936708861</v>
      </c>
      <c r="P36" s="33">
        <v>0.43867924528301888</v>
      </c>
    </row>
    <row r="37" spans="1:16" x14ac:dyDescent="0.45">
      <c r="A37" s="35">
        <v>34</v>
      </c>
      <c r="B37" s="32">
        <v>0</v>
      </c>
      <c r="C37" s="32">
        <v>0</v>
      </c>
      <c r="D37" s="37">
        <v>2</v>
      </c>
      <c r="E37" s="33">
        <v>0.33333333333333331</v>
      </c>
      <c r="F37" s="33">
        <v>0.33333333333333331</v>
      </c>
      <c r="G37" s="33">
        <v>0.29387755102040819</v>
      </c>
      <c r="H37" s="33">
        <v>0.16462585034013605</v>
      </c>
      <c r="I37" s="34">
        <v>8915.7407407407409</v>
      </c>
      <c r="J37" s="34">
        <v>-7905.7851239669426</v>
      </c>
      <c r="K37" s="33">
        <v>0.10784313725490197</v>
      </c>
      <c r="L37" s="33">
        <v>0.25714285714285712</v>
      </c>
      <c r="M37" s="33">
        <v>0.22040816326530613</v>
      </c>
      <c r="N37" s="33">
        <v>0.53439153439153442</v>
      </c>
      <c r="O37" s="33">
        <v>0.3888888888888889</v>
      </c>
      <c r="P37" s="33">
        <v>0.43518518518518517</v>
      </c>
    </row>
    <row r="38" spans="1:16" x14ac:dyDescent="0.45">
      <c r="A38" s="35">
        <v>35</v>
      </c>
      <c r="B38" s="32">
        <v>-7.1054273576010019E-15</v>
      </c>
      <c r="C38" s="32">
        <v>-6.7670736739057167E-17</v>
      </c>
      <c r="D38" s="37">
        <v>2</v>
      </c>
      <c r="E38" s="33">
        <v>0.33333333333333331</v>
      </c>
      <c r="F38" s="33">
        <v>0.33333333333333331</v>
      </c>
      <c r="G38" s="33">
        <v>0.29396325459317585</v>
      </c>
      <c r="H38" s="33">
        <v>0.16404199475065617</v>
      </c>
      <c r="I38" s="34">
        <v>9079.4642857142862</v>
      </c>
      <c r="J38" s="34">
        <v>-8168</v>
      </c>
      <c r="K38" s="33">
        <v>0.11428571428571428</v>
      </c>
      <c r="L38" s="33">
        <v>0.25459317585301838</v>
      </c>
      <c r="M38" s="33">
        <v>0.21916010498687663</v>
      </c>
      <c r="N38" s="33">
        <v>0.54639175257731953</v>
      </c>
      <c r="O38" s="33">
        <v>0.38323353293413176</v>
      </c>
      <c r="P38" s="33">
        <v>0.4375</v>
      </c>
    </row>
    <row r="39" spans="1:16" x14ac:dyDescent="0.45">
      <c r="A39" s="35">
        <v>36</v>
      </c>
      <c r="B39" s="32">
        <v>-7.1054273576010019E-15</v>
      </c>
      <c r="C39" s="32">
        <v>-6.5790994051861125E-17</v>
      </c>
      <c r="D39" s="37">
        <v>2</v>
      </c>
      <c r="E39" s="33">
        <v>0.33333333333333331</v>
      </c>
      <c r="F39" s="33">
        <v>0.33333333333333331</v>
      </c>
      <c r="G39" s="33">
        <v>0.29457364341085274</v>
      </c>
      <c r="H39" s="33">
        <v>0.16408268733850129</v>
      </c>
      <c r="I39" s="34">
        <v>9183.3333333333339</v>
      </c>
      <c r="J39" s="34">
        <v>-8228.3464566929142</v>
      </c>
      <c r="K39" s="33">
        <v>0.12037037037037036</v>
      </c>
      <c r="L39" s="33">
        <v>0.25322997416020671</v>
      </c>
      <c r="M39" s="33">
        <v>0.22222222222222221</v>
      </c>
      <c r="N39" s="33">
        <v>0.55102040816326525</v>
      </c>
      <c r="O39" s="33">
        <v>0.38372093023255816</v>
      </c>
      <c r="P39" s="33">
        <v>0.43859649122807015</v>
      </c>
    </row>
    <row r="40" spans="1:16" x14ac:dyDescent="0.45">
      <c r="A40" s="35">
        <v>37</v>
      </c>
      <c r="B40" s="32">
        <v>-9.7699626167013776E-15</v>
      </c>
      <c r="C40" s="32">
        <v>-8.8017681231543943E-17</v>
      </c>
      <c r="D40" s="37">
        <v>2</v>
      </c>
      <c r="E40" s="33">
        <v>0.33333333333333331</v>
      </c>
      <c r="F40" s="33">
        <v>0.33333333333333331</v>
      </c>
      <c r="G40" s="33">
        <v>0.29448621553884713</v>
      </c>
      <c r="H40" s="33">
        <v>0.16541353383458646</v>
      </c>
      <c r="I40" s="34">
        <v>9271.0638297872338</v>
      </c>
      <c r="J40" s="34">
        <v>-8228.0303030303039</v>
      </c>
      <c r="K40" s="33">
        <v>0.12612612612612611</v>
      </c>
      <c r="L40" s="33">
        <v>0.25438596491228072</v>
      </c>
      <c r="M40" s="33">
        <v>0.22431077694235588</v>
      </c>
      <c r="N40" s="33">
        <v>0.55172413793103448</v>
      </c>
      <c r="O40" s="33">
        <v>0.37988826815642457</v>
      </c>
      <c r="P40" s="33">
        <v>0.43404255319148938</v>
      </c>
    </row>
    <row r="41" spans="1:16" x14ac:dyDescent="0.45">
      <c r="A41" s="35">
        <v>38</v>
      </c>
      <c r="B41" s="32">
        <v>-7.1054273576010019E-15</v>
      </c>
      <c r="C41" s="32">
        <v>-6.232831015439475E-17</v>
      </c>
      <c r="D41" s="37">
        <v>2</v>
      </c>
      <c r="E41" s="33">
        <v>0.33333333333333331</v>
      </c>
      <c r="F41" s="33">
        <v>0.33333333333333331</v>
      </c>
      <c r="G41" s="33">
        <v>0.29397293972939731</v>
      </c>
      <c r="H41" s="33">
        <v>0.16482164821648215</v>
      </c>
      <c r="I41" s="34">
        <v>9357.3221757322171</v>
      </c>
      <c r="J41" s="34">
        <v>-8252.2388059701498</v>
      </c>
      <c r="K41" s="33">
        <v>0.13157894736842105</v>
      </c>
      <c r="L41" s="33">
        <v>0.25584255842558423</v>
      </c>
      <c r="M41" s="33">
        <v>0.22509225092250923</v>
      </c>
      <c r="N41" s="33">
        <v>0.54807692307692313</v>
      </c>
      <c r="O41" s="33">
        <v>0.37704918032786883</v>
      </c>
      <c r="P41" s="33">
        <v>0.43514644351464438</v>
      </c>
    </row>
    <row r="42" spans="1:16" x14ac:dyDescent="0.45">
      <c r="A42" s="35">
        <v>39</v>
      </c>
      <c r="B42" s="32">
        <v>-7.1054273576010019E-15</v>
      </c>
      <c r="C42" s="32">
        <v>-6.0730148355564125E-17</v>
      </c>
      <c r="D42" s="37">
        <v>2</v>
      </c>
      <c r="E42" s="33">
        <v>0.33333333333333331</v>
      </c>
      <c r="F42" s="33">
        <v>0.33333333333333331</v>
      </c>
      <c r="G42" s="33">
        <v>0.29376498800959233</v>
      </c>
      <c r="H42" s="33">
        <v>0.16426858513189449</v>
      </c>
      <c r="I42" s="34">
        <v>9308.1632653061224</v>
      </c>
      <c r="J42" s="34">
        <v>-8192.7007299270081</v>
      </c>
      <c r="K42" s="33">
        <v>0.12820512820512819</v>
      </c>
      <c r="L42" s="33">
        <v>0.25659472422062352</v>
      </c>
      <c r="M42" s="33">
        <v>0.22182254196642687</v>
      </c>
      <c r="N42" s="33">
        <v>0.54672897196261683</v>
      </c>
      <c r="O42" s="33">
        <v>0.38378378378378381</v>
      </c>
      <c r="P42" s="33">
        <v>0.43673469387755104</v>
      </c>
    </row>
    <row r="43" spans="1:16" x14ac:dyDescent="0.45">
      <c r="A43" s="35">
        <v>40</v>
      </c>
      <c r="B43" s="32">
        <v>-7.1054273576010019E-15</v>
      </c>
      <c r="C43" s="32">
        <v>-5.9211894646675015E-17</v>
      </c>
      <c r="D43" s="37">
        <v>2</v>
      </c>
      <c r="E43" s="33">
        <v>0.33333333333333331</v>
      </c>
      <c r="F43" s="33">
        <v>0.33333333333333331</v>
      </c>
      <c r="G43" s="33">
        <v>0.2938443670150987</v>
      </c>
      <c r="H43" s="33">
        <v>0.16144018583042974</v>
      </c>
      <c r="I43" s="34">
        <v>9191.6996047430839</v>
      </c>
      <c r="J43" s="34">
        <v>-8187.7697841726622</v>
      </c>
      <c r="K43" s="33">
        <v>0.125</v>
      </c>
      <c r="L43" s="33">
        <v>0.25783972125435539</v>
      </c>
      <c r="M43" s="33">
        <v>0.21718931475029035</v>
      </c>
      <c r="N43" s="33">
        <v>0.5495495495495496</v>
      </c>
      <c r="O43" s="33">
        <v>0.38502673796791442</v>
      </c>
      <c r="P43" s="33">
        <v>0.44664031620553357</v>
      </c>
    </row>
    <row r="44" spans="1:16" x14ac:dyDescent="0.45">
      <c r="A44" s="35">
        <v>41</v>
      </c>
      <c r="B44" s="32">
        <v>-7.1054273576010019E-15</v>
      </c>
      <c r="C44" s="32">
        <v>-5.7767702094317094E-17</v>
      </c>
      <c r="D44" s="37">
        <v>2</v>
      </c>
      <c r="E44" s="33">
        <v>0.33333333333333331</v>
      </c>
      <c r="F44" s="33">
        <v>0.33333333333333331</v>
      </c>
      <c r="G44" s="33">
        <v>0.29139072847682118</v>
      </c>
      <c r="H44" s="33">
        <v>0.16114790286975716</v>
      </c>
      <c r="I44" s="34">
        <v>9129.924242424242</v>
      </c>
      <c r="J44" s="34">
        <v>-8144.5205479452052</v>
      </c>
      <c r="K44" s="33">
        <v>0.12195121951219512</v>
      </c>
      <c r="L44" s="33">
        <v>0.26158940397350994</v>
      </c>
      <c r="M44" s="33">
        <v>0.2108167770419426</v>
      </c>
      <c r="N44" s="33">
        <v>0.54430379746835444</v>
      </c>
      <c r="O44" s="33">
        <v>0.38743455497382201</v>
      </c>
      <c r="P44" s="33">
        <v>0.44318181818181818</v>
      </c>
    </row>
    <row r="45" spans="1:16" x14ac:dyDescent="0.45">
      <c r="A45" s="35">
        <v>42</v>
      </c>
      <c r="B45" s="32">
        <v>-7.1054273576010019E-15</v>
      </c>
      <c r="C45" s="32">
        <v>-5.6392280615880964E-17</v>
      </c>
      <c r="D45" s="37">
        <v>2</v>
      </c>
      <c r="E45" s="33">
        <v>0.33333333333333331</v>
      </c>
      <c r="F45" s="33">
        <v>0.33333333333333331</v>
      </c>
      <c r="G45" s="33">
        <v>0.29018338727076592</v>
      </c>
      <c r="H45" s="33">
        <v>0.16073354908306364</v>
      </c>
      <c r="I45" s="34">
        <v>9076.208178438661</v>
      </c>
      <c r="J45" s="34">
        <v>-8082.5503355704695</v>
      </c>
      <c r="K45" s="33">
        <v>0.11904761904761904</v>
      </c>
      <c r="L45" s="33">
        <v>0.26321467098166129</v>
      </c>
      <c r="M45" s="33">
        <v>0.20819848975188782</v>
      </c>
      <c r="N45" s="33">
        <v>0.53688524590163933</v>
      </c>
      <c r="O45" s="33">
        <v>0.38860103626943004</v>
      </c>
      <c r="P45" s="33">
        <v>0.44237918215613381</v>
      </c>
    </row>
    <row r="46" spans="1:16" x14ac:dyDescent="0.45">
      <c r="A46" s="35">
        <v>43</v>
      </c>
      <c r="B46" s="32">
        <v>-7.1054273576010019E-15</v>
      </c>
      <c r="C46" s="32">
        <v>-5.508083222946513E-17</v>
      </c>
      <c r="D46" s="37">
        <v>2</v>
      </c>
      <c r="E46" s="33">
        <v>0.33333333333333331</v>
      </c>
      <c r="F46" s="33">
        <v>0.33333333333333331</v>
      </c>
      <c r="G46" s="33">
        <v>0.28888888888888886</v>
      </c>
      <c r="H46" s="33">
        <v>0.15978835978835979</v>
      </c>
      <c r="I46" s="34">
        <v>9013.9194139194133</v>
      </c>
      <c r="J46" s="34">
        <v>-8054.3046357615895</v>
      </c>
      <c r="K46" s="33">
        <v>0.11627906976744186</v>
      </c>
      <c r="L46" s="33">
        <v>0.26560846560846563</v>
      </c>
      <c r="M46" s="33">
        <v>0.20846560846560847</v>
      </c>
      <c r="N46" s="33">
        <v>0.53784860557768921</v>
      </c>
      <c r="O46" s="33">
        <v>0.38071065989847713</v>
      </c>
      <c r="P46" s="33">
        <v>0.4432234432234432</v>
      </c>
    </row>
    <row r="47" spans="1:16" x14ac:dyDescent="0.45">
      <c r="A47" s="35">
        <v>44</v>
      </c>
      <c r="B47" s="32">
        <v>0</v>
      </c>
      <c r="C47" s="32">
        <v>0</v>
      </c>
      <c r="D47" s="37">
        <v>2</v>
      </c>
      <c r="E47" s="33">
        <v>0.33333333333333331</v>
      </c>
      <c r="F47" s="33">
        <v>0.33333333333333331</v>
      </c>
      <c r="G47" s="33">
        <v>0.28944618599791011</v>
      </c>
      <c r="H47" s="33">
        <v>0.15882967607105539</v>
      </c>
      <c r="I47" s="34">
        <v>9067.8700361010833</v>
      </c>
      <c r="J47" s="34">
        <v>-8080.2631578947367</v>
      </c>
      <c r="K47" s="33">
        <v>0.12121212121212122</v>
      </c>
      <c r="L47" s="33">
        <v>0.26854754440961337</v>
      </c>
      <c r="M47" s="33">
        <v>0.20794148380355276</v>
      </c>
      <c r="N47" s="33">
        <v>0.53696498054474706</v>
      </c>
      <c r="O47" s="33">
        <v>0.38190954773869346</v>
      </c>
      <c r="P47" s="33">
        <v>0.44765342960288806</v>
      </c>
    </row>
    <row r="48" spans="1:16" x14ac:dyDescent="0.45">
      <c r="A48" s="35">
        <v>45</v>
      </c>
      <c r="B48" s="32">
        <v>0</v>
      </c>
      <c r="C48" s="32">
        <v>0</v>
      </c>
      <c r="D48" s="37">
        <v>2</v>
      </c>
      <c r="E48" s="33">
        <v>0.33333333333333331</v>
      </c>
      <c r="F48" s="33">
        <v>0.33333333333333331</v>
      </c>
      <c r="G48" s="33">
        <v>0.29041916167664672</v>
      </c>
      <c r="H48" s="33">
        <v>0.16067864271457086</v>
      </c>
      <c r="I48" s="34">
        <v>9138.8316151202744</v>
      </c>
      <c r="J48" s="34">
        <v>-8149.6894409937886</v>
      </c>
      <c r="K48" s="33">
        <v>0.11851851851851852</v>
      </c>
      <c r="L48" s="33">
        <v>0.27145708582834333</v>
      </c>
      <c r="M48" s="33">
        <v>0.20658682634730538</v>
      </c>
      <c r="N48" s="33">
        <v>0.53308823529411764</v>
      </c>
      <c r="O48" s="33">
        <v>0.39130434782608697</v>
      </c>
      <c r="P48" s="33">
        <v>0.44329896907216493</v>
      </c>
    </row>
    <row r="49" spans="1:16" x14ac:dyDescent="0.45">
      <c r="A49" s="35">
        <v>46</v>
      </c>
      <c r="B49" s="32">
        <v>1.7763568394002505E-15</v>
      </c>
      <c r="C49" s="32">
        <v>1.2872151010146743E-17</v>
      </c>
      <c r="D49" s="37">
        <v>2</v>
      </c>
      <c r="E49" s="33">
        <v>0.33333333333333331</v>
      </c>
      <c r="F49" s="33">
        <v>0.33333333333333331</v>
      </c>
      <c r="G49" s="33">
        <v>0.29117647058823531</v>
      </c>
      <c r="H49" s="33">
        <v>0.15980392156862744</v>
      </c>
      <c r="I49" s="34">
        <v>9087.878787878788</v>
      </c>
      <c r="J49" s="34">
        <v>-8172.3926380368102</v>
      </c>
      <c r="K49" s="33">
        <v>0.11594202898550725</v>
      </c>
      <c r="L49" s="33">
        <v>0.27156862745098037</v>
      </c>
      <c r="M49" s="33">
        <v>0.20588235294117646</v>
      </c>
      <c r="N49" s="33">
        <v>0.53790613718411551</v>
      </c>
      <c r="O49" s="33">
        <v>0.39047619047619048</v>
      </c>
      <c r="P49" s="33">
        <v>0.44781144781144783</v>
      </c>
    </row>
    <row r="50" spans="1:16" x14ac:dyDescent="0.45">
      <c r="A50" s="35">
        <v>47</v>
      </c>
      <c r="B50" s="32">
        <v>0</v>
      </c>
      <c r="C50" s="32">
        <v>0</v>
      </c>
      <c r="D50" s="37">
        <v>2</v>
      </c>
      <c r="E50" s="33">
        <v>0.33333333333333331</v>
      </c>
      <c r="F50" s="33">
        <v>0.33333333333333331</v>
      </c>
      <c r="G50" s="33">
        <v>0.29178743961352654</v>
      </c>
      <c r="H50" s="33">
        <v>0.16135265700483092</v>
      </c>
      <c r="I50" s="34">
        <v>9239.7350993377477</v>
      </c>
      <c r="J50" s="34">
        <v>-8427.5449101796403</v>
      </c>
      <c r="K50" s="33">
        <v>0.12056737588652482</v>
      </c>
      <c r="L50" s="33">
        <v>0.27053140096618356</v>
      </c>
      <c r="M50" s="33">
        <v>0.2038647342995169</v>
      </c>
      <c r="N50" s="33">
        <v>0.53928571428571426</v>
      </c>
      <c r="O50" s="33">
        <v>0.39336492890995262</v>
      </c>
      <c r="P50" s="33">
        <v>0.44370860927152317</v>
      </c>
    </row>
    <row r="51" spans="1:16" x14ac:dyDescent="0.45">
      <c r="A51" s="35">
        <v>48</v>
      </c>
      <c r="B51" s="32">
        <v>0</v>
      </c>
      <c r="C51" s="32">
        <v>0</v>
      </c>
      <c r="D51" s="37">
        <v>2</v>
      </c>
      <c r="E51" s="33">
        <v>0.33333333333333331</v>
      </c>
      <c r="F51" s="33">
        <v>0.33333333333333331</v>
      </c>
      <c r="G51" s="33">
        <v>0.29201877934272302</v>
      </c>
      <c r="H51" s="33">
        <v>0.16244131455399061</v>
      </c>
      <c r="I51" s="34">
        <v>9197.4276527331185</v>
      </c>
      <c r="J51" s="34">
        <v>-8475.7225433526019</v>
      </c>
      <c r="K51" s="33">
        <v>0.125</v>
      </c>
      <c r="L51" s="33">
        <v>0.26854460093896715</v>
      </c>
      <c r="M51" s="33">
        <v>0.20375586854460093</v>
      </c>
      <c r="N51" s="33">
        <v>0.53846153846153844</v>
      </c>
      <c r="O51" s="33">
        <v>0.4009216589861751</v>
      </c>
      <c r="P51" s="33">
        <v>0.44051446945337619</v>
      </c>
    </row>
    <row r="52" spans="1:16" x14ac:dyDescent="0.45">
      <c r="A52" s="35">
        <v>49</v>
      </c>
      <c r="B52" s="32">
        <v>0</v>
      </c>
      <c r="C52" s="32">
        <v>0</v>
      </c>
      <c r="D52" s="37">
        <v>2</v>
      </c>
      <c r="E52" s="33">
        <v>0.33333333333333331</v>
      </c>
      <c r="F52" s="33">
        <v>0.33333333333333331</v>
      </c>
      <c r="G52" s="33">
        <v>0.29166666666666669</v>
      </c>
      <c r="H52" s="33">
        <v>0.16111111111111112</v>
      </c>
      <c r="I52" s="34">
        <v>9298.4126984126979</v>
      </c>
      <c r="J52" s="34">
        <v>-8702.8735632183907</v>
      </c>
      <c r="K52" s="33">
        <v>0.12925170068027211</v>
      </c>
      <c r="L52" s="33">
        <v>0.26666666666666666</v>
      </c>
      <c r="M52" s="33">
        <v>0.20370370370370369</v>
      </c>
      <c r="N52" s="33">
        <v>0.53819444444444442</v>
      </c>
      <c r="O52" s="33">
        <v>0.40454545454545454</v>
      </c>
      <c r="P52" s="33">
        <v>0.44444444444444442</v>
      </c>
    </row>
    <row r="53" spans="1:16" x14ac:dyDescent="0.45">
      <c r="A53" s="35">
        <v>50</v>
      </c>
      <c r="B53" s="32">
        <v>0</v>
      </c>
      <c r="C53" s="32">
        <v>0</v>
      </c>
      <c r="D53" s="37">
        <v>2</v>
      </c>
      <c r="E53" s="33">
        <v>0.33333333333333331</v>
      </c>
      <c r="F53" s="33">
        <v>0.33333333333333331</v>
      </c>
      <c r="G53" s="33">
        <v>0.28973660308810173</v>
      </c>
      <c r="H53" s="33">
        <v>0.15894641235240689</v>
      </c>
      <c r="I53" s="34">
        <v>9396.8652037617558</v>
      </c>
      <c r="J53" s="34">
        <v>-8668</v>
      </c>
      <c r="K53" s="33">
        <v>0.13333333333333333</v>
      </c>
      <c r="L53" s="33">
        <v>0.26521344232515892</v>
      </c>
      <c r="M53" s="33">
        <v>0.20435967302452315</v>
      </c>
      <c r="N53" s="33">
        <v>0.53767123287671237</v>
      </c>
      <c r="O53" s="33">
        <v>0.4</v>
      </c>
      <c r="P53" s="33">
        <v>0.44827586206896552</v>
      </c>
    </row>
    <row r="54" spans="1:16" x14ac:dyDescent="0.45">
      <c r="A54" s="35">
        <v>51</v>
      </c>
      <c r="B54" s="32">
        <v>7.1054273576010019E-15</v>
      </c>
      <c r="C54" s="32">
        <v>4.644070168366668E-17</v>
      </c>
      <c r="D54" s="37">
        <v>2</v>
      </c>
      <c r="E54" s="33">
        <v>0.33333333333333331</v>
      </c>
      <c r="F54" s="33">
        <v>0.33333333333333331</v>
      </c>
      <c r="G54" s="33">
        <v>0.28966131907308379</v>
      </c>
      <c r="H54" s="33">
        <v>0.15953654188948307</v>
      </c>
      <c r="I54" s="34">
        <v>9377.2307692307695</v>
      </c>
      <c r="J54" s="34">
        <v>-8697.206703910615</v>
      </c>
      <c r="K54" s="33">
        <v>0.13071895424836602</v>
      </c>
      <c r="L54" s="33">
        <v>0.26292335115864529</v>
      </c>
      <c r="M54" s="33">
        <v>0.20409982174688057</v>
      </c>
      <c r="N54" s="33">
        <v>0.53898305084745768</v>
      </c>
      <c r="O54" s="33">
        <v>0.39737991266375544</v>
      </c>
      <c r="P54" s="33">
        <v>0.44615384615384618</v>
      </c>
    </row>
    <row r="55" spans="1:16" x14ac:dyDescent="0.45">
      <c r="A55" s="35">
        <v>52</v>
      </c>
      <c r="B55" s="32">
        <v>7.1054273576010019E-15</v>
      </c>
      <c r="C55" s="32">
        <v>4.5547611266673087E-17</v>
      </c>
      <c r="D55" s="37">
        <v>2</v>
      </c>
      <c r="E55" s="33">
        <v>0.33333333333333331</v>
      </c>
      <c r="F55" s="33">
        <v>0.33333333333333331</v>
      </c>
      <c r="G55" s="33">
        <v>0.28981723237597912</v>
      </c>
      <c r="H55" s="33">
        <v>0.16187989556135771</v>
      </c>
      <c r="I55" s="34">
        <v>9381.3813813813813</v>
      </c>
      <c r="J55" s="34">
        <v>-8608.6021505376339</v>
      </c>
      <c r="K55" s="33">
        <v>0.12820512820512819</v>
      </c>
      <c r="L55" s="33">
        <v>0.26370757180156656</v>
      </c>
      <c r="M55" s="33">
        <v>0.20452567449956485</v>
      </c>
      <c r="N55" s="33">
        <v>0.53465346534653468</v>
      </c>
      <c r="O55" s="33">
        <v>0.4</v>
      </c>
      <c r="P55" s="33">
        <v>0.43843843843843844</v>
      </c>
    </row>
    <row r="56" spans="1:16" x14ac:dyDescent="0.45">
      <c r="A56" s="35">
        <v>53</v>
      </c>
      <c r="B56" s="32">
        <v>7.1054273576010019E-15</v>
      </c>
      <c r="C56" s="32">
        <v>4.4688222374849071E-17</v>
      </c>
      <c r="D56" s="37">
        <v>2</v>
      </c>
      <c r="E56" s="33">
        <v>0.33333333333333331</v>
      </c>
      <c r="F56" s="33">
        <v>0.33333333333333331</v>
      </c>
      <c r="G56" s="33">
        <v>0.29092451229855809</v>
      </c>
      <c r="H56" s="33">
        <v>0.15945716709075489</v>
      </c>
      <c r="I56" s="34">
        <v>9373.4693877551017</v>
      </c>
      <c r="J56" s="34">
        <v>-8621.8085106382987</v>
      </c>
      <c r="K56" s="33">
        <v>0.13207547169811321</v>
      </c>
      <c r="L56" s="33">
        <v>0.26208651399491095</v>
      </c>
      <c r="M56" s="33">
        <v>0.20780322307039864</v>
      </c>
      <c r="N56" s="33">
        <v>0.53398058252427183</v>
      </c>
      <c r="O56" s="33">
        <v>0.40816326530612246</v>
      </c>
      <c r="P56" s="33">
        <v>0.44897959183673469</v>
      </c>
    </row>
    <row r="57" spans="1:16" x14ac:dyDescent="0.45">
      <c r="A57" s="35">
        <v>54</v>
      </c>
      <c r="B57" s="32">
        <v>0</v>
      </c>
      <c r="C57" s="32">
        <v>0</v>
      </c>
      <c r="D57" s="37">
        <v>2</v>
      </c>
      <c r="E57" s="33">
        <v>0.33333333333333331</v>
      </c>
      <c r="F57" s="33">
        <v>0.33333333333333331</v>
      </c>
      <c r="G57" s="33">
        <v>0.29114971050454924</v>
      </c>
      <c r="H57" s="33">
        <v>0.15880893300248139</v>
      </c>
      <c r="I57" s="34">
        <v>9388.068181818182</v>
      </c>
      <c r="J57" s="34">
        <v>-8569.7916666666661</v>
      </c>
      <c r="K57" s="33">
        <v>0.13580246913580246</v>
      </c>
      <c r="L57" s="33">
        <v>0.26302729528535979</v>
      </c>
      <c r="M57" s="33">
        <v>0.20678246484698098</v>
      </c>
      <c r="N57" s="33">
        <v>0.54088050314465408</v>
      </c>
      <c r="O57" s="33">
        <v>0.40400000000000003</v>
      </c>
      <c r="P57" s="33">
        <v>0.45170454545454547</v>
      </c>
    </row>
    <row r="58" spans="1:16" x14ac:dyDescent="0.45">
      <c r="A58" s="35">
        <v>55</v>
      </c>
      <c r="B58" s="32">
        <v>-3.5527136788005009E-15</v>
      </c>
      <c r="C58" s="32">
        <v>-2.1531598053336369E-17</v>
      </c>
      <c r="D58" s="37">
        <v>2</v>
      </c>
      <c r="E58" s="33">
        <v>0.33333333333333331</v>
      </c>
      <c r="F58" s="33">
        <v>0.33333333333333331</v>
      </c>
      <c r="G58" s="33">
        <v>0.29146537842190018</v>
      </c>
      <c r="H58" s="33">
        <v>0.1570048309178744</v>
      </c>
      <c r="I58" s="34">
        <v>9318.7845303867398</v>
      </c>
      <c r="J58" s="34">
        <v>-8560.5128205128203</v>
      </c>
      <c r="K58" s="33">
        <v>0.13333333333333333</v>
      </c>
      <c r="L58" s="33">
        <v>0.26489533011272143</v>
      </c>
      <c r="M58" s="33">
        <v>0.20611916264090177</v>
      </c>
      <c r="N58" s="33">
        <v>0.54103343465045595</v>
      </c>
      <c r="O58" s="33">
        <v>0.40625</v>
      </c>
      <c r="P58" s="33">
        <v>0.4585635359116022</v>
      </c>
    </row>
    <row r="59" spans="1:16" x14ac:dyDescent="0.45">
      <c r="A59" s="35">
        <v>56</v>
      </c>
      <c r="B59" s="32">
        <v>-3.5527136788005009E-15</v>
      </c>
      <c r="C59" s="32">
        <v>-2.1147105230955362E-17</v>
      </c>
      <c r="D59" s="37">
        <v>2</v>
      </c>
      <c r="E59" s="33">
        <v>0.33333333333333331</v>
      </c>
      <c r="F59" s="33">
        <v>0.33333333333333331</v>
      </c>
      <c r="G59" s="33">
        <v>0.29067930489731436</v>
      </c>
      <c r="H59" s="33">
        <v>0.15639810426540285</v>
      </c>
      <c r="I59" s="34">
        <v>9227.717391304348</v>
      </c>
      <c r="J59" s="34">
        <v>-8477.2727272727279</v>
      </c>
      <c r="K59" s="33">
        <v>0.13095238095238096</v>
      </c>
      <c r="L59" s="33">
        <v>0.26145339652448657</v>
      </c>
      <c r="M59" s="33">
        <v>0.20695102685624012</v>
      </c>
      <c r="N59" s="33">
        <v>0.54380664652567978</v>
      </c>
      <c r="O59" s="33">
        <v>0.40458015267175573</v>
      </c>
      <c r="P59" s="33">
        <v>0.45923913043478259</v>
      </c>
    </row>
    <row r="60" spans="1:16" x14ac:dyDescent="0.45">
      <c r="A60" s="35">
        <v>57</v>
      </c>
      <c r="B60" s="32">
        <v>-7.1054273576010019E-15</v>
      </c>
      <c r="C60" s="32">
        <v>-4.15522067695965E-17</v>
      </c>
      <c r="D60" s="37">
        <v>2</v>
      </c>
      <c r="E60" s="33">
        <v>0.33333333333333331</v>
      </c>
      <c r="F60" s="33">
        <v>0.33333333333333331</v>
      </c>
      <c r="G60" s="33">
        <v>0.29166666666666669</v>
      </c>
      <c r="H60" s="33">
        <v>0.1566358024691358</v>
      </c>
      <c r="I60" s="34">
        <v>9156.0846560846567</v>
      </c>
      <c r="J60" s="34">
        <v>-8377.8325123152717</v>
      </c>
      <c r="K60" s="33">
        <v>0.13450292397660818</v>
      </c>
      <c r="L60" s="33">
        <v>0.26157407407407407</v>
      </c>
      <c r="M60" s="33">
        <v>0.20679012345679013</v>
      </c>
      <c r="N60" s="33">
        <v>0.54572271386430682</v>
      </c>
      <c r="O60" s="33">
        <v>0.40671641791044777</v>
      </c>
      <c r="P60" s="33">
        <v>0.46031746031746029</v>
      </c>
    </row>
    <row r="61" spans="1:16" x14ac:dyDescent="0.45">
      <c r="A61" s="35">
        <v>58</v>
      </c>
      <c r="B61" s="32">
        <v>-7.1054273576010019E-15</v>
      </c>
      <c r="C61" s="32">
        <v>-4.083578941150001E-17</v>
      </c>
      <c r="D61" s="37">
        <v>2</v>
      </c>
      <c r="E61" s="33">
        <v>0.33333333333333331</v>
      </c>
      <c r="F61" s="33">
        <v>0.33333333333333331</v>
      </c>
      <c r="G61" s="33">
        <v>0.29233105542900534</v>
      </c>
      <c r="H61" s="33">
        <v>0.15793470007593013</v>
      </c>
      <c r="I61" s="34">
        <v>9135.3246753246749</v>
      </c>
      <c r="J61" s="34">
        <v>-8342.3076923076915</v>
      </c>
      <c r="K61" s="33">
        <v>0.13218390804597702</v>
      </c>
      <c r="L61" s="33">
        <v>0.26044039483675019</v>
      </c>
      <c r="M61" s="33">
        <v>0.2072892938496583</v>
      </c>
      <c r="N61" s="33">
        <v>0.54810495626822153</v>
      </c>
      <c r="O61" s="33">
        <v>0.40293040293040294</v>
      </c>
      <c r="P61" s="33">
        <v>0.45714285714285713</v>
      </c>
    </row>
    <row r="62" spans="1:16" x14ac:dyDescent="0.45">
      <c r="A62" s="35">
        <v>59</v>
      </c>
      <c r="B62" s="32">
        <v>0</v>
      </c>
      <c r="C62" s="32">
        <v>0</v>
      </c>
      <c r="D62" s="37">
        <v>2</v>
      </c>
      <c r="E62" s="33">
        <v>0.33333333333333331</v>
      </c>
      <c r="F62" s="33">
        <v>0.33333333333333331</v>
      </c>
      <c r="G62" s="33">
        <v>0.29213483146067415</v>
      </c>
      <c r="H62" s="33">
        <v>0.15580524344569288</v>
      </c>
      <c r="I62" s="34">
        <v>9192.8205128205136</v>
      </c>
      <c r="J62" s="34">
        <v>-8342.3076923076915</v>
      </c>
      <c r="K62" s="33">
        <v>0.13559322033898305</v>
      </c>
      <c r="L62" s="33">
        <v>0.25842696629213485</v>
      </c>
      <c r="M62" s="33">
        <v>0.20599250936329588</v>
      </c>
      <c r="N62" s="33">
        <v>0.55072463768115942</v>
      </c>
      <c r="O62" s="33">
        <v>0.40363636363636363</v>
      </c>
      <c r="P62" s="33">
        <v>0.46410256410256412</v>
      </c>
    </row>
    <row r="63" spans="1:16" x14ac:dyDescent="0.45">
      <c r="A63" s="35">
        <v>60</v>
      </c>
      <c r="B63" s="32">
        <v>7.1054273576010019E-15</v>
      </c>
      <c r="C63" s="32">
        <v>3.9474596431116678E-17</v>
      </c>
      <c r="D63" s="37">
        <v>2</v>
      </c>
      <c r="E63" s="33">
        <v>0.33333333333333331</v>
      </c>
      <c r="F63" s="33">
        <v>0.33333333333333331</v>
      </c>
      <c r="G63" s="33">
        <v>0.29259259259259257</v>
      </c>
      <c r="H63" s="33">
        <v>0.15555555555555556</v>
      </c>
      <c r="I63" s="34">
        <v>9196.4556962025308</v>
      </c>
      <c r="J63" s="34">
        <v>-8385.2380952380954</v>
      </c>
      <c r="K63" s="33">
        <v>0.1388888888888889</v>
      </c>
      <c r="L63" s="33">
        <v>0.25851851851851854</v>
      </c>
      <c r="M63" s="33">
        <v>0.20518518518518519</v>
      </c>
      <c r="N63" s="33">
        <v>0.55300859598853869</v>
      </c>
      <c r="O63" s="33">
        <v>0.40433212996389889</v>
      </c>
      <c r="P63" s="33">
        <v>0.46582278481012657</v>
      </c>
    </row>
    <row r="64" spans="1:16" x14ac:dyDescent="0.45">
      <c r="A64" s="35">
        <v>61</v>
      </c>
      <c r="B64" s="32">
        <v>0</v>
      </c>
      <c r="C64" s="32">
        <v>0</v>
      </c>
      <c r="D64" s="37">
        <v>2</v>
      </c>
      <c r="E64" s="33">
        <v>0.33333333333333331</v>
      </c>
      <c r="F64" s="33">
        <v>0.33333333333333331</v>
      </c>
      <c r="G64" s="33">
        <v>0.29257641921397382</v>
      </c>
      <c r="H64" s="33">
        <v>0.15574963609898107</v>
      </c>
      <c r="I64" s="34">
        <v>9158.9552238805973</v>
      </c>
      <c r="J64" s="34">
        <v>-8352.336448598131</v>
      </c>
      <c r="K64" s="33">
        <v>0.13661202185792351</v>
      </c>
      <c r="L64" s="33">
        <v>0.2590975254730713</v>
      </c>
      <c r="M64" s="33">
        <v>0.20596797671033479</v>
      </c>
      <c r="N64" s="33">
        <v>0.5533707865168539</v>
      </c>
      <c r="O64" s="33">
        <v>0.40636042402826855</v>
      </c>
      <c r="P64" s="33">
        <v>0.46517412935323382</v>
      </c>
    </row>
    <row r="65" spans="1:16" x14ac:dyDescent="0.45">
      <c r="A65" s="35">
        <v>62</v>
      </c>
      <c r="B65" s="32">
        <v>-1.3322676295501878E-15</v>
      </c>
      <c r="C65" s="32">
        <v>-7.162729191130042E-18</v>
      </c>
      <c r="D65" s="37">
        <v>2</v>
      </c>
      <c r="E65" s="33">
        <v>0.33333333333333331</v>
      </c>
      <c r="F65" s="33">
        <v>0.33333333333333331</v>
      </c>
      <c r="G65" s="33">
        <v>0.29219858156028367</v>
      </c>
      <c r="H65" s="33">
        <v>0.15602836879432624</v>
      </c>
      <c r="I65" s="34">
        <v>9115.2912621359228</v>
      </c>
      <c r="J65" s="34">
        <v>-8351.363636363636</v>
      </c>
      <c r="K65" s="33">
        <v>0.13978494623655913</v>
      </c>
      <c r="L65" s="33">
        <v>0.25815602836879431</v>
      </c>
      <c r="M65" s="33">
        <v>0.20496453900709219</v>
      </c>
      <c r="N65" s="33">
        <v>0.5494505494505495</v>
      </c>
      <c r="O65" s="33">
        <v>0.41176470588235292</v>
      </c>
      <c r="P65" s="33">
        <v>0.46359223300970875</v>
      </c>
    </row>
    <row r="66" spans="1:16" x14ac:dyDescent="0.45">
      <c r="A66" s="35">
        <v>63</v>
      </c>
      <c r="B66" s="32">
        <v>-7.1054273576010019E-15</v>
      </c>
      <c r="C66" s="32">
        <v>-3.7594853743920643E-17</v>
      </c>
      <c r="D66" s="37">
        <v>2</v>
      </c>
      <c r="E66" s="33">
        <v>0.33333333333333331</v>
      </c>
      <c r="F66" s="33">
        <v>0.33333333333333331</v>
      </c>
      <c r="G66" s="33">
        <v>0.2914923291492329</v>
      </c>
      <c r="H66" s="33">
        <v>0.15550906555090654</v>
      </c>
      <c r="I66" s="34">
        <v>9079.6650717703342</v>
      </c>
      <c r="J66" s="34">
        <v>-8364.1255605381175</v>
      </c>
      <c r="K66" s="33">
        <v>0.13756613756613756</v>
      </c>
      <c r="L66" s="33">
        <v>0.25801952580195259</v>
      </c>
      <c r="M66" s="33">
        <v>0.20571827057182707</v>
      </c>
      <c r="N66" s="33">
        <v>0.54594594594594592</v>
      </c>
      <c r="O66" s="33">
        <v>0.4033898305084746</v>
      </c>
      <c r="P66" s="33">
        <v>0.46411483253588515</v>
      </c>
    </row>
    <row r="67" spans="1:16" x14ac:dyDescent="0.45">
      <c r="A67" s="35">
        <v>64</v>
      </c>
      <c r="B67" s="32">
        <v>-7.1054273576010019E-15</v>
      </c>
      <c r="C67" s="32">
        <v>-3.7007434154171883E-17</v>
      </c>
      <c r="D67" s="37">
        <v>2</v>
      </c>
      <c r="E67" s="33">
        <v>0.33333333333333331</v>
      </c>
      <c r="F67" s="33">
        <v>0.33333333333333331</v>
      </c>
      <c r="G67" s="33">
        <v>0.29192546583850931</v>
      </c>
      <c r="H67" s="33">
        <v>0.15527950310559005</v>
      </c>
      <c r="I67" s="34">
        <v>9123.4042553191484</v>
      </c>
      <c r="J67" s="34">
        <v>-8378.2222222222226</v>
      </c>
      <c r="K67" s="33">
        <v>0.140625</v>
      </c>
      <c r="L67" s="33">
        <v>0.25672877846790892</v>
      </c>
      <c r="M67" s="33">
        <v>0.20565907522429261</v>
      </c>
      <c r="N67" s="33">
        <v>0.54569892473118276</v>
      </c>
      <c r="O67" s="33">
        <v>0.40604026845637586</v>
      </c>
      <c r="P67" s="33">
        <v>0.4657210401891253</v>
      </c>
    </row>
    <row r="68" spans="1:16" x14ac:dyDescent="0.45">
      <c r="A68" s="35">
        <v>65</v>
      </c>
      <c r="B68" s="32">
        <v>-7.1054273576010019E-15</v>
      </c>
      <c r="C68" s="32">
        <v>-3.6438089013338471E-17</v>
      </c>
      <c r="D68" s="37">
        <v>2</v>
      </c>
      <c r="E68" s="33">
        <v>0.33333333333333331</v>
      </c>
      <c r="F68" s="33">
        <v>0.33333333333333331</v>
      </c>
      <c r="G68" s="33">
        <v>0.29284750337381915</v>
      </c>
      <c r="H68" s="33">
        <v>0.15519568151147098</v>
      </c>
      <c r="I68" s="34">
        <v>9105.0691244239624</v>
      </c>
      <c r="J68" s="34">
        <v>-8374.347826086956</v>
      </c>
      <c r="K68" s="33">
        <v>0.13846153846153847</v>
      </c>
      <c r="L68" s="33">
        <v>0.25573549257759787</v>
      </c>
      <c r="M68" s="33">
        <v>0.20445344129554655</v>
      </c>
      <c r="N68" s="33">
        <v>0.54881266490765168</v>
      </c>
      <c r="O68" s="33">
        <v>0.40924092409240925</v>
      </c>
      <c r="P68" s="33">
        <v>0.46774193548387094</v>
      </c>
    </row>
    <row r="69" spans="1:16" x14ac:dyDescent="0.45">
      <c r="A69" s="35">
        <v>66</v>
      </c>
      <c r="B69" s="32">
        <v>-1.4210854715202004E-14</v>
      </c>
      <c r="C69" s="32">
        <v>-7.1771993511121237E-17</v>
      </c>
      <c r="D69" s="37">
        <v>2</v>
      </c>
      <c r="E69" s="33">
        <v>0.33333333333333331</v>
      </c>
      <c r="F69" s="33">
        <v>0.33333333333333331</v>
      </c>
      <c r="G69" s="33">
        <v>0.29158383035122598</v>
      </c>
      <c r="H69" s="33">
        <v>0.15506958250497019</v>
      </c>
      <c r="I69" s="34">
        <v>9107.5</v>
      </c>
      <c r="J69" s="34">
        <v>-8351.2820512820508</v>
      </c>
      <c r="K69" s="33">
        <v>0.14141414141414141</v>
      </c>
      <c r="L69" s="33">
        <v>0.25646123260437376</v>
      </c>
      <c r="M69" s="33">
        <v>0.20344599072233266</v>
      </c>
      <c r="N69" s="33">
        <v>0.5452196382428941</v>
      </c>
      <c r="O69" s="33">
        <v>0.40716612377850164</v>
      </c>
      <c r="P69" s="33">
        <v>0.46590909090909088</v>
      </c>
    </row>
    <row r="70" spans="1:16" x14ac:dyDescent="0.45">
      <c r="A70" s="35">
        <v>67</v>
      </c>
      <c r="B70" s="32">
        <v>-1.4210854715202004E-14</v>
      </c>
      <c r="C70" s="32">
        <v>-7.0700769727373151E-17</v>
      </c>
      <c r="D70" s="37">
        <v>2</v>
      </c>
      <c r="E70" s="33">
        <v>0.33333333333333331</v>
      </c>
      <c r="F70" s="33">
        <v>0.33333333333333331</v>
      </c>
      <c r="G70" s="33">
        <v>0.29207596594629992</v>
      </c>
      <c r="H70" s="33">
        <v>0.15651604453176163</v>
      </c>
      <c r="I70" s="34">
        <v>9063.9013452914805</v>
      </c>
      <c r="J70" s="34">
        <v>-8307.1129707112977</v>
      </c>
      <c r="K70" s="33">
        <v>0.13930348258706468</v>
      </c>
      <c r="L70" s="33">
        <v>0.25540275049115913</v>
      </c>
      <c r="M70" s="33">
        <v>0.20301244269810084</v>
      </c>
      <c r="N70" s="33">
        <v>0.5461538461538461</v>
      </c>
      <c r="O70" s="33">
        <v>0.41290322580645161</v>
      </c>
      <c r="P70" s="33">
        <v>0.46188340807174888</v>
      </c>
    </row>
    <row r="71" spans="1:16" x14ac:dyDescent="0.45">
      <c r="A71" s="35">
        <v>68</v>
      </c>
      <c r="B71" s="32">
        <v>-1.4210854715202004E-14</v>
      </c>
      <c r="C71" s="32">
        <v>-6.9661052525500017E-17</v>
      </c>
      <c r="D71" s="37">
        <v>2</v>
      </c>
      <c r="E71" s="33">
        <v>0.33333333333333331</v>
      </c>
      <c r="F71" s="33">
        <v>0.33333333333333331</v>
      </c>
      <c r="G71" s="33">
        <v>0.29271437782076082</v>
      </c>
      <c r="H71" s="33">
        <v>0.1579626047711154</v>
      </c>
      <c r="I71" s="34">
        <v>8977.9735682819392</v>
      </c>
      <c r="J71" s="34">
        <v>-8223.2653061224482</v>
      </c>
      <c r="K71" s="33">
        <v>0.13725490196078433</v>
      </c>
      <c r="L71" s="33">
        <v>0.25402965828497742</v>
      </c>
      <c r="M71" s="33">
        <v>0.20438426821405545</v>
      </c>
      <c r="N71" s="33">
        <v>0.54822335025380708</v>
      </c>
      <c r="O71" s="33">
        <v>0.41009463722397477</v>
      </c>
      <c r="P71" s="33">
        <v>0.45814977973568283</v>
      </c>
    </row>
    <row r="72" spans="1:16" x14ac:dyDescent="0.45">
      <c r="A72" s="35">
        <v>69</v>
      </c>
      <c r="B72" s="32">
        <v>-9.7699626167013776E-15</v>
      </c>
      <c r="C72" s="32">
        <v>-4.7197887037204723E-17</v>
      </c>
      <c r="D72" s="37">
        <v>2</v>
      </c>
      <c r="E72" s="33">
        <v>0.33333333333333331</v>
      </c>
      <c r="F72" s="33">
        <v>0.33333333333333331</v>
      </c>
      <c r="G72" s="33">
        <v>0.29285262492093611</v>
      </c>
      <c r="H72" s="33">
        <v>0.15812776723592664</v>
      </c>
      <c r="I72" s="34">
        <v>8979.6976241900647</v>
      </c>
      <c r="J72" s="34">
        <v>-8179.2</v>
      </c>
      <c r="K72" s="33">
        <v>0.13526570048309178</v>
      </c>
      <c r="L72" s="33">
        <v>0.25363693864642634</v>
      </c>
      <c r="M72" s="33">
        <v>0.2049335863377609</v>
      </c>
      <c r="N72" s="33">
        <v>0.54862842892768082</v>
      </c>
      <c r="O72" s="33">
        <v>0.41358024691358025</v>
      </c>
      <c r="P72" s="33">
        <v>0.45788336933045354</v>
      </c>
    </row>
    <row r="73" spans="1:16" x14ac:dyDescent="0.45">
      <c r="A73" s="35">
        <v>70</v>
      </c>
      <c r="B73" s="32">
        <v>-7.1054273576010019E-15</v>
      </c>
      <c r="C73" s="32">
        <v>-3.3835368369528583E-17</v>
      </c>
      <c r="D73" s="37">
        <v>2</v>
      </c>
      <c r="E73" s="33">
        <v>0.33333333333333331</v>
      </c>
      <c r="F73" s="33">
        <v>0.33333333333333331</v>
      </c>
      <c r="G73" s="33">
        <v>0.29268292682926828</v>
      </c>
      <c r="H73" s="33">
        <v>0.15822388993120701</v>
      </c>
      <c r="I73" s="34">
        <v>8994.0170940170938</v>
      </c>
      <c r="J73" s="34">
        <v>-8167.588932806324</v>
      </c>
      <c r="K73" s="33">
        <v>0.1380952380952381</v>
      </c>
      <c r="L73" s="33">
        <v>0.25453408380237647</v>
      </c>
      <c r="M73" s="33">
        <v>0.20450281425891181</v>
      </c>
      <c r="N73" s="33">
        <v>0.54545454545454541</v>
      </c>
      <c r="O73" s="33">
        <v>0.41590214067278286</v>
      </c>
      <c r="P73" s="33">
        <v>0.45726495726495725</v>
      </c>
    </row>
    <row r="74" spans="1:16" x14ac:dyDescent="0.45">
      <c r="A74" s="35">
        <v>71</v>
      </c>
      <c r="B74" s="32">
        <v>-7.1054273576010019E-15</v>
      </c>
      <c r="C74" s="32">
        <v>-3.3358813885450714E-17</v>
      </c>
      <c r="D74" s="37">
        <v>2</v>
      </c>
      <c r="E74" s="33">
        <v>0.33333333333333331</v>
      </c>
      <c r="F74" s="33">
        <v>0.33333333333333331</v>
      </c>
      <c r="G74" s="33">
        <v>0.29274292742927427</v>
      </c>
      <c r="H74" s="33">
        <v>0.15990159901599016</v>
      </c>
      <c r="I74" s="34">
        <v>9051.6806722689071</v>
      </c>
      <c r="J74" s="34">
        <v>-8191.5384615384619</v>
      </c>
      <c r="K74" s="33">
        <v>0.13615023474178403</v>
      </c>
      <c r="L74" s="33">
        <v>0.25215252152521528</v>
      </c>
      <c r="M74" s="33">
        <v>0.20418204182041821</v>
      </c>
      <c r="N74" s="33">
        <v>0.54878048780487809</v>
      </c>
      <c r="O74" s="33">
        <v>0.41566265060240964</v>
      </c>
      <c r="P74" s="33">
        <v>0.45168067226890757</v>
      </c>
    </row>
    <row r="75" spans="1:16" x14ac:dyDescent="0.45">
      <c r="A75" s="35">
        <v>72</v>
      </c>
      <c r="B75" s="32">
        <v>-1.4210854715202004E-14</v>
      </c>
      <c r="C75" s="32">
        <v>-6.5790994051861125E-17</v>
      </c>
      <c r="D75" s="37">
        <v>2</v>
      </c>
      <c r="E75" s="33">
        <v>0.33333333333333331</v>
      </c>
      <c r="F75" s="33">
        <v>0.33333333333333331</v>
      </c>
      <c r="G75" s="33">
        <v>0.29333333333333333</v>
      </c>
      <c r="H75" s="33">
        <v>0.16</v>
      </c>
      <c r="I75" s="34">
        <v>9044.628099173553</v>
      </c>
      <c r="J75" s="34">
        <v>-8172.348484848485</v>
      </c>
      <c r="K75" s="33">
        <v>0.1388888888888889</v>
      </c>
      <c r="L75" s="33">
        <v>0.2503030303030303</v>
      </c>
      <c r="M75" s="33">
        <v>0.20545454545454545</v>
      </c>
      <c r="N75" s="33">
        <v>0.55205811138014527</v>
      </c>
      <c r="O75" s="33">
        <v>0.41887905604719766</v>
      </c>
      <c r="P75" s="33">
        <v>0.4524793388429752</v>
      </c>
    </row>
    <row r="76" spans="1:16" x14ac:dyDescent="0.45">
      <c r="A76" s="35">
        <v>73</v>
      </c>
      <c r="B76" s="32">
        <v>-2.1316282072803006E-14</v>
      </c>
      <c r="C76" s="32">
        <v>-9.733462133700002E-17</v>
      </c>
      <c r="D76" s="37">
        <v>2</v>
      </c>
      <c r="E76" s="33">
        <v>0.33333333333333331</v>
      </c>
      <c r="F76" s="33">
        <v>0.33333333333333331</v>
      </c>
      <c r="G76" s="33">
        <v>0.29345238095238096</v>
      </c>
      <c r="H76" s="33">
        <v>0.16011904761904761</v>
      </c>
      <c r="I76" s="34">
        <v>9082.3529411764703</v>
      </c>
      <c r="J76" s="34">
        <v>-8219.7026022304835</v>
      </c>
      <c r="K76" s="33">
        <v>0.14155251141552511</v>
      </c>
      <c r="L76" s="33">
        <v>0.24821428571428572</v>
      </c>
      <c r="M76" s="33">
        <v>0.20535714285714285</v>
      </c>
      <c r="N76" s="33">
        <v>0.55635491606714627</v>
      </c>
      <c r="O76" s="33">
        <v>0.41739130434782606</v>
      </c>
      <c r="P76" s="33">
        <v>0.45233265720081134</v>
      </c>
    </row>
    <row r="77" spans="1:16" x14ac:dyDescent="0.45">
      <c r="A77" s="35">
        <v>74</v>
      </c>
      <c r="B77" s="32">
        <v>-2.1316282072803006E-14</v>
      </c>
      <c r="C77" s="32">
        <v>-9.601928861622976E-17</v>
      </c>
      <c r="D77" s="37">
        <v>2</v>
      </c>
      <c r="E77" s="33">
        <v>0.33333333333333331</v>
      </c>
      <c r="F77" s="33">
        <v>0.33333333333333331</v>
      </c>
      <c r="G77" s="33">
        <v>0.2929824561403509</v>
      </c>
      <c r="H77" s="33">
        <v>0.16081871345029239</v>
      </c>
      <c r="I77" s="34">
        <v>9093.2135728542908</v>
      </c>
      <c r="J77" s="34">
        <v>-8290.545454545454</v>
      </c>
      <c r="K77" s="33">
        <v>0.13963963963963963</v>
      </c>
      <c r="L77" s="33">
        <v>0.24970760233918129</v>
      </c>
      <c r="M77" s="33">
        <v>0.20292397660818715</v>
      </c>
      <c r="N77" s="33">
        <v>0.55737704918032782</v>
      </c>
      <c r="O77" s="33">
        <v>0.41498559077809799</v>
      </c>
      <c r="P77" s="33">
        <v>0.44910179640718562</v>
      </c>
    </row>
    <row r="78" spans="1:16" x14ac:dyDescent="0.45">
      <c r="A78" s="35">
        <v>75</v>
      </c>
      <c r="B78" s="32">
        <v>-2.1316282072803006E-14</v>
      </c>
      <c r="C78" s="32">
        <v>-9.4739031434680031E-17</v>
      </c>
      <c r="D78" s="37">
        <v>2</v>
      </c>
      <c r="E78" s="33">
        <v>0.33333333333333331</v>
      </c>
      <c r="F78" s="33">
        <v>0.33333333333333331</v>
      </c>
      <c r="G78" s="33">
        <v>0.29310344827586204</v>
      </c>
      <c r="H78" s="33">
        <v>0.16034482758620688</v>
      </c>
      <c r="I78" s="34">
        <v>9095.0980392156871</v>
      </c>
      <c r="J78" s="34">
        <v>-8303.5842293906808</v>
      </c>
      <c r="K78" s="33">
        <v>0.13777777777777778</v>
      </c>
      <c r="L78" s="33">
        <v>0.24770114942528734</v>
      </c>
      <c r="M78" s="33">
        <v>0.2045977011494253</v>
      </c>
      <c r="N78" s="33">
        <v>0.55684454756380508</v>
      </c>
      <c r="O78" s="33">
        <v>0.41853932584269665</v>
      </c>
      <c r="P78" s="33">
        <v>0.45098039215686275</v>
      </c>
    </row>
    <row r="79" spans="1:16" x14ac:dyDescent="0.45">
      <c r="A79" s="35">
        <v>76</v>
      </c>
      <c r="B79" s="32">
        <v>-2.1316282072803006E-14</v>
      </c>
      <c r="C79" s="32">
        <v>-9.3492465231592125E-17</v>
      </c>
      <c r="D79" s="37">
        <v>2</v>
      </c>
      <c r="E79" s="33">
        <v>0.33333333333333331</v>
      </c>
      <c r="F79" s="33">
        <v>0.33333333333333331</v>
      </c>
      <c r="G79" s="33">
        <v>0.29371816638370118</v>
      </c>
      <c r="H79" s="33">
        <v>0.16072439162422184</v>
      </c>
      <c r="I79" s="34">
        <v>9029.2870905587661</v>
      </c>
      <c r="J79" s="34">
        <v>-8251.4084507042262</v>
      </c>
      <c r="K79" s="33">
        <v>0.13596491228070176</v>
      </c>
      <c r="L79" s="33">
        <v>0.24674589700056593</v>
      </c>
      <c r="M79" s="33">
        <v>0.20543293718166383</v>
      </c>
      <c r="N79" s="33">
        <v>0.55504587155963303</v>
      </c>
      <c r="O79" s="33">
        <v>0.41873278236914602</v>
      </c>
      <c r="P79" s="33">
        <v>0.45086705202312138</v>
      </c>
    </row>
    <row r="80" spans="1:16" x14ac:dyDescent="0.45">
      <c r="A80" s="35">
        <v>77</v>
      </c>
      <c r="B80" s="32">
        <v>-2.1316282072803006E-14</v>
      </c>
      <c r="C80" s="32">
        <v>-9.2278277371441589E-17</v>
      </c>
      <c r="D80" s="37">
        <v>2</v>
      </c>
      <c r="E80" s="33">
        <v>0.33333333333333331</v>
      </c>
      <c r="F80" s="33">
        <v>0.33333333333333331</v>
      </c>
      <c r="G80" s="33">
        <v>0.29398538504777966</v>
      </c>
      <c r="H80" s="33">
        <v>0.16020236087689713</v>
      </c>
      <c r="I80" s="34">
        <v>9134.7992351816447</v>
      </c>
      <c r="J80" s="34">
        <v>-8249.4736842105267</v>
      </c>
      <c r="K80" s="33">
        <v>0.13852813852813853</v>
      </c>
      <c r="L80" s="33">
        <v>0.24845418774592468</v>
      </c>
      <c r="M80" s="33">
        <v>0.20517144463181564</v>
      </c>
      <c r="N80" s="33">
        <v>0.55429864253393668</v>
      </c>
      <c r="O80" s="33">
        <v>0.41643835616438357</v>
      </c>
      <c r="P80" s="33">
        <v>0.45315487571701724</v>
      </c>
    </row>
    <row r="81" spans="1:16" x14ac:dyDescent="0.45">
      <c r="A81" s="35">
        <v>78</v>
      </c>
      <c r="B81" s="32">
        <v>-2.1316282072803006E-14</v>
      </c>
      <c r="C81" s="32">
        <v>-9.1095222533346175E-17</v>
      </c>
      <c r="D81" s="37">
        <v>2</v>
      </c>
      <c r="E81" s="33">
        <v>0.33333333333333331</v>
      </c>
      <c r="F81" s="33">
        <v>0.33333333333333331</v>
      </c>
      <c r="G81" s="33">
        <v>0.29311294765840218</v>
      </c>
      <c r="H81" s="33">
        <v>0.15977961432506887</v>
      </c>
      <c r="I81" s="34">
        <v>9084.5864661654141</v>
      </c>
      <c r="J81" s="34">
        <v>-8194.4827586206902</v>
      </c>
      <c r="K81" s="33">
        <v>0.13675213675213677</v>
      </c>
      <c r="L81" s="33">
        <v>0.24407713498622591</v>
      </c>
      <c r="M81" s="33">
        <v>0.20440771349862258</v>
      </c>
      <c r="N81" s="33">
        <v>0.55304740406320541</v>
      </c>
      <c r="O81" s="33">
        <v>0.42318059299191374</v>
      </c>
      <c r="P81" s="33">
        <v>0.45300751879699247</v>
      </c>
    </row>
    <row r="82" spans="1:16" x14ac:dyDescent="0.45">
      <c r="A82" s="35">
        <v>79</v>
      </c>
      <c r="B82" s="32">
        <v>-2.1316282072803006E-14</v>
      </c>
      <c r="C82" s="32">
        <v>-8.9942118450645592E-17</v>
      </c>
      <c r="D82" s="37">
        <v>2</v>
      </c>
      <c r="E82" s="33">
        <v>0.33333333333333331</v>
      </c>
      <c r="F82" s="33">
        <v>0.33333333333333331</v>
      </c>
      <c r="G82" s="33">
        <v>0.29261672095548319</v>
      </c>
      <c r="H82" s="33">
        <v>0.15960912052117263</v>
      </c>
      <c r="I82" s="34">
        <v>9051.0204081632655</v>
      </c>
      <c r="J82" s="34">
        <v>-8162.925170068027</v>
      </c>
      <c r="K82" s="33">
        <v>0.13502109704641349</v>
      </c>
      <c r="L82" s="33">
        <v>0.24321389793702497</v>
      </c>
      <c r="M82" s="33">
        <v>0.20358306188925082</v>
      </c>
      <c r="N82" s="33">
        <v>0.5513392857142857</v>
      </c>
      <c r="O82" s="33">
        <v>0.42133333333333334</v>
      </c>
      <c r="P82" s="33">
        <v>0.45269016697588127</v>
      </c>
    </row>
    <row r="83" spans="1:16" x14ac:dyDescent="0.45">
      <c r="A83" s="35">
        <v>80</v>
      </c>
      <c r="B83" s="32">
        <v>-2.1316282072803006E-14</v>
      </c>
      <c r="C83" s="32">
        <v>-8.8817841970012528E-17</v>
      </c>
      <c r="D83" s="37">
        <v>2</v>
      </c>
      <c r="E83" s="33">
        <v>0.33333333333333331</v>
      </c>
      <c r="F83" s="33">
        <v>0.33333333333333331</v>
      </c>
      <c r="G83" s="33">
        <v>0.2924731182795699</v>
      </c>
      <c r="H83" s="33">
        <v>0.1596774193548387</v>
      </c>
      <c r="I83" s="34">
        <v>9055.5147058823532</v>
      </c>
      <c r="J83" s="34">
        <v>-8201.6835016835012</v>
      </c>
      <c r="K83" s="33">
        <v>0.13333333333333333</v>
      </c>
      <c r="L83" s="33">
        <v>0.24301075268817204</v>
      </c>
      <c r="M83" s="33">
        <v>0.20322580645161289</v>
      </c>
      <c r="N83" s="33">
        <v>0.55088495575221241</v>
      </c>
      <c r="O83" s="33">
        <v>0.42063492063492064</v>
      </c>
      <c r="P83" s="33">
        <v>0.45220588235294118</v>
      </c>
    </row>
    <row r="84" spans="1:16" x14ac:dyDescent="0.45">
      <c r="A84" s="35">
        <v>81</v>
      </c>
      <c r="B84" s="32">
        <v>-2.1316282072803006E-14</v>
      </c>
      <c r="C84" s="32">
        <v>-8.77213254024815E-17</v>
      </c>
      <c r="D84" s="37">
        <v>2</v>
      </c>
      <c r="E84" s="33">
        <v>0.33333333333333331</v>
      </c>
      <c r="F84" s="33">
        <v>0.33333333333333331</v>
      </c>
      <c r="G84" s="33">
        <v>0.29193205944798301</v>
      </c>
      <c r="H84" s="33">
        <v>0.15976645435244161</v>
      </c>
      <c r="I84" s="34">
        <v>9034.7272727272721</v>
      </c>
      <c r="J84" s="34">
        <v>-8183.0564784053158</v>
      </c>
      <c r="K84" s="33">
        <v>0.13168724279835392</v>
      </c>
      <c r="L84" s="33">
        <v>0.24309978768577495</v>
      </c>
      <c r="M84" s="33">
        <v>0.20276008492569003</v>
      </c>
      <c r="N84" s="33">
        <v>0.55240174672489084</v>
      </c>
      <c r="O84" s="33">
        <v>0.41884816753926701</v>
      </c>
      <c r="P84" s="33">
        <v>0.45090909090909093</v>
      </c>
    </row>
    <row r="85" spans="1:16" x14ac:dyDescent="0.45">
      <c r="A85" s="35">
        <v>82</v>
      </c>
      <c r="B85" s="32">
        <v>-2.3092638912203256E-14</v>
      </c>
      <c r="C85" s="32">
        <v>-9.3872515903265274E-17</v>
      </c>
      <c r="D85" s="37">
        <v>2</v>
      </c>
      <c r="E85" s="33">
        <v>0.33333333333333331</v>
      </c>
      <c r="F85" s="33">
        <v>0.33333333333333331</v>
      </c>
      <c r="G85" s="33">
        <v>0.29251700680272108</v>
      </c>
      <c r="H85" s="33">
        <v>0.16012558869701726</v>
      </c>
      <c r="I85" s="34">
        <v>9079.7853309481216</v>
      </c>
      <c r="J85" s="34">
        <v>-8237.254901960785</v>
      </c>
      <c r="K85" s="33">
        <v>0.13008130081300814</v>
      </c>
      <c r="L85" s="33">
        <v>0.24594453165881738</v>
      </c>
      <c r="M85" s="33">
        <v>0.20198848770277342</v>
      </c>
      <c r="N85" s="33">
        <v>0.55531914893617018</v>
      </c>
      <c r="O85" s="33">
        <v>0.41450777202072536</v>
      </c>
      <c r="P85" s="33">
        <v>0.45080500894454384</v>
      </c>
    </row>
    <row r="86" spans="1:16" x14ac:dyDescent="0.45">
      <c r="A86" s="35">
        <v>83</v>
      </c>
      <c r="B86" s="32">
        <v>-2.6645352591003757E-14</v>
      </c>
      <c r="C86" s="32">
        <v>-1.0700944815664159E-16</v>
      </c>
      <c r="D86" s="37">
        <v>2</v>
      </c>
      <c r="E86" s="33">
        <v>0.33333333333333331</v>
      </c>
      <c r="F86" s="33">
        <v>0.33333333333333331</v>
      </c>
      <c r="G86" s="33">
        <v>0.29166666666666669</v>
      </c>
      <c r="H86" s="33">
        <v>0.15792181069958847</v>
      </c>
      <c r="I86" s="34">
        <v>9035.4497354497362</v>
      </c>
      <c r="J86" s="34">
        <v>-8249.511400651465</v>
      </c>
      <c r="K86" s="33">
        <v>0.12851405622489959</v>
      </c>
      <c r="L86" s="33">
        <v>0.24537037037037038</v>
      </c>
      <c r="M86" s="33">
        <v>0.20421810699588477</v>
      </c>
      <c r="N86" s="33">
        <v>0.55136268343815509</v>
      </c>
      <c r="O86" s="33">
        <v>0.41561712846347609</v>
      </c>
      <c r="P86" s="33">
        <v>0.4567901234567901</v>
      </c>
    </row>
    <row r="87" spans="1:16" x14ac:dyDescent="0.45">
      <c r="A87" s="35">
        <v>84</v>
      </c>
      <c r="B87" s="32">
        <v>-2.8421709430404007E-14</v>
      </c>
      <c r="C87" s="32">
        <v>-1.1278456123176193E-16</v>
      </c>
      <c r="D87" s="37">
        <v>2</v>
      </c>
      <c r="E87" s="33">
        <v>0.33333333333333331</v>
      </c>
      <c r="F87" s="33">
        <v>0.33333333333333331</v>
      </c>
      <c r="G87" s="33">
        <v>0.29211195928753181</v>
      </c>
      <c r="H87" s="33">
        <v>0.15725190839694655</v>
      </c>
      <c r="I87" s="34">
        <v>9029.7909407665502</v>
      </c>
      <c r="J87" s="34">
        <v>-8260.8414239482208</v>
      </c>
      <c r="K87" s="33">
        <v>0.13095238095238096</v>
      </c>
      <c r="L87" s="33">
        <v>0.24681933842239187</v>
      </c>
      <c r="M87" s="33">
        <v>0.20356234096692111</v>
      </c>
      <c r="N87" s="33">
        <v>0.5525773195876289</v>
      </c>
      <c r="O87" s="33">
        <v>0.41499999999999998</v>
      </c>
      <c r="P87" s="33">
        <v>0.45993031358885017</v>
      </c>
    </row>
    <row r="88" spans="1:16" x14ac:dyDescent="0.45">
      <c r="A88" s="35">
        <v>85</v>
      </c>
      <c r="B88" s="32">
        <v>-2.8421709430404007E-14</v>
      </c>
      <c r="C88" s="32">
        <v>-1.1145768404080003E-16</v>
      </c>
      <c r="D88" s="37">
        <v>2</v>
      </c>
      <c r="E88" s="33">
        <v>0.33333333333333331</v>
      </c>
      <c r="F88" s="33">
        <v>0.33333333333333331</v>
      </c>
      <c r="G88" s="33">
        <v>0.29235382308845576</v>
      </c>
      <c r="H88" s="33">
        <v>0.15642178910544727</v>
      </c>
      <c r="I88" s="34">
        <v>8994.8717948717949</v>
      </c>
      <c r="J88" s="34">
        <v>-8231.3099041533551</v>
      </c>
      <c r="K88" s="33">
        <v>0.13333333333333333</v>
      </c>
      <c r="L88" s="33">
        <v>0.24737631184407796</v>
      </c>
      <c r="M88" s="33">
        <v>0.20389805097451275</v>
      </c>
      <c r="N88" s="33">
        <v>0.55353535353535355</v>
      </c>
      <c r="O88" s="33">
        <v>0.41176470588235292</v>
      </c>
      <c r="P88" s="33">
        <v>0.46324786324786327</v>
      </c>
    </row>
    <row r="89" spans="1:16" x14ac:dyDescent="0.45">
      <c r="A89" s="35">
        <v>86</v>
      </c>
      <c r="B89" s="32">
        <v>-3.5527136788005009E-14</v>
      </c>
      <c r="C89" s="32">
        <v>-1.3770208057366282E-16</v>
      </c>
      <c r="D89" s="37">
        <v>2</v>
      </c>
      <c r="E89" s="33">
        <v>0.33333333333333331</v>
      </c>
      <c r="F89" s="33">
        <v>0.33333333333333331</v>
      </c>
      <c r="G89" s="33">
        <v>0.2910521140609636</v>
      </c>
      <c r="H89" s="33">
        <v>0.15535889872173059</v>
      </c>
      <c r="I89" s="34">
        <v>9005.0675675675684</v>
      </c>
      <c r="J89" s="34">
        <v>-8253.481012658227</v>
      </c>
      <c r="K89" s="33">
        <v>0.13565891472868216</v>
      </c>
      <c r="L89" s="33">
        <v>0.24680432645034414</v>
      </c>
      <c r="M89" s="33">
        <v>0.20452310717797442</v>
      </c>
      <c r="N89" s="33">
        <v>0.55179282868525892</v>
      </c>
      <c r="O89" s="33">
        <v>0.40865384615384615</v>
      </c>
      <c r="P89" s="33">
        <v>0.46452702702702703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ワークシート</vt:lpstr>
      </vt:variant>
      <vt:variant>
        <vt:i4>25</vt:i4>
      </vt:variant>
      <vt:variant>
        <vt:lpstr>グラフ</vt:lpstr>
      </vt:variant>
      <vt:variant>
        <vt:i4>15</vt:i4>
      </vt:variant>
      <vt:variant>
        <vt:lpstr>名前付き一覧</vt:lpstr>
      </vt:variant>
      <vt:variant>
        <vt:i4>682</vt:i4>
      </vt:variant>
    </vt:vector>
  </HeadingPairs>
  <TitlesOfParts>
    <vt:vector size="722" baseType="lpstr">
      <vt:lpstr>Cache</vt:lpstr>
      <vt:lpstr>Template2</vt:lpstr>
      <vt:lpstr>Players</vt:lpstr>
      <vt:lpstr>Template1</vt:lpstr>
      <vt:lpstr>ランキング</vt:lpstr>
      <vt:lpstr>全体</vt:lpstr>
      <vt:lpstr>れんたろう</vt:lpstr>
      <vt:lpstr>ともき</vt:lpstr>
      <vt:lpstr>だいち</vt:lpstr>
      <vt:lpstr>りくと</vt:lpstr>
      <vt:lpstr>まっつん</vt:lpstr>
      <vt:lpstr>たかの</vt:lpstr>
      <vt:lpstr>のり</vt:lpstr>
      <vt:lpstr>ただ</vt:lpstr>
      <vt:lpstr>ぱぱ</vt:lpstr>
      <vt:lpstr>ぱぱ2</vt:lpstr>
      <vt:lpstr>ただ2</vt:lpstr>
      <vt:lpstr>のり2</vt:lpstr>
      <vt:lpstr>たかの2</vt:lpstr>
      <vt:lpstr>まっつん2</vt:lpstr>
      <vt:lpstr>りくと2</vt:lpstr>
      <vt:lpstr>だいち2</vt:lpstr>
      <vt:lpstr>ともき2</vt:lpstr>
      <vt:lpstr>れんたろう2</vt:lpstr>
      <vt:lpstr>全体2</vt:lpstr>
      <vt:lpstr>通算スコア</vt:lpstr>
      <vt:lpstr>平均スコア</vt:lpstr>
      <vt:lpstr>平均順位</vt:lpstr>
      <vt:lpstr>トップ率</vt:lpstr>
      <vt:lpstr>ラス率</vt:lpstr>
      <vt:lpstr>アガリ率</vt:lpstr>
      <vt:lpstr>放銃率</vt:lpstr>
      <vt:lpstr>平均アガリ点</vt:lpstr>
      <vt:lpstr>平均放銃点</vt:lpstr>
      <vt:lpstr>ふっとび率</vt:lpstr>
      <vt:lpstr>リーチ率</vt:lpstr>
      <vt:lpstr>副露率</vt:lpstr>
      <vt:lpstr>リーチ成功率</vt:lpstr>
      <vt:lpstr>副露成功率</vt:lpstr>
      <vt:lpstr>ツモ率</vt:lpstr>
      <vt:lpstr>Template1!アガリ数</vt:lpstr>
      <vt:lpstr>だいち!アガリ数</vt:lpstr>
      <vt:lpstr>たかの!アガリ数</vt:lpstr>
      <vt:lpstr>ただ!アガリ数</vt:lpstr>
      <vt:lpstr>ともき!アガリ数</vt:lpstr>
      <vt:lpstr>のり!アガリ数</vt:lpstr>
      <vt:lpstr>ぱぱ!アガリ数</vt:lpstr>
      <vt:lpstr>まっつん!アガリ数</vt:lpstr>
      <vt:lpstr>りくと!アガリ数</vt:lpstr>
      <vt:lpstr>れんたろう!アガリ数</vt:lpstr>
      <vt:lpstr>全体!アガリ数</vt:lpstr>
      <vt:lpstr>Template1!アガリ率</vt:lpstr>
      <vt:lpstr>だいち!アガリ率</vt:lpstr>
      <vt:lpstr>たかの!アガリ率</vt:lpstr>
      <vt:lpstr>ただ!アガリ率</vt:lpstr>
      <vt:lpstr>ともき!アガリ率</vt:lpstr>
      <vt:lpstr>のり!アガリ率</vt:lpstr>
      <vt:lpstr>ぱぱ!アガリ率</vt:lpstr>
      <vt:lpstr>まっつん!アガリ率</vt:lpstr>
      <vt:lpstr>りくと!アガリ率</vt:lpstr>
      <vt:lpstr>れんたろう!アガリ率</vt:lpstr>
      <vt:lpstr>全体!アガリ率</vt:lpstr>
      <vt:lpstr>Template1!ダマアガリ数</vt:lpstr>
      <vt:lpstr>だいち!ダマアガリ数</vt:lpstr>
      <vt:lpstr>たかの!ダマアガリ数</vt:lpstr>
      <vt:lpstr>ただ!ダマアガリ数</vt:lpstr>
      <vt:lpstr>ともき!ダマアガリ数</vt:lpstr>
      <vt:lpstr>のり!ダマアガリ数</vt:lpstr>
      <vt:lpstr>ぱぱ!ダマアガリ数</vt:lpstr>
      <vt:lpstr>まっつん!ダマアガリ数</vt:lpstr>
      <vt:lpstr>りくと!ダマアガリ数</vt:lpstr>
      <vt:lpstr>れんたろう!ダマアガリ数</vt:lpstr>
      <vt:lpstr>全体!ダマアガリ数</vt:lpstr>
      <vt:lpstr>Template1!ダマアガリ率</vt:lpstr>
      <vt:lpstr>だいち!ダマアガリ率</vt:lpstr>
      <vt:lpstr>たかの!ダマアガリ率</vt:lpstr>
      <vt:lpstr>ただ!ダマアガリ率</vt:lpstr>
      <vt:lpstr>ともき!ダマアガリ率</vt:lpstr>
      <vt:lpstr>のり!ダマアガリ率</vt:lpstr>
      <vt:lpstr>ぱぱ!ダマアガリ率</vt:lpstr>
      <vt:lpstr>まっつん!ダマアガリ率</vt:lpstr>
      <vt:lpstr>りくと!ダマアガリ率</vt:lpstr>
      <vt:lpstr>れんたろう!ダマアガリ率</vt:lpstr>
      <vt:lpstr>全体!ダマアガリ率</vt:lpstr>
      <vt:lpstr>Template1!チョンボ数</vt:lpstr>
      <vt:lpstr>だいち!チョンボ数</vt:lpstr>
      <vt:lpstr>たかの!チョンボ数</vt:lpstr>
      <vt:lpstr>ただ!チョンボ数</vt:lpstr>
      <vt:lpstr>ともき!チョンボ数</vt:lpstr>
      <vt:lpstr>のり!チョンボ数</vt:lpstr>
      <vt:lpstr>ぱぱ!チョンボ数</vt:lpstr>
      <vt:lpstr>まっつん!チョンボ数</vt:lpstr>
      <vt:lpstr>りくと!チョンボ数</vt:lpstr>
      <vt:lpstr>れんたろう!チョンボ数</vt:lpstr>
      <vt:lpstr>全体!チョンボ数</vt:lpstr>
      <vt:lpstr>Template1!チョンボ率</vt:lpstr>
      <vt:lpstr>だいち!チョンボ率</vt:lpstr>
      <vt:lpstr>たかの!チョンボ率</vt:lpstr>
      <vt:lpstr>ただ!チョンボ率</vt:lpstr>
      <vt:lpstr>ともき!チョンボ率</vt:lpstr>
      <vt:lpstr>のり!チョンボ率</vt:lpstr>
      <vt:lpstr>ぱぱ!チョンボ率</vt:lpstr>
      <vt:lpstr>まっつん!チョンボ率</vt:lpstr>
      <vt:lpstr>りくと!チョンボ率</vt:lpstr>
      <vt:lpstr>れんたろう!チョンボ率</vt:lpstr>
      <vt:lpstr>全体!チョンボ率</vt:lpstr>
      <vt:lpstr>Template1!ツモ数</vt:lpstr>
      <vt:lpstr>だいち!ツモ数</vt:lpstr>
      <vt:lpstr>たかの!ツモ数</vt:lpstr>
      <vt:lpstr>ただ!ツモ数</vt:lpstr>
      <vt:lpstr>ともき!ツモ数</vt:lpstr>
      <vt:lpstr>のり!ツモ数</vt:lpstr>
      <vt:lpstr>ぱぱ!ツモ数</vt:lpstr>
      <vt:lpstr>まっつん!ツモ数</vt:lpstr>
      <vt:lpstr>りくと!ツモ数</vt:lpstr>
      <vt:lpstr>れんたろう!ツモ数</vt:lpstr>
      <vt:lpstr>全体!ツモ数</vt:lpstr>
      <vt:lpstr>Template1!ツモ率</vt:lpstr>
      <vt:lpstr>だいち!ツモ率</vt:lpstr>
      <vt:lpstr>たかの!ツモ率</vt:lpstr>
      <vt:lpstr>ただ!ツモ率</vt:lpstr>
      <vt:lpstr>ともき!ツモ率</vt:lpstr>
      <vt:lpstr>のり!ツモ率</vt:lpstr>
      <vt:lpstr>ぱぱ!ツモ率</vt:lpstr>
      <vt:lpstr>まっつん!ツモ率</vt:lpstr>
      <vt:lpstr>りくと!ツモ率</vt:lpstr>
      <vt:lpstr>れんたろう!ツモ率</vt:lpstr>
      <vt:lpstr>全体!ツモ率</vt:lpstr>
      <vt:lpstr>Template1!トップ数</vt:lpstr>
      <vt:lpstr>だいち!トップ数</vt:lpstr>
      <vt:lpstr>たかの!トップ数</vt:lpstr>
      <vt:lpstr>ただ!トップ数</vt:lpstr>
      <vt:lpstr>ともき!トップ数</vt:lpstr>
      <vt:lpstr>のり!トップ数</vt:lpstr>
      <vt:lpstr>ぱぱ!トップ数</vt:lpstr>
      <vt:lpstr>まっつん!トップ数</vt:lpstr>
      <vt:lpstr>りくと!トップ数</vt:lpstr>
      <vt:lpstr>れんたろう!トップ数</vt:lpstr>
      <vt:lpstr>全体!トップ数</vt:lpstr>
      <vt:lpstr>Template1!トップ率</vt:lpstr>
      <vt:lpstr>だいち!トップ率</vt:lpstr>
      <vt:lpstr>たかの!トップ率</vt:lpstr>
      <vt:lpstr>ただ!トップ率</vt:lpstr>
      <vt:lpstr>ともき!トップ率</vt:lpstr>
      <vt:lpstr>のり!トップ率</vt:lpstr>
      <vt:lpstr>ぱぱ!トップ率</vt:lpstr>
      <vt:lpstr>まっつん!トップ率</vt:lpstr>
      <vt:lpstr>りくと!トップ率</vt:lpstr>
      <vt:lpstr>れんたろう!トップ率</vt:lpstr>
      <vt:lpstr>全体!トップ率</vt:lpstr>
      <vt:lpstr>だいち!バランス</vt:lpstr>
      <vt:lpstr>たかの!バランス</vt:lpstr>
      <vt:lpstr>ただ!バランス</vt:lpstr>
      <vt:lpstr>ともき!バランス</vt:lpstr>
      <vt:lpstr>のり!バランス</vt:lpstr>
      <vt:lpstr>ぱぱ!バランス</vt:lpstr>
      <vt:lpstr>まっつん!バランス</vt:lpstr>
      <vt:lpstr>りくと!バランス</vt:lpstr>
      <vt:lpstr>れんたろう!バランス</vt:lpstr>
      <vt:lpstr>全体!バランス</vt:lpstr>
      <vt:lpstr>バランス</vt:lpstr>
      <vt:lpstr>Template1!ふっとび数</vt:lpstr>
      <vt:lpstr>だいち!ふっとび数</vt:lpstr>
      <vt:lpstr>たかの!ふっとび数</vt:lpstr>
      <vt:lpstr>ただ!ふっとび数</vt:lpstr>
      <vt:lpstr>ともき!ふっとび数</vt:lpstr>
      <vt:lpstr>のり!ふっとび数</vt:lpstr>
      <vt:lpstr>ぱぱ!ふっとび数</vt:lpstr>
      <vt:lpstr>まっつん!ふっとび数</vt:lpstr>
      <vt:lpstr>りくと!ふっとび数</vt:lpstr>
      <vt:lpstr>れんたろう!ふっとび数</vt:lpstr>
      <vt:lpstr>全体!ふっとび数</vt:lpstr>
      <vt:lpstr>Template1!ふっとび率</vt:lpstr>
      <vt:lpstr>だいち!ふっとび率</vt:lpstr>
      <vt:lpstr>たかの!ふっとび率</vt:lpstr>
      <vt:lpstr>ただ!ふっとび率</vt:lpstr>
      <vt:lpstr>ともき!ふっとび率</vt:lpstr>
      <vt:lpstr>のり!ふっとび率</vt:lpstr>
      <vt:lpstr>ぱぱ!ふっとび率</vt:lpstr>
      <vt:lpstr>まっつん!ふっとび率</vt:lpstr>
      <vt:lpstr>りくと!ふっとび率</vt:lpstr>
      <vt:lpstr>れんたろう!ふっとび率</vt:lpstr>
      <vt:lpstr>全体!ふっとび率</vt:lpstr>
      <vt:lpstr>Template1!ラス数</vt:lpstr>
      <vt:lpstr>だいち!ラス数</vt:lpstr>
      <vt:lpstr>たかの!ラス数</vt:lpstr>
      <vt:lpstr>ただ!ラス数</vt:lpstr>
      <vt:lpstr>ともき!ラス数</vt:lpstr>
      <vt:lpstr>のり!ラス数</vt:lpstr>
      <vt:lpstr>ぱぱ!ラス数</vt:lpstr>
      <vt:lpstr>まっつん!ラス数</vt:lpstr>
      <vt:lpstr>りくと!ラス数</vt:lpstr>
      <vt:lpstr>れんたろう!ラス数</vt:lpstr>
      <vt:lpstr>全体!ラス数</vt:lpstr>
      <vt:lpstr>Template1!ラス率</vt:lpstr>
      <vt:lpstr>だいち!ラス率</vt:lpstr>
      <vt:lpstr>たかの!ラス率</vt:lpstr>
      <vt:lpstr>ただ!ラス率</vt:lpstr>
      <vt:lpstr>ともき!ラス率</vt:lpstr>
      <vt:lpstr>のり!ラス率</vt:lpstr>
      <vt:lpstr>ぱぱ!ラス率</vt:lpstr>
      <vt:lpstr>まっつん!ラス率</vt:lpstr>
      <vt:lpstr>りくと!ラス率</vt:lpstr>
      <vt:lpstr>れんたろう!ラス率</vt:lpstr>
      <vt:lpstr>全体!ラス率</vt:lpstr>
      <vt:lpstr>Template1!リーチアガリ数</vt:lpstr>
      <vt:lpstr>だいち!リーチアガリ数</vt:lpstr>
      <vt:lpstr>たかの!リーチアガリ数</vt:lpstr>
      <vt:lpstr>ただ!リーチアガリ数</vt:lpstr>
      <vt:lpstr>ともき!リーチアガリ数</vt:lpstr>
      <vt:lpstr>のり!リーチアガリ数</vt:lpstr>
      <vt:lpstr>ぱぱ!リーチアガリ数</vt:lpstr>
      <vt:lpstr>まっつん!リーチアガリ数</vt:lpstr>
      <vt:lpstr>りくと!リーチアガリ数</vt:lpstr>
      <vt:lpstr>れんたろう!リーチアガリ数</vt:lpstr>
      <vt:lpstr>全体!リーチアガリ数</vt:lpstr>
      <vt:lpstr>Template1!リーチアガリ率</vt:lpstr>
      <vt:lpstr>だいち!リーチアガリ率</vt:lpstr>
      <vt:lpstr>たかの!リーチアガリ率</vt:lpstr>
      <vt:lpstr>ただ!リーチアガリ率</vt:lpstr>
      <vt:lpstr>ともき!リーチアガリ率</vt:lpstr>
      <vt:lpstr>のり!リーチアガリ率</vt:lpstr>
      <vt:lpstr>ぱぱ!リーチアガリ率</vt:lpstr>
      <vt:lpstr>まっつん!リーチアガリ率</vt:lpstr>
      <vt:lpstr>りくと!リーチアガリ率</vt:lpstr>
      <vt:lpstr>れんたろう!リーチアガリ率</vt:lpstr>
      <vt:lpstr>全体!リーチアガリ率</vt:lpstr>
      <vt:lpstr>Template1!リーチ数</vt:lpstr>
      <vt:lpstr>だいち!リーチ数</vt:lpstr>
      <vt:lpstr>たかの!リーチ数</vt:lpstr>
      <vt:lpstr>ただ!リーチ数</vt:lpstr>
      <vt:lpstr>ともき!リーチ数</vt:lpstr>
      <vt:lpstr>のり!リーチ数</vt:lpstr>
      <vt:lpstr>ぱぱ!リーチ数</vt:lpstr>
      <vt:lpstr>まっつん!リーチ数</vt:lpstr>
      <vt:lpstr>りくと!リーチ数</vt:lpstr>
      <vt:lpstr>れんたろう!リーチ数</vt:lpstr>
      <vt:lpstr>全体!リーチ数</vt:lpstr>
      <vt:lpstr>Template1!リーチ成功数</vt:lpstr>
      <vt:lpstr>だいち!リーチ成功数</vt:lpstr>
      <vt:lpstr>たかの!リーチ成功数</vt:lpstr>
      <vt:lpstr>ただ!リーチ成功数</vt:lpstr>
      <vt:lpstr>ともき!リーチ成功数</vt:lpstr>
      <vt:lpstr>のり!リーチ成功数</vt:lpstr>
      <vt:lpstr>ぱぱ!リーチ成功数</vt:lpstr>
      <vt:lpstr>まっつん!リーチ成功数</vt:lpstr>
      <vt:lpstr>りくと!リーチ成功数</vt:lpstr>
      <vt:lpstr>れんたろう!リーチ成功数</vt:lpstr>
      <vt:lpstr>全体!リーチ成功数</vt:lpstr>
      <vt:lpstr>Template1!リーチ成功率</vt:lpstr>
      <vt:lpstr>だいち!リーチ成功率</vt:lpstr>
      <vt:lpstr>たかの!リーチ成功率</vt:lpstr>
      <vt:lpstr>ただ!リーチ成功率</vt:lpstr>
      <vt:lpstr>ともき!リーチ成功率</vt:lpstr>
      <vt:lpstr>のり!リーチ成功率</vt:lpstr>
      <vt:lpstr>ぱぱ!リーチ成功率</vt:lpstr>
      <vt:lpstr>まっつん!リーチ成功率</vt:lpstr>
      <vt:lpstr>りくと!リーチ成功率</vt:lpstr>
      <vt:lpstr>れんたろう!リーチ成功率</vt:lpstr>
      <vt:lpstr>全体!リーチ成功率</vt:lpstr>
      <vt:lpstr>Template1!リーチ率</vt:lpstr>
      <vt:lpstr>だいち!リーチ率</vt:lpstr>
      <vt:lpstr>たかの!リーチ率</vt:lpstr>
      <vt:lpstr>ただ!リーチ率</vt:lpstr>
      <vt:lpstr>ともき!リーチ率</vt:lpstr>
      <vt:lpstr>のり!リーチ率</vt:lpstr>
      <vt:lpstr>ぱぱ!リーチ率</vt:lpstr>
      <vt:lpstr>まっつん!リーチ率</vt:lpstr>
      <vt:lpstr>りくと!リーチ率</vt:lpstr>
      <vt:lpstr>れんたろう!リーチ率</vt:lpstr>
      <vt:lpstr>全体!リーチ率</vt:lpstr>
      <vt:lpstr>Template1!ロン数</vt:lpstr>
      <vt:lpstr>だいち!ロン数</vt:lpstr>
      <vt:lpstr>たかの!ロン数</vt:lpstr>
      <vt:lpstr>ただ!ロン数</vt:lpstr>
      <vt:lpstr>ともき!ロン数</vt:lpstr>
      <vt:lpstr>のり!ロン数</vt:lpstr>
      <vt:lpstr>ぱぱ!ロン数</vt:lpstr>
      <vt:lpstr>まっつん!ロン数</vt:lpstr>
      <vt:lpstr>りくと!ロン数</vt:lpstr>
      <vt:lpstr>れんたろう!ロン数</vt:lpstr>
      <vt:lpstr>全体!ロン数</vt:lpstr>
      <vt:lpstr>Template1!ロン率</vt:lpstr>
      <vt:lpstr>だいち!ロン率</vt:lpstr>
      <vt:lpstr>たかの!ロン率</vt:lpstr>
      <vt:lpstr>ただ!ロン率</vt:lpstr>
      <vt:lpstr>ともき!ロン率</vt:lpstr>
      <vt:lpstr>のり!ロン率</vt:lpstr>
      <vt:lpstr>ぱぱ!ロン率</vt:lpstr>
      <vt:lpstr>まっつん!ロン率</vt:lpstr>
      <vt:lpstr>りくと!ロン率</vt:lpstr>
      <vt:lpstr>れんたろう!ロン率</vt:lpstr>
      <vt:lpstr>全体!ロン率</vt:lpstr>
      <vt:lpstr>だいち!一位スコア</vt:lpstr>
      <vt:lpstr>たかの!一位スコア</vt:lpstr>
      <vt:lpstr>ただ!一位スコア</vt:lpstr>
      <vt:lpstr>ともき!一位スコア</vt:lpstr>
      <vt:lpstr>のり!一位スコア</vt:lpstr>
      <vt:lpstr>ぱぱ!一位スコア</vt:lpstr>
      <vt:lpstr>まっつん!一位スコア</vt:lpstr>
      <vt:lpstr>りくと!一位スコア</vt:lpstr>
      <vt:lpstr>れんたろう!一位スコア</vt:lpstr>
      <vt:lpstr>全体!一位スコア</vt:lpstr>
      <vt:lpstr>一位スコア</vt:lpstr>
      <vt:lpstr>だいち!一位通算スコア</vt:lpstr>
      <vt:lpstr>たかの!一位通算スコア</vt:lpstr>
      <vt:lpstr>ただ!一位通算スコア</vt:lpstr>
      <vt:lpstr>ともき!一位通算スコア</vt:lpstr>
      <vt:lpstr>のり!一位通算スコア</vt:lpstr>
      <vt:lpstr>ぱぱ!一位通算スコア</vt:lpstr>
      <vt:lpstr>まっつん!一位通算スコア</vt:lpstr>
      <vt:lpstr>りくと!一位通算スコア</vt:lpstr>
      <vt:lpstr>れんたろう!一位通算スコア</vt:lpstr>
      <vt:lpstr>全体!一位通算スコア</vt:lpstr>
      <vt:lpstr>一位通算スコア</vt:lpstr>
      <vt:lpstr>だいち!一翻数</vt:lpstr>
      <vt:lpstr>たかの!一翻数</vt:lpstr>
      <vt:lpstr>ただ!一翻数</vt:lpstr>
      <vt:lpstr>ともき!一翻数</vt:lpstr>
      <vt:lpstr>のり!一翻数</vt:lpstr>
      <vt:lpstr>ぱぱ!一翻数</vt:lpstr>
      <vt:lpstr>まっつん!一翻数</vt:lpstr>
      <vt:lpstr>りくと!一翻数</vt:lpstr>
      <vt:lpstr>れんたろう!一翻数</vt:lpstr>
      <vt:lpstr>全体!一翻数</vt:lpstr>
      <vt:lpstr>一翻数</vt:lpstr>
      <vt:lpstr>だいち!一翻率</vt:lpstr>
      <vt:lpstr>たかの!一翻率</vt:lpstr>
      <vt:lpstr>ただ!一翻率</vt:lpstr>
      <vt:lpstr>ともき!一翻率</vt:lpstr>
      <vt:lpstr>のり!一翻率</vt:lpstr>
      <vt:lpstr>ぱぱ!一翻率</vt:lpstr>
      <vt:lpstr>まっつん!一翻率</vt:lpstr>
      <vt:lpstr>りくと!一翻率</vt:lpstr>
      <vt:lpstr>れんたろう!一翻率</vt:lpstr>
      <vt:lpstr>全体!一翻率</vt:lpstr>
      <vt:lpstr>一翻率</vt:lpstr>
      <vt:lpstr>Template1!現行連続アガリ</vt:lpstr>
      <vt:lpstr>だいち!現行連続アガリ</vt:lpstr>
      <vt:lpstr>たかの!現行連続アガリ</vt:lpstr>
      <vt:lpstr>ただ!現行連続アガリ</vt:lpstr>
      <vt:lpstr>ともき!現行連続アガリ</vt:lpstr>
      <vt:lpstr>のり!現行連続アガリ</vt:lpstr>
      <vt:lpstr>ぱぱ!現行連続アガリ</vt:lpstr>
      <vt:lpstr>まっつん!現行連続アガリ</vt:lpstr>
      <vt:lpstr>りくと!現行連続アガリ</vt:lpstr>
      <vt:lpstr>れんたろう!現行連続アガリ</vt:lpstr>
      <vt:lpstr>全体!現行連続アガリ</vt:lpstr>
      <vt:lpstr>Template1!現行連続無放銃</vt:lpstr>
      <vt:lpstr>だいち!現行連続無放銃</vt:lpstr>
      <vt:lpstr>たかの!現行連続無放銃</vt:lpstr>
      <vt:lpstr>ただ!現行連続無放銃</vt:lpstr>
      <vt:lpstr>ともき!現行連続無放銃</vt:lpstr>
      <vt:lpstr>のり!現行連続無放銃</vt:lpstr>
      <vt:lpstr>ぱぱ!現行連続無放銃</vt:lpstr>
      <vt:lpstr>まっつん!現行連続無放銃</vt:lpstr>
      <vt:lpstr>りくと!現行連続無放銃</vt:lpstr>
      <vt:lpstr>れんたろう!現行連続無放銃</vt:lpstr>
      <vt:lpstr>全体!現行連続無放銃</vt:lpstr>
      <vt:lpstr>Template1!最高点</vt:lpstr>
      <vt:lpstr>だいち!最高点</vt:lpstr>
      <vt:lpstr>たかの!最高点</vt:lpstr>
      <vt:lpstr>ただ!最高点</vt:lpstr>
      <vt:lpstr>ともき!最高点</vt:lpstr>
      <vt:lpstr>のり!最高点</vt:lpstr>
      <vt:lpstr>ぱぱ!最高点</vt:lpstr>
      <vt:lpstr>まっつん!最高点</vt:lpstr>
      <vt:lpstr>りくと!最高点</vt:lpstr>
      <vt:lpstr>れんたろう!最高点</vt:lpstr>
      <vt:lpstr>全体!最高点</vt:lpstr>
      <vt:lpstr>Template1!最大ドラ数</vt:lpstr>
      <vt:lpstr>だいち!最大ドラ数</vt:lpstr>
      <vt:lpstr>たかの!最大ドラ数</vt:lpstr>
      <vt:lpstr>ただ!最大ドラ数</vt:lpstr>
      <vt:lpstr>ともき!最大ドラ数</vt:lpstr>
      <vt:lpstr>のり!最大ドラ数</vt:lpstr>
      <vt:lpstr>ぱぱ!最大ドラ数</vt:lpstr>
      <vt:lpstr>まっつん!最大ドラ数</vt:lpstr>
      <vt:lpstr>りくと!最大ドラ数</vt:lpstr>
      <vt:lpstr>れんたろう!最大ドラ数</vt:lpstr>
      <vt:lpstr>全体!最大ドラ数</vt:lpstr>
      <vt:lpstr>Template1!最大点数</vt:lpstr>
      <vt:lpstr>だいち!最大点数</vt:lpstr>
      <vt:lpstr>たかの!最大点数</vt:lpstr>
      <vt:lpstr>ただ!最大点数</vt:lpstr>
      <vt:lpstr>ともき!最大点数</vt:lpstr>
      <vt:lpstr>のり!最大点数</vt:lpstr>
      <vt:lpstr>ぱぱ!最大点数</vt:lpstr>
      <vt:lpstr>まっつん!最大点数</vt:lpstr>
      <vt:lpstr>りくと!最大点数</vt:lpstr>
      <vt:lpstr>れんたろう!最大点数</vt:lpstr>
      <vt:lpstr>全体!最大点数</vt:lpstr>
      <vt:lpstr>だいち!三位スコア</vt:lpstr>
      <vt:lpstr>たかの!三位スコア</vt:lpstr>
      <vt:lpstr>ただ!三位スコア</vt:lpstr>
      <vt:lpstr>ともき!三位スコア</vt:lpstr>
      <vt:lpstr>のり!三位スコア</vt:lpstr>
      <vt:lpstr>ぱぱ!三位スコア</vt:lpstr>
      <vt:lpstr>まっつん!三位スコア</vt:lpstr>
      <vt:lpstr>りくと!三位スコア</vt:lpstr>
      <vt:lpstr>れんたろう!三位スコア</vt:lpstr>
      <vt:lpstr>全体!三位スコア</vt:lpstr>
      <vt:lpstr>三位スコア</vt:lpstr>
      <vt:lpstr>だいち!三位通算スコア</vt:lpstr>
      <vt:lpstr>たかの!三位通算スコア</vt:lpstr>
      <vt:lpstr>ただ!三位通算スコア</vt:lpstr>
      <vt:lpstr>ともき!三位通算スコア</vt:lpstr>
      <vt:lpstr>のり!三位通算スコア</vt:lpstr>
      <vt:lpstr>ぱぱ!三位通算スコア</vt:lpstr>
      <vt:lpstr>まっつん!三位通算スコア</vt:lpstr>
      <vt:lpstr>りくと!三位通算スコア</vt:lpstr>
      <vt:lpstr>れんたろう!三位通算スコア</vt:lpstr>
      <vt:lpstr>全体!三位通算スコア</vt:lpstr>
      <vt:lpstr>三位通算スコア</vt:lpstr>
      <vt:lpstr>Template1!総局数</vt:lpstr>
      <vt:lpstr>だいち!総局数</vt:lpstr>
      <vt:lpstr>たかの!総局数</vt:lpstr>
      <vt:lpstr>ただ!総局数</vt:lpstr>
      <vt:lpstr>ともき!総局数</vt:lpstr>
      <vt:lpstr>のり!総局数</vt:lpstr>
      <vt:lpstr>ぱぱ!総局数</vt:lpstr>
      <vt:lpstr>まっつん!総局数</vt:lpstr>
      <vt:lpstr>りくと!総局数</vt:lpstr>
      <vt:lpstr>れんたろう!総局数</vt:lpstr>
      <vt:lpstr>全体!総局数</vt:lpstr>
      <vt:lpstr>Template1!対戦数</vt:lpstr>
      <vt:lpstr>だいち!対戦数</vt:lpstr>
      <vt:lpstr>たかの!対戦数</vt:lpstr>
      <vt:lpstr>ただ!対戦数</vt:lpstr>
      <vt:lpstr>ともき!対戦数</vt:lpstr>
      <vt:lpstr>のり!対戦数</vt:lpstr>
      <vt:lpstr>ぱぱ!対戦数</vt:lpstr>
      <vt:lpstr>まっつん!対戦数</vt:lpstr>
      <vt:lpstr>りくと!対戦数</vt:lpstr>
      <vt:lpstr>れんたろう!対戦数</vt:lpstr>
      <vt:lpstr>全体!対戦数</vt:lpstr>
      <vt:lpstr>Template1!通算アガリ点</vt:lpstr>
      <vt:lpstr>だいち!通算アガリ点</vt:lpstr>
      <vt:lpstr>たかの!通算アガリ点</vt:lpstr>
      <vt:lpstr>ただ!通算アガリ点</vt:lpstr>
      <vt:lpstr>ともき!通算アガリ点</vt:lpstr>
      <vt:lpstr>のり!通算アガリ点</vt:lpstr>
      <vt:lpstr>ぱぱ!通算アガリ点</vt:lpstr>
      <vt:lpstr>まっつん!通算アガリ点</vt:lpstr>
      <vt:lpstr>りくと!通算アガリ点</vt:lpstr>
      <vt:lpstr>れんたろう!通算アガリ点</vt:lpstr>
      <vt:lpstr>全体!通算アガリ点</vt:lpstr>
      <vt:lpstr>Template1!通算スコア</vt:lpstr>
      <vt:lpstr>だいち!通算スコア</vt:lpstr>
      <vt:lpstr>たかの!通算スコア</vt:lpstr>
      <vt:lpstr>ただ!通算スコア</vt:lpstr>
      <vt:lpstr>ともき!通算スコア</vt:lpstr>
      <vt:lpstr>のり!通算スコア</vt:lpstr>
      <vt:lpstr>ぱぱ!通算スコア</vt:lpstr>
      <vt:lpstr>まっつん!通算スコア</vt:lpstr>
      <vt:lpstr>りくと!通算スコア</vt:lpstr>
      <vt:lpstr>れんたろう!通算スコア</vt:lpstr>
      <vt:lpstr>全体!通算スコア</vt:lpstr>
      <vt:lpstr>Template1!通算副露アガリ点</vt:lpstr>
      <vt:lpstr>だいち!通算副露アガリ点</vt:lpstr>
      <vt:lpstr>たかの!通算副露アガリ点</vt:lpstr>
      <vt:lpstr>ただ!通算副露アガリ点</vt:lpstr>
      <vt:lpstr>ともき!通算副露アガリ点</vt:lpstr>
      <vt:lpstr>のり!通算副露アガリ点</vt:lpstr>
      <vt:lpstr>ぱぱ!通算副露アガリ点</vt:lpstr>
      <vt:lpstr>まっつん!通算副露アガリ点</vt:lpstr>
      <vt:lpstr>りくと!通算副露アガリ点</vt:lpstr>
      <vt:lpstr>れんたろう!通算副露アガリ点</vt:lpstr>
      <vt:lpstr>全体!通算副露アガリ点</vt:lpstr>
      <vt:lpstr>Template1!通算放銃点</vt:lpstr>
      <vt:lpstr>だいち!通算放銃点</vt:lpstr>
      <vt:lpstr>たかの!通算放銃点</vt:lpstr>
      <vt:lpstr>ただ!通算放銃点</vt:lpstr>
      <vt:lpstr>ともき!通算放銃点</vt:lpstr>
      <vt:lpstr>のり!通算放銃点</vt:lpstr>
      <vt:lpstr>ぱぱ!通算放銃点</vt:lpstr>
      <vt:lpstr>まっつん!通算放銃点</vt:lpstr>
      <vt:lpstr>りくと!通算放銃点</vt:lpstr>
      <vt:lpstr>れんたろう!通算放銃点</vt:lpstr>
      <vt:lpstr>全体!通算放銃点</vt:lpstr>
      <vt:lpstr>Template1!通算門前アガリ点</vt:lpstr>
      <vt:lpstr>だいち!通算門前アガリ点</vt:lpstr>
      <vt:lpstr>たかの!通算門前アガリ点</vt:lpstr>
      <vt:lpstr>ただ!通算門前アガリ点</vt:lpstr>
      <vt:lpstr>ともき!通算門前アガリ点</vt:lpstr>
      <vt:lpstr>のり!通算門前アガリ点</vt:lpstr>
      <vt:lpstr>ぱぱ!通算門前アガリ点</vt:lpstr>
      <vt:lpstr>まっつん!通算門前アガリ点</vt:lpstr>
      <vt:lpstr>りくと!通算門前アガリ点</vt:lpstr>
      <vt:lpstr>れんたろう!通算門前アガリ点</vt:lpstr>
      <vt:lpstr>全体!通算門前アガリ点</vt:lpstr>
      <vt:lpstr>だいち!二位スコア</vt:lpstr>
      <vt:lpstr>たかの!二位スコア</vt:lpstr>
      <vt:lpstr>ただ!二位スコア</vt:lpstr>
      <vt:lpstr>ともき!二位スコア</vt:lpstr>
      <vt:lpstr>のり!二位スコア</vt:lpstr>
      <vt:lpstr>ぱぱ!二位スコア</vt:lpstr>
      <vt:lpstr>まっつん!二位スコア</vt:lpstr>
      <vt:lpstr>りくと!二位スコア</vt:lpstr>
      <vt:lpstr>れんたろう!二位スコア</vt:lpstr>
      <vt:lpstr>全体!二位スコア</vt:lpstr>
      <vt:lpstr>二位スコア</vt:lpstr>
      <vt:lpstr>Template1!二位数</vt:lpstr>
      <vt:lpstr>だいち!二位数</vt:lpstr>
      <vt:lpstr>たかの!二位数</vt:lpstr>
      <vt:lpstr>ただ!二位数</vt:lpstr>
      <vt:lpstr>ともき!二位数</vt:lpstr>
      <vt:lpstr>のり!二位数</vt:lpstr>
      <vt:lpstr>ぱぱ!二位数</vt:lpstr>
      <vt:lpstr>まっつん!二位数</vt:lpstr>
      <vt:lpstr>りくと!二位数</vt:lpstr>
      <vt:lpstr>れんたろう!二位数</vt:lpstr>
      <vt:lpstr>全体!二位数</vt:lpstr>
      <vt:lpstr>だいち!二位通算スコア</vt:lpstr>
      <vt:lpstr>たかの!二位通算スコア</vt:lpstr>
      <vt:lpstr>ただ!二位通算スコア</vt:lpstr>
      <vt:lpstr>ともき!二位通算スコア</vt:lpstr>
      <vt:lpstr>のり!二位通算スコア</vt:lpstr>
      <vt:lpstr>ぱぱ!二位通算スコア</vt:lpstr>
      <vt:lpstr>まっつん!二位通算スコア</vt:lpstr>
      <vt:lpstr>りくと!二位通算スコア</vt:lpstr>
      <vt:lpstr>れんたろう!二位通算スコア</vt:lpstr>
      <vt:lpstr>全体!二位通算スコア</vt:lpstr>
      <vt:lpstr>二位通算スコア</vt:lpstr>
      <vt:lpstr>Template1!二位率</vt:lpstr>
      <vt:lpstr>だいち!二位率</vt:lpstr>
      <vt:lpstr>たかの!二位率</vt:lpstr>
      <vt:lpstr>ただ!二位率</vt:lpstr>
      <vt:lpstr>ともき!二位率</vt:lpstr>
      <vt:lpstr>のり!二位率</vt:lpstr>
      <vt:lpstr>ぱぱ!二位率</vt:lpstr>
      <vt:lpstr>まっつん!二位率</vt:lpstr>
      <vt:lpstr>りくと!二位率</vt:lpstr>
      <vt:lpstr>れんたろう!二位率</vt:lpstr>
      <vt:lpstr>全体!二位率</vt:lpstr>
      <vt:lpstr>Template1!副露アガリ数</vt:lpstr>
      <vt:lpstr>だいち!副露アガリ数</vt:lpstr>
      <vt:lpstr>たかの!副露アガリ数</vt:lpstr>
      <vt:lpstr>ただ!副露アガリ数</vt:lpstr>
      <vt:lpstr>ともき!副露アガリ数</vt:lpstr>
      <vt:lpstr>のり!副露アガリ数</vt:lpstr>
      <vt:lpstr>ぱぱ!副露アガリ数</vt:lpstr>
      <vt:lpstr>まっつん!副露アガリ数</vt:lpstr>
      <vt:lpstr>りくと!副露アガリ数</vt:lpstr>
      <vt:lpstr>れんたろう!副露アガリ数</vt:lpstr>
      <vt:lpstr>全体!副露アガリ数</vt:lpstr>
      <vt:lpstr>Template1!副露アガリ点</vt:lpstr>
      <vt:lpstr>だいち!副露アガリ点</vt:lpstr>
      <vt:lpstr>たかの!副露アガリ点</vt:lpstr>
      <vt:lpstr>ただ!副露アガリ点</vt:lpstr>
      <vt:lpstr>ともき!副露アガリ点</vt:lpstr>
      <vt:lpstr>のり!副露アガリ点</vt:lpstr>
      <vt:lpstr>ぱぱ!副露アガリ点</vt:lpstr>
      <vt:lpstr>まっつん!副露アガリ点</vt:lpstr>
      <vt:lpstr>りくと!副露アガリ点</vt:lpstr>
      <vt:lpstr>れんたろう!副露アガリ点</vt:lpstr>
      <vt:lpstr>全体!副露アガリ点</vt:lpstr>
      <vt:lpstr>Template1!副露アガリ率</vt:lpstr>
      <vt:lpstr>だいち!副露アガリ率</vt:lpstr>
      <vt:lpstr>たかの!副露アガリ率</vt:lpstr>
      <vt:lpstr>ただ!副露アガリ率</vt:lpstr>
      <vt:lpstr>ともき!副露アガリ率</vt:lpstr>
      <vt:lpstr>のり!副露アガリ率</vt:lpstr>
      <vt:lpstr>ぱぱ!副露アガリ率</vt:lpstr>
      <vt:lpstr>まっつん!副露アガリ率</vt:lpstr>
      <vt:lpstr>りくと!副露アガリ率</vt:lpstr>
      <vt:lpstr>れんたろう!副露アガリ率</vt:lpstr>
      <vt:lpstr>全体!副露アガリ率</vt:lpstr>
      <vt:lpstr>Template1!副露数</vt:lpstr>
      <vt:lpstr>だいち!副露数</vt:lpstr>
      <vt:lpstr>たかの!副露数</vt:lpstr>
      <vt:lpstr>ただ!副露数</vt:lpstr>
      <vt:lpstr>ともき!副露数</vt:lpstr>
      <vt:lpstr>のり!副露数</vt:lpstr>
      <vt:lpstr>ぱぱ!副露数</vt:lpstr>
      <vt:lpstr>まっつん!副露数</vt:lpstr>
      <vt:lpstr>りくと!副露数</vt:lpstr>
      <vt:lpstr>れんたろう!副露数</vt:lpstr>
      <vt:lpstr>全体!副露数</vt:lpstr>
      <vt:lpstr>Template1!副露成功数</vt:lpstr>
      <vt:lpstr>だいち!副露成功数</vt:lpstr>
      <vt:lpstr>たかの!副露成功数</vt:lpstr>
      <vt:lpstr>ただ!副露成功数</vt:lpstr>
      <vt:lpstr>ともき!副露成功数</vt:lpstr>
      <vt:lpstr>のり!副露成功数</vt:lpstr>
      <vt:lpstr>ぱぱ!副露成功数</vt:lpstr>
      <vt:lpstr>まっつん!副露成功数</vt:lpstr>
      <vt:lpstr>りくと!副露成功数</vt:lpstr>
      <vt:lpstr>れんたろう!副露成功数</vt:lpstr>
      <vt:lpstr>全体!副露成功数</vt:lpstr>
      <vt:lpstr>Template1!副露成功率</vt:lpstr>
      <vt:lpstr>だいち!副露成功率</vt:lpstr>
      <vt:lpstr>たかの!副露成功率</vt:lpstr>
      <vt:lpstr>ただ!副露成功率</vt:lpstr>
      <vt:lpstr>ともき!副露成功率</vt:lpstr>
      <vt:lpstr>のり!副露成功率</vt:lpstr>
      <vt:lpstr>ぱぱ!副露成功率</vt:lpstr>
      <vt:lpstr>まっつん!副露成功率</vt:lpstr>
      <vt:lpstr>りくと!副露成功率</vt:lpstr>
      <vt:lpstr>れんたろう!副露成功率</vt:lpstr>
      <vt:lpstr>全体!副露成功率</vt:lpstr>
      <vt:lpstr>Template1!副露率</vt:lpstr>
      <vt:lpstr>だいち!副露率</vt:lpstr>
      <vt:lpstr>たかの!副露率</vt:lpstr>
      <vt:lpstr>ただ!副露率</vt:lpstr>
      <vt:lpstr>ともき!副露率</vt:lpstr>
      <vt:lpstr>のり!副露率</vt:lpstr>
      <vt:lpstr>ぱぱ!副露率</vt:lpstr>
      <vt:lpstr>まっつん!副露率</vt:lpstr>
      <vt:lpstr>りくと!副露率</vt:lpstr>
      <vt:lpstr>れんたろう!副露率</vt:lpstr>
      <vt:lpstr>全体!副露率</vt:lpstr>
      <vt:lpstr>Template1!平均アガリ点</vt:lpstr>
      <vt:lpstr>だいち!平均アガリ点</vt:lpstr>
      <vt:lpstr>たかの!平均アガリ点</vt:lpstr>
      <vt:lpstr>ただ!平均アガリ点</vt:lpstr>
      <vt:lpstr>ともき!平均アガリ点</vt:lpstr>
      <vt:lpstr>のり!平均アガリ点</vt:lpstr>
      <vt:lpstr>ぱぱ!平均アガリ点</vt:lpstr>
      <vt:lpstr>まっつん!平均アガリ点</vt:lpstr>
      <vt:lpstr>りくと!平均アガリ点</vt:lpstr>
      <vt:lpstr>れんたろう!平均アガリ点</vt:lpstr>
      <vt:lpstr>全体!平均アガリ点</vt:lpstr>
      <vt:lpstr>Template1!平均スコア</vt:lpstr>
      <vt:lpstr>だいち!平均スコア</vt:lpstr>
      <vt:lpstr>たかの!平均スコア</vt:lpstr>
      <vt:lpstr>ただ!平均スコア</vt:lpstr>
      <vt:lpstr>ともき!平均スコア</vt:lpstr>
      <vt:lpstr>のり!平均スコア</vt:lpstr>
      <vt:lpstr>ぱぱ!平均スコア</vt:lpstr>
      <vt:lpstr>まっつん!平均スコア</vt:lpstr>
      <vt:lpstr>りくと!平均スコア</vt:lpstr>
      <vt:lpstr>れんたろう!平均スコア</vt:lpstr>
      <vt:lpstr>全体!平均スコア</vt:lpstr>
      <vt:lpstr>Template1!平均順位</vt:lpstr>
      <vt:lpstr>だいち!平均順位</vt:lpstr>
      <vt:lpstr>たかの!平均順位</vt:lpstr>
      <vt:lpstr>ただ!平均順位</vt:lpstr>
      <vt:lpstr>ともき!平均順位</vt:lpstr>
      <vt:lpstr>のり!平均順位</vt:lpstr>
      <vt:lpstr>ぱぱ!平均順位</vt:lpstr>
      <vt:lpstr>まっつん!平均順位</vt:lpstr>
      <vt:lpstr>りくと!平均順位</vt:lpstr>
      <vt:lpstr>れんたろう!平均順位</vt:lpstr>
      <vt:lpstr>全体!平均順位</vt:lpstr>
      <vt:lpstr>Template1!平均放銃点</vt:lpstr>
      <vt:lpstr>だいち!平均放銃点</vt:lpstr>
      <vt:lpstr>たかの!平均放銃点</vt:lpstr>
      <vt:lpstr>ただ!平均放銃点</vt:lpstr>
      <vt:lpstr>ともき!平均放銃点</vt:lpstr>
      <vt:lpstr>のり!平均放銃点</vt:lpstr>
      <vt:lpstr>ぱぱ!平均放銃点</vt:lpstr>
      <vt:lpstr>まっつん!平均放銃点</vt:lpstr>
      <vt:lpstr>りくと!平均放銃点</vt:lpstr>
      <vt:lpstr>れんたろう!平均放銃点</vt:lpstr>
      <vt:lpstr>全体!平均放銃点</vt:lpstr>
      <vt:lpstr>Template1!放銃数</vt:lpstr>
      <vt:lpstr>だいち!放銃数</vt:lpstr>
      <vt:lpstr>たかの!放銃数</vt:lpstr>
      <vt:lpstr>ただ!放銃数</vt:lpstr>
      <vt:lpstr>ともき!放銃数</vt:lpstr>
      <vt:lpstr>のり!放銃数</vt:lpstr>
      <vt:lpstr>ぱぱ!放銃数</vt:lpstr>
      <vt:lpstr>まっつん!放銃数</vt:lpstr>
      <vt:lpstr>りくと!放銃数</vt:lpstr>
      <vt:lpstr>れんたろう!放銃数</vt:lpstr>
      <vt:lpstr>全体!放銃数</vt:lpstr>
      <vt:lpstr>Template1!放銃率</vt:lpstr>
      <vt:lpstr>だいち!放銃率</vt:lpstr>
      <vt:lpstr>たかの!放銃率</vt:lpstr>
      <vt:lpstr>ただ!放銃率</vt:lpstr>
      <vt:lpstr>ともき!放銃率</vt:lpstr>
      <vt:lpstr>のり!放銃率</vt:lpstr>
      <vt:lpstr>ぱぱ!放銃率</vt:lpstr>
      <vt:lpstr>まっつん!放銃率</vt:lpstr>
      <vt:lpstr>りくと!放銃率</vt:lpstr>
      <vt:lpstr>れんたろう!放銃率</vt:lpstr>
      <vt:lpstr>全体!放銃率</vt:lpstr>
      <vt:lpstr>Template1!名前</vt:lpstr>
      <vt:lpstr>だいち!名前</vt:lpstr>
      <vt:lpstr>たかの!名前</vt:lpstr>
      <vt:lpstr>ただ!名前</vt:lpstr>
      <vt:lpstr>ともき!名前</vt:lpstr>
      <vt:lpstr>のり!名前</vt:lpstr>
      <vt:lpstr>ぱぱ!名前</vt:lpstr>
      <vt:lpstr>まっつん!名前</vt:lpstr>
      <vt:lpstr>りくと!名前</vt:lpstr>
      <vt:lpstr>れんたろう!名前</vt:lpstr>
      <vt:lpstr>全体!名前</vt:lpstr>
      <vt:lpstr>Template1!門前アガリ点</vt:lpstr>
      <vt:lpstr>だいち!門前アガリ点</vt:lpstr>
      <vt:lpstr>たかの!門前アガリ点</vt:lpstr>
      <vt:lpstr>ただ!門前アガリ点</vt:lpstr>
      <vt:lpstr>ともき!門前アガリ点</vt:lpstr>
      <vt:lpstr>のり!門前アガリ点</vt:lpstr>
      <vt:lpstr>ぱぱ!門前アガリ点</vt:lpstr>
      <vt:lpstr>まっつん!門前アガリ点</vt:lpstr>
      <vt:lpstr>りくと!門前アガリ点</vt:lpstr>
      <vt:lpstr>れんたろう!門前アガリ点</vt:lpstr>
      <vt:lpstr>全体!門前アガリ点</vt:lpstr>
      <vt:lpstr>Template1!連続アガリ</vt:lpstr>
      <vt:lpstr>だいち!連続アガリ</vt:lpstr>
      <vt:lpstr>たかの!連続アガリ</vt:lpstr>
      <vt:lpstr>ただ!連続アガリ</vt:lpstr>
      <vt:lpstr>ともき!連続アガリ</vt:lpstr>
      <vt:lpstr>のり!連続アガリ</vt:lpstr>
      <vt:lpstr>ぱぱ!連続アガリ</vt:lpstr>
      <vt:lpstr>まっつん!連続アガリ</vt:lpstr>
      <vt:lpstr>りくと!連続アガリ</vt:lpstr>
      <vt:lpstr>れんたろう!連続アガリ</vt:lpstr>
      <vt:lpstr>全体!連続アガリ</vt:lpstr>
      <vt:lpstr>Template1!連続無放銃</vt:lpstr>
      <vt:lpstr>だいち!連続無放銃</vt:lpstr>
      <vt:lpstr>たかの!連続無放銃</vt:lpstr>
      <vt:lpstr>ただ!連続無放銃</vt:lpstr>
      <vt:lpstr>ともき!連続無放銃</vt:lpstr>
      <vt:lpstr>のり!連続無放銃</vt:lpstr>
      <vt:lpstr>ぱぱ!連続無放銃</vt:lpstr>
      <vt:lpstr>まっつん!連続無放銃</vt:lpstr>
      <vt:lpstr>りくと!連続無放銃</vt:lpstr>
      <vt:lpstr>れんたろう!連続無放銃</vt:lpstr>
      <vt:lpstr>全体!連続無放銃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2020-06-26T07:29:47Z</dcterms:modified>
</cp:coreProperties>
</file>