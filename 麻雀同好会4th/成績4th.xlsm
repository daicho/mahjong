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4325E626-9F4D-4E2D-B010-2CAF5D43F473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7" i="6176"/>
  <c r="O19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7" i="6182" l="1"/>
  <c r="O16" i="6190"/>
  <c r="O16" i="6178"/>
  <c r="O18" i="6186"/>
  <c r="O19" i="6190" l="1"/>
  <c r="O15" i="6178"/>
  <c r="O18" i="6190"/>
  <c r="O15" i="6176"/>
  <c r="O15" i="6184" l="1"/>
  <c r="O17" i="6178"/>
  <c r="O20" i="6180"/>
  <c r="O19" i="6184"/>
  <c r="O17" i="6174"/>
  <c r="O17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0" i="6190"/>
  <c r="H15" i="6190"/>
  <c r="C24" i="6190"/>
  <c r="H31" i="6190"/>
  <c r="H19" i="6190"/>
  <c r="H42" i="6190"/>
  <c r="H33" i="6190"/>
  <c r="H3" i="6190"/>
  <c r="H26" i="6190"/>
  <c r="C42" i="6190"/>
  <c r="H9" i="6190"/>
  <c r="C19" i="6190"/>
  <c r="C25" i="6190"/>
  <c r="H36" i="6190"/>
  <c r="H23" i="6190"/>
  <c r="C36" i="6190"/>
  <c r="H48" i="6190"/>
  <c r="C46" i="6190"/>
  <c r="H13" i="6190"/>
  <c r="H27" i="6190"/>
  <c r="H47" i="6190"/>
  <c r="H17" i="6190"/>
  <c r="H24" i="6190"/>
  <c r="C48" i="6190"/>
  <c r="H2" i="6190"/>
  <c r="H43" i="6190"/>
  <c r="H29" i="6190"/>
  <c r="H37" i="6190"/>
  <c r="H12" i="6190"/>
  <c r="H38" i="6190"/>
  <c r="H6" i="6190"/>
  <c r="H18" i="6190"/>
  <c r="H21" i="6190"/>
  <c r="C21" i="6190"/>
  <c r="H30" i="6190"/>
  <c r="H41" i="6190"/>
  <c r="H49" i="6190"/>
  <c r="C38" i="6190"/>
  <c r="H44" i="6190"/>
  <c r="H11" i="6190"/>
  <c r="H14" i="6190"/>
  <c r="B26" i="6190"/>
  <c r="H34" i="6190"/>
  <c r="H39" i="6190"/>
  <c r="C44" i="6190"/>
  <c r="H51" i="6190"/>
  <c r="H16" i="6190"/>
  <c r="H4" i="6190"/>
  <c r="H7" i="6190"/>
  <c r="H20" i="6190"/>
  <c r="H22" i="6190"/>
  <c r="C22" i="6190"/>
  <c r="B27" i="6190"/>
  <c r="H40" i="6190"/>
  <c r="H45" i="6190"/>
  <c r="H5" i="6190"/>
  <c r="C23" i="6190"/>
  <c r="H8" i="6190"/>
  <c r="H35" i="6190"/>
  <c r="C40" i="6190"/>
  <c r="H46" i="6190"/>
  <c r="H52" i="6190"/>
  <c r="C39" i="6190"/>
  <c r="C43" i="6190"/>
  <c r="C47" i="6190"/>
  <c r="H25" i="6190"/>
  <c r="H28" i="6190"/>
  <c r="H32" i="6190"/>
  <c r="C37" i="6190"/>
  <c r="C41" i="6190"/>
  <c r="C45" i="6190"/>
  <c r="O19" i="6180" l="1"/>
  <c r="O20" i="6186"/>
  <c r="O21" i="6176"/>
  <c r="O16" i="6186"/>
  <c r="O17" i="6180" l="1"/>
  <c r="O19" i="6182"/>
  <c r="O22" i="6176"/>
  <c r="O18" i="6176"/>
  <c r="O15" i="6182"/>
  <c r="O18" i="6184"/>
  <c r="O16" i="6188" l="1"/>
  <c r="O19" i="6188"/>
  <c r="O21" i="6184"/>
  <c r="O20" i="6184"/>
  <c r="O15" i="6180"/>
  <c r="O18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5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6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18" i="6174"/>
  <c r="O16" i="6180"/>
  <c r="O21" i="6180"/>
  <c r="C34" i="6180"/>
  <c r="B29" i="6180"/>
  <c r="C20" i="6180"/>
  <c r="B19" i="6180"/>
  <c r="H15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20" i="6174"/>
  <c r="O20" i="6176"/>
  <c r="O16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4" i="6182"/>
  <c r="H52" i="6182"/>
  <c r="H22" i="6182"/>
  <c r="C21" i="6182"/>
  <c r="H5" i="6182"/>
  <c r="H35" i="6182"/>
  <c r="H2" i="6182"/>
  <c r="H8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3" i="6182"/>
  <c r="H12" i="6182"/>
  <c r="H23" i="6182"/>
  <c r="B26" i="6182"/>
  <c r="H36" i="6182"/>
  <c r="H45" i="6182"/>
  <c r="H15" i="6182"/>
  <c r="H10" i="6182"/>
  <c r="H39" i="6182"/>
  <c r="C46" i="6182"/>
  <c r="H19" i="6182"/>
  <c r="H16" i="6182"/>
  <c r="H9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1" i="6182"/>
  <c r="H17" i="6182"/>
  <c r="C38" i="6182"/>
  <c r="C43" i="6182"/>
  <c r="C48" i="6182"/>
  <c r="H27" i="6176"/>
  <c r="H33" i="6176"/>
  <c r="H43" i="6176"/>
  <c r="H23" i="6176"/>
  <c r="H12" i="6176"/>
  <c r="C47" i="6176"/>
  <c r="H48" i="6176"/>
  <c r="H21" i="6176"/>
  <c r="H37" i="6176"/>
  <c r="H7" i="6176"/>
  <c r="C22" i="6176"/>
  <c r="C36" i="6176"/>
  <c r="H26" i="6176"/>
  <c r="H18" i="6176"/>
  <c r="H10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6" i="6184"/>
  <c r="H14" i="6184"/>
  <c r="H25" i="6184"/>
  <c r="H34" i="6184"/>
  <c r="H21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2" i="6186"/>
  <c r="H35" i="6186"/>
  <c r="H23" i="6186"/>
  <c r="H38" i="6186"/>
  <c r="H9" i="6186"/>
  <c r="H20" i="6186"/>
  <c r="H8" i="6186"/>
  <c r="C40" i="6186"/>
  <c r="H18" i="6186"/>
  <c r="C23" i="6186"/>
  <c r="H43" i="6186"/>
  <c r="H7" i="6186"/>
  <c r="H16" i="6186"/>
  <c r="H24" i="6186"/>
  <c r="H29" i="6186"/>
  <c r="C22" i="6186"/>
  <c r="B27" i="6186"/>
  <c r="H25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8" i="6186"/>
  <c r="H37" i="6186"/>
  <c r="C43" i="6186"/>
  <c r="C44" i="6186"/>
  <c r="H6" i="6186"/>
  <c r="B26" i="6186"/>
  <c r="H47" i="6186"/>
  <c r="H11" i="6186"/>
  <c r="H14" i="6186"/>
  <c r="H21" i="6186"/>
  <c r="C36" i="6186"/>
  <c r="H26" i="6186"/>
  <c r="H31" i="6186"/>
  <c r="H40" i="6186"/>
  <c r="H48" i="6186"/>
  <c r="H12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19" i="6186"/>
  <c r="C25" i="6186"/>
  <c r="H42" i="6186"/>
  <c r="H46" i="6186"/>
  <c r="H52" i="6186"/>
  <c r="B28" i="6186"/>
  <c r="H27" i="6186"/>
  <c r="H30" i="6186"/>
  <c r="H34" i="6186"/>
  <c r="C37" i="6186"/>
  <c r="C41" i="6186"/>
  <c r="C45" i="6186"/>
  <c r="H51" i="6186"/>
  <c r="H13" i="6186"/>
  <c r="H15" i="6186"/>
  <c r="H10" i="6186"/>
  <c r="H36" i="6186"/>
  <c r="C38" i="6186"/>
  <c r="C42" i="6186"/>
  <c r="C46" i="6186"/>
  <c r="H33" i="6174"/>
  <c r="H43" i="6184"/>
  <c r="H15" i="6184"/>
  <c r="H35" i="6184"/>
  <c r="C44" i="6184"/>
  <c r="H4" i="6184"/>
  <c r="H11" i="6184"/>
  <c r="H22" i="6184"/>
  <c r="C22" i="6184"/>
  <c r="H46" i="6184"/>
  <c r="H10" i="6184"/>
  <c r="H7" i="6184"/>
  <c r="C23" i="6184"/>
  <c r="C36" i="6184"/>
  <c r="H48" i="6184"/>
  <c r="H38" i="6184"/>
  <c r="H3" i="6184"/>
  <c r="H24" i="6184"/>
  <c r="H30" i="6184"/>
  <c r="H40" i="6184"/>
  <c r="H20" i="6184"/>
  <c r="H2" i="6184"/>
  <c r="C25" i="6184"/>
  <c r="H49" i="6184"/>
  <c r="H26" i="6184"/>
  <c r="H8" i="6184"/>
  <c r="H41" i="6184"/>
  <c r="H5" i="6184"/>
  <c r="H23" i="6184"/>
  <c r="C21" i="6184"/>
  <c r="B26" i="6184"/>
  <c r="C40" i="6184"/>
  <c r="H47" i="6184"/>
  <c r="H52" i="6184"/>
  <c r="H9" i="6184"/>
  <c r="H13" i="6184"/>
  <c r="B27" i="6184"/>
  <c r="H37" i="6184"/>
  <c r="H42" i="6184"/>
  <c r="C46" i="6184"/>
  <c r="H29" i="6184"/>
  <c r="H18" i="6184"/>
  <c r="H39" i="6184"/>
  <c r="H44" i="6184"/>
  <c r="C48" i="6184"/>
  <c r="C19" i="6184"/>
  <c r="C24" i="6184"/>
  <c r="H19" i="6184"/>
  <c r="C38" i="6184"/>
  <c r="H45" i="6184"/>
  <c r="H50" i="6184"/>
  <c r="H12" i="6184"/>
  <c r="H27" i="6184"/>
  <c r="H16" i="6184"/>
  <c r="H32" i="6184"/>
  <c r="H36" i="6184"/>
  <c r="C39" i="6184"/>
  <c r="C43" i="6184"/>
  <c r="C47" i="6184"/>
  <c r="H28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8" i="6180"/>
  <c r="C18" i="6180"/>
  <c r="H25" i="6180"/>
  <c r="C21" i="6180"/>
  <c r="H29" i="6180"/>
  <c r="H36" i="6180"/>
  <c r="H14" i="6180"/>
  <c r="C40" i="6180"/>
  <c r="H4" i="6180"/>
  <c r="H18" i="6180"/>
  <c r="C22" i="6180"/>
  <c r="H42" i="6180"/>
  <c r="H2" i="6180"/>
  <c r="H27" i="6180"/>
  <c r="H5" i="6180"/>
  <c r="C25" i="6180"/>
  <c r="C42" i="6180"/>
  <c r="H46" i="6180"/>
  <c r="H16" i="6180"/>
  <c r="C46" i="6180"/>
  <c r="B26" i="6180"/>
  <c r="H37" i="6180"/>
  <c r="H48" i="6180"/>
  <c r="H7" i="6180"/>
  <c r="H12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3" i="6180"/>
  <c r="H19" i="6180"/>
  <c r="H13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7" i="6180"/>
  <c r="C23" i="6180"/>
  <c r="B27" i="6180"/>
  <c r="H35" i="6180"/>
  <c r="H39" i="6180"/>
  <c r="H43" i="6180"/>
  <c r="H47" i="6180"/>
  <c r="C18" i="6174"/>
  <c r="H7" i="6174"/>
  <c r="C36" i="6174"/>
  <c r="H29" i="6174"/>
  <c r="H30" i="6174"/>
  <c r="H43" i="6174"/>
  <c r="H32" i="6174"/>
  <c r="H21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1" i="6176"/>
  <c r="H19" i="6176"/>
  <c r="H40" i="6176"/>
  <c r="H45" i="6176"/>
  <c r="H50" i="6176"/>
  <c r="H24" i="6176"/>
  <c r="H17" i="6176"/>
  <c r="H9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4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1" i="6174"/>
  <c r="H15" i="6174"/>
  <c r="H17" i="6174"/>
  <c r="H37" i="6174"/>
  <c r="C44" i="6174"/>
  <c r="H28" i="6174"/>
  <c r="H42" i="6174"/>
  <c r="H46" i="6174"/>
  <c r="H5" i="6174"/>
  <c r="H39" i="6174"/>
  <c r="H23" i="6174"/>
  <c r="H18" i="6174"/>
  <c r="H44" i="6174"/>
  <c r="H41" i="6174"/>
  <c r="H25" i="6174"/>
  <c r="H2" i="6174"/>
  <c r="H3" i="6174"/>
  <c r="H22" i="6174"/>
  <c r="C21" i="6174"/>
  <c r="B26" i="6174"/>
  <c r="C40" i="6174"/>
  <c r="H47" i="6174"/>
  <c r="H52" i="6174"/>
  <c r="H16" i="6174"/>
  <c r="H34" i="6174"/>
  <c r="H14" i="6174"/>
  <c r="H36" i="6174"/>
  <c r="H38" i="6174"/>
  <c r="C39" i="6174"/>
  <c r="C43" i="6174"/>
  <c r="C47" i="6174"/>
  <c r="H27" i="6174"/>
  <c r="H35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<sst xmlns="http://schemas.openxmlformats.org/spreadsheetml/2006/main" count="2658" uniqueCount="221">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</sst>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全体!$K$2:$K$209</c:f>
              <c:numCache>
                <c:formatCode>General</c:formatCode>
                <c:ptCount val="2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全体!$L$2:$L$209</c:f>
              <c:numCache>
                <c:formatCode>\+0.0;\-0.0;\±0</c:formatCode>
                <c:ptCount val="208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-9.8039215686274517</c:v>
                </c:pt>
                <c:pt idx="1">
                  <c:v>-9.9502487562189046</c:v>
                </c:pt>
                <c:pt idx="2">
                  <c:v>0</c:v>
                </c:pt>
                <c:pt idx="3">
                  <c:v>18.181818181818183</c:v>
                </c:pt>
                <c:pt idx="4">
                  <c:v>-62.5</c:v>
                </c:pt>
                <c:pt idx="5">
                  <c:v>76.92307692307692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36</c:v>
                </c:pt>
                <c:pt idx="1">
                  <c:v>85</c:v>
                </c:pt>
                <c:pt idx="2">
                  <c:v>76</c:v>
                </c:pt>
                <c:pt idx="3">
                  <c:v>85</c:v>
                </c:pt>
                <c:pt idx="4">
                  <c:v>72</c:v>
                </c:pt>
                <c:pt idx="5">
                  <c:v>41</c:v>
                </c:pt>
                <c:pt idx="6">
                  <c:v>28</c:v>
                </c:pt>
                <c:pt idx="7">
                  <c:v>10</c:v>
                </c:pt>
                <c:pt idx="8">
                  <c:v>8</c:v>
                </c:pt>
                <c:pt idx="9">
                  <c:v>6</c:v>
                </c:pt>
                <c:pt idx="10">
                  <c:v>3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れんたろう!$L$2:$L$40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-2978.3783783783783</c:v>
                </c:pt>
                <c:pt idx="1">
                  <c:v>-778.37837837837833</c:v>
                </c:pt>
                <c:pt idx="2">
                  <c:v>-464.70588235294116</c:v>
                </c:pt>
                <c:pt idx="3">
                  <c:v>-2719.3548387096776</c:v>
                </c:pt>
                <c:pt idx="4">
                  <c:v>1293.1034482758621</c:v>
                </c:pt>
                <c:pt idx="5">
                  <c:v>3677.2727272727275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5</c:v>
                </c:pt>
                <c:pt idx="3">
                  <c:v>20</c:v>
                </c:pt>
                <c:pt idx="4">
                  <c:v>16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だいち!$L$2:$L$52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102</c:v>
                </c:pt>
                <c:pt idx="1">
                  <c:v>4112.2448979591836</c:v>
                </c:pt>
                <c:pt idx="2">
                  <c:v>4950</c:v>
                </c:pt>
                <c:pt idx="3">
                  <c:v>3382.5</c:v>
                </c:pt>
                <c:pt idx="4">
                  <c:v>-1788.8888888888889</c:v>
                </c:pt>
                <c:pt idx="5">
                  <c:v>1244.8275862068965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19</c:v>
                </c:pt>
                <c:pt idx="3">
                  <c:v>27</c:v>
                </c:pt>
                <c:pt idx="4">
                  <c:v>27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-4610</c:v>
                </c:pt>
                <c:pt idx="1">
                  <c:v>757.89473684210532</c:v>
                </c:pt>
                <c:pt idx="2">
                  <c:v>-4517.6470588235297</c:v>
                </c:pt>
                <c:pt idx="3">
                  <c:v>2546.1538461538462</c:v>
                </c:pt>
                <c:pt idx="4">
                  <c:v>1750</c:v>
                </c:pt>
                <c:pt idx="5">
                  <c:v>-4855.5555555555557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1052.7777777777778</c:v>
                </c:pt>
                <c:pt idx="1">
                  <c:v>-916.66666666666663</c:v>
                </c:pt>
                <c:pt idx="2">
                  <c:v>-1572.2222222222222</c:v>
                </c:pt>
                <c:pt idx="3">
                  <c:v>-1081.8181818181818</c:v>
                </c:pt>
                <c:pt idx="4">
                  <c:v>-2903.5714285714284</c:v>
                </c:pt>
                <c:pt idx="5">
                  <c:v>304.54545454545456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9</c:v>
                </c:pt>
                <c:pt idx="1">
                  <c:v>13</c:v>
                </c:pt>
                <c:pt idx="2">
                  <c:v>21</c:v>
                </c:pt>
                <c:pt idx="3">
                  <c:v>12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-558.33333333333337</c:v>
                </c:pt>
                <c:pt idx="1">
                  <c:v>-1582.608695652174</c:v>
                </c:pt>
                <c:pt idx="2">
                  <c:v>2290</c:v>
                </c:pt>
                <c:pt idx="3">
                  <c:v>711.76470588235293</c:v>
                </c:pt>
                <c:pt idx="4">
                  <c:v>4569.2307692307695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11</c:v>
                </c:pt>
                <c:pt idx="3">
                  <c:v>9</c:v>
                </c:pt>
                <c:pt idx="4">
                  <c:v>9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4241.666666666667</c:v>
                </c:pt>
                <c:pt idx="1">
                  <c:v>-8866.6666666666661</c:v>
                </c:pt>
                <c:pt idx="2">
                  <c:v>-1336.3636363636363</c:v>
                </c:pt>
                <c:pt idx="3">
                  <c:v>-3500</c:v>
                </c:pt>
                <c:pt idx="4">
                  <c:v>4100</c:v>
                </c:pt>
                <c:pt idx="5">
                  <c:v>-1371.4285714285713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たかの2!$B$3:$B$27</c:f>
              <c:numCache>
                <c:formatCode>\+0.0;\-0.0;\±0</c:formatCode>
                <c:ptCount val="25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7699626167013776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たかの2!$C$3:$C$27</c:f>
              <c:numCache>
                <c:formatCode>\+0.0;\-0.0;\±0</c:formatCode>
                <c:ptCount val="25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  <c:pt idx="18">
                  <c:v>2.5222222222222217</c:v>
                </c:pt>
                <c:pt idx="19">
                  <c:v>5.2684210526315782</c:v>
                </c:pt>
                <c:pt idx="20">
                  <c:v>2.6399999999999997</c:v>
                </c:pt>
                <c:pt idx="21">
                  <c:v>1.9523809523809523</c:v>
                </c:pt>
                <c:pt idx="22">
                  <c:v>4.1136363636363633</c:v>
                </c:pt>
                <c:pt idx="23">
                  <c:v>4.2173913043478262</c:v>
                </c:pt>
                <c:pt idx="24">
                  <c:v>3.8416666666666668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719788703720472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たかの2!$D$3:$D$27</c:f>
              <c:numCache>
                <c:formatCode>0.00\ "位"</c:formatCode>
                <c:ptCount val="25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2</c:v>
                </c:pt>
                <c:pt idx="19">
                  <c:v>1.9473684210526316</c:v>
                </c:pt>
                <c:pt idx="20">
                  <c:v>2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1.9583333333333333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たかの2!$E$3:$E$27</c:f>
              <c:numCache>
                <c:formatCode>0.0%</c:formatCode>
                <c:ptCount val="25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たかの2!$F$3:$F$27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たかの2!$G$3:$G$27</c:f>
              <c:numCache>
                <c:formatCode>0.0%</c:formatCode>
                <c:ptCount val="25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  <c:pt idx="18">
                  <c:v>0.32539682539682541</c:v>
                </c:pt>
                <c:pt idx="19">
                  <c:v>0.33333333333333331</c:v>
                </c:pt>
                <c:pt idx="20">
                  <c:v>0.32116788321167883</c:v>
                </c:pt>
                <c:pt idx="21">
                  <c:v>0.31034482758620691</c:v>
                </c:pt>
                <c:pt idx="22">
                  <c:v>0.32484076433121017</c:v>
                </c:pt>
                <c:pt idx="23">
                  <c:v>0.32515337423312884</c:v>
                </c:pt>
                <c:pt idx="24">
                  <c:v>0.32369942196531792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852624920936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たかの2!$H$3:$H$27</c:f>
              <c:numCache>
                <c:formatCode>0.0%</c:formatCode>
                <c:ptCount val="25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  <c:pt idx="18">
                  <c:v>0.14285714285714285</c:v>
                </c:pt>
                <c:pt idx="19">
                  <c:v>0.13636363636363635</c:v>
                </c:pt>
                <c:pt idx="20">
                  <c:v>0.145985401459854</c:v>
                </c:pt>
                <c:pt idx="21">
                  <c:v>0.14482758620689656</c:v>
                </c:pt>
                <c:pt idx="22">
                  <c:v>0.13375796178343949</c:v>
                </c:pt>
                <c:pt idx="23">
                  <c:v>0.13496932515337423</c:v>
                </c:pt>
                <c:pt idx="24">
                  <c:v>0.13294797687861271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8127767235926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たかの2!$I$3:$I$27</c:f>
              <c:numCache>
                <c:formatCode>0</c:formatCode>
                <c:ptCount val="25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  <c:pt idx="18">
                  <c:v>7682.9268292682927</c:v>
                </c:pt>
                <c:pt idx="19">
                  <c:v>8250</c:v>
                </c:pt>
                <c:pt idx="20">
                  <c:v>8250</c:v>
                </c:pt>
                <c:pt idx="21">
                  <c:v>8153.333333333333</c:v>
                </c:pt>
                <c:pt idx="22">
                  <c:v>8037.2549019607841</c:v>
                </c:pt>
                <c:pt idx="23">
                  <c:v>7958.4905660377362</c:v>
                </c:pt>
                <c:pt idx="24">
                  <c:v>7930.3571428571431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979.69762419006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たかの2!$J$3:$J$27</c:f>
              <c:numCache>
                <c:formatCode>0</c:formatCode>
                <c:ptCount val="25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  <c:pt idx="18">
                  <c:v>-7211.1111111111113</c:v>
                </c:pt>
                <c:pt idx="19">
                  <c:v>-7211.1111111111113</c:v>
                </c:pt>
                <c:pt idx="20">
                  <c:v>-7775</c:v>
                </c:pt>
                <c:pt idx="21">
                  <c:v>-7785.7142857142853</c:v>
                </c:pt>
                <c:pt idx="22">
                  <c:v>-7785.7142857142853</c:v>
                </c:pt>
                <c:pt idx="23">
                  <c:v>-7609.090909090909</c:v>
                </c:pt>
                <c:pt idx="24">
                  <c:v>-7447.826086956522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79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たかの2!$K$3:$K$27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5265700483091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たかの2!$L$3:$L$27</c:f>
              <c:numCache>
                <c:formatCode>0.0%</c:formatCode>
                <c:ptCount val="25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  <c:pt idx="18">
                  <c:v>0.15873015873015872</c:v>
                </c:pt>
                <c:pt idx="19">
                  <c:v>0.15909090909090909</c:v>
                </c:pt>
                <c:pt idx="20">
                  <c:v>0.15328467153284672</c:v>
                </c:pt>
                <c:pt idx="21">
                  <c:v>0.15172413793103448</c:v>
                </c:pt>
                <c:pt idx="22">
                  <c:v>0.1464968152866242</c:v>
                </c:pt>
                <c:pt idx="23">
                  <c:v>0.1411042944785276</c:v>
                </c:pt>
                <c:pt idx="24">
                  <c:v>0.14450867052023122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636938646426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たかの2!$M$3:$M$27</c:f>
              <c:numCache>
                <c:formatCode>0.0%</c:formatCode>
                <c:ptCount val="25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  <c:pt idx="18">
                  <c:v>0.34126984126984128</c:v>
                </c:pt>
                <c:pt idx="19">
                  <c:v>0.34090909090909088</c:v>
                </c:pt>
                <c:pt idx="20">
                  <c:v>0.33576642335766421</c:v>
                </c:pt>
                <c:pt idx="21">
                  <c:v>0.33103448275862069</c:v>
                </c:pt>
                <c:pt idx="22">
                  <c:v>0.33121019108280253</c:v>
                </c:pt>
                <c:pt idx="23">
                  <c:v>0.33128834355828218</c:v>
                </c:pt>
                <c:pt idx="24">
                  <c:v>0.33526011560693642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493358633776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たかの2!$N$3:$N$27</c:f>
              <c:numCache>
                <c:formatCode>0.0%</c:formatCode>
                <c:ptCount val="25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  <c:pt idx="18">
                  <c:v>0.6</c:v>
                </c:pt>
                <c:pt idx="19">
                  <c:v>0.61904761904761907</c:v>
                </c:pt>
                <c:pt idx="20">
                  <c:v>0.61904761904761907</c:v>
                </c:pt>
                <c:pt idx="21">
                  <c:v>0.59090909090909094</c:v>
                </c:pt>
                <c:pt idx="22">
                  <c:v>0.60869565217391308</c:v>
                </c:pt>
                <c:pt idx="23">
                  <c:v>0.60869565217391308</c:v>
                </c:pt>
                <c:pt idx="2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628428927680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たかの2!$O$3:$O$27</c:f>
              <c:numCache>
                <c:formatCode>0.0%</c:formatCode>
                <c:ptCount val="25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  <c:pt idx="18">
                  <c:v>0.41860465116279072</c:v>
                </c:pt>
                <c:pt idx="19">
                  <c:v>0.42222222222222222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0.44230769230769229</c:v>
                </c:pt>
                <c:pt idx="23">
                  <c:v>0.46296296296296297</c:v>
                </c:pt>
                <c:pt idx="24">
                  <c:v>0.44827586206896552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580246913580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たかの2!$P$3:$P$27</c:f>
              <c:numCache>
                <c:formatCode>0.0%</c:formatCode>
                <c:ptCount val="25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  <c:pt idx="18">
                  <c:v>0.48780487804878048</c:v>
                </c:pt>
                <c:pt idx="19">
                  <c:v>0.52272727272727271</c:v>
                </c:pt>
                <c:pt idx="20">
                  <c:v>0.52272727272727271</c:v>
                </c:pt>
                <c:pt idx="21">
                  <c:v>0.51111111111111107</c:v>
                </c:pt>
                <c:pt idx="22">
                  <c:v>0.49019607843137253</c:v>
                </c:pt>
                <c:pt idx="23">
                  <c:v>0.47169811320754718</c:v>
                </c:pt>
                <c:pt idx="24">
                  <c:v>0.44642857142857145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7883369330453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6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207</v>
      </c>
    </row>
    <row r="2" spans="1:2" x14ac:dyDescent="0.45">
      <c r="A2" t="s">
        <v>164</v>
      </c>
      <c r="B2">
        <v>38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50</v>
      </c>
    </row>
    <row r="5" spans="1:2" x14ac:dyDescent="0.45">
      <c r="A5" t="s">
        <v>194</v>
      </c>
      <c r="B5">
        <v>20</v>
      </c>
    </row>
    <row r="6" spans="1:2" x14ac:dyDescent="0.45">
      <c r="A6" t="s">
        <v>192</v>
      </c>
      <c r="B6">
        <v>37</v>
      </c>
    </row>
    <row r="7" spans="1:2" x14ac:dyDescent="0.45">
      <c r="A7" t="s">
        <v>193</v>
      </c>
      <c r="B7">
        <v>24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12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>
      <selection activeCell="G13" sqref="G13"/>
    </sheetView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0.61495287095918161</v>
      </c>
      <c r="C2" s="142"/>
      <c r="D2" s="145"/>
      <c r="E2" s="146"/>
      <c r="F2" s="145"/>
      <c r="G2" s="146"/>
      <c r="H2" s="141">
        <v>0.14470709458852382</v>
      </c>
      <c r="I2" s="142"/>
      <c r="J2" s="141">
        <v>0.82337733202078445</v>
      </c>
      <c r="K2" s="142"/>
      <c r="L2" s="141">
        <v>0.75100856193504262</v>
      </c>
      <c r="M2" s="142"/>
      <c r="N2" s="141">
        <v>0.79837081359142892</v>
      </c>
      <c r="O2" s="142"/>
      <c r="P2" s="141">
        <v>0.77715892390146701</v>
      </c>
      <c r="Q2" s="142"/>
      <c r="R2" s="141">
        <v>0.44664238108004861</v>
      </c>
      <c r="S2" s="142"/>
      <c r="T2" s="141">
        <v>0.33961245592592149</v>
      </c>
      <c r="U2" s="142"/>
      <c r="V2" s="141">
        <v>-2.072200907460801E-2</v>
      </c>
      <c r="W2" s="142"/>
      <c r="X2" s="141">
        <v>0.73913396318983882</v>
      </c>
      <c r="Y2" s="142"/>
      <c r="Z2" s="141">
        <v>5.1320838178771706E-2</v>
      </c>
      <c r="AA2" s="142"/>
      <c r="AB2" s="141">
        <v>-0.13992826014908002</v>
      </c>
      <c r="AC2" s="142"/>
      <c r="AD2" s="141">
        <v>0.44565291400118501</v>
      </c>
      <c r="AE2" s="142"/>
      <c r="AF2" s="141">
        <v>0.61473374449725426</v>
      </c>
      <c r="AG2" s="142"/>
      <c r="AH2" s="141">
        <v>0.81044219635731496</v>
      </c>
      <c r="AI2" s="142"/>
      <c r="AJ2" s="141">
        <v>9.0103046206602699E-2</v>
      </c>
      <c r="AK2" s="142"/>
    </row>
    <row r="3" spans="1:37" x14ac:dyDescent="0.45">
      <c r="A3" s="40">
        <v>1</v>
      </c>
      <c r="B3" s="43" t="s">
        <v>139</v>
      </c>
      <c r="C3" s="117">
        <v>69</v>
      </c>
      <c r="D3" s="41" t="s">
        <v>126</v>
      </c>
      <c r="E3" s="42">
        <v>689.90000000000009</v>
      </c>
      <c r="F3" s="43" t="s">
        <v>126</v>
      </c>
      <c r="G3" s="62">
        <v>13.798000000000002</v>
      </c>
      <c r="H3" s="43" t="s">
        <v>196</v>
      </c>
      <c r="I3" s="62">
        <v>7.6166666666666663</v>
      </c>
      <c r="J3" s="43" t="s">
        <v>126</v>
      </c>
      <c r="K3" s="44">
        <v>1.72</v>
      </c>
      <c r="L3" s="43" t="s">
        <v>126</v>
      </c>
      <c r="M3" s="45">
        <v>0.46</v>
      </c>
      <c r="N3" s="43" t="s">
        <v>196</v>
      </c>
      <c r="O3" s="45">
        <v>0.125</v>
      </c>
      <c r="P3" s="43" t="s">
        <v>126</v>
      </c>
      <c r="Q3" s="46">
        <v>0.34293193717277487</v>
      </c>
      <c r="R3" s="43" t="s">
        <v>196</v>
      </c>
      <c r="S3" s="46">
        <v>7.6923076923076927E-2</v>
      </c>
      <c r="T3" s="43" t="s">
        <v>164</v>
      </c>
      <c r="U3" s="47">
        <v>10479.48717948718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205</v>
      </c>
      <c r="AC3" s="46">
        <v>0.34444444444444444</v>
      </c>
      <c r="AD3" s="43" t="s">
        <v>213</v>
      </c>
      <c r="AE3" s="46">
        <v>0.70833333333333337</v>
      </c>
      <c r="AF3" s="43" t="s">
        <v>213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50</v>
      </c>
      <c r="D4" s="49" t="s">
        <v>193</v>
      </c>
      <c r="E4" s="50">
        <v>92.2</v>
      </c>
      <c r="F4" s="51" t="s">
        <v>193</v>
      </c>
      <c r="G4" s="63">
        <v>3.8416666666666668</v>
      </c>
      <c r="H4" s="51" t="s">
        <v>194</v>
      </c>
      <c r="I4" s="63">
        <v>6.6947619047619042</v>
      </c>
      <c r="J4" s="51" t="s">
        <v>196</v>
      </c>
      <c r="K4" s="52">
        <v>1.875</v>
      </c>
      <c r="L4" s="51" t="s">
        <v>193</v>
      </c>
      <c r="M4" s="53">
        <v>0.375</v>
      </c>
      <c r="N4" s="51" t="s">
        <v>126</v>
      </c>
      <c r="O4" s="53">
        <v>0.18</v>
      </c>
      <c r="P4" s="51" t="s">
        <v>193</v>
      </c>
      <c r="Q4" s="54">
        <v>0.32369942196531792</v>
      </c>
      <c r="R4" s="51" t="s">
        <v>192</v>
      </c>
      <c r="S4" s="54">
        <v>0.12195121951219512</v>
      </c>
      <c r="T4" s="51" t="s">
        <v>126</v>
      </c>
      <c r="U4" s="55">
        <v>9916.0305343511445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196</v>
      </c>
      <c r="AA4" s="54">
        <v>0.29230769230769232</v>
      </c>
      <c r="AB4" s="51" t="s">
        <v>193</v>
      </c>
      <c r="AC4" s="54">
        <v>0.33526011560693642</v>
      </c>
      <c r="AD4" s="51" t="s">
        <v>205</v>
      </c>
      <c r="AE4" s="54">
        <v>0.69230769230769229</v>
      </c>
      <c r="AF4" s="51" t="s">
        <v>126</v>
      </c>
      <c r="AG4" s="54">
        <v>0.52307692307692311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38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193</v>
      </c>
      <c r="I5" s="63">
        <v>2.1373015873015881</v>
      </c>
      <c r="J5" s="51" t="s">
        <v>193</v>
      </c>
      <c r="K5" s="52">
        <v>1.9583333333333333</v>
      </c>
      <c r="L5" s="51" t="s">
        <v>164</v>
      </c>
      <c r="M5" s="53">
        <v>0.36842105263157893</v>
      </c>
      <c r="N5" s="51" t="s">
        <v>192</v>
      </c>
      <c r="O5" s="53">
        <v>0.29729729729729731</v>
      </c>
      <c r="P5" s="51" t="s">
        <v>205</v>
      </c>
      <c r="Q5" s="54">
        <v>0.32222222222222224</v>
      </c>
      <c r="R5" s="51" t="s">
        <v>126</v>
      </c>
      <c r="S5" s="54">
        <v>0.12303664921465969</v>
      </c>
      <c r="T5" s="51" t="s">
        <v>189</v>
      </c>
      <c r="U5" s="55">
        <v>9062.5</v>
      </c>
      <c r="V5" s="51" t="s">
        <v>193</v>
      </c>
      <c r="W5" s="55">
        <v>-7447.826086956522</v>
      </c>
      <c r="X5" s="51" t="s">
        <v>126</v>
      </c>
      <c r="Y5" s="53">
        <v>0.04</v>
      </c>
      <c r="Z5" s="51" t="s">
        <v>164</v>
      </c>
      <c r="AA5" s="54">
        <v>0.29054054054054052</v>
      </c>
      <c r="AB5" s="51" t="s">
        <v>192</v>
      </c>
      <c r="AC5" s="54">
        <v>0.23344947735191637</v>
      </c>
      <c r="AD5" s="51" t="s">
        <v>196</v>
      </c>
      <c r="AE5" s="54">
        <v>0.68421052631578949</v>
      </c>
      <c r="AF5" s="51" t="s">
        <v>189</v>
      </c>
      <c r="AG5" s="54">
        <v>0.5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37</v>
      </c>
      <c r="D6" s="49" t="s">
        <v>139</v>
      </c>
      <c r="E6" s="50">
        <v>-9.7699626167013776E-15</v>
      </c>
      <c r="F6" s="51" t="s">
        <v>139</v>
      </c>
      <c r="G6" s="63">
        <v>-4.7197887037204723E-17</v>
      </c>
      <c r="H6" s="51" t="s">
        <v>213</v>
      </c>
      <c r="I6" s="63">
        <v>2.1361111111111115</v>
      </c>
      <c r="J6" s="51" t="s">
        <v>192</v>
      </c>
      <c r="K6" s="52">
        <v>2</v>
      </c>
      <c r="L6" s="51" t="s">
        <v>139</v>
      </c>
      <c r="M6" s="53">
        <v>0.33333333333333331</v>
      </c>
      <c r="N6" s="51" t="s">
        <v>193</v>
      </c>
      <c r="O6" s="53">
        <v>0.33333333333333331</v>
      </c>
      <c r="P6" s="51" t="s">
        <v>213</v>
      </c>
      <c r="Q6" s="54">
        <v>0.3108108108108108</v>
      </c>
      <c r="R6" s="51" t="s">
        <v>193</v>
      </c>
      <c r="S6" s="54">
        <v>0.13294797687861271</v>
      </c>
      <c r="T6" s="51" t="s">
        <v>139</v>
      </c>
      <c r="U6" s="55">
        <v>8979.6976241900647</v>
      </c>
      <c r="V6" s="51" t="s">
        <v>194</v>
      </c>
      <c r="W6" s="55">
        <v>-7845.454545454545</v>
      </c>
      <c r="X6" s="51" t="s">
        <v>192</v>
      </c>
      <c r="Y6" s="53">
        <v>0.10810810810810811</v>
      </c>
      <c r="Z6" s="51" t="s">
        <v>189</v>
      </c>
      <c r="AA6" s="54">
        <v>0.28378378378378377</v>
      </c>
      <c r="AB6" s="51" t="s">
        <v>164</v>
      </c>
      <c r="AC6" s="54">
        <v>0.21621621621621623</v>
      </c>
      <c r="AD6" s="51" t="s">
        <v>126</v>
      </c>
      <c r="AE6" s="54">
        <v>0.61764705882352944</v>
      </c>
      <c r="AF6" s="51" t="s">
        <v>194</v>
      </c>
      <c r="AG6" s="54">
        <v>0.47058823529411764</v>
      </c>
      <c r="AH6" s="51" t="s">
        <v>126</v>
      </c>
      <c r="AI6" s="54">
        <v>0.51908396946564883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24</v>
      </c>
      <c r="D7" s="49" t="s">
        <v>213</v>
      </c>
      <c r="E7" s="50">
        <v>-41.599999999999994</v>
      </c>
      <c r="F7" s="51" t="s">
        <v>164</v>
      </c>
      <c r="G7" s="63">
        <v>-4.2184210526315802</v>
      </c>
      <c r="H7" s="51" t="s">
        <v>126</v>
      </c>
      <c r="I7" s="63">
        <v>2.0932367149758448</v>
      </c>
      <c r="J7" s="51" t="s">
        <v>139</v>
      </c>
      <c r="K7" s="52">
        <v>2</v>
      </c>
      <c r="L7" s="51" t="s">
        <v>192</v>
      </c>
      <c r="M7" s="53">
        <v>0.29729729729729731</v>
      </c>
      <c r="N7" s="51" t="s">
        <v>139</v>
      </c>
      <c r="O7" s="53">
        <v>0.33333333333333331</v>
      </c>
      <c r="P7" s="51" t="s">
        <v>139</v>
      </c>
      <c r="Q7" s="54">
        <v>0.29285262492093611</v>
      </c>
      <c r="R7" s="51" t="s">
        <v>194</v>
      </c>
      <c r="S7" s="54">
        <v>0.15714285714285714</v>
      </c>
      <c r="T7" s="51" t="s">
        <v>205</v>
      </c>
      <c r="U7" s="55">
        <v>8979.310344827587</v>
      </c>
      <c r="V7" s="51" t="s">
        <v>192</v>
      </c>
      <c r="W7" s="55">
        <v>-7997.1428571428569</v>
      </c>
      <c r="X7" s="51" t="s">
        <v>189</v>
      </c>
      <c r="Y7" s="53">
        <v>0.1111111111111111</v>
      </c>
      <c r="Z7" s="51" t="s">
        <v>126</v>
      </c>
      <c r="AA7" s="54">
        <v>0.26701570680628273</v>
      </c>
      <c r="AB7" s="51" t="s">
        <v>139</v>
      </c>
      <c r="AC7" s="54">
        <v>0.2049335863377609</v>
      </c>
      <c r="AD7" s="51" t="s">
        <v>193</v>
      </c>
      <c r="AE7" s="54">
        <v>0.6</v>
      </c>
      <c r="AF7" s="51" t="s">
        <v>193</v>
      </c>
      <c r="AG7" s="54">
        <v>0.44827586206896552</v>
      </c>
      <c r="AH7" s="51" t="s">
        <v>139</v>
      </c>
      <c r="AI7" s="54">
        <v>0.45788336933045354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20</v>
      </c>
      <c r="D8" s="49" t="s">
        <v>189</v>
      </c>
      <c r="E8" s="50">
        <v>-105.5</v>
      </c>
      <c r="F8" s="51" t="s">
        <v>213</v>
      </c>
      <c r="G8" s="63">
        <v>-4.6222222222222218</v>
      </c>
      <c r="H8" s="51" t="s">
        <v>205</v>
      </c>
      <c r="I8" s="63">
        <v>1.8999999999999986</v>
      </c>
      <c r="J8" s="51" t="s">
        <v>164</v>
      </c>
      <c r="K8" s="52">
        <v>2.0789473684210527</v>
      </c>
      <c r="L8" s="51" t="s">
        <v>205</v>
      </c>
      <c r="M8" s="53">
        <v>0.25</v>
      </c>
      <c r="N8" s="51" t="s">
        <v>213</v>
      </c>
      <c r="O8" s="53">
        <v>0.33333333333333331</v>
      </c>
      <c r="P8" s="51" t="s">
        <v>192</v>
      </c>
      <c r="Q8" s="54">
        <v>0.26829268292682928</v>
      </c>
      <c r="R8" s="51" t="s">
        <v>139</v>
      </c>
      <c r="S8" s="54">
        <v>0.15812776723592664</v>
      </c>
      <c r="T8" s="51" t="s">
        <v>194</v>
      </c>
      <c r="U8" s="55">
        <v>8522.2222222222226</v>
      </c>
      <c r="V8" s="51" t="s">
        <v>139</v>
      </c>
      <c r="W8" s="55">
        <v>-8179.2</v>
      </c>
      <c r="X8" s="51" t="s">
        <v>139</v>
      </c>
      <c r="Y8" s="53">
        <v>0.13526570048309178</v>
      </c>
      <c r="Z8" s="51" t="s">
        <v>194</v>
      </c>
      <c r="AA8" s="54">
        <v>0.26428571428571429</v>
      </c>
      <c r="AB8" s="51" t="s">
        <v>126</v>
      </c>
      <c r="AC8" s="54">
        <v>0.17015706806282724</v>
      </c>
      <c r="AD8" s="51" t="s">
        <v>139</v>
      </c>
      <c r="AE8" s="54">
        <v>0.54862842892768082</v>
      </c>
      <c r="AF8" s="51" t="s">
        <v>139</v>
      </c>
      <c r="AG8" s="54">
        <v>0.41358024691358025</v>
      </c>
      <c r="AH8" s="51" t="s">
        <v>193</v>
      </c>
      <c r="AI8" s="54">
        <v>0.44642857142857145</v>
      </c>
      <c r="AJ8" s="51" t="s">
        <v>213</v>
      </c>
      <c r="AK8" s="58">
        <v>95000</v>
      </c>
    </row>
    <row r="9" spans="1:37" x14ac:dyDescent="0.45">
      <c r="A9" s="48">
        <v>7</v>
      </c>
      <c r="B9" s="51" t="s">
        <v>205</v>
      </c>
      <c r="C9" s="118">
        <v>12</v>
      </c>
      <c r="D9" s="49" t="s">
        <v>205</v>
      </c>
      <c r="E9" s="50">
        <v>-108.5</v>
      </c>
      <c r="F9" s="51" t="s">
        <v>192</v>
      </c>
      <c r="G9" s="63">
        <v>-4.6243243243243235</v>
      </c>
      <c r="H9" s="51" t="s">
        <v>139</v>
      </c>
      <c r="I9" s="63">
        <v>0</v>
      </c>
      <c r="J9" s="51" t="s">
        <v>213</v>
      </c>
      <c r="K9" s="52">
        <v>2.1111111111111112</v>
      </c>
      <c r="L9" s="51" t="s">
        <v>196</v>
      </c>
      <c r="M9" s="53">
        <v>0.25</v>
      </c>
      <c r="N9" s="51" t="s">
        <v>189</v>
      </c>
      <c r="O9" s="53">
        <v>0.44444444444444442</v>
      </c>
      <c r="P9" s="51" t="s">
        <v>164</v>
      </c>
      <c r="Q9" s="54">
        <v>0.26351351351351349</v>
      </c>
      <c r="R9" s="51" t="s">
        <v>213</v>
      </c>
      <c r="S9" s="54">
        <v>0.1891891891891892</v>
      </c>
      <c r="T9" s="51" t="s">
        <v>196</v>
      </c>
      <c r="U9" s="55">
        <v>7964.7058823529414</v>
      </c>
      <c r="V9" s="51" t="s">
        <v>164</v>
      </c>
      <c r="W9" s="55">
        <v>-8253.8461538461543</v>
      </c>
      <c r="X9" s="51" t="s">
        <v>193</v>
      </c>
      <c r="Y9" s="53">
        <v>0.20833333333333334</v>
      </c>
      <c r="Z9" s="51" t="s">
        <v>192</v>
      </c>
      <c r="AA9" s="54">
        <v>0.25783972125435539</v>
      </c>
      <c r="AB9" s="51" t="s">
        <v>196</v>
      </c>
      <c r="AC9" s="54">
        <v>0.13846153846153847</v>
      </c>
      <c r="AD9" s="51" t="s">
        <v>192</v>
      </c>
      <c r="AE9" s="54">
        <v>0.52702702702702697</v>
      </c>
      <c r="AF9" s="51" t="s">
        <v>164</v>
      </c>
      <c r="AG9" s="54">
        <v>0.390625</v>
      </c>
      <c r="AH9" s="51" t="s">
        <v>164</v>
      </c>
      <c r="AI9" s="54">
        <v>0.4358974358974359</v>
      </c>
      <c r="AJ9" s="51" t="s">
        <v>205</v>
      </c>
      <c r="AK9" s="58">
        <v>93200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164</v>
      </c>
      <c r="E10" s="50">
        <v>-160.30000000000004</v>
      </c>
      <c r="F10" s="51" t="s">
        <v>205</v>
      </c>
      <c r="G10" s="63">
        <v>-9.0416666666666661</v>
      </c>
      <c r="H10" s="51" t="s">
        <v>164</v>
      </c>
      <c r="I10" s="63">
        <v>-1.7483193277310864</v>
      </c>
      <c r="J10" s="51" t="s">
        <v>189</v>
      </c>
      <c r="K10" s="52">
        <v>2.2222222222222223</v>
      </c>
      <c r="L10" s="51" t="s">
        <v>189</v>
      </c>
      <c r="M10" s="53">
        <v>0.22222222222222221</v>
      </c>
      <c r="N10" s="51" t="s">
        <v>164</v>
      </c>
      <c r="O10" s="53">
        <v>0.44736842105263158</v>
      </c>
      <c r="P10" s="51" t="s">
        <v>196</v>
      </c>
      <c r="Q10" s="54">
        <v>0.26153846153846155</v>
      </c>
      <c r="R10" s="51" t="s">
        <v>164</v>
      </c>
      <c r="S10" s="54">
        <v>0.2195945945945946</v>
      </c>
      <c r="T10" s="51" t="s">
        <v>193</v>
      </c>
      <c r="U10" s="55">
        <v>7930.3571428571431</v>
      </c>
      <c r="V10" s="51" t="s">
        <v>126</v>
      </c>
      <c r="W10" s="55">
        <v>-8495.7446808510631</v>
      </c>
      <c r="X10" s="51" t="s">
        <v>164</v>
      </c>
      <c r="Y10" s="53">
        <v>0.21052631578947367</v>
      </c>
      <c r="Z10" s="51" t="s">
        <v>139</v>
      </c>
      <c r="AA10" s="54">
        <v>0.25363693864642634</v>
      </c>
      <c r="AB10" s="51" t="s">
        <v>194</v>
      </c>
      <c r="AC10" s="54">
        <v>0.12142857142857143</v>
      </c>
      <c r="AD10" s="51" t="s">
        <v>189</v>
      </c>
      <c r="AE10" s="54">
        <v>0.47619047619047616</v>
      </c>
      <c r="AF10" s="51" t="s">
        <v>192</v>
      </c>
      <c r="AG10" s="54">
        <v>0.34328358208955223</v>
      </c>
      <c r="AH10" s="51" t="s">
        <v>194</v>
      </c>
      <c r="AI10" s="54">
        <v>0.41666666666666669</v>
      </c>
      <c r="AJ10" s="51" t="s">
        <v>196</v>
      </c>
      <c r="AK10" s="58">
        <v>89000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192</v>
      </c>
      <c r="E11" s="50">
        <v>-171.09999999999997</v>
      </c>
      <c r="F11" s="51" t="s">
        <v>194</v>
      </c>
      <c r="G11" s="63">
        <v>-10.129999999999999</v>
      </c>
      <c r="H11" s="51" t="s">
        <v>189</v>
      </c>
      <c r="I11" s="63">
        <v>-3.6805555555555549</v>
      </c>
      <c r="J11" s="51" t="s">
        <v>205</v>
      </c>
      <c r="K11" s="52">
        <v>2.25</v>
      </c>
      <c r="L11" s="51" t="s">
        <v>213</v>
      </c>
      <c r="M11" s="53">
        <v>0.22222222222222221</v>
      </c>
      <c r="N11" s="51" t="s">
        <v>194</v>
      </c>
      <c r="O11" s="53">
        <v>0.5</v>
      </c>
      <c r="P11" s="51" t="s">
        <v>194</v>
      </c>
      <c r="Q11" s="54">
        <v>0.25714285714285712</v>
      </c>
      <c r="R11" s="51" t="s">
        <v>189</v>
      </c>
      <c r="S11" s="54">
        <v>0.22972972972972974</v>
      </c>
      <c r="T11" s="51" t="s">
        <v>213</v>
      </c>
      <c r="U11" s="55">
        <v>7530.434782608696</v>
      </c>
      <c r="V11" s="51" t="s">
        <v>213</v>
      </c>
      <c r="W11" s="55">
        <v>-8671.4285714285706</v>
      </c>
      <c r="X11" s="51" t="s">
        <v>194</v>
      </c>
      <c r="Y11" s="53">
        <v>0.25</v>
      </c>
      <c r="Z11" s="51" t="s">
        <v>193</v>
      </c>
      <c r="AA11" s="54">
        <v>0.14450867052023122</v>
      </c>
      <c r="AB11" s="51" t="s">
        <v>213</v>
      </c>
      <c r="AC11" s="54">
        <v>9.45945945945946E-2</v>
      </c>
      <c r="AD11" s="51" t="s">
        <v>194</v>
      </c>
      <c r="AE11" s="54">
        <v>0.45945945945945948</v>
      </c>
      <c r="AF11" s="51" t="s">
        <v>196</v>
      </c>
      <c r="AG11" s="54">
        <v>0.33333333333333331</v>
      </c>
      <c r="AH11" s="51" t="s">
        <v>192</v>
      </c>
      <c r="AI11" s="54">
        <v>0.38961038961038963</v>
      </c>
      <c r="AJ11" s="51" t="s">
        <v>192</v>
      </c>
      <c r="AK11" s="58">
        <v>88500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-202.59999999999997</v>
      </c>
      <c r="F12" s="51" t="s">
        <v>189</v>
      </c>
      <c r="G12" s="63">
        <v>-11.722222222222221</v>
      </c>
      <c r="H12" s="51" t="s">
        <v>192</v>
      </c>
      <c r="I12" s="63">
        <v>-4.3048484848484847</v>
      </c>
      <c r="J12" s="51" t="s">
        <v>194</v>
      </c>
      <c r="K12" s="52">
        <v>2.35</v>
      </c>
      <c r="L12" s="51" t="s">
        <v>194</v>
      </c>
      <c r="M12" s="53">
        <v>0.15</v>
      </c>
      <c r="N12" s="51" t="s">
        <v>205</v>
      </c>
      <c r="O12" s="53">
        <v>0.5</v>
      </c>
      <c r="P12" s="51" t="s">
        <v>189</v>
      </c>
      <c r="Q12" s="54">
        <v>0.21621621621621623</v>
      </c>
      <c r="R12" s="51" t="s">
        <v>205</v>
      </c>
      <c r="S12" s="54">
        <v>0.24444444444444444</v>
      </c>
      <c r="T12" s="51" t="s">
        <v>192</v>
      </c>
      <c r="U12" s="55">
        <v>7484.4155844155848</v>
      </c>
      <c r="V12" s="51" t="s">
        <v>205</v>
      </c>
      <c r="W12" s="55">
        <v>-9904.545454545454</v>
      </c>
      <c r="X12" s="51" t="s">
        <v>205</v>
      </c>
      <c r="Y12" s="53">
        <v>0.25</v>
      </c>
      <c r="Z12" s="51" t="s">
        <v>205</v>
      </c>
      <c r="AA12" s="54">
        <v>0.14444444444444443</v>
      </c>
      <c r="AB12" s="51" t="s">
        <v>189</v>
      </c>
      <c r="AC12" s="54">
        <v>8.1081081081081086E-2</v>
      </c>
      <c r="AD12" s="51" t="s">
        <v>164</v>
      </c>
      <c r="AE12" s="54">
        <v>0.43023255813953487</v>
      </c>
      <c r="AF12" s="51" t="s">
        <v>205</v>
      </c>
      <c r="AG12" s="54">
        <v>0.25806451612903225</v>
      </c>
      <c r="AH12" s="51" t="s">
        <v>205</v>
      </c>
      <c r="AI12" s="54">
        <v>0.34482758620689657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0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207</v>
      </c>
      <c r="C2" s="132"/>
      <c r="E2" s="28" t="s">
        <v>66</v>
      </c>
      <c r="F2" s="25" t="s">
        <v>22</v>
      </c>
      <c r="G2" s="13">
        <v>334</v>
      </c>
      <c r="H2" s="91">
        <f>IF(B$19=0,0,G2/B$19)</f>
        <v>0.72138228941684668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-9.8039215686274517</v>
      </c>
      <c r="P2" s="80">
        <v>204</v>
      </c>
      <c r="Q2" s="67">
        <v>-2000</v>
      </c>
    </row>
    <row r="3" spans="1:17" x14ac:dyDescent="0.45">
      <c r="A3" s="21" t="s">
        <v>8</v>
      </c>
      <c r="B3" s="133">
        <v>1581</v>
      </c>
      <c r="C3" s="134"/>
      <c r="E3" s="29" t="s">
        <v>72</v>
      </c>
      <c r="F3" s="26" t="s">
        <v>27</v>
      </c>
      <c r="G3" s="14">
        <v>253</v>
      </c>
      <c r="H3" s="92">
        <f>IF(B$19=0,0,G3/B$19)</f>
        <v>0.54643628509719222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-9.9502487562189046</v>
      </c>
      <c r="P3" s="81">
        <v>201</v>
      </c>
      <c r="Q3" s="68">
        <v>-2000</v>
      </c>
    </row>
    <row r="4" spans="1:17" x14ac:dyDescent="0.45">
      <c r="A4" s="21" t="s">
        <v>6</v>
      </c>
      <c r="B4" s="135">
        <v>-9.7699626167013776E-15</v>
      </c>
      <c r="C4" s="136"/>
      <c r="E4" s="29" t="s">
        <v>64</v>
      </c>
      <c r="F4" s="26" t="s">
        <v>20</v>
      </c>
      <c r="G4" s="14">
        <v>210</v>
      </c>
      <c r="H4" s="92">
        <f>IF(B$19=0,0,G4/B$19)</f>
        <v>0.45356371490280778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189</v>
      </c>
      <c r="Q4" s="68">
        <v>0</v>
      </c>
    </row>
    <row r="5" spans="1:17" x14ac:dyDescent="0.45">
      <c r="A5" s="21" t="s">
        <v>7</v>
      </c>
      <c r="B5" s="123">
        <f>IF(B$2=0,0,B$4/B$2)</f>
        <v>-4.7197887037204723E-17</v>
      </c>
      <c r="C5" s="124"/>
      <c r="E5" s="29" t="s">
        <v>160</v>
      </c>
      <c r="F5" s="26" t="s">
        <v>161</v>
      </c>
      <c r="G5" s="14">
        <v>197</v>
      </c>
      <c r="H5" s="92">
        <f>IF(B$19=0,0,G5/B$19)</f>
        <v>0.42548596112311016</v>
      </c>
      <c r="I5" s="60">
        <v>5</v>
      </c>
      <c r="K5" s="7">
        <v>3</v>
      </c>
      <c r="L5" s="65">
        <v>7.1054273576010019E-15</v>
      </c>
      <c r="N5" s="78" t="s">
        <v>131</v>
      </c>
      <c r="O5" s="84">
        <f t="shared" si="0"/>
        <v>18.181818181818183</v>
      </c>
      <c r="P5" s="81">
        <v>165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148</v>
      </c>
      <c r="H6" s="92">
        <f>IF(B$19=0,0,G6/B$19)</f>
        <v>0.31965442764578833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-62.5</v>
      </c>
      <c r="P6" s="81">
        <v>144</v>
      </c>
      <c r="Q6" s="68">
        <v>-9000</v>
      </c>
    </row>
    <row r="7" spans="1:17" x14ac:dyDescent="0.45">
      <c r="A7" s="21" t="s">
        <v>2</v>
      </c>
      <c r="B7" s="14">
        <v>69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109</v>
      </c>
      <c r="H7" s="92">
        <f>IF(B$19=0,0,G7/B$19)</f>
        <v>0.23542116630669546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76.92307692307692</v>
      </c>
      <c r="P7" s="82">
        <v>117</v>
      </c>
      <c r="Q7" s="69">
        <v>9000</v>
      </c>
    </row>
    <row r="8" spans="1:17" x14ac:dyDescent="0.45">
      <c r="A8" s="21" t="s">
        <v>3</v>
      </c>
      <c r="B8" s="14">
        <v>69</v>
      </c>
      <c r="C8" s="8">
        <f t="shared" si="1"/>
        <v>0.33333333333333331</v>
      </c>
      <c r="E8" s="29" t="s">
        <v>89</v>
      </c>
      <c r="F8" s="26" t="s">
        <v>44</v>
      </c>
      <c r="G8" s="14">
        <v>64</v>
      </c>
      <c r="H8" s="92">
        <f>IF(B$19=0,0,G8/B$19)</f>
        <v>0.13822894168466524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69</v>
      </c>
      <c r="C9" s="9">
        <f t="shared" si="1"/>
        <v>0.33333333333333331</v>
      </c>
      <c r="E9" s="29" t="s">
        <v>69</v>
      </c>
      <c r="F9" s="26" t="s">
        <v>24</v>
      </c>
      <c r="G9" s="14">
        <v>58</v>
      </c>
      <c r="H9" s="92">
        <f>IF(B$19=0,0,G9/B$19)</f>
        <v>0.12526997840172785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42.90144927536231</v>
      </c>
      <c r="C10" s="114">
        <v>2960.1999999999994</v>
      </c>
      <c r="E10" s="29" t="s">
        <v>65</v>
      </c>
      <c r="F10" s="26" t="s">
        <v>21</v>
      </c>
      <c r="G10" s="14">
        <v>46</v>
      </c>
      <c r="H10" s="92">
        <f>IF(B$19=0,0,G10/B$19)</f>
        <v>9.9352051835853133E-2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-6.4565217391304328</v>
      </c>
      <c r="P10" s="80">
        <v>69</v>
      </c>
      <c r="Q10" s="71">
        <v>-445.49999999999989</v>
      </c>
    </row>
    <row r="11" spans="1:17" x14ac:dyDescent="0.45">
      <c r="A11" s="22" t="s">
        <v>186</v>
      </c>
      <c r="B11" s="113">
        <f>IF(B8=0,0,C11/B8)</f>
        <v>-4.2753623188405809</v>
      </c>
      <c r="C11" s="114">
        <v>-295.00000000000011</v>
      </c>
      <c r="E11" s="29" t="s">
        <v>70</v>
      </c>
      <c r="F11" s="26" t="s">
        <v>25</v>
      </c>
      <c r="G11" s="14">
        <v>34</v>
      </c>
      <c r="H11" s="92">
        <f>IF(B$19=0,0,G11/B$19)</f>
        <v>7.3434125269978404E-2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1.4347826086956517</v>
      </c>
      <c r="P11" s="81">
        <v>69</v>
      </c>
      <c r="Q11" s="72">
        <v>98.999999999999957</v>
      </c>
    </row>
    <row r="12" spans="1:17" x14ac:dyDescent="0.45">
      <c r="A12" s="22" t="s">
        <v>187</v>
      </c>
      <c r="B12" s="113">
        <f>IF(B9=0,0,C12/B9)</f>
        <v>-38.626086956521746</v>
      </c>
      <c r="C12" s="114">
        <v>-2665.2000000000003</v>
      </c>
      <c r="E12" s="29" t="s">
        <v>71</v>
      </c>
      <c r="F12" s="26" t="s">
        <v>26</v>
      </c>
      <c r="G12" s="14">
        <v>33</v>
      </c>
      <c r="H12" s="92">
        <f>IF(B$19=0,0,G12/B$19)</f>
        <v>7.1274298056155511E-2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5.0217391304347814</v>
      </c>
      <c r="P12" s="82">
        <v>69</v>
      </c>
      <c r="Q12" s="73">
        <v>346.49999999999989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27</v>
      </c>
      <c r="H13" s="92">
        <f>IF(B$19=0,0,G13/B$19)</f>
        <v>5.8315334773218146E-2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28</v>
      </c>
      <c r="C14" s="11">
        <f t="shared" si="1"/>
        <v>0.13526570048309178</v>
      </c>
      <c r="E14" s="29" t="s">
        <v>86</v>
      </c>
      <c r="F14" s="26" t="s">
        <v>41</v>
      </c>
      <c r="G14" s="14">
        <v>26</v>
      </c>
      <c r="H14" s="92">
        <f>IF(B$19=0,0,G14/B$19)</f>
        <v>5.6155507559395246E-2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401</v>
      </c>
      <c r="C15" s="12">
        <f>IF(B$3=0,0,B15/B$3)</f>
        <v>0.25363693864642634</v>
      </c>
      <c r="E15" s="29" t="s">
        <v>78</v>
      </c>
      <c r="F15" s="26" t="s">
        <v>33</v>
      </c>
      <c r="G15" s="14">
        <v>15</v>
      </c>
      <c r="H15" s="92">
        <f>IF(B$19=0,0,G15/B$19)</f>
        <v>3.2397408207343416E-2</v>
      </c>
      <c r="I15" s="60">
        <v>5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324</v>
      </c>
      <c r="C16" s="8">
        <f>IF(B$3=0,0,B16/B$3)</f>
        <v>0.2049335863377609</v>
      </c>
      <c r="E16" s="29" t="s">
        <v>79</v>
      </c>
      <c r="F16" s="26" t="s">
        <v>34</v>
      </c>
      <c r="G16" s="14">
        <v>12</v>
      </c>
      <c r="H16" s="92">
        <f>IF(B$19=0,0,G16/B$19)</f>
        <v>2.591792656587473E-2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15.194999999999993</v>
      </c>
      <c r="P16" s="81">
        <v>40</v>
      </c>
      <c r="Q16" s="72">
        <v>607.79999999999973</v>
      </c>
    </row>
    <row r="17" spans="1:17" x14ac:dyDescent="0.45">
      <c r="A17" s="20" t="s">
        <v>123</v>
      </c>
      <c r="B17" s="13">
        <f>B23</f>
        <v>220</v>
      </c>
      <c r="C17" s="6">
        <f>IF(B$15=0,0,B17/B$15)</f>
        <v>0.54862842892768082</v>
      </c>
      <c r="E17" s="29" t="s">
        <v>81</v>
      </c>
      <c r="F17" s="26" t="s">
        <v>36</v>
      </c>
      <c r="G17" s="14">
        <v>10</v>
      </c>
      <c r="H17" s="92">
        <f>IF(B$19=0,0,G17/B$19)</f>
        <v>2.159827213822894E-2</v>
      </c>
      <c r="I17" s="60">
        <v>4</v>
      </c>
      <c r="K17" s="7">
        <v>15</v>
      </c>
      <c r="L17" s="65">
        <v>1.7763568394002505E-15</v>
      </c>
      <c r="N17" s="78" t="s">
        <v>205</v>
      </c>
      <c r="O17" s="87">
        <f>IF(P17=0,0,Q17/P17)</f>
        <v>13.5625</v>
      </c>
      <c r="P17" s="81">
        <v>24</v>
      </c>
      <c r="Q17" s="72">
        <v>325.5</v>
      </c>
    </row>
    <row r="18" spans="1:17" x14ac:dyDescent="0.45">
      <c r="A18" s="20" t="s">
        <v>124</v>
      </c>
      <c r="B18" s="13">
        <f>B24</f>
        <v>134</v>
      </c>
      <c r="C18" s="6">
        <f>IF(B$16=0,0,B18/B$16)</f>
        <v>0.41358024691358025</v>
      </c>
      <c r="E18" s="29" t="s">
        <v>91</v>
      </c>
      <c r="F18" s="26" t="s">
        <v>46</v>
      </c>
      <c r="G18" s="14">
        <v>9</v>
      </c>
      <c r="H18" s="92">
        <f>IF(B$19=0,0,G18/B$19)</f>
        <v>1.9438444924406047E-2</v>
      </c>
      <c r="I18" s="60">
        <v>3</v>
      </c>
      <c r="K18" s="7">
        <v>16</v>
      </c>
      <c r="L18" s="65">
        <v>3.4000000000000017</v>
      </c>
      <c r="N18" s="78" t="s">
        <v>192</v>
      </c>
      <c r="O18" s="87">
        <f>IF(P18=0,0,Q18/P18)</f>
        <v>6.9364864864864924</v>
      </c>
      <c r="P18" s="81">
        <v>74</v>
      </c>
      <c r="Q18" s="72">
        <v>513.30000000000041</v>
      </c>
    </row>
    <row r="19" spans="1:17" x14ac:dyDescent="0.45">
      <c r="A19" s="20" t="s">
        <v>10</v>
      </c>
      <c r="B19" s="13">
        <f>B22+B21</f>
        <v>463</v>
      </c>
      <c r="C19" s="6">
        <f>IF(B$3=0,0,B19/B$3)</f>
        <v>0.29285262492093611</v>
      </c>
      <c r="E19" s="29" t="s">
        <v>92</v>
      </c>
      <c r="F19" s="26" t="s">
        <v>47</v>
      </c>
      <c r="G19" s="14">
        <v>7</v>
      </c>
      <c r="H19" s="92">
        <f>IF(B$19=0,0,G19/B$19)</f>
        <v>1.511879049676026E-2</v>
      </c>
      <c r="I19" s="60">
        <v>4</v>
      </c>
      <c r="K19" s="7">
        <v>17</v>
      </c>
      <c r="L19" s="65">
        <v>-35.800000000000004</v>
      </c>
      <c r="N19" s="78" t="s">
        <v>213</v>
      </c>
      <c r="O19" s="87">
        <f>IF(P19=0,0,Q19/P19)</f>
        <v>6.9333333333333345</v>
      </c>
      <c r="P19" s="81">
        <v>18</v>
      </c>
      <c r="Q19" s="72">
        <v>124.80000000000003</v>
      </c>
    </row>
    <row r="20" spans="1:17" x14ac:dyDescent="0.45">
      <c r="A20" s="21" t="s">
        <v>13</v>
      </c>
      <c r="B20" s="14">
        <v>250</v>
      </c>
      <c r="C20" s="8">
        <f>IF(B$3=0,0,B20/B$3)</f>
        <v>0.15812776723592664</v>
      </c>
      <c r="E20" s="29" t="s">
        <v>156</v>
      </c>
      <c r="F20" s="26" t="s">
        <v>157</v>
      </c>
      <c r="G20" s="14">
        <v>7</v>
      </c>
      <c r="H20" s="92">
        <f>IF(B$19=0,0,G20/B$19)</f>
        <v>1.511879049676026E-2</v>
      </c>
      <c r="I20" s="60">
        <v>3</v>
      </c>
      <c r="K20" s="7">
        <v>18</v>
      </c>
      <c r="L20" s="65">
        <v>-7.1054273576010019E-15</v>
      </c>
      <c r="N20" s="78" t="s">
        <v>164</v>
      </c>
      <c r="O20" s="87">
        <f>IF(P20=0,0,Q20/P20)</f>
        <v>6.3276315789473658</v>
      </c>
      <c r="P20" s="81">
        <v>76</v>
      </c>
      <c r="Q20" s="72">
        <v>480.89999999999981</v>
      </c>
    </row>
    <row r="21" spans="1:17" x14ac:dyDescent="0.45">
      <c r="A21" s="21" t="s">
        <v>12</v>
      </c>
      <c r="B21" s="14">
        <v>212</v>
      </c>
      <c r="C21" s="8">
        <f>IF(B$19=0,0,B21/B$19)</f>
        <v>0.45788336933045354</v>
      </c>
      <c r="E21" s="29" t="s">
        <v>73</v>
      </c>
      <c r="F21" s="26" t="s">
        <v>28</v>
      </c>
      <c r="G21" s="14">
        <v>2</v>
      </c>
      <c r="H21" s="92">
        <f>IF(B$19=0,0,G21/B$19)</f>
        <v>4.3196544276457886E-3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251</v>
      </c>
      <c r="C22" s="8">
        <f>IF(B$19=0,0,B22/B$19)</f>
        <v>0.54211663066954641</v>
      </c>
      <c r="E22" s="29" t="s">
        <v>75</v>
      </c>
      <c r="F22" s="26" t="s">
        <v>30</v>
      </c>
      <c r="G22" s="14">
        <v>2</v>
      </c>
      <c r="H22" s="92">
        <f>IF(B$19=0,0,G22/B$19)</f>
        <v>4.3196544276457886E-3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-5.7624999999999993</v>
      </c>
      <c r="P22" s="81">
        <v>48</v>
      </c>
      <c r="Q22" s="72">
        <v>-276.59999999999997</v>
      </c>
    </row>
    <row r="23" spans="1:17" x14ac:dyDescent="0.45">
      <c r="A23" s="21" t="s">
        <v>184</v>
      </c>
      <c r="B23" s="14">
        <v>220</v>
      </c>
      <c r="C23" s="8">
        <f>IF(B$19=0,0,B23/B$19)</f>
        <v>0.47516198704103674</v>
      </c>
      <c r="E23" s="29" t="s">
        <v>77</v>
      </c>
      <c r="F23" s="26" t="s">
        <v>32</v>
      </c>
      <c r="G23" s="14">
        <v>2</v>
      </c>
      <c r="H23" s="92">
        <f>IF(B$19=0,0,G23/B$19)</f>
        <v>4.3196544276457886E-3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-20.696999999999981</v>
      </c>
      <c r="P23" s="81">
        <v>100</v>
      </c>
      <c r="Q23" s="72">
        <v>-2069.699999999998</v>
      </c>
    </row>
    <row r="24" spans="1:17" x14ac:dyDescent="0.45">
      <c r="A24" s="21" t="s">
        <v>182</v>
      </c>
      <c r="B24" s="14">
        <v>134</v>
      </c>
      <c r="C24" s="8">
        <f>IF(B$19=0,0,B24/B$19)</f>
        <v>0.2894168466522678</v>
      </c>
      <c r="E24" s="29" t="s">
        <v>85</v>
      </c>
      <c r="F24" s="26" t="s">
        <v>40</v>
      </c>
      <c r="G24" s="14">
        <v>2</v>
      </c>
      <c r="H24" s="92">
        <f>IF(B$19=0,0,G24/B$19)</f>
        <v>4.3196544276457886E-3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109</v>
      </c>
      <c r="C25" s="8">
        <f>IF(B$19=0,0,B25/B$19)</f>
        <v>0.23542116630669546</v>
      </c>
      <c r="E25" s="29" t="s">
        <v>87</v>
      </c>
      <c r="F25" s="26" t="s">
        <v>42</v>
      </c>
      <c r="G25" s="14">
        <v>2</v>
      </c>
      <c r="H25" s="92">
        <f>IF(B$19=0,0,G25/B$19)</f>
        <v>4.3196544276457886E-3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8979.6976241900647</v>
      </c>
      <c r="C26" s="10">
        <v>4157600</v>
      </c>
      <c r="E26" s="29" t="s">
        <v>93</v>
      </c>
      <c r="F26" s="26" t="s">
        <v>48</v>
      </c>
      <c r="G26" s="14">
        <v>2</v>
      </c>
      <c r="H26" s="92">
        <f>IF(B$19=0,0,G26/B$19)</f>
        <v>4.3196544276457886E-3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9307.598784194528</v>
      </c>
      <c r="C27" s="100">
        <v>3062200</v>
      </c>
      <c r="E27" s="29" t="s">
        <v>84</v>
      </c>
      <c r="F27" s="26" t="s">
        <v>39</v>
      </c>
      <c r="G27" s="14">
        <v>1</v>
      </c>
      <c r="H27" s="92">
        <f>IF(B$19=0,0,G27/B$19)</f>
        <v>2.1598272138228943E-3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8174.626865671642</v>
      </c>
      <c r="C28" s="100">
        <v>1095400</v>
      </c>
      <c r="E28" s="29" t="s">
        <v>95</v>
      </c>
      <c r="F28" s="26" t="s">
        <v>50</v>
      </c>
      <c r="G28" s="14">
        <v>1</v>
      </c>
      <c r="H28" s="92">
        <f>IF(B$19=0,0,G28/B$19)</f>
        <v>2.1598272138228943E-3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-8179.2</v>
      </c>
      <c r="C29" s="100">
        <v>-2044800</v>
      </c>
      <c r="E29" s="29" t="s">
        <v>97</v>
      </c>
      <c r="F29" s="26" t="s">
        <v>52</v>
      </c>
      <c r="G29" s="14">
        <v>1</v>
      </c>
      <c r="H29" s="92">
        <f>IF(B$19=0,0,G29/B$19)</f>
        <v>2.1598272138228943E-3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102</v>
      </c>
      <c r="F30" s="26" t="s">
        <v>57</v>
      </c>
      <c r="G30" s="14">
        <v>1</v>
      </c>
      <c r="H30" s="92">
        <f>IF(B$19=0,0,G30/B$19)</f>
        <v>2.1598272138228943E-3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6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3</v>
      </c>
      <c r="C34" s="11">
        <f>IF(B$3=0,0,B34/B$3)</f>
        <v>1.8975332068311196E-3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88</v>
      </c>
      <c r="F35" s="26" t="s">
        <v>43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36</v>
      </c>
      <c r="C36" s="102">
        <f t="shared" ref="C36:C48" si="2">IF(B$19=0,0,B36/B$19)</f>
        <v>7.775377969762419E-2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85</v>
      </c>
      <c r="C37" s="8">
        <f t="shared" si="2"/>
        <v>0.183585313174946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76</v>
      </c>
      <c r="C38" s="8">
        <f t="shared" si="2"/>
        <v>0.16414686825053995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85</v>
      </c>
      <c r="C39" s="8">
        <f t="shared" si="2"/>
        <v>0.183585313174946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72</v>
      </c>
      <c r="C40" s="8">
        <f t="shared" si="2"/>
        <v>0.15550755939524838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41</v>
      </c>
      <c r="C41" s="8">
        <f t="shared" si="2"/>
        <v>8.8552915766738655E-2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28</v>
      </c>
      <c r="C42" s="8">
        <f t="shared" si="2"/>
        <v>6.0475161987041039E-2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10</v>
      </c>
      <c r="C43" s="8">
        <f t="shared" si="2"/>
        <v>2.159827213822894E-2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8</v>
      </c>
      <c r="C44" s="8">
        <f t="shared" si="2"/>
        <v>1.7278617710583154E-2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6</v>
      </c>
      <c r="C45" s="8">
        <f t="shared" si="2"/>
        <v>1.2958963282937365E-2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3</v>
      </c>
      <c r="C46" s="8">
        <f t="shared" si="2"/>
        <v>6.4794816414686825E-3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2.1598272138228943E-3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2"/>
        <v>2.591792656587473E-2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38</v>
      </c>
      <c r="C2" s="132"/>
      <c r="E2" s="28" t="s">
        <v>66</v>
      </c>
      <c r="F2" s="25" t="s">
        <v>22</v>
      </c>
      <c r="G2" s="13">
        <v>70</v>
      </c>
      <c r="H2" s="91">
        <f>IF(B$19=0,0,G2/B$19)</f>
        <v>0.89743589743589747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-2978.3783783783783</v>
      </c>
      <c r="P2" s="80">
        <v>37</v>
      </c>
      <c r="Q2" s="67">
        <v>-110200</v>
      </c>
    </row>
    <row r="3" spans="1:17" x14ac:dyDescent="0.45">
      <c r="A3" s="21" t="s">
        <v>8</v>
      </c>
      <c r="B3" s="133">
        <v>296</v>
      </c>
      <c r="C3" s="134"/>
      <c r="E3" s="29" t="s">
        <v>72</v>
      </c>
      <c r="F3" s="26" t="s">
        <v>27</v>
      </c>
      <c r="G3" s="14">
        <v>42</v>
      </c>
      <c r="H3" s="92">
        <f>IF(B$19=0,0,G3/B$19)</f>
        <v>0.53846153846153844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-778.37837837837833</v>
      </c>
      <c r="P3" s="81">
        <v>37</v>
      </c>
      <c r="Q3" s="68">
        <v>-28800</v>
      </c>
    </row>
    <row r="4" spans="1:17" x14ac:dyDescent="0.45">
      <c r="A4" s="21" t="s">
        <v>6</v>
      </c>
      <c r="B4" s="135">
        <v>-160.30000000000004</v>
      </c>
      <c r="C4" s="136"/>
      <c r="E4" s="29" t="s">
        <v>160</v>
      </c>
      <c r="F4" s="26" t="s">
        <v>161</v>
      </c>
      <c r="G4" s="14">
        <v>40</v>
      </c>
      <c r="H4" s="92">
        <f>IF(B$19=0,0,G4/B$19)</f>
        <v>0.51282051282051277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-464.70588235294116</v>
      </c>
      <c r="P4" s="81">
        <v>34</v>
      </c>
      <c r="Q4" s="68">
        <v>-15800</v>
      </c>
    </row>
    <row r="5" spans="1:17" x14ac:dyDescent="0.45">
      <c r="A5" s="21" t="s">
        <v>7</v>
      </c>
      <c r="B5" s="123">
        <f>IF(B$2=0,0,B$4/B$2)</f>
        <v>-4.2184210526315802</v>
      </c>
      <c r="C5" s="124"/>
      <c r="E5" s="29" t="s">
        <v>64</v>
      </c>
      <c r="F5" s="26" t="s">
        <v>20</v>
      </c>
      <c r="G5" s="14">
        <v>38</v>
      </c>
      <c r="H5" s="92">
        <f>IF(B$19=0,0,G5/B$19)</f>
        <v>0.48717948717948717</v>
      </c>
      <c r="I5" s="60">
        <v>4</v>
      </c>
      <c r="K5" s="7">
        <v>3</v>
      </c>
      <c r="L5" s="65">
        <v>61.5</v>
      </c>
      <c r="N5" s="78" t="s">
        <v>131</v>
      </c>
      <c r="O5" s="84">
        <f t="shared" si="0"/>
        <v>-2719.3548387096776</v>
      </c>
      <c r="P5" s="81">
        <v>31</v>
      </c>
      <c r="Q5" s="68">
        <v>-84300</v>
      </c>
    </row>
    <row r="6" spans="1:17" x14ac:dyDescent="0.45">
      <c r="A6" s="21" t="s">
        <v>1</v>
      </c>
      <c r="B6" s="137">
        <f>IF(B$2=0,0,(B$7*1+B$8*2+B$9*3)/B$2)</f>
        <v>2.0789473684210527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0.26923076923076922</v>
      </c>
      <c r="I6" s="60">
        <v>7</v>
      </c>
      <c r="K6" s="7">
        <v>4</v>
      </c>
      <c r="L6" s="65">
        <v>27.4</v>
      </c>
      <c r="N6" s="78" t="s">
        <v>132</v>
      </c>
      <c r="O6" s="84">
        <f t="shared" si="0"/>
        <v>1293.1034482758621</v>
      </c>
      <c r="P6" s="81">
        <v>29</v>
      </c>
      <c r="Q6" s="68">
        <v>37500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0.36842105263157893</v>
      </c>
      <c r="E7" s="29" t="s">
        <v>67</v>
      </c>
      <c r="F7" s="26" t="s">
        <v>23</v>
      </c>
      <c r="G7" s="14">
        <v>18</v>
      </c>
      <c r="H7" s="92">
        <f>IF(B$19=0,0,G7/B$19)</f>
        <v>0.23076923076923078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3677.2727272727275</v>
      </c>
      <c r="P7" s="82">
        <v>22</v>
      </c>
      <c r="Q7" s="69">
        <v>80900</v>
      </c>
    </row>
    <row r="8" spans="1:17" x14ac:dyDescent="0.45">
      <c r="A8" s="21" t="s">
        <v>3</v>
      </c>
      <c r="B8" s="14">
        <v>7</v>
      </c>
      <c r="C8" s="8">
        <f t="shared" si="1"/>
        <v>0.18421052631578946</v>
      </c>
      <c r="E8" s="29" t="s">
        <v>89</v>
      </c>
      <c r="F8" s="26" t="s">
        <v>44</v>
      </c>
      <c r="G8" s="14">
        <v>11</v>
      </c>
      <c r="H8" s="92">
        <f>IF(B$19=0,0,G8/B$19)</f>
        <v>0.14102564102564102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17</v>
      </c>
      <c r="C9" s="9">
        <f t="shared" si="1"/>
        <v>0.44736842105263158</v>
      </c>
      <c r="E9" s="29" t="s">
        <v>65</v>
      </c>
      <c r="F9" s="26" t="s">
        <v>21</v>
      </c>
      <c r="G9" s="14">
        <v>9</v>
      </c>
      <c r="H9" s="92">
        <f>IF(B$19=0,0,G9/B$19)</f>
        <v>0.11538461538461539</v>
      </c>
      <c r="I9" s="60">
        <v>4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41.664285714285725</v>
      </c>
      <c r="C10" s="114">
        <v>583.30000000000018</v>
      </c>
      <c r="E10" s="29" t="s">
        <v>70</v>
      </c>
      <c r="F10" s="26" t="s">
        <v>25</v>
      </c>
      <c r="G10" s="14">
        <v>8</v>
      </c>
      <c r="H10" s="92">
        <f>IF(B$19=0,0,G10/B$19)</f>
        <v>0.10256410256410256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-12.076923076923078</v>
      </c>
      <c r="P10" s="80">
        <v>13</v>
      </c>
      <c r="Q10" s="71">
        <v>-157.00000000000003</v>
      </c>
    </row>
    <row r="11" spans="1:17" x14ac:dyDescent="0.45">
      <c r="A11" s="22" t="s">
        <v>186</v>
      </c>
      <c r="B11" s="113">
        <f>IF(B8=0,0,C11/B8)</f>
        <v>-5.3857142857142861</v>
      </c>
      <c r="C11" s="114">
        <v>-37.700000000000003</v>
      </c>
      <c r="E11" s="29" t="s">
        <v>86</v>
      </c>
      <c r="F11" s="26" t="s">
        <v>41</v>
      </c>
      <c r="G11" s="14">
        <v>7</v>
      </c>
      <c r="H11" s="92">
        <f>IF(B$19=0,0,G11/B$19)</f>
        <v>8.9743589743589744E-2</v>
      </c>
      <c r="I11" s="60">
        <v>2</v>
      </c>
      <c r="K11" s="7">
        <v>9</v>
      </c>
      <c r="L11" s="65">
        <v>33.5</v>
      </c>
      <c r="N11" s="78" t="s">
        <v>153</v>
      </c>
      <c r="O11" s="87">
        <f>IF(P11=0,0,Q11/P11)</f>
        <v>7.5399999999999974</v>
      </c>
      <c r="P11" s="81">
        <v>10</v>
      </c>
      <c r="Q11" s="72">
        <v>75.399999999999977</v>
      </c>
    </row>
    <row r="12" spans="1:17" x14ac:dyDescent="0.45">
      <c r="A12" s="22" t="s">
        <v>187</v>
      </c>
      <c r="B12" s="113">
        <f>IF(B9=0,0,C12/B9)</f>
        <v>-41.523529411764699</v>
      </c>
      <c r="C12" s="114">
        <v>-705.89999999999986</v>
      </c>
      <c r="E12" s="29" t="s">
        <v>69</v>
      </c>
      <c r="F12" s="26" t="s">
        <v>24</v>
      </c>
      <c r="G12" s="14">
        <v>5</v>
      </c>
      <c r="H12" s="92">
        <f>IF(B$19=0,0,G12/B$19)</f>
        <v>6.4102564102564097E-2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-5.2466666666666661</v>
      </c>
      <c r="P12" s="82">
        <v>15</v>
      </c>
      <c r="Q12" s="73">
        <v>-78.699999999999989</v>
      </c>
    </row>
    <row r="13" spans="1:17" x14ac:dyDescent="0.45">
      <c r="A13" s="22" t="s">
        <v>188</v>
      </c>
      <c r="B13" s="123">
        <f>AVERAGE(B10:B12)</f>
        <v>-1.7483193277310864</v>
      </c>
      <c r="C13" s="124"/>
      <c r="E13" s="29" t="s">
        <v>91</v>
      </c>
      <c r="F13" s="26" t="s">
        <v>46</v>
      </c>
      <c r="G13" s="14">
        <v>5</v>
      </c>
      <c r="H13" s="92">
        <f>IF(B$19=0,0,G13/B$19)</f>
        <v>6.4102564102564097E-2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0.21052631578947367</v>
      </c>
      <c r="E14" s="29" t="s">
        <v>71</v>
      </c>
      <c r="F14" s="26" t="s">
        <v>26</v>
      </c>
      <c r="G14" s="14">
        <v>4</v>
      </c>
      <c r="H14" s="92">
        <f>IF(B$19=0,0,G14/B$19)</f>
        <v>5.128205128205128E-2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86</v>
      </c>
      <c r="C15" s="12">
        <f>IF(B$3=0,0,B15/B$3)</f>
        <v>0.29054054054054052</v>
      </c>
      <c r="E15" s="29" t="s">
        <v>79</v>
      </c>
      <c r="F15" s="26" t="s">
        <v>34</v>
      </c>
      <c r="G15" s="14">
        <v>3</v>
      </c>
      <c r="H15" s="92">
        <f>IF(B$19=0,0,G15/B$19)</f>
        <v>3.8461538461538464E-2</v>
      </c>
      <c r="I15" s="60">
        <v>3</v>
      </c>
      <c r="K15" s="7">
        <v>13</v>
      </c>
      <c r="L15" s="65">
        <v>-33.5</v>
      </c>
      <c r="N15" s="77" t="s">
        <v>205</v>
      </c>
      <c r="O15" s="86">
        <f t="shared" ref="O15:O22" si="2">IF(P15=0,0,Q15/P15)</f>
        <v>29.925000000000001</v>
      </c>
      <c r="P15" s="80">
        <v>4</v>
      </c>
      <c r="Q15" s="71">
        <v>119.7</v>
      </c>
    </row>
    <row r="16" spans="1:17" x14ac:dyDescent="0.45">
      <c r="A16" s="21" t="s">
        <v>118</v>
      </c>
      <c r="B16" s="14">
        <v>64</v>
      </c>
      <c r="C16" s="8">
        <f>IF(B$3=0,0,B16/B$3)</f>
        <v>0.21621621621621623</v>
      </c>
      <c r="E16" s="29" t="s">
        <v>81</v>
      </c>
      <c r="F16" s="26" t="s">
        <v>36</v>
      </c>
      <c r="G16" s="14">
        <v>3</v>
      </c>
      <c r="H16" s="92">
        <f>IF(B$19=0,0,G16/B$19)</f>
        <v>3.8461538461538464E-2</v>
      </c>
      <c r="I16" s="60">
        <v>2</v>
      </c>
      <c r="K16" s="7">
        <v>14</v>
      </c>
      <c r="L16" s="65">
        <v>15.100000000000001</v>
      </c>
      <c r="N16" s="78" t="s">
        <v>189</v>
      </c>
      <c r="O16" s="87">
        <f t="shared" si="2"/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0.43023255813953487</v>
      </c>
      <c r="E17" s="29" t="s">
        <v>78</v>
      </c>
      <c r="F17" s="26" t="s">
        <v>33</v>
      </c>
      <c r="G17" s="14">
        <v>2</v>
      </c>
      <c r="H17" s="92">
        <f>IF(B$19=0,0,G17/B$19)</f>
        <v>2.564102564102564E-2</v>
      </c>
      <c r="I17" s="60">
        <v>7</v>
      </c>
      <c r="K17" s="7">
        <v>15</v>
      </c>
      <c r="L17" s="65">
        <v>-33.1</v>
      </c>
      <c r="N17" s="78" t="s">
        <v>213</v>
      </c>
      <c r="O17" s="87">
        <f t="shared" si="2"/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25</v>
      </c>
      <c r="C18" s="6">
        <f>IF(B$16=0,0,B18/B$16)</f>
        <v>0.390625</v>
      </c>
      <c r="E18" s="29" t="s">
        <v>83</v>
      </c>
      <c r="F18" s="26" t="s">
        <v>38</v>
      </c>
      <c r="G18" s="14">
        <v>2</v>
      </c>
      <c r="H18" s="92">
        <f>IF(B$19=0,0,G18/B$19)</f>
        <v>2.564102564102564E-2</v>
      </c>
      <c r="I18" s="60">
        <v>7</v>
      </c>
      <c r="K18" s="7">
        <v>16</v>
      </c>
      <c r="L18" s="65">
        <v>-10.8</v>
      </c>
      <c r="N18" s="78" t="s">
        <v>192</v>
      </c>
      <c r="O18" s="87">
        <f t="shared" si="2"/>
        <v>5.7499999999999982</v>
      </c>
      <c r="P18" s="81">
        <v>16</v>
      </c>
      <c r="Q18" s="72">
        <v>91.999999999999972</v>
      </c>
    </row>
    <row r="19" spans="1:17" x14ac:dyDescent="0.45">
      <c r="A19" s="20" t="s">
        <v>10</v>
      </c>
      <c r="B19" s="13">
        <f>B22+B21</f>
        <v>78</v>
      </c>
      <c r="C19" s="6">
        <f>IF(B$3=0,0,B19/B$3)</f>
        <v>0.26351351351351349</v>
      </c>
      <c r="E19" s="29" t="s">
        <v>92</v>
      </c>
      <c r="F19" s="26" t="s">
        <v>47</v>
      </c>
      <c r="G19" s="14">
        <v>2</v>
      </c>
      <c r="H19" s="92">
        <f>IF(B$19=0,0,G19/B$19)</f>
        <v>2.564102564102564E-2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 t="shared" si="2"/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65</v>
      </c>
      <c r="C20" s="8">
        <f>IF(B$3=0,0,B20/B$3)</f>
        <v>0.2195945945945946</v>
      </c>
      <c r="E20" s="29" t="s">
        <v>75</v>
      </c>
      <c r="F20" s="26" t="s">
        <v>30</v>
      </c>
      <c r="G20" s="14">
        <v>1</v>
      </c>
      <c r="H20" s="92">
        <f>IF(B$19=0,0,G20/B$19)</f>
        <v>1.282051282051282E-2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-15.628571428571421</v>
      </c>
      <c r="P20" s="81">
        <v>28</v>
      </c>
      <c r="Q20" s="72">
        <v>-437.5999999999998</v>
      </c>
    </row>
    <row r="21" spans="1:17" x14ac:dyDescent="0.45">
      <c r="A21" s="21" t="s">
        <v>12</v>
      </c>
      <c r="B21" s="14">
        <v>34</v>
      </c>
      <c r="C21" s="8">
        <f>IF(B$19=0,0,B21/B$19)</f>
        <v>0.4358974358974359</v>
      </c>
      <c r="E21" s="29" t="s">
        <v>97</v>
      </c>
      <c r="F21" s="26" t="s">
        <v>52</v>
      </c>
      <c r="G21" s="14">
        <v>1</v>
      </c>
      <c r="H21" s="92">
        <f>IF(B$19=0,0,G21/B$19)</f>
        <v>1.282051282051282E-2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 t="shared" si="2"/>
        <v>-33.971428571428568</v>
      </c>
      <c r="P21" s="81">
        <v>7</v>
      </c>
      <c r="Q21" s="72">
        <v>-237.79999999999998</v>
      </c>
    </row>
    <row r="22" spans="1:17" x14ac:dyDescent="0.45">
      <c r="A22" s="21" t="s">
        <v>11</v>
      </c>
      <c r="B22" s="14">
        <v>44</v>
      </c>
      <c r="C22" s="8">
        <f>IF(B$19=0,0,B22/B$19)</f>
        <v>0.5641025641025641</v>
      </c>
      <c r="E22" s="29" t="s">
        <v>156</v>
      </c>
      <c r="F22" s="26" t="s">
        <v>157</v>
      </c>
      <c r="G22" s="14">
        <v>1</v>
      </c>
      <c r="H22" s="92">
        <f>IF(B$19=0,0,G22/B$19)</f>
        <v>1.282051282051282E-2</v>
      </c>
      <c r="I22" s="60">
        <v>5</v>
      </c>
      <c r="K22" s="7">
        <v>20</v>
      </c>
      <c r="L22" s="65">
        <v>-72.000000000000014</v>
      </c>
      <c r="N22" s="78" t="s">
        <v>194</v>
      </c>
      <c r="O22" s="87">
        <f t="shared" si="2"/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37</v>
      </c>
      <c r="C23" s="8">
        <f>IF(B$19=0,0,B23/B$19)</f>
        <v>0.47435897435897434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25</v>
      </c>
      <c r="C24" s="8">
        <f>IF(B$19=0,0,B24/B$19)</f>
        <v>0.32051282051282054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16</v>
      </c>
      <c r="C25" s="8">
        <f>IF(B$19=0,0,B25/B$19)</f>
        <v>0.20512820512820512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10479.48717948718</v>
      </c>
      <c r="C26" s="10">
        <v>817400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11422.641509433963</v>
      </c>
      <c r="C27" s="100">
        <v>605400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8480</v>
      </c>
      <c r="C28" s="100">
        <v>212000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-8253.8461538461543</v>
      </c>
      <c r="C29" s="100">
        <v>-536500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1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1</v>
      </c>
      <c r="C34" s="11">
        <f>IF(B$3=0,0,B34/B$3)</f>
        <v>3.3783783783783786E-3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3">IF(B$19=0,0,B36/B$19)</f>
        <v>2.564102564102564E-2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3"/>
        <v>0.15384615384615385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5</v>
      </c>
      <c r="C38" s="8">
        <f t="shared" si="3"/>
        <v>6.4102564102564097E-2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20</v>
      </c>
      <c r="C39" s="8">
        <f t="shared" si="3"/>
        <v>0.25641025641025639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16</v>
      </c>
      <c r="C40" s="8">
        <f t="shared" si="3"/>
        <v>0.20512820512820512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7</v>
      </c>
      <c r="C41" s="8">
        <f t="shared" si="3"/>
        <v>8.9743589743589744E-2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8</v>
      </c>
      <c r="C42" s="8">
        <f t="shared" si="3"/>
        <v>0.10256410256410256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3</v>
      </c>
      <c r="C43" s="8">
        <f t="shared" si="3"/>
        <v>3.8461538461538464E-2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1.282051282051282E-2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1.282051282051282E-2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3"/>
        <v>3.8461538461538464E-2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8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9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50</v>
      </c>
      <c r="C2" s="132"/>
      <c r="E2" s="28" t="s">
        <v>66</v>
      </c>
      <c r="F2" s="25" t="s">
        <v>22</v>
      </c>
      <c r="G2" s="13">
        <v>89</v>
      </c>
      <c r="H2" s="91">
        <f>IF(B$19=0,0,G2/B$19)</f>
        <v>0.67938931297709926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102</v>
      </c>
      <c r="P2" s="80">
        <v>50</v>
      </c>
      <c r="Q2" s="67">
        <v>5100</v>
      </c>
    </row>
    <row r="3" spans="1:17" x14ac:dyDescent="0.45">
      <c r="A3" s="21" t="s">
        <v>8</v>
      </c>
      <c r="B3" s="133">
        <v>382</v>
      </c>
      <c r="C3" s="134"/>
      <c r="E3" s="29" t="s">
        <v>160</v>
      </c>
      <c r="F3" s="26" t="s">
        <v>161</v>
      </c>
      <c r="G3" s="14">
        <v>62</v>
      </c>
      <c r="H3" s="92">
        <f>IF(B$19=0,0,G3/B$19)</f>
        <v>0.47328244274809161</v>
      </c>
      <c r="I3" s="60">
        <v>3</v>
      </c>
      <c r="K3" s="7">
        <v>1</v>
      </c>
      <c r="L3" s="65">
        <v>39.200000000000003</v>
      </c>
      <c r="N3" s="78" t="s">
        <v>129</v>
      </c>
      <c r="O3" s="84">
        <f t="shared" si="0"/>
        <v>4112.2448979591836</v>
      </c>
      <c r="P3" s="81">
        <v>49</v>
      </c>
      <c r="Q3" s="68">
        <v>201500</v>
      </c>
    </row>
    <row r="4" spans="1:17" x14ac:dyDescent="0.45">
      <c r="A4" s="21" t="s">
        <v>6</v>
      </c>
      <c r="B4" s="135">
        <v>689.90000000000009</v>
      </c>
      <c r="C4" s="136"/>
      <c r="E4" s="29" t="s">
        <v>72</v>
      </c>
      <c r="F4" s="26" t="s">
        <v>27</v>
      </c>
      <c r="G4" s="14">
        <v>58</v>
      </c>
      <c r="H4" s="92">
        <f>IF(B$19=0,0,G4/B$19)</f>
        <v>0.44274809160305345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4950</v>
      </c>
      <c r="P4" s="81">
        <v>46</v>
      </c>
      <c r="Q4" s="68">
        <v>227700</v>
      </c>
    </row>
    <row r="5" spans="1:17" x14ac:dyDescent="0.45">
      <c r="A5" s="21" t="s">
        <v>7</v>
      </c>
      <c r="B5" s="123">
        <f>IF(B$2=0,0,B$4/B$2)</f>
        <v>13.798000000000002</v>
      </c>
      <c r="C5" s="124"/>
      <c r="E5" s="29" t="s">
        <v>64</v>
      </c>
      <c r="F5" s="26" t="s">
        <v>20</v>
      </c>
      <c r="G5" s="14">
        <v>57</v>
      </c>
      <c r="H5" s="92">
        <f>IF(B$19=0,0,G5/B$19)</f>
        <v>0.4351145038167939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3382.5</v>
      </c>
      <c r="P5" s="81">
        <v>40</v>
      </c>
      <c r="Q5" s="68">
        <v>135300</v>
      </c>
    </row>
    <row r="6" spans="1:17" x14ac:dyDescent="0.45">
      <c r="A6" s="21" t="s">
        <v>1</v>
      </c>
      <c r="B6" s="137">
        <f>IF(B$2=0,0,(B$7*1+B$8*2+B$9*3)/B$2)</f>
        <v>1.72</v>
      </c>
      <c r="C6" s="138"/>
      <c r="E6" s="29" t="s">
        <v>68</v>
      </c>
      <c r="F6" s="26" t="s">
        <v>12</v>
      </c>
      <c r="G6" s="14">
        <v>51</v>
      </c>
      <c r="H6" s="92">
        <f>IF(B$19=0,0,G6/B$19)</f>
        <v>0.38931297709923662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-1788.8888888888889</v>
      </c>
      <c r="P6" s="81">
        <v>36</v>
      </c>
      <c r="Q6" s="68">
        <v>-64400</v>
      </c>
    </row>
    <row r="7" spans="1:17" x14ac:dyDescent="0.45">
      <c r="A7" s="21" t="s">
        <v>2</v>
      </c>
      <c r="B7" s="14">
        <v>23</v>
      </c>
      <c r="C7" s="8">
        <f t="shared" ref="C7:C14" si="1">IF(B$2=0,0,B7/B$2)</f>
        <v>0.46</v>
      </c>
      <c r="E7" s="29" t="s">
        <v>67</v>
      </c>
      <c r="F7" s="26" t="s">
        <v>23</v>
      </c>
      <c r="G7" s="14">
        <v>29</v>
      </c>
      <c r="H7" s="92">
        <f>IF(B$19=0,0,G7/B$19)</f>
        <v>0.22137404580152673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1244.8275862068965</v>
      </c>
      <c r="P7" s="82">
        <v>29</v>
      </c>
      <c r="Q7" s="69">
        <v>36100</v>
      </c>
    </row>
    <row r="8" spans="1:17" x14ac:dyDescent="0.45">
      <c r="A8" s="21" t="s">
        <v>3</v>
      </c>
      <c r="B8" s="14">
        <v>18</v>
      </c>
      <c r="C8" s="8">
        <f t="shared" si="1"/>
        <v>0.36</v>
      </c>
      <c r="E8" s="29" t="s">
        <v>69</v>
      </c>
      <c r="F8" s="26" t="s">
        <v>24</v>
      </c>
      <c r="G8" s="14">
        <v>24</v>
      </c>
      <c r="H8" s="92">
        <f>IF(B$19=0,0,G8/B$19)</f>
        <v>0.18320610687022901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0.18</v>
      </c>
      <c r="E9" s="29" t="s">
        <v>89</v>
      </c>
      <c r="F9" s="26" t="s">
        <v>44</v>
      </c>
      <c r="G9" s="14">
        <v>22</v>
      </c>
      <c r="H9" s="92">
        <f>IF(B$19=0,0,G9/B$19)</f>
        <v>0.16793893129770993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45.013043478260869</v>
      </c>
      <c r="C10" s="114">
        <v>1035.3</v>
      </c>
      <c r="E10" s="29" t="s">
        <v>65</v>
      </c>
      <c r="F10" s="26" t="s">
        <v>21</v>
      </c>
      <c r="G10" s="14">
        <v>13</v>
      </c>
      <c r="H10" s="92">
        <f>IF(B$19=0,0,G10/B$19)</f>
        <v>9.9236641221374045E-2</v>
      </c>
      <c r="I10" s="60">
        <v>8</v>
      </c>
      <c r="K10" s="7">
        <v>8</v>
      </c>
      <c r="L10" s="65">
        <v>132.6</v>
      </c>
      <c r="N10" s="77" t="s">
        <v>152</v>
      </c>
      <c r="O10" s="86">
        <f>IF(P10=0,0,Q10/P10)</f>
        <v>-0.29333333333333322</v>
      </c>
      <c r="P10" s="80">
        <v>15</v>
      </c>
      <c r="Q10" s="71">
        <v>-4.3999999999999986</v>
      </c>
    </row>
    <row r="11" spans="1:17" x14ac:dyDescent="0.45">
      <c r="A11" s="22" t="s">
        <v>186</v>
      </c>
      <c r="B11" s="113">
        <f>IF(B8=0,0,C11/B8)</f>
        <v>0.35555555555555562</v>
      </c>
      <c r="C11" s="114">
        <v>6.4000000000000012</v>
      </c>
      <c r="E11" s="29" t="s">
        <v>71</v>
      </c>
      <c r="F11" s="26" t="s">
        <v>26</v>
      </c>
      <c r="G11" s="14">
        <v>13</v>
      </c>
      <c r="H11" s="92">
        <f>IF(B$19=0,0,G11/B$19)</f>
        <v>9.9236641221374045E-2</v>
      </c>
      <c r="I11" s="60">
        <v>4</v>
      </c>
      <c r="K11" s="7">
        <v>9</v>
      </c>
      <c r="L11" s="65">
        <v>151.29999999999998</v>
      </c>
      <c r="N11" s="78" t="s">
        <v>153</v>
      </c>
      <c r="O11" s="87">
        <f>IF(P11=0,0,Q11/P11)</f>
        <v>18.682352941176468</v>
      </c>
      <c r="P11" s="81">
        <v>17</v>
      </c>
      <c r="Q11" s="72">
        <v>317.59999999999997</v>
      </c>
    </row>
    <row r="12" spans="1:17" x14ac:dyDescent="0.45">
      <c r="A12" s="22" t="s">
        <v>187</v>
      </c>
      <c r="B12" s="113">
        <f>IF(B9=0,0,C12/B9)</f>
        <v>-39.088888888888889</v>
      </c>
      <c r="C12" s="114">
        <v>-351.8</v>
      </c>
      <c r="E12" s="29" t="s">
        <v>70</v>
      </c>
      <c r="F12" s="26" t="s">
        <v>25</v>
      </c>
      <c r="G12" s="14">
        <v>10</v>
      </c>
      <c r="H12" s="92">
        <f>IF(B$19=0,0,G12/B$19)</f>
        <v>7.6335877862595422E-2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20.927777777777784</v>
      </c>
      <c r="P12" s="82">
        <v>18</v>
      </c>
      <c r="Q12" s="73">
        <v>376.7000000000001</v>
      </c>
    </row>
    <row r="13" spans="1:17" x14ac:dyDescent="0.45">
      <c r="A13" s="22" t="s">
        <v>188</v>
      </c>
      <c r="B13" s="123">
        <f>AVERAGE(B10:B12)</f>
        <v>2.0932367149758448</v>
      </c>
      <c r="C13" s="124"/>
      <c r="E13" s="29" t="s">
        <v>86</v>
      </c>
      <c r="F13" s="26" t="s">
        <v>41</v>
      </c>
      <c r="G13" s="14">
        <v>10</v>
      </c>
      <c r="H13" s="92">
        <f>IF(B$19=0,0,G13/B$19)</f>
        <v>7.6335877862595422E-2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0.04</v>
      </c>
      <c r="E14" s="29" t="s">
        <v>83</v>
      </c>
      <c r="F14" s="26" t="s">
        <v>38</v>
      </c>
      <c r="G14" s="14">
        <v>7</v>
      </c>
      <c r="H14" s="92">
        <f>IF(B$19=0,0,G14/B$19)</f>
        <v>5.3435114503816793E-2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102</v>
      </c>
      <c r="C15" s="12">
        <f>IF(B$3=0,0,B15/B$3)</f>
        <v>0.26701570680628273</v>
      </c>
      <c r="E15" s="29" t="s">
        <v>156</v>
      </c>
      <c r="F15" s="26" t="s">
        <v>157</v>
      </c>
      <c r="G15" s="14">
        <v>4</v>
      </c>
      <c r="H15" s="92">
        <f>IF(B$19=0,0,G15/B$19)</f>
        <v>3.0534351145038167E-2</v>
      </c>
      <c r="I15" s="60">
        <v>1</v>
      </c>
      <c r="K15" s="7">
        <v>13</v>
      </c>
      <c r="L15" s="65">
        <v>197</v>
      </c>
      <c r="N15" s="77" t="s">
        <v>196</v>
      </c>
      <c r="O15" s="86">
        <f t="shared" ref="O15:O22" si="2"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65</v>
      </c>
      <c r="C16" s="8">
        <f>IF(B$3=0,0,B16/B$3)</f>
        <v>0.17015706806282724</v>
      </c>
      <c r="E16" s="29" t="s">
        <v>92</v>
      </c>
      <c r="F16" s="26" t="s">
        <v>47</v>
      </c>
      <c r="G16" s="14">
        <v>3</v>
      </c>
      <c r="H16" s="92">
        <f>IF(B$19=0,0,G16/B$19)</f>
        <v>2.2900763358778626E-2</v>
      </c>
      <c r="I16" s="60">
        <v>3</v>
      </c>
      <c r="K16" s="7">
        <v>14</v>
      </c>
      <c r="L16" s="65">
        <v>249.2</v>
      </c>
      <c r="N16" s="78" t="s">
        <v>189</v>
      </c>
      <c r="O16" s="87">
        <f t="shared" si="2"/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63</v>
      </c>
      <c r="C17" s="6">
        <f>IF(B$15=0,0,B17/B$15)</f>
        <v>0.61764705882352944</v>
      </c>
      <c r="E17" s="29" t="s">
        <v>78</v>
      </c>
      <c r="F17" s="26" t="s">
        <v>33</v>
      </c>
      <c r="G17" s="14">
        <v>2</v>
      </c>
      <c r="H17" s="92">
        <f>IF(B$19=0,0,G17/B$19)</f>
        <v>1.5267175572519083E-2</v>
      </c>
      <c r="I17" s="60">
        <v>8</v>
      </c>
      <c r="K17" s="7">
        <v>15</v>
      </c>
      <c r="L17" s="65">
        <v>213.5</v>
      </c>
      <c r="N17" s="78" t="s">
        <v>194</v>
      </c>
      <c r="O17" s="87">
        <f t="shared" si="2"/>
        <v>28.627272727272736</v>
      </c>
      <c r="P17" s="81">
        <v>11</v>
      </c>
      <c r="Q17" s="72">
        <v>314.90000000000009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0.52307692307692311</v>
      </c>
      <c r="E18" s="29" t="s">
        <v>79</v>
      </c>
      <c r="F18" s="26" t="s">
        <v>34</v>
      </c>
      <c r="G18" s="14">
        <v>2</v>
      </c>
      <c r="H18" s="92">
        <f>IF(B$19=0,0,G18/B$19)</f>
        <v>1.5267175572519083E-2</v>
      </c>
      <c r="I18" s="60">
        <v>5</v>
      </c>
      <c r="K18" s="7">
        <v>16</v>
      </c>
      <c r="L18" s="65">
        <v>273.8</v>
      </c>
      <c r="N18" s="78" t="s">
        <v>192</v>
      </c>
      <c r="O18" s="87">
        <f t="shared" si="2"/>
        <v>25.471428571428575</v>
      </c>
      <c r="P18" s="81">
        <v>21</v>
      </c>
      <c r="Q18" s="72">
        <v>534.90000000000009</v>
      </c>
    </row>
    <row r="19" spans="1:17" x14ac:dyDescent="0.45">
      <c r="A19" s="20" t="s">
        <v>10</v>
      </c>
      <c r="B19" s="13">
        <f>B22+B21</f>
        <v>131</v>
      </c>
      <c r="C19" s="6">
        <f>IF(B$3=0,0,B19/B$3)</f>
        <v>0.34293193717277487</v>
      </c>
      <c r="E19" s="29" t="s">
        <v>81</v>
      </c>
      <c r="F19" s="26" t="s">
        <v>36</v>
      </c>
      <c r="G19" s="14">
        <v>2</v>
      </c>
      <c r="H19" s="92">
        <f>IF(B$19=0,0,G19/B$19)</f>
        <v>1.5267175572519083E-2</v>
      </c>
      <c r="I19" s="60">
        <v>5</v>
      </c>
      <c r="K19" s="7">
        <v>17</v>
      </c>
      <c r="L19" s="65">
        <v>242.8</v>
      </c>
      <c r="N19" s="78" t="s">
        <v>193</v>
      </c>
      <c r="O19" s="87">
        <f t="shared" si="2"/>
        <v>21.374999999999996</v>
      </c>
      <c r="P19" s="81">
        <v>12</v>
      </c>
      <c r="Q19" s="72">
        <v>256.49999999999994</v>
      </c>
    </row>
    <row r="20" spans="1:17" x14ac:dyDescent="0.45">
      <c r="A20" s="21" t="s">
        <v>13</v>
      </c>
      <c r="B20" s="14">
        <v>47</v>
      </c>
      <c r="C20" s="8">
        <f>IF(B$3=0,0,B20/B$3)</f>
        <v>0.12303664921465969</v>
      </c>
      <c r="E20" s="29" t="s">
        <v>91</v>
      </c>
      <c r="F20" s="26" t="s">
        <v>46</v>
      </c>
      <c r="G20" s="14">
        <v>2</v>
      </c>
      <c r="H20" s="92">
        <f>IF(B$19=0,0,G20/B$19)</f>
        <v>1.5267175572519083E-2</v>
      </c>
      <c r="I20" s="60">
        <v>4</v>
      </c>
      <c r="K20" s="7">
        <v>18</v>
      </c>
      <c r="L20" s="65">
        <v>280</v>
      </c>
      <c r="N20" s="78" t="s">
        <v>205</v>
      </c>
      <c r="O20" s="87">
        <f t="shared" si="2"/>
        <v>21.218181818181815</v>
      </c>
      <c r="P20" s="81">
        <v>11</v>
      </c>
      <c r="Q20" s="72">
        <v>233.39999999999998</v>
      </c>
    </row>
    <row r="21" spans="1:17" x14ac:dyDescent="0.45">
      <c r="A21" s="21" t="s">
        <v>12</v>
      </c>
      <c r="B21" s="14">
        <v>68</v>
      </c>
      <c r="C21" s="8">
        <f>IF(B$19=0,0,B21/B$19)</f>
        <v>0.51908396946564883</v>
      </c>
      <c r="E21" s="29" t="s">
        <v>93</v>
      </c>
      <c r="F21" s="26" t="s">
        <v>48</v>
      </c>
      <c r="G21" s="14">
        <v>2</v>
      </c>
      <c r="H21" s="92">
        <f>IF(B$19=0,0,G21/B$19)</f>
        <v>1.5267175572519083E-2</v>
      </c>
      <c r="I21" s="60">
        <v>1</v>
      </c>
      <c r="K21" s="7">
        <v>19</v>
      </c>
      <c r="L21" s="65">
        <v>281.5</v>
      </c>
      <c r="N21" s="78" t="s">
        <v>164</v>
      </c>
      <c r="O21" s="87">
        <f t="shared" si="2"/>
        <v>15.628571428571425</v>
      </c>
      <c r="P21" s="81">
        <v>28</v>
      </c>
      <c r="Q21" s="72">
        <v>437.59999999999991</v>
      </c>
    </row>
    <row r="22" spans="1:17" x14ac:dyDescent="0.45">
      <c r="A22" s="21" t="s">
        <v>11</v>
      </c>
      <c r="B22" s="14">
        <v>63</v>
      </c>
      <c r="C22" s="8">
        <f>IF(B$19=0,0,B22/B$19)</f>
        <v>0.48091603053435117</v>
      </c>
      <c r="E22" s="29" t="s">
        <v>73</v>
      </c>
      <c r="F22" s="26" t="s">
        <v>28</v>
      </c>
      <c r="G22" s="14">
        <v>1</v>
      </c>
      <c r="H22" s="92">
        <f>IF(B$19=0,0,G22/B$19)</f>
        <v>7.6335877862595417E-3</v>
      </c>
      <c r="I22" s="60">
        <v>2</v>
      </c>
      <c r="K22" s="7">
        <v>20</v>
      </c>
      <c r="L22" s="65">
        <v>287.2</v>
      </c>
      <c r="N22" s="78" t="s">
        <v>213</v>
      </c>
      <c r="O22" s="87">
        <f t="shared" si="2"/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63</v>
      </c>
      <c r="C23" s="8">
        <f>IF(B$19=0,0,B23/B$19)</f>
        <v>0.48091603053435117</v>
      </c>
      <c r="E23" s="29" t="s">
        <v>84</v>
      </c>
      <c r="F23" s="26" t="s">
        <v>39</v>
      </c>
      <c r="G23" s="14">
        <v>1</v>
      </c>
      <c r="H23" s="92">
        <f>IF(B$19=0,0,G23/B$19)</f>
        <v>7.6335877862595417E-3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34</v>
      </c>
      <c r="C24" s="8">
        <f>IF(B$19=0,0,B24/B$19)</f>
        <v>0.25954198473282442</v>
      </c>
      <c r="E24" s="29" t="s">
        <v>87</v>
      </c>
      <c r="F24" s="26" t="s">
        <v>42</v>
      </c>
      <c r="G24" s="14">
        <v>1</v>
      </c>
      <c r="H24" s="92">
        <f>IF(B$19=0,0,G24/B$19)</f>
        <v>7.6335877862595417E-3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34</v>
      </c>
      <c r="C25" s="8">
        <f>IF(B$19=0,0,B25/B$19)</f>
        <v>0.25954198473282442</v>
      </c>
      <c r="E25" s="29" t="s">
        <v>95</v>
      </c>
      <c r="F25" s="26" t="s">
        <v>50</v>
      </c>
      <c r="G25" s="14">
        <v>1</v>
      </c>
      <c r="H25" s="92">
        <f>IF(B$19=0,0,G25/B$19)</f>
        <v>7.6335877862595417E-3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9916.0305343511445</v>
      </c>
      <c r="C26" s="10">
        <v>1299000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10155.670103092783</v>
      </c>
      <c r="C27" s="100">
        <v>985100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9232.3529411764703</v>
      </c>
      <c r="C28" s="100">
        <v>313900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-8495.7446808510631</v>
      </c>
      <c r="C29" s="100">
        <v>-399300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1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5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3">IF(B$19=0,0,B36/B$19)</f>
        <v>5.3435114503816793E-2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20</v>
      </c>
      <c r="C37" s="8">
        <f t="shared" si="3"/>
        <v>0.15267175572519084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19</v>
      </c>
      <c r="C38" s="8">
        <f t="shared" si="3"/>
        <v>0.14503816793893129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27</v>
      </c>
      <c r="C39" s="8">
        <f t="shared" si="3"/>
        <v>0.20610687022900764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3"/>
        <v>0.20610687022900764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3"/>
        <v>7.6335877862595422E-2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6</v>
      </c>
      <c r="C42" s="8">
        <f t="shared" si="3"/>
        <v>4.5801526717557252E-2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3"/>
        <v>2.2900763358778626E-2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3"/>
        <v>3.0534351145038167E-2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2</v>
      </c>
      <c r="C45" s="8">
        <f t="shared" si="3"/>
        <v>1.5267175572519083E-2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3"/>
        <v>4.5801526717557252E-2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20</v>
      </c>
      <c r="C2" s="132"/>
      <c r="E2" s="28" t="s">
        <v>66</v>
      </c>
      <c r="F2" s="25" t="s">
        <v>22</v>
      </c>
      <c r="G2" s="13">
        <v>27</v>
      </c>
      <c r="H2" s="91">
        <f>IF(B$19=0,0,G2/B$19)</f>
        <v>0.75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-4610</v>
      </c>
      <c r="P2" s="80">
        <v>20</v>
      </c>
      <c r="Q2" s="67">
        <v>-92200</v>
      </c>
    </row>
    <row r="3" spans="1:17" x14ac:dyDescent="0.45">
      <c r="A3" s="21" t="s">
        <v>8</v>
      </c>
      <c r="B3" s="133">
        <v>140</v>
      </c>
      <c r="C3" s="134"/>
      <c r="E3" s="29" t="s">
        <v>64</v>
      </c>
      <c r="F3" s="26" t="s">
        <v>20</v>
      </c>
      <c r="G3" s="14">
        <v>17</v>
      </c>
      <c r="H3" s="92">
        <f>IF(B$19=0,0,G3/B$19)</f>
        <v>0.47222222222222221</v>
      </c>
      <c r="I3" s="60">
        <v>5</v>
      </c>
      <c r="K3" s="7">
        <v>1</v>
      </c>
      <c r="L3" s="65">
        <v>-55.5</v>
      </c>
      <c r="N3" s="78" t="s">
        <v>129</v>
      </c>
      <c r="O3" s="84">
        <f t="shared" si="0"/>
        <v>757.89473684210532</v>
      </c>
      <c r="P3" s="81">
        <v>19</v>
      </c>
      <c r="Q3" s="68">
        <v>14400</v>
      </c>
    </row>
    <row r="4" spans="1:17" x14ac:dyDescent="0.45">
      <c r="A4" s="21" t="s">
        <v>6</v>
      </c>
      <c r="B4" s="135">
        <v>-202.59999999999997</v>
      </c>
      <c r="C4" s="136"/>
      <c r="E4" s="29" t="s">
        <v>72</v>
      </c>
      <c r="F4" s="26" t="s">
        <v>27</v>
      </c>
      <c r="G4" s="14">
        <v>15</v>
      </c>
      <c r="H4" s="92">
        <f>IF(B$19=0,0,G4/B$19)</f>
        <v>0.41666666666666669</v>
      </c>
      <c r="I4" s="60">
        <v>9</v>
      </c>
      <c r="K4" s="7">
        <v>2</v>
      </c>
      <c r="L4" s="65">
        <v>-106.5</v>
      </c>
      <c r="N4" s="78" t="s">
        <v>130</v>
      </c>
      <c r="O4" s="84">
        <f t="shared" si="0"/>
        <v>-4517.6470588235297</v>
      </c>
      <c r="P4" s="81">
        <v>17</v>
      </c>
      <c r="Q4" s="68">
        <v>-76800</v>
      </c>
    </row>
    <row r="5" spans="1:17" x14ac:dyDescent="0.45">
      <c r="A5" s="21" t="s">
        <v>7</v>
      </c>
      <c r="B5" s="123">
        <f>IF(B$2=0,0,B$4/B$2)</f>
        <v>-10.129999999999999</v>
      </c>
      <c r="C5" s="124"/>
      <c r="E5" s="29" t="s">
        <v>160</v>
      </c>
      <c r="F5" s="26" t="s">
        <v>161</v>
      </c>
      <c r="G5" s="14">
        <v>15</v>
      </c>
      <c r="H5" s="92">
        <f>IF(B$19=0,0,G5/B$19)</f>
        <v>0.41666666666666669</v>
      </c>
      <c r="I5" s="60">
        <v>6</v>
      </c>
      <c r="K5" s="7">
        <v>3</v>
      </c>
      <c r="L5" s="65">
        <v>-108</v>
      </c>
      <c r="N5" s="78" t="s">
        <v>131</v>
      </c>
      <c r="O5" s="84">
        <f t="shared" si="0"/>
        <v>2546.1538461538462</v>
      </c>
      <c r="P5" s="81">
        <v>13</v>
      </c>
      <c r="Q5" s="68">
        <v>33100</v>
      </c>
    </row>
    <row r="6" spans="1:17" x14ac:dyDescent="0.45">
      <c r="A6" s="21" t="s">
        <v>1</v>
      </c>
      <c r="B6" s="137">
        <f>IF(B$2=0,0,(B$7*1+B$8*2+B$9*3)/B$2)</f>
        <v>2.35</v>
      </c>
      <c r="C6" s="138"/>
      <c r="E6" s="29" t="s">
        <v>68</v>
      </c>
      <c r="F6" s="26" t="s">
        <v>12</v>
      </c>
      <c r="G6" s="14">
        <v>12</v>
      </c>
      <c r="H6" s="92">
        <f>IF(B$19=0,0,G6/B$19)</f>
        <v>0.33333333333333331</v>
      </c>
      <c r="I6" s="60">
        <v>4</v>
      </c>
      <c r="K6" s="7">
        <v>4</v>
      </c>
      <c r="L6" s="65">
        <v>-115.5</v>
      </c>
      <c r="N6" s="78" t="s">
        <v>132</v>
      </c>
      <c r="O6" s="84">
        <f t="shared" si="0"/>
        <v>1750</v>
      </c>
      <c r="P6" s="81">
        <v>10</v>
      </c>
      <c r="Q6" s="68">
        <v>17500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0.15</v>
      </c>
      <c r="E7" s="29" t="s">
        <v>67</v>
      </c>
      <c r="F7" s="26" t="s">
        <v>23</v>
      </c>
      <c r="G7" s="14">
        <v>8</v>
      </c>
      <c r="H7" s="92">
        <f>IF(B$19=0,0,G7/B$19)</f>
        <v>0.22222222222222221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0"/>
        <v>-4855.5555555555557</v>
      </c>
      <c r="P7" s="82">
        <v>9</v>
      </c>
      <c r="Q7" s="69">
        <v>-43700</v>
      </c>
    </row>
    <row r="8" spans="1:17" x14ac:dyDescent="0.45">
      <c r="A8" s="21" t="s">
        <v>3</v>
      </c>
      <c r="B8" s="14">
        <v>7</v>
      </c>
      <c r="C8" s="8">
        <f t="shared" si="1"/>
        <v>0.35</v>
      </c>
      <c r="E8" s="29" t="s">
        <v>69</v>
      </c>
      <c r="F8" s="26" t="s">
        <v>24</v>
      </c>
      <c r="G8" s="14">
        <v>5</v>
      </c>
      <c r="H8" s="92">
        <f>IF(B$19=0,0,G8/B$19)</f>
        <v>0.1388888888888889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0.1111111111111111</v>
      </c>
      <c r="I9" s="60">
        <v>5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58.4</v>
      </c>
      <c r="C10" s="114">
        <v>175.2</v>
      </c>
      <c r="E10" s="29" t="s">
        <v>89</v>
      </c>
      <c r="F10" s="26" t="s">
        <v>44</v>
      </c>
      <c r="G10" s="14">
        <v>4</v>
      </c>
      <c r="H10" s="92">
        <f>IF(B$19=0,0,G10/B$19)</f>
        <v>0.1111111111111111</v>
      </c>
      <c r="I10" s="60">
        <v>7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-1.7857142857142854</v>
      </c>
      <c r="C11" s="114">
        <v>-12.499999999999998</v>
      </c>
      <c r="E11" s="29" t="s">
        <v>86</v>
      </c>
      <c r="F11" s="26" t="s">
        <v>41</v>
      </c>
      <c r="G11" s="14">
        <v>3</v>
      </c>
      <c r="H11" s="92">
        <f>IF(B$19=0,0,G11/B$19)</f>
        <v>8.3333333333333329E-2</v>
      </c>
      <c r="I11" s="60">
        <v>3</v>
      </c>
      <c r="K11" s="7">
        <v>9</v>
      </c>
      <c r="L11" s="65">
        <v>-172.39999999999998</v>
      </c>
      <c r="N11" s="78" t="s">
        <v>153</v>
      </c>
      <c r="O11" s="87">
        <f>IF(P11=0,0,Q11/P11)</f>
        <v>-7.666666666666667</v>
      </c>
      <c r="P11" s="81">
        <v>9</v>
      </c>
      <c r="Q11" s="72">
        <v>-69</v>
      </c>
    </row>
    <row r="12" spans="1:17" x14ac:dyDescent="0.45">
      <c r="A12" s="22" t="s">
        <v>187</v>
      </c>
      <c r="B12" s="113">
        <f>IF(B9=0,0,C12/B9)</f>
        <v>-36.53</v>
      </c>
      <c r="C12" s="114">
        <v>-365.3</v>
      </c>
      <c r="E12" s="29" t="s">
        <v>70</v>
      </c>
      <c r="F12" s="26" t="s">
        <v>25</v>
      </c>
      <c r="G12" s="14">
        <v>2</v>
      </c>
      <c r="H12" s="92">
        <f>IF(B$19=0,0,G12/B$19)</f>
        <v>5.5555555555555552E-2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3.816666666666666</v>
      </c>
      <c r="P12" s="82">
        <v>6</v>
      </c>
      <c r="Q12" s="73">
        <v>22.899999999999995</v>
      </c>
    </row>
    <row r="13" spans="1:17" x14ac:dyDescent="0.45">
      <c r="A13" s="22" t="s">
        <v>188</v>
      </c>
      <c r="B13" s="123">
        <f>AVERAGE(B10:B12)</f>
        <v>6.6947619047619042</v>
      </c>
      <c r="C13" s="124"/>
      <c r="E13" s="29" t="s">
        <v>71</v>
      </c>
      <c r="F13" s="26" t="s">
        <v>26</v>
      </c>
      <c r="G13" s="14">
        <v>1</v>
      </c>
      <c r="H13" s="92">
        <f>IF(B$19=0,0,G13/B$19)</f>
        <v>2.7777777777777776E-2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0.25</v>
      </c>
      <c r="E14" s="29" t="s">
        <v>78</v>
      </c>
      <c r="F14" s="26" t="s">
        <v>33</v>
      </c>
      <c r="G14" s="14">
        <v>1</v>
      </c>
      <c r="H14" s="92">
        <f>IF(B$19=0,0,G14/B$19)</f>
        <v>2.7777777777777776E-2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37</v>
      </c>
      <c r="C15" s="12">
        <f>IF(B$3=0,0,B15/B$3)</f>
        <v>0.26428571428571429</v>
      </c>
      <c r="E15" s="29" t="s">
        <v>81</v>
      </c>
      <c r="F15" s="26" t="s">
        <v>36</v>
      </c>
      <c r="G15" s="14">
        <v>1</v>
      </c>
      <c r="H15" s="92">
        <f>IF(B$19=0,0,G15/B$19)</f>
        <v>2.7777777777777776E-2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17</v>
      </c>
      <c r="C16" s="8">
        <f>IF(B$3=0,0,B16/B$3)</f>
        <v>0.12142857142857143</v>
      </c>
      <c r="E16" s="29" t="s">
        <v>87</v>
      </c>
      <c r="F16" s="26" t="s">
        <v>42</v>
      </c>
      <c r="G16" s="14">
        <v>1</v>
      </c>
      <c r="H16" s="92">
        <f>IF(B$19=0,0,G16/B$19)</f>
        <v>2.7777777777777776E-2</v>
      </c>
      <c r="I16" s="60">
        <v>1</v>
      </c>
      <c r="K16" s="7">
        <v>14</v>
      </c>
      <c r="L16" s="65">
        <v>-330.7</v>
      </c>
      <c r="N16" s="78" t="s">
        <v>192</v>
      </c>
      <c r="O16" s="87">
        <f>IF(P16=0,0,Q16/P16)</f>
        <v>-5.5600000000000005</v>
      </c>
      <c r="P16" s="81">
        <v>10</v>
      </c>
      <c r="Q16" s="72">
        <v>-55.600000000000009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0.45945945945945948</v>
      </c>
      <c r="E17" s="29" t="s">
        <v>91</v>
      </c>
      <c r="F17" s="26" t="s">
        <v>46</v>
      </c>
      <c r="G17" s="14">
        <v>1</v>
      </c>
      <c r="H17" s="92">
        <f>IF(B$19=0,0,G17/B$19)</f>
        <v>2.7777777777777776E-2</v>
      </c>
      <c r="I17" s="60">
        <v>2</v>
      </c>
      <c r="K17" s="7">
        <v>15</v>
      </c>
      <c r="L17" s="65">
        <v>-284.09999999999997</v>
      </c>
      <c r="N17" s="78" t="s">
        <v>205</v>
      </c>
      <c r="O17" s="87">
        <f>IF(P17=0,0,Q17/P17)</f>
        <v>-8.9499999999999993</v>
      </c>
      <c r="P17" s="81">
        <v>4</v>
      </c>
      <c r="Q17" s="72">
        <v>-35.799999999999997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0.47058823529411764</v>
      </c>
      <c r="E18" s="29" t="s">
        <v>92</v>
      </c>
      <c r="F18" s="26" t="s">
        <v>47</v>
      </c>
      <c r="G18" s="14">
        <v>1</v>
      </c>
      <c r="H18" s="92">
        <f>IF(B$19=0,0,G18/B$19)</f>
        <v>2.7777777777777776E-2</v>
      </c>
      <c r="I18" s="60">
        <v>1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36</v>
      </c>
      <c r="C19" s="6">
        <f>IF(B$3=0,0,B19/B$3)</f>
        <v>0.25714285714285712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-28.627272727272736</v>
      </c>
      <c r="P19" s="81">
        <v>11</v>
      </c>
      <c r="Q19" s="72">
        <v>-314.90000000000009</v>
      </c>
    </row>
    <row r="20" spans="1:17" x14ac:dyDescent="0.45">
      <c r="A20" s="21" t="s">
        <v>13</v>
      </c>
      <c r="B20" s="14">
        <v>22</v>
      </c>
      <c r="C20" s="8">
        <f>IF(B$3=0,0,B20/B$3)</f>
        <v>0.15714285714285714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-42.9</v>
      </c>
      <c r="P20" s="81">
        <v>9</v>
      </c>
      <c r="Q20" s="72">
        <v>-386.09999999999997</v>
      </c>
    </row>
    <row r="21" spans="1:17" x14ac:dyDescent="0.45">
      <c r="A21" s="21" t="s">
        <v>12</v>
      </c>
      <c r="B21" s="14">
        <v>15</v>
      </c>
      <c r="C21" s="8">
        <f>IF(B$19=0,0,B21/B$19)</f>
        <v>0.41666666666666669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21</v>
      </c>
      <c r="C22" s="8">
        <f>IF(B$19=0,0,B22/B$19)</f>
        <v>0.58333333333333337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17</v>
      </c>
      <c r="C23" s="8">
        <f>IF(B$19=0,0,B23/B$19)</f>
        <v>0.47222222222222221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8</v>
      </c>
      <c r="C24" s="8">
        <f>IF(B$19=0,0,B24/B$19)</f>
        <v>0.22222222222222221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11</v>
      </c>
      <c r="C25" s="8">
        <f>IF(B$19=0,0,B25/B$19)</f>
        <v>0.30555555555555558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8522.2222222222226</v>
      </c>
      <c r="C26" s="10">
        <v>306800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9846.4285714285706</v>
      </c>
      <c r="C27" s="100">
        <v>275700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3887.5</v>
      </c>
      <c r="C28" s="100">
        <v>31100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-7845.454545454545</v>
      </c>
      <c r="C29" s="100">
        <v>-172600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26</v>
      </c>
      <c r="C31" s="94">
        <v>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2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7</v>
      </c>
      <c r="C37" s="8">
        <f t="shared" si="2"/>
        <v>0.19444444444444445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8</v>
      </c>
      <c r="C38" s="8">
        <f t="shared" si="2"/>
        <v>0.22222222222222221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0.1111111111111111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8.3333333333333329E-2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2"/>
        <v>0.16666666666666666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2.7777777777777776E-2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2.7777777777777776E-2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2.7777777777777776E-2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2.7777777777777776E-2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37</v>
      </c>
      <c r="C2" s="132"/>
      <c r="E2" s="28" t="s">
        <v>72</v>
      </c>
      <c r="F2" s="25" t="s">
        <v>27</v>
      </c>
      <c r="G2" s="13">
        <v>50</v>
      </c>
      <c r="H2" s="91">
        <f>IF(B$19=0,0,G2/B$19)</f>
        <v>0.64935064935064934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1052.7777777777778</v>
      </c>
      <c r="P2" s="80">
        <v>36</v>
      </c>
      <c r="Q2" s="67">
        <v>37900</v>
      </c>
    </row>
    <row r="3" spans="1:17" x14ac:dyDescent="0.45">
      <c r="A3" s="21" t="s">
        <v>8</v>
      </c>
      <c r="B3" s="133">
        <v>287</v>
      </c>
      <c r="C3" s="134"/>
      <c r="E3" s="29" t="s">
        <v>66</v>
      </c>
      <c r="F3" s="26" t="s">
        <v>22</v>
      </c>
      <c r="G3" s="14">
        <v>45</v>
      </c>
      <c r="H3" s="92">
        <f>IF(B$19=0,0,G3/B$19)</f>
        <v>0.58441558441558439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-916.66666666666663</v>
      </c>
      <c r="P3" s="81">
        <v>36</v>
      </c>
      <c r="Q3" s="68">
        <v>-33000</v>
      </c>
    </row>
    <row r="4" spans="1:17" x14ac:dyDescent="0.45">
      <c r="A4" s="21" t="s">
        <v>6</v>
      </c>
      <c r="B4" s="135">
        <v>-171.09999999999997</v>
      </c>
      <c r="C4" s="136"/>
      <c r="E4" s="29" t="s">
        <v>64</v>
      </c>
      <c r="F4" s="26" t="s">
        <v>20</v>
      </c>
      <c r="G4" s="14">
        <v>36</v>
      </c>
      <c r="H4" s="92">
        <f>IF(B$19=0,0,G4/B$19)</f>
        <v>0.46753246753246752</v>
      </c>
      <c r="I4" s="60">
        <v>6</v>
      </c>
      <c r="K4" s="7">
        <v>2</v>
      </c>
      <c r="L4" s="65">
        <v>-62.8</v>
      </c>
      <c r="N4" s="78" t="s">
        <v>130</v>
      </c>
      <c r="O4" s="84">
        <f t="shared" si="0"/>
        <v>-1572.2222222222222</v>
      </c>
      <c r="P4" s="81">
        <v>36</v>
      </c>
      <c r="Q4" s="68">
        <v>-56600</v>
      </c>
    </row>
    <row r="5" spans="1:17" x14ac:dyDescent="0.45">
      <c r="A5" s="21" t="s">
        <v>7</v>
      </c>
      <c r="B5" s="123">
        <f>IF(B$2=0,0,B$4/B$2)</f>
        <v>-4.6243243243243235</v>
      </c>
      <c r="C5" s="124"/>
      <c r="E5" s="29" t="s">
        <v>160</v>
      </c>
      <c r="F5" s="26" t="s">
        <v>161</v>
      </c>
      <c r="G5" s="14">
        <v>32</v>
      </c>
      <c r="H5" s="92">
        <f>IF(B$19=0,0,G5/B$19)</f>
        <v>0.41558441558441561</v>
      </c>
      <c r="I5" s="60">
        <v>7</v>
      </c>
      <c r="K5" s="7">
        <v>3</v>
      </c>
      <c r="L5" s="65">
        <v>-48.5</v>
      </c>
      <c r="N5" s="78" t="s">
        <v>131</v>
      </c>
      <c r="O5" s="84">
        <f t="shared" si="0"/>
        <v>-1081.8181818181818</v>
      </c>
      <c r="P5" s="81">
        <v>33</v>
      </c>
      <c r="Q5" s="68">
        <v>-35700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21</v>
      </c>
      <c r="H6" s="92">
        <f>IF(B$19=0,0,G6/B$19)</f>
        <v>0.27272727272727271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-2903.5714285714284</v>
      </c>
      <c r="P6" s="81">
        <v>28</v>
      </c>
      <c r="Q6" s="68">
        <v>-81300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0.29729729729729731</v>
      </c>
      <c r="E7" s="29" t="s">
        <v>68</v>
      </c>
      <c r="F7" s="26" t="s">
        <v>12</v>
      </c>
      <c r="G7" s="14">
        <v>21</v>
      </c>
      <c r="H7" s="92">
        <f>IF(B$19=0,0,G7/B$19)</f>
        <v>0.27272727272727271</v>
      </c>
      <c r="I7" s="60">
        <v>6</v>
      </c>
      <c r="K7" s="7">
        <v>5</v>
      </c>
      <c r="L7" s="65">
        <v>-96.5</v>
      </c>
      <c r="N7" s="79" t="s">
        <v>133</v>
      </c>
      <c r="O7" s="85">
        <f t="shared" si="0"/>
        <v>304.54545454545456</v>
      </c>
      <c r="P7" s="82">
        <v>22</v>
      </c>
      <c r="Q7" s="69">
        <v>6700</v>
      </c>
    </row>
    <row r="8" spans="1:17" x14ac:dyDescent="0.45">
      <c r="A8" s="21" t="s">
        <v>3</v>
      </c>
      <c r="B8" s="14">
        <v>15</v>
      </c>
      <c r="C8" s="8">
        <f t="shared" si="1"/>
        <v>0.40540540540540543</v>
      </c>
      <c r="E8" s="29" t="s">
        <v>89</v>
      </c>
      <c r="F8" s="26" t="s">
        <v>44</v>
      </c>
      <c r="G8" s="14">
        <v>10</v>
      </c>
      <c r="H8" s="92">
        <f>IF(B$19=0,0,G8/B$19)</f>
        <v>0.12987012987012986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0.29729729729729731</v>
      </c>
      <c r="E9" s="29" t="s">
        <v>69</v>
      </c>
      <c r="F9" s="26" t="s">
        <v>24</v>
      </c>
      <c r="G9" s="14">
        <v>8</v>
      </c>
      <c r="H9" s="92">
        <f>IF(B$19=0,0,G9/B$19)</f>
        <v>0.1038961038961039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34.618181818181817</v>
      </c>
      <c r="C10" s="114">
        <v>380.8</v>
      </c>
      <c r="E10" s="29" t="s">
        <v>65</v>
      </c>
      <c r="F10" s="26" t="s">
        <v>21</v>
      </c>
      <c r="G10" s="14">
        <v>6</v>
      </c>
      <c r="H10" s="92">
        <f>IF(B$19=0,0,G10/B$19)</f>
        <v>7.792207792207792E-2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-14.30909090909091</v>
      </c>
      <c r="P10" s="80">
        <v>11</v>
      </c>
      <c r="Q10" s="71">
        <v>-157.4</v>
      </c>
    </row>
    <row r="11" spans="1:17" x14ac:dyDescent="0.45">
      <c r="A11" s="22" t="s">
        <v>186</v>
      </c>
      <c r="B11" s="113">
        <f>IF(B8=0,0,C11/B8)</f>
        <v>-7.26</v>
      </c>
      <c r="C11" s="114">
        <v>-108.89999999999999</v>
      </c>
      <c r="E11" s="29" t="s">
        <v>71</v>
      </c>
      <c r="F11" s="26" t="s">
        <v>26</v>
      </c>
      <c r="G11" s="14">
        <v>6</v>
      </c>
      <c r="H11" s="92">
        <f>IF(B$19=0,0,G11/B$19)</f>
        <v>7.792207792207792E-2</v>
      </c>
      <c r="I11" s="60">
        <v>5</v>
      </c>
      <c r="K11" s="7">
        <v>9</v>
      </c>
      <c r="L11" s="65">
        <v>-20.3</v>
      </c>
      <c r="N11" s="78" t="s">
        <v>153</v>
      </c>
      <c r="O11" s="87">
        <f>IF(P11=0,0,Q11/P11)</f>
        <v>-7.6916666666666673</v>
      </c>
      <c r="P11" s="81">
        <v>12</v>
      </c>
      <c r="Q11" s="72">
        <v>-92.300000000000011</v>
      </c>
    </row>
    <row r="12" spans="1:17" x14ac:dyDescent="0.45">
      <c r="A12" s="22" t="s">
        <v>187</v>
      </c>
      <c r="B12" s="113">
        <f>IF(B9=0,0,C12/B9)</f>
        <v>-40.272727272727273</v>
      </c>
      <c r="C12" s="114">
        <v>-443</v>
      </c>
      <c r="E12" s="29" t="s">
        <v>79</v>
      </c>
      <c r="F12" s="26" t="s">
        <v>34</v>
      </c>
      <c r="G12" s="14">
        <v>5</v>
      </c>
      <c r="H12" s="92">
        <f>IF(B$19=0,0,G12/B$19)</f>
        <v>6.4935064935064929E-2</v>
      </c>
      <c r="I12" s="60">
        <v>2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-4.3048484848484847</v>
      </c>
      <c r="C13" s="124"/>
      <c r="E13" s="29" t="s">
        <v>83</v>
      </c>
      <c r="F13" s="26" t="s">
        <v>38</v>
      </c>
      <c r="G13" s="14">
        <v>5</v>
      </c>
      <c r="H13" s="92">
        <f>IF(B$19=0,0,G13/B$19)</f>
        <v>6.4935064935064929E-2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0.10810810810810811</v>
      </c>
      <c r="E14" s="29" t="s">
        <v>70</v>
      </c>
      <c r="F14" s="26" t="s">
        <v>25</v>
      </c>
      <c r="G14" s="14">
        <v>4</v>
      </c>
      <c r="H14" s="92">
        <f>IF(B$19=0,0,G14/B$19)</f>
        <v>5.1948051948051951E-2</v>
      </c>
      <c r="I14" s="60">
        <v>7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74</v>
      </c>
      <c r="C15" s="12">
        <f>IF(B$3=0,0,B15/B$3)</f>
        <v>0.25783972125435539</v>
      </c>
      <c r="E15" s="29" t="s">
        <v>78</v>
      </c>
      <c r="F15" s="26" t="s">
        <v>33</v>
      </c>
      <c r="G15" s="14">
        <v>3</v>
      </c>
      <c r="H15" s="92">
        <f>IF(B$19=0,0,G15/B$19)</f>
        <v>3.896103896103896E-2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67</v>
      </c>
      <c r="C16" s="8">
        <f>IF(B$3=0,0,B16/B$3)</f>
        <v>0.23344947735191637</v>
      </c>
      <c r="E16" s="29" t="s">
        <v>86</v>
      </c>
      <c r="F16" s="26" t="s">
        <v>41</v>
      </c>
      <c r="G16" s="14">
        <v>2</v>
      </c>
      <c r="H16" s="92">
        <f>IF(B$19=0,0,G16/B$19)</f>
        <v>2.5974025974025976E-2</v>
      </c>
      <c r="I16" s="60">
        <v>8</v>
      </c>
      <c r="K16" s="7">
        <v>14</v>
      </c>
      <c r="L16" s="65">
        <v>-149.39999999999998</v>
      </c>
      <c r="N16" s="78" t="s">
        <v>193</v>
      </c>
      <c r="O16" s="87">
        <f>IF(P16=0,0,Q16/P16)</f>
        <v>13.238461538461543</v>
      </c>
      <c r="P16" s="81">
        <v>13</v>
      </c>
      <c r="Q16" s="72">
        <v>172.10000000000005</v>
      </c>
    </row>
    <row r="17" spans="1:17" x14ac:dyDescent="0.45">
      <c r="A17" s="20" t="s">
        <v>123</v>
      </c>
      <c r="B17" s="13">
        <f>B23</f>
        <v>39</v>
      </c>
      <c r="C17" s="6">
        <f>IF(B$15=0,0,B17/B$15)</f>
        <v>0.52702702702702697</v>
      </c>
      <c r="E17" s="29" t="s">
        <v>81</v>
      </c>
      <c r="F17" s="26" t="s">
        <v>36</v>
      </c>
      <c r="G17" s="14">
        <v>1</v>
      </c>
      <c r="H17" s="92">
        <f>IF(B$19=0,0,G17/B$19)</f>
        <v>1.2987012987012988E-2</v>
      </c>
      <c r="I17" s="60">
        <v>6</v>
      </c>
      <c r="K17" s="7">
        <v>15</v>
      </c>
      <c r="L17" s="65">
        <v>-121.39999999999998</v>
      </c>
      <c r="N17" s="78" t="s">
        <v>194</v>
      </c>
      <c r="O17" s="87">
        <f>IF(P17=0,0,Q17/P17)</f>
        <v>5.5600000000000005</v>
      </c>
      <c r="P17" s="81">
        <v>10</v>
      </c>
      <c r="Q17" s="72">
        <v>55.6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0.34328358208955223</v>
      </c>
      <c r="E18" s="29" t="s">
        <v>91</v>
      </c>
      <c r="F18" s="26" t="s">
        <v>46</v>
      </c>
      <c r="G18" s="14">
        <v>1</v>
      </c>
      <c r="H18" s="92">
        <f>IF(B$19=0,0,G18/B$19)</f>
        <v>1.2987012987012988E-2</v>
      </c>
      <c r="I18" s="60">
        <v>5</v>
      </c>
      <c r="K18" s="7">
        <v>16</v>
      </c>
      <c r="L18" s="65">
        <v>-141.29999999999998</v>
      </c>
      <c r="N18" s="78" t="s">
        <v>164</v>
      </c>
      <c r="O18" s="87">
        <f>IF(P18=0,0,Q18/P18)</f>
        <v>-5.7499999999999982</v>
      </c>
      <c r="P18" s="81">
        <v>16</v>
      </c>
      <c r="Q18" s="72">
        <v>-91.999999999999972</v>
      </c>
    </row>
    <row r="19" spans="1:17" x14ac:dyDescent="0.45">
      <c r="A19" s="20" t="s">
        <v>10</v>
      </c>
      <c r="B19" s="13">
        <f>B22+B21</f>
        <v>77</v>
      </c>
      <c r="C19" s="6">
        <f>IF(B$3=0,0,B19/B$3)</f>
        <v>0.26829268292682928</v>
      </c>
      <c r="E19" s="29" t="s">
        <v>92</v>
      </c>
      <c r="F19" s="26" t="s">
        <v>47</v>
      </c>
      <c r="G19" s="14">
        <v>1</v>
      </c>
      <c r="H19" s="92">
        <f>IF(B$19=0,0,G19/B$19)</f>
        <v>1.2987012987012988E-2</v>
      </c>
      <c r="I19" s="60">
        <v>5</v>
      </c>
      <c r="K19" s="7">
        <v>17</v>
      </c>
      <c r="L19" s="65">
        <v>-149.1</v>
      </c>
      <c r="N19" s="78" t="s">
        <v>205</v>
      </c>
      <c r="O19" s="87">
        <f>IF(P19=0,0,Q19/P19)</f>
        <v>-12.375</v>
      </c>
      <c r="P19" s="81">
        <v>4</v>
      </c>
      <c r="Q19" s="72">
        <v>-49.5</v>
      </c>
    </row>
    <row r="20" spans="1:17" x14ac:dyDescent="0.45">
      <c r="A20" s="21" t="s">
        <v>13</v>
      </c>
      <c r="B20" s="14">
        <v>35</v>
      </c>
      <c r="C20" s="8">
        <f>IF(B$3=0,0,B20/B$3)</f>
        <v>0.12195121951219512</v>
      </c>
      <c r="E20" s="29" t="s">
        <v>156</v>
      </c>
      <c r="F20" s="26" t="s">
        <v>157</v>
      </c>
      <c r="G20" s="14">
        <v>1</v>
      </c>
      <c r="H20" s="92">
        <f>IF(B$19=0,0,G20/B$19)</f>
        <v>1.2987012987012988E-2</v>
      </c>
      <c r="I20" s="60">
        <v>4</v>
      </c>
      <c r="K20" s="7">
        <v>18</v>
      </c>
      <c r="L20" s="65">
        <v>-201.89999999999998</v>
      </c>
      <c r="N20" s="78" t="s">
        <v>196</v>
      </c>
      <c r="O20" s="87">
        <f>IF(P20=0,0,Q20/P20)</f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30</v>
      </c>
      <c r="C21" s="8">
        <f>IF(B$19=0,0,B21/B$19)</f>
        <v>0.38961038961038963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>IF(P21=0,0,Q21/P21)</f>
        <v>-25.471428571428575</v>
      </c>
      <c r="P21" s="81">
        <v>21</v>
      </c>
      <c r="Q21" s="72">
        <v>-534.90000000000009</v>
      </c>
    </row>
    <row r="22" spans="1:17" x14ac:dyDescent="0.45">
      <c r="A22" s="21" t="s">
        <v>11</v>
      </c>
      <c r="B22" s="14">
        <v>47</v>
      </c>
      <c r="C22" s="8">
        <f>IF(B$19=0,0,B22/B$19)</f>
        <v>0.61038961038961037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39</v>
      </c>
      <c r="C23" s="8">
        <f>IF(B$19=0,0,B23/B$19)</f>
        <v>0.50649350649350644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23</v>
      </c>
      <c r="C24" s="8">
        <f>IF(B$19=0,0,B24/B$19)</f>
        <v>0.29870129870129869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15</v>
      </c>
      <c r="C25" s="8">
        <f>IF(B$19=0,0,B25/B$19)</f>
        <v>0.19480519480519481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7484.4155844155848</v>
      </c>
      <c r="C26" s="10">
        <v>576300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7490.7407407407409</v>
      </c>
      <c r="C27" s="100">
        <v>404500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7469.565217391304</v>
      </c>
      <c r="C28" s="100">
        <v>171800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-7997.1428571428569</v>
      </c>
      <c r="C29" s="100">
        <v>-279900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16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9</v>
      </c>
      <c r="C36" s="102">
        <f t="shared" ref="C36:C48" si="2">IF(B$19=0,0,B36/B$19)</f>
        <v>0.11688311688311688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13</v>
      </c>
      <c r="C37" s="8">
        <f t="shared" si="2"/>
        <v>0.16883116883116883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21</v>
      </c>
      <c r="C38" s="8">
        <f t="shared" si="2"/>
        <v>0.27272727272727271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12</v>
      </c>
      <c r="C39" s="8">
        <f t="shared" si="2"/>
        <v>0.15584415584415584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7</v>
      </c>
      <c r="C40" s="8">
        <f t="shared" si="2"/>
        <v>9.0909090909090912E-2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2</v>
      </c>
      <c r="C41" s="8">
        <f t="shared" si="2"/>
        <v>2.5974025974025976E-2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6</v>
      </c>
      <c r="C42" s="8">
        <f t="shared" si="2"/>
        <v>7.792207792207792E-2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2</v>
      </c>
      <c r="C43" s="8">
        <f t="shared" si="2"/>
        <v>2.5974025974025976E-2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1.2987012987012988E-2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2</v>
      </c>
      <c r="C45" s="8">
        <f t="shared" si="2"/>
        <v>2.5974025974025976E-2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2"/>
        <v>1.2987012987012988E-2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1.2987012987012988E-2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24</v>
      </c>
      <c r="C2" s="132"/>
      <c r="E2" s="28" t="s">
        <v>72</v>
      </c>
      <c r="F2" s="25" t="s">
        <v>27</v>
      </c>
      <c r="G2" s="13">
        <v>42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-558.33333333333337</v>
      </c>
      <c r="P2" s="80">
        <v>24</v>
      </c>
      <c r="Q2" s="67">
        <v>-13400</v>
      </c>
    </row>
    <row r="3" spans="1:17" x14ac:dyDescent="0.45">
      <c r="A3" s="21" t="s">
        <v>8</v>
      </c>
      <c r="B3" s="133">
        <v>173</v>
      </c>
      <c r="C3" s="134"/>
      <c r="E3" s="29" t="s">
        <v>66</v>
      </c>
      <c r="F3" s="26" t="s">
        <v>22</v>
      </c>
      <c r="G3" s="14">
        <v>37</v>
      </c>
      <c r="H3" s="92">
        <f>IF(B$19=0,0,G3/B$19)</f>
        <v>0.6607142857142857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-1582.608695652174</v>
      </c>
      <c r="P3" s="81">
        <v>23</v>
      </c>
      <c r="Q3" s="68">
        <v>-36400</v>
      </c>
    </row>
    <row r="4" spans="1:17" x14ac:dyDescent="0.45">
      <c r="A4" s="21" t="s">
        <v>6</v>
      </c>
      <c r="B4" s="135">
        <v>92.2</v>
      </c>
      <c r="C4" s="136"/>
      <c r="E4" s="29" t="s">
        <v>64</v>
      </c>
      <c r="F4" s="26" t="s">
        <v>20</v>
      </c>
      <c r="G4" s="14">
        <v>14</v>
      </c>
      <c r="H4" s="92">
        <f>IF(B$19=0,0,G4/B$19)</f>
        <v>0.25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2290</v>
      </c>
      <c r="P4" s="81">
        <v>20</v>
      </c>
      <c r="Q4" s="68">
        <v>45800</v>
      </c>
    </row>
    <row r="5" spans="1:17" x14ac:dyDescent="0.45">
      <c r="A5" s="21" t="s">
        <v>7</v>
      </c>
      <c r="B5" s="123">
        <f>IF(B$2=0,0,B$4/B$2)</f>
        <v>3.8416666666666668</v>
      </c>
      <c r="C5" s="124"/>
      <c r="E5" s="29" t="s">
        <v>160</v>
      </c>
      <c r="F5" s="26" t="s">
        <v>161</v>
      </c>
      <c r="G5" s="14">
        <v>14</v>
      </c>
      <c r="H5" s="92">
        <f>IF(B$19=0,0,G5/B$19)</f>
        <v>0.25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711.76470588235293</v>
      </c>
      <c r="P5" s="81">
        <v>17</v>
      </c>
      <c r="Q5" s="68">
        <v>12100</v>
      </c>
    </row>
    <row r="6" spans="1:17" x14ac:dyDescent="0.45">
      <c r="A6" s="21" t="s">
        <v>1</v>
      </c>
      <c r="B6" s="137">
        <f>IF(B$2=0,0,(B$7*1+B$8*2+B$9*3)/B$2)</f>
        <v>1.9583333333333333</v>
      </c>
      <c r="C6" s="138"/>
      <c r="E6" s="29" t="s">
        <v>68</v>
      </c>
      <c r="F6" s="26" t="s">
        <v>12</v>
      </c>
      <c r="G6" s="14">
        <v>13</v>
      </c>
      <c r="H6" s="92">
        <f>IF(B$19=0,0,G6/B$19)</f>
        <v>0.23214285714285715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4569.2307692307695</v>
      </c>
      <c r="P6" s="81">
        <v>13</v>
      </c>
      <c r="Q6" s="68">
        <v>59400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0.375</v>
      </c>
      <c r="E7" s="29" t="s">
        <v>67</v>
      </c>
      <c r="F7" s="26" t="s">
        <v>23</v>
      </c>
      <c r="G7" s="14">
        <v>11</v>
      </c>
      <c r="H7" s="92">
        <f>IF(B$19=0,0,G7/B$19)</f>
        <v>0.19642857142857142</v>
      </c>
      <c r="I7" s="60">
        <v>8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0.29166666666666669</v>
      </c>
      <c r="E8" s="29" t="s">
        <v>83</v>
      </c>
      <c r="F8" s="26" t="s">
        <v>38</v>
      </c>
      <c r="G8" s="14">
        <v>9</v>
      </c>
      <c r="H8" s="92">
        <f>IF(B$19=0,0,G8/B$19)</f>
        <v>0.16071428571428573</v>
      </c>
      <c r="I8" s="60">
        <v>1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0.33333333333333331</v>
      </c>
      <c r="E9" s="29" t="s">
        <v>69</v>
      </c>
      <c r="F9" s="26" t="s">
        <v>24</v>
      </c>
      <c r="G9" s="14">
        <v>7</v>
      </c>
      <c r="H9" s="92">
        <f>IF(B$19=0,0,G9/B$19)</f>
        <v>0.125</v>
      </c>
      <c r="I9" s="60">
        <v>6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42.833333333333336</v>
      </c>
      <c r="C10" s="114">
        <v>385.5</v>
      </c>
      <c r="E10" s="29" t="s">
        <v>89</v>
      </c>
      <c r="F10" s="26" t="s">
        <v>44</v>
      </c>
      <c r="G10" s="14">
        <v>6</v>
      </c>
      <c r="H10" s="92">
        <f>IF(B$19=0,0,G10/B$19)</f>
        <v>0.10714285714285714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4</v>
      </c>
      <c r="H11" s="92">
        <f>IF(B$19=0,0,G11/B$19)</f>
        <v>7.1428571428571425E-2</v>
      </c>
      <c r="I11" s="60">
        <v>10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-38.35</v>
      </c>
      <c r="C12" s="114">
        <v>-306.8</v>
      </c>
      <c r="E12" s="29" t="s">
        <v>78</v>
      </c>
      <c r="F12" s="26" t="s">
        <v>33</v>
      </c>
      <c r="G12" s="14">
        <v>3</v>
      </c>
      <c r="H12" s="92">
        <f>IF(B$19=0,0,G12/B$19)</f>
        <v>5.3571428571428568E-2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15.65</v>
      </c>
      <c r="P12" s="82">
        <v>8</v>
      </c>
      <c r="Q12" s="73">
        <v>125.2</v>
      </c>
    </row>
    <row r="13" spans="1:17" x14ac:dyDescent="0.45">
      <c r="A13" s="22" t="s">
        <v>188</v>
      </c>
      <c r="B13" s="123">
        <f>AVERAGE(B10:B12)</f>
        <v>2.1373015873015881</v>
      </c>
      <c r="C13" s="124"/>
      <c r="E13" s="29" t="s">
        <v>81</v>
      </c>
      <c r="F13" s="26" t="s">
        <v>36</v>
      </c>
      <c r="G13" s="14">
        <v>3</v>
      </c>
      <c r="H13" s="92">
        <f>IF(B$19=0,0,G13/B$19)</f>
        <v>5.3571428571428568E-2</v>
      </c>
      <c r="I13" s="60">
        <v>1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0.20833333333333334</v>
      </c>
      <c r="E14" s="29" t="s">
        <v>71</v>
      </c>
      <c r="F14" s="26" t="s">
        <v>26</v>
      </c>
      <c r="G14" s="14">
        <v>2</v>
      </c>
      <c r="H14" s="92">
        <f>IF(B$19=0,0,G14/B$19)</f>
        <v>3.5714285714285712E-2</v>
      </c>
      <c r="I14" s="60">
        <v>8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25</v>
      </c>
      <c r="C15" s="12">
        <f>IF(B$3=0,0,B15/B$3)</f>
        <v>0.14450867052023122</v>
      </c>
      <c r="E15" s="29" t="s">
        <v>85</v>
      </c>
      <c r="F15" s="26" t="s">
        <v>40</v>
      </c>
      <c r="G15" s="14">
        <v>2</v>
      </c>
      <c r="H15" s="92">
        <f>IF(B$19=0,0,G15/B$19)</f>
        <v>3.5714285714285712E-2</v>
      </c>
      <c r="I15" s="60">
        <v>1</v>
      </c>
      <c r="K15" s="7">
        <v>13</v>
      </c>
      <c r="L15" s="65">
        <v>83.1</v>
      </c>
      <c r="N15" s="77" t="s">
        <v>194</v>
      </c>
      <c r="O15" s="86">
        <f>IF(P15=0,0,Q15/P15)</f>
        <v>42.9</v>
      </c>
      <c r="P15" s="80">
        <v>9</v>
      </c>
      <c r="Q15" s="71">
        <v>386.09999999999997</v>
      </c>
    </row>
    <row r="16" spans="1:17" x14ac:dyDescent="0.45">
      <c r="A16" s="21" t="s">
        <v>118</v>
      </c>
      <c r="B16" s="14">
        <v>58</v>
      </c>
      <c r="C16" s="8">
        <f>IF(B$3=0,0,B16/B$3)</f>
        <v>0.33526011560693642</v>
      </c>
      <c r="E16" s="29" t="s">
        <v>70</v>
      </c>
      <c r="F16" s="26" t="s">
        <v>25</v>
      </c>
      <c r="G16" s="14">
        <v>1</v>
      </c>
      <c r="H16" s="92">
        <f>IF(B$19=0,0,G16/B$19)</f>
        <v>1.7857142857142856E-2</v>
      </c>
      <c r="I16" s="60">
        <v>8</v>
      </c>
      <c r="K16" s="7">
        <v>14</v>
      </c>
      <c r="L16" s="65">
        <v>89.399999999999991</v>
      </c>
      <c r="N16" s="78" t="s">
        <v>164</v>
      </c>
      <c r="O16" s="87">
        <f>IF(P16=0,0,Q16/P16)</f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0.6</v>
      </c>
      <c r="E17" s="29" t="s">
        <v>75</v>
      </c>
      <c r="F17" s="26" t="s">
        <v>30</v>
      </c>
      <c r="G17" s="14">
        <v>1</v>
      </c>
      <c r="H17" s="92">
        <f>IF(B$19=0,0,G17/B$19)</f>
        <v>1.7857142857142856E-2</v>
      </c>
      <c r="I17" s="60">
        <v>1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0.44827586206896552</v>
      </c>
      <c r="E18" s="29" t="s">
        <v>102</v>
      </c>
      <c r="F18" s="26" t="s">
        <v>57</v>
      </c>
      <c r="G18" s="14">
        <v>1</v>
      </c>
      <c r="H18" s="92">
        <f>IF(B$19=0,0,G18/B$19)</f>
        <v>1.7857142857142856E-2</v>
      </c>
      <c r="I18" s="60">
        <v>1</v>
      </c>
      <c r="K18" s="7">
        <v>16</v>
      </c>
      <c r="L18" s="65">
        <v>119.3</v>
      </c>
      <c r="N18" s="78" t="s">
        <v>189</v>
      </c>
      <c r="O18" s="87">
        <f>IF(P18=0,0,Q18/P18)</f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56</v>
      </c>
      <c r="C19" s="6">
        <f>IF(B$3=0,0,B19/B$3)</f>
        <v>0.32369942196531792</v>
      </c>
      <c r="E19" s="29" t="s">
        <v>156</v>
      </c>
      <c r="F19" s="26" t="s">
        <v>157</v>
      </c>
      <c r="G19" s="14">
        <v>1</v>
      </c>
      <c r="H19" s="92">
        <f>IF(B$19=0,0,G19/B$19)</f>
        <v>1.7857142857142856E-2</v>
      </c>
      <c r="I19" s="60">
        <v>2</v>
      </c>
      <c r="K19" s="7">
        <v>17</v>
      </c>
      <c r="L19" s="65">
        <v>71.699999999999989</v>
      </c>
      <c r="N19" s="78" t="s">
        <v>192</v>
      </c>
      <c r="O19" s="87">
        <f>IF(P19=0,0,Q19/P19)</f>
        <v>-13.238461538461543</v>
      </c>
      <c r="P19" s="81">
        <v>13</v>
      </c>
      <c r="Q19" s="72">
        <v>-172.10000000000005</v>
      </c>
    </row>
    <row r="20" spans="1:17" x14ac:dyDescent="0.45">
      <c r="A20" s="21" t="s">
        <v>13</v>
      </c>
      <c r="B20" s="14">
        <v>23</v>
      </c>
      <c r="C20" s="8">
        <f>IF(B$3=0,0,B20/B$3)</f>
        <v>0.13294797687861271</v>
      </c>
      <c r="E20" s="29" t="s">
        <v>73</v>
      </c>
      <c r="F20" s="26" t="s">
        <v>28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45.399999999999991</v>
      </c>
      <c r="N20" s="78" t="s">
        <v>126</v>
      </c>
      <c r="O20" s="87">
        <f>IF(P20=0,0,Q20/P20)</f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25</v>
      </c>
      <c r="C21" s="8">
        <f>IF(B$19=0,0,B21/B$19)</f>
        <v>0.44642857142857145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31</v>
      </c>
      <c r="C22" s="8">
        <f>IF(B$19=0,0,B22/B$19)</f>
        <v>0.5535714285714286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15</v>
      </c>
      <c r="C23" s="8">
        <f>IF(B$19=0,0,B23/B$19)</f>
        <v>0.26785714285714285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0.4642857142857143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15</v>
      </c>
      <c r="C25" s="8">
        <f>IF(B$19=0,0,B25/B$19)</f>
        <v>0.26785714285714285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7930.3571428571431</v>
      </c>
      <c r="C26" s="10">
        <v>444100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8493.3333333333339</v>
      </c>
      <c r="C27" s="100">
        <v>254800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86</v>
      </c>
      <c r="F28" s="26" t="s">
        <v>41</v>
      </c>
      <c r="G28" s="14">
        <v>0</v>
      </c>
      <c r="H28" s="92">
        <f>IF(B$19=0,0,G28/B$19)</f>
        <v>0</v>
      </c>
      <c r="I28" s="60">
        <v>9</v>
      </c>
    </row>
    <row r="29" spans="1:17" x14ac:dyDescent="0.45">
      <c r="A29" s="22" t="s">
        <v>165</v>
      </c>
      <c r="B29" s="99">
        <f>IF(B$20=0,0,C29/B$20)</f>
        <v>-7447.826086956522</v>
      </c>
      <c r="C29" s="100">
        <v>-171300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27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6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2">IF(B$19=0,0,B36/B$19)</f>
        <v>0.10714285714285714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2"/>
        <v>0.23214285714285715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11</v>
      </c>
      <c r="C38" s="8">
        <f t="shared" si="2"/>
        <v>0.19642857142857142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2"/>
        <v>0.16071428571428573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9</v>
      </c>
      <c r="C40" s="8">
        <f t="shared" si="2"/>
        <v>0.16071428571428573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5.3571428571428568E-2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5.3571428571428568E-2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1.7857142857142856E-2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1.7857142857142856E-2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8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12</v>
      </c>
      <c r="C2" s="132"/>
      <c r="E2" s="28" t="s">
        <v>66</v>
      </c>
      <c r="F2" s="25" t="s">
        <v>22</v>
      </c>
      <c r="G2" s="13">
        <v>31</v>
      </c>
      <c r="H2" s="91">
        <f>IF(B$19=0,0,G2/B$19)</f>
        <v>1.0689655172413792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4241.666666666667</v>
      </c>
      <c r="P2" s="80">
        <v>12</v>
      </c>
      <c r="Q2" s="67">
        <v>50900</v>
      </c>
    </row>
    <row r="3" spans="1:17" x14ac:dyDescent="0.45">
      <c r="A3" s="21" t="s">
        <v>8</v>
      </c>
      <c r="B3" s="133">
        <v>90</v>
      </c>
      <c r="C3" s="134"/>
      <c r="E3" s="29" t="s">
        <v>72</v>
      </c>
      <c r="F3" s="26" t="s">
        <v>27</v>
      </c>
      <c r="G3" s="14">
        <v>18</v>
      </c>
      <c r="H3" s="92">
        <f>IF(B$19=0,0,G3/B$19)</f>
        <v>0.62068965517241381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-8866.6666666666661</v>
      </c>
      <c r="P3" s="81">
        <v>12</v>
      </c>
      <c r="Q3" s="68">
        <v>-106400</v>
      </c>
    </row>
    <row r="4" spans="1:17" x14ac:dyDescent="0.45">
      <c r="A4" s="21" t="s">
        <v>6</v>
      </c>
      <c r="B4" s="135">
        <v>-108.5</v>
      </c>
      <c r="C4" s="136"/>
      <c r="E4" s="29" t="s">
        <v>64</v>
      </c>
      <c r="F4" s="26" t="s">
        <v>20</v>
      </c>
      <c r="G4" s="14">
        <v>8</v>
      </c>
      <c r="H4" s="92">
        <f>IF(B$19=0,0,G4/B$19)</f>
        <v>0.27586206896551724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-1336.3636363636363</v>
      </c>
      <c r="P4" s="81">
        <v>11</v>
      </c>
      <c r="Q4" s="68">
        <v>-14700</v>
      </c>
    </row>
    <row r="5" spans="1:17" x14ac:dyDescent="0.45">
      <c r="A5" s="21" t="s">
        <v>7</v>
      </c>
      <c r="B5" s="123">
        <f>IF(B$2=0,0,B$4/B$2)</f>
        <v>-9.0416666666666661</v>
      </c>
      <c r="C5" s="124"/>
      <c r="E5" s="29" t="s">
        <v>160</v>
      </c>
      <c r="F5" s="26" t="s">
        <v>161</v>
      </c>
      <c r="G5" s="14">
        <v>8</v>
      </c>
      <c r="H5" s="92">
        <f>IF(B$19=0,0,G5/B$19)</f>
        <v>0.27586206896551724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-3500</v>
      </c>
      <c r="P5" s="81">
        <v>9</v>
      </c>
      <c r="Q5" s="68">
        <v>-31500</v>
      </c>
    </row>
    <row r="6" spans="1:17" x14ac:dyDescent="0.45">
      <c r="A6" s="21" t="s">
        <v>1</v>
      </c>
      <c r="B6" s="137">
        <f>IF(B$2=0,0,(B$7*1+B$8*2+B$9*3)/B$2)</f>
        <v>2.25</v>
      </c>
      <c r="C6" s="138"/>
      <c r="E6" s="29" t="s">
        <v>68</v>
      </c>
      <c r="F6" s="26" t="s">
        <v>12</v>
      </c>
      <c r="G6" s="14">
        <v>7</v>
      </c>
      <c r="H6" s="92">
        <f>IF(B$19=0,0,G6/B$19)</f>
        <v>0.2413793103448276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4100</v>
      </c>
      <c r="P6" s="81">
        <v>8</v>
      </c>
      <c r="Q6" s="68">
        <v>32800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0.25</v>
      </c>
      <c r="E7" s="29" t="s">
        <v>70</v>
      </c>
      <c r="F7" s="26" t="s">
        <v>25</v>
      </c>
      <c r="G7" s="14">
        <v>6</v>
      </c>
      <c r="H7" s="92">
        <f>IF(B$19=0,0,G7/B$19)</f>
        <v>0.20689655172413793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-1371.4285714285713</v>
      </c>
      <c r="P7" s="82">
        <v>7</v>
      </c>
      <c r="Q7" s="69">
        <v>-9600</v>
      </c>
    </row>
    <row r="8" spans="1:17" x14ac:dyDescent="0.45">
      <c r="A8" s="21" t="s">
        <v>3</v>
      </c>
      <c r="B8" s="14">
        <v>3</v>
      </c>
      <c r="C8" s="8">
        <f t="shared" si="1"/>
        <v>0.25</v>
      </c>
      <c r="E8" s="29" t="s">
        <v>89</v>
      </c>
      <c r="F8" s="26" t="s">
        <v>44</v>
      </c>
      <c r="G8" s="14">
        <v>6</v>
      </c>
      <c r="H8" s="92">
        <f>IF(B$19=0,0,G8/B$19)</f>
        <v>0.20689655172413793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0.5</v>
      </c>
      <c r="E9" s="29" t="s">
        <v>69</v>
      </c>
      <c r="F9" s="26" t="s">
        <v>24</v>
      </c>
      <c r="G9" s="14">
        <v>4</v>
      </c>
      <c r="H9" s="92">
        <f>IF(B$19=0,0,G9/B$19)</f>
        <v>0.13793103448275862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45.033333333333331</v>
      </c>
      <c r="C10" s="114">
        <v>135.1</v>
      </c>
      <c r="E10" s="29" t="s">
        <v>65</v>
      </c>
      <c r="F10" s="26" t="s">
        <v>21</v>
      </c>
      <c r="G10" s="14">
        <v>3</v>
      </c>
      <c r="H10" s="92">
        <f>IF(B$19=0,0,G10/B$19)</f>
        <v>0.10344827586206896</v>
      </c>
      <c r="I10" s="60">
        <v>6</v>
      </c>
      <c r="K10" s="7">
        <v>8</v>
      </c>
      <c r="L10" s="65">
        <v>-128.6</v>
      </c>
      <c r="N10" s="77" t="s">
        <v>152</v>
      </c>
      <c r="O10" s="86">
        <f>IF(P10=0,0,Q10/P10)</f>
        <v>9.0500000000000007</v>
      </c>
      <c r="P10" s="80">
        <v>6</v>
      </c>
      <c r="Q10" s="71">
        <v>54.300000000000004</v>
      </c>
    </row>
    <row r="11" spans="1:17" x14ac:dyDescent="0.45">
      <c r="A11" s="22" t="s">
        <v>186</v>
      </c>
      <c r="B11" s="113">
        <f>IF(B8=0,0,C11/B8)</f>
        <v>2.5333333333333337</v>
      </c>
      <c r="C11" s="114">
        <v>7.6000000000000014</v>
      </c>
      <c r="E11" s="29" t="s">
        <v>67</v>
      </c>
      <c r="F11" s="26" t="s">
        <v>23</v>
      </c>
      <c r="G11" s="14">
        <v>3</v>
      </c>
      <c r="H11" s="92">
        <f>IF(B$19=0,0,G11/B$19)</f>
        <v>0.10344827586206896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71</v>
      </c>
      <c r="F12" s="26" t="s">
        <v>26</v>
      </c>
      <c r="G12" s="14">
        <v>3</v>
      </c>
      <c r="H12" s="92">
        <f>IF(B$19=0,0,G12/B$19)</f>
        <v>0.10344827586206896</v>
      </c>
      <c r="I12" s="60">
        <v>3</v>
      </c>
      <c r="K12" s="7">
        <v>10</v>
      </c>
      <c r="L12" s="65">
        <v>-112.8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23">
        <f>AVERAGE(B10:B12)</f>
        <v>1.8999999999999986</v>
      </c>
      <c r="C13" s="124"/>
      <c r="E13" s="29" t="s">
        <v>78</v>
      </c>
      <c r="F13" s="26" t="s">
        <v>33</v>
      </c>
      <c r="G13" s="14">
        <v>3</v>
      </c>
      <c r="H13" s="92">
        <f>IF(B$19=0,0,G13/B$19)</f>
        <v>0.10344827586206896</v>
      </c>
      <c r="I13" s="60">
        <v>1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0.25</v>
      </c>
      <c r="E14" s="29" t="s">
        <v>83</v>
      </c>
      <c r="F14" s="26" t="s">
        <v>38</v>
      </c>
      <c r="G14" s="14">
        <v>3</v>
      </c>
      <c r="H14" s="92">
        <f>IF(B$19=0,0,G14/B$19)</f>
        <v>0.10344827586206896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0.14444444444444443</v>
      </c>
      <c r="E15" s="29" t="s">
        <v>86</v>
      </c>
      <c r="F15" s="26" t="s">
        <v>41</v>
      </c>
      <c r="G15" s="14">
        <v>1</v>
      </c>
      <c r="H15" s="92">
        <f>IF(B$19=0,0,G15/B$19)</f>
        <v>3.4482758620689655E-2</v>
      </c>
      <c r="I15" s="60">
        <v>7</v>
      </c>
      <c r="N15" s="77" t="s">
        <v>192</v>
      </c>
      <c r="O15" s="86">
        <f>IF(P15=0,0,Q15/P15)</f>
        <v>12.375</v>
      </c>
      <c r="P15" s="80">
        <v>4</v>
      </c>
      <c r="Q15" s="71">
        <v>49.5</v>
      </c>
    </row>
    <row r="16" spans="1:17" x14ac:dyDescent="0.45">
      <c r="A16" s="21" t="s">
        <v>118</v>
      </c>
      <c r="B16" s="14">
        <v>31</v>
      </c>
      <c r="C16" s="8">
        <f>IF(B$3=0,0,B16/B$3)</f>
        <v>0.34444444444444444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194</v>
      </c>
      <c r="O16" s="87">
        <f>IF(P16=0,0,Q16/P16)</f>
        <v>8.9499999999999993</v>
      </c>
      <c r="P16" s="81">
        <v>4</v>
      </c>
      <c r="Q16" s="72">
        <v>35.799999999999997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0.69230769230769229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-21.218181818181822</v>
      </c>
      <c r="P17" s="81">
        <v>11</v>
      </c>
      <c r="Q17" s="72">
        <v>-233.40000000000003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0.25806451612903225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  <c r="N18" s="78" t="s">
        <v>164</v>
      </c>
      <c r="O18" s="87">
        <f>IF(P18=0,0,Q18/P18)</f>
        <v>-29.925000000000004</v>
      </c>
      <c r="P18" s="81">
        <v>4</v>
      </c>
      <c r="Q18" s="72">
        <v>-119.70000000000002</v>
      </c>
    </row>
    <row r="19" spans="1:17" x14ac:dyDescent="0.45">
      <c r="A19" s="20" t="s">
        <v>10</v>
      </c>
      <c r="B19" s="13">
        <f>B22+B21</f>
        <v>29</v>
      </c>
      <c r="C19" s="6">
        <f>IF(B$3=0,0,B19/B$3)</f>
        <v>0.32222222222222224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22</v>
      </c>
      <c r="C20" s="8">
        <f>IF(B$3=0,0,B20/B$3)</f>
        <v>0.24444444444444444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17" x14ac:dyDescent="0.45">
      <c r="A21" s="21" t="s">
        <v>12</v>
      </c>
      <c r="B21" s="14">
        <v>10</v>
      </c>
      <c r="C21" s="8">
        <f>IF(B$19=0,0,B21/B$19)</f>
        <v>0.34482758620689657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19</v>
      </c>
      <c r="C22" s="8">
        <f>IF(B$19=0,0,B22/B$19)</f>
        <v>0.65517241379310343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9</v>
      </c>
      <c r="C23" s="8">
        <f>IF(B$19=0,0,B23/B$19)</f>
        <v>0.31034482758620691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8</v>
      </c>
      <c r="C24" s="8">
        <f>IF(B$19=0,0,B24/B$19)</f>
        <v>0.27586206896551724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12</v>
      </c>
      <c r="C25" s="8">
        <f>IF(B$19=0,0,B25/B$19)</f>
        <v>0.41379310344827586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8979.310344827587</v>
      </c>
      <c r="C26" s="10">
        <v>260400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8623.8095238095229</v>
      </c>
      <c r="C27" s="100">
        <v>181100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9912.5</v>
      </c>
      <c r="C28" s="100">
        <v>79300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-9904.545454545454</v>
      </c>
      <c r="C29" s="100">
        <v>-217900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0.10344827586206896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8</v>
      </c>
      <c r="C37" s="8">
        <f t="shared" si="2"/>
        <v>0.27586206896551724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0.10344827586206896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2"/>
        <v>0.17241379310344829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0.10344827586206896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6.8965517241379309E-2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3.4482758620689655E-2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6.8965517241379309E-2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6.8965517241379309E-2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4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5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7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2020-06-13T14:56:53Z</dcterms:modified>
</cp:coreProperties>
</file>