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43033B07-0E2B-4E88-9F96-6C113ECFB7AF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通算スコア" sheetId="3331" state="hidden" r:id="rId6"/>
    <sheet name="平均スコア" sheetId="3493" state="hidden" r:id="rId7"/>
    <sheet name="平均順位" sheetId="3183" state="hidden" r:id="rId8"/>
    <sheet name="トップ率" sheetId="3185" state="hidden" r:id="rId9"/>
    <sheet name="ラス率" sheetId="4886" state="hidden" r:id="rId10"/>
    <sheet name="アガリ率" sheetId="3189" state="hidden" r:id="rId11"/>
    <sheet name="放銃率" sheetId="3190" state="hidden" r:id="rId12"/>
    <sheet name="平均アガリ点" sheetId="3520" state="hidden" r:id="rId13"/>
    <sheet name="平均放銃点" sheetId="3521" state="hidden" r:id="rId14"/>
    <sheet name="ふっとび率" sheetId="3522" state="hidden" r:id="rId15"/>
    <sheet name="リーチ率" sheetId="3524" state="hidden" r:id="rId16"/>
    <sheet name="副露率" sheetId="3525" state="hidden" r:id="rId17"/>
    <sheet name="リーチ成功率" sheetId="4841" state="hidden" r:id="rId18"/>
    <sheet name="副露成功率" sheetId="3527" state="hidden" r:id="rId19"/>
    <sheet name="ツモ率" sheetId="3528" state="hidden" r:id="rId20"/>
  </sheets>
  <definedNames>
    <definedName name="アガリ数" localSheetId="3">Template1!$B$19</definedName>
    <definedName name="アガリ数">#REF!</definedName>
    <definedName name="アガリ率" localSheetId="3">Template1!$C$19</definedName>
    <definedName name="アガリ率">#REF!</definedName>
    <definedName name="ダマアガリ数" localSheetId="3">Template1!$B$25</definedName>
    <definedName name="ダマアガリ数">#REF!</definedName>
    <definedName name="ダマアガリ点">#REF!</definedName>
    <definedName name="ダマアガリ率" localSheetId="3">Template1!$C$25</definedName>
    <definedName name="ダマアガリ率">#REF!</definedName>
    <definedName name="チョンボ数" localSheetId="3">Template1!$B$34</definedName>
    <definedName name="チョンボ数">#REF!</definedName>
    <definedName name="チョンボ率" localSheetId="3">Template1!$C$34</definedName>
    <definedName name="チョンボ率">#REF!</definedName>
    <definedName name="ツモ数" localSheetId="3">Template1!$B$21</definedName>
    <definedName name="ツモ数">#REF!</definedName>
    <definedName name="ツモ率" localSheetId="3">Template1!$C$21</definedName>
    <definedName name="ツモ率">#REF!</definedName>
    <definedName name="トップ数" localSheetId="3">Template1!$B$7</definedName>
    <definedName name="トップ数">#REF!</definedName>
    <definedName name="トップ率" localSheetId="3">Template1!$C$7</definedName>
    <definedName name="トップ率">#REF!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>#REF!</definedName>
    <definedName name="ふっとび率" localSheetId="3">Template1!$C$14</definedName>
    <definedName name="ふっとび率">#REF!</definedName>
    <definedName name="ラス数" localSheetId="3">Template1!$B$9</definedName>
    <definedName name="ラス数">#REF!</definedName>
    <definedName name="ラス率" localSheetId="3">Template1!$C$9</definedName>
    <definedName name="ラス率">#REF!</definedName>
    <definedName name="リーチアガリ数" localSheetId="3">Template1!$B$23</definedName>
    <definedName name="リーチアガリ数">#REF!</definedName>
    <definedName name="リーチアガリ率" localSheetId="3">Template1!$C$23</definedName>
    <definedName name="リーチアガリ率">#REF!</definedName>
    <definedName name="リーチ数" localSheetId="3">Template1!$B$15</definedName>
    <definedName name="リーチ数">#REF!</definedName>
    <definedName name="リーチ成功数" localSheetId="3">Template1!$B$17</definedName>
    <definedName name="リーチ成功数">#REF!</definedName>
    <definedName name="リーチ成功率" localSheetId="3">Template1!$C$17</definedName>
    <definedName name="リーチ成功率">#REF!</definedName>
    <definedName name="リーチ率" localSheetId="3">Template1!$C$15</definedName>
    <definedName name="リーチ率">#REF!</definedName>
    <definedName name="ロン数" localSheetId="3">Template1!$B$22</definedName>
    <definedName name="ロン数">#REF!</definedName>
    <definedName name="ロン率" localSheetId="3">Template1!$C$22</definedName>
    <definedName name="ロン率">#REF!</definedName>
    <definedName name="一位スコア">Template1!$B$10</definedName>
    <definedName name="一位通算スコア">Template1!$C$10</definedName>
    <definedName name="一翻数">Template1!$B$36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>#REF!</definedName>
    <definedName name="現行連続無放銃" localSheetId="3">Template1!$C$31</definedName>
    <definedName name="現行連続無放銃">#REF!</definedName>
    <definedName name="最高点" localSheetId="3">Template1!$B$33</definedName>
    <definedName name="最高点">#REF!</definedName>
    <definedName name="最大ドラ数" localSheetId="3">Template1!$B$32</definedName>
    <definedName name="最大ドラ数">#REF!</definedName>
    <definedName name="最大点数" localSheetId="3">Template1!$B$33</definedName>
    <definedName name="最大点数">#REF!</definedName>
    <definedName name="三位スコア">Template1!$B$12</definedName>
    <definedName name="三位通算スコア">Template1!$C$12</definedName>
    <definedName name="総局数" localSheetId="3">Template1!$B$3</definedName>
    <definedName name="総局数">#REF!</definedName>
    <definedName name="対戦数" localSheetId="3">Template1!$B$2</definedName>
    <definedName name="対戦数">#REF!</definedName>
    <definedName name="通算アガリ点" localSheetId="3">Template1!$C$26</definedName>
    <definedName name="通算アガリ点">#REF!</definedName>
    <definedName name="通算スコア" localSheetId="3">Template1!$B$4</definedName>
    <definedName name="通算スコア">#REF!</definedName>
    <definedName name="通算副露アガリ点" localSheetId="3">Template1!$C$28</definedName>
    <definedName name="通算副露アガリ点">#REF!</definedName>
    <definedName name="通算放銃点" localSheetId="3">Template1!$C$29</definedName>
    <definedName name="通算放銃点">#REF!</definedName>
    <definedName name="通算門前アガリ点" localSheetId="3">Template1!$C$27</definedName>
    <definedName name="通算門前アガリ点">#REF!</definedName>
    <definedName name="二位スコア">Template1!$B$11</definedName>
    <definedName name="二位数" localSheetId="3">Template1!$B$8</definedName>
    <definedName name="二位数">#REF!</definedName>
    <definedName name="二位通算スコア">Template1!$C$11</definedName>
    <definedName name="二位率" localSheetId="3">Template1!$C$8</definedName>
    <definedName name="二位率">#REF!</definedName>
    <definedName name="副露アガリ数" localSheetId="3">Template1!$B$24</definedName>
    <definedName name="副露アガリ数">#REF!</definedName>
    <definedName name="副露アガリ点" localSheetId="3">Template1!$B$28</definedName>
    <definedName name="副露アガリ点">#REF!</definedName>
    <definedName name="副露アガリ率" localSheetId="3">Template1!$C$24</definedName>
    <definedName name="副露アガリ率">#REF!</definedName>
    <definedName name="副露数" localSheetId="3">Template1!$B$16</definedName>
    <definedName name="副露数">#REF!</definedName>
    <definedName name="副露成功数" localSheetId="3">Template1!$B$18</definedName>
    <definedName name="副露成功数">#REF!</definedName>
    <definedName name="副露成功率" localSheetId="3">Template1!$C$18</definedName>
    <definedName name="副露成功率">#REF!</definedName>
    <definedName name="副露率" localSheetId="3">Template1!$C$16</definedName>
    <definedName name="副露率">#REF!</definedName>
    <definedName name="平均アガリ点" localSheetId="3">Template1!$B$26</definedName>
    <definedName name="平均アガリ点">#REF!</definedName>
    <definedName name="平均スコア" localSheetId="3">Template1!$B$5</definedName>
    <definedName name="平均スコア">#REF!</definedName>
    <definedName name="平均順位" localSheetId="3">Template1!$B$6</definedName>
    <definedName name="平均順位">#REF!</definedName>
    <definedName name="平均放銃点" localSheetId="3">Template1!$B$29</definedName>
    <definedName name="平均放銃点">#REF!</definedName>
    <definedName name="放銃数" localSheetId="3">Template1!$B$20</definedName>
    <definedName name="放銃数">#REF!</definedName>
    <definedName name="放銃率" localSheetId="3">Template1!$C$20</definedName>
    <definedName name="放銃率">#REF!</definedName>
    <definedName name="名前" localSheetId="3">Template1!$B$1</definedName>
    <definedName name="名前">#REF!</definedName>
    <definedName name="門前アガリ点" localSheetId="3">Template1!$B$27</definedName>
    <definedName name="門前アガリ点">#REF!</definedName>
    <definedName name="連続アガリ" localSheetId="3">Template1!$B$30</definedName>
    <definedName name="連続アガリ">#REF!</definedName>
    <definedName name="連続無放銃" localSheetId="3">Template1!$B$31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<sst xmlns="http://schemas.openxmlformats.org/spreadsheetml/2006/main" count="228" uniqueCount="186">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</sst>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3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3.xml"/><Relationship Id="rId13" Type="http://schemas.openxmlformats.org/officeDocument/2006/relationships/chartsheet" Target="chartsheets/sheet8.xml"/><Relationship Id="rId18" Type="http://schemas.openxmlformats.org/officeDocument/2006/relationships/chartsheet" Target="chartsheets/sheet1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chartsheet" Target="chartsheets/sheet2.xml"/><Relationship Id="rId12" Type="http://schemas.openxmlformats.org/officeDocument/2006/relationships/chartsheet" Target="chartsheets/sheet7.xml"/><Relationship Id="rId17" Type="http://schemas.openxmlformats.org/officeDocument/2006/relationships/chartsheet" Target="chartsheets/sheet1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11.xml"/><Relationship Id="rId20" Type="http://schemas.openxmlformats.org/officeDocument/2006/relationships/chartsheet" Target="chartsheets/sheet15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chartsheet" Target="chartsheets/sheet6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10.xml"/><Relationship Id="rId23" Type="http://schemas.openxmlformats.org/officeDocument/2006/relationships/sharedStrings" Target="sharedStrings.xml"/><Relationship Id="rId10" Type="http://schemas.openxmlformats.org/officeDocument/2006/relationships/chartsheet" Target="chartsheets/sheet5.xml"/><Relationship Id="rId19" Type="http://schemas.openxmlformats.org/officeDocument/2006/relationships/chartsheet" Target="chartsheets/sheet14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4.xml"/><Relationship Id="rId14" Type="http://schemas.openxmlformats.org/officeDocument/2006/relationships/chartsheet" Target="chartsheets/sheet9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881784197001252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0670156194380126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303040138483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03927296332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21.61563998524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52.04081632653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900090826521344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9594287568971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824840419777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8764629388816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6821561338289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2231648838067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B1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2" x14ac:dyDescent="0.45">
      <c r="A1" s="1">
        <v>32874</v>
      </c>
      <c r="B1" s="1">
        <v>2958465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147</v>
      </c>
      <c r="G2" s="36" t="s">
        <v>138</v>
      </c>
      <c r="H2" s="36" t="s">
        <v>137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139</v>
      </c>
      <c r="P2" s="36" t="s">
        <v>136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"/>
  <sheetViews>
    <sheetView workbookViewId="0"/>
  </sheetViews>
  <sheetFormatPr defaultRowHeight="18" x14ac:dyDescent="0.45"/>
  <cols>
    <col min="1" max="1" width="11" customWidth="1"/>
    <col min="2" max="2" width="9" customWidth="1"/>
  </cols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3"/>
      <c r="C1" s="124"/>
      <c r="E1" s="108" t="s">
        <v>152</v>
      </c>
      <c r="F1" s="104" t="s">
        <v>115</v>
      </c>
      <c r="G1" s="103" t="s">
        <v>116</v>
      </c>
      <c r="H1" s="90" t="s">
        <v>117</v>
      </c>
      <c r="I1" s="104" t="s">
        <v>143</v>
      </c>
      <c r="K1" s="4" t="s">
        <v>19</v>
      </c>
      <c r="L1" s="104" t="s">
        <v>120</v>
      </c>
      <c r="M1" s="109"/>
      <c r="N1" s="76" t="s">
        <v>132</v>
      </c>
      <c r="O1" s="4" t="s">
        <v>133</v>
      </c>
      <c r="P1" s="110" t="s">
        <v>116</v>
      </c>
      <c r="Q1" s="66" t="s">
        <v>145</v>
      </c>
    </row>
    <row r="2" spans="1:17" x14ac:dyDescent="0.45">
      <c r="A2" s="20" t="s">
        <v>9</v>
      </c>
      <c r="B2" s="125">
        <v>0</v>
      </c>
      <c r="C2" s="126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126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27">
        <v>0</v>
      </c>
      <c r="C3" s="128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127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29">
        <v>0</v>
      </c>
      <c r="C4" s="130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128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17">
        <f>IF(B$2=0,0,B$4/B$2)</f>
        <v>0</v>
      </c>
      <c r="C5" s="118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129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1">
        <f>IF(B$2=0,0,(B$7*1+B$8*2+B$9*3)/B$2)</f>
        <v>0</v>
      </c>
      <c r="C6" s="132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130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131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148</v>
      </c>
      <c r="O9" s="4" t="s">
        <v>120</v>
      </c>
      <c r="P9" s="110" t="s">
        <v>116</v>
      </c>
      <c r="Q9" s="70" t="s">
        <v>145</v>
      </c>
    </row>
    <row r="10" spans="1:17" x14ac:dyDescent="0.45">
      <c r="A10" s="22" t="s">
        <v>181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149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182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150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183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151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184</v>
      </c>
      <c r="B13" s="117">
        <f>AVERAGE(B10:B12)</f>
        <v>0</v>
      </c>
      <c r="C13" s="118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144</v>
      </c>
      <c r="O14" s="4" t="s">
        <v>120</v>
      </c>
      <c r="P14" s="110" t="s">
        <v>116</v>
      </c>
      <c r="Q14" s="70" t="s">
        <v>145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180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178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179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162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163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161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155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156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134</v>
      </c>
      <c r="B32" s="119">
        <v>0</v>
      </c>
      <c r="C32" s="120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177</v>
      </c>
      <c r="B33" s="121">
        <v>-1000000</v>
      </c>
      <c r="C33" s="122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135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168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164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165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166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167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169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170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171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172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173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174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175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176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153</v>
      </c>
      <c r="F50" s="26" t="s">
        <v>154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157</v>
      </c>
      <c r="F51" s="96" t="s">
        <v>158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159</v>
      </c>
      <c r="F52" s="27" t="s">
        <v>160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42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/>
      <c r="B1" s="135" t="s">
        <v>9</v>
      </c>
      <c r="C1" s="136"/>
      <c r="D1" s="133" t="s">
        <v>6</v>
      </c>
      <c r="E1" s="134"/>
      <c r="F1" s="133" t="s">
        <v>7</v>
      </c>
      <c r="G1" s="134"/>
      <c r="H1" s="135" t="s">
        <v>184</v>
      </c>
      <c r="I1" s="136"/>
      <c r="J1" s="133" t="s">
        <v>15</v>
      </c>
      <c r="K1" s="134"/>
      <c r="L1" s="133" t="s">
        <v>14</v>
      </c>
      <c r="M1" s="134"/>
      <c r="N1" s="133" t="s">
        <v>147</v>
      </c>
      <c r="O1" s="134"/>
      <c r="P1" s="133" t="s">
        <v>140</v>
      </c>
      <c r="Q1" s="134"/>
      <c r="R1" s="133" t="s">
        <v>141</v>
      </c>
      <c r="S1" s="134"/>
      <c r="T1" s="133" t="s">
        <v>5</v>
      </c>
      <c r="U1" s="134"/>
      <c r="V1" s="133" t="s">
        <v>16</v>
      </c>
      <c r="W1" s="134"/>
      <c r="X1" s="133" t="s">
        <v>17</v>
      </c>
      <c r="Y1" s="134"/>
      <c r="Z1" s="133" t="s">
        <v>122</v>
      </c>
      <c r="AA1" s="134"/>
      <c r="AB1" s="133" t="s">
        <v>119</v>
      </c>
      <c r="AC1" s="134"/>
      <c r="AD1" s="133" t="s">
        <v>125</v>
      </c>
      <c r="AE1" s="134"/>
      <c r="AF1" s="133" t="s">
        <v>142</v>
      </c>
      <c r="AG1" s="134"/>
      <c r="AH1" s="133" t="s">
        <v>136</v>
      </c>
      <c r="AI1" s="134"/>
      <c r="AJ1" s="133" t="s">
        <v>177</v>
      </c>
      <c r="AK1" s="134"/>
    </row>
    <row r="2" spans="1:37" x14ac:dyDescent="0.45">
      <c r="A2" s="38" t="s">
        <v>146</v>
      </c>
      <c r="B2" s="139" t="s">
        <v>185</v>
      </c>
      <c r="C2" s="140"/>
      <c r="D2" s="137"/>
      <c r="E2" s="138"/>
      <c r="F2" s="137"/>
      <c r="G2" s="138"/>
      <c r="H2" s="139" t="s">
        <v>185</v>
      </c>
      <c r="I2" s="140"/>
      <c r="J2" s="139" t="s">
        <v>185</v>
      </c>
      <c r="K2" s="140"/>
      <c r="L2" s="139" t="s">
        <v>185</v>
      </c>
      <c r="M2" s="140"/>
      <c r="N2" s="139" t="s">
        <v>185</v>
      </c>
      <c r="O2" s="140"/>
      <c r="P2" s="139" t="s">
        <v>185</v>
      </c>
      <c r="Q2" s="140"/>
      <c r="R2" s="139" t="s">
        <v>185</v>
      </c>
      <c r="S2" s="140"/>
      <c r="T2" s="139" t="s">
        <v>185</v>
      </c>
      <c r="U2" s="140"/>
      <c r="V2" s="139" t="s">
        <v>185</v>
      </c>
      <c r="W2" s="140"/>
      <c r="X2" s="139" t="s">
        <v>185</v>
      </c>
      <c r="Y2" s="140"/>
      <c r="Z2" s="139" t="s">
        <v>185</v>
      </c>
      <c r="AA2" s="140"/>
      <c r="AB2" s="139" t="s">
        <v>185</v>
      </c>
      <c r="AC2" s="140"/>
      <c r="AD2" s="139" t="s">
        <v>185</v>
      </c>
      <c r="AE2" s="140"/>
      <c r="AF2" s="139" t="s">
        <v>185</v>
      </c>
      <c r="AG2" s="140"/>
      <c r="AH2" s="139" t="s">
        <v>185</v>
      </c>
      <c r="AI2" s="140"/>
      <c r="AJ2" s="139" t="s">
        <v>185</v>
      </c>
      <c r="AK2" s="140"/>
    </row>
    <row r="3" spans="1:37" x14ac:dyDescent="0.45">
      <c r="A3" s="40"/>
      <c r="B3" s="43"/>
      <c r="C3" s="141"/>
      <c r="D3" s="41"/>
      <c r="E3" s="42"/>
      <c r="F3" s="43"/>
      <c r="G3" s="62"/>
      <c r="H3" s="43"/>
      <c r="I3" s="62"/>
      <c r="J3" s="43"/>
      <c r="K3" s="44"/>
      <c r="L3" s="43"/>
      <c r="M3" s="45"/>
      <c r="N3" s="43"/>
      <c r="O3" s="45"/>
      <c r="P3" s="43"/>
      <c r="Q3" s="46"/>
      <c r="R3" s="43"/>
      <c r="S3" s="46"/>
      <c r="T3" s="43"/>
      <c r="U3" s="47"/>
      <c r="V3" s="43"/>
      <c r="W3" s="47"/>
      <c r="X3" s="43"/>
      <c r="Y3" s="45"/>
      <c r="Z3" s="43"/>
      <c r="AA3" s="46"/>
      <c r="AB3" s="43"/>
      <c r="AC3" s="46"/>
      <c r="AD3" s="43"/>
      <c r="AE3" s="46"/>
      <c r="AF3" s="43"/>
      <c r="AG3" s="46"/>
      <c r="AH3" s="43"/>
      <c r="AI3" s="46"/>
      <c r="AJ3" s="43"/>
      <c r="AK3" s="57"/>
    </row>
  </sheetData>
  <sortState xmlns:xlrd2="http://schemas.microsoft.com/office/spreadsheetml/2017/richdata2" ref="AJ3:AK33">
    <sortCondition descending="1" ref="AK1"/>
  </sortState>
  <mergeCells count="36">
    <mergeCell ref="B1:C1"/>
    <mergeCell ref="B2:C2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D2:E2"/>
    <mergeCell ref="F2:G2"/>
    <mergeCell ref="J2:K2"/>
    <mergeCell ref="L2:M2"/>
    <mergeCell ref="P2:Q2"/>
    <mergeCell ref="N2:O2"/>
    <mergeCell ref="H2:I2"/>
    <mergeCell ref="Z1:AA1"/>
    <mergeCell ref="AB1:AC1"/>
    <mergeCell ref="AD1:AE1"/>
    <mergeCell ref="AF1:AG1"/>
    <mergeCell ref="D1:E1"/>
    <mergeCell ref="F1:G1"/>
    <mergeCell ref="J1:K1"/>
    <mergeCell ref="L1:M1"/>
    <mergeCell ref="P1:Q1"/>
    <mergeCell ref="N1:O1"/>
    <mergeCell ref="H1: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62</vt:i4>
      </vt:variant>
    </vt:vector>
  </HeadingPairs>
  <TitlesOfParts>
    <vt:vector size="82" baseType="lpstr">
      <vt:lpstr>Cache</vt:lpstr>
      <vt:lpstr>Template2</vt:lpstr>
      <vt:lpstr>Players</vt:lpstr>
      <vt:lpstr>Template1</vt:lpstr>
      <vt:lpstr>ランキング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Template1!アガリ率</vt:lpstr>
      <vt:lpstr>Template1!ダマアガリ数</vt:lpstr>
      <vt:lpstr>Template1!ダマアガリ率</vt:lpstr>
      <vt:lpstr>Template1!チョンボ数</vt:lpstr>
      <vt:lpstr>Template1!チョンボ率</vt:lpstr>
      <vt:lpstr>Template1!ツモ数</vt:lpstr>
      <vt:lpstr>Template1!ツモ率</vt:lpstr>
      <vt:lpstr>Template1!トップ数</vt:lpstr>
      <vt:lpstr>Template1!トップ率</vt:lpstr>
      <vt:lpstr>バランス</vt:lpstr>
      <vt:lpstr>Template1!ふっとび数</vt:lpstr>
      <vt:lpstr>Template1!ふっとび率</vt:lpstr>
      <vt:lpstr>Template1!ラス数</vt:lpstr>
      <vt:lpstr>Template1!ラス率</vt:lpstr>
      <vt:lpstr>Template1!リーチアガリ数</vt:lpstr>
      <vt:lpstr>Template1!リーチアガリ率</vt:lpstr>
      <vt:lpstr>Template1!リーチ数</vt:lpstr>
      <vt:lpstr>Template1!リーチ成功数</vt:lpstr>
      <vt:lpstr>Template1!リーチ成功率</vt:lpstr>
      <vt:lpstr>Template1!リーチ率</vt:lpstr>
      <vt:lpstr>Template1!ロン数</vt:lpstr>
      <vt:lpstr>Template1!ロン率</vt:lpstr>
      <vt:lpstr>一位スコア</vt:lpstr>
      <vt:lpstr>一位通算スコア</vt:lpstr>
      <vt:lpstr>一翻数</vt:lpstr>
      <vt:lpstr>一翻率</vt:lpstr>
      <vt:lpstr>Template1!現行連続アガリ</vt:lpstr>
      <vt:lpstr>Template1!現行連続無放銃</vt:lpstr>
      <vt:lpstr>Template1!最高点</vt:lpstr>
      <vt:lpstr>Template1!最大ドラ数</vt:lpstr>
      <vt:lpstr>Template1!最大点数</vt:lpstr>
      <vt:lpstr>三位スコア</vt:lpstr>
      <vt:lpstr>三位通算スコア</vt:lpstr>
      <vt:lpstr>Template1!総局数</vt:lpstr>
      <vt:lpstr>Template1!対戦数</vt:lpstr>
      <vt:lpstr>Template1!通算アガリ点</vt:lpstr>
      <vt:lpstr>Template1!通算スコア</vt:lpstr>
      <vt:lpstr>Template1!通算副露アガリ点</vt:lpstr>
      <vt:lpstr>Template1!通算放銃点</vt:lpstr>
      <vt:lpstr>Template1!通算門前アガリ点</vt:lpstr>
      <vt:lpstr>二位スコア</vt:lpstr>
      <vt:lpstr>Template1!二位数</vt:lpstr>
      <vt:lpstr>二位通算スコア</vt:lpstr>
      <vt:lpstr>Template1!二位率</vt:lpstr>
      <vt:lpstr>Template1!副露アガリ数</vt:lpstr>
      <vt:lpstr>Template1!副露アガリ点</vt:lpstr>
      <vt:lpstr>Template1!副露アガリ率</vt:lpstr>
      <vt:lpstr>Template1!副露数</vt:lpstr>
      <vt:lpstr>Template1!副露成功数</vt:lpstr>
      <vt:lpstr>Template1!副露成功率</vt:lpstr>
      <vt:lpstr>Template1!副露率</vt:lpstr>
      <vt:lpstr>Template1!平均アガリ点</vt:lpstr>
      <vt:lpstr>Template1!平均スコア</vt:lpstr>
      <vt:lpstr>Template1!平均順位</vt:lpstr>
      <vt:lpstr>Template1!平均放銃点</vt:lpstr>
      <vt:lpstr>Template1!放銃数</vt:lpstr>
      <vt:lpstr>Template1!放銃率</vt:lpstr>
      <vt:lpstr>Template1!名前</vt:lpstr>
      <vt:lpstr>Template1!門前アガリ点</vt:lpstr>
      <vt:lpstr>Template1!連続アガリ</vt:lpstr>
      <vt:lpstr>Template1!連続無放銃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2020-02-27T05:03:01Z</dcterms:modified>
</cp:coreProperties>
</file>