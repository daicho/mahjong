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8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9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0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1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3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4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6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77CA2656-09B2-419C-BCBA-525A7F931F9A}" xr6:coauthVersionLast="44" xr6:coauthVersionMax="44" xr10:uidLastSave="{00000000-0000-0000-0000-000000000000}"/>
  <bookViews>
    <workbookView xWindow="3348" yWindow="3348" windowWidth="17280" windowHeight="9072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8" r:id="rId6"/>
    <sheet name="れんたろう" sheetId="6120" r:id="rId7"/>
    <sheet name="ともき" sheetId="6122" r:id="rId8"/>
    <sheet name="だいち" sheetId="6124" r:id="rId9"/>
    <sheet name="りくと" sheetId="6126" r:id="rId10"/>
    <sheet name="まっつん" sheetId="6128" r:id="rId11"/>
    <sheet name="たかの" sheetId="6130" r:id="rId12"/>
    <sheet name="のり" sheetId="6132" r:id="rId13"/>
    <sheet name="ただ" sheetId="6134" r:id="rId14"/>
    <sheet name="ただ2" sheetId="6135" state="hidden" r:id="rId15"/>
    <sheet name="のり2" sheetId="6133" state="hidden" r:id="rId16"/>
    <sheet name="たかの2" sheetId="6131" state="hidden" r:id="rId17"/>
    <sheet name="まっつん2" sheetId="6129" state="hidden" r:id="rId18"/>
    <sheet name="りくと2" sheetId="6127" state="hidden" r:id="rId19"/>
    <sheet name="だいち2" sheetId="6125" state="hidden" r:id="rId20"/>
    <sheet name="ともき2" sheetId="6123" state="hidden" r:id="rId21"/>
    <sheet name="れんたろう2" sheetId="6121" state="hidden" r:id="rId22"/>
    <sheet name="全体2" sheetId="6119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リーチ率" sheetId="3524" state="hidden" r:id="rId34"/>
    <sheet name="副露率" sheetId="3525" state="hidden" r:id="rId35"/>
    <sheet name="リーチ成功率" sheetId="4841" state="hidden" r:id="rId36"/>
    <sheet name="副露成功率" sheetId="3527" state="hidden" r:id="rId37"/>
    <sheet name="ツモ率" sheetId="3528" state="hidden" r:id="rId38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6122" l="1"/>
  <c r="O20" i="6130"/>
  <c r="O17" i="6134" l="1"/>
  <c r="O15" i="6122"/>
  <c r="O18" i="6134" l="1"/>
  <c r="O15" i="6120"/>
  <c r="O15" i="6128" l="1"/>
  <c r="O18" i="6122"/>
  <c r="O19" i="6124" l="1"/>
  <c r="O20" i="6128"/>
  <c r="O16" i="6118"/>
  <c r="O16" i="6134"/>
  <c r="O15" i="6134"/>
  <c r="C34" i="6134"/>
  <c r="B29" i="6134"/>
  <c r="C20" i="6134"/>
  <c r="B19" i="6134"/>
  <c r="H50" i="6134" s="1"/>
  <c r="B18" i="6134"/>
  <c r="B28" i="6134" s="1"/>
  <c r="B17" i="6134"/>
  <c r="C17" i="6134" s="1"/>
  <c r="C16" i="6134"/>
  <c r="C15" i="6134"/>
  <c r="C14" i="6134"/>
  <c r="O12" i="6134"/>
  <c r="B12" i="6134"/>
  <c r="O11" i="6134"/>
  <c r="B11" i="6134"/>
  <c r="O10" i="6134"/>
  <c r="B10" i="6134"/>
  <c r="C9" i="6134"/>
  <c r="C8" i="6134"/>
  <c r="O7" i="6134"/>
  <c r="C7" i="6134"/>
  <c r="O6" i="6134"/>
  <c r="B6" i="6134"/>
  <c r="O5" i="6134"/>
  <c r="B5" i="6134"/>
  <c r="O4" i="6134"/>
  <c r="O3" i="6134"/>
  <c r="O2" i="6134"/>
  <c r="B13" i="6134" l="1"/>
  <c r="C18" i="6134"/>
  <c r="H30" i="6134"/>
  <c r="H2" i="6134"/>
  <c r="H7" i="6134"/>
  <c r="H14" i="6134"/>
  <c r="H33" i="6134"/>
  <c r="C22" i="6134"/>
  <c r="H31" i="6134"/>
  <c r="C21" i="6134"/>
  <c r="H12" i="6134"/>
  <c r="H23" i="6134"/>
  <c r="H16" i="6134"/>
  <c r="C42" i="6134"/>
  <c r="H20" i="6134"/>
  <c r="H18" i="6134"/>
  <c r="H39" i="6134"/>
  <c r="H19" i="6134"/>
  <c r="H41" i="6134"/>
  <c r="H3" i="6134"/>
  <c r="C24" i="6134"/>
  <c r="H17" i="6134"/>
  <c r="H43" i="6134"/>
  <c r="C46" i="6134"/>
  <c r="C25" i="6134"/>
  <c r="C36" i="6134"/>
  <c r="H44" i="6134"/>
  <c r="H5" i="6134"/>
  <c r="H8" i="6134"/>
  <c r="H21" i="6134"/>
  <c r="H37" i="6134"/>
  <c r="H38" i="6134"/>
  <c r="H47" i="6134"/>
  <c r="H27" i="6134"/>
  <c r="B26" i="6134"/>
  <c r="H11" i="6134"/>
  <c r="H6" i="6134"/>
  <c r="H9" i="6134"/>
  <c r="H22" i="6134"/>
  <c r="C38" i="6134"/>
  <c r="H48" i="6134"/>
  <c r="C48" i="6134"/>
  <c r="H26" i="6134"/>
  <c r="H34" i="6134"/>
  <c r="H42" i="6134"/>
  <c r="H49" i="6134"/>
  <c r="B27" i="6134"/>
  <c r="C39" i="6134"/>
  <c r="C44" i="6134"/>
  <c r="H51" i="6134"/>
  <c r="C23" i="6134"/>
  <c r="H13" i="6134"/>
  <c r="H35" i="6134"/>
  <c r="H40" i="6134"/>
  <c r="H45" i="6134"/>
  <c r="H4" i="6134"/>
  <c r="H15" i="6134"/>
  <c r="H10" i="6134"/>
  <c r="C19" i="6134"/>
  <c r="H25" i="6134"/>
  <c r="H29" i="6134"/>
  <c r="H36" i="6134"/>
  <c r="C40" i="6134"/>
  <c r="H46" i="6134"/>
  <c r="H52" i="6134"/>
  <c r="C43" i="6134"/>
  <c r="C47" i="6134"/>
  <c r="H24" i="6134"/>
  <c r="H28" i="6134"/>
  <c r="H32" i="6134"/>
  <c r="C37" i="6134"/>
  <c r="C41" i="6134"/>
  <c r="C45" i="6134"/>
  <c r="O16" i="6124"/>
  <c r="O19" i="6130"/>
  <c r="O20" i="6120"/>
  <c r="O16" i="6130"/>
  <c r="O15" i="6124" l="1"/>
  <c r="O18" i="6126"/>
  <c r="O17" i="6120"/>
  <c r="O19" i="6120"/>
  <c r="O15" i="6126"/>
  <c r="O18" i="6128"/>
  <c r="O16" i="6132" l="1"/>
  <c r="O18" i="6132"/>
  <c r="O21" i="6128"/>
  <c r="O16" i="6128"/>
  <c r="O17" i="6124"/>
  <c r="O18" i="6124"/>
  <c r="O17" i="6130"/>
  <c r="O15" i="6132"/>
  <c r="O17" i="6132"/>
  <c r="C34" i="6132"/>
  <c r="B29" i="6132"/>
  <c r="C20" i="6132"/>
  <c r="B19" i="6132"/>
  <c r="H5" i="6132" s="1"/>
  <c r="B18" i="6132"/>
  <c r="B28" i="6132" s="1"/>
  <c r="B17" i="6132"/>
  <c r="C17" i="6132" s="1"/>
  <c r="C16" i="6132"/>
  <c r="C15" i="6132"/>
  <c r="C14" i="6132"/>
  <c r="O12" i="6132"/>
  <c r="B12" i="6132"/>
  <c r="O11" i="6132"/>
  <c r="B11" i="6132"/>
  <c r="B13" i="6132" s="1"/>
  <c r="O10" i="6132"/>
  <c r="B10" i="6132"/>
  <c r="C9" i="6132"/>
  <c r="C8" i="6132"/>
  <c r="O7" i="6132"/>
  <c r="C7" i="6132"/>
  <c r="O6" i="6132"/>
  <c r="B6" i="6132"/>
  <c r="O5" i="6132"/>
  <c r="B5" i="6132"/>
  <c r="O4" i="6132"/>
  <c r="O3" i="6132"/>
  <c r="O2" i="6132"/>
  <c r="O17" i="6126"/>
  <c r="O17" i="6118"/>
  <c r="O18" i="6130"/>
  <c r="O15" i="6130"/>
  <c r="C34" i="6130"/>
  <c r="B29" i="6130"/>
  <c r="C20" i="6130"/>
  <c r="B19" i="6130"/>
  <c r="H50" i="6130" s="1"/>
  <c r="B18" i="6130"/>
  <c r="B28" i="6130" s="1"/>
  <c r="B17" i="6130"/>
  <c r="C17" i="6130" s="1"/>
  <c r="C16" i="6130"/>
  <c r="C15" i="6130"/>
  <c r="C14" i="6130"/>
  <c r="O12" i="6130"/>
  <c r="B12" i="6130"/>
  <c r="O11" i="6130"/>
  <c r="B11" i="6130"/>
  <c r="O10" i="6130"/>
  <c r="B10" i="6130"/>
  <c r="B13" i="6130" s="1"/>
  <c r="C9" i="6130"/>
  <c r="C8" i="6130"/>
  <c r="O7" i="6130"/>
  <c r="C7" i="6130"/>
  <c r="O6" i="6130"/>
  <c r="B6" i="6130"/>
  <c r="O5" i="6130"/>
  <c r="B5" i="6130"/>
  <c r="O4" i="6130"/>
  <c r="O3" i="6130"/>
  <c r="O2" i="6130"/>
  <c r="O17" i="6128"/>
  <c r="O19" i="6128"/>
  <c r="C34" i="6128"/>
  <c r="B29" i="6128"/>
  <c r="C20" i="6128"/>
  <c r="B19" i="6128"/>
  <c r="H51" i="6128" s="1"/>
  <c r="B18" i="6128"/>
  <c r="C18" i="6128" s="1"/>
  <c r="B17" i="6128"/>
  <c r="C17" i="6128" s="1"/>
  <c r="C16" i="6128"/>
  <c r="C15" i="6128"/>
  <c r="C14" i="6128"/>
  <c r="O12" i="6128"/>
  <c r="B12" i="6128"/>
  <c r="O11" i="6128"/>
  <c r="B11" i="6128"/>
  <c r="O10" i="6128"/>
  <c r="B10" i="6128"/>
  <c r="C9" i="6128"/>
  <c r="C8" i="6128"/>
  <c r="O7" i="6128"/>
  <c r="C7" i="6128"/>
  <c r="O6" i="6128"/>
  <c r="B6" i="6128"/>
  <c r="O5" i="6128"/>
  <c r="B5" i="6128"/>
  <c r="O4" i="6128"/>
  <c r="O3" i="6128"/>
  <c r="O2" i="6128"/>
  <c r="O15" i="6118"/>
  <c r="O19" i="6126"/>
  <c r="O16" i="6126"/>
  <c r="C34" i="6126"/>
  <c r="B29" i="6126"/>
  <c r="C20" i="6126"/>
  <c r="B19" i="6126"/>
  <c r="H50" i="6126" s="1"/>
  <c r="B18" i="6126"/>
  <c r="B28" i="6126" s="1"/>
  <c r="B17" i="6126"/>
  <c r="C17" i="6126" s="1"/>
  <c r="C16" i="6126"/>
  <c r="C15" i="6126"/>
  <c r="C14" i="6126"/>
  <c r="O12" i="6126"/>
  <c r="B12" i="6126"/>
  <c r="O11" i="6126"/>
  <c r="B11" i="6126"/>
  <c r="O10" i="6126"/>
  <c r="B10" i="6126"/>
  <c r="C9" i="6126"/>
  <c r="C8" i="6126"/>
  <c r="O7" i="6126"/>
  <c r="C7" i="6126"/>
  <c r="O6" i="6126"/>
  <c r="B6" i="6126"/>
  <c r="O5" i="6126"/>
  <c r="B5" i="6126"/>
  <c r="O4" i="6126"/>
  <c r="O3" i="6126"/>
  <c r="O2" i="6126"/>
  <c r="O21" i="6118"/>
  <c r="O19" i="6118"/>
  <c r="C18" i="6132" l="1"/>
  <c r="B28" i="6128"/>
  <c r="C18" i="6126"/>
  <c r="H4" i="6126"/>
  <c r="H49" i="6126"/>
  <c r="H34" i="6126"/>
  <c r="H5" i="6126"/>
  <c r="H40" i="6126"/>
  <c r="H3" i="6126"/>
  <c r="H18" i="6126"/>
  <c r="C21" i="6126"/>
  <c r="H22" i="6126"/>
  <c r="C24" i="6126"/>
  <c r="H12" i="6126"/>
  <c r="H41" i="6126"/>
  <c r="H9" i="6126"/>
  <c r="C40" i="6126"/>
  <c r="C25" i="6126"/>
  <c r="H14" i="6126"/>
  <c r="H44" i="6126"/>
  <c r="H15" i="6126"/>
  <c r="H33" i="6126"/>
  <c r="H51" i="6126"/>
  <c r="H8" i="6126"/>
  <c r="H52" i="6126"/>
  <c r="H2" i="6126"/>
  <c r="H6" i="6126"/>
  <c r="H10" i="6126"/>
  <c r="H31" i="6126"/>
  <c r="C44" i="6126"/>
  <c r="H26" i="6126"/>
  <c r="H36" i="6126"/>
  <c r="H45" i="6126"/>
  <c r="H17" i="6126"/>
  <c r="C19" i="6126"/>
  <c r="C38" i="6126"/>
  <c r="H46" i="6126"/>
  <c r="B26" i="6126"/>
  <c r="H11" i="6126"/>
  <c r="B27" i="6126"/>
  <c r="H39" i="6126"/>
  <c r="C46" i="6126"/>
  <c r="H16" i="6126"/>
  <c r="C22" i="6126"/>
  <c r="H28" i="6126"/>
  <c r="C36" i="6126"/>
  <c r="H42" i="6126"/>
  <c r="H47" i="6126"/>
  <c r="H7" i="6126"/>
  <c r="H13" i="6126"/>
  <c r="H20" i="6126"/>
  <c r="C23" i="6126"/>
  <c r="H37" i="6126"/>
  <c r="C42" i="6126"/>
  <c r="H48" i="6126"/>
  <c r="H24" i="6126"/>
  <c r="H30" i="6126"/>
  <c r="H38" i="6126"/>
  <c r="H43" i="6126"/>
  <c r="C48" i="6126"/>
  <c r="B13" i="6128"/>
  <c r="C42" i="6128"/>
  <c r="H23" i="6128"/>
  <c r="H28" i="6128"/>
  <c r="C24" i="6128"/>
  <c r="H9" i="6128"/>
  <c r="H20" i="6128"/>
  <c r="H19" i="6128"/>
  <c r="H7" i="6128"/>
  <c r="C43" i="6128"/>
  <c r="H25" i="6128"/>
  <c r="H34" i="6128"/>
  <c r="C22" i="6128"/>
  <c r="H41" i="6128"/>
  <c r="H52" i="6132"/>
  <c r="H35" i="6132"/>
  <c r="H39" i="6132"/>
  <c r="H3" i="6132"/>
  <c r="H10" i="6132"/>
  <c r="C24" i="6132"/>
  <c r="H14" i="6132"/>
  <c r="H9" i="6132"/>
  <c r="H43" i="6132"/>
  <c r="C19" i="6132"/>
  <c r="C39" i="6132"/>
  <c r="H19" i="6132"/>
  <c r="C43" i="6132"/>
  <c r="H6" i="6132"/>
  <c r="H22" i="6132"/>
  <c r="H12" i="6132"/>
  <c r="H15" i="6132"/>
  <c r="H29" i="6132"/>
  <c r="H47" i="6132"/>
  <c r="C47" i="6132"/>
  <c r="H23" i="6130"/>
  <c r="C18" i="6130"/>
  <c r="H16" i="6130"/>
  <c r="H5" i="6130"/>
  <c r="H17" i="6130"/>
  <c r="H8" i="6132"/>
  <c r="H13" i="6132"/>
  <c r="H16" i="6132"/>
  <c r="C21" i="6132"/>
  <c r="C25" i="6132"/>
  <c r="H36" i="6132"/>
  <c r="H40" i="6132"/>
  <c r="H44" i="6132"/>
  <c r="H48" i="6132"/>
  <c r="H23" i="6132"/>
  <c r="H26" i="6132"/>
  <c r="H30" i="6132"/>
  <c r="C36" i="6132"/>
  <c r="C40" i="6132"/>
  <c r="C44" i="6132"/>
  <c r="C48" i="6132"/>
  <c r="H2" i="6132"/>
  <c r="H11" i="6132"/>
  <c r="H17" i="6132"/>
  <c r="H20" i="6132"/>
  <c r="C22" i="6132"/>
  <c r="B26" i="6132"/>
  <c r="H31" i="6132"/>
  <c r="H37" i="6132"/>
  <c r="H41" i="6132"/>
  <c r="H45" i="6132"/>
  <c r="H49" i="6132"/>
  <c r="H27" i="6132"/>
  <c r="C37" i="6132"/>
  <c r="H50" i="6132"/>
  <c r="H18" i="6132"/>
  <c r="C23" i="6132"/>
  <c r="B27" i="6132"/>
  <c r="H33" i="6132"/>
  <c r="H38" i="6132"/>
  <c r="H42" i="6132"/>
  <c r="H46" i="6132"/>
  <c r="H51" i="6132"/>
  <c r="H24" i="6132"/>
  <c r="H32" i="6132"/>
  <c r="C41" i="6132"/>
  <c r="C45" i="6132"/>
  <c r="H7" i="6132"/>
  <c r="H4" i="6132"/>
  <c r="H21" i="6132"/>
  <c r="H25" i="6132"/>
  <c r="H28" i="6132"/>
  <c r="H34" i="6132"/>
  <c r="C38" i="6132"/>
  <c r="C42" i="6132"/>
  <c r="C46" i="6132"/>
  <c r="H36" i="6130"/>
  <c r="H15" i="6130"/>
  <c r="H21" i="6130"/>
  <c r="C22" i="6130"/>
  <c r="H42" i="6130"/>
  <c r="C46" i="6130"/>
  <c r="H37" i="6130"/>
  <c r="H4" i="6130"/>
  <c r="H18" i="6130"/>
  <c r="C23" i="6130"/>
  <c r="H8" i="6130"/>
  <c r="H47" i="6130"/>
  <c r="H38" i="6130"/>
  <c r="C42" i="6130"/>
  <c r="C47" i="6130"/>
  <c r="H26" i="6130"/>
  <c r="H11" i="6130"/>
  <c r="H12" i="6130"/>
  <c r="C19" i="6130"/>
  <c r="C24" i="6130"/>
  <c r="H39" i="6130"/>
  <c r="H43" i="6130"/>
  <c r="H48" i="6130"/>
  <c r="H30" i="6130"/>
  <c r="H49" i="6130"/>
  <c r="H27" i="6130"/>
  <c r="H32" i="6130"/>
  <c r="C38" i="6130"/>
  <c r="H2" i="6130"/>
  <c r="H3" i="6130"/>
  <c r="H14" i="6130"/>
  <c r="C25" i="6130"/>
  <c r="H34" i="6130"/>
  <c r="H40" i="6130"/>
  <c r="H44" i="6130"/>
  <c r="H51" i="6130"/>
  <c r="H19" i="6130"/>
  <c r="H7" i="6130"/>
  <c r="H22" i="6130"/>
  <c r="H24" i="6130"/>
  <c r="B26" i="6130"/>
  <c r="H35" i="6130"/>
  <c r="C39" i="6130"/>
  <c r="H45" i="6130"/>
  <c r="H9" i="6130"/>
  <c r="H6" i="6130"/>
  <c r="H13" i="6130"/>
  <c r="C43" i="6130"/>
  <c r="H20" i="6130"/>
  <c r="C21" i="6130"/>
  <c r="B27" i="6130"/>
  <c r="H41" i="6130"/>
  <c r="H46" i="6130"/>
  <c r="H52" i="6130"/>
  <c r="H10" i="6130"/>
  <c r="H28" i="6130"/>
  <c r="H31" i="6130"/>
  <c r="C36" i="6130"/>
  <c r="C40" i="6130"/>
  <c r="C44" i="6130"/>
  <c r="C48" i="6130"/>
  <c r="H25" i="6130"/>
  <c r="H29" i="6130"/>
  <c r="H33" i="6130"/>
  <c r="C37" i="6130"/>
  <c r="C41" i="6130"/>
  <c r="C45" i="6130"/>
  <c r="B26" i="6128"/>
  <c r="H35" i="6128"/>
  <c r="H45" i="6128"/>
  <c r="H8" i="6128"/>
  <c r="H24" i="6128"/>
  <c r="H13" i="6128"/>
  <c r="C19" i="6128"/>
  <c r="C46" i="6128"/>
  <c r="H6" i="6128"/>
  <c r="C38" i="6128"/>
  <c r="H47" i="6128"/>
  <c r="H12" i="6128"/>
  <c r="H16" i="6128"/>
  <c r="H2" i="6128"/>
  <c r="H31" i="6128"/>
  <c r="H39" i="6128"/>
  <c r="C47" i="6128"/>
  <c r="H21" i="6128"/>
  <c r="H37" i="6128"/>
  <c r="H4" i="6128"/>
  <c r="H22" i="6128"/>
  <c r="H11" i="6128"/>
  <c r="H26" i="6128"/>
  <c r="C39" i="6128"/>
  <c r="H49" i="6128"/>
  <c r="H5" i="6128"/>
  <c r="H17" i="6128"/>
  <c r="H43" i="6128"/>
  <c r="H52" i="6128"/>
  <c r="C21" i="6128"/>
  <c r="C25" i="6128"/>
  <c r="H36" i="6128"/>
  <c r="H40" i="6128"/>
  <c r="H44" i="6128"/>
  <c r="H48" i="6128"/>
  <c r="H3" i="6128"/>
  <c r="H10" i="6128"/>
  <c r="H15" i="6128"/>
  <c r="H29" i="6128"/>
  <c r="H18" i="6128"/>
  <c r="C36" i="6128"/>
  <c r="C40" i="6128"/>
  <c r="C44" i="6128"/>
  <c r="C48" i="6128"/>
  <c r="H27" i="6128"/>
  <c r="H30" i="6128"/>
  <c r="H32" i="6128"/>
  <c r="C37" i="6128"/>
  <c r="C41" i="6128"/>
  <c r="C45" i="6128"/>
  <c r="H50" i="6128"/>
  <c r="H14" i="6128"/>
  <c r="C23" i="6128"/>
  <c r="B27" i="6128"/>
  <c r="H33" i="6128"/>
  <c r="H38" i="6128"/>
  <c r="H42" i="6128"/>
  <c r="H46" i="6128"/>
  <c r="B13" i="6126"/>
  <c r="H19" i="6126"/>
  <c r="H21" i="6126"/>
  <c r="H25" i="6126"/>
  <c r="H29" i="6126"/>
  <c r="H35" i="6126"/>
  <c r="C39" i="6126"/>
  <c r="C43" i="6126"/>
  <c r="C47" i="6126"/>
  <c r="H23" i="6126"/>
  <c r="H27" i="6126"/>
  <c r="H32" i="6126"/>
  <c r="C37" i="6126"/>
  <c r="C41" i="6126"/>
  <c r="C45" i="6126"/>
  <c r="O20" i="6124"/>
  <c r="O21" i="6124"/>
  <c r="C34" i="6124"/>
  <c r="B29" i="6124"/>
  <c r="C20" i="6124"/>
  <c r="B19" i="6124"/>
  <c r="H17" i="6124" s="1"/>
  <c r="B18" i="6124"/>
  <c r="B28" i="6124" s="1"/>
  <c r="B17" i="6124"/>
  <c r="C17" i="6124" s="1"/>
  <c r="C16" i="6124"/>
  <c r="C15" i="6124"/>
  <c r="C14" i="6124"/>
  <c r="O12" i="6124"/>
  <c r="B12" i="6124"/>
  <c r="O11" i="6124"/>
  <c r="B11" i="6124"/>
  <c r="O10" i="6124"/>
  <c r="B10" i="6124"/>
  <c r="C9" i="6124"/>
  <c r="C8" i="6124"/>
  <c r="O7" i="6124"/>
  <c r="C7" i="6124"/>
  <c r="O6" i="6124"/>
  <c r="B6" i="6124"/>
  <c r="O5" i="6124"/>
  <c r="B5" i="6124"/>
  <c r="O4" i="6124"/>
  <c r="O3" i="6124"/>
  <c r="O2" i="6124"/>
  <c r="O19" i="6122"/>
  <c r="O17" i="6122"/>
  <c r="C34" i="6122"/>
  <c r="B29" i="6122"/>
  <c r="C20" i="6122"/>
  <c r="B19" i="6122"/>
  <c r="H51" i="6122" s="1"/>
  <c r="B18" i="6122"/>
  <c r="B28" i="6122" s="1"/>
  <c r="B17" i="6122"/>
  <c r="C17" i="6122" s="1"/>
  <c r="C16" i="6122"/>
  <c r="C15" i="6122"/>
  <c r="C14" i="6122"/>
  <c r="O12" i="6122"/>
  <c r="B12" i="6122"/>
  <c r="O11" i="6122"/>
  <c r="B11" i="6122"/>
  <c r="O10" i="6122"/>
  <c r="B10" i="6122"/>
  <c r="C9" i="6122"/>
  <c r="C8" i="6122"/>
  <c r="O7" i="6122"/>
  <c r="C7" i="6122"/>
  <c r="O6" i="6122"/>
  <c r="B6" i="6122"/>
  <c r="O5" i="6122"/>
  <c r="B5" i="6122"/>
  <c r="O4" i="6122"/>
  <c r="O3" i="6122"/>
  <c r="O2" i="6122"/>
  <c r="O20" i="6118"/>
  <c r="O18" i="6120"/>
  <c r="O16" i="6120"/>
  <c r="C34" i="6120"/>
  <c r="B29" i="6120"/>
  <c r="C20" i="6120"/>
  <c r="B19" i="6120"/>
  <c r="H20" i="6120" s="1"/>
  <c r="B18" i="6120"/>
  <c r="C18" i="6120" s="1"/>
  <c r="B17" i="6120"/>
  <c r="C17" i="6120" s="1"/>
  <c r="C16" i="6120"/>
  <c r="C15" i="6120"/>
  <c r="C14" i="6120"/>
  <c r="O12" i="6120"/>
  <c r="B12" i="6120"/>
  <c r="O11" i="6120"/>
  <c r="B11" i="6120"/>
  <c r="O10" i="6120"/>
  <c r="B10" i="6120"/>
  <c r="C9" i="6120"/>
  <c r="C8" i="6120"/>
  <c r="O7" i="6120"/>
  <c r="C7" i="6120"/>
  <c r="O6" i="6120"/>
  <c r="B6" i="6120"/>
  <c r="O5" i="6120"/>
  <c r="B5" i="6120"/>
  <c r="O4" i="6120"/>
  <c r="O3" i="6120"/>
  <c r="O2" i="6120"/>
  <c r="O22" i="6118"/>
  <c r="O18" i="6118"/>
  <c r="C34" i="6118"/>
  <c r="B29" i="6118"/>
  <c r="C20" i="6118"/>
  <c r="B19" i="6118"/>
  <c r="H51" i="6118" s="1"/>
  <c r="B18" i="6118"/>
  <c r="B28" i="6118" s="1"/>
  <c r="B17" i="6118"/>
  <c r="C17" i="6118" s="1"/>
  <c r="C16" i="6118"/>
  <c r="C15" i="6118"/>
  <c r="C14" i="6118"/>
  <c r="O12" i="6118"/>
  <c r="B12" i="6118"/>
  <c r="O11" i="6118"/>
  <c r="B11" i="6118"/>
  <c r="O10" i="6118"/>
  <c r="B10" i="6118"/>
  <c r="C9" i="6118"/>
  <c r="C8" i="6118"/>
  <c r="O7" i="6118"/>
  <c r="C7" i="6118"/>
  <c r="O6" i="6118"/>
  <c r="B6" i="6118"/>
  <c r="O5" i="6118"/>
  <c r="B5" i="6118"/>
  <c r="O4" i="6118"/>
  <c r="O3" i="6118"/>
  <c r="O2" i="6118"/>
  <c r="C18" i="6122" l="1"/>
  <c r="B13" i="6122"/>
  <c r="B28" i="6120"/>
  <c r="B13" i="6124"/>
  <c r="B13" i="6120"/>
  <c r="H40" i="6120"/>
  <c r="C47" i="6120"/>
  <c r="H12" i="6120"/>
  <c r="H48" i="6120"/>
  <c r="H10" i="6120"/>
  <c r="H17" i="6120"/>
  <c r="H14" i="6120"/>
  <c r="C46" i="6120"/>
  <c r="B26" i="6120"/>
  <c r="H2" i="6120"/>
  <c r="H22" i="6120"/>
  <c r="H23" i="6120"/>
  <c r="H5" i="6120"/>
  <c r="H7" i="6120"/>
  <c r="H8" i="6120"/>
  <c r="H27" i="6120"/>
  <c r="H36" i="6120"/>
  <c r="C21" i="6120"/>
  <c r="C36" i="6120"/>
  <c r="C39" i="6120"/>
  <c r="C48" i="6120"/>
  <c r="H18" i="6120"/>
  <c r="H11" i="6120"/>
  <c r="C22" i="6120"/>
  <c r="C40" i="6120"/>
  <c r="H24" i="6120"/>
  <c r="H26" i="6120"/>
  <c r="H9" i="6120"/>
  <c r="H19" i="6120"/>
  <c r="H42" i="6120"/>
  <c r="H6" i="6120"/>
  <c r="H21" i="6120"/>
  <c r="C25" i="6120"/>
  <c r="H35" i="6120"/>
  <c r="C42" i="6120"/>
  <c r="H3" i="6120"/>
  <c r="H15" i="6120"/>
  <c r="H25" i="6120"/>
  <c r="H13" i="6120"/>
  <c r="H30" i="6120"/>
  <c r="H46" i="6120"/>
  <c r="H6" i="6122"/>
  <c r="H21" i="6122"/>
  <c r="C36" i="6122"/>
  <c r="H43" i="6122"/>
  <c r="H49" i="6122"/>
  <c r="H8" i="6122"/>
  <c r="C22" i="6122"/>
  <c r="C25" i="6122"/>
  <c r="H10" i="6122"/>
  <c r="H16" i="6122"/>
  <c r="H12" i="6122"/>
  <c r="H11" i="6122"/>
  <c r="H17" i="6122"/>
  <c r="H28" i="6124"/>
  <c r="H25" i="6124"/>
  <c r="H8" i="6124"/>
  <c r="C18" i="6124"/>
  <c r="H4" i="6124"/>
  <c r="H36" i="6124"/>
  <c r="H18" i="6124"/>
  <c r="H26" i="6124"/>
  <c r="C40" i="6124"/>
  <c r="H37" i="6124"/>
  <c r="C22" i="6124"/>
  <c r="H42" i="6124"/>
  <c r="H12" i="6124"/>
  <c r="H14" i="6124"/>
  <c r="H7" i="6124"/>
  <c r="H48" i="6124"/>
  <c r="C46" i="6124"/>
  <c r="H32" i="6124"/>
  <c r="H34" i="6124"/>
  <c r="C36" i="6124"/>
  <c r="C42" i="6124"/>
  <c r="C47" i="6124"/>
  <c r="H6" i="6124"/>
  <c r="H11" i="6124"/>
  <c r="H23" i="6124"/>
  <c r="C19" i="6124"/>
  <c r="C24" i="6124"/>
  <c r="H38" i="6124"/>
  <c r="H44" i="6124"/>
  <c r="H49" i="6124"/>
  <c r="H29" i="6124"/>
  <c r="C48" i="6124"/>
  <c r="H20" i="6124"/>
  <c r="C38" i="6124"/>
  <c r="H2" i="6124"/>
  <c r="H3" i="6124"/>
  <c r="C25" i="6124"/>
  <c r="H21" i="6124"/>
  <c r="H40" i="6124"/>
  <c r="H45" i="6124"/>
  <c r="H50" i="6124"/>
  <c r="H10" i="6124"/>
  <c r="H9" i="6124"/>
  <c r="H24" i="6124"/>
  <c r="H15" i="6124"/>
  <c r="H30" i="6124"/>
  <c r="H19" i="6124"/>
  <c r="H22" i="6124"/>
  <c r="C39" i="6124"/>
  <c r="C44" i="6124"/>
  <c r="H5" i="6124"/>
  <c r="H13" i="6124"/>
  <c r="C43" i="6124"/>
  <c r="C21" i="6124"/>
  <c r="B26" i="6124"/>
  <c r="H41" i="6124"/>
  <c r="H46" i="6124"/>
  <c r="H52" i="6124"/>
  <c r="H31" i="6124"/>
  <c r="H33" i="6124"/>
  <c r="H16" i="6124"/>
  <c r="C37" i="6124"/>
  <c r="C41" i="6124"/>
  <c r="C45" i="6124"/>
  <c r="H51" i="6124"/>
  <c r="H27" i="6124"/>
  <c r="C23" i="6124"/>
  <c r="B27" i="6124"/>
  <c r="H35" i="6124"/>
  <c r="H39" i="6124"/>
  <c r="H43" i="6124"/>
  <c r="H47" i="6124"/>
  <c r="H4" i="6118"/>
  <c r="C18" i="6118"/>
  <c r="H25" i="6122"/>
  <c r="H29" i="6122"/>
  <c r="H37" i="6122"/>
  <c r="C43" i="6122"/>
  <c r="H5" i="6122"/>
  <c r="H19" i="6122"/>
  <c r="C19" i="6122"/>
  <c r="C24" i="6122"/>
  <c r="C38" i="6122"/>
  <c r="C44" i="6122"/>
  <c r="H52" i="6122"/>
  <c r="H2" i="6122"/>
  <c r="H3" i="6122"/>
  <c r="H22" i="6122"/>
  <c r="H26" i="6122"/>
  <c r="H30" i="6122"/>
  <c r="H39" i="6122"/>
  <c r="H45" i="6122"/>
  <c r="H31" i="6122"/>
  <c r="C39" i="6122"/>
  <c r="C46" i="6122"/>
  <c r="H20" i="6122"/>
  <c r="H23" i="6122"/>
  <c r="H27" i="6122"/>
  <c r="H34" i="6122"/>
  <c r="C40" i="6122"/>
  <c r="H47" i="6122"/>
  <c r="H9" i="6122"/>
  <c r="H15" i="6122"/>
  <c r="H18" i="6122"/>
  <c r="C21" i="6122"/>
  <c r="B26" i="6122"/>
  <c r="H41" i="6122"/>
  <c r="C47" i="6122"/>
  <c r="H4" i="6122"/>
  <c r="H14" i="6122"/>
  <c r="H13" i="6122"/>
  <c r="H7" i="6122"/>
  <c r="H35" i="6122"/>
  <c r="C42" i="6122"/>
  <c r="C48" i="6122"/>
  <c r="H36" i="6122"/>
  <c r="H40" i="6122"/>
  <c r="H44" i="6122"/>
  <c r="H48" i="6122"/>
  <c r="H24" i="6122"/>
  <c r="H28" i="6122"/>
  <c r="H32" i="6122"/>
  <c r="C37" i="6122"/>
  <c r="C41" i="6122"/>
  <c r="C45" i="6122"/>
  <c r="H50" i="6122"/>
  <c r="C23" i="6122"/>
  <c r="B27" i="6122"/>
  <c r="H33" i="6122"/>
  <c r="H38" i="6122"/>
  <c r="H42" i="6122"/>
  <c r="H46" i="6122"/>
  <c r="B13" i="6118"/>
  <c r="C19" i="6118"/>
  <c r="H19" i="6118"/>
  <c r="H45" i="6118"/>
  <c r="H40" i="6118"/>
  <c r="H10" i="6118"/>
  <c r="H28" i="6118"/>
  <c r="C38" i="6118"/>
  <c r="H36" i="6118"/>
  <c r="H48" i="6118"/>
  <c r="H24" i="6118"/>
  <c r="H6" i="6118"/>
  <c r="H26" i="6118"/>
  <c r="H33" i="6118"/>
  <c r="H12" i="6118"/>
  <c r="C25" i="6118"/>
  <c r="H2" i="6118"/>
  <c r="H3" i="6118"/>
  <c r="H16" i="6118"/>
  <c r="H25" i="6118"/>
  <c r="H49" i="6118"/>
  <c r="C21" i="6118"/>
  <c r="C48" i="6118"/>
  <c r="H14" i="6118"/>
  <c r="H18" i="6118"/>
  <c r="H17" i="6118"/>
  <c r="H9" i="6118"/>
  <c r="B26" i="6118"/>
  <c r="H43" i="6118"/>
  <c r="H13" i="6118"/>
  <c r="H38" i="6118"/>
  <c r="C42" i="6118"/>
  <c r="H50" i="6118"/>
  <c r="H39" i="6118"/>
  <c r="C24" i="6118"/>
  <c r="C44" i="6118"/>
  <c r="H11" i="6118"/>
  <c r="H15" i="6118"/>
  <c r="C46" i="6118"/>
  <c r="H41" i="6118"/>
  <c r="H23" i="6118"/>
  <c r="H31" i="6118"/>
  <c r="H27" i="6118"/>
  <c r="H29" i="6118"/>
  <c r="B27" i="6118"/>
  <c r="H7" i="6118"/>
  <c r="H22" i="6118"/>
  <c r="H30" i="6118"/>
  <c r="C22" i="6118"/>
  <c r="H35" i="6118"/>
  <c r="C36" i="6118"/>
  <c r="H44" i="6118"/>
  <c r="H44" i="6120"/>
  <c r="H50" i="6120"/>
  <c r="H29" i="6120"/>
  <c r="H32" i="6120"/>
  <c r="H38" i="6120"/>
  <c r="C43" i="6120"/>
  <c r="H4" i="6120"/>
  <c r="H16" i="6120"/>
  <c r="C19" i="6120"/>
  <c r="C24" i="6120"/>
  <c r="C38" i="6120"/>
  <c r="C44" i="6120"/>
  <c r="H52" i="6120"/>
  <c r="H37" i="6120"/>
  <c r="H41" i="6120"/>
  <c r="H45" i="6120"/>
  <c r="H49" i="6120"/>
  <c r="H28" i="6120"/>
  <c r="H31" i="6120"/>
  <c r="H33" i="6120"/>
  <c r="C37" i="6120"/>
  <c r="C41" i="6120"/>
  <c r="C45" i="6120"/>
  <c r="H51" i="6120"/>
  <c r="C23" i="6120"/>
  <c r="B27" i="6120"/>
  <c r="H34" i="6120"/>
  <c r="H39" i="6120"/>
  <c r="H43" i="6120"/>
  <c r="H47" i="6120"/>
  <c r="H20" i="6118"/>
  <c r="H42" i="6118"/>
  <c r="H46" i="6118"/>
  <c r="H5" i="6118"/>
  <c r="C23" i="6118"/>
  <c r="H8" i="6118"/>
  <c r="H37" i="6118"/>
  <c r="C40" i="6118"/>
  <c r="H47" i="6118"/>
  <c r="H52" i="6118"/>
  <c r="C39" i="6118"/>
  <c r="C43" i="6118"/>
  <c r="C47" i="6118"/>
  <c r="H32" i="6118"/>
  <c r="H34" i="6118"/>
  <c r="H21" i="6118"/>
  <c r="C37" i="6118"/>
  <c r="C41" i="6118"/>
  <c r="C45" i="6118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<sst xmlns="http://schemas.openxmlformats.org/spreadsheetml/2006/main" count="2375" uniqueCount="211">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</sst>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5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全体!$L$2:$L$104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BE-4BF1-8580-09984FB4B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-10.1010101010101</c:v>
                </c:pt>
                <c:pt idx="1">
                  <c:v>0</c:v>
                </c:pt>
                <c:pt idx="2">
                  <c:v>10.1010101010101</c:v>
                </c:pt>
                <c:pt idx="3">
                  <c:v>-11.904761904761905</c:v>
                </c:pt>
                <c:pt idx="4">
                  <c:v>-69.444444444444443</c:v>
                </c:pt>
                <c:pt idx="5">
                  <c:v>98.039215686274517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42-4AB4-A2F5-04E2088B0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40</c:v>
                </c:pt>
                <c:pt idx="3">
                  <c:v>43</c:v>
                </c:pt>
                <c:pt idx="4">
                  <c:v>34</c:v>
                </c:pt>
                <c:pt idx="5">
                  <c:v>17</c:v>
                </c:pt>
                <c:pt idx="6">
                  <c:v>14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68-4B72-B0E0-6996C14F90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れんたろう!$L$2:$L$16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F-423E-8F23-8A7013164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1661.5384615384614</c:v>
                </c:pt>
                <c:pt idx="1">
                  <c:v>2385.7142857142858</c:v>
                </c:pt>
                <c:pt idx="2">
                  <c:v>-1335.7142857142858</c:v>
                </c:pt>
                <c:pt idx="3">
                  <c:v>-7246.1538461538457</c:v>
                </c:pt>
                <c:pt idx="4">
                  <c:v>-666.66666666666663</c:v>
                </c:pt>
                <c:pt idx="5">
                  <c:v>9514.2857142857138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EB-469D-A747-AE89DD7BA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10</c:v>
                </c:pt>
                <c:pt idx="4">
                  <c:v>6</c:v>
                </c:pt>
                <c:pt idx="5">
                  <c:v>1</c:v>
                </c:pt>
                <c:pt idx="6">
                  <c:v>4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F2-493D-AC97-B4B96A291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ともき!$L$2:$L$9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90-41C8-B460-29D3F9B4C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2316.6666666666665</c:v>
                </c:pt>
                <c:pt idx="1">
                  <c:v>142.85714285714286</c:v>
                </c:pt>
                <c:pt idx="2">
                  <c:v>-3385.7142857142858</c:v>
                </c:pt>
                <c:pt idx="3">
                  <c:v>2485.7142857142858</c:v>
                </c:pt>
                <c:pt idx="4">
                  <c:v>1000</c:v>
                </c:pt>
                <c:pt idx="5">
                  <c:v>-5900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2-4305-B55E-7AEB7CABA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3-4C42-BBF5-18F6AC999D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だいち!$L$2:$L$24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7-4FD8-8F6B-AB9DA4577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1309.090909090909</c:v>
                </c:pt>
                <c:pt idx="1">
                  <c:v>3927.2727272727275</c:v>
                </c:pt>
                <c:pt idx="2">
                  <c:v>5104.545454545455</c:v>
                </c:pt>
                <c:pt idx="3">
                  <c:v>4015.7894736842104</c:v>
                </c:pt>
                <c:pt idx="4">
                  <c:v>-2258.8235294117649</c:v>
                </c:pt>
                <c:pt idx="5">
                  <c:v>-2818.181818181818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2A-4ADF-9198-7FB2288FB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4</c:v>
                </c:pt>
                <c:pt idx="1">
                  <c:v>9</c:v>
                </c:pt>
                <c:pt idx="2">
                  <c:v>10</c:v>
                </c:pt>
                <c:pt idx="3">
                  <c:v>12</c:v>
                </c:pt>
                <c:pt idx="4">
                  <c:v>11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47-4928-A1D6-A8E5B65FD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りくと!$L$2:$L$13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F2-4472-99DD-CB6EA0F132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-3918.181818181818</c:v>
                </c:pt>
                <c:pt idx="1">
                  <c:v>-2790</c:v>
                </c:pt>
                <c:pt idx="2">
                  <c:v>-9530</c:v>
                </c:pt>
                <c:pt idx="3">
                  <c:v>2657.1428571428573</c:v>
                </c:pt>
                <c:pt idx="4">
                  <c:v>400</c:v>
                </c:pt>
                <c:pt idx="5">
                  <c:v>-2160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06-431E-A8E5-B0DCE4684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01-4714-B0E1-8A170252D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F2-4491-9742-69E67F81C2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1145.8333333333333</c:v>
                </c:pt>
                <c:pt idx="1">
                  <c:v>-1433.3333333333333</c:v>
                </c:pt>
                <c:pt idx="2">
                  <c:v>266.66666666666669</c:v>
                </c:pt>
                <c:pt idx="3">
                  <c:v>-395.45454545454544</c:v>
                </c:pt>
                <c:pt idx="4">
                  <c:v>-850</c:v>
                </c:pt>
                <c:pt idx="5">
                  <c:v>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4-4E16-BF07-6B6561FE8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14</c:v>
                </c:pt>
                <c:pt idx="3">
                  <c:v>10</c:v>
                </c:pt>
                <c:pt idx="4">
                  <c:v>4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16-4C4D-9D82-51339600D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53-47C0-840C-84782FB27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-3715.3846153846152</c:v>
                </c:pt>
                <c:pt idx="1">
                  <c:v>-1633.3333333333333</c:v>
                </c:pt>
                <c:pt idx="2">
                  <c:v>6016.666666666667</c:v>
                </c:pt>
                <c:pt idx="3">
                  <c:v>-888.88888888888891</c:v>
                </c:pt>
                <c:pt idx="4">
                  <c:v>4683.333333333333</c:v>
                </c:pt>
                <c:pt idx="5">
                  <c:v>633.33333333333337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42-4E79-8FF5-0E5C22F8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6</c:v>
                </c:pt>
                <c:pt idx="3">
                  <c:v>5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D6-4F00-97BE-381FF47C99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のり!$L$2:$L$7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3-4BC9-A809-F469290FF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-8580</c:v>
                </c:pt>
                <c:pt idx="3">
                  <c:v>-4133.333333333333</c:v>
                </c:pt>
                <c:pt idx="4">
                  <c:v>4000</c:v>
                </c:pt>
                <c:pt idx="5">
                  <c:v>-3550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5E-420E-9299-26F004C31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A-44DC-8401-52932AA8A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ただ!$L$2:$L$7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EC-4C2F-A70A-A1180E8D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-280</c:v>
                </c:pt>
                <c:pt idx="1">
                  <c:v>-7780</c:v>
                </c:pt>
                <c:pt idx="2">
                  <c:v>-1860</c:v>
                </c:pt>
                <c:pt idx="3">
                  <c:v>2500</c:v>
                </c:pt>
                <c:pt idx="4">
                  <c:v>2950</c:v>
                </c:pt>
                <c:pt idx="5">
                  <c:v>3633.3333333333335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C2-40E4-81CE-ADD872758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67-4176-BC91-4692CB547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たかの2!$A$3:$B$3</c:f>
              <c:numCache>
                <c:formatCode>\+0.0;\-0.0;\±0</c:formatCode>
                <c:ptCount val="2"/>
                <c:pt idx="0" formatCode="0\ &quot;回&quot;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たかの2!$A$4:$B$4</c:f>
              <c:numCache>
                <c:formatCode>\+0.0;\-0.0;\±0</c:formatCode>
                <c:ptCount val="2"/>
                <c:pt idx="0" formatCode="0\ &quot;回&quot;">
                  <c:v>1</c:v>
                </c:pt>
                <c:pt idx="1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3-4D6C-B5E9-ED87F887247F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たかの2!$A$5:$B$5</c:f>
              <c:numCache>
                <c:formatCode>\+0.0;\-0.0;\±0</c:formatCode>
                <c:ptCount val="2"/>
                <c:pt idx="0" formatCode="0\ &quot;回&quot;">
                  <c:v>2</c:v>
                </c:pt>
                <c:pt idx="1">
                  <c:v>137.5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4C-49ED-9E3F-6453044A4D2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たかの2!$A$6:$B$6</c:f>
              <c:numCache>
                <c:formatCode>\+0.0;\-0.0;\±0</c:formatCode>
                <c:ptCount val="2"/>
                <c:pt idx="0" formatCode="0\ &quot;回&quot;">
                  <c:v>3</c:v>
                </c:pt>
                <c:pt idx="1">
                  <c:v>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89-4F65-B760-C1296C22BF1F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たかの2!$A$7:$B$7</c:f>
              <c:numCache>
                <c:formatCode>\+0.0;\-0.0;\±0</c:formatCode>
                <c:ptCount val="2"/>
                <c:pt idx="0" formatCode="0\ &quot;回&quot;">
                  <c:v>4</c:v>
                </c:pt>
                <c:pt idx="1">
                  <c:v>112.4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EE2-4A69-A5CE-DD69FF6FFA14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たかの2!$A$8:$B$8</c:f>
              <c:numCache>
                <c:formatCode>\+0.0;\-0.0;\±0</c:formatCode>
                <c:ptCount val="2"/>
                <c:pt idx="0" formatCode="0\ &quot;回&quot;">
                  <c:v>5</c:v>
                </c:pt>
                <c:pt idx="1">
                  <c:v>140.30000000000001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EFA-4CA9-9B12-18BD059DB3FF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たかの2!$A$9:$B$9</c:f>
              <c:numCache>
                <c:formatCode>\+0.0;\-0.0;\±0</c:formatCode>
                <c:ptCount val="2"/>
                <c:pt idx="0" formatCode="0\ &quot;回&quot;">
                  <c:v>6</c:v>
                </c:pt>
                <c:pt idx="1">
                  <c:v>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87-4853-9CC2-EBAF2B7199B1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たかの2!$A$10:$B$10</c:f>
              <c:numCache>
                <c:formatCode>\+0.0;\-0.0;\±0</c:formatCode>
                <c:ptCount val="2"/>
                <c:pt idx="0" formatCode="0\ &quot;回&quot;">
                  <c:v>7</c:v>
                </c:pt>
                <c:pt idx="1">
                  <c:v>118.4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987-4853-9CC2-EBAF2B7199B1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たかの2!$A$11:$B$11</c:f>
              <c:numCache>
                <c:formatCode>\+0.0;\-0.0;\±0</c:formatCode>
                <c:ptCount val="2"/>
                <c:pt idx="0" formatCode="0\ &quot;回&quot;">
                  <c:v>8</c:v>
                </c:pt>
                <c:pt idx="1">
                  <c:v>96.800000000000011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987-4853-9CC2-EBAF2B7199B1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たかの2!$A$12:$B$12</c:f>
              <c:numCache>
                <c:formatCode>\+0.0;\-0.0;\±0</c:formatCode>
                <c:ptCount val="2"/>
                <c:pt idx="0" formatCode="0\ &quot;回&quot;">
                  <c:v>9</c:v>
                </c:pt>
                <c:pt idx="1">
                  <c:v>51.600000000000009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987-4853-9CC2-EBAF2B7199B1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たかの2!$A$13:$B$13</c:f>
              <c:numCache>
                <c:formatCode>\+0.0;\-0.0;\±0</c:formatCode>
                <c:ptCount val="2"/>
                <c:pt idx="0" formatCode="0\ &quot;回&quot;">
                  <c:v>10</c:v>
                </c:pt>
                <c:pt idx="1">
                  <c:v>28.300000000000008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987-4853-9CC2-EBAF2B7199B1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たかの2!$A$14:$B$14</c:f>
              <c:numCache>
                <c:formatCode>\+0.0;\-0.0;\±0</c:formatCode>
                <c:ptCount val="2"/>
                <c:pt idx="0" formatCode="0\ &quot;回&quot;">
                  <c:v>11</c:v>
                </c:pt>
                <c:pt idx="1">
                  <c:v>44.400000000000006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3987-4853-9CC2-EBAF2B7199B1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たかの2!$A$15:$B$15</c:f>
              <c:numCache>
                <c:formatCode>\+0.0;\-0.0;\±0</c:formatCode>
                <c:ptCount val="2"/>
                <c:pt idx="0" formatCode="0\ &quot;回&quot;">
                  <c:v>12</c:v>
                </c:pt>
                <c:pt idx="1">
                  <c:v>31.800000000000004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BA-4105-B993-615F709556C1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たかの2!$A$1:$B$2</c:f>
              <c:multiLvlStrCache>
                <c:ptCount val="2"/>
                <c:lvl>
                  <c:pt idx="0">
                    <c:v>対戦数</c:v>
                  </c:pt>
                  <c:pt idx="1">
                    <c:v>通算スコア</c:v>
                  </c:pt>
                </c:lvl>
                <c:lvl>
                  <c:pt idx="0">
                    <c:v>たかの</c:v>
                  </c:pt>
                  <c:pt idx="1">
                    <c:v>たかの</c:v>
                  </c:pt>
                </c:lvl>
              </c:multiLvlStrCache>
            </c:multiLvlStrRef>
          </c:xVal>
          <c:yVal>
            <c:numRef>
              <c:f>たかの2!$A$16:$B$16</c:f>
              <c:numCache>
                <c:formatCode>\+0.0;\-0.0;\±0</c:formatCode>
                <c:ptCount val="2"/>
                <c:pt idx="0" formatCode="0\ &quot;回&quot;">
                  <c:v>13</c:v>
                </c:pt>
                <c:pt idx="1">
                  <c:v>83.1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BA-4105-B993-615F709556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たかの2!$C$1:$C$2</c:f>
              <c:strCache>
                <c:ptCount val="2"/>
                <c:pt idx="0">
                  <c:v>たかの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たかの2!$C$3:$C$16</c:f>
              <c:numCache>
                <c:formatCode>\+0.0;\-0.0;\±0</c:formatCode>
                <c:ptCount val="14"/>
                <c:pt idx="1">
                  <c:v>56</c:v>
                </c:pt>
                <c:pt idx="2">
                  <c:v>68.75</c:v>
                </c:pt>
                <c:pt idx="3">
                  <c:v>53</c:v>
                </c:pt>
                <c:pt idx="4">
                  <c:v>28.1</c:v>
                </c:pt>
                <c:pt idx="5">
                  <c:v>28.060000000000002</c:v>
                </c:pt>
                <c:pt idx="6">
                  <c:v>27.883333333333336</c:v>
                </c:pt>
                <c:pt idx="7">
                  <c:v>16.914285714285715</c:v>
                </c:pt>
                <c:pt idx="8">
                  <c:v>12.100000000000001</c:v>
                </c:pt>
                <c:pt idx="9">
                  <c:v>5.7333333333333343</c:v>
                </c:pt>
                <c:pt idx="10">
                  <c:v>2.830000000000001</c:v>
                </c:pt>
                <c:pt idx="11">
                  <c:v>4.036363636363637</c:v>
                </c:pt>
                <c:pt idx="12">
                  <c:v>2.6500000000000004</c:v>
                </c:pt>
                <c:pt idx="13">
                  <c:v>6.3923076923076918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たかの2!$D$1:$D$2</c:f>
              <c:strCache>
                <c:ptCount val="2"/>
                <c:pt idx="0">
                  <c:v>たかの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たかの2!$D$3:$D$16</c:f>
              <c:numCache>
                <c:formatCode>0.00\ "位"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1.5</c:v>
                </c:pt>
                <c:pt idx="5">
                  <c:v>1.4</c:v>
                </c:pt>
                <c:pt idx="6">
                  <c:v>1.3333333333333333</c:v>
                </c:pt>
                <c:pt idx="7">
                  <c:v>1.5714285714285714</c:v>
                </c:pt>
                <c:pt idx="8">
                  <c:v>1.75</c:v>
                </c:pt>
                <c:pt idx="9">
                  <c:v>1.8888888888888888</c:v>
                </c:pt>
                <c:pt idx="10">
                  <c:v>2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たかの2!$E$1:$E$2</c:f>
              <c:strCache>
                <c:ptCount val="2"/>
                <c:pt idx="0">
                  <c:v>たかの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たかの2!$E$3:$E$16</c:f>
              <c:numCache>
                <c:formatCode>0.0%</c:formatCode>
                <c:ptCount val="14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0.75</c:v>
                </c:pt>
                <c:pt idx="5">
                  <c:v>0.8</c:v>
                </c:pt>
                <c:pt idx="6">
                  <c:v>0.83333333333333337</c:v>
                </c:pt>
                <c:pt idx="7">
                  <c:v>0.7142857142857143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たかの2!$F$1:$F$2</c:f>
              <c:strCache>
                <c:ptCount val="2"/>
                <c:pt idx="0">
                  <c:v>たかの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たかの2!$F$3:$F$16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たかの2!$G$1:$G$2</c:f>
              <c:strCache>
                <c:ptCount val="2"/>
                <c:pt idx="0">
                  <c:v>たかの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たかの2!$G$3:$G$16</c:f>
              <c:numCache>
                <c:formatCode>0.0%</c:formatCode>
                <c:ptCount val="14"/>
                <c:pt idx="1">
                  <c:v>0.5</c:v>
                </c:pt>
                <c:pt idx="2">
                  <c:v>0.75</c:v>
                </c:pt>
                <c:pt idx="3">
                  <c:v>0.52173913043478259</c:v>
                </c:pt>
                <c:pt idx="4">
                  <c:v>0.4</c:v>
                </c:pt>
                <c:pt idx="5">
                  <c:v>0.4</c:v>
                </c:pt>
                <c:pt idx="6">
                  <c:v>0.39130434782608697</c:v>
                </c:pt>
                <c:pt idx="7">
                  <c:v>0.36538461538461536</c:v>
                </c:pt>
                <c:pt idx="8">
                  <c:v>0.35</c:v>
                </c:pt>
                <c:pt idx="9">
                  <c:v>0.328125</c:v>
                </c:pt>
                <c:pt idx="10">
                  <c:v>0.30555555555555558</c:v>
                </c:pt>
                <c:pt idx="11">
                  <c:v>0.32051282051282054</c:v>
                </c:pt>
                <c:pt idx="12">
                  <c:v>0.32926829268292684</c:v>
                </c:pt>
                <c:pt idx="13">
                  <c:v>0.36046511627906974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877551020408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たかの2!$H$1:$H$2</c:f>
              <c:strCache>
                <c:ptCount val="2"/>
                <c:pt idx="0">
                  <c:v>たかの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たかの2!$H$3:$H$16</c:f>
              <c:numCache>
                <c:formatCode>0.0%</c:formatCode>
                <c:ptCount val="14"/>
                <c:pt idx="1">
                  <c:v>0.25</c:v>
                </c:pt>
                <c:pt idx="2">
                  <c:v>8.3333333333333329E-2</c:v>
                </c:pt>
                <c:pt idx="3">
                  <c:v>8.6956521739130432E-2</c:v>
                </c:pt>
                <c:pt idx="4">
                  <c:v>0.13333333333333333</c:v>
                </c:pt>
                <c:pt idx="5">
                  <c:v>0.125</c:v>
                </c:pt>
                <c:pt idx="6">
                  <c:v>0.10869565217391304</c:v>
                </c:pt>
                <c:pt idx="7">
                  <c:v>0.13461538461538461</c:v>
                </c:pt>
                <c:pt idx="8">
                  <c:v>0.13333333333333333</c:v>
                </c:pt>
                <c:pt idx="9">
                  <c:v>0.171875</c:v>
                </c:pt>
                <c:pt idx="10">
                  <c:v>0.15277777777777779</c:v>
                </c:pt>
                <c:pt idx="11">
                  <c:v>0.14102564102564102</c:v>
                </c:pt>
                <c:pt idx="12">
                  <c:v>0.13414634146341464</c:v>
                </c:pt>
                <c:pt idx="13">
                  <c:v>0.12790697674418605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462585034013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たかの2!$I$1:$I$2</c:f>
              <c:strCache>
                <c:ptCount val="2"/>
                <c:pt idx="0">
                  <c:v>たかの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たかの2!$I$3:$I$16</c:f>
              <c:numCache>
                <c:formatCode>0</c:formatCode>
                <c:ptCount val="14"/>
                <c:pt idx="1">
                  <c:v>28000</c:v>
                </c:pt>
                <c:pt idx="2">
                  <c:v>12555.555555555555</c:v>
                </c:pt>
                <c:pt idx="3">
                  <c:v>11216.666666666666</c:v>
                </c:pt>
                <c:pt idx="4">
                  <c:v>11216.666666666666</c:v>
                </c:pt>
                <c:pt idx="5">
                  <c:v>10318.75</c:v>
                </c:pt>
                <c:pt idx="6">
                  <c:v>10283.333333333334</c:v>
                </c:pt>
                <c:pt idx="7">
                  <c:v>9878.9473684210534</c:v>
                </c:pt>
                <c:pt idx="8">
                  <c:v>9185.7142857142862</c:v>
                </c:pt>
                <c:pt idx="9">
                  <c:v>9185.7142857142862</c:v>
                </c:pt>
                <c:pt idx="10">
                  <c:v>8836.363636363636</c:v>
                </c:pt>
                <c:pt idx="11">
                  <c:v>8184</c:v>
                </c:pt>
                <c:pt idx="12">
                  <c:v>8148.1481481481478</c:v>
                </c:pt>
                <c:pt idx="13">
                  <c:v>8300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915.74074074074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たかの2!$J$1:$J$2</c:f>
              <c:strCache>
                <c:ptCount val="2"/>
                <c:pt idx="0">
                  <c:v>たかの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たかの2!$J$3:$J$16</c:f>
              <c:numCache>
                <c:formatCode>0</c:formatCode>
                <c:ptCount val="14"/>
                <c:pt idx="1">
                  <c:v>-12000</c:v>
                </c:pt>
                <c:pt idx="2">
                  <c:v>-12000</c:v>
                </c:pt>
                <c:pt idx="3">
                  <c:v>-6800</c:v>
                </c:pt>
                <c:pt idx="4">
                  <c:v>-4225</c:v>
                </c:pt>
                <c:pt idx="5">
                  <c:v>-4980</c:v>
                </c:pt>
                <c:pt idx="6">
                  <c:v>-4980</c:v>
                </c:pt>
                <c:pt idx="7">
                  <c:v>-9271.4285714285706</c:v>
                </c:pt>
                <c:pt idx="8">
                  <c:v>-8237.5</c:v>
                </c:pt>
                <c:pt idx="9">
                  <c:v>-8509.0909090909099</c:v>
                </c:pt>
                <c:pt idx="10">
                  <c:v>-8509.0909090909099</c:v>
                </c:pt>
                <c:pt idx="11">
                  <c:v>-8509.0909090909099</c:v>
                </c:pt>
                <c:pt idx="12">
                  <c:v>-8509.0909090909099</c:v>
                </c:pt>
                <c:pt idx="13">
                  <c:v>-8509.0909090909099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905.78512396694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たかの2!$K$1:$K$2</c:f>
              <c:strCache>
                <c:ptCount val="2"/>
                <c:pt idx="0">
                  <c:v>たかの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たかの2!$K$3:$K$16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7843137254901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たかの2!$L$1:$L$2</c:f>
              <c:strCache>
                <c:ptCount val="2"/>
                <c:pt idx="0">
                  <c:v>たかの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たかの2!$L$3:$L$16</c:f>
              <c:numCache>
                <c:formatCode>0.0%</c:formatCode>
                <c:ptCount val="14"/>
                <c:pt idx="1">
                  <c:v>0</c:v>
                </c:pt>
                <c:pt idx="2">
                  <c:v>0.33333333333333331</c:v>
                </c:pt>
                <c:pt idx="3">
                  <c:v>0.2608695652173913</c:v>
                </c:pt>
                <c:pt idx="4">
                  <c:v>0.23333333333333334</c:v>
                </c:pt>
                <c:pt idx="5">
                  <c:v>0.22500000000000001</c:v>
                </c:pt>
                <c:pt idx="6">
                  <c:v>0.2391304347826087</c:v>
                </c:pt>
                <c:pt idx="7">
                  <c:v>0.23076923076923078</c:v>
                </c:pt>
                <c:pt idx="8">
                  <c:v>0.21666666666666667</c:v>
                </c:pt>
                <c:pt idx="9">
                  <c:v>0.203125</c:v>
                </c:pt>
                <c:pt idx="10">
                  <c:v>0.18055555555555555</c:v>
                </c:pt>
                <c:pt idx="11">
                  <c:v>0.17948717948717949</c:v>
                </c:pt>
                <c:pt idx="12">
                  <c:v>0.17073170731707318</c:v>
                </c:pt>
                <c:pt idx="13">
                  <c:v>0.18604651162790697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7142857142857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たかの2!$M$1:$M$2</c:f>
              <c:strCache>
                <c:ptCount val="2"/>
                <c:pt idx="0">
                  <c:v>たかの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たかの2!$M$3:$M$16</c:f>
              <c:numCache>
                <c:formatCode>0.0%</c:formatCode>
                <c:ptCount val="14"/>
                <c:pt idx="1">
                  <c:v>0.5</c:v>
                </c:pt>
                <c:pt idx="2">
                  <c:v>0.25</c:v>
                </c:pt>
                <c:pt idx="3">
                  <c:v>0.2608695652173913</c:v>
                </c:pt>
                <c:pt idx="4">
                  <c:v>0.33333333333333331</c:v>
                </c:pt>
                <c:pt idx="5">
                  <c:v>0.375</c:v>
                </c:pt>
                <c:pt idx="6">
                  <c:v>0.36956521739130432</c:v>
                </c:pt>
                <c:pt idx="7">
                  <c:v>0.34615384615384615</c:v>
                </c:pt>
                <c:pt idx="8">
                  <c:v>0.4</c:v>
                </c:pt>
                <c:pt idx="9">
                  <c:v>0.421875</c:v>
                </c:pt>
                <c:pt idx="10">
                  <c:v>0.3888888888888889</c:v>
                </c:pt>
                <c:pt idx="11">
                  <c:v>0.37179487179487181</c:v>
                </c:pt>
                <c:pt idx="12">
                  <c:v>0.37804878048780488</c:v>
                </c:pt>
                <c:pt idx="13">
                  <c:v>0.38372093023255816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20408163265306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たかの2!$N$1:$N$2</c:f>
              <c:strCache>
                <c:ptCount val="2"/>
                <c:pt idx="0">
                  <c:v>たかの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たかの2!$N$3:$N$16</c:f>
              <c:numCache>
                <c:formatCode>0.0%</c:formatCode>
                <c:ptCount val="14"/>
                <c:pt idx="1">
                  <c:v>0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0.55555555555555558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0.53846153846153844</c:v>
                </c:pt>
                <c:pt idx="9">
                  <c:v>0.53846153846153844</c:v>
                </c:pt>
                <c:pt idx="10">
                  <c:v>0.53846153846153844</c:v>
                </c:pt>
                <c:pt idx="11">
                  <c:v>0.5714285714285714</c:v>
                </c:pt>
                <c:pt idx="12">
                  <c:v>0.5714285714285714</c:v>
                </c:pt>
                <c:pt idx="13">
                  <c:v>0.625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34391534391534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たかの2!$O$1:$O$2</c:f>
              <c:strCache>
                <c:ptCount val="2"/>
                <c:pt idx="0">
                  <c:v>たかの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たかの2!$O$3:$O$16</c:f>
              <c:numCache>
                <c:formatCode>0.0%</c:formatCode>
                <c:ptCount val="14"/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0.3</c:v>
                </c:pt>
                <c:pt idx="5">
                  <c:v>0.4</c:v>
                </c:pt>
                <c:pt idx="6">
                  <c:v>0.35294117647058826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0.29629629629629628</c:v>
                </c:pt>
                <c:pt idx="10">
                  <c:v>0.32142857142857145</c:v>
                </c:pt>
                <c:pt idx="11">
                  <c:v>0.34482758620689657</c:v>
                </c:pt>
                <c:pt idx="12">
                  <c:v>0.38709677419354838</c:v>
                </c:pt>
                <c:pt idx="13">
                  <c:v>0.42424242424242425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88888888888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たかの2!$P$1:$P$2</c:f>
              <c:strCache>
                <c:ptCount val="2"/>
                <c:pt idx="0">
                  <c:v>たかの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たかの2!$P$3:$P$16</c:f>
              <c:numCache>
                <c:formatCode>0.0%</c:formatCode>
                <c:ptCount val="14"/>
                <c:pt idx="1">
                  <c:v>1</c:v>
                </c:pt>
                <c:pt idx="2">
                  <c:v>0.55555555555555558</c:v>
                </c:pt>
                <c:pt idx="3">
                  <c:v>0.5</c:v>
                </c:pt>
                <c:pt idx="4">
                  <c:v>0.5</c:v>
                </c:pt>
                <c:pt idx="5">
                  <c:v>0.4375</c:v>
                </c:pt>
                <c:pt idx="6">
                  <c:v>0.5</c:v>
                </c:pt>
                <c:pt idx="7">
                  <c:v>0.47368421052631576</c:v>
                </c:pt>
                <c:pt idx="8">
                  <c:v>0.42857142857142855</c:v>
                </c:pt>
                <c:pt idx="9">
                  <c:v>0.42857142857142855</c:v>
                </c:pt>
                <c:pt idx="10">
                  <c:v>0.40909090909090912</c:v>
                </c:pt>
                <c:pt idx="11">
                  <c:v>0.48</c:v>
                </c:pt>
                <c:pt idx="12">
                  <c:v>0.51851851851851849</c:v>
                </c:pt>
                <c:pt idx="13">
                  <c:v>0.4838709677419355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185185185185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7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43930.798726851855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102</v>
      </c>
    </row>
    <row r="2" spans="1:2" x14ac:dyDescent="0.45">
      <c r="A2" t="s">
        <v>164</v>
      </c>
      <c r="B2">
        <v>14</v>
      </c>
    </row>
    <row r="3" spans="1:2" x14ac:dyDescent="0.45">
      <c r="A3" t="s">
        <v>189</v>
      </c>
      <c r="B3">
        <v>7</v>
      </c>
    </row>
    <row r="4" spans="1:2" x14ac:dyDescent="0.45">
      <c r="A4" t="s">
        <v>126</v>
      </c>
      <c r="B4">
        <v>22</v>
      </c>
    </row>
    <row r="5" spans="1:2" x14ac:dyDescent="0.45">
      <c r="A5" t="s">
        <v>194</v>
      </c>
      <c r="B5">
        <v>11</v>
      </c>
    </row>
    <row r="6" spans="1:2" x14ac:dyDescent="0.45">
      <c r="A6" t="s">
        <v>192</v>
      </c>
      <c r="B6">
        <v>25</v>
      </c>
    </row>
    <row r="7" spans="1:2" x14ac:dyDescent="0.45">
      <c r="A7" t="s">
        <v>193</v>
      </c>
      <c r="B7">
        <v>13</v>
      </c>
    </row>
    <row r="8" spans="1:2" x14ac:dyDescent="0.45">
      <c r="A8" t="s">
        <v>196</v>
      </c>
      <c r="B8">
        <v>5</v>
      </c>
    </row>
    <row r="9" spans="1:2" x14ac:dyDescent="0.45">
      <c r="A9" t="s">
        <v>205</v>
      </c>
      <c r="B9">
        <v>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/>
      <c r="C1" s="138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0</v>
      </c>
      <c r="C2" s="140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41">
        <v>0</v>
      </c>
      <c r="C3" s="142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45">
        <f>IF(B$2=0,0,(B$7*1+B$8*2+B$9*3)/B$2)</f>
        <v>0</v>
      </c>
      <c r="C6" s="146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33">
        <v>0</v>
      </c>
      <c r="C32" s="134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35">
        <v>-1000000</v>
      </c>
      <c r="C33" s="136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1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51" t="s">
        <v>9</v>
      </c>
      <c r="C1" s="152"/>
      <c r="D1" s="147" t="s">
        <v>6</v>
      </c>
      <c r="E1" s="148"/>
      <c r="F1" s="147" t="s">
        <v>7</v>
      </c>
      <c r="G1" s="148"/>
      <c r="H1" s="151" t="s">
        <v>188</v>
      </c>
      <c r="I1" s="152"/>
      <c r="J1" s="147" t="s">
        <v>15</v>
      </c>
      <c r="K1" s="148"/>
      <c r="L1" s="147" t="s">
        <v>14</v>
      </c>
      <c r="M1" s="148"/>
      <c r="N1" s="147" t="s">
        <v>150</v>
      </c>
      <c r="O1" s="148"/>
      <c r="P1" s="147" t="s">
        <v>143</v>
      </c>
      <c r="Q1" s="148"/>
      <c r="R1" s="147" t="s">
        <v>144</v>
      </c>
      <c r="S1" s="148"/>
      <c r="T1" s="147" t="s">
        <v>5</v>
      </c>
      <c r="U1" s="148"/>
      <c r="V1" s="147" t="s">
        <v>16</v>
      </c>
      <c r="W1" s="148"/>
      <c r="X1" s="147" t="s">
        <v>17</v>
      </c>
      <c r="Y1" s="148"/>
      <c r="Z1" s="147" t="s">
        <v>122</v>
      </c>
      <c r="AA1" s="148"/>
      <c r="AB1" s="147" t="s">
        <v>119</v>
      </c>
      <c r="AC1" s="148"/>
      <c r="AD1" s="147" t="s">
        <v>125</v>
      </c>
      <c r="AE1" s="148"/>
      <c r="AF1" s="147" t="s">
        <v>145</v>
      </c>
      <c r="AG1" s="148"/>
      <c r="AH1" s="147" t="s">
        <v>138</v>
      </c>
      <c r="AI1" s="148"/>
      <c r="AJ1" s="147" t="s">
        <v>181</v>
      </c>
      <c r="AK1" s="148"/>
    </row>
    <row r="2" spans="1:37" x14ac:dyDescent="0.45">
      <c r="A2" s="38" t="s">
        <v>149</v>
      </c>
      <c r="B2" s="149">
        <v>0.52878600573108714</v>
      </c>
      <c r="C2" s="150"/>
      <c r="D2" s="153"/>
      <c r="E2" s="154"/>
      <c r="F2" s="153"/>
      <c r="G2" s="154"/>
      <c r="H2" s="149">
        <v>0.97376528818355557</v>
      </c>
      <c r="I2" s="150"/>
      <c r="J2" s="149">
        <v>0.88583840863925345</v>
      </c>
      <c r="K2" s="150"/>
      <c r="L2" s="149">
        <v>0.79849340299400573</v>
      </c>
      <c r="M2" s="150"/>
      <c r="N2" s="149">
        <v>0.85489031299998386</v>
      </c>
      <c r="O2" s="150"/>
      <c r="P2" s="149">
        <v>0.9054265537498819</v>
      </c>
      <c r="Q2" s="150"/>
      <c r="R2" s="149">
        <v>0.32360745559152432</v>
      </c>
      <c r="S2" s="150"/>
      <c r="T2" s="149">
        <v>0.6727483145570966</v>
      </c>
      <c r="U2" s="150"/>
      <c r="V2" s="149">
        <v>-2.88474863881714E-2</v>
      </c>
      <c r="W2" s="150"/>
      <c r="X2" s="149">
        <v>0.79518397118643913</v>
      </c>
      <c r="Y2" s="150"/>
      <c r="Z2" s="149">
        <v>-0.64699271868236841</v>
      </c>
      <c r="AA2" s="150"/>
      <c r="AB2" s="149">
        <v>0.40093008824501747</v>
      </c>
      <c r="AC2" s="150"/>
      <c r="AD2" s="149">
        <v>0.83673595890356034</v>
      </c>
      <c r="AE2" s="150"/>
      <c r="AF2" s="149">
        <v>0.974960680537305</v>
      </c>
      <c r="AG2" s="150"/>
      <c r="AH2" s="149">
        <v>0.63418904608851734</v>
      </c>
      <c r="AI2" s="150"/>
      <c r="AJ2" s="149">
        <v>0.84822469555584057</v>
      </c>
      <c r="AK2" s="150"/>
    </row>
    <row r="3" spans="1:37" x14ac:dyDescent="0.45">
      <c r="A3" s="40">
        <v>1</v>
      </c>
      <c r="B3" s="43" t="s">
        <v>139</v>
      </c>
      <c r="C3" s="117">
        <v>34</v>
      </c>
      <c r="D3" s="41" t="s">
        <v>126</v>
      </c>
      <c r="E3" s="42">
        <v>344.1</v>
      </c>
      <c r="F3" s="43" t="s">
        <v>126</v>
      </c>
      <c r="G3" s="62">
        <v>15.640909090909092</v>
      </c>
      <c r="H3" s="43" t="s">
        <v>205</v>
      </c>
      <c r="I3" s="62">
        <v>10.975000000000001</v>
      </c>
      <c r="J3" s="43" t="s">
        <v>126</v>
      </c>
      <c r="K3" s="44">
        <v>1.7272727272727273</v>
      </c>
      <c r="L3" s="43" t="s">
        <v>193</v>
      </c>
      <c r="M3" s="45">
        <v>0.53846153846153844</v>
      </c>
      <c r="N3" s="43" t="s">
        <v>126</v>
      </c>
      <c r="O3" s="45">
        <v>0.18181818181818182</v>
      </c>
      <c r="P3" s="43" t="s">
        <v>126</v>
      </c>
      <c r="Q3" s="46">
        <v>0.36969696969696969</v>
      </c>
      <c r="R3" s="43" t="s">
        <v>196</v>
      </c>
      <c r="S3" s="46">
        <v>0.11764705882352941</v>
      </c>
      <c r="T3" s="43" t="s">
        <v>164</v>
      </c>
      <c r="U3" s="47">
        <v>11479.310344827587</v>
      </c>
      <c r="V3" s="43" t="s">
        <v>196</v>
      </c>
      <c r="W3" s="47">
        <v>-4400</v>
      </c>
      <c r="X3" s="43" t="s">
        <v>126</v>
      </c>
      <c r="Y3" s="45">
        <v>0</v>
      </c>
      <c r="Z3" s="43" t="s">
        <v>194</v>
      </c>
      <c r="AA3" s="46">
        <v>0.33333333333333331</v>
      </c>
      <c r="AB3" s="43" t="s">
        <v>193</v>
      </c>
      <c r="AC3" s="46">
        <v>0.38372093023255816</v>
      </c>
      <c r="AD3" s="43" t="s">
        <v>193</v>
      </c>
      <c r="AE3" s="46">
        <v>0.625</v>
      </c>
      <c r="AF3" s="43" t="s">
        <v>189</v>
      </c>
      <c r="AG3" s="46">
        <v>0.6</v>
      </c>
      <c r="AH3" s="43" t="s">
        <v>189</v>
      </c>
      <c r="AI3" s="46">
        <v>0.6428571428571429</v>
      </c>
      <c r="AJ3" s="43" t="s">
        <v>193</v>
      </c>
      <c r="AK3" s="57">
        <v>106500</v>
      </c>
    </row>
    <row r="4" spans="1:37" x14ac:dyDescent="0.45">
      <c r="A4" s="48">
        <v>2</v>
      </c>
      <c r="B4" s="51" t="s">
        <v>192</v>
      </c>
      <c r="C4" s="118">
        <v>25</v>
      </c>
      <c r="D4" s="49" t="s">
        <v>193</v>
      </c>
      <c r="E4" s="50">
        <v>83.1</v>
      </c>
      <c r="F4" s="51" t="s">
        <v>193</v>
      </c>
      <c r="G4" s="63">
        <v>6.3923076923076918</v>
      </c>
      <c r="H4" s="51" t="s">
        <v>126</v>
      </c>
      <c r="I4" s="63">
        <v>4.3124999999999973</v>
      </c>
      <c r="J4" s="51" t="s">
        <v>193</v>
      </c>
      <c r="K4" s="52">
        <v>1.8461538461538463</v>
      </c>
      <c r="L4" s="51" t="s">
        <v>126</v>
      </c>
      <c r="M4" s="53">
        <v>0.45454545454545453</v>
      </c>
      <c r="N4" s="51" t="s">
        <v>196</v>
      </c>
      <c r="O4" s="53">
        <v>0.2</v>
      </c>
      <c r="P4" s="51" t="s">
        <v>193</v>
      </c>
      <c r="Q4" s="54">
        <v>0.36046511627906974</v>
      </c>
      <c r="R4" s="51" t="s">
        <v>126</v>
      </c>
      <c r="S4" s="54">
        <v>0.12727272727272726</v>
      </c>
      <c r="T4" s="51" t="s">
        <v>189</v>
      </c>
      <c r="U4" s="55">
        <v>9985.7142857142862</v>
      </c>
      <c r="V4" s="51" t="s">
        <v>189</v>
      </c>
      <c r="W4" s="55">
        <v>-6628.5714285714284</v>
      </c>
      <c r="X4" s="51" t="s">
        <v>189</v>
      </c>
      <c r="Y4" s="53">
        <v>0</v>
      </c>
      <c r="Z4" s="51" t="s">
        <v>164</v>
      </c>
      <c r="AA4" s="54">
        <v>0.30630630630630629</v>
      </c>
      <c r="AB4" s="51" t="s">
        <v>205</v>
      </c>
      <c r="AC4" s="54">
        <v>0.34210526315789475</v>
      </c>
      <c r="AD4" s="51" t="s">
        <v>126</v>
      </c>
      <c r="AE4" s="54">
        <v>0.6</v>
      </c>
      <c r="AF4" s="51" t="s">
        <v>126</v>
      </c>
      <c r="AG4" s="54">
        <v>0.55882352941176472</v>
      </c>
      <c r="AH4" s="51" t="s">
        <v>193</v>
      </c>
      <c r="AI4" s="54">
        <v>0.4838709677419355</v>
      </c>
      <c r="AJ4" s="51" t="s">
        <v>139</v>
      </c>
      <c r="AK4" s="58">
        <v>106500</v>
      </c>
    </row>
    <row r="5" spans="1:37" x14ac:dyDescent="0.45">
      <c r="A5" s="48">
        <v>3</v>
      </c>
      <c r="B5" s="51" t="s">
        <v>126</v>
      </c>
      <c r="C5" s="118">
        <v>22</v>
      </c>
      <c r="D5" s="49" t="s">
        <v>164</v>
      </c>
      <c r="E5" s="50">
        <v>15.100000000000001</v>
      </c>
      <c r="F5" s="51" t="s">
        <v>164</v>
      </c>
      <c r="G5" s="63">
        <v>1.0785714285714287</v>
      </c>
      <c r="H5" s="51" t="s">
        <v>139</v>
      </c>
      <c r="I5" s="63">
        <v>0</v>
      </c>
      <c r="J5" s="51" t="s">
        <v>192</v>
      </c>
      <c r="K5" s="52">
        <v>1.92</v>
      </c>
      <c r="L5" s="51" t="s">
        <v>164</v>
      </c>
      <c r="M5" s="53">
        <v>0.42857142857142855</v>
      </c>
      <c r="N5" s="51" t="s">
        <v>192</v>
      </c>
      <c r="O5" s="53">
        <v>0.24</v>
      </c>
      <c r="P5" s="51" t="s">
        <v>205</v>
      </c>
      <c r="Q5" s="54">
        <v>0.31578947368421051</v>
      </c>
      <c r="R5" s="51" t="s">
        <v>193</v>
      </c>
      <c r="S5" s="54">
        <v>0.12790697674418605</v>
      </c>
      <c r="T5" s="51" t="s">
        <v>126</v>
      </c>
      <c r="U5" s="55">
        <v>9885.2459016393441</v>
      </c>
      <c r="V5" s="51" t="s">
        <v>164</v>
      </c>
      <c r="W5" s="55">
        <v>-7077.7777777777774</v>
      </c>
      <c r="X5" s="51" t="s">
        <v>196</v>
      </c>
      <c r="Y5" s="53">
        <v>0</v>
      </c>
      <c r="Z5" s="51" t="s">
        <v>189</v>
      </c>
      <c r="AA5" s="54">
        <v>0.27777777777777779</v>
      </c>
      <c r="AB5" s="51" t="s">
        <v>192</v>
      </c>
      <c r="AC5" s="54">
        <v>0.22099447513812154</v>
      </c>
      <c r="AD5" s="51" t="s">
        <v>205</v>
      </c>
      <c r="AE5" s="54">
        <v>0.6</v>
      </c>
      <c r="AF5" s="51" t="s">
        <v>193</v>
      </c>
      <c r="AG5" s="54">
        <v>0.42424242424242425</v>
      </c>
      <c r="AH5" s="51" t="s">
        <v>126</v>
      </c>
      <c r="AI5" s="54">
        <v>0.47540983606557374</v>
      </c>
      <c r="AJ5" s="51" t="s">
        <v>126</v>
      </c>
      <c r="AK5" s="58">
        <v>102700</v>
      </c>
    </row>
    <row r="6" spans="1:37" x14ac:dyDescent="0.45">
      <c r="A6" s="48">
        <v>4</v>
      </c>
      <c r="B6" s="51" t="s">
        <v>164</v>
      </c>
      <c r="C6" s="118">
        <v>14</v>
      </c>
      <c r="D6" s="49" t="s">
        <v>139</v>
      </c>
      <c r="E6" s="50">
        <v>0</v>
      </c>
      <c r="F6" s="51" t="s">
        <v>139</v>
      </c>
      <c r="G6" s="63">
        <v>0</v>
      </c>
      <c r="H6" s="51" t="s">
        <v>164</v>
      </c>
      <c r="I6" s="63">
        <v>-2.1700000000000017</v>
      </c>
      <c r="J6" s="51" t="s">
        <v>164</v>
      </c>
      <c r="K6" s="52">
        <v>1.9285714285714286</v>
      </c>
      <c r="L6" s="51" t="s">
        <v>139</v>
      </c>
      <c r="M6" s="53">
        <v>0.33333333333333331</v>
      </c>
      <c r="N6" s="51" t="s">
        <v>189</v>
      </c>
      <c r="O6" s="53">
        <v>0.2857142857142857</v>
      </c>
      <c r="P6" s="51" t="s">
        <v>139</v>
      </c>
      <c r="Q6" s="54">
        <v>0.29387755102040819</v>
      </c>
      <c r="R6" s="51" t="s">
        <v>192</v>
      </c>
      <c r="S6" s="54">
        <v>0.13259668508287292</v>
      </c>
      <c r="T6" s="51" t="s">
        <v>139</v>
      </c>
      <c r="U6" s="55">
        <v>8915.7407407407409</v>
      </c>
      <c r="V6" s="51" t="s">
        <v>192</v>
      </c>
      <c r="W6" s="55">
        <v>-7541.666666666667</v>
      </c>
      <c r="X6" s="51" t="s">
        <v>164</v>
      </c>
      <c r="Y6" s="53">
        <v>7.1428571428571425E-2</v>
      </c>
      <c r="Z6" s="51" t="s">
        <v>192</v>
      </c>
      <c r="AA6" s="54">
        <v>0.27071823204419887</v>
      </c>
      <c r="AB6" s="51" t="s">
        <v>139</v>
      </c>
      <c r="AC6" s="54">
        <v>0.22040816326530613</v>
      </c>
      <c r="AD6" s="51" t="s">
        <v>192</v>
      </c>
      <c r="AE6" s="54">
        <v>0.55102040816326525</v>
      </c>
      <c r="AF6" s="51" t="s">
        <v>139</v>
      </c>
      <c r="AG6" s="54">
        <v>0.3888888888888889</v>
      </c>
      <c r="AH6" s="51" t="s">
        <v>139</v>
      </c>
      <c r="AI6" s="54">
        <v>0.43518518518518517</v>
      </c>
      <c r="AJ6" s="51" t="s">
        <v>205</v>
      </c>
      <c r="AK6" s="58">
        <v>93200</v>
      </c>
    </row>
    <row r="7" spans="1:37" x14ac:dyDescent="0.45">
      <c r="A7" s="48">
        <v>5</v>
      </c>
      <c r="B7" s="51" t="s">
        <v>193</v>
      </c>
      <c r="C7" s="118">
        <v>13</v>
      </c>
      <c r="D7" s="49" t="s">
        <v>192</v>
      </c>
      <c r="E7" s="50">
        <v>-13.199999999999989</v>
      </c>
      <c r="F7" s="51" t="s">
        <v>192</v>
      </c>
      <c r="G7" s="63">
        <v>-0.52799999999999958</v>
      </c>
      <c r="H7" s="51" t="s">
        <v>193</v>
      </c>
      <c r="I7" s="63">
        <v>-3.1780952380952385</v>
      </c>
      <c r="J7" s="51" t="s">
        <v>139</v>
      </c>
      <c r="K7" s="52">
        <v>2</v>
      </c>
      <c r="L7" s="51" t="s">
        <v>192</v>
      </c>
      <c r="M7" s="53">
        <v>0.32</v>
      </c>
      <c r="N7" s="51" t="s">
        <v>139</v>
      </c>
      <c r="O7" s="53">
        <v>0.33333333333333331</v>
      </c>
      <c r="P7" s="51" t="s">
        <v>192</v>
      </c>
      <c r="Q7" s="54">
        <v>0.27624309392265195</v>
      </c>
      <c r="R7" s="51" t="s">
        <v>139</v>
      </c>
      <c r="S7" s="54">
        <v>0.16462585034013605</v>
      </c>
      <c r="T7" s="51" t="s">
        <v>193</v>
      </c>
      <c r="U7" s="55">
        <v>8300</v>
      </c>
      <c r="V7" s="51" t="s">
        <v>139</v>
      </c>
      <c r="W7" s="55">
        <v>-7905.7851239669426</v>
      </c>
      <c r="X7" s="51" t="s">
        <v>192</v>
      </c>
      <c r="Y7" s="53">
        <v>0.08</v>
      </c>
      <c r="Z7" s="51" t="s">
        <v>139</v>
      </c>
      <c r="AA7" s="54">
        <v>0.25714285714285712</v>
      </c>
      <c r="AB7" s="51" t="s">
        <v>164</v>
      </c>
      <c r="AC7" s="54">
        <v>0.2072072072072072</v>
      </c>
      <c r="AD7" s="51" t="s">
        <v>139</v>
      </c>
      <c r="AE7" s="54">
        <v>0.53439153439153442</v>
      </c>
      <c r="AF7" s="51" t="s">
        <v>164</v>
      </c>
      <c r="AG7" s="54">
        <v>0.34782608695652173</v>
      </c>
      <c r="AH7" s="51" t="s">
        <v>192</v>
      </c>
      <c r="AI7" s="54">
        <v>0.4</v>
      </c>
      <c r="AJ7" s="51" t="s">
        <v>192</v>
      </c>
      <c r="AK7" s="58">
        <v>88500</v>
      </c>
    </row>
    <row r="8" spans="1:37" x14ac:dyDescent="0.45">
      <c r="A8" s="48">
        <v>6</v>
      </c>
      <c r="B8" s="51" t="s">
        <v>194</v>
      </c>
      <c r="C8" s="118">
        <v>11</v>
      </c>
      <c r="D8" s="49" t="s">
        <v>189</v>
      </c>
      <c r="E8" s="50">
        <v>-26.899999999999988</v>
      </c>
      <c r="F8" s="51" t="s">
        <v>189</v>
      </c>
      <c r="G8" s="63">
        <v>-3.8428571428571412</v>
      </c>
      <c r="H8" s="51" t="s">
        <v>192</v>
      </c>
      <c r="I8" s="63">
        <v>-3.3863636363636367</v>
      </c>
      <c r="J8" s="51" t="s">
        <v>189</v>
      </c>
      <c r="K8" s="52">
        <v>2</v>
      </c>
      <c r="L8" s="51" t="s">
        <v>189</v>
      </c>
      <c r="M8" s="53">
        <v>0.2857142857142857</v>
      </c>
      <c r="N8" s="51" t="s">
        <v>164</v>
      </c>
      <c r="O8" s="53">
        <v>0.35714285714285715</v>
      </c>
      <c r="P8" s="51" t="s">
        <v>164</v>
      </c>
      <c r="Q8" s="54">
        <v>0.26126126126126126</v>
      </c>
      <c r="R8" s="51" t="s">
        <v>194</v>
      </c>
      <c r="S8" s="54">
        <v>0.16666666666666666</v>
      </c>
      <c r="T8" s="51" t="s">
        <v>192</v>
      </c>
      <c r="U8" s="55">
        <v>8070</v>
      </c>
      <c r="V8" s="51" t="s">
        <v>193</v>
      </c>
      <c r="W8" s="55">
        <v>-8509.0909090909099</v>
      </c>
      <c r="X8" s="51" t="s">
        <v>139</v>
      </c>
      <c r="Y8" s="53">
        <v>0.10784313725490197</v>
      </c>
      <c r="Z8" s="51" t="s">
        <v>126</v>
      </c>
      <c r="AA8" s="54">
        <v>0.24242424242424243</v>
      </c>
      <c r="AB8" s="51" t="s">
        <v>126</v>
      </c>
      <c r="AC8" s="54">
        <v>0.20606060606060606</v>
      </c>
      <c r="AD8" s="51" t="s">
        <v>189</v>
      </c>
      <c r="AE8" s="54">
        <v>0.53333333333333333</v>
      </c>
      <c r="AF8" s="51" t="s">
        <v>192</v>
      </c>
      <c r="AG8" s="54">
        <v>0.32500000000000001</v>
      </c>
      <c r="AH8" s="51" t="s">
        <v>194</v>
      </c>
      <c r="AI8" s="54">
        <v>0.38461538461538464</v>
      </c>
      <c r="AJ8" s="51" t="s">
        <v>164</v>
      </c>
      <c r="AK8" s="58">
        <v>73600</v>
      </c>
    </row>
    <row r="9" spans="1:37" x14ac:dyDescent="0.45">
      <c r="A9" s="48">
        <v>7</v>
      </c>
      <c r="B9" s="51" t="s">
        <v>189</v>
      </c>
      <c r="C9" s="118">
        <v>7</v>
      </c>
      <c r="D9" s="49" t="s">
        <v>196</v>
      </c>
      <c r="E9" s="50">
        <v>-64.400000000000006</v>
      </c>
      <c r="F9" s="51" t="s">
        <v>196</v>
      </c>
      <c r="G9" s="63">
        <v>-12.88</v>
      </c>
      <c r="H9" s="51" t="s">
        <v>189</v>
      </c>
      <c r="I9" s="63">
        <v>-3.4222222222222221</v>
      </c>
      <c r="J9" s="51" t="s">
        <v>196</v>
      </c>
      <c r="K9" s="52">
        <v>2.2000000000000002</v>
      </c>
      <c r="L9" s="51" t="s">
        <v>205</v>
      </c>
      <c r="M9" s="53">
        <v>0.2</v>
      </c>
      <c r="N9" s="51" t="s">
        <v>193</v>
      </c>
      <c r="O9" s="53">
        <v>0.38461538461538464</v>
      </c>
      <c r="P9" s="51" t="s">
        <v>189</v>
      </c>
      <c r="Q9" s="54">
        <v>0.25925925925925924</v>
      </c>
      <c r="R9" s="51" t="s">
        <v>205</v>
      </c>
      <c r="S9" s="54">
        <v>0.23684210526315788</v>
      </c>
      <c r="T9" s="51" t="s">
        <v>205</v>
      </c>
      <c r="U9" s="55">
        <v>7891.666666666667</v>
      </c>
      <c r="V9" s="51" t="s">
        <v>205</v>
      </c>
      <c r="W9" s="55">
        <v>-8955.5555555555547</v>
      </c>
      <c r="X9" s="51" t="s">
        <v>205</v>
      </c>
      <c r="Y9" s="53">
        <v>0.2</v>
      </c>
      <c r="Z9" s="51" t="s">
        <v>196</v>
      </c>
      <c r="AA9" s="54">
        <v>0.23529411764705882</v>
      </c>
      <c r="AB9" s="51" t="s">
        <v>196</v>
      </c>
      <c r="AC9" s="54">
        <v>0.17647058823529413</v>
      </c>
      <c r="AD9" s="51" t="s">
        <v>164</v>
      </c>
      <c r="AE9" s="54">
        <v>0.5</v>
      </c>
      <c r="AF9" s="51" t="s">
        <v>194</v>
      </c>
      <c r="AG9" s="54">
        <v>0.25</v>
      </c>
      <c r="AH9" s="51" t="s">
        <v>164</v>
      </c>
      <c r="AI9" s="54">
        <v>0.34482758620689657</v>
      </c>
      <c r="AJ9" s="51" t="s">
        <v>189</v>
      </c>
      <c r="AK9" s="58">
        <v>66700</v>
      </c>
    </row>
    <row r="10" spans="1:37" x14ac:dyDescent="0.45">
      <c r="A10" s="48">
        <v>8</v>
      </c>
      <c r="B10" s="51" t="s">
        <v>196</v>
      </c>
      <c r="C10" s="118">
        <v>5</v>
      </c>
      <c r="D10" s="49" t="s">
        <v>205</v>
      </c>
      <c r="E10" s="50">
        <v>-72.899999999999991</v>
      </c>
      <c r="F10" s="51" t="s">
        <v>205</v>
      </c>
      <c r="G10" s="63">
        <v>-14.579999999999998</v>
      </c>
      <c r="H10" s="51" t="s">
        <v>196</v>
      </c>
      <c r="I10" s="63">
        <v>-8.5666666666666682</v>
      </c>
      <c r="J10" s="51" t="s">
        <v>205</v>
      </c>
      <c r="K10" s="52">
        <v>2.6</v>
      </c>
      <c r="L10" s="51" t="s">
        <v>194</v>
      </c>
      <c r="M10" s="53">
        <v>0</v>
      </c>
      <c r="N10" s="51" t="s">
        <v>194</v>
      </c>
      <c r="O10" s="53">
        <v>0.63636363636363635</v>
      </c>
      <c r="P10" s="51" t="s">
        <v>194</v>
      </c>
      <c r="Q10" s="54">
        <v>0.19696969696969696</v>
      </c>
      <c r="R10" s="51" t="s">
        <v>164</v>
      </c>
      <c r="S10" s="54">
        <v>0.24324324324324326</v>
      </c>
      <c r="T10" s="51" t="s">
        <v>194</v>
      </c>
      <c r="U10" s="55">
        <v>5169.2307692307695</v>
      </c>
      <c r="V10" s="51" t="s">
        <v>126</v>
      </c>
      <c r="W10" s="55">
        <v>-9309.5238095238092</v>
      </c>
      <c r="X10" s="51" t="s">
        <v>193</v>
      </c>
      <c r="Y10" s="53">
        <v>0.23076923076923078</v>
      </c>
      <c r="Z10" s="51" t="s">
        <v>193</v>
      </c>
      <c r="AA10" s="54">
        <v>0.18604651162790697</v>
      </c>
      <c r="AB10" s="51" t="s">
        <v>194</v>
      </c>
      <c r="AC10" s="54">
        <v>0.12121212121212122</v>
      </c>
      <c r="AD10" s="51" t="s">
        <v>196</v>
      </c>
      <c r="AE10" s="54">
        <v>0.5</v>
      </c>
      <c r="AF10" s="51" t="s">
        <v>205</v>
      </c>
      <c r="AG10" s="54">
        <v>0.23076923076923078</v>
      </c>
      <c r="AH10" s="51" t="s">
        <v>196</v>
      </c>
      <c r="AI10" s="54">
        <v>0.33333333333333331</v>
      </c>
      <c r="AJ10" s="51" t="s">
        <v>194</v>
      </c>
      <c r="AK10" s="58">
        <v>46300</v>
      </c>
    </row>
    <row r="11" spans="1:37" x14ac:dyDescent="0.45">
      <c r="A11" s="48">
        <v>9</v>
      </c>
      <c r="B11" s="51" t="s">
        <v>205</v>
      </c>
      <c r="C11" s="118">
        <v>5</v>
      </c>
      <c r="D11" s="49" t="s">
        <v>194</v>
      </c>
      <c r="E11" s="50">
        <v>-264.89999999999998</v>
      </c>
      <c r="F11" s="51" t="s">
        <v>194</v>
      </c>
      <c r="G11" s="63">
        <v>-24.081818181818178</v>
      </c>
      <c r="H11" s="51" t="s">
        <v>194</v>
      </c>
      <c r="I11" s="63">
        <v>-12.549999999999999</v>
      </c>
      <c r="J11" s="51" t="s">
        <v>194</v>
      </c>
      <c r="K11" s="52">
        <v>2.6363636363636362</v>
      </c>
      <c r="L11" s="51" t="s">
        <v>196</v>
      </c>
      <c r="M11" s="53">
        <v>0</v>
      </c>
      <c r="N11" s="51" t="s">
        <v>205</v>
      </c>
      <c r="O11" s="53">
        <v>0.8</v>
      </c>
      <c r="P11" s="51" t="s">
        <v>196</v>
      </c>
      <c r="Q11" s="54">
        <v>0.17647058823529413</v>
      </c>
      <c r="R11" s="51" t="s">
        <v>189</v>
      </c>
      <c r="S11" s="54">
        <v>0.25925925925925924</v>
      </c>
      <c r="T11" s="51" t="s">
        <v>196</v>
      </c>
      <c r="U11" s="55">
        <v>4566.666666666667</v>
      </c>
      <c r="V11" s="51" t="s">
        <v>194</v>
      </c>
      <c r="W11" s="55">
        <v>-9490.9090909090901</v>
      </c>
      <c r="X11" s="51" t="s">
        <v>194</v>
      </c>
      <c r="Y11" s="53">
        <v>0.36363636363636365</v>
      </c>
      <c r="Z11" s="51" t="s">
        <v>205</v>
      </c>
      <c r="AA11" s="54">
        <v>0.13157894736842105</v>
      </c>
      <c r="AB11" s="51" t="s">
        <v>189</v>
      </c>
      <c r="AC11" s="54">
        <v>9.2592592592592587E-2</v>
      </c>
      <c r="AD11" s="51" t="s">
        <v>194</v>
      </c>
      <c r="AE11" s="54">
        <v>0.36363636363636365</v>
      </c>
      <c r="AF11" s="51" t="s">
        <v>196</v>
      </c>
      <c r="AG11" s="54">
        <v>0.16666666666666666</v>
      </c>
      <c r="AH11" s="51" t="s">
        <v>205</v>
      </c>
      <c r="AI11" s="54">
        <v>0.33333333333333331</v>
      </c>
      <c r="AJ11" s="51" t="s">
        <v>196</v>
      </c>
      <c r="AK11" s="58">
        <v>36900</v>
      </c>
    </row>
  </sheetData>
  <sortState xmlns:xlrd2="http://schemas.microsoft.com/office/spreadsheetml/2017/richdata2" ref="AJ3:AK38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61CD9-770B-440D-8347-20C3500B4B82}">
  <sheetPr codeName="Sheet4"/>
  <dimension ref="A1:Q104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139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102</v>
      </c>
      <c r="C2" s="140"/>
      <c r="E2" s="28" t="s">
        <v>66</v>
      </c>
      <c r="F2" s="25" t="s">
        <v>22</v>
      </c>
      <c r="G2" s="13">
        <v>165</v>
      </c>
      <c r="H2" s="91">
        <f>IF(B$19=0,0,G2/B$19)</f>
        <v>0.76388888888888884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-10.1010101010101</v>
      </c>
      <c r="P2" s="80">
        <v>99</v>
      </c>
      <c r="Q2" s="67">
        <v>-1000</v>
      </c>
    </row>
    <row r="3" spans="1:17" x14ac:dyDescent="0.45">
      <c r="A3" s="21" t="s">
        <v>8</v>
      </c>
      <c r="B3" s="141">
        <v>735</v>
      </c>
      <c r="C3" s="142"/>
      <c r="E3" s="29" t="s">
        <v>72</v>
      </c>
      <c r="F3" s="26" t="s">
        <v>27</v>
      </c>
      <c r="G3" s="14">
        <v>129</v>
      </c>
      <c r="H3" s="92">
        <f>IF(B$19=0,0,G3/B$19)</f>
        <v>0.59722222222222221</v>
      </c>
      <c r="I3" s="60">
        <v>5</v>
      </c>
      <c r="K3" s="7">
        <v>1</v>
      </c>
      <c r="L3" s="65">
        <v>-2.9</v>
      </c>
      <c r="N3" s="78" t="s">
        <v>129</v>
      </c>
      <c r="O3" s="84">
        <f t="shared" si="0"/>
        <v>0</v>
      </c>
      <c r="P3" s="81">
        <v>99</v>
      </c>
      <c r="Q3" s="68">
        <v>0</v>
      </c>
    </row>
    <row r="4" spans="1:17" x14ac:dyDescent="0.45">
      <c r="A4" s="21" t="s">
        <v>6</v>
      </c>
      <c r="B4" s="143">
        <v>0</v>
      </c>
      <c r="C4" s="144"/>
      <c r="E4" s="29" t="s">
        <v>64</v>
      </c>
      <c r="F4" s="26" t="s">
        <v>20</v>
      </c>
      <c r="G4" s="14">
        <v>95</v>
      </c>
      <c r="H4" s="92">
        <f>IF(B$19=0,0,G4/B$19)</f>
        <v>0.43981481481481483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10.1010101010101</v>
      </c>
      <c r="P4" s="81">
        <v>99</v>
      </c>
      <c r="Q4" s="68">
        <v>1000</v>
      </c>
    </row>
    <row r="5" spans="1:17" x14ac:dyDescent="0.45">
      <c r="A5" s="21" t="s">
        <v>7</v>
      </c>
      <c r="B5" s="131">
        <f>IF(B$2=0,0,B$4/B$2)</f>
        <v>0</v>
      </c>
      <c r="C5" s="132"/>
      <c r="E5" s="29" t="s">
        <v>160</v>
      </c>
      <c r="F5" s="26" t="s">
        <v>161</v>
      </c>
      <c r="G5" s="14">
        <v>82</v>
      </c>
      <c r="H5" s="92">
        <f>IF(B$19=0,0,G5/B$19)</f>
        <v>0.37962962962962965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-11.904761904761905</v>
      </c>
      <c r="P5" s="81">
        <v>84</v>
      </c>
      <c r="Q5" s="68">
        <v>-1000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62</v>
      </c>
      <c r="H6" s="92">
        <f>IF(B$19=0,0,G6/B$19)</f>
        <v>0.28703703703703703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-69.444444444444443</v>
      </c>
      <c r="P6" s="81">
        <v>72</v>
      </c>
      <c r="Q6" s="68">
        <v>-5000</v>
      </c>
    </row>
    <row r="7" spans="1:17" x14ac:dyDescent="0.45">
      <c r="A7" s="21" t="s">
        <v>2</v>
      </c>
      <c r="B7" s="14">
        <v>34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47</v>
      </c>
      <c r="H7" s="92">
        <f>IF(B$19=0,0,G7/B$19)</f>
        <v>0.21759259259259259</v>
      </c>
      <c r="I7" s="60">
        <v>5</v>
      </c>
      <c r="K7" s="7">
        <v>5</v>
      </c>
      <c r="L7" s="65">
        <v>-55.999999999999993</v>
      </c>
      <c r="N7" s="79" t="s">
        <v>133</v>
      </c>
      <c r="O7" s="85">
        <f t="shared" si="0"/>
        <v>98.039215686274517</v>
      </c>
      <c r="P7" s="82">
        <v>51</v>
      </c>
      <c r="Q7" s="69">
        <v>5000</v>
      </c>
    </row>
    <row r="8" spans="1:17" x14ac:dyDescent="0.45">
      <c r="A8" s="21" t="s">
        <v>3</v>
      </c>
      <c r="B8" s="14">
        <v>34</v>
      </c>
      <c r="C8" s="8">
        <f t="shared" si="1"/>
        <v>0.33333333333333331</v>
      </c>
      <c r="E8" s="29" t="s">
        <v>89</v>
      </c>
      <c r="F8" s="26" t="s">
        <v>44</v>
      </c>
      <c r="G8" s="14">
        <v>33</v>
      </c>
      <c r="H8" s="92">
        <f>IF(B$19=0,0,G8/B$19)</f>
        <v>0.15277777777777779</v>
      </c>
      <c r="I8" s="60">
        <v>5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34</v>
      </c>
      <c r="C9" s="9">
        <f t="shared" si="1"/>
        <v>0.33333333333333331</v>
      </c>
      <c r="E9" s="29" t="s">
        <v>69</v>
      </c>
      <c r="F9" s="26" t="s">
        <v>24</v>
      </c>
      <c r="G9" s="14">
        <v>26</v>
      </c>
      <c r="H9" s="92">
        <f>IF(B$19=0,0,G9/B$19)</f>
        <v>0.12037037037037036</v>
      </c>
      <c r="I9" s="60">
        <v>6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40.223529411764702</v>
      </c>
      <c r="C10" s="114">
        <v>1367.6</v>
      </c>
      <c r="E10" s="29" t="s">
        <v>65</v>
      </c>
      <c r="F10" s="26" t="s">
        <v>21</v>
      </c>
      <c r="G10" s="14">
        <v>18</v>
      </c>
      <c r="H10" s="92">
        <f>IF(B$19=0,0,G10/B$19)</f>
        <v>8.3333333333333329E-2</v>
      </c>
      <c r="I10" s="60">
        <v>4</v>
      </c>
      <c r="K10" s="7">
        <v>8</v>
      </c>
      <c r="L10" s="65">
        <v>-81.5</v>
      </c>
      <c r="N10" s="77" t="s">
        <v>152</v>
      </c>
      <c r="O10" s="86">
        <f>IF(P10=0,0,Q10/P10)</f>
        <v>-9.8705882352941181</v>
      </c>
      <c r="P10" s="80">
        <v>34</v>
      </c>
      <c r="Q10" s="71">
        <v>-335.6</v>
      </c>
    </row>
    <row r="11" spans="1:17" x14ac:dyDescent="0.45">
      <c r="A11" s="22" t="s">
        <v>186</v>
      </c>
      <c r="B11" s="113">
        <f>IF(B8=0,0,C11/B8)</f>
        <v>-3.6411764705882352</v>
      </c>
      <c r="C11" s="114">
        <v>-123.8</v>
      </c>
      <c r="E11" s="29" t="s">
        <v>71</v>
      </c>
      <c r="F11" s="26" t="s">
        <v>26</v>
      </c>
      <c r="G11" s="14">
        <v>16</v>
      </c>
      <c r="H11" s="92">
        <f>IF(B$19=0,0,G11/B$19)</f>
        <v>7.407407407407407E-2</v>
      </c>
      <c r="I11" s="60">
        <v>6</v>
      </c>
      <c r="K11" s="7">
        <v>9</v>
      </c>
      <c r="L11" s="65">
        <v>0</v>
      </c>
      <c r="N11" s="78" t="s">
        <v>153</v>
      </c>
      <c r="O11" s="87">
        <f>IF(P11=0,0,Q11/P11)</f>
        <v>-4.1117647058823552</v>
      </c>
      <c r="P11" s="81">
        <v>34</v>
      </c>
      <c r="Q11" s="72">
        <v>-139.80000000000007</v>
      </c>
    </row>
    <row r="12" spans="1:17" x14ac:dyDescent="0.45">
      <c r="A12" s="22" t="s">
        <v>187</v>
      </c>
      <c r="B12" s="113">
        <f>IF(B9=0,0,C12/B9)</f>
        <v>-36.582352941176467</v>
      </c>
      <c r="C12" s="114">
        <v>-1243.8</v>
      </c>
      <c r="E12" s="29" t="s">
        <v>86</v>
      </c>
      <c r="F12" s="26" t="s">
        <v>41</v>
      </c>
      <c r="G12" s="14">
        <v>14</v>
      </c>
      <c r="H12" s="92">
        <f>IF(B$19=0,0,G12/B$19)</f>
        <v>6.4814814814814811E-2</v>
      </c>
      <c r="I12" s="60">
        <v>4</v>
      </c>
      <c r="K12" s="7">
        <v>10</v>
      </c>
      <c r="L12" s="65">
        <v>60.4</v>
      </c>
      <c r="N12" s="79" t="s">
        <v>154</v>
      </c>
      <c r="O12" s="88">
        <f>IF(P12=0,0,Q12/P12)</f>
        <v>13.982352941176465</v>
      </c>
      <c r="P12" s="82">
        <v>34</v>
      </c>
      <c r="Q12" s="73">
        <v>475.39999999999981</v>
      </c>
    </row>
    <row r="13" spans="1:17" x14ac:dyDescent="0.45">
      <c r="A13" s="22" t="s">
        <v>188</v>
      </c>
      <c r="B13" s="131">
        <f>AVERAGE(B10:B12)</f>
        <v>0</v>
      </c>
      <c r="C13" s="132"/>
      <c r="E13" s="29" t="s">
        <v>83</v>
      </c>
      <c r="F13" s="26" t="s">
        <v>38</v>
      </c>
      <c r="G13" s="14">
        <v>13</v>
      </c>
      <c r="H13" s="92">
        <f>IF(B$19=0,0,G13/B$19)</f>
        <v>6.0185185185185182E-2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11</v>
      </c>
      <c r="C14" s="11">
        <f t="shared" si="1"/>
        <v>0.10784313725490197</v>
      </c>
      <c r="E14" s="29" t="s">
        <v>70</v>
      </c>
      <c r="F14" s="26" t="s">
        <v>25</v>
      </c>
      <c r="G14" s="14">
        <v>9</v>
      </c>
      <c r="H14" s="92">
        <f>IF(B$19=0,0,G14/B$19)</f>
        <v>4.1666666666666664E-2</v>
      </c>
      <c r="I14" s="60">
        <v>3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189</v>
      </c>
      <c r="C15" s="12">
        <f>IF(B$3=0,0,B15/B$3)</f>
        <v>0.25714285714285712</v>
      </c>
      <c r="E15" s="29" t="s">
        <v>78</v>
      </c>
      <c r="F15" s="26" t="s">
        <v>33</v>
      </c>
      <c r="G15" s="14">
        <v>8</v>
      </c>
      <c r="H15" s="92">
        <f>IF(B$19=0,0,G15/B$19)</f>
        <v>3.7037037037037035E-2</v>
      </c>
      <c r="I15" s="60">
        <v>4</v>
      </c>
      <c r="K15" s="7">
        <v>13</v>
      </c>
      <c r="L15" s="65">
        <v>14.300000000000002</v>
      </c>
      <c r="N15" s="77" t="s">
        <v>194</v>
      </c>
      <c r="O15" s="86">
        <f>IF(P15=0,0,Q15/P15)</f>
        <v>36.122727272727268</v>
      </c>
      <c r="P15" s="80">
        <v>22</v>
      </c>
      <c r="Q15" s="71">
        <v>794.69999999999993</v>
      </c>
    </row>
    <row r="16" spans="1:17" x14ac:dyDescent="0.45">
      <c r="A16" s="21" t="s">
        <v>118</v>
      </c>
      <c r="B16" s="14">
        <v>162</v>
      </c>
      <c r="C16" s="8">
        <f>IF(B$3=0,0,B16/B$3)</f>
        <v>0.22040816326530613</v>
      </c>
      <c r="E16" s="29" t="s">
        <v>79</v>
      </c>
      <c r="F16" s="26" t="s">
        <v>34</v>
      </c>
      <c r="G16" s="14">
        <v>7</v>
      </c>
      <c r="H16" s="92">
        <f>IF(B$19=0,0,G16/B$19)</f>
        <v>3.2407407407407406E-2</v>
      </c>
      <c r="I16" s="60">
        <v>4</v>
      </c>
      <c r="K16" s="7">
        <v>14</v>
      </c>
      <c r="L16" s="65">
        <v>12.800000000000002</v>
      </c>
      <c r="N16" s="78" t="s">
        <v>205</v>
      </c>
      <c r="O16" s="87">
        <f>IF(P16=0,0,Q16/P16)</f>
        <v>21.869999999999994</v>
      </c>
      <c r="P16" s="81">
        <v>10</v>
      </c>
      <c r="Q16" s="72">
        <v>218.69999999999993</v>
      </c>
    </row>
    <row r="17" spans="1:17" x14ac:dyDescent="0.45">
      <c r="A17" s="20" t="s">
        <v>123</v>
      </c>
      <c r="B17" s="13">
        <f>B23</f>
        <v>101</v>
      </c>
      <c r="C17" s="6">
        <f>IF(B$15=0,0,B17/B$15)</f>
        <v>0.53439153439153442</v>
      </c>
      <c r="E17" s="29" t="s">
        <v>81</v>
      </c>
      <c r="F17" s="26" t="s">
        <v>36</v>
      </c>
      <c r="G17" s="14">
        <v>6</v>
      </c>
      <c r="H17" s="92">
        <f>IF(B$19=0,0,G17/B$19)</f>
        <v>2.7777777777777776E-2</v>
      </c>
      <c r="I17" s="60">
        <v>4</v>
      </c>
      <c r="K17" s="7">
        <v>15</v>
      </c>
      <c r="L17" s="65">
        <v>1.7763568394002505E-15</v>
      </c>
      <c r="N17" s="78" t="s">
        <v>196</v>
      </c>
      <c r="O17" s="87">
        <f>IF(P17=0,0,Q17/P17)</f>
        <v>19.32</v>
      </c>
      <c r="P17" s="81">
        <v>10</v>
      </c>
      <c r="Q17" s="72">
        <v>193.2</v>
      </c>
    </row>
    <row r="18" spans="1:17" x14ac:dyDescent="0.45">
      <c r="A18" s="20" t="s">
        <v>124</v>
      </c>
      <c r="B18" s="13">
        <f>B24</f>
        <v>63</v>
      </c>
      <c r="C18" s="6">
        <f>IF(B$16=0,0,B18/B$16)</f>
        <v>0.3888888888888889</v>
      </c>
      <c r="E18" s="29" t="s">
        <v>91</v>
      </c>
      <c r="F18" s="26" t="s">
        <v>46</v>
      </c>
      <c r="G18" s="14">
        <v>3</v>
      </c>
      <c r="H18" s="92">
        <f>IF(B$19=0,0,G18/B$19)</f>
        <v>1.3888888888888888E-2</v>
      </c>
      <c r="I18" s="60">
        <v>4</v>
      </c>
      <c r="K18" s="7">
        <v>16</v>
      </c>
      <c r="L18" s="65">
        <v>3.4000000000000017</v>
      </c>
      <c r="N18" s="78" t="s">
        <v>189</v>
      </c>
      <c r="O18" s="87">
        <f>IF(P18=0,0,Q18/P18)</f>
        <v>5.7642857142857142</v>
      </c>
      <c r="P18" s="81">
        <v>14</v>
      </c>
      <c r="Q18" s="72">
        <v>80.7</v>
      </c>
    </row>
    <row r="19" spans="1:17" x14ac:dyDescent="0.45">
      <c r="A19" s="20" t="s">
        <v>10</v>
      </c>
      <c r="B19" s="13">
        <f>B22+B21</f>
        <v>216</v>
      </c>
      <c r="C19" s="6">
        <f>IF(B$3=0,0,B19/B$3)</f>
        <v>0.29387755102040819</v>
      </c>
      <c r="E19" s="29" t="s">
        <v>92</v>
      </c>
      <c r="F19" s="26" t="s">
        <v>47</v>
      </c>
      <c r="G19" s="14">
        <v>3</v>
      </c>
      <c r="H19" s="92">
        <f>IF(B$19=0,0,G19/B$19)</f>
        <v>1.3888888888888888E-2</v>
      </c>
      <c r="I19" s="60">
        <v>4</v>
      </c>
      <c r="K19" s="7">
        <v>17</v>
      </c>
      <c r="L19" s="65">
        <v>-35.800000000000004</v>
      </c>
      <c r="N19" s="78" t="s">
        <v>192</v>
      </c>
      <c r="O19" s="87">
        <f>IF(P19=0,0,Q19/P19)</f>
        <v>0.79199999999999815</v>
      </c>
      <c r="P19" s="81">
        <v>50</v>
      </c>
      <c r="Q19" s="72">
        <v>39.599999999999909</v>
      </c>
    </row>
    <row r="20" spans="1:17" x14ac:dyDescent="0.45">
      <c r="A20" s="21" t="s">
        <v>13</v>
      </c>
      <c r="B20" s="14">
        <v>121</v>
      </c>
      <c r="C20" s="8">
        <f>IF(B$3=0,0,B20/B$3)</f>
        <v>0.16462585034013605</v>
      </c>
      <c r="E20" s="29" t="s">
        <v>156</v>
      </c>
      <c r="F20" s="26" t="s">
        <v>157</v>
      </c>
      <c r="G20" s="14">
        <v>3</v>
      </c>
      <c r="H20" s="92">
        <f>IF(B$19=0,0,G20/B$19)</f>
        <v>1.3888888888888888E-2</v>
      </c>
      <c r="I20" s="60">
        <v>3</v>
      </c>
      <c r="K20" s="7">
        <v>18</v>
      </c>
      <c r="L20" s="65">
        <v>-7.1054273576010019E-15</v>
      </c>
      <c r="N20" s="78" t="s">
        <v>164</v>
      </c>
      <c r="O20" s="87">
        <f>IF(P20=0,0,Q20/P20)</f>
        <v>-1.6178571428571416</v>
      </c>
      <c r="P20" s="81">
        <v>28</v>
      </c>
      <c r="Q20" s="72">
        <v>-45.299999999999962</v>
      </c>
    </row>
    <row r="21" spans="1:17" x14ac:dyDescent="0.45">
      <c r="A21" s="21" t="s">
        <v>12</v>
      </c>
      <c r="B21" s="14">
        <v>94</v>
      </c>
      <c r="C21" s="8">
        <f>IF(B$19=0,0,B21/B$19)</f>
        <v>0.43518518518518517</v>
      </c>
      <c r="E21" s="29" t="s">
        <v>93</v>
      </c>
      <c r="F21" s="26" t="s">
        <v>48</v>
      </c>
      <c r="G21" s="14">
        <v>2</v>
      </c>
      <c r="H21" s="92">
        <f>IF(B$19=0,0,G21/B$19)</f>
        <v>9.2592592592592587E-3</v>
      </c>
      <c r="I21" s="60">
        <v>2</v>
      </c>
      <c r="K21" s="7">
        <v>19</v>
      </c>
      <c r="L21" s="65">
        <v>-27.100000000000009</v>
      </c>
      <c r="N21" s="78" t="s">
        <v>193</v>
      </c>
      <c r="O21" s="87">
        <f>IF(P21=0,0,Q21/P21)</f>
        <v>-9.5884615384615408</v>
      </c>
      <c r="P21" s="81">
        <v>26</v>
      </c>
      <c r="Q21" s="72">
        <v>-249.30000000000007</v>
      </c>
    </row>
    <row r="22" spans="1:17" x14ac:dyDescent="0.45">
      <c r="A22" s="21" t="s">
        <v>11</v>
      </c>
      <c r="B22" s="14">
        <v>122</v>
      </c>
      <c r="C22" s="8">
        <f>IF(B$19=0,0,B22/B$19)</f>
        <v>0.56481481481481477</v>
      </c>
      <c r="E22" s="29" t="s">
        <v>73</v>
      </c>
      <c r="F22" s="26" t="s">
        <v>28</v>
      </c>
      <c r="G22" s="14">
        <v>1</v>
      </c>
      <c r="H22" s="92">
        <f>IF(B$19=0,0,G22/B$19)</f>
        <v>4.6296296296296294E-3</v>
      </c>
      <c r="I22" s="60">
        <v>2</v>
      </c>
      <c r="K22" s="7">
        <v>20</v>
      </c>
      <c r="L22" s="65">
        <v>-28.600000000000009</v>
      </c>
      <c r="N22" s="78" t="s">
        <v>126</v>
      </c>
      <c r="O22" s="87">
        <f>IF(P22=0,0,Q22/P22)</f>
        <v>-23.461363636363636</v>
      </c>
      <c r="P22" s="81">
        <v>44</v>
      </c>
      <c r="Q22" s="72">
        <v>-1032.3</v>
      </c>
    </row>
    <row r="23" spans="1:17" x14ac:dyDescent="0.45">
      <c r="A23" s="21" t="s">
        <v>184</v>
      </c>
      <c r="B23" s="14">
        <v>101</v>
      </c>
      <c r="C23" s="8">
        <f>IF(B$19=0,0,B23/B$19)</f>
        <v>0.46759259259259262</v>
      </c>
      <c r="E23" s="29" t="s">
        <v>75</v>
      </c>
      <c r="F23" s="26" t="s">
        <v>30</v>
      </c>
      <c r="G23" s="14">
        <v>1</v>
      </c>
      <c r="H23" s="92">
        <f>IF(B$19=0,0,G23/B$19)</f>
        <v>4.6296296296296294E-3</v>
      </c>
      <c r="I23" s="60">
        <v>2</v>
      </c>
      <c r="K23" s="7">
        <v>21</v>
      </c>
      <c r="L23" s="65">
        <v>-7.1054273576010019E-15</v>
      </c>
    </row>
    <row r="24" spans="1:17" x14ac:dyDescent="0.45">
      <c r="A24" s="21" t="s">
        <v>182</v>
      </c>
      <c r="B24" s="14">
        <v>63</v>
      </c>
      <c r="C24" s="8">
        <f>IF(B$19=0,0,B24/B$19)</f>
        <v>0.29166666666666669</v>
      </c>
      <c r="E24" s="29" t="s">
        <v>77</v>
      </c>
      <c r="F24" s="26" t="s">
        <v>32</v>
      </c>
      <c r="G24" s="14">
        <v>1</v>
      </c>
      <c r="H24" s="92">
        <f>IF(B$19=0,0,G24/B$19)</f>
        <v>4.6296296296296294E-3</v>
      </c>
      <c r="I24" s="60">
        <v>2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52</v>
      </c>
      <c r="C25" s="8">
        <f>IF(B$19=0,0,B25/B$19)</f>
        <v>0.24074074074074073</v>
      </c>
      <c r="E25" s="29" t="s">
        <v>87</v>
      </c>
      <c r="F25" s="26" t="s">
        <v>42</v>
      </c>
      <c r="G25" s="14">
        <v>1</v>
      </c>
      <c r="H25" s="92">
        <f>IF(B$19=0,0,G25/B$19)</f>
        <v>4.6296296296296294E-3</v>
      </c>
      <c r="I25" s="60">
        <v>2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8915.7407407407409</v>
      </c>
      <c r="C26" s="10">
        <v>1925800</v>
      </c>
      <c r="E26" s="29" t="s">
        <v>95</v>
      </c>
      <c r="F26" s="26" t="s">
        <v>50</v>
      </c>
      <c r="G26" s="14">
        <v>1</v>
      </c>
      <c r="H26" s="92">
        <f>IF(B$19=0,0,G26/B$19)</f>
        <v>4.6296296296296294E-3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9153.5947712418292</v>
      </c>
      <c r="C27" s="100">
        <v>1400500</v>
      </c>
      <c r="E27" s="29" t="s">
        <v>102</v>
      </c>
      <c r="F27" s="26" t="s">
        <v>57</v>
      </c>
      <c r="G27" s="14">
        <v>1</v>
      </c>
      <c r="H27" s="92">
        <f>IF(B$19=0,0,G27/B$19)</f>
        <v>4.6296296296296294E-3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8338.0952380952385</v>
      </c>
      <c r="C28" s="100">
        <v>525300</v>
      </c>
      <c r="E28" s="29" t="s">
        <v>74</v>
      </c>
      <c r="F28" s="26" t="s">
        <v>29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-7905.7851239669426</v>
      </c>
      <c r="C29" s="100">
        <v>-956600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34</v>
      </c>
      <c r="C31" s="94">
        <v>0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33">
        <v>6</v>
      </c>
      <c r="C32" s="134"/>
      <c r="E32" s="29" t="s">
        <v>84</v>
      </c>
      <c r="F32" s="26" t="s">
        <v>39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35">
        <v>106500</v>
      </c>
      <c r="C33" s="136"/>
      <c r="E33" s="29" t="s">
        <v>85</v>
      </c>
      <c r="F33" s="26" t="s">
        <v>40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2</v>
      </c>
      <c r="C34" s="11">
        <f>IF(B$3=0,0,B34/B$3)</f>
        <v>2.7210884353741495E-3</v>
      </c>
      <c r="E34" s="29" t="s">
        <v>88</v>
      </c>
      <c r="F34" s="26" t="s">
        <v>43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90</v>
      </c>
      <c r="F35" s="26" t="s">
        <v>45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16</v>
      </c>
      <c r="C36" s="102">
        <f t="shared" ref="C36:C48" si="2">IF(B$19=0,0,B36/B$19)</f>
        <v>7.407407407407407E-2</v>
      </c>
      <c r="E36" s="29" t="s">
        <v>94</v>
      </c>
      <c r="F36" s="26" t="s">
        <v>49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34</v>
      </c>
      <c r="C37" s="8">
        <f t="shared" si="2"/>
        <v>0.15740740740740741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40</v>
      </c>
      <c r="C38" s="8">
        <f t="shared" si="2"/>
        <v>0.18518518518518517</v>
      </c>
      <c r="E38" s="29" t="s">
        <v>97</v>
      </c>
      <c r="F38" s="26" t="s">
        <v>52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43</v>
      </c>
      <c r="C39" s="8">
        <f t="shared" si="2"/>
        <v>0.19907407407407407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34</v>
      </c>
      <c r="C40" s="8">
        <f t="shared" si="2"/>
        <v>0.15740740740740741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17</v>
      </c>
      <c r="C41" s="8">
        <f t="shared" si="2"/>
        <v>7.8703703703703706E-2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14</v>
      </c>
      <c r="C42" s="8">
        <f t="shared" si="2"/>
        <v>6.4814814814814811E-2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3</v>
      </c>
      <c r="C43" s="8">
        <f t="shared" si="2"/>
        <v>1.3888888888888888E-2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3</v>
      </c>
      <c r="C44" s="8">
        <f t="shared" si="2"/>
        <v>1.3888888888888888E-2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3</v>
      </c>
      <c r="C45" s="8">
        <f t="shared" si="2"/>
        <v>1.3888888888888888E-2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1</v>
      </c>
      <c r="C46" s="8">
        <f t="shared" si="2"/>
        <v>4.6296296296296294E-3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1</v>
      </c>
      <c r="C47" s="8">
        <f t="shared" si="2"/>
        <v>4.6296296296296294E-3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7</v>
      </c>
      <c r="C48" s="11">
        <f t="shared" si="2"/>
        <v>3.2407407407407406E-2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5AD54-4FD7-43C0-BA07-C3D7F120BE4A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164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14</v>
      </c>
      <c r="C2" s="140"/>
      <c r="E2" s="28" t="s">
        <v>66</v>
      </c>
      <c r="F2" s="25" t="s">
        <v>22</v>
      </c>
      <c r="G2" s="13">
        <v>36</v>
      </c>
      <c r="H2" s="91">
        <f>IF(B$19=0,0,G2/B$19)</f>
        <v>1.2413793103448276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1661.5384615384614</v>
      </c>
      <c r="P2" s="80">
        <v>13</v>
      </c>
      <c r="Q2" s="67">
        <v>21600</v>
      </c>
    </row>
    <row r="3" spans="1:17" x14ac:dyDescent="0.45">
      <c r="A3" s="21" t="s">
        <v>8</v>
      </c>
      <c r="B3" s="141">
        <v>111</v>
      </c>
      <c r="C3" s="142"/>
      <c r="E3" s="29" t="s">
        <v>64</v>
      </c>
      <c r="F3" s="26" t="s">
        <v>20</v>
      </c>
      <c r="G3" s="14">
        <v>16</v>
      </c>
      <c r="H3" s="92">
        <f>IF(B$19=0,0,G3/B$19)</f>
        <v>0.55172413793103448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2385.7142857142858</v>
      </c>
      <c r="P3" s="81">
        <v>14</v>
      </c>
      <c r="Q3" s="68">
        <v>33400</v>
      </c>
    </row>
    <row r="4" spans="1:17" x14ac:dyDescent="0.45">
      <c r="A4" s="21" t="s">
        <v>6</v>
      </c>
      <c r="B4" s="143">
        <v>15.100000000000001</v>
      </c>
      <c r="C4" s="144"/>
      <c r="E4" s="29" t="s">
        <v>160</v>
      </c>
      <c r="F4" s="26" t="s">
        <v>161</v>
      </c>
      <c r="G4" s="14">
        <v>15</v>
      </c>
      <c r="H4" s="92">
        <f>IF(B$19=0,0,G4/B$19)</f>
        <v>0.51724137931034486</v>
      </c>
      <c r="I4" s="60">
        <v>2</v>
      </c>
      <c r="K4" s="7">
        <v>2</v>
      </c>
      <c r="L4" s="65">
        <v>32.9</v>
      </c>
      <c r="N4" s="78" t="s">
        <v>130</v>
      </c>
      <c r="O4" s="84">
        <f t="shared" si="0"/>
        <v>-1335.7142857142858</v>
      </c>
      <c r="P4" s="81">
        <v>14</v>
      </c>
      <c r="Q4" s="68">
        <v>-18700</v>
      </c>
    </row>
    <row r="5" spans="1:17" x14ac:dyDescent="0.45">
      <c r="A5" s="21" t="s">
        <v>7</v>
      </c>
      <c r="B5" s="131">
        <f>IF(B$2=0,0,B$4/B$2)</f>
        <v>1.0785714285714287</v>
      </c>
      <c r="C5" s="132"/>
      <c r="E5" s="29" t="s">
        <v>72</v>
      </c>
      <c r="F5" s="26" t="s">
        <v>27</v>
      </c>
      <c r="G5" s="14">
        <v>14</v>
      </c>
      <c r="H5" s="92">
        <f>IF(B$19=0,0,G5/B$19)</f>
        <v>0.48275862068965519</v>
      </c>
      <c r="I5" s="60">
        <v>7</v>
      </c>
      <c r="K5" s="7">
        <v>3</v>
      </c>
      <c r="L5" s="65">
        <v>61.5</v>
      </c>
      <c r="N5" s="78" t="s">
        <v>131</v>
      </c>
      <c r="O5" s="84">
        <f t="shared" si="0"/>
        <v>-7246.1538461538457</v>
      </c>
      <c r="P5" s="81">
        <v>13</v>
      </c>
      <c r="Q5" s="68">
        <v>-94200</v>
      </c>
    </row>
    <row r="6" spans="1:17" x14ac:dyDescent="0.45">
      <c r="A6" s="21" t="s">
        <v>1</v>
      </c>
      <c r="B6" s="145">
        <f>IF(B$2=0,0,(B$7*1+B$8*2+B$9*3)/B$2)</f>
        <v>1.9285714285714286</v>
      </c>
      <c r="C6" s="146"/>
      <c r="E6" s="29" t="s">
        <v>67</v>
      </c>
      <c r="F6" s="26" t="s">
        <v>23</v>
      </c>
      <c r="G6" s="14">
        <v>8</v>
      </c>
      <c r="H6" s="92">
        <f>IF(B$19=0,0,G6/B$19)</f>
        <v>0.27586206896551724</v>
      </c>
      <c r="I6" s="60">
        <v>2</v>
      </c>
      <c r="K6" s="7">
        <v>4</v>
      </c>
      <c r="L6" s="65">
        <v>27.4</v>
      </c>
      <c r="N6" s="78" t="s">
        <v>132</v>
      </c>
      <c r="O6" s="84">
        <f t="shared" si="0"/>
        <v>-666.66666666666663</v>
      </c>
      <c r="P6" s="81">
        <v>12</v>
      </c>
      <c r="Q6" s="68">
        <v>-8000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0.42857142857142855</v>
      </c>
      <c r="E7" s="29" t="s">
        <v>68</v>
      </c>
      <c r="F7" s="26" t="s">
        <v>12</v>
      </c>
      <c r="G7" s="14">
        <v>8</v>
      </c>
      <c r="H7" s="92">
        <f>IF(B$19=0,0,G7/B$19)</f>
        <v>0.27586206896551724</v>
      </c>
      <c r="I7" s="60">
        <v>7</v>
      </c>
      <c r="K7" s="7">
        <v>5</v>
      </c>
      <c r="L7" s="65">
        <v>18</v>
      </c>
      <c r="N7" s="79" t="s">
        <v>133</v>
      </c>
      <c r="O7" s="85">
        <f t="shared" si="0"/>
        <v>9514.2857142857138</v>
      </c>
      <c r="P7" s="82">
        <v>7</v>
      </c>
      <c r="Q7" s="69">
        <v>66600</v>
      </c>
    </row>
    <row r="8" spans="1:17" x14ac:dyDescent="0.45">
      <c r="A8" s="21" t="s">
        <v>3</v>
      </c>
      <c r="B8" s="14">
        <v>3</v>
      </c>
      <c r="C8" s="8">
        <f t="shared" si="1"/>
        <v>0.21428571428571427</v>
      </c>
      <c r="E8" s="29" t="s">
        <v>65</v>
      </c>
      <c r="F8" s="26" t="s">
        <v>21</v>
      </c>
      <c r="G8" s="14">
        <v>5</v>
      </c>
      <c r="H8" s="92">
        <f>IF(B$19=0,0,G8/B$19)</f>
        <v>0.17241379310344829</v>
      </c>
      <c r="I8" s="60">
        <v>1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0.35714285714285715</v>
      </c>
      <c r="E9" s="29" t="s">
        <v>86</v>
      </c>
      <c r="F9" s="26" t="s">
        <v>41</v>
      </c>
      <c r="G9" s="14">
        <v>5</v>
      </c>
      <c r="H9" s="92">
        <f>IF(B$19=0,0,G9/B$19)</f>
        <v>0.17241379310344829</v>
      </c>
      <c r="I9" s="60">
        <v>1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34.449999999999996</v>
      </c>
      <c r="C10" s="114">
        <v>206.7</v>
      </c>
      <c r="E10" s="29" t="s">
        <v>89</v>
      </c>
      <c r="F10" s="26" t="s">
        <v>44</v>
      </c>
      <c r="G10" s="14">
        <v>5</v>
      </c>
      <c r="H10" s="92">
        <f>IF(B$19=0,0,G10/B$19)</f>
        <v>0.17241379310344829</v>
      </c>
      <c r="I10" s="60">
        <v>3</v>
      </c>
      <c r="K10" s="7">
        <v>8</v>
      </c>
      <c r="L10" s="65">
        <v>-9.9999999999999964</v>
      </c>
      <c r="N10" s="77" t="s">
        <v>152</v>
      </c>
      <c r="O10" s="86">
        <f>IF(P10=0,0,Q10/P10)</f>
        <v>-8.875</v>
      </c>
      <c r="P10" s="80">
        <v>4</v>
      </c>
      <c r="Q10" s="71">
        <v>-35.5</v>
      </c>
    </row>
    <row r="11" spans="1:17" x14ac:dyDescent="0.45">
      <c r="A11" s="22" t="s">
        <v>186</v>
      </c>
      <c r="B11" s="113">
        <f>IF(B8=0,0,C11/B8)</f>
        <v>-6.6000000000000005</v>
      </c>
      <c r="C11" s="114">
        <v>-19.8</v>
      </c>
      <c r="E11" s="29" t="s">
        <v>69</v>
      </c>
      <c r="F11" s="26" t="s">
        <v>24</v>
      </c>
      <c r="G11" s="14">
        <v>3</v>
      </c>
      <c r="H11" s="92">
        <f>IF(B$19=0,0,G11/B$19)</f>
        <v>0.10344827586206896</v>
      </c>
      <c r="I11" s="60">
        <v>7</v>
      </c>
      <c r="K11" s="7">
        <v>9</v>
      </c>
      <c r="L11" s="65">
        <v>33.5</v>
      </c>
      <c r="N11" s="78" t="s">
        <v>153</v>
      </c>
      <c r="O11" s="87">
        <f>IF(P11=0,0,Q11/P11)</f>
        <v>-11.3</v>
      </c>
      <c r="P11" s="81">
        <v>5</v>
      </c>
      <c r="Q11" s="72">
        <v>-56.500000000000007</v>
      </c>
    </row>
    <row r="12" spans="1:17" x14ac:dyDescent="0.45">
      <c r="A12" s="22" t="s">
        <v>187</v>
      </c>
      <c r="B12" s="113">
        <f>IF(B9=0,0,C12/B9)</f>
        <v>-34.36</v>
      </c>
      <c r="C12" s="114">
        <v>-171.79999999999998</v>
      </c>
      <c r="E12" s="29" t="s">
        <v>71</v>
      </c>
      <c r="F12" s="26" t="s">
        <v>26</v>
      </c>
      <c r="G12" s="14">
        <v>3</v>
      </c>
      <c r="H12" s="92">
        <f>IF(B$19=0,0,G12/B$19)</f>
        <v>0.10344827586206896</v>
      </c>
      <c r="I12" s="60">
        <v>3</v>
      </c>
      <c r="K12" s="7">
        <v>10</v>
      </c>
      <c r="L12" s="65">
        <v>26</v>
      </c>
      <c r="N12" s="79" t="s">
        <v>154</v>
      </c>
      <c r="O12" s="88">
        <f>IF(P12=0,0,Q12/P12)</f>
        <v>21.419999999999998</v>
      </c>
      <c r="P12" s="82">
        <v>5</v>
      </c>
      <c r="Q12" s="73">
        <v>107.1</v>
      </c>
    </row>
    <row r="13" spans="1:17" x14ac:dyDescent="0.45">
      <c r="A13" s="22" t="s">
        <v>188</v>
      </c>
      <c r="B13" s="131">
        <f>AVERAGE(B10:B12)</f>
        <v>-2.1700000000000017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6.8965517241379309E-2</v>
      </c>
      <c r="I13" s="60">
        <v>2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7.1428571428571425E-2</v>
      </c>
      <c r="E14" s="29" t="s">
        <v>83</v>
      </c>
      <c r="F14" s="26" t="s">
        <v>38</v>
      </c>
      <c r="G14" s="14">
        <v>2</v>
      </c>
      <c r="H14" s="92">
        <f>IF(B$19=0,0,G14/B$19)</f>
        <v>6.8965517241379309E-2</v>
      </c>
      <c r="I14" s="60">
        <v>4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34</v>
      </c>
      <c r="C15" s="12">
        <f>IF(B$3=0,0,B15/B$3)</f>
        <v>0.30630630630630629</v>
      </c>
      <c r="E15" s="29" t="s">
        <v>70</v>
      </c>
      <c r="F15" s="26" t="s">
        <v>25</v>
      </c>
      <c r="G15" s="14">
        <v>1</v>
      </c>
      <c r="H15" s="92">
        <f>IF(B$19=0,0,G15/B$19)</f>
        <v>3.4482758620689655E-2</v>
      </c>
      <c r="I15" s="60">
        <v>4</v>
      </c>
      <c r="K15" s="7">
        <v>13</v>
      </c>
      <c r="L15" s="65">
        <v>-33.5</v>
      </c>
      <c r="N15" s="77" t="s">
        <v>205</v>
      </c>
      <c r="O15" s="86">
        <f t="shared" ref="O15:O20" si="2">IF(P15=0,0,Q15/P15)</f>
        <v>98.7</v>
      </c>
      <c r="P15" s="80">
        <v>1</v>
      </c>
      <c r="Q15" s="71">
        <v>98.7</v>
      </c>
    </row>
    <row r="16" spans="1:17" x14ac:dyDescent="0.45">
      <c r="A16" s="21" t="s">
        <v>118</v>
      </c>
      <c r="B16" s="14">
        <v>23</v>
      </c>
      <c r="C16" s="8">
        <f>IF(B$3=0,0,B16/B$3)</f>
        <v>0.2072072072072072</v>
      </c>
      <c r="E16" s="29" t="s">
        <v>78</v>
      </c>
      <c r="F16" s="26" t="s">
        <v>33</v>
      </c>
      <c r="G16" s="14">
        <v>1</v>
      </c>
      <c r="H16" s="92">
        <f>IF(B$19=0,0,G16/B$19)</f>
        <v>3.4482758620689655E-2</v>
      </c>
      <c r="I16" s="60">
        <v>5</v>
      </c>
      <c r="K16" s="7">
        <v>14</v>
      </c>
      <c r="L16" s="65">
        <v>15.100000000000001</v>
      </c>
      <c r="N16" s="78" t="s">
        <v>189</v>
      </c>
      <c r="O16" s="87">
        <f t="shared" si="2"/>
        <v>26.674999999999997</v>
      </c>
      <c r="P16" s="81">
        <v>4</v>
      </c>
      <c r="Q16" s="72">
        <v>106.69999999999999</v>
      </c>
    </row>
    <row r="17" spans="1:17" x14ac:dyDescent="0.45">
      <c r="A17" s="20" t="s">
        <v>123</v>
      </c>
      <c r="B17" s="13">
        <f>B23</f>
        <v>17</v>
      </c>
      <c r="C17" s="6">
        <f>IF(B$15=0,0,B17/B$15)</f>
        <v>0.5</v>
      </c>
      <c r="E17" s="29" t="s">
        <v>79</v>
      </c>
      <c r="F17" s="26" t="s">
        <v>34</v>
      </c>
      <c r="G17" s="14">
        <v>1</v>
      </c>
      <c r="H17" s="92">
        <f>IF(B$19=0,0,G17/B$19)</f>
        <v>3.4482758620689655E-2</v>
      </c>
      <c r="I17" s="60">
        <v>2</v>
      </c>
      <c r="N17" s="78" t="s">
        <v>194</v>
      </c>
      <c r="O17" s="87">
        <f t="shared" si="2"/>
        <v>5.5333333333333341</v>
      </c>
      <c r="P17" s="81">
        <v>3</v>
      </c>
      <c r="Q17" s="72">
        <v>16.600000000000001</v>
      </c>
    </row>
    <row r="18" spans="1:17" x14ac:dyDescent="0.45">
      <c r="A18" s="20" t="s">
        <v>124</v>
      </c>
      <c r="B18" s="13">
        <f>B24</f>
        <v>8</v>
      </c>
      <c r="C18" s="6">
        <f>IF(B$16=0,0,B18/B$16)</f>
        <v>0.34782608695652173</v>
      </c>
      <c r="E18" s="29" t="s">
        <v>91</v>
      </c>
      <c r="F18" s="26" t="s">
        <v>46</v>
      </c>
      <c r="G18" s="14">
        <v>1</v>
      </c>
      <c r="H18" s="92">
        <f>IF(B$19=0,0,G18/B$19)</f>
        <v>3.4482758620689655E-2</v>
      </c>
      <c r="I18" s="60">
        <v>1</v>
      </c>
      <c r="N18" s="78" t="s">
        <v>126</v>
      </c>
      <c r="O18" s="87">
        <f t="shared" si="2"/>
        <v>-4.1800000000000006</v>
      </c>
      <c r="P18" s="81">
        <v>10</v>
      </c>
      <c r="Q18" s="72">
        <v>-41.800000000000004</v>
      </c>
    </row>
    <row r="19" spans="1:17" x14ac:dyDescent="0.45">
      <c r="A19" s="20" t="s">
        <v>10</v>
      </c>
      <c r="B19" s="13">
        <f>B22+B21</f>
        <v>29</v>
      </c>
      <c r="C19" s="6">
        <f>IF(B$3=0,0,B19/B$3)</f>
        <v>0.26126126126126126</v>
      </c>
      <c r="E19" s="29" t="s">
        <v>92</v>
      </c>
      <c r="F19" s="26" t="s">
        <v>47</v>
      </c>
      <c r="G19" s="14">
        <v>1</v>
      </c>
      <c r="H19" s="92">
        <f>IF(B$19=0,0,G19/B$19)</f>
        <v>3.4482758620689655E-2</v>
      </c>
      <c r="I19" s="60">
        <v>1</v>
      </c>
      <c r="N19" s="78" t="s">
        <v>192</v>
      </c>
      <c r="O19" s="87">
        <f t="shared" si="2"/>
        <v>-9.6111111111111089</v>
      </c>
      <c r="P19" s="81">
        <v>9</v>
      </c>
      <c r="Q19" s="72">
        <v>-86.499999999999986</v>
      </c>
    </row>
    <row r="20" spans="1:17" x14ac:dyDescent="0.45">
      <c r="A20" s="21" t="s">
        <v>13</v>
      </c>
      <c r="B20" s="14">
        <v>27</v>
      </c>
      <c r="C20" s="8">
        <f>IF(B$3=0,0,B20/B$3)</f>
        <v>0.24324324324324326</v>
      </c>
      <c r="E20" s="29" t="s">
        <v>156</v>
      </c>
      <c r="F20" s="26" t="s">
        <v>157</v>
      </c>
      <c r="G20" s="14">
        <v>1</v>
      </c>
      <c r="H20" s="92">
        <f>IF(B$19=0,0,G20/B$19)</f>
        <v>3.4482758620689655E-2</v>
      </c>
      <c r="I20" s="60">
        <v>1</v>
      </c>
      <c r="N20" s="78" t="s">
        <v>193</v>
      </c>
      <c r="O20" s="87">
        <f t="shared" si="2"/>
        <v>-48.4</v>
      </c>
      <c r="P20" s="81">
        <v>1</v>
      </c>
      <c r="Q20" s="72">
        <v>-48.4</v>
      </c>
    </row>
    <row r="21" spans="1:17" x14ac:dyDescent="0.45">
      <c r="A21" s="21" t="s">
        <v>12</v>
      </c>
      <c r="B21" s="14">
        <v>10</v>
      </c>
      <c r="C21" s="8">
        <f>IF(B$19=0,0,B21/B$19)</f>
        <v>0.34482758620689657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19</v>
      </c>
      <c r="C22" s="8">
        <f>IF(B$19=0,0,B22/B$19)</f>
        <v>0.65517241379310343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17</v>
      </c>
      <c r="C23" s="8">
        <f>IF(B$19=0,0,B23/B$19)</f>
        <v>0.58620689655172409</v>
      </c>
      <c r="E23" s="29" t="s">
        <v>75</v>
      </c>
      <c r="F23" s="26" t="s">
        <v>30</v>
      </c>
      <c r="G23" s="14">
        <v>0</v>
      </c>
      <c r="H23" s="92">
        <f>IF(B$19=0,0,G23/B$19)</f>
        <v>0</v>
      </c>
      <c r="I23" s="60">
        <v>3</v>
      </c>
    </row>
    <row r="24" spans="1:17" x14ac:dyDescent="0.45">
      <c r="A24" s="21" t="s">
        <v>182</v>
      </c>
      <c r="B24" s="14">
        <v>8</v>
      </c>
      <c r="C24" s="8">
        <f>IF(B$19=0,0,B24/B$19)</f>
        <v>0.27586206896551724</v>
      </c>
      <c r="E24" s="29" t="s">
        <v>76</v>
      </c>
      <c r="F24" s="26" t="s">
        <v>31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4</v>
      </c>
      <c r="C25" s="8">
        <f>IF(B$19=0,0,B25/B$19)</f>
        <v>0.13793103448275862</v>
      </c>
      <c r="E25" s="29" t="s">
        <v>77</v>
      </c>
      <c r="F25" s="26" t="s">
        <v>32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11479.310344827587</v>
      </c>
      <c r="C26" s="10">
        <v>332900</v>
      </c>
      <c r="E26" s="29" t="s">
        <v>80</v>
      </c>
      <c r="F26" s="26" t="s">
        <v>35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11647.619047619048</v>
      </c>
      <c r="C27" s="100">
        <v>244600</v>
      </c>
      <c r="E27" s="29" t="s">
        <v>82</v>
      </c>
      <c r="F27" s="26" t="s">
        <v>37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11037.5</v>
      </c>
      <c r="C28" s="100">
        <v>88300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-7077.7777777777774</v>
      </c>
      <c r="C29" s="100">
        <v>-191100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3</v>
      </c>
    </row>
    <row r="31" spans="1:17" x14ac:dyDescent="0.45">
      <c r="A31" s="21" t="s">
        <v>159</v>
      </c>
      <c r="B31" s="14">
        <v>20</v>
      </c>
      <c r="C31" s="94">
        <v>10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6</v>
      </c>
      <c r="C32" s="134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73600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1</v>
      </c>
      <c r="C34" s="11">
        <f>IF(B$3=0,0,B34/B$3)</f>
        <v>9.0090090090090089E-3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0</v>
      </c>
      <c r="C36" s="102">
        <f t="shared" ref="C36:C48" si="3">IF(B$19=0,0,B36/B$19)</f>
        <v>0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</v>
      </c>
      <c r="C37" s="8">
        <f t="shared" si="3"/>
        <v>3.4482758620689655E-2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2</v>
      </c>
      <c r="C38" s="8">
        <f t="shared" si="3"/>
        <v>6.8965517241379309E-2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10</v>
      </c>
      <c r="C39" s="8">
        <f t="shared" si="3"/>
        <v>0.34482758620689657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6</v>
      </c>
      <c r="C40" s="8">
        <f t="shared" si="3"/>
        <v>0.20689655172413793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1</v>
      </c>
      <c r="C41" s="8">
        <f t="shared" si="3"/>
        <v>3.4482758620689655E-2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4</v>
      </c>
      <c r="C42" s="8">
        <f t="shared" si="3"/>
        <v>0.13793103448275862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2</v>
      </c>
      <c r="C43" s="8">
        <f t="shared" si="3"/>
        <v>6.8965517241379309E-2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3"/>
        <v>3.4482758620689655E-2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3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1</v>
      </c>
      <c r="C47" s="8">
        <f t="shared" si="3"/>
        <v>3.4482758620689655E-2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3"/>
        <v>3.4482758620689655E-2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ABC93-27B0-4FEF-B6DE-8343FEF7B2C7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189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7</v>
      </c>
      <c r="C2" s="140"/>
      <c r="E2" s="28" t="s">
        <v>66</v>
      </c>
      <c r="F2" s="25" t="s">
        <v>22</v>
      </c>
      <c r="G2" s="13">
        <v>14</v>
      </c>
      <c r="H2" s="91">
        <f>IF(B$19=0,0,G2/B$19)</f>
        <v>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2316.6666666666665</v>
      </c>
      <c r="P2" s="80">
        <v>6</v>
      </c>
      <c r="Q2" s="67">
        <v>13900</v>
      </c>
    </row>
    <row r="3" spans="1:17" x14ac:dyDescent="0.45">
      <c r="A3" s="21" t="s">
        <v>8</v>
      </c>
      <c r="B3" s="141">
        <v>54</v>
      </c>
      <c r="C3" s="142"/>
      <c r="E3" s="29" t="s">
        <v>72</v>
      </c>
      <c r="F3" s="26" t="s">
        <v>27</v>
      </c>
      <c r="G3" s="14">
        <v>11</v>
      </c>
      <c r="H3" s="92">
        <f>IF(B$19=0,0,G3/B$19)</f>
        <v>0.7857142857142857</v>
      </c>
      <c r="I3" s="60">
        <v>2</v>
      </c>
      <c r="K3" s="7">
        <v>1</v>
      </c>
      <c r="L3" s="65">
        <v>-36.299999999999997</v>
      </c>
      <c r="N3" s="78" t="s">
        <v>129</v>
      </c>
      <c r="O3" s="84">
        <f t="shared" si="0"/>
        <v>142.85714285714286</v>
      </c>
      <c r="P3" s="81">
        <v>7</v>
      </c>
      <c r="Q3" s="68">
        <v>1000</v>
      </c>
    </row>
    <row r="4" spans="1:17" x14ac:dyDescent="0.45">
      <c r="A4" s="21" t="s">
        <v>6</v>
      </c>
      <c r="B4" s="143">
        <v>-26.899999999999988</v>
      </c>
      <c r="C4" s="144"/>
      <c r="E4" s="29" t="s">
        <v>64</v>
      </c>
      <c r="F4" s="26" t="s">
        <v>20</v>
      </c>
      <c r="G4" s="14">
        <v>9</v>
      </c>
      <c r="H4" s="92">
        <f>IF(B$19=0,0,G4/B$19)</f>
        <v>0.6428571428571429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-3385.7142857142858</v>
      </c>
      <c r="P4" s="81">
        <v>7</v>
      </c>
      <c r="Q4" s="68">
        <v>-23700</v>
      </c>
    </row>
    <row r="5" spans="1:17" x14ac:dyDescent="0.45">
      <c r="A5" s="21" t="s">
        <v>7</v>
      </c>
      <c r="B5" s="131">
        <f>IF(B$2=0,0,B$4/B$2)</f>
        <v>-3.8428571428571412</v>
      </c>
      <c r="C5" s="132"/>
      <c r="E5" s="29" t="s">
        <v>160</v>
      </c>
      <c r="F5" s="26" t="s">
        <v>161</v>
      </c>
      <c r="G5" s="14">
        <v>9</v>
      </c>
      <c r="H5" s="92">
        <f>IF(B$19=0,0,G5/B$19)</f>
        <v>0.6428571428571429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2485.7142857142858</v>
      </c>
      <c r="P5" s="81">
        <v>7</v>
      </c>
      <c r="Q5" s="68">
        <v>17400</v>
      </c>
    </row>
    <row r="6" spans="1:17" x14ac:dyDescent="0.45">
      <c r="A6" s="21" t="s">
        <v>1</v>
      </c>
      <c r="B6" s="145">
        <f>IF(B$2=0,0,(B$7*1+B$8*2+B$9*3)/B$2)</f>
        <v>2</v>
      </c>
      <c r="C6" s="146"/>
      <c r="E6" s="29" t="s">
        <v>68</v>
      </c>
      <c r="F6" s="26" t="s">
        <v>12</v>
      </c>
      <c r="G6" s="14">
        <v>4</v>
      </c>
      <c r="H6" s="92">
        <f>IF(B$19=0,0,G6/B$19)</f>
        <v>0.2857142857142857</v>
      </c>
      <c r="I6" s="60">
        <v>5</v>
      </c>
      <c r="K6" s="7">
        <v>4</v>
      </c>
      <c r="L6" s="65">
        <v>-83.899999999999991</v>
      </c>
      <c r="N6" s="78" t="s">
        <v>132</v>
      </c>
      <c r="O6" s="84">
        <f t="shared" si="0"/>
        <v>1000</v>
      </c>
      <c r="P6" s="81">
        <v>6</v>
      </c>
      <c r="Q6" s="68">
        <v>6000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0.2857142857142857</v>
      </c>
      <c r="E7" s="29" t="s">
        <v>89</v>
      </c>
      <c r="F7" s="26" t="s">
        <v>44</v>
      </c>
      <c r="G7" s="14">
        <v>3</v>
      </c>
      <c r="H7" s="92">
        <f>IF(B$19=0,0,G7/B$19)</f>
        <v>0.21428571428571427</v>
      </c>
      <c r="I7" s="60">
        <v>1</v>
      </c>
      <c r="K7" s="7">
        <v>5</v>
      </c>
      <c r="L7" s="65">
        <v>-57.899999999999991</v>
      </c>
      <c r="N7" s="79" t="s">
        <v>133</v>
      </c>
      <c r="O7" s="85">
        <f t="shared" si="0"/>
        <v>-5900</v>
      </c>
      <c r="P7" s="82">
        <v>5</v>
      </c>
      <c r="Q7" s="69">
        <v>-29500</v>
      </c>
    </row>
    <row r="8" spans="1:17" x14ac:dyDescent="0.45">
      <c r="A8" s="21" t="s">
        <v>3</v>
      </c>
      <c r="B8" s="14">
        <v>3</v>
      </c>
      <c r="C8" s="8">
        <f t="shared" si="1"/>
        <v>0.42857142857142855</v>
      </c>
      <c r="E8" s="29" t="s">
        <v>65</v>
      </c>
      <c r="F8" s="26" t="s">
        <v>21</v>
      </c>
      <c r="G8" s="14">
        <v>2</v>
      </c>
      <c r="H8" s="92">
        <f>IF(B$19=0,0,G8/B$19)</f>
        <v>0.14285714285714285</v>
      </c>
      <c r="I8" s="60">
        <v>3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2</v>
      </c>
      <c r="C9" s="9">
        <f t="shared" si="1"/>
        <v>0.2857142857142857</v>
      </c>
      <c r="E9" s="29" t="s">
        <v>67</v>
      </c>
      <c r="F9" s="26" t="s">
        <v>23</v>
      </c>
      <c r="G9" s="14">
        <v>2</v>
      </c>
      <c r="H9" s="92">
        <f>IF(B$19=0,0,G9/B$19)</f>
        <v>0.14285714285714285</v>
      </c>
      <c r="I9" s="60">
        <v>8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0.14285714285714285</v>
      </c>
      <c r="I10" s="60">
        <v>3</v>
      </c>
      <c r="N10" s="77" t="s">
        <v>152</v>
      </c>
      <c r="O10" s="86">
        <f>IF(P10=0,0,Q10/P10)</f>
        <v>1.7250000000000005</v>
      </c>
      <c r="P10" s="80">
        <v>4</v>
      </c>
      <c r="Q10" s="71">
        <v>6.9000000000000021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0.14285714285714285</v>
      </c>
      <c r="I11" s="60">
        <v>2</v>
      </c>
      <c r="N11" s="78" t="s">
        <v>153</v>
      </c>
      <c r="O11" s="87">
        <f>IF(P11=0,0,Q11/P11)</f>
        <v>-11.266666666666666</v>
      </c>
      <c r="P11" s="81">
        <v>3</v>
      </c>
      <c r="Q11" s="72">
        <v>-33.799999999999997</v>
      </c>
    </row>
    <row r="12" spans="1:17" x14ac:dyDescent="0.45">
      <c r="A12" s="22" t="s">
        <v>187</v>
      </c>
      <c r="B12" s="113">
        <f>IF(B9=0,0,C12/B9)</f>
        <v>-37.75</v>
      </c>
      <c r="C12" s="114">
        <v>-75.5</v>
      </c>
      <c r="E12" s="29" t="s">
        <v>77</v>
      </c>
      <c r="F12" s="26" t="s">
        <v>32</v>
      </c>
      <c r="G12" s="14">
        <v>1</v>
      </c>
      <c r="H12" s="92">
        <f>IF(B$19=0,0,G12/B$19)</f>
        <v>7.1428571428571425E-2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31">
        <f>AVERAGE(B10:B12)</f>
        <v>-3.4222222222222221</v>
      </c>
      <c r="C13" s="132"/>
      <c r="E13" s="29" t="s">
        <v>83</v>
      </c>
      <c r="F13" s="26" t="s">
        <v>38</v>
      </c>
      <c r="G13" s="14">
        <v>1</v>
      </c>
      <c r="H13" s="92">
        <f>IF(B$19=0,0,G13/B$19)</f>
        <v>7.1428571428571425E-2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15</v>
      </c>
      <c r="C15" s="12">
        <f>IF(B$3=0,0,B15/B$3)</f>
        <v>0.27777777777777779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3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5</v>
      </c>
      <c r="C16" s="8">
        <f>IF(B$3=0,0,B16/B$3)</f>
        <v>9.2592592592592587E-2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49.75</v>
      </c>
      <c r="P16" s="81">
        <v>2</v>
      </c>
      <c r="Q16" s="72">
        <v>99.5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0.53333333333333333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3</v>
      </c>
      <c r="N17" s="78" t="s">
        <v>126</v>
      </c>
      <c r="O17" s="87">
        <f>IF(P17=0,0,Q17/P17)</f>
        <v>-15.100000000000001</v>
      </c>
      <c r="P17" s="81">
        <v>4</v>
      </c>
      <c r="Q17" s="72">
        <v>-60.400000000000006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0.6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192</v>
      </c>
      <c r="O18" s="87">
        <f>IF(P18=0,0,Q18/P18)</f>
        <v>-23.599999999999998</v>
      </c>
      <c r="P18" s="81">
        <v>3</v>
      </c>
      <c r="Q18" s="72">
        <v>-70.8</v>
      </c>
    </row>
    <row r="19" spans="1:17" x14ac:dyDescent="0.45">
      <c r="A19" s="20" t="s">
        <v>10</v>
      </c>
      <c r="B19" s="13">
        <f>B22+B21</f>
        <v>14</v>
      </c>
      <c r="C19" s="6">
        <f>IF(B$3=0,0,B19/B$3)</f>
        <v>0.25925925925925924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6</v>
      </c>
      <c r="N19" s="78" t="s">
        <v>164</v>
      </c>
      <c r="O19" s="87">
        <f>IF(P19=0,0,Q19/P19)</f>
        <v>-26.674999999999997</v>
      </c>
      <c r="P19" s="81">
        <v>4</v>
      </c>
      <c r="Q19" s="72">
        <v>-106.69999999999999</v>
      </c>
    </row>
    <row r="20" spans="1:17" x14ac:dyDescent="0.45">
      <c r="A20" s="21" t="s">
        <v>13</v>
      </c>
      <c r="B20" s="14">
        <v>14</v>
      </c>
      <c r="C20" s="8">
        <f>IF(B$3=0,0,B20/B$3)</f>
        <v>0.25925925925925924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5</v>
      </c>
    </row>
    <row r="21" spans="1:17" x14ac:dyDescent="0.45">
      <c r="A21" s="21" t="s">
        <v>12</v>
      </c>
      <c r="B21" s="14">
        <v>9</v>
      </c>
      <c r="C21" s="8">
        <f>IF(B$19=0,0,B21/B$19)</f>
        <v>0.6428571428571429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5</v>
      </c>
      <c r="C22" s="8">
        <f>IF(B$19=0,0,B22/B$19)</f>
        <v>0.35714285714285715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6</v>
      </c>
    </row>
    <row r="23" spans="1:17" x14ac:dyDescent="0.45">
      <c r="A23" s="21" t="s">
        <v>184</v>
      </c>
      <c r="B23" s="14">
        <v>8</v>
      </c>
      <c r="C23" s="8">
        <f>IF(B$19=0,0,B23/B$19)</f>
        <v>0.5714285714285714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0.21428571428571427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0.21428571428571427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9985.7142857142862</v>
      </c>
      <c r="C26" s="10">
        <v>139800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166</v>
      </c>
      <c r="B27" s="99">
        <f>IF($B$19-B$18=0,0,C27/($B$19-B$18))</f>
        <v>9281.818181818182</v>
      </c>
      <c r="C27" s="100">
        <v>102100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-6628.5714285714284</v>
      </c>
      <c r="C29" s="100">
        <v>-92800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4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66700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1.8518518518518517E-2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0.21428571428571427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0.14285714285714285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0.21428571428571427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0.35714285714285715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7.1428571428571425E-2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599EB-1907-4BBD-B0BD-5F411B8FBA97}">
  <sheetPr codeName="Sheet1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126</v>
      </c>
      <c r="C1" s="138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22</v>
      </c>
      <c r="C2" s="140"/>
      <c r="E2" s="28" t="s">
        <v>66</v>
      </c>
      <c r="F2" s="25" t="s">
        <v>22</v>
      </c>
      <c r="G2" s="13">
        <v>45</v>
      </c>
      <c r="H2" s="91">
        <f>IF(B$19=0,0,G2/B$19)</f>
        <v>0.73770491803278693</v>
      </c>
      <c r="I2" s="59">
        <v>6</v>
      </c>
      <c r="K2" s="5">
        <v>0</v>
      </c>
      <c r="L2" s="64">
        <v>0</v>
      </c>
      <c r="N2" s="77" t="s">
        <v>128</v>
      </c>
      <c r="O2" s="83">
        <f t="shared" ref="O2:O7" si="0">IF(P2=0,0,Q2/P2)</f>
        <v>1309.090909090909</v>
      </c>
      <c r="P2" s="80">
        <v>22</v>
      </c>
      <c r="Q2" s="67">
        <v>28800</v>
      </c>
    </row>
    <row r="3" spans="1:17" x14ac:dyDescent="0.45">
      <c r="A3" s="21" t="s">
        <v>8</v>
      </c>
      <c r="B3" s="141">
        <v>165</v>
      </c>
      <c r="C3" s="142"/>
      <c r="E3" s="29" t="s">
        <v>72</v>
      </c>
      <c r="F3" s="26" t="s">
        <v>27</v>
      </c>
      <c r="G3" s="14">
        <v>31</v>
      </c>
      <c r="H3" s="92">
        <f>IF(B$19=0,0,G3/B$19)</f>
        <v>0.50819672131147542</v>
      </c>
      <c r="I3" s="60">
        <v>6</v>
      </c>
      <c r="K3" s="7">
        <v>1</v>
      </c>
      <c r="L3" s="65">
        <v>39.200000000000003</v>
      </c>
      <c r="N3" s="78" t="s">
        <v>129</v>
      </c>
      <c r="O3" s="84">
        <f t="shared" si="0"/>
        <v>3927.2727272727275</v>
      </c>
      <c r="P3" s="81">
        <v>22</v>
      </c>
      <c r="Q3" s="68">
        <v>86400</v>
      </c>
    </row>
    <row r="4" spans="1:17" x14ac:dyDescent="0.45">
      <c r="A4" s="21" t="s">
        <v>6</v>
      </c>
      <c r="B4" s="143">
        <v>344.1</v>
      </c>
      <c r="C4" s="144"/>
      <c r="E4" s="29" t="s">
        <v>64</v>
      </c>
      <c r="F4" s="26" t="s">
        <v>20</v>
      </c>
      <c r="G4" s="14">
        <v>20</v>
      </c>
      <c r="H4" s="92">
        <f>IF(B$19=0,0,G4/B$19)</f>
        <v>0.32786885245901637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5104.545454545455</v>
      </c>
      <c r="P4" s="81">
        <v>22</v>
      </c>
      <c r="Q4" s="68">
        <v>112300</v>
      </c>
    </row>
    <row r="5" spans="1:17" x14ac:dyDescent="0.45">
      <c r="A5" s="21" t="s">
        <v>7</v>
      </c>
      <c r="B5" s="131">
        <f>IF(B$2=0,0,B$4/B$2)</f>
        <v>15.640909090909092</v>
      </c>
      <c r="C5" s="132"/>
      <c r="E5" s="29" t="s">
        <v>160</v>
      </c>
      <c r="F5" s="26" t="s">
        <v>161</v>
      </c>
      <c r="G5" s="14">
        <v>20</v>
      </c>
      <c r="H5" s="92">
        <f>IF(B$19=0,0,G5/B$19)</f>
        <v>0.32786885245901637</v>
      </c>
      <c r="I5" s="60">
        <v>8</v>
      </c>
      <c r="K5" s="7">
        <v>3</v>
      </c>
      <c r="L5" s="65">
        <v>98.1</v>
      </c>
      <c r="N5" s="78" t="s">
        <v>131</v>
      </c>
      <c r="O5" s="84">
        <f t="shared" si="0"/>
        <v>4015.7894736842104</v>
      </c>
      <c r="P5" s="81">
        <v>19</v>
      </c>
      <c r="Q5" s="68">
        <v>76300</v>
      </c>
    </row>
    <row r="6" spans="1:17" x14ac:dyDescent="0.45">
      <c r="A6" s="21" t="s">
        <v>1</v>
      </c>
      <c r="B6" s="145">
        <f>IF(B$2=0,0,(B$7*1+B$8*2+B$9*3)/B$2)</f>
        <v>1.7272727272727273</v>
      </c>
      <c r="C6" s="146"/>
      <c r="E6" s="29" t="s">
        <v>68</v>
      </c>
      <c r="F6" s="26" t="s">
        <v>12</v>
      </c>
      <c r="G6" s="14">
        <v>17</v>
      </c>
      <c r="H6" s="92">
        <f>IF(B$19=0,0,G6/B$19)</f>
        <v>0.27868852459016391</v>
      </c>
      <c r="I6" s="60">
        <v>6</v>
      </c>
      <c r="K6" s="7">
        <v>4</v>
      </c>
      <c r="L6" s="65">
        <v>101.5</v>
      </c>
      <c r="N6" s="78" t="s">
        <v>132</v>
      </c>
      <c r="O6" s="84">
        <f t="shared" si="0"/>
        <v>-2258.8235294117649</v>
      </c>
      <c r="P6" s="81">
        <v>17</v>
      </c>
      <c r="Q6" s="68">
        <v>-38400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0.45454545454545453</v>
      </c>
      <c r="E7" s="29" t="s">
        <v>89</v>
      </c>
      <c r="F7" s="26" t="s">
        <v>44</v>
      </c>
      <c r="G7" s="14">
        <v>12</v>
      </c>
      <c r="H7" s="92">
        <f>IF(B$19=0,0,G7/B$19)</f>
        <v>0.19672131147540983</v>
      </c>
      <c r="I7" s="60">
        <v>2</v>
      </c>
      <c r="K7" s="7">
        <v>5</v>
      </c>
      <c r="L7" s="65">
        <v>143.1</v>
      </c>
      <c r="N7" s="79" t="s">
        <v>133</v>
      </c>
      <c r="O7" s="85">
        <f t="shared" si="0"/>
        <v>-2818.181818181818</v>
      </c>
      <c r="P7" s="82">
        <v>11</v>
      </c>
      <c r="Q7" s="69">
        <v>-31000</v>
      </c>
    </row>
    <row r="8" spans="1:17" x14ac:dyDescent="0.45">
      <c r="A8" s="21" t="s">
        <v>3</v>
      </c>
      <c r="B8" s="14">
        <v>8</v>
      </c>
      <c r="C8" s="8">
        <f t="shared" si="1"/>
        <v>0.36363636363636365</v>
      </c>
      <c r="E8" s="29" t="s">
        <v>67</v>
      </c>
      <c r="F8" s="26" t="s">
        <v>23</v>
      </c>
      <c r="G8" s="14">
        <v>11</v>
      </c>
      <c r="H8" s="92">
        <f>IF(B$19=0,0,G8/B$19)</f>
        <v>0.18032786885245902</v>
      </c>
      <c r="I8" s="60">
        <v>6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0.18181818181818182</v>
      </c>
      <c r="E9" s="29" t="s">
        <v>69</v>
      </c>
      <c r="F9" s="26" t="s">
        <v>24</v>
      </c>
      <c r="G9" s="14">
        <v>8</v>
      </c>
      <c r="H9" s="92">
        <f>IF(B$19=0,0,G9/B$19)</f>
        <v>0.13114754098360656</v>
      </c>
      <c r="I9" s="60">
        <v>4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46.65</v>
      </c>
      <c r="C10" s="114">
        <v>466.5</v>
      </c>
      <c r="E10" s="29" t="s">
        <v>86</v>
      </c>
      <c r="F10" s="26" t="s">
        <v>41</v>
      </c>
      <c r="G10" s="14">
        <v>7</v>
      </c>
      <c r="H10" s="92">
        <f>IF(B$19=0,0,G10/B$19)</f>
        <v>0.11475409836065574</v>
      </c>
      <c r="I10" s="60">
        <v>3</v>
      </c>
      <c r="K10" s="7">
        <v>8</v>
      </c>
      <c r="L10" s="65">
        <v>132.6</v>
      </c>
      <c r="N10" s="77" t="s">
        <v>152</v>
      </c>
      <c r="O10" s="86">
        <f>IF(P10=0,0,Q10/P10)</f>
        <v>4.5</v>
      </c>
      <c r="P10" s="80">
        <v>7</v>
      </c>
      <c r="Q10" s="71">
        <v>31.5</v>
      </c>
    </row>
    <row r="11" spans="1:17" x14ac:dyDescent="0.45">
      <c r="A11" s="22" t="s">
        <v>186</v>
      </c>
      <c r="B11" s="113">
        <f>IF(B8=0,0,C11/B8)</f>
        <v>3.1125000000000003</v>
      </c>
      <c r="C11" s="114">
        <v>24.900000000000002</v>
      </c>
      <c r="E11" s="29" t="s">
        <v>71</v>
      </c>
      <c r="F11" s="26" t="s">
        <v>26</v>
      </c>
      <c r="G11" s="14">
        <v>5</v>
      </c>
      <c r="H11" s="92">
        <f>IF(B$19=0,0,G11/B$19)</f>
        <v>8.1967213114754092E-2</v>
      </c>
      <c r="I11" s="60">
        <v>4</v>
      </c>
      <c r="K11" s="7">
        <v>9</v>
      </c>
      <c r="L11" s="65">
        <v>151.29999999999998</v>
      </c>
      <c r="N11" s="78" t="s">
        <v>153</v>
      </c>
      <c r="O11" s="87">
        <f>IF(P11=0,0,Q11/P11)</f>
        <v>13.916666666666666</v>
      </c>
      <c r="P11" s="81">
        <v>6</v>
      </c>
      <c r="Q11" s="72">
        <v>83.5</v>
      </c>
    </row>
    <row r="12" spans="1:17" x14ac:dyDescent="0.45">
      <c r="A12" s="22" t="s">
        <v>187</v>
      </c>
      <c r="B12" s="113">
        <f>IF(B9=0,0,C12/B9)</f>
        <v>-36.825000000000003</v>
      </c>
      <c r="C12" s="114">
        <v>-147.30000000000001</v>
      </c>
      <c r="E12" s="29" t="s">
        <v>83</v>
      </c>
      <c r="F12" s="26" t="s">
        <v>38</v>
      </c>
      <c r="G12" s="14">
        <v>5</v>
      </c>
      <c r="H12" s="92">
        <f>IF(B$19=0,0,G12/B$19)</f>
        <v>8.1967213114754092E-2</v>
      </c>
      <c r="I12" s="60">
        <v>2</v>
      </c>
      <c r="K12" s="7">
        <v>10</v>
      </c>
      <c r="L12" s="65">
        <v>229</v>
      </c>
      <c r="N12" s="79" t="s">
        <v>154</v>
      </c>
      <c r="O12" s="88">
        <f>IF(P12=0,0,Q12/P12)</f>
        <v>25.455555555555559</v>
      </c>
      <c r="P12" s="82">
        <v>9</v>
      </c>
      <c r="Q12" s="73">
        <v>229.10000000000002</v>
      </c>
    </row>
    <row r="13" spans="1:17" x14ac:dyDescent="0.45">
      <c r="A13" s="22" t="s">
        <v>188</v>
      </c>
      <c r="B13" s="131">
        <f>AVERAGE(B10:B12)</f>
        <v>4.3124999999999973</v>
      </c>
      <c r="C13" s="132"/>
      <c r="E13" s="29" t="s">
        <v>65</v>
      </c>
      <c r="F13" s="26" t="s">
        <v>21</v>
      </c>
      <c r="G13" s="14">
        <v>3</v>
      </c>
      <c r="H13" s="92">
        <f>IF(B$19=0,0,G13/B$19)</f>
        <v>4.9180327868852458E-2</v>
      </c>
      <c r="I13" s="60">
        <v>9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70</v>
      </c>
      <c r="F14" s="26" t="s">
        <v>25</v>
      </c>
      <c r="G14" s="14">
        <v>2</v>
      </c>
      <c r="H14" s="92">
        <f>IF(B$19=0,0,G14/B$19)</f>
        <v>3.2786885245901641E-2</v>
      </c>
      <c r="I14" s="60">
        <v>5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40</v>
      </c>
      <c r="C15" s="12">
        <f>IF(B$3=0,0,B15/B$3)</f>
        <v>0.24242424242424243</v>
      </c>
      <c r="E15" s="29" t="s">
        <v>79</v>
      </c>
      <c r="F15" s="26" t="s">
        <v>34</v>
      </c>
      <c r="G15" s="14">
        <v>2</v>
      </c>
      <c r="H15" s="92">
        <f>IF(B$19=0,0,G15/B$19)</f>
        <v>3.2786885245901641E-2</v>
      </c>
      <c r="I15" s="60">
        <v>3</v>
      </c>
      <c r="K15" s="7">
        <v>13</v>
      </c>
      <c r="L15" s="65">
        <v>197</v>
      </c>
      <c r="N15" s="77" t="s">
        <v>194</v>
      </c>
      <c r="O15" s="86">
        <f t="shared" ref="O15:O21" si="2">IF(P15=0,0,Q15/P15)</f>
        <v>44.46</v>
      </c>
      <c r="P15" s="80">
        <v>5</v>
      </c>
      <c r="Q15" s="71">
        <v>222.3</v>
      </c>
    </row>
    <row r="16" spans="1:17" x14ac:dyDescent="0.45">
      <c r="A16" s="21" t="s">
        <v>118</v>
      </c>
      <c r="B16" s="14">
        <v>34</v>
      </c>
      <c r="C16" s="8">
        <f>IF(B$3=0,0,B16/B$3)</f>
        <v>0.20606060606060606</v>
      </c>
      <c r="E16" s="29" t="s">
        <v>93</v>
      </c>
      <c r="F16" s="26" t="s">
        <v>48</v>
      </c>
      <c r="G16" s="14">
        <v>2</v>
      </c>
      <c r="H16" s="92">
        <f>IF(B$19=0,0,G16/B$19)</f>
        <v>3.2786885245901641E-2</v>
      </c>
      <c r="I16" s="60">
        <v>1</v>
      </c>
      <c r="K16" s="7">
        <v>14</v>
      </c>
      <c r="L16" s="65">
        <v>249.2</v>
      </c>
      <c r="N16" s="78" t="s">
        <v>193</v>
      </c>
      <c r="O16" s="87">
        <f t="shared" si="2"/>
        <v>40.874999999999993</v>
      </c>
      <c r="P16" s="81">
        <v>4</v>
      </c>
      <c r="Q16" s="72">
        <v>163.49999999999997</v>
      </c>
    </row>
    <row r="17" spans="1:17" x14ac:dyDescent="0.45">
      <c r="A17" s="20" t="s">
        <v>123</v>
      </c>
      <c r="B17" s="13">
        <f>B23</f>
        <v>24</v>
      </c>
      <c r="C17" s="6">
        <f>IF(B$15=0,0,B17/B$15)</f>
        <v>0.6</v>
      </c>
      <c r="E17" s="29" t="s">
        <v>156</v>
      </c>
      <c r="F17" s="26" t="s">
        <v>157</v>
      </c>
      <c r="G17" s="14">
        <v>2</v>
      </c>
      <c r="H17" s="92">
        <f>IF(B$19=0,0,G17/B$19)</f>
        <v>3.2786885245901641E-2</v>
      </c>
      <c r="I17" s="60">
        <v>2</v>
      </c>
      <c r="K17" s="7">
        <v>15</v>
      </c>
      <c r="L17" s="65">
        <v>213.5</v>
      </c>
      <c r="N17" s="78" t="s">
        <v>196</v>
      </c>
      <c r="O17" s="87">
        <f t="shared" si="2"/>
        <v>34.9</v>
      </c>
      <c r="P17" s="81">
        <v>2</v>
      </c>
      <c r="Q17" s="72">
        <v>69.8</v>
      </c>
    </row>
    <row r="18" spans="1:17" x14ac:dyDescent="0.45">
      <c r="A18" s="20" t="s">
        <v>124</v>
      </c>
      <c r="B18" s="13">
        <f>B24</f>
        <v>19</v>
      </c>
      <c r="C18" s="6">
        <f>IF(B$16=0,0,B18/B$16)</f>
        <v>0.55882352941176472</v>
      </c>
      <c r="E18" s="29" t="s">
        <v>73</v>
      </c>
      <c r="F18" s="26" t="s">
        <v>28</v>
      </c>
      <c r="G18" s="14">
        <v>1</v>
      </c>
      <c r="H18" s="92">
        <f>IF(B$19=0,0,G18/B$19)</f>
        <v>1.6393442622950821E-2</v>
      </c>
      <c r="I18" s="60">
        <v>1</v>
      </c>
      <c r="K18" s="7">
        <v>16</v>
      </c>
      <c r="L18" s="65">
        <v>273.8</v>
      </c>
      <c r="N18" s="78" t="s">
        <v>192</v>
      </c>
      <c r="O18" s="87">
        <f t="shared" si="2"/>
        <v>27.707142857142856</v>
      </c>
      <c r="P18" s="81">
        <v>14</v>
      </c>
      <c r="Q18" s="72">
        <v>387.9</v>
      </c>
    </row>
    <row r="19" spans="1:17" x14ac:dyDescent="0.45">
      <c r="A19" s="20" t="s">
        <v>10</v>
      </c>
      <c r="B19" s="13">
        <f>B22+B21</f>
        <v>61</v>
      </c>
      <c r="C19" s="6">
        <f>IF(B$3=0,0,B19/B$3)</f>
        <v>0.36969696969696969</v>
      </c>
      <c r="E19" s="29" t="s">
        <v>87</v>
      </c>
      <c r="F19" s="26" t="s">
        <v>42</v>
      </c>
      <c r="G19" s="14">
        <v>1</v>
      </c>
      <c r="H19" s="92">
        <f>IF(B$19=0,0,G19/B$19)</f>
        <v>1.6393442622950821E-2</v>
      </c>
      <c r="I19" s="60">
        <v>1</v>
      </c>
      <c r="K19" s="7">
        <v>17</v>
      </c>
      <c r="L19" s="65">
        <v>242.8</v>
      </c>
      <c r="N19" s="78" t="s">
        <v>205</v>
      </c>
      <c r="O19" s="87">
        <f t="shared" si="2"/>
        <v>17.32</v>
      </c>
      <c r="P19" s="81">
        <v>5</v>
      </c>
      <c r="Q19" s="72">
        <v>86.6</v>
      </c>
    </row>
    <row r="20" spans="1:17" x14ac:dyDescent="0.45">
      <c r="A20" s="21" t="s">
        <v>13</v>
      </c>
      <c r="B20" s="14">
        <v>21</v>
      </c>
      <c r="C20" s="8">
        <f>IF(B$3=0,0,B20/B$3)</f>
        <v>0.12727272727272726</v>
      </c>
      <c r="E20" s="29" t="s">
        <v>91</v>
      </c>
      <c r="F20" s="26" t="s">
        <v>46</v>
      </c>
      <c r="G20" s="14">
        <v>1</v>
      </c>
      <c r="H20" s="92">
        <f>IF(B$19=0,0,G20/B$19)</f>
        <v>1.6393442622950821E-2</v>
      </c>
      <c r="I20" s="60">
        <v>3</v>
      </c>
      <c r="K20" s="7">
        <v>18</v>
      </c>
      <c r="L20" s="65">
        <v>280</v>
      </c>
      <c r="N20" s="78" t="s">
        <v>189</v>
      </c>
      <c r="O20" s="87">
        <f t="shared" si="2"/>
        <v>15.100000000000001</v>
      </c>
      <c r="P20" s="81">
        <v>4</v>
      </c>
      <c r="Q20" s="72">
        <v>60.400000000000006</v>
      </c>
    </row>
    <row r="21" spans="1:17" x14ac:dyDescent="0.45">
      <c r="A21" s="21" t="s">
        <v>12</v>
      </c>
      <c r="B21" s="14">
        <v>29</v>
      </c>
      <c r="C21" s="8">
        <f>IF(B$19=0,0,B21/B$19)</f>
        <v>0.47540983606557374</v>
      </c>
      <c r="E21" s="29" t="s">
        <v>92</v>
      </c>
      <c r="F21" s="26" t="s">
        <v>47</v>
      </c>
      <c r="G21" s="14">
        <v>1</v>
      </c>
      <c r="H21" s="92">
        <f>IF(B$19=0,0,G21/B$19)</f>
        <v>1.6393442622950821E-2</v>
      </c>
      <c r="I21" s="60">
        <v>3</v>
      </c>
      <c r="K21" s="7">
        <v>19</v>
      </c>
      <c r="L21" s="65">
        <v>281.5</v>
      </c>
      <c r="N21" s="78" t="s">
        <v>164</v>
      </c>
      <c r="O21" s="87">
        <f t="shared" si="2"/>
        <v>4.1800000000000006</v>
      </c>
      <c r="P21" s="81">
        <v>10</v>
      </c>
      <c r="Q21" s="72">
        <v>41.800000000000004</v>
      </c>
    </row>
    <row r="22" spans="1:17" x14ac:dyDescent="0.45">
      <c r="A22" s="21" t="s">
        <v>11</v>
      </c>
      <c r="B22" s="14">
        <v>32</v>
      </c>
      <c r="C22" s="8">
        <f>IF(B$19=0,0,B22/B$19)</f>
        <v>0.52459016393442626</v>
      </c>
      <c r="E22" s="29" t="s">
        <v>95</v>
      </c>
      <c r="F22" s="26" t="s">
        <v>50</v>
      </c>
      <c r="G22" s="14">
        <v>1</v>
      </c>
      <c r="H22" s="92">
        <f>IF(B$19=0,0,G22/B$19)</f>
        <v>1.6393442622950821E-2</v>
      </c>
      <c r="I22" s="60">
        <v>1</v>
      </c>
      <c r="K22" s="7">
        <v>20</v>
      </c>
      <c r="L22" s="65">
        <v>287.2</v>
      </c>
    </row>
    <row r="23" spans="1:17" x14ac:dyDescent="0.45">
      <c r="A23" s="21" t="s">
        <v>184</v>
      </c>
      <c r="B23" s="14">
        <v>24</v>
      </c>
      <c r="C23" s="8">
        <f>IF(B$19=0,0,B23/B$19)</f>
        <v>0.39344262295081966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19</v>
      </c>
      <c r="C24" s="8">
        <f>IF(B$19=0,0,B24/B$19)</f>
        <v>0.31147540983606559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18</v>
      </c>
      <c r="C25" s="8">
        <f>IF(B$19=0,0,B25/B$19)</f>
        <v>0.29508196721311475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9885.2459016393441</v>
      </c>
      <c r="C26" s="10">
        <v>603000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9888.0952380952385</v>
      </c>
      <c r="C27" s="100">
        <v>415300</v>
      </c>
      <c r="E27" s="29" t="s">
        <v>78</v>
      </c>
      <c r="F27" s="26" t="s">
        <v>33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9878.9473684210534</v>
      </c>
      <c r="C28" s="100">
        <v>187700</v>
      </c>
      <c r="E28" s="29" t="s">
        <v>80</v>
      </c>
      <c r="F28" s="26" t="s">
        <v>35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-9309.5238095238092</v>
      </c>
      <c r="C29" s="100">
        <v>-195500</v>
      </c>
      <c r="E29" s="29" t="s">
        <v>81</v>
      </c>
      <c r="F29" s="26" t="s">
        <v>36</v>
      </c>
      <c r="G29" s="14">
        <v>0</v>
      </c>
      <c r="H29" s="92">
        <f>IF(B$19=0,0,G29/B$19)</f>
        <v>0</v>
      </c>
      <c r="I29" s="60">
        <v>6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82</v>
      </c>
      <c r="F30" s="26" t="s">
        <v>37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5</v>
      </c>
      <c r="E31" s="29" t="s">
        <v>84</v>
      </c>
      <c r="F31" s="26" t="s">
        <v>39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1</v>
      </c>
    </row>
    <row r="33" spans="1:9" x14ac:dyDescent="0.45">
      <c r="A33" s="24" t="s">
        <v>181</v>
      </c>
      <c r="B33" s="135">
        <v>102700</v>
      </c>
      <c r="C33" s="136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4</v>
      </c>
      <c r="C36" s="102">
        <f t="shared" ref="C36:C48" si="3">IF(B$19=0,0,B36/B$19)</f>
        <v>6.5573770491803282E-2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9</v>
      </c>
      <c r="C37" s="8">
        <f t="shared" si="3"/>
        <v>0.14754098360655737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10</v>
      </c>
      <c r="C38" s="8">
        <f t="shared" si="3"/>
        <v>0.16393442622950818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12</v>
      </c>
      <c r="C39" s="8">
        <f t="shared" si="3"/>
        <v>0.19672131147540983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11</v>
      </c>
      <c r="C40" s="8">
        <f t="shared" si="3"/>
        <v>0.18032786885245902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6</v>
      </c>
      <c r="C41" s="8">
        <f t="shared" si="3"/>
        <v>9.8360655737704916E-2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3"/>
        <v>4.9180327868852458E-2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</row>
    <row r="43" spans="1:9" x14ac:dyDescent="0.45">
      <c r="A43" s="21" t="s">
        <v>175</v>
      </c>
      <c r="B43" s="122">
        <v>0</v>
      </c>
      <c r="C43" s="8">
        <f t="shared" si="3"/>
        <v>0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3"/>
        <v>1.6393442622950821E-2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3"/>
        <v>1.6393442622950821E-2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3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3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4</v>
      </c>
      <c r="C48" s="11">
        <f t="shared" si="3"/>
        <v>6.5573770491803282E-2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4FCD9-9BEC-4509-B94A-21874D1ECCF0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194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11</v>
      </c>
      <c r="C2" s="140"/>
      <c r="E2" s="28" t="s">
        <v>64</v>
      </c>
      <c r="F2" s="25" t="s">
        <v>20</v>
      </c>
      <c r="G2" s="13">
        <v>8</v>
      </c>
      <c r="H2" s="91">
        <f>IF(B$19=0,0,G2/B$19)</f>
        <v>0.61538461538461542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-3918.181818181818</v>
      </c>
      <c r="P2" s="80">
        <v>11</v>
      </c>
      <c r="Q2" s="67">
        <v>-43100</v>
      </c>
    </row>
    <row r="3" spans="1:17" x14ac:dyDescent="0.45">
      <c r="A3" s="21" t="s">
        <v>8</v>
      </c>
      <c r="B3" s="141">
        <v>66</v>
      </c>
      <c r="C3" s="142"/>
      <c r="E3" s="29" t="s">
        <v>66</v>
      </c>
      <c r="F3" s="26" t="s">
        <v>22</v>
      </c>
      <c r="G3" s="14">
        <v>6</v>
      </c>
      <c r="H3" s="92">
        <f>IF(B$19=0,0,G3/B$19)</f>
        <v>0.46153846153846156</v>
      </c>
      <c r="I3" s="60">
        <v>7</v>
      </c>
      <c r="K3" s="7">
        <v>1</v>
      </c>
      <c r="L3" s="65">
        <v>-55.5</v>
      </c>
      <c r="N3" s="78" t="s">
        <v>129</v>
      </c>
      <c r="O3" s="84">
        <f t="shared" si="0"/>
        <v>-2790</v>
      </c>
      <c r="P3" s="81">
        <v>10</v>
      </c>
      <c r="Q3" s="68">
        <v>-27900</v>
      </c>
    </row>
    <row r="4" spans="1:17" x14ac:dyDescent="0.45">
      <c r="A4" s="21" t="s">
        <v>6</v>
      </c>
      <c r="B4" s="143">
        <v>-264.89999999999998</v>
      </c>
      <c r="C4" s="144"/>
      <c r="E4" s="29" t="s">
        <v>72</v>
      </c>
      <c r="F4" s="26" t="s">
        <v>27</v>
      </c>
      <c r="G4" s="14">
        <v>6</v>
      </c>
      <c r="H4" s="92">
        <f>IF(B$19=0,0,G4/B$19)</f>
        <v>0.46153846153846156</v>
      </c>
      <c r="I4" s="60">
        <v>8</v>
      </c>
      <c r="K4" s="7">
        <v>2</v>
      </c>
      <c r="L4" s="65">
        <v>-106.5</v>
      </c>
      <c r="N4" s="78" t="s">
        <v>130</v>
      </c>
      <c r="O4" s="84">
        <f t="shared" si="0"/>
        <v>-9530</v>
      </c>
      <c r="P4" s="81">
        <v>10</v>
      </c>
      <c r="Q4" s="68">
        <v>-95300</v>
      </c>
    </row>
    <row r="5" spans="1:17" x14ac:dyDescent="0.45">
      <c r="A5" s="21" t="s">
        <v>7</v>
      </c>
      <c r="B5" s="131">
        <f>IF(B$2=0,0,B$4/B$2)</f>
        <v>-24.081818181818178</v>
      </c>
      <c r="C5" s="132"/>
      <c r="E5" s="29" t="s">
        <v>160</v>
      </c>
      <c r="F5" s="26" t="s">
        <v>161</v>
      </c>
      <c r="G5" s="14">
        <v>6</v>
      </c>
      <c r="H5" s="92">
        <f>IF(B$19=0,0,G5/B$19)</f>
        <v>0.46153846153846156</v>
      </c>
      <c r="I5" s="60">
        <v>3</v>
      </c>
      <c r="K5" s="7">
        <v>3</v>
      </c>
      <c r="L5" s="65">
        <v>-108</v>
      </c>
      <c r="N5" s="78" t="s">
        <v>131</v>
      </c>
      <c r="O5" s="84">
        <f t="shared" si="0"/>
        <v>2657.1428571428573</v>
      </c>
      <c r="P5" s="81">
        <v>7</v>
      </c>
      <c r="Q5" s="68">
        <v>18600</v>
      </c>
    </row>
    <row r="6" spans="1:17" x14ac:dyDescent="0.45">
      <c r="A6" s="21" t="s">
        <v>1</v>
      </c>
      <c r="B6" s="145">
        <f>IF(B$2=0,0,(B$7*1+B$8*2+B$9*3)/B$2)</f>
        <v>2.6363636363636362</v>
      </c>
      <c r="C6" s="146"/>
      <c r="E6" s="29" t="s">
        <v>68</v>
      </c>
      <c r="F6" s="26" t="s">
        <v>12</v>
      </c>
      <c r="G6" s="14">
        <v>5</v>
      </c>
      <c r="H6" s="92">
        <f>IF(B$19=0,0,G6/B$19)</f>
        <v>0.38461538461538464</v>
      </c>
      <c r="I6" s="60">
        <v>1</v>
      </c>
      <c r="K6" s="7">
        <v>4</v>
      </c>
      <c r="L6" s="65">
        <v>-115.5</v>
      </c>
      <c r="N6" s="78" t="s">
        <v>132</v>
      </c>
      <c r="O6" s="84">
        <f t="shared" si="0"/>
        <v>400</v>
      </c>
      <c r="P6" s="81">
        <v>7</v>
      </c>
      <c r="Q6" s="68">
        <v>2800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67</v>
      </c>
      <c r="F7" s="26" t="s">
        <v>23</v>
      </c>
      <c r="G7" s="14">
        <v>4</v>
      </c>
      <c r="H7" s="92">
        <f>IF(B$19=0,0,G7/B$19)</f>
        <v>0.30769230769230771</v>
      </c>
      <c r="I7" s="60">
        <v>1</v>
      </c>
      <c r="K7" s="7">
        <v>5</v>
      </c>
      <c r="L7" s="65">
        <v>-116</v>
      </c>
      <c r="N7" s="79" t="s">
        <v>133</v>
      </c>
      <c r="O7" s="85">
        <f t="shared" si="0"/>
        <v>-2160</v>
      </c>
      <c r="P7" s="82">
        <v>5</v>
      </c>
      <c r="Q7" s="69">
        <v>-10800</v>
      </c>
    </row>
    <row r="8" spans="1:17" x14ac:dyDescent="0.45">
      <c r="A8" s="21" t="s">
        <v>3</v>
      </c>
      <c r="B8" s="14">
        <v>4</v>
      </c>
      <c r="C8" s="8">
        <f t="shared" si="1"/>
        <v>0.36363636363636365</v>
      </c>
      <c r="E8" s="29" t="s">
        <v>69</v>
      </c>
      <c r="F8" s="26" t="s">
        <v>24</v>
      </c>
      <c r="G8" s="14">
        <v>3</v>
      </c>
      <c r="H8" s="92">
        <f>IF(B$19=0,0,G8/B$19)</f>
        <v>0.23076923076923078</v>
      </c>
      <c r="I8" s="60">
        <v>1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7</v>
      </c>
      <c r="C9" s="9">
        <f t="shared" si="1"/>
        <v>0.63636363636363635</v>
      </c>
      <c r="E9" s="29" t="s">
        <v>65</v>
      </c>
      <c r="F9" s="26" t="s">
        <v>21</v>
      </c>
      <c r="G9" s="14">
        <v>1</v>
      </c>
      <c r="H9" s="92">
        <f>IF(B$19=0,0,G9/B$19)</f>
        <v>7.6923076923076927E-2</v>
      </c>
      <c r="I9" s="60">
        <v>6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71</v>
      </c>
      <c r="F10" s="26" t="s">
        <v>26</v>
      </c>
      <c r="G10" s="14">
        <v>1</v>
      </c>
      <c r="H10" s="92">
        <f>IF(B$19=0,0,G10/B$19)</f>
        <v>7.6923076923076927E-2</v>
      </c>
      <c r="I10" s="60">
        <v>5</v>
      </c>
      <c r="K10" s="7">
        <v>8</v>
      </c>
      <c r="L10" s="65">
        <v>-157.19999999999999</v>
      </c>
      <c r="N10" s="77" t="s">
        <v>152</v>
      </c>
      <c r="O10" s="86">
        <f>IF(P10=0,0,Q10/P10)</f>
        <v>-34.125</v>
      </c>
      <c r="P10" s="80">
        <v>4</v>
      </c>
      <c r="Q10" s="71">
        <v>-136.5</v>
      </c>
    </row>
    <row r="11" spans="1:17" x14ac:dyDescent="0.45">
      <c r="A11" s="22" t="s">
        <v>186</v>
      </c>
      <c r="B11" s="113">
        <f>IF(B8=0,0,C11/B8)</f>
        <v>0.45000000000000018</v>
      </c>
      <c r="C11" s="114">
        <v>1.8000000000000007</v>
      </c>
      <c r="E11" s="29" t="s">
        <v>81</v>
      </c>
      <c r="F11" s="26" t="s">
        <v>36</v>
      </c>
      <c r="G11" s="14">
        <v>1</v>
      </c>
      <c r="H11" s="92">
        <f>IF(B$19=0,0,G11/B$19)</f>
        <v>7.6923076923076927E-2</v>
      </c>
      <c r="I11" s="60">
        <v>1</v>
      </c>
      <c r="K11" s="7">
        <v>9</v>
      </c>
      <c r="L11" s="65">
        <v>-172.39999999999998</v>
      </c>
      <c r="N11" s="78" t="s">
        <v>153</v>
      </c>
      <c r="O11" s="87">
        <f>IF(P11=0,0,Q11/P11)</f>
        <v>-8.9750000000000014</v>
      </c>
      <c r="P11" s="81">
        <v>4</v>
      </c>
      <c r="Q11" s="72">
        <v>-35.900000000000006</v>
      </c>
    </row>
    <row r="12" spans="1:17" x14ac:dyDescent="0.45">
      <c r="A12" s="22" t="s">
        <v>187</v>
      </c>
      <c r="B12" s="113">
        <f>IF(B9=0,0,C12/B9)</f>
        <v>-38.1</v>
      </c>
      <c r="C12" s="114">
        <v>-266.7</v>
      </c>
      <c r="E12" s="29" t="s">
        <v>70</v>
      </c>
      <c r="F12" s="26" t="s">
        <v>25</v>
      </c>
      <c r="G12" s="14">
        <v>0</v>
      </c>
      <c r="H12" s="92">
        <f>IF(B$19=0,0,G12/B$19)</f>
        <v>0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-30.833333333333332</v>
      </c>
      <c r="P12" s="82">
        <v>3</v>
      </c>
      <c r="Q12" s="73">
        <v>-92.5</v>
      </c>
    </row>
    <row r="13" spans="1:17" x14ac:dyDescent="0.45">
      <c r="A13" s="22" t="s">
        <v>188</v>
      </c>
      <c r="B13" s="131">
        <f>AVERAGE(B10:B12)</f>
        <v>-12.549999999999999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0.36363636363636365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22</v>
      </c>
      <c r="C15" s="12">
        <f>IF(B$3=0,0,B15/B$3)</f>
        <v>0.33333333333333331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3</v>
      </c>
      <c r="N15" s="77" t="s">
        <v>164</v>
      </c>
      <c r="O15" s="86">
        <f>IF(P15=0,0,Q15/P15)</f>
        <v>-5.5333333333333341</v>
      </c>
      <c r="P15" s="80">
        <v>3</v>
      </c>
      <c r="Q15" s="71">
        <v>-16.600000000000001</v>
      </c>
    </row>
    <row r="16" spans="1:17" x14ac:dyDescent="0.45">
      <c r="A16" s="21" t="s">
        <v>118</v>
      </c>
      <c r="B16" s="14">
        <v>8</v>
      </c>
      <c r="C16" s="8">
        <f>IF(B$3=0,0,B16/B$3)</f>
        <v>0.12121212121212122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-16.157142857142858</v>
      </c>
      <c r="P16" s="81">
        <v>7</v>
      </c>
      <c r="Q16" s="72">
        <v>-113.10000000000001</v>
      </c>
    </row>
    <row r="17" spans="1:17" x14ac:dyDescent="0.45">
      <c r="A17" s="20" t="s">
        <v>123</v>
      </c>
      <c r="B17" s="13">
        <f>B23</f>
        <v>8</v>
      </c>
      <c r="C17" s="6">
        <f>IF(B$15=0,0,B17/B$15)</f>
        <v>0.36363636363636365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196</v>
      </c>
      <c r="O17" s="87">
        <f>IF(P17=0,0,Q17/P17)</f>
        <v>-20.5</v>
      </c>
      <c r="P17" s="81">
        <v>1</v>
      </c>
      <c r="Q17" s="72">
        <v>-20.5</v>
      </c>
    </row>
    <row r="18" spans="1:17" x14ac:dyDescent="0.45">
      <c r="A18" s="20" t="s">
        <v>124</v>
      </c>
      <c r="B18" s="13">
        <f>B24</f>
        <v>2</v>
      </c>
      <c r="C18" s="6">
        <f>IF(B$16=0,0,B18/B$16)</f>
        <v>0.25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-44.46</v>
      </c>
      <c r="P18" s="81">
        <v>5</v>
      </c>
      <c r="Q18" s="72">
        <v>-222.3</v>
      </c>
    </row>
    <row r="19" spans="1:17" x14ac:dyDescent="0.45">
      <c r="A19" s="20" t="s">
        <v>10</v>
      </c>
      <c r="B19" s="13">
        <f>B22+B21</f>
        <v>13</v>
      </c>
      <c r="C19" s="6">
        <f>IF(B$3=0,0,B19/B$3)</f>
        <v>0.19696969696969696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  <c r="N19" s="78" t="s">
        <v>193</v>
      </c>
      <c r="O19" s="87">
        <f>IF(P19=0,0,Q19/P19)</f>
        <v>-70.36666666666666</v>
      </c>
      <c r="P19" s="81">
        <v>6</v>
      </c>
      <c r="Q19" s="72">
        <v>-422.2</v>
      </c>
    </row>
    <row r="20" spans="1:17" x14ac:dyDescent="0.45">
      <c r="A20" s="21" t="s">
        <v>13</v>
      </c>
      <c r="B20" s="14">
        <v>11</v>
      </c>
      <c r="C20" s="8">
        <f>IF(B$3=0,0,B20/B$3)</f>
        <v>0.16666666666666666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5</v>
      </c>
      <c r="C21" s="8">
        <f>IF(B$19=0,0,B21/B$19)</f>
        <v>0.38461538461538464</v>
      </c>
      <c r="E21" s="29" t="s">
        <v>82</v>
      </c>
      <c r="F21" s="26" t="s">
        <v>37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0.61538461538461542</v>
      </c>
      <c r="E22" s="29" t="s">
        <v>83</v>
      </c>
      <c r="F22" s="26" t="s">
        <v>38</v>
      </c>
      <c r="G22" s="14">
        <v>0</v>
      </c>
      <c r="H22" s="92">
        <f>IF(B$19=0,0,G22/B$19)</f>
        <v>0</v>
      </c>
      <c r="I22" s="60">
        <v>7</v>
      </c>
    </row>
    <row r="23" spans="1:17" x14ac:dyDescent="0.45">
      <c r="A23" s="21" t="s">
        <v>184</v>
      </c>
      <c r="B23" s="14">
        <v>8</v>
      </c>
      <c r="C23" s="8">
        <f>IF(B$19=0,0,B23/B$19)</f>
        <v>0.61538461538461542</v>
      </c>
      <c r="E23" s="29" t="s">
        <v>84</v>
      </c>
      <c r="F23" s="26" t="s">
        <v>39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2</v>
      </c>
      <c r="C24" s="8">
        <f>IF(B$19=0,0,B24/B$19)</f>
        <v>0.15384615384615385</v>
      </c>
      <c r="E24" s="29" t="s">
        <v>85</v>
      </c>
      <c r="F24" s="26" t="s">
        <v>40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3</v>
      </c>
      <c r="C25" s="8">
        <f>IF(B$19=0,0,B25/B$19)</f>
        <v>0.23076923076923078</v>
      </c>
      <c r="E25" s="29" t="s">
        <v>86</v>
      </c>
      <c r="F25" s="26" t="s">
        <v>41</v>
      </c>
      <c r="G25" s="14">
        <v>0</v>
      </c>
      <c r="H25" s="92">
        <f>IF(B$19=0,0,G25/B$19)</f>
        <v>0</v>
      </c>
      <c r="I25" s="60">
        <v>6</v>
      </c>
    </row>
    <row r="26" spans="1:17" x14ac:dyDescent="0.45">
      <c r="A26" s="21" t="s">
        <v>5</v>
      </c>
      <c r="B26" s="18">
        <f>IF(B$19=0,0,C26/B$19)</f>
        <v>5169.2307692307695</v>
      </c>
      <c r="C26" s="10">
        <v>67200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5745.454545454545</v>
      </c>
      <c r="C27" s="100">
        <v>63200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2000</v>
      </c>
      <c r="C28" s="100">
        <v>4000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5">
      <c r="A29" s="22" t="s">
        <v>165</v>
      </c>
      <c r="B29" s="99">
        <f>IF(B$20=0,0,C29/B$20)</f>
        <v>-9490.9090909090901</v>
      </c>
      <c r="C29" s="100">
        <v>-104400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25</v>
      </c>
      <c r="C31" s="94">
        <v>0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3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46300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1</v>
      </c>
      <c r="C36" s="102">
        <f t="shared" ref="C36:C48" si="2">IF(B$19=0,0,B36/B$19)</f>
        <v>7.6923076923076927E-2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4</v>
      </c>
      <c r="C37" s="8">
        <f t="shared" si="2"/>
        <v>0.30769230769230771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4</v>
      </c>
      <c r="C38" s="8">
        <f t="shared" si="2"/>
        <v>0.30769230769230771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7.6923076923076927E-2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1</v>
      </c>
      <c r="C40" s="8">
        <f t="shared" si="2"/>
        <v>7.6923076923076927E-2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0.15384615384615385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16339-386F-41C4-BDFE-80E8F817A815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192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25</v>
      </c>
      <c r="C2" s="140"/>
      <c r="E2" s="28" t="s">
        <v>72</v>
      </c>
      <c r="F2" s="25" t="s">
        <v>27</v>
      </c>
      <c r="G2" s="13">
        <v>31</v>
      </c>
      <c r="H2" s="91">
        <f>IF(B$19=0,0,G2/B$19)</f>
        <v>0.62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1145.8333333333333</v>
      </c>
      <c r="P2" s="80">
        <v>24</v>
      </c>
      <c r="Q2" s="67">
        <v>27500</v>
      </c>
    </row>
    <row r="3" spans="1:17" x14ac:dyDescent="0.45">
      <c r="A3" s="21" t="s">
        <v>8</v>
      </c>
      <c r="B3" s="141">
        <v>181</v>
      </c>
      <c r="C3" s="142"/>
      <c r="E3" s="29" t="s">
        <v>64</v>
      </c>
      <c r="F3" s="26" t="s">
        <v>20</v>
      </c>
      <c r="G3" s="14">
        <v>25</v>
      </c>
      <c r="H3" s="92">
        <f>IF(B$19=0,0,G3/B$19)</f>
        <v>0.5</v>
      </c>
      <c r="I3" s="60">
        <v>5</v>
      </c>
      <c r="K3" s="7">
        <v>1</v>
      </c>
      <c r="L3" s="65">
        <v>-0.5</v>
      </c>
      <c r="N3" s="78" t="s">
        <v>129</v>
      </c>
      <c r="O3" s="84">
        <f t="shared" si="0"/>
        <v>-1433.3333333333333</v>
      </c>
      <c r="P3" s="81">
        <v>24</v>
      </c>
      <c r="Q3" s="68">
        <v>-34400</v>
      </c>
    </row>
    <row r="4" spans="1:17" x14ac:dyDescent="0.45">
      <c r="A4" s="21" t="s">
        <v>6</v>
      </c>
      <c r="B4" s="143">
        <v>-13.199999999999989</v>
      </c>
      <c r="C4" s="144"/>
      <c r="E4" s="29" t="s">
        <v>66</v>
      </c>
      <c r="F4" s="26" t="s">
        <v>22</v>
      </c>
      <c r="G4" s="14">
        <v>23</v>
      </c>
      <c r="H4" s="92">
        <f>IF(B$19=0,0,G4/B$19)</f>
        <v>0.46</v>
      </c>
      <c r="I4" s="60">
        <v>8</v>
      </c>
      <c r="K4" s="7">
        <v>2</v>
      </c>
      <c r="L4" s="65">
        <v>-62.8</v>
      </c>
      <c r="N4" s="78" t="s">
        <v>130</v>
      </c>
      <c r="O4" s="84">
        <f t="shared" si="0"/>
        <v>266.66666666666669</v>
      </c>
      <c r="P4" s="81">
        <v>24</v>
      </c>
      <c r="Q4" s="68">
        <v>6400</v>
      </c>
    </row>
    <row r="5" spans="1:17" x14ac:dyDescent="0.45">
      <c r="A5" s="21" t="s">
        <v>7</v>
      </c>
      <c r="B5" s="131">
        <f>IF(B$2=0,0,B$4/B$2)</f>
        <v>-0.52799999999999958</v>
      </c>
      <c r="C5" s="132"/>
      <c r="E5" s="29" t="s">
        <v>160</v>
      </c>
      <c r="F5" s="26" t="s">
        <v>161</v>
      </c>
      <c r="G5" s="14">
        <v>21</v>
      </c>
      <c r="H5" s="92">
        <f>IF(B$19=0,0,G5/B$19)</f>
        <v>0.42</v>
      </c>
      <c r="I5" s="60">
        <v>4</v>
      </c>
      <c r="K5" s="7">
        <v>3</v>
      </c>
      <c r="L5" s="65">
        <v>-48.5</v>
      </c>
      <c r="N5" s="78" t="s">
        <v>131</v>
      </c>
      <c r="O5" s="84">
        <f t="shared" si="0"/>
        <v>-395.45454545454544</v>
      </c>
      <c r="P5" s="81">
        <v>22</v>
      </c>
      <c r="Q5" s="68">
        <v>-8700</v>
      </c>
    </row>
    <row r="6" spans="1:17" x14ac:dyDescent="0.45">
      <c r="A6" s="21" t="s">
        <v>1</v>
      </c>
      <c r="B6" s="145">
        <f>IF(B$2=0,0,(B$7*1+B$8*2+B$9*3)/B$2)</f>
        <v>1.92</v>
      </c>
      <c r="C6" s="146"/>
      <c r="E6" s="29" t="s">
        <v>68</v>
      </c>
      <c r="F6" s="26" t="s">
        <v>12</v>
      </c>
      <c r="G6" s="14">
        <v>16</v>
      </c>
      <c r="H6" s="92">
        <f>IF(B$19=0,0,G6/B$19)</f>
        <v>0.32</v>
      </c>
      <c r="I6" s="60">
        <v>3</v>
      </c>
      <c r="K6" s="7">
        <v>4</v>
      </c>
      <c r="L6" s="65">
        <v>-75.599999999999994</v>
      </c>
      <c r="N6" s="78" t="s">
        <v>132</v>
      </c>
      <c r="O6" s="84">
        <f t="shared" si="0"/>
        <v>-850</v>
      </c>
      <c r="P6" s="81">
        <v>18</v>
      </c>
      <c r="Q6" s="68">
        <v>-15300</v>
      </c>
    </row>
    <row r="7" spans="1:17" x14ac:dyDescent="0.45">
      <c r="A7" s="21" t="s">
        <v>2</v>
      </c>
      <c r="B7" s="14">
        <v>8</v>
      </c>
      <c r="C7" s="8">
        <f t="shared" ref="C7:C14" si="1">IF(B$2=0,0,B7/B$2)</f>
        <v>0.32</v>
      </c>
      <c r="E7" s="29" t="s">
        <v>67</v>
      </c>
      <c r="F7" s="26" t="s">
        <v>23</v>
      </c>
      <c r="G7" s="14">
        <v>13</v>
      </c>
      <c r="H7" s="92">
        <f>IF(B$19=0,0,G7/B$19)</f>
        <v>0.26</v>
      </c>
      <c r="I7" s="60">
        <v>3</v>
      </c>
      <c r="K7" s="7">
        <v>5</v>
      </c>
      <c r="L7" s="65">
        <v>-96.5</v>
      </c>
      <c r="N7" s="79" t="s">
        <v>133</v>
      </c>
      <c r="O7" s="85">
        <f t="shared" si="0"/>
        <v>175</v>
      </c>
      <c r="P7" s="82">
        <v>12</v>
      </c>
      <c r="Q7" s="69">
        <v>2100</v>
      </c>
    </row>
    <row r="8" spans="1:17" x14ac:dyDescent="0.45">
      <c r="A8" s="21" t="s">
        <v>3</v>
      </c>
      <c r="B8" s="14">
        <v>11</v>
      </c>
      <c r="C8" s="8">
        <f t="shared" si="1"/>
        <v>0.44</v>
      </c>
      <c r="E8" s="29" t="s">
        <v>89</v>
      </c>
      <c r="F8" s="26" t="s">
        <v>44</v>
      </c>
      <c r="G8" s="14">
        <v>8</v>
      </c>
      <c r="H8" s="92">
        <f>IF(B$19=0,0,G8/B$19)</f>
        <v>0.16</v>
      </c>
      <c r="I8" s="60">
        <v>4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6</v>
      </c>
      <c r="C9" s="9">
        <f t="shared" si="1"/>
        <v>0.24</v>
      </c>
      <c r="E9" s="29" t="s">
        <v>69</v>
      </c>
      <c r="F9" s="26" t="s">
        <v>24</v>
      </c>
      <c r="G9" s="14">
        <v>4</v>
      </c>
      <c r="H9" s="92">
        <f>IF(B$19=0,0,G9/B$19)</f>
        <v>0.08</v>
      </c>
      <c r="I9" s="60">
        <v>8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34.65</v>
      </c>
      <c r="C10" s="114">
        <v>277.2</v>
      </c>
      <c r="E10" s="29" t="s">
        <v>70</v>
      </c>
      <c r="F10" s="26" t="s">
        <v>25</v>
      </c>
      <c r="G10" s="14">
        <v>4</v>
      </c>
      <c r="H10" s="92">
        <f>IF(B$19=0,0,G10/B$19)</f>
        <v>0.08</v>
      </c>
      <c r="I10" s="60">
        <v>2</v>
      </c>
      <c r="K10" s="7">
        <v>8</v>
      </c>
      <c r="L10" s="65">
        <v>-28.3</v>
      </c>
      <c r="N10" s="77" t="s">
        <v>152</v>
      </c>
      <c r="O10" s="86">
        <f>IF(P10=0,0,Q10/P10)</f>
        <v>-17.55</v>
      </c>
      <c r="P10" s="80">
        <v>8</v>
      </c>
      <c r="Q10" s="71">
        <v>-140.4</v>
      </c>
    </row>
    <row r="11" spans="1:17" x14ac:dyDescent="0.45">
      <c r="A11" s="22" t="s">
        <v>186</v>
      </c>
      <c r="B11" s="113">
        <f>IF(B8=0,0,C11/B8)</f>
        <v>-4.3090909090909086</v>
      </c>
      <c r="C11" s="114">
        <v>-47.399999999999991</v>
      </c>
      <c r="E11" s="29" t="s">
        <v>79</v>
      </c>
      <c r="F11" s="26" t="s">
        <v>34</v>
      </c>
      <c r="G11" s="14">
        <v>4</v>
      </c>
      <c r="H11" s="92">
        <f>IF(B$19=0,0,G11/B$19)</f>
        <v>0.08</v>
      </c>
      <c r="I11" s="60">
        <v>1</v>
      </c>
      <c r="K11" s="7">
        <v>9</v>
      </c>
      <c r="L11" s="65">
        <v>-20.3</v>
      </c>
      <c r="N11" s="78" t="s">
        <v>153</v>
      </c>
      <c r="O11" s="87">
        <f>IF(P11=0,0,Q11/P11)</f>
        <v>-2.411111111111111</v>
      </c>
      <c r="P11" s="81">
        <v>9</v>
      </c>
      <c r="Q11" s="72">
        <v>-21.7</v>
      </c>
    </row>
    <row r="12" spans="1:17" x14ac:dyDescent="0.45">
      <c r="A12" s="22" t="s">
        <v>187</v>
      </c>
      <c r="B12" s="113">
        <f>IF(B9=0,0,C12/B9)</f>
        <v>-40.5</v>
      </c>
      <c r="C12" s="114">
        <v>-243</v>
      </c>
      <c r="E12" s="29" t="s">
        <v>65</v>
      </c>
      <c r="F12" s="26" t="s">
        <v>21</v>
      </c>
      <c r="G12" s="14">
        <v>3</v>
      </c>
      <c r="H12" s="92">
        <f>IF(B$19=0,0,G12/B$19)</f>
        <v>0.06</v>
      </c>
      <c r="I12" s="60">
        <v>8</v>
      </c>
      <c r="K12" s="7">
        <v>10</v>
      </c>
      <c r="L12" s="65">
        <v>-14.9</v>
      </c>
      <c r="N12" s="79" t="s">
        <v>154</v>
      </c>
      <c r="O12" s="88">
        <f>IF(P12=0,0,Q12/P12)</f>
        <v>18.612500000000001</v>
      </c>
      <c r="P12" s="82">
        <v>8</v>
      </c>
      <c r="Q12" s="73">
        <v>148.9</v>
      </c>
    </row>
    <row r="13" spans="1:17" x14ac:dyDescent="0.45">
      <c r="A13" s="22" t="s">
        <v>188</v>
      </c>
      <c r="B13" s="131">
        <f>AVERAGE(B10:B12)</f>
        <v>-3.3863636363636367</v>
      </c>
      <c r="C13" s="132"/>
      <c r="E13" s="29" t="s">
        <v>71</v>
      </c>
      <c r="F13" s="26" t="s">
        <v>26</v>
      </c>
      <c r="G13" s="14">
        <v>3</v>
      </c>
      <c r="H13" s="92">
        <f>IF(B$19=0,0,G13/B$19)</f>
        <v>0.06</v>
      </c>
      <c r="I13" s="60">
        <v>7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2</v>
      </c>
      <c r="C14" s="11">
        <f t="shared" si="1"/>
        <v>0.08</v>
      </c>
      <c r="E14" s="29" t="s">
        <v>78</v>
      </c>
      <c r="F14" s="26" t="s">
        <v>33</v>
      </c>
      <c r="G14" s="14">
        <v>3</v>
      </c>
      <c r="H14" s="92">
        <f>IF(B$19=0,0,G14/B$19)</f>
        <v>0.06</v>
      </c>
      <c r="I14" s="60">
        <v>3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49</v>
      </c>
      <c r="C15" s="12">
        <f>IF(B$3=0,0,B15/B$3)</f>
        <v>0.27071823204419887</v>
      </c>
      <c r="E15" s="29" t="s">
        <v>83</v>
      </c>
      <c r="F15" s="26" t="s">
        <v>38</v>
      </c>
      <c r="G15" s="14">
        <v>2</v>
      </c>
      <c r="H15" s="92">
        <f>IF(B$19=0,0,G15/B$19)</f>
        <v>0.04</v>
      </c>
      <c r="I15" s="60">
        <v>6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40</v>
      </c>
      <c r="C16" s="8">
        <f>IF(B$3=0,0,B16/B$3)</f>
        <v>0.22099447513812154</v>
      </c>
      <c r="E16" s="29" t="s">
        <v>81</v>
      </c>
      <c r="F16" s="26" t="s">
        <v>36</v>
      </c>
      <c r="G16" s="14">
        <v>1</v>
      </c>
      <c r="H16" s="92">
        <f>IF(B$19=0,0,G16/B$19)</f>
        <v>0.02</v>
      </c>
      <c r="I16" s="60">
        <v>5</v>
      </c>
      <c r="K16" s="7">
        <v>14</v>
      </c>
      <c r="L16" s="65">
        <v>-149.39999999999998</v>
      </c>
      <c r="N16" s="78" t="s">
        <v>196</v>
      </c>
      <c r="O16" s="87">
        <f>IF(P16=0,0,Q16/P16)</f>
        <v>19.850000000000001</v>
      </c>
      <c r="P16" s="81">
        <v>4</v>
      </c>
      <c r="Q16" s="72">
        <v>79.400000000000006</v>
      </c>
    </row>
    <row r="17" spans="1:17" x14ac:dyDescent="0.45">
      <c r="A17" s="20" t="s">
        <v>123</v>
      </c>
      <c r="B17" s="13">
        <f>B23</f>
        <v>27</v>
      </c>
      <c r="C17" s="6">
        <f>IF(B$15=0,0,B17/B$15)</f>
        <v>0.55102040816326525</v>
      </c>
      <c r="E17" s="29" t="s">
        <v>86</v>
      </c>
      <c r="F17" s="26" t="s">
        <v>41</v>
      </c>
      <c r="G17" s="14">
        <v>1</v>
      </c>
      <c r="H17" s="92">
        <f>IF(B$19=0,0,G17/B$19)</f>
        <v>0.02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>IF(P17=0,0,Q17/P17)</f>
        <v>16.157142857142858</v>
      </c>
      <c r="P17" s="81">
        <v>7</v>
      </c>
      <c r="Q17" s="72">
        <v>113.10000000000001</v>
      </c>
    </row>
    <row r="18" spans="1:17" x14ac:dyDescent="0.45">
      <c r="A18" s="20" t="s">
        <v>124</v>
      </c>
      <c r="B18" s="13">
        <f>B24</f>
        <v>13</v>
      </c>
      <c r="C18" s="6">
        <f>IF(B$16=0,0,B18/B$16)</f>
        <v>0.32500000000000001</v>
      </c>
      <c r="E18" s="29" t="s">
        <v>91</v>
      </c>
      <c r="F18" s="26" t="s">
        <v>46</v>
      </c>
      <c r="G18" s="14">
        <v>1</v>
      </c>
      <c r="H18" s="92">
        <f>IF(B$19=0,0,G18/B$19)</f>
        <v>0.02</v>
      </c>
      <c r="I18" s="60">
        <v>2</v>
      </c>
      <c r="K18" s="7">
        <v>16</v>
      </c>
      <c r="L18" s="65">
        <v>-141.29999999999998</v>
      </c>
      <c r="N18" s="78" t="s">
        <v>164</v>
      </c>
      <c r="O18" s="87">
        <f>IF(P18=0,0,Q18/P18)</f>
        <v>9.6111111111111107</v>
      </c>
      <c r="P18" s="81">
        <v>9</v>
      </c>
      <c r="Q18" s="72">
        <v>86.5</v>
      </c>
    </row>
    <row r="19" spans="1:17" x14ac:dyDescent="0.45">
      <c r="A19" s="20" t="s">
        <v>10</v>
      </c>
      <c r="B19" s="13">
        <f>B22+B21</f>
        <v>50</v>
      </c>
      <c r="C19" s="6">
        <f>IF(B$3=0,0,B19/B$3)</f>
        <v>0.27624309392265195</v>
      </c>
      <c r="E19" s="29" t="s">
        <v>92</v>
      </c>
      <c r="F19" s="26" t="s">
        <v>47</v>
      </c>
      <c r="G19" s="14">
        <v>1</v>
      </c>
      <c r="H19" s="92">
        <f>IF(B$19=0,0,G19/B$19)</f>
        <v>0.02</v>
      </c>
      <c r="I19" s="60">
        <v>2</v>
      </c>
      <c r="K19" s="7">
        <v>17</v>
      </c>
      <c r="L19" s="65">
        <v>-149.1</v>
      </c>
      <c r="N19" s="78" t="s">
        <v>193</v>
      </c>
      <c r="O19" s="87">
        <f>IF(P19=0,0,Q19/P19)</f>
        <v>2.2800000000000038</v>
      </c>
      <c r="P19" s="81">
        <v>10</v>
      </c>
      <c r="Q19" s="72">
        <v>22.80000000000004</v>
      </c>
    </row>
    <row r="20" spans="1:17" x14ac:dyDescent="0.45">
      <c r="A20" s="21" t="s">
        <v>13</v>
      </c>
      <c r="B20" s="14">
        <v>24</v>
      </c>
      <c r="C20" s="8">
        <f>IF(B$3=0,0,B20/B$3)</f>
        <v>0.13259668508287292</v>
      </c>
      <c r="E20" s="29" t="s">
        <v>73</v>
      </c>
      <c r="F20" s="26" t="s">
        <v>28</v>
      </c>
      <c r="G20" s="14">
        <v>0</v>
      </c>
      <c r="H20" s="92">
        <f>IF(B$19=0,0,G20/B$19)</f>
        <v>0</v>
      </c>
      <c r="I20" s="60">
        <v>3</v>
      </c>
      <c r="K20" s="7">
        <v>18</v>
      </c>
      <c r="L20" s="65">
        <v>-201.89999999999998</v>
      </c>
      <c r="N20" s="78" t="s">
        <v>205</v>
      </c>
      <c r="O20" s="87">
        <f>IF(P20=0,0,Q20/P20)</f>
        <v>-8.1000000000000014</v>
      </c>
      <c r="P20" s="81">
        <v>3</v>
      </c>
      <c r="Q20" s="72">
        <v>-24.300000000000004</v>
      </c>
    </row>
    <row r="21" spans="1:17" x14ac:dyDescent="0.45">
      <c r="A21" s="21" t="s">
        <v>12</v>
      </c>
      <c r="B21" s="14">
        <v>20</v>
      </c>
      <c r="C21" s="8">
        <f>IF(B$19=0,0,B21/B$19)</f>
        <v>0.4</v>
      </c>
      <c r="E21" s="29" t="s">
        <v>74</v>
      </c>
      <c r="F21" s="26" t="s">
        <v>29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-152.39999999999998</v>
      </c>
      <c r="N21" s="78" t="s">
        <v>126</v>
      </c>
      <c r="O21" s="87">
        <f>IF(P21=0,0,Q21/P21)</f>
        <v>-27.707142857142859</v>
      </c>
      <c r="P21" s="81">
        <v>14</v>
      </c>
      <c r="Q21" s="72">
        <v>-387.90000000000003</v>
      </c>
    </row>
    <row r="22" spans="1:17" x14ac:dyDescent="0.45">
      <c r="A22" s="21" t="s">
        <v>11</v>
      </c>
      <c r="B22" s="14">
        <v>30</v>
      </c>
      <c r="C22" s="8">
        <f>IF(B$19=0,0,B22/B$19)</f>
        <v>0.6</v>
      </c>
      <c r="E22" s="29" t="s">
        <v>75</v>
      </c>
      <c r="F22" s="26" t="s">
        <v>30</v>
      </c>
      <c r="G22" s="14">
        <v>0</v>
      </c>
      <c r="H22" s="92">
        <f>IF(B$19=0,0,G22/B$19)</f>
        <v>0</v>
      </c>
      <c r="I22" s="60">
        <v>3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27</v>
      </c>
      <c r="C23" s="8">
        <f>IF(B$19=0,0,B23/B$19)</f>
        <v>0.54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13</v>
      </c>
      <c r="C24" s="8">
        <f>IF(B$19=0,0,B24/B$19)</f>
        <v>0.26</v>
      </c>
      <c r="E24" s="29" t="s">
        <v>77</v>
      </c>
      <c r="F24" s="26" t="s">
        <v>32</v>
      </c>
      <c r="G24" s="14">
        <v>0</v>
      </c>
      <c r="H24" s="92">
        <f>IF(B$19=0,0,G24/B$19)</f>
        <v>0</v>
      </c>
      <c r="I24" s="60">
        <v>3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10</v>
      </c>
      <c r="C25" s="8">
        <f>IF(B$19=0,0,B25/B$19)</f>
        <v>0.2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8070</v>
      </c>
      <c r="C26" s="10">
        <v>403500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8348.6486486486483</v>
      </c>
      <c r="C27" s="100">
        <v>308900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7276.9230769230771</v>
      </c>
      <c r="C28" s="100">
        <v>94600</v>
      </c>
      <c r="E28" s="29" t="s">
        <v>85</v>
      </c>
      <c r="F28" s="26" t="s">
        <v>40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-7541.666666666667</v>
      </c>
      <c r="C29" s="100">
        <v>-181000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3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21</v>
      </c>
      <c r="C31" s="94">
        <v>6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</row>
    <row r="32" spans="1:17" x14ac:dyDescent="0.45">
      <c r="A32" s="56" t="s">
        <v>136</v>
      </c>
      <c r="B32" s="133">
        <v>5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88500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6</v>
      </c>
      <c r="C36" s="102">
        <f t="shared" ref="C36:C48" si="2">IF(B$19=0,0,B36/B$19)</f>
        <v>0.12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6</v>
      </c>
      <c r="C37" s="8">
        <f t="shared" si="2"/>
        <v>0.12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14</v>
      </c>
      <c r="C38" s="8">
        <f t="shared" si="2"/>
        <v>0.28000000000000003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10</v>
      </c>
      <c r="C39" s="8">
        <f t="shared" si="2"/>
        <v>0.2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4</v>
      </c>
      <c r="C40" s="8">
        <f t="shared" si="2"/>
        <v>0.08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2</v>
      </c>
      <c r="C41" s="8">
        <f t="shared" si="2"/>
        <v>0.04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4</v>
      </c>
      <c r="C42" s="8">
        <f t="shared" si="2"/>
        <v>0.08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1</v>
      </c>
      <c r="C44" s="8">
        <f t="shared" si="2"/>
        <v>0.02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0.02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1</v>
      </c>
      <c r="C46" s="8">
        <f t="shared" si="2"/>
        <v>0.02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0.02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FA17-DA6B-4C6C-BD7F-00F00D7167A6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193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13</v>
      </c>
      <c r="C2" s="140"/>
      <c r="E2" s="28" t="s">
        <v>66</v>
      </c>
      <c r="F2" s="25" t="s">
        <v>22</v>
      </c>
      <c r="G2" s="13">
        <v>26</v>
      </c>
      <c r="H2" s="91">
        <f>IF(B$19=0,0,G2/B$19)</f>
        <v>0.83870967741935487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-3715.3846153846152</v>
      </c>
      <c r="P2" s="80">
        <v>13</v>
      </c>
      <c r="Q2" s="67">
        <v>-48300</v>
      </c>
    </row>
    <row r="3" spans="1:17" x14ac:dyDescent="0.45">
      <c r="A3" s="21" t="s">
        <v>8</v>
      </c>
      <c r="B3" s="141">
        <v>86</v>
      </c>
      <c r="C3" s="142"/>
      <c r="E3" s="29" t="s">
        <v>72</v>
      </c>
      <c r="F3" s="26" t="s">
        <v>27</v>
      </c>
      <c r="G3" s="14">
        <v>25</v>
      </c>
      <c r="H3" s="92">
        <f>IF(B$19=0,0,G3/B$19)</f>
        <v>0.80645161290322576</v>
      </c>
      <c r="I3" s="60">
        <v>1</v>
      </c>
      <c r="K3" s="7">
        <v>1</v>
      </c>
      <c r="L3" s="65">
        <v>56</v>
      </c>
      <c r="N3" s="78" t="s">
        <v>129</v>
      </c>
      <c r="O3" s="84">
        <f t="shared" si="0"/>
        <v>-1633.3333333333333</v>
      </c>
      <c r="P3" s="81">
        <v>12</v>
      </c>
      <c r="Q3" s="68">
        <v>-19600</v>
      </c>
    </row>
    <row r="4" spans="1:17" x14ac:dyDescent="0.45">
      <c r="A4" s="21" t="s">
        <v>6</v>
      </c>
      <c r="B4" s="143">
        <v>83.1</v>
      </c>
      <c r="C4" s="144"/>
      <c r="E4" s="29" t="s">
        <v>64</v>
      </c>
      <c r="F4" s="26" t="s">
        <v>20</v>
      </c>
      <c r="G4" s="14">
        <v>10</v>
      </c>
      <c r="H4" s="92">
        <f>IF(B$19=0,0,G4/B$19)</f>
        <v>0.32258064516129031</v>
      </c>
      <c r="I4" s="60">
        <v>8</v>
      </c>
      <c r="K4" s="7">
        <v>2</v>
      </c>
      <c r="L4" s="65">
        <v>137.5</v>
      </c>
      <c r="N4" s="78" t="s">
        <v>130</v>
      </c>
      <c r="O4" s="84">
        <f t="shared" si="0"/>
        <v>6016.666666666667</v>
      </c>
      <c r="P4" s="81">
        <v>12</v>
      </c>
      <c r="Q4" s="68">
        <v>72200</v>
      </c>
    </row>
    <row r="5" spans="1:17" x14ac:dyDescent="0.45">
      <c r="A5" s="21" t="s">
        <v>7</v>
      </c>
      <c r="B5" s="131">
        <f>IF(B$2=0,0,B$4/B$2)</f>
        <v>6.3923076923076918</v>
      </c>
      <c r="C5" s="132"/>
      <c r="E5" s="29" t="s">
        <v>67</v>
      </c>
      <c r="F5" s="26" t="s">
        <v>23</v>
      </c>
      <c r="G5" s="14">
        <v>7</v>
      </c>
      <c r="H5" s="92">
        <f>IF(B$19=0,0,G5/B$19)</f>
        <v>0.22580645161290322</v>
      </c>
      <c r="I5" s="60">
        <v>4</v>
      </c>
      <c r="K5" s="7">
        <v>3</v>
      </c>
      <c r="L5" s="65">
        <v>159</v>
      </c>
      <c r="N5" s="78" t="s">
        <v>131</v>
      </c>
      <c r="O5" s="84">
        <f t="shared" si="0"/>
        <v>-888.88888888888891</v>
      </c>
      <c r="P5" s="81">
        <v>9</v>
      </c>
      <c r="Q5" s="68">
        <v>-8000</v>
      </c>
    </row>
    <row r="6" spans="1:17" x14ac:dyDescent="0.45">
      <c r="A6" s="21" t="s">
        <v>1</v>
      </c>
      <c r="B6" s="145">
        <f>IF(B$2=0,0,(B$7*1+B$8*2+B$9*3)/B$2)</f>
        <v>1.8461538461538463</v>
      </c>
      <c r="C6" s="146"/>
      <c r="E6" s="29" t="s">
        <v>68</v>
      </c>
      <c r="F6" s="26" t="s">
        <v>12</v>
      </c>
      <c r="G6" s="14">
        <v>7</v>
      </c>
      <c r="H6" s="92">
        <f>IF(B$19=0,0,G6/B$19)</f>
        <v>0.22580645161290322</v>
      </c>
      <c r="I6" s="60">
        <v>9</v>
      </c>
      <c r="K6" s="7">
        <v>4</v>
      </c>
      <c r="L6" s="65">
        <v>112.4</v>
      </c>
      <c r="N6" s="78" t="s">
        <v>132</v>
      </c>
      <c r="O6" s="84">
        <f t="shared" si="0"/>
        <v>4683.333333333333</v>
      </c>
      <c r="P6" s="81">
        <v>6</v>
      </c>
      <c r="Q6" s="68">
        <v>28100</v>
      </c>
    </row>
    <row r="7" spans="1:17" x14ac:dyDescent="0.45">
      <c r="A7" s="21" t="s">
        <v>2</v>
      </c>
      <c r="B7" s="14">
        <v>7</v>
      </c>
      <c r="C7" s="8">
        <f t="shared" ref="C7:C14" si="1">IF(B$2=0,0,B7/B$2)</f>
        <v>0.53846153846153844</v>
      </c>
      <c r="E7" s="29" t="s">
        <v>69</v>
      </c>
      <c r="F7" s="26" t="s">
        <v>24</v>
      </c>
      <c r="G7" s="14">
        <v>4</v>
      </c>
      <c r="H7" s="92">
        <f>IF(B$19=0,0,G7/B$19)</f>
        <v>0.12903225806451613</v>
      </c>
      <c r="I7" s="60">
        <v>5</v>
      </c>
      <c r="K7" s="7">
        <v>5</v>
      </c>
      <c r="L7" s="65">
        <v>140.30000000000001</v>
      </c>
      <c r="N7" s="79" t="s">
        <v>133</v>
      </c>
      <c r="O7" s="85">
        <f t="shared" si="0"/>
        <v>633.33333333333337</v>
      </c>
      <c r="P7" s="82">
        <v>6</v>
      </c>
      <c r="Q7" s="69">
        <v>3800</v>
      </c>
    </row>
    <row r="8" spans="1:17" x14ac:dyDescent="0.45">
      <c r="A8" s="21" t="s">
        <v>3</v>
      </c>
      <c r="B8" s="14">
        <v>1</v>
      </c>
      <c r="C8" s="8">
        <f t="shared" si="1"/>
        <v>7.6923076923076927E-2</v>
      </c>
      <c r="E8" s="29" t="s">
        <v>89</v>
      </c>
      <c r="F8" s="26" t="s">
        <v>44</v>
      </c>
      <c r="G8" s="14">
        <v>4</v>
      </c>
      <c r="H8" s="92">
        <f>IF(B$19=0,0,G8/B$19)</f>
        <v>0.12903225806451613</v>
      </c>
      <c r="I8" s="60">
        <v>6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5</v>
      </c>
      <c r="C9" s="9">
        <f t="shared" si="1"/>
        <v>0.38461538461538464</v>
      </c>
      <c r="E9" s="29" t="s">
        <v>160</v>
      </c>
      <c r="F9" s="26" t="s">
        <v>161</v>
      </c>
      <c r="G9" s="14">
        <v>4</v>
      </c>
      <c r="H9" s="92">
        <f>IF(B$19=0,0,G9/B$19)</f>
        <v>0.12903225806451613</v>
      </c>
      <c r="I9" s="60">
        <v>9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40.18571428571429</v>
      </c>
      <c r="C10" s="114">
        <v>281.3</v>
      </c>
      <c r="E10" s="29" t="s">
        <v>83</v>
      </c>
      <c r="F10" s="26" t="s">
        <v>38</v>
      </c>
      <c r="G10" s="14">
        <v>3</v>
      </c>
      <c r="H10" s="92">
        <f>IF(B$19=0,0,G10/B$19)</f>
        <v>9.6774193548387094E-2</v>
      </c>
      <c r="I10" s="60">
        <v>1</v>
      </c>
      <c r="K10" s="7">
        <v>8</v>
      </c>
      <c r="L10" s="65">
        <v>96.800000000000011</v>
      </c>
      <c r="N10" s="77" t="s">
        <v>152</v>
      </c>
      <c r="O10" s="86">
        <f>IF(P10=0,0,Q10/P10)</f>
        <v>-20.725000000000001</v>
      </c>
      <c r="P10" s="80">
        <v>4</v>
      </c>
      <c r="Q10" s="71">
        <v>-82.9</v>
      </c>
    </row>
    <row r="11" spans="1:17" x14ac:dyDescent="0.45">
      <c r="A11" s="22" t="s">
        <v>186</v>
      </c>
      <c r="B11" s="113">
        <f>IF(B8=0,0,C11/B8)</f>
        <v>-12.6</v>
      </c>
      <c r="C11" s="114">
        <v>-12.6</v>
      </c>
      <c r="E11" s="29" t="s">
        <v>65</v>
      </c>
      <c r="F11" s="26" t="s">
        <v>21</v>
      </c>
      <c r="G11" s="14">
        <v>2</v>
      </c>
      <c r="H11" s="92">
        <f>IF(B$19=0,0,G11/B$19)</f>
        <v>6.4516129032258063E-2</v>
      </c>
      <c r="I11" s="60">
        <v>7</v>
      </c>
      <c r="K11" s="7">
        <v>9</v>
      </c>
      <c r="L11" s="65">
        <v>51.600000000000009</v>
      </c>
      <c r="N11" s="78" t="s">
        <v>153</v>
      </c>
      <c r="O11" s="87">
        <f>IF(P11=0,0,Q11/P11)</f>
        <v>-1.2000000000000011</v>
      </c>
      <c r="P11" s="81">
        <v>4</v>
      </c>
      <c r="Q11" s="72">
        <v>-4.8000000000000043</v>
      </c>
    </row>
    <row r="12" spans="1:17" x14ac:dyDescent="0.45">
      <c r="A12" s="22" t="s">
        <v>187</v>
      </c>
      <c r="B12" s="113">
        <f>IF(B9=0,0,C12/B9)</f>
        <v>-37.120000000000005</v>
      </c>
      <c r="C12" s="114">
        <v>-185.60000000000002</v>
      </c>
      <c r="E12" s="29" t="s">
        <v>78</v>
      </c>
      <c r="F12" s="26" t="s">
        <v>33</v>
      </c>
      <c r="G12" s="14">
        <v>2</v>
      </c>
      <c r="H12" s="92">
        <f>IF(B$19=0,0,G12/B$19)</f>
        <v>6.4516129032258063E-2</v>
      </c>
      <c r="I12" s="60">
        <v>2</v>
      </c>
      <c r="K12" s="7">
        <v>10</v>
      </c>
      <c r="L12" s="65">
        <v>28.300000000000008</v>
      </c>
      <c r="N12" s="79" t="s">
        <v>154</v>
      </c>
      <c r="O12" s="88">
        <f>IF(P12=0,0,Q12/P12)</f>
        <v>34.160000000000004</v>
      </c>
      <c r="P12" s="82">
        <v>5</v>
      </c>
      <c r="Q12" s="73">
        <v>170.8</v>
      </c>
    </row>
    <row r="13" spans="1:17" x14ac:dyDescent="0.45">
      <c r="A13" s="22" t="s">
        <v>188</v>
      </c>
      <c r="B13" s="131">
        <f>AVERAGE(B10:B12)</f>
        <v>-3.1780952380952385</v>
      </c>
      <c r="C13" s="132"/>
      <c r="E13" s="29" t="s">
        <v>81</v>
      </c>
      <c r="F13" s="26" t="s">
        <v>36</v>
      </c>
      <c r="G13" s="14">
        <v>2</v>
      </c>
      <c r="H13" s="92">
        <f>IF(B$19=0,0,G13/B$19)</f>
        <v>6.4516129032258063E-2</v>
      </c>
      <c r="I13" s="60">
        <v>3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</v>
      </c>
      <c r="C14" s="11">
        <f t="shared" si="1"/>
        <v>0.23076923076923078</v>
      </c>
      <c r="E14" s="29" t="s">
        <v>75</v>
      </c>
      <c r="F14" s="26" t="s">
        <v>30</v>
      </c>
      <c r="G14" s="14">
        <v>1</v>
      </c>
      <c r="H14" s="92">
        <f>IF(B$19=0,0,G14/B$19)</f>
        <v>3.2258064516129031E-2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16</v>
      </c>
      <c r="C15" s="12">
        <f>IF(B$3=0,0,B15/B$3)</f>
        <v>0.18604651162790697</v>
      </c>
      <c r="E15" s="29" t="s">
        <v>102</v>
      </c>
      <c r="F15" s="26" t="s">
        <v>57</v>
      </c>
      <c r="G15" s="14">
        <v>1</v>
      </c>
      <c r="H15" s="92">
        <f>IF(B$19=0,0,G15/B$19)</f>
        <v>3.2258064516129031E-2</v>
      </c>
      <c r="I15" s="60">
        <v>1</v>
      </c>
      <c r="K15" s="7">
        <v>13</v>
      </c>
      <c r="L15" s="65">
        <v>83.1</v>
      </c>
      <c r="N15" s="77" t="s">
        <v>194</v>
      </c>
      <c r="O15" s="86">
        <f>IF(P15=0,0,Q15/P15)</f>
        <v>70.36666666666666</v>
      </c>
      <c r="P15" s="80">
        <v>6</v>
      </c>
      <c r="Q15" s="71">
        <v>422.2</v>
      </c>
    </row>
    <row r="16" spans="1:17" x14ac:dyDescent="0.45">
      <c r="A16" s="21" t="s">
        <v>118</v>
      </c>
      <c r="B16" s="14">
        <v>33</v>
      </c>
      <c r="C16" s="8">
        <f>IF(B$3=0,0,B16/B$3)</f>
        <v>0.38372093023255816</v>
      </c>
      <c r="E16" s="29" t="s">
        <v>70</v>
      </c>
      <c r="F16" s="26" t="s">
        <v>25</v>
      </c>
      <c r="G16" s="14">
        <v>0</v>
      </c>
      <c r="H16" s="92">
        <f>IF(B$19=0,0,G16/B$19)</f>
        <v>0</v>
      </c>
      <c r="I16" s="60">
        <v>6</v>
      </c>
      <c r="N16" s="78" t="s">
        <v>164</v>
      </c>
      <c r="O16" s="87">
        <f>IF(P16=0,0,Q16/P16)</f>
        <v>48.4</v>
      </c>
      <c r="P16" s="81">
        <v>1</v>
      </c>
      <c r="Q16" s="72">
        <v>48.4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0.625</v>
      </c>
      <c r="E17" s="29" t="s">
        <v>71</v>
      </c>
      <c r="F17" s="26" t="s">
        <v>26</v>
      </c>
      <c r="G17" s="14">
        <v>0</v>
      </c>
      <c r="H17" s="92">
        <f>IF(B$19=0,0,G17/B$19)</f>
        <v>0</v>
      </c>
      <c r="I17" s="60">
        <v>8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14</v>
      </c>
      <c r="C18" s="6">
        <f>IF(B$16=0,0,B18/B$16)</f>
        <v>0.42424242424242425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3</v>
      </c>
      <c r="N18" s="78" t="s">
        <v>192</v>
      </c>
      <c r="O18" s="87">
        <f>IF(P18=0,0,Q18/P18)</f>
        <v>-2.2800000000000038</v>
      </c>
      <c r="P18" s="81">
        <v>10</v>
      </c>
      <c r="Q18" s="72">
        <v>-22.80000000000004</v>
      </c>
    </row>
    <row r="19" spans="1:17" x14ac:dyDescent="0.45">
      <c r="A19" s="20" t="s">
        <v>10</v>
      </c>
      <c r="B19" s="13">
        <f>B22+B21</f>
        <v>31</v>
      </c>
      <c r="C19" s="6">
        <f>IF(B$3=0,0,B19/B$3)</f>
        <v>0.36046511627906974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N19" s="78" t="s">
        <v>126</v>
      </c>
      <c r="O19" s="87">
        <f>IF(P19=0,0,Q19/P19)</f>
        <v>-40.875</v>
      </c>
      <c r="P19" s="81">
        <v>4</v>
      </c>
      <c r="Q19" s="72">
        <v>-163.5</v>
      </c>
    </row>
    <row r="20" spans="1:17" x14ac:dyDescent="0.45">
      <c r="A20" s="21" t="s">
        <v>13</v>
      </c>
      <c r="B20" s="14">
        <v>11</v>
      </c>
      <c r="C20" s="8">
        <f>IF(B$3=0,0,B20/B$3)</f>
        <v>0.12790697674418605</v>
      </c>
      <c r="E20" s="29" t="s">
        <v>76</v>
      </c>
      <c r="F20" s="26" t="s">
        <v>31</v>
      </c>
      <c r="G20" s="14">
        <v>0</v>
      </c>
      <c r="H20" s="92">
        <f>IF(B$19=0,0,G20/B$19)</f>
        <v>0</v>
      </c>
      <c r="I20" s="60">
        <v>1</v>
      </c>
      <c r="N20" s="78" t="s">
        <v>189</v>
      </c>
      <c r="O20" s="87">
        <f>IF(P20=0,0,Q20/P20)</f>
        <v>-49.75</v>
      </c>
      <c r="P20" s="81">
        <v>2</v>
      </c>
      <c r="Q20" s="72">
        <v>-99.5</v>
      </c>
    </row>
    <row r="21" spans="1:17" x14ac:dyDescent="0.45">
      <c r="A21" s="21" t="s">
        <v>12</v>
      </c>
      <c r="B21" s="14">
        <v>15</v>
      </c>
      <c r="C21" s="8">
        <f>IF(B$19=0,0,B21/B$19)</f>
        <v>0.4838709677419355</v>
      </c>
      <c r="E21" s="29" t="s">
        <v>77</v>
      </c>
      <c r="F21" s="26" t="s">
        <v>32</v>
      </c>
      <c r="G21" s="14">
        <v>0</v>
      </c>
      <c r="H21" s="92">
        <f>IF(B$19=0,0,G21/B$19)</f>
        <v>0</v>
      </c>
      <c r="I21" s="60">
        <v>3</v>
      </c>
    </row>
    <row r="22" spans="1:17" x14ac:dyDescent="0.45">
      <c r="A22" s="21" t="s">
        <v>11</v>
      </c>
      <c r="B22" s="14">
        <v>16</v>
      </c>
      <c r="C22" s="8">
        <f>IF(B$19=0,0,B22/B$19)</f>
        <v>0.5161290322580645</v>
      </c>
      <c r="E22" s="29" t="s">
        <v>79</v>
      </c>
      <c r="F22" s="26" t="s">
        <v>34</v>
      </c>
      <c r="G22" s="14">
        <v>0</v>
      </c>
      <c r="H22" s="92">
        <f>IF(B$19=0,0,G22/B$19)</f>
        <v>0</v>
      </c>
      <c r="I22" s="60">
        <v>5</v>
      </c>
    </row>
    <row r="23" spans="1:17" x14ac:dyDescent="0.45">
      <c r="A23" s="21" t="s">
        <v>184</v>
      </c>
      <c r="B23" s="14">
        <v>10</v>
      </c>
      <c r="C23" s="8">
        <f>IF(B$19=0,0,B23/B$19)</f>
        <v>0.32258064516129031</v>
      </c>
      <c r="E23" s="29" t="s">
        <v>80</v>
      </c>
      <c r="F23" s="26" t="s">
        <v>35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14</v>
      </c>
      <c r="C24" s="8">
        <f>IF(B$19=0,0,B24/B$19)</f>
        <v>0.45161290322580644</v>
      </c>
      <c r="E24" s="29" t="s">
        <v>82</v>
      </c>
      <c r="F24" s="26" t="s">
        <v>37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7</v>
      </c>
      <c r="C25" s="8">
        <f>IF(B$19=0,0,B25/B$19)</f>
        <v>0.22580645161290322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8300</v>
      </c>
      <c r="C26" s="10">
        <v>257300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1</v>
      </c>
    </row>
    <row r="27" spans="1:17" x14ac:dyDescent="0.45">
      <c r="A27" s="22" t="s">
        <v>166</v>
      </c>
      <c r="B27" s="99">
        <f>IF($B$19-B$18=0,0,C27/($B$19-B$18))</f>
        <v>9717.6470588235297</v>
      </c>
      <c r="C27" s="100">
        <v>165200</v>
      </c>
      <c r="E27" s="29" t="s">
        <v>86</v>
      </c>
      <c r="F27" s="26" t="s">
        <v>41</v>
      </c>
      <c r="G27" s="14">
        <v>0</v>
      </c>
      <c r="H27" s="92">
        <f>IF(B$19=0,0,G27/B$19)</f>
        <v>0</v>
      </c>
      <c r="I27" s="60">
        <v>6</v>
      </c>
    </row>
    <row r="28" spans="1:17" x14ac:dyDescent="0.45">
      <c r="A28" s="22" t="s">
        <v>167</v>
      </c>
      <c r="B28" s="99">
        <f>IF(B$18=0,0,C28/B$18)</f>
        <v>6578.5714285714284</v>
      </c>
      <c r="C28" s="100">
        <v>92100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-8509.0909090909099</v>
      </c>
      <c r="C29" s="100">
        <v>-93600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7</v>
      </c>
      <c r="C30" s="94">
        <v>5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22</v>
      </c>
      <c r="C31" s="94">
        <v>22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6</v>
      </c>
      <c r="C32" s="134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5</v>
      </c>
    </row>
    <row r="33" spans="1:9" x14ac:dyDescent="0.45">
      <c r="A33" s="24" t="s">
        <v>181</v>
      </c>
      <c r="B33" s="135">
        <v>106500</v>
      </c>
      <c r="C33" s="136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5">
        <v>2</v>
      </c>
      <c r="C36" s="102">
        <f t="shared" ref="C36:C48" si="2">IF(B$19=0,0,B36/B$19)</f>
        <v>6.4516129032258063E-2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8</v>
      </c>
      <c r="C37" s="8">
        <f t="shared" si="2"/>
        <v>0.25806451612903225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6</v>
      </c>
      <c r="C38" s="8">
        <f t="shared" si="2"/>
        <v>0.19354838709677419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5</v>
      </c>
      <c r="C39" s="8">
        <f t="shared" si="2"/>
        <v>0.16129032258064516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6</v>
      </c>
      <c r="C40" s="8">
        <f t="shared" si="2"/>
        <v>0.19354838709677419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1</v>
      </c>
      <c r="C41" s="8">
        <f t="shared" si="2"/>
        <v>3.2258064516129031E-2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6">
        <v>1</v>
      </c>
      <c r="C42" s="8">
        <f t="shared" si="2"/>
        <v>3.2258064516129031E-2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1</v>
      </c>
      <c r="C45" s="8">
        <f t="shared" si="2"/>
        <v>3.2258064516129031E-2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3.2258064516129031E-2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2200A-4EAF-4DD5-86BE-275C7A49AD99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196</v>
      </c>
      <c r="C1" s="138"/>
      <c r="E1" s="108" t="s">
        <v>155</v>
      </c>
      <c r="F1" s="124" t="s">
        <v>115</v>
      </c>
      <c r="G1" s="123" t="s">
        <v>116</v>
      </c>
      <c r="H1" s="90" t="s">
        <v>117</v>
      </c>
      <c r="I1" s="124" t="s">
        <v>146</v>
      </c>
      <c r="K1" s="4" t="s">
        <v>19</v>
      </c>
      <c r="L1" s="12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64</v>
      </c>
      <c r="F2" s="25" t="s">
        <v>20</v>
      </c>
      <c r="G2" s="13">
        <v>4</v>
      </c>
      <c r="H2" s="91">
        <f>IF(B$19=0,0,G2/B$19)</f>
        <v>0.66666666666666663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0</v>
      </c>
      <c r="P2" s="80">
        <v>5</v>
      </c>
      <c r="Q2" s="67">
        <v>0</v>
      </c>
    </row>
    <row r="3" spans="1:17" x14ac:dyDescent="0.45">
      <c r="A3" s="21" t="s">
        <v>8</v>
      </c>
      <c r="B3" s="141">
        <v>34</v>
      </c>
      <c r="C3" s="142"/>
      <c r="E3" s="29" t="s">
        <v>68</v>
      </c>
      <c r="F3" s="26" t="s">
        <v>12</v>
      </c>
      <c r="G3" s="14">
        <v>2</v>
      </c>
      <c r="H3" s="92">
        <f>IF(B$19=0,0,G3/B$19)</f>
        <v>0.33333333333333331</v>
      </c>
      <c r="I3" s="60">
        <v>2</v>
      </c>
      <c r="K3" s="7">
        <v>1</v>
      </c>
      <c r="L3" s="65">
        <v>-30.5</v>
      </c>
      <c r="N3" s="78" t="s">
        <v>129</v>
      </c>
      <c r="O3" s="84">
        <f t="shared" si="0"/>
        <v>0</v>
      </c>
      <c r="P3" s="81">
        <v>5</v>
      </c>
      <c r="Q3" s="68">
        <v>0</v>
      </c>
    </row>
    <row r="4" spans="1:17" x14ac:dyDescent="0.45">
      <c r="A4" s="21" t="s">
        <v>6</v>
      </c>
      <c r="B4" s="143">
        <v>-64.400000000000006</v>
      </c>
      <c r="C4" s="144"/>
      <c r="E4" s="29" t="s">
        <v>72</v>
      </c>
      <c r="F4" s="26" t="s">
        <v>27</v>
      </c>
      <c r="G4" s="14">
        <v>2</v>
      </c>
      <c r="H4" s="92">
        <f>IF(B$19=0,0,G4/B$19)</f>
        <v>0.33333333333333331</v>
      </c>
      <c r="I4" s="60">
        <v>9</v>
      </c>
      <c r="K4" s="7">
        <v>2</v>
      </c>
      <c r="L4" s="65">
        <v>-28.6</v>
      </c>
      <c r="N4" s="78" t="s">
        <v>130</v>
      </c>
      <c r="O4" s="84">
        <f t="shared" si="0"/>
        <v>-8580</v>
      </c>
      <c r="P4" s="81">
        <v>5</v>
      </c>
      <c r="Q4" s="68">
        <v>-42900</v>
      </c>
    </row>
    <row r="5" spans="1:17" x14ac:dyDescent="0.45">
      <c r="A5" s="21" t="s">
        <v>7</v>
      </c>
      <c r="B5" s="131">
        <f>IF(B$2=0,0,B$4/B$2)</f>
        <v>-12.88</v>
      </c>
      <c r="C5" s="132"/>
      <c r="E5" s="29" t="s">
        <v>160</v>
      </c>
      <c r="F5" s="26" t="s">
        <v>161</v>
      </c>
      <c r="G5" s="14">
        <v>2</v>
      </c>
      <c r="H5" s="92">
        <f>IF(B$19=0,0,G5/B$19)</f>
        <v>0.33333333333333331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-4133.333333333333</v>
      </c>
      <c r="P5" s="81">
        <v>3</v>
      </c>
      <c r="Q5" s="68">
        <v>-12400</v>
      </c>
    </row>
    <row r="6" spans="1:17" x14ac:dyDescent="0.45">
      <c r="A6" s="21" t="s">
        <v>1</v>
      </c>
      <c r="B6" s="145">
        <f>IF(B$2=0,0,(B$7*1+B$8*2+B$9*3)/B$2)</f>
        <v>2.2000000000000002</v>
      </c>
      <c r="C6" s="146"/>
      <c r="E6" s="29" t="s">
        <v>65</v>
      </c>
      <c r="F6" s="26" t="s">
        <v>21</v>
      </c>
      <c r="G6" s="14">
        <v>1</v>
      </c>
      <c r="H6" s="92">
        <f>IF(B$19=0,0,G6/B$19)</f>
        <v>0.16666666666666666</v>
      </c>
      <c r="I6" s="60">
        <v>2</v>
      </c>
      <c r="K6" s="7">
        <v>4</v>
      </c>
      <c r="L6" s="65">
        <v>-56.000000000000007</v>
      </c>
      <c r="N6" s="78" t="s">
        <v>132</v>
      </c>
      <c r="O6" s="84">
        <f t="shared" si="0"/>
        <v>4000</v>
      </c>
      <c r="P6" s="81">
        <v>2</v>
      </c>
      <c r="Q6" s="68">
        <v>8000</v>
      </c>
    </row>
    <row r="7" spans="1:17" x14ac:dyDescent="0.45">
      <c r="A7" s="21" t="s">
        <v>2</v>
      </c>
      <c r="B7" s="14">
        <v>0</v>
      </c>
      <c r="C7" s="8">
        <f t="shared" ref="C7:C14" si="1">IF(B$2=0,0,B7/B$2)</f>
        <v>0</v>
      </c>
      <c r="E7" s="29" t="s">
        <v>66</v>
      </c>
      <c r="F7" s="26" t="s">
        <v>22</v>
      </c>
      <c r="G7" s="14">
        <v>1</v>
      </c>
      <c r="H7" s="92">
        <f>IF(B$19=0,0,G7/B$19)</f>
        <v>0.16666666666666666</v>
      </c>
      <c r="I7" s="60">
        <v>9</v>
      </c>
      <c r="K7" s="7">
        <v>5</v>
      </c>
      <c r="L7" s="65">
        <v>-64.400000000000006</v>
      </c>
      <c r="N7" s="79" t="s">
        <v>133</v>
      </c>
      <c r="O7" s="85">
        <f t="shared" si="0"/>
        <v>-3550</v>
      </c>
      <c r="P7" s="82">
        <v>2</v>
      </c>
      <c r="Q7" s="69">
        <v>-7100</v>
      </c>
    </row>
    <row r="8" spans="1:17" x14ac:dyDescent="0.45">
      <c r="A8" s="21" t="s">
        <v>3</v>
      </c>
      <c r="B8" s="14">
        <v>4</v>
      </c>
      <c r="C8" s="8">
        <f t="shared" si="1"/>
        <v>0.8</v>
      </c>
      <c r="E8" s="29" t="s">
        <v>67</v>
      </c>
      <c r="F8" s="26" t="s">
        <v>23</v>
      </c>
      <c r="G8" s="14">
        <v>1</v>
      </c>
      <c r="H8" s="92">
        <f>IF(B$19=0,0,G8/B$19)</f>
        <v>0.16666666666666666</v>
      </c>
      <c r="I8" s="60">
        <v>7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0.2</v>
      </c>
      <c r="E9" s="29" t="s">
        <v>86</v>
      </c>
      <c r="F9" s="26" t="s">
        <v>41</v>
      </c>
      <c r="G9" s="14">
        <v>1</v>
      </c>
      <c r="H9" s="92">
        <f>IF(B$19=0,0,G9/B$19)</f>
        <v>0.16666666666666666</v>
      </c>
      <c r="I9" s="60">
        <v>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69</v>
      </c>
      <c r="F10" s="26" t="s">
        <v>24</v>
      </c>
      <c r="G10" s="14">
        <v>0</v>
      </c>
      <c r="H10" s="92">
        <f>IF(B$19=0,0,G10/B$19)</f>
        <v>0</v>
      </c>
      <c r="I10" s="60">
        <v>9</v>
      </c>
      <c r="N10" s="77" t="s">
        <v>152</v>
      </c>
      <c r="O10" s="86">
        <f>IF(P10=0,0,Q10/P10)</f>
        <v>-14.6</v>
      </c>
      <c r="P10" s="80">
        <v>1</v>
      </c>
      <c r="Q10" s="71">
        <v>-14.6</v>
      </c>
    </row>
    <row r="11" spans="1:17" x14ac:dyDescent="0.45">
      <c r="A11" s="22" t="s">
        <v>186</v>
      </c>
      <c r="B11" s="113">
        <f>IF(B8=0,0,C11/B8)</f>
        <v>-12.9</v>
      </c>
      <c r="C11" s="114">
        <v>-51.6</v>
      </c>
      <c r="E11" s="29" t="s">
        <v>70</v>
      </c>
      <c r="F11" s="26" t="s">
        <v>25</v>
      </c>
      <c r="G11" s="14">
        <v>0</v>
      </c>
      <c r="H11" s="92">
        <f>IF(B$19=0,0,G11/B$19)</f>
        <v>0</v>
      </c>
      <c r="I11" s="60">
        <v>6</v>
      </c>
      <c r="N11" s="78" t="s">
        <v>153</v>
      </c>
      <c r="O11" s="87">
        <f>IF(P11=0,0,Q11/P11)</f>
        <v>-19.45</v>
      </c>
      <c r="P11" s="81">
        <v>2</v>
      </c>
      <c r="Q11" s="72">
        <v>-38.9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71</v>
      </c>
      <c r="F12" s="26" t="s">
        <v>26</v>
      </c>
      <c r="G12" s="14">
        <v>0</v>
      </c>
      <c r="H12" s="92">
        <f>IF(B$19=0,0,G12/B$19)</f>
        <v>0</v>
      </c>
      <c r="I12" s="60">
        <v>8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31">
        <f>AVERAGE(B10:B12)</f>
        <v>-8.5666666666666682</v>
      </c>
      <c r="C13" s="132"/>
      <c r="E13" s="29" t="s">
        <v>73</v>
      </c>
      <c r="F13" s="26" t="s">
        <v>28</v>
      </c>
      <c r="G13" s="14">
        <v>0</v>
      </c>
      <c r="H13" s="92">
        <f>IF(B$19=0,0,G13/B$19)</f>
        <v>0</v>
      </c>
      <c r="I13" s="60">
        <v>3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74</v>
      </c>
      <c r="F14" s="26" t="s">
        <v>29</v>
      </c>
      <c r="G14" s="14">
        <v>0</v>
      </c>
      <c r="H14" s="92">
        <f>IF(B$19=0,0,G14/B$19)</f>
        <v>0</v>
      </c>
      <c r="I14" s="60">
        <v>1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8</v>
      </c>
      <c r="C15" s="12">
        <f>IF(B$3=0,0,B15/B$3)</f>
        <v>0.23529411764705882</v>
      </c>
      <c r="E15" s="29" t="s">
        <v>75</v>
      </c>
      <c r="F15" s="26" t="s">
        <v>30</v>
      </c>
      <c r="G15" s="14">
        <v>0</v>
      </c>
      <c r="H15" s="92">
        <f>IF(B$19=0,0,G15/B$19)</f>
        <v>0</v>
      </c>
      <c r="I15" s="60">
        <v>3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6</v>
      </c>
      <c r="C16" s="8">
        <f>IF(B$3=0,0,B16/B$3)</f>
        <v>0.17647058823529413</v>
      </c>
      <c r="E16" s="29" t="s">
        <v>76</v>
      </c>
      <c r="F16" s="26" t="s">
        <v>31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-19.849999999999998</v>
      </c>
      <c r="P16" s="81">
        <v>4</v>
      </c>
      <c r="Q16" s="72">
        <v>-79.399999999999991</v>
      </c>
    </row>
    <row r="17" spans="1:17" x14ac:dyDescent="0.45">
      <c r="A17" s="20" t="s">
        <v>123</v>
      </c>
      <c r="B17" s="13">
        <f>B23</f>
        <v>4</v>
      </c>
      <c r="C17" s="6">
        <f>IF(B$15=0,0,B17/B$15)</f>
        <v>0.5</v>
      </c>
      <c r="E17" s="29" t="s">
        <v>77</v>
      </c>
      <c r="F17" s="26" t="s">
        <v>32</v>
      </c>
      <c r="G17" s="14">
        <v>0</v>
      </c>
      <c r="H17" s="92">
        <f>IF(B$19=0,0,G17/B$19)</f>
        <v>0</v>
      </c>
      <c r="I17" s="60">
        <v>3</v>
      </c>
      <c r="N17" s="78" t="s">
        <v>193</v>
      </c>
      <c r="O17" s="87">
        <f>IF(P17=0,0,Q17/P17)</f>
        <v>-21.5</v>
      </c>
      <c r="P17" s="81">
        <v>3</v>
      </c>
      <c r="Q17" s="72">
        <v>-64.5</v>
      </c>
    </row>
    <row r="18" spans="1:17" x14ac:dyDescent="0.45">
      <c r="A18" s="20" t="s">
        <v>124</v>
      </c>
      <c r="B18" s="13">
        <f>B24</f>
        <v>1</v>
      </c>
      <c r="C18" s="6">
        <f>IF(B$16=0,0,B18/B$16)</f>
        <v>0.16666666666666666</v>
      </c>
      <c r="E18" s="29" t="s">
        <v>78</v>
      </c>
      <c r="F18" s="26" t="s">
        <v>33</v>
      </c>
      <c r="G18" s="14">
        <v>0</v>
      </c>
      <c r="H18" s="92">
        <f>IF(B$19=0,0,G18/B$19)</f>
        <v>0</v>
      </c>
      <c r="I18" s="60">
        <v>6</v>
      </c>
      <c r="N18" s="78" t="s">
        <v>126</v>
      </c>
      <c r="O18" s="87">
        <f>IF(P18=0,0,Q18/P18)</f>
        <v>-34.9</v>
      </c>
      <c r="P18" s="81">
        <v>2</v>
      </c>
      <c r="Q18" s="72">
        <v>-69.8</v>
      </c>
    </row>
    <row r="19" spans="1:17" x14ac:dyDescent="0.45">
      <c r="A19" s="20" t="s">
        <v>10</v>
      </c>
      <c r="B19" s="13">
        <f>B22+B21</f>
        <v>6</v>
      </c>
      <c r="C19" s="6">
        <f>IF(B$3=0,0,B19/B$3)</f>
        <v>0.17647058823529413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4</v>
      </c>
      <c r="C20" s="8">
        <f>IF(B$3=0,0,B20/B$3)</f>
        <v>0.11764705882352941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2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4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4</v>
      </c>
      <c r="C23" s="8">
        <f>IF(B$19=0,0,B23/B$19)</f>
        <v>0.66666666666666663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1</v>
      </c>
      <c r="C24" s="8">
        <f>IF(B$19=0,0,B24/B$19)</f>
        <v>0.16666666666666666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1</v>
      </c>
      <c r="C25" s="8">
        <f>IF(B$19=0,0,B25/B$19)</f>
        <v>0.16666666666666666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4566.666666666667</v>
      </c>
      <c r="C26" s="10">
        <v>27400</v>
      </c>
      <c r="E26" s="29" t="s">
        <v>87</v>
      </c>
      <c r="F26" s="26" t="s">
        <v>42</v>
      </c>
      <c r="G26" s="14">
        <v>0</v>
      </c>
      <c r="H26" s="92">
        <f>IF(B$19=0,0,G26/B$19)</f>
        <v>0</v>
      </c>
      <c r="I26" s="60">
        <v>3</v>
      </c>
    </row>
    <row r="27" spans="1:17" x14ac:dyDescent="0.45">
      <c r="A27" s="22" t="s">
        <v>166</v>
      </c>
      <c r="B27" s="99">
        <f>IF($B$19-B$18=0,0,C27/($B$19-B$18))</f>
        <v>5280</v>
      </c>
      <c r="C27" s="100">
        <v>26400</v>
      </c>
      <c r="E27" s="29" t="s">
        <v>88</v>
      </c>
      <c r="F27" s="26" t="s">
        <v>43</v>
      </c>
      <c r="G27" s="14">
        <v>0</v>
      </c>
      <c r="H27" s="92">
        <f>IF(B$19=0,0,G27/B$19)</f>
        <v>0</v>
      </c>
      <c r="I27" s="60">
        <v>1</v>
      </c>
    </row>
    <row r="28" spans="1:17" x14ac:dyDescent="0.45">
      <c r="A28" s="22" t="s">
        <v>167</v>
      </c>
      <c r="B28" s="99">
        <f>IF(B$18=0,0,C28/B$18)</f>
        <v>1000</v>
      </c>
      <c r="C28" s="100">
        <v>1000</v>
      </c>
      <c r="E28" s="29" t="s">
        <v>89</v>
      </c>
      <c r="F28" s="26" t="s">
        <v>44</v>
      </c>
      <c r="G28" s="14">
        <v>0</v>
      </c>
      <c r="H28" s="92">
        <f>IF(B$19=0,0,G28/B$19)</f>
        <v>0</v>
      </c>
      <c r="I28" s="60">
        <v>8</v>
      </c>
    </row>
    <row r="29" spans="1:17" x14ac:dyDescent="0.45">
      <c r="A29" s="22" t="s">
        <v>165</v>
      </c>
      <c r="B29" s="99">
        <f>IF(B$20=0,0,C29/B$20)</f>
        <v>-4400</v>
      </c>
      <c r="C29" s="100">
        <v>-17600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15</v>
      </c>
      <c r="C31" s="94">
        <v>3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2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36900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5">
        <v>2</v>
      </c>
      <c r="C36" s="102">
        <f t="shared" ref="C36:C48" si="2">IF(B$19=0,0,B36/B$19)</f>
        <v>0.33333333333333331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0</v>
      </c>
      <c r="C37" s="8">
        <f t="shared" si="2"/>
        <v>0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6">
        <v>3</v>
      </c>
      <c r="C38" s="8">
        <f t="shared" si="2"/>
        <v>0.5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6">
        <v>1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6">
        <v>0</v>
      </c>
      <c r="C40" s="8">
        <f t="shared" si="2"/>
        <v>0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6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6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6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6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6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6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6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3DB8B-9CB9-463E-A9D0-63B7D1352509}">
  <sheetPr codeName="Sheet21"/>
  <dimension ref="A1:Q52"/>
  <sheetViews>
    <sheetView showGridLines="0" zoomScaleNormal="100" workbookViewId="0">
      <selection activeCell="Q18" sqref="Q18"/>
    </sheetView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37" t="s">
        <v>205</v>
      </c>
      <c r="C1" s="138"/>
      <c r="E1" s="108" t="s">
        <v>155</v>
      </c>
      <c r="F1" s="128" t="s">
        <v>115</v>
      </c>
      <c r="G1" s="127" t="s">
        <v>116</v>
      </c>
      <c r="H1" s="90" t="s">
        <v>117</v>
      </c>
      <c r="I1" s="128" t="s">
        <v>146</v>
      </c>
      <c r="K1" s="4" t="s">
        <v>19</v>
      </c>
      <c r="L1" s="128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9">
        <v>5</v>
      </c>
      <c r="C2" s="140"/>
      <c r="E2" s="28" t="s">
        <v>66</v>
      </c>
      <c r="F2" s="25" t="s">
        <v>22</v>
      </c>
      <c r="G2" s="13">
        <v>14</v>
      </c>
      <c r="H2" s="91">
        <f>IF(B$19=0,0,G2/B$19)</f>
        <v>1.1666666666666667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-280</v>
      </c>
      <c r="P2" s="80">
        <v>5</v>
      </c>
      <c r="Q2" s="67">
        <v>-1400</v>
      </c>
    </row>
    <row r="3" spans="1:17" x14ac:dyDescent="0.45">
      <c r="A3" s="21" t="s">
        <v>8</v>
      </c>
      <c r="B3" s="141">
        <v>38</v>
      </c>
      <c r="C3" s="142"/>
      <c r="E3" s="29" t="s">
        <v>72</v>
      </c>
      <c r="F3" s="26" t="s">
        <v>27</v>
      </c>
      <c r="G3" s="14">
        <v>9</v>
      </c>
      <c r="H3" s="92">
        <f>IF(B$19=0,0,G3/B$19)</f>
        <v>0.75</v>
      </c>
      <c r="I3" s="60">
        <v>3</v>
      </c>
      <c r="K3" s="7">
        <v>1</v>
      </c>
      <c r="L3" s="65">
        <v>68.2</v>
      </c>
      <c r="N3" s="78" t="s">
        <v>129</v>
      </c>
      <c r="O3" s="84">
        <f t="shared" si="0"/>
        <v>-7780</v>
      </c>
      <c r="P3" s="81">
        <v>5</v>
      </c>
      <c r="Q3" s="68">
        <v>-38900</v>
      </c>
    </row>
    <row r="4" spans="1:17" x14ac:dyDescent="0.45">
      <c r="A4" s="21" t="s">
        <v>6</v>
      </c>
      <c r="B4" s="143">
        <v>-72.899999999999991</v>
      </c>
      <c r="C4" s="144"/>
      <c r="E4" s="29" t="s">
        <v>160</v>
      </c>
      <c r="F4" s="26" t="s">
        <v>161</v>
      </c>
      <c r="G4" s="14">
        <v>5</v>
      </c>
      <c r="H4" s="92">
        <f>IF(B$19=0,0,G4/B$19)</f>
        <v>0.41666666666666669</v>
      </c>
      <c r="I4" s="60">
        <v>5</v>
      </c>
      <c r="K4" s="7">
        <v>2</v>
      </c>
      <c r="L4" s="65">
        <v>41.2</v>
      </c>
      <c r="N4" s="78" t="s">
        <v>130</v>
      </c>
      <c r="O4" s="84">
        <f t="shared" si="0"/>
        <v>-1860</v>
      </c>
      <c r="P4" s="81">
        <v>5</v>
      </c>
      <c r="Q4" s="68">
        <v>-9300</v>
      </c>
    </row>
    <row r="5" spans="1:17" x14ac:dyDescent="0.45">
      <c r="A5" s="21" t="s">
        <v>7</v>
      </c>
      <c r="B5" s="131">
        <f>IF(B$2=0,0,B$4/B$2)</f>
        <v>-14.579999999999998</v>
      </c>
      <c r="C5" s="132"/>
      <c r="E5" s="29" t="s">
        <v>64</v>
      </c>
      <c r="F5" s="26" t="s">
        <v>20</v>
      </c>
      <c r="G5" s="14">
        <v>3</v>
      </c>
      <c r="H5" s="92">
        <f>IF(B$19=0,0,G5/B$19)</f>
        <v>0.25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2500</v>
      </c>
      <c r="P5" s="81">
        <v>4</v>
      </c>
      <c r="Q5" s="68">
        <v>10000</v>
      </c>
    </row>
    <row r="6" spans="1:17" x14ac:dyDescent="0.45">
      <c r="A6" s="21" t="s">
        <v>1</v>
      </c>
      <c r="B6" s="145">
        <f>IF(B$2=0,0,(B$7*1+B$8*2+B$9*3)/B$2)</f>
        <v>2.6</v>
      </c>
      <c r="C6" s="146"/>
      <c r="E6" s="29" t="s">
        <v>68</v>
      </c>
      <c r="F6" s="26" t="s">
        <v>12</v>
      </c>
      <c r="G6" s="14">
        <v>3</v>
      </c>
      <c r="H6" s="92">
        <f>IF(B$19=0,0,G6/B$19)</f>
        <v>0.25</v>
      </c>
      <c r="I6" s="60">
        <v>8</v>
      </c>
      <c r="K6" s="7">
        <v>4</v>
      </c>
      <c r="L6" s="65">
        <v>-41.199999999999996</v>
      </c>
      <c r="N6" s="78" t="s">
        <v>132</v>
      </c>
      <c r="O6" s="84">
        <f t="shared" si="0"/>
        <v>2950</v>
      </c>
      <c r="P6" s="81">
        <v>4</v>
      </c>
      <c r="Q6" s="68">
        <v>11800</v>
      </c>
    </row>
    <row r="7" spans="1:17" x14ac:dyDescent="0.45">
      <c r="A7" s="21" t="s">
        <v>2</v>
      </c>
      <c r="B7" s="14">
        <v>1</v>
      </c>
      <c r="C7" s="8">
        <f t="shared" ref="C7:C14" si="1">IF(B$2=0,0,B7/B$2)</f>
        <v>0.2</v>
      </c>
      <c r="E7" s="29" t="s">
        <v>69</v>
      </c>
      <c r="F7" s="26" t="s">
        <v>24</v>
      </c>
      <c r="G7" s="14">
        <v>2</v>
      </c>
      <c r="H7" s="92">
        <f>IF(B$19=0,0,G7/B$19)</f>
        <v>0.16666666666666666</v>
      </c>
      <c r="I7" s="60">
        <v>2</v>
      </c>
      <c r="K7" s="7">
        <v>5</v>
      </c>
      <c r="L7" s="65">
        <v>-72.899999999999991</v>
      </c>
      <c r="N7" s="79" t="s">
        <v>133</v>
      </c>
      <c r="O7" s="85">
        <f t="shared" si="0"/>
        <v>3633.3333333333335</v>
      </c>
      <c r="P7" s="82">
        <v>3</v>
      </c>
      <c r="Q7" s="69">
        <v>10900</v>
      </c>
    </row>
    <row r="8" spans="1:17" x14ac:dyDescent="0.45">
      <c r="A8" s="21" t="s">
        <v>3</v>
      </c>
      <c r="B8" s="14">
        <v>0</v>
      </c>
      <c r="C8" s="8">
        <f t="shared" si="1"/>
        <v>0</v>
      </c>
      <c r="E8" s="29" t="s">
        <v>70</v>
      </c>
      <c r="F8" s="26" t="s">
        <v>25</v>
      </c>
      <c r="G8" s="14">
        <v>2</v>
      </c>
      <c r="H8" s="92">
        <f>IF(B$19=0,0,G8/B$19)</f>
        <v>0.16666666666666666</v>
      </c>
      <c r="I8" s="60">
        <v>1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0.8</v>
      </c>
      <c r="E9" s="29" t="s">
        <v>71</v>
      </c>
      <c r="F9" s="26" t="s">
        <v>26</v>
      </c>
      <c r="G9" s="14">
        <v>2</v>
      </c>
      <c r="H9" s="92">
        <f>IF(B$19=0,0,G9/B$19)</f>
        <v>0.16666666666666666</v>
      </c>
      <c r="I9" s="60">
        <v>1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68.2</v>
      </c>
      <c r="C10" s="114">
        <v>68.2</v>
      </c>
      <c r="E10" s="29" t="s">
        <v>78</v>
      </c>
      <c r="F10" s="26" t="s">
        <v>33</v>
      </c>
      <c r="G10" s="14">
        <v>2</v>
      </c>
      <c r="H10" s="92">
        <f>IF(B$19=0,0,G10/B$19)</f>
        <v>0.16666666666666666</v>
      </c>
      <c r="I10" s="60">
        <v>1</v>
      </c>
      <c r="N10" s="77" t="s">
        <v>152</v>
      </c>
      <c r="O10" s="86">
        <f>IF(P10=0,0,Q10/P10)</f>
        <v>17.950000000000003</v>
      </c>
      <c r="P10" s="80">
        <v>2</v>
      </c>
      <c r="Q10" s="71">
        <v>35.900000000000006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65</v>
      </c>
      <c r="F11" s="26" t="s">
        <v>21</v>
      </c>
      <c r="G11" s="14">
        <v>1</v>
      </c>
      <c r="H11" s="92">
        <f>IF(B$19=0,0,G11/B$19)</f>
        <v>8.3333333333333329E-2</v>
      </c>
      <c r="I11" s="60">
        <v>4</v>
      </c>
      <c r="N11" s="78" t="s">
        <v>153</v>
      </c>
      <c r="O11" s="87">
        <f>IF(P11=0,0,Q11/P11)</f>
        <v>-31.7</v>
      </c>
      <c r="P11" s="81">
        <v>1</v>
      </c>
      <c r="Q11" s="72">
        <v>-31.7</v>
      </c>
    </row>
    <row r="12" spans="1:17" x14ac:dyDescent="0.45">
      <c r="A12" s="22" t="s">
        <v>187</v>
      </c>
      <c r="B12" s="113">
        <f>IF(B9=0,0,C12/B9)</f>
        <v>-35.274999999999999</v>
      </c>
      <c r="C12" s="114">
        <v>-141.1</v>
      </c>
      <c r="E12" s="29" t="s">
        <v>67</v>
      </c>
      <c r="F12" s="26" t="s">
        <v>23</v>
      </c>
      <c r="G12" s="14">
        <v>1</v>
      </c>
      <c r="H12" s="92">
        <f>IF(B$19=0,0,G12/B$19)</f>
        <v>8.3333333333333329E-2</v>
      </c>
      <c r="I12" s="60">
        <v>9</v>
      </c>
      <c r="N12" s="79" t="s">
        <v>154</v>
      </c>
      <c r="O12" s="88">
        <f>IF(P12=0,0,Q12/P12)</f>
        <v>-38.549999999999997</v>
      </c>
      <c r="P12" s="82">
        <v>2</v>
      </c>
      <c r="Q12" s="73">
        <v>-77.099999999999994</v>
      </c>
    </row>
    <row r="13" spans="1:17" x14ac:dyDescent="0.45">
      <c r="A13" s="22" t="s">
        <v>188</v>
      </c>
      <c r="B13" s="131">
        <f>AVERAGE(B10:B12)</f>
        <v>10.975000000000001</v>
      </c>
      <c r="C13" s="132"/>
      <c r="E13" s="29" t="s">
        <v>89</v>
      </c>
      <c r="F13" s="26" t="s">
        <v>44</v>
      </c>
      <c r="G13" s="14">
        <v>1</v>
      </c>
      <c r="H13" s="92">
        <f>IF(B$19=0,0,G13/B$19)</f>
        <v>8.3333333333333329E-2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0.2</v>
      </c>
      <c r="E14" s="29" t="s">
        <v>73</v>
      </c>
      <c r="F14" s="26" t="s">
        <v>28</v>
      </c>
      <c r="G14" s="14">
        <v>0</v>
      </c>
      <c r="H14" s="92">
        <f>IF(B$19=0,0,G14/B$19)</f>
        <v>0</v>
      </c>
      <c r="I14" s="60">
        <v>3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</v>
      </c>
      <c r="C15" s="12">
        <f>IF(B$3=0,0,B15/B$3)</f>
        <v>0.13157894736842105</v>
      </c>
      <c r="E15" s="29" t="s">
        <v>74</v>
      </c>
      <c r="F15" s="26" t="s">
        <v>29</v>
      </c>
      <c r="G15" s="14">
        <v>0</v>
      </c>
      <c r="H15" s="92">
        <f>IF(B$19=0,0,G15/B$19)</f>
        <v>0</v>
      </c>
      <c r="I15" s="60">
        <v>1</v>
      </c>
      <c r="N15" s="77" t="s">
        <v>192</v>
      </c>
      <c r="O15" s="86">
        <f>IF(P15=0,0,Q15/P15)</f>
        <v>8.1000000000000014</v>
      </c>
      <c r="P15" s="80">
        <v>3</v>
      </c>
      <c r="Q15" s="71">
        <v>24.300000000000004</v>
      </c>
    </row>
    <row r="16" spans="1:17" x14ac:dyDescent="0.45">
      <c r="A16" s="21" t="s">
        <v>118</v>
      </c>
      <c r="B16" s="14">
        <v>13</v>
      </c>
      <c r="C16" s="8">
        <f>IF(B$3=0,0,B16/B$3)</f>
        <v>0.34210526315789475</v>
      </c>
      <c r="E16" s="29" t="s">
        <v>75</v>
      </c>
      <c r="F16" s="26" t="s">
        <v>30</v>
      </c>
      <c r="G16" s="14">
        <v>0</v>
      </c>
      <c r="H16" s="92">
        <f>IF(B$19=0,0,G16/B$19)</f>
        <v>0</v>
      </c>
      <c r="I16" s="60">
        <v>3</v>
      </c>
      <c r="N16" s="78" t="s">
        <v>126</v>
      </c>
      <c r="O16" s="87">
        <f>IF(P16=0,0,Q16/P16)</f>
        <v>-17.32</v>
      </c>
      <c r="P16" s="81">
        <v>5</v>
      </c>
      <c r="Q16" s="72">
        <v>-86.6</v>
      </c>
    </row>
    <row r="17" spans="1:17" x14ac:dyDescent="0.45">
      <c r="A17" s="20" t="s">
        <v>123</v>
      </c>
      <c r="B17" s="13">
        <f>B23</f>
        <v>3</v>
      </c>
      <c r="C17" s="6">
        <f>IF(B$15=0,0,B17/B$15)</f>
        <v>0.6</v>
      </c>
      <c r="E17" s="29" t="s">
        <v>76</v>
      </c>
      <c r="F17" s="26" t="s">
        <v>31</v>
      </c>
      <c r="G17" s="14">
        <v>0</v>
      </c>
      <c r="H17" s="92">
        <f>IF(B$19=0,0,G17/B$19)</f>
        <v>0</v>
      </c>
      <c r="I17" s="60">
        <v>1</v>
      </c>
      <c r="N17" s="78" t="s">
        <v>189</v>
      </c>
      <c r="O17" s="87">
        <f>IF(P17=0,0,Q17/P17)</f>
        <v>-57.7</v>
      </c>
      <c r="P17" s="81">
        <v>1</v>
      </c>
      <c r="Q17" s="72">
        <v>-57.7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0.23076923076923078</v>
      </c>
      <c r="E18" s="29" t="s">
        <v>77</v>
      </c>
      <c r="F18" s="26" t="s">
        <v>32</v>
      </c>
      <c r="G18" s="14">
        <v>0</v>
      </c>
      <c r="H18" s="92">
        <f>IF(B$19=0,0,G18/B$19)</f>
        <v>0</v>
      </c>
      <c r="I18" s="60">
        <v>3</v>
      </c>
      <c r="N18" s="78" t="s">
        <v>164</v>
      </c>
      <c r="O18" s="87">
        <f>IF(P18=0,0,Q18/P18)</f>
        <v>-98.7</v>
      </c>
      <c r="P18" s="81">
        <v>1</v>
      </c>
      <c r="Q18" s="72">
        <v>-98.7</v>
      </c>
    </row>
    <row r="19" spans="1:17" x14ac:dyDescent="0.45">
      <c r="A19" s="20" t="s">
        <v>10</v>
      </c>
      <c r="B19" s="13">
        <f>B22+B21</f>
        <v>12</v>
      </c>
      <c r="C19" s="6">
        <f>IF(B$3=0,0,B19/B$3)</f>
        <v>0.31578947368421051</v>
      </c>
      <c r="E19" s="29" t="s">
        <v>79</v>
      </c>
      <c r="F19" s="26" t="s">
        <v>34</v>
      </c>
      <c r="G19" s="14">
        <v>0</v>
      </c>
      <c r="H19" s="92">
        <f>IF(B$19=0,0,G19/B$19)</f>
        <v>0</v>
      </c>
      <c r="I19" s="60">
        <v>5</v>
      </c>
    </row>
    <row r="20" spans="1:17" x14ac:dyDescent="0.45">
      <c r="A20" s="21" t="s">
        <v>13</v>
      </c>
      <c r="B20" s="14">
        <v>9</v>
      </c>
      <c r="C20" s="8">
        <f>IF(B$3=0,0,B20/B$3)</f>
        <v>0.23684210526315788</v>
      </c>
      <c r="E20" s="29" t="s">
        <v>80</v>
      </c>
      <c r="F20" s="26" t="s">
        <v>35</v>
      </c>
      <c r="G20" s="14">
        <v>0</v>
      </c>
      <c r="H20" s="92">
        <f>IF(B$19=0,0,G20/B$19)</f>
        <v>0</v>
      </c>
      <c r="I20" s="60">
        <v>1</v>
      </c>
    </row>
    <row r="21" spans="1:17" x14ac:dyDescent="0.45">
      <c r="A21" s="21" t="s">
        <v>12</v>
      </c>
      <c r="B21" s="14">
        <v>4</v>
      </c>
      <c r="C21" s="8">
        <f>IF(B$19=0,0,B21/B$19)</f>
        <v>0.33333333333333331</v>
      </c>
      <c r="E21" s="29" t="s">
        <v>81</v>
      </c>
      <c r="F21" s="26" t="s">
        <v>36</v>
      </c>
      <c r="G21" s="14">
        <v>0</v>
      </c>
      <c r="H21" s="92">
        <f>IF(B$19=0,0,G21/B$19)</f>
        <v>0</v>
      </c>
      <c r="I21" s="60">
        <v>6</v>
      </c>
    </row>
    <row r="22" spans="1:17" x14ac:dyDescent="0.45">
      <c r="A22" s="21" t="s">
        <v>11</v>
      </c>
      <c r="B22" s="14">
        <v>8</v>
      </c>
      <c r="C22" s="8">
        <f>IF(B$19=0,0,B22/B$19)</f>
        <v>0.66666666666666663</v>
      </c>
      <c r="E22" s="29" t="s">
        <v>82</v>
      </c>
      <c r="F22" s="26" t="s">
        <v>37</v>
      </c>
      <c r="G22" s="14">
        <v>0</v>
      </c>
      <c r="H22" s="92">
        <f>IF(B$19=0,0,G22/B$19)</f>
        <v>0</v>
      </c>
      <c r="I22" s="60">
        <v>1</v>
      </c>
    </row>
    <row r="23" spans="1:17" x14ac:dyDescent="0.45">
      <c r="A23" s="21" t="s">
        <v>184</v>
      </c>
      <c r="B23" s="14">
        <v>3</v>
      </c>
      <c r="C23" s="8">
        <f>IF(B$19=0,0,B23/B$19)</f>
        <v>0.25</v>
      </c>
      <c r="E23" s="29" t="s">
        <v>83</v>
      </c>
      <c r="F23" s="26" t="s">
        <v>38</v>
      </c>
      <c r="G23" s="14">
        <v>0</v>
      </c>
      <c r="H23" s="92">
        <f>IF(B$19=0,0,G23/B$19)</f>
        <v>0</v>
      </c>
      <c r="I23" s="60">
        <v>7</v>
      </c>
    </row>
    <row r="24" spans="1:17" x14ac:dyDescent="0.45">
      <c r="A24" s="21" t="s">
        <v>182</v>
      </c>
      <c r="B24" s="14">
        <v>3</v>
      </c>
      <c r="C24" s="8">
        <f>IF(B$19=0,0,B24/B$19)</f>
        <v>0.25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1</v>
      </c>
    </row>
    <row r="25" spans="1:17" x14ac:dyDescent="0.45">
      <c r="A25" s="21" t="s">
        <v>183</v>
      </c>
      <c r="B25" s="14">
        <v>6</v>
      </c>
      <c r="C25" s="8">
        <f>IF(B$19=0,0,B25/B$19)</f>
        <v>0.5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1</v>
      </c>
    </row>
    <row r="26" spans="1:17" x14ac:dyDescent="0.45">
      <c r="A26" s="21" t="s">
        <v>5</v>
      </c>
      <c r="B26" s="18">
        <f>IF(B$19=0,0,C26/B$19)</f>
        <v>7891.666666666667</v>
      </c>
      <c r="C26" s="10">
        <v>94700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6</v>
      </c>
    </row>
    <row r="27" spans="1:17" x14ac:dyDescent="0.45">
      <c r="A27" s="22" t="s">
        <v>166</v>
      </c>
      <c r="B27" s="99">
        <f>IF($B$19-B$18=0,0,C27/($B$19-B$18))</f>
        <v>8311.1111111111113</v>
      </c>
      <c r="C27" s="100">
        <v>74800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3</v>
      </c>
    </row>
    <row r="28" spans="1:17" x14ac:dyDescent="0.45">
      <c r="A28" s="22" t="s">
        <v>167</v>
      </c>
      <c r="B28" s="99">
        <f>IF(B$18=0,0,C28/B$18)</f>
        <v>6633.333333333333</v>
      </c>
      <c r="C28" s="100">
        <v>19900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1</v>
      </c>
    </row>
    <row r="29" spans="1:17" x14ac:dyDescent="0.45">
      <c r="A29" s="22" t="s">
        <v>165</v>
      </c>
      <c r="B29" s="99">
        <f>IF(B$20=0,0,C29/B$20)</f>
        <v>-8955.5555555555547</v>
      </c>
      <c r="C29" s="100">
        <v>-80600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4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5</v>
      </c>
    </row>
    <row r="31" spans="1:17" x14ac:dyDescent="0.45">
      <c r="A31" s="21" t="s">
        <v>159</v>
      </c>
      <c r="B31" s="14">
        <v>9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5</v>
      </c>
    </row>
    <row r="32" spans="1:17" x14ac:dyDescent="0.45">
      <c r="A32" s="56" t="s">
        <v>136</v>
      </c>
      <c r="B32" s="133">
        <v>6</v>
      </c>
      <c r="C32" s="134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35">
        <v>93200</v>
      </c>
      <c r="C33" s="136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9">
        <v>1</v>
      </c>
      <c r="C36" s="102">
        <f t="shared" ref="C36:C48" si="2">IF(B$19=0,0,B36/B$19)</f>
        <v>8.3333333333333329E-2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3</v>
      </c>
      <c r="C37" s="8">
        <f t="shared" si="2"/>
        <v>0.25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30">
        <v>1</v>
      </c>
      <c r="C38" s="8">
        <f t="shared" si="2"/>
        <v>8.3333333333333329E-2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30">
        <v>2</v>
      </c>
      <c r="C39" s="8">
        <f t="shared" si="2"/>
        <v>0.16666666666666666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30">
        <v>3</v>
      </c>
      <c r="C40" s="8">
        <f t="shared" si="2"/>
        <v>0.25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30">
        <v>0</v>
      </c>
      <c r="C41" s="8">
        <f t="shared" si="2"/>
        <v>0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30">
        <v>1</v>
      </c>
      <c r="C42" s="8">
        <f t="shared" si="2"/>
        <v>8.3333333333333329E-2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30">
        <v>1</v>
      </c>
      <c r="C43" s="8">
        <f t="shared" si="2"/>
        <v>8.3333333333333329E-2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30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30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30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30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4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E2:I53">
    <sortCondition descending="1" ref="H1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1E7CC-C971-43F3-B212-721B46AC572B}">
  <sheetPr codeName="Sheet22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58F60-05AB-40C8-833D-502DBB4D5A30}">
  <sheetPr codeName="Sheet20"/>
  <dimension ref="A1:Q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103BE-CF9C-4162-92F8-EB4C2310FE06}">
  <sheetPr codeName="Sheet18"/>
  <dimension ref="A1:Q16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EB94A-90D1-4B0A-99D1-7A0F949AB243}">
  <sheetPr codeName="Sheet16"/>
  <dimension ref="A1:Q28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A71ED-56E6-45BF-AB12-3D0AB779E2F0}">
  <sheetPr codeName="Sheet14"/>
  <dimension ref="A1:Q1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79009-C168-4C61-B015-CF7E50F5F455}">
  <sheetPr codeName="Sheet12"/>
  <dimension ref="A1:Q2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E4C6-ED33-4B53-BD2B-72C7003891D2}">
  <sheetPr codeName="Sheet10"/>
  <dimension ref="A1:Q1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B228-3876-434B-94FB-E16DA8EA014C}">
  <sheetPr codeName="Sheet8"/>
  <dimension ref="A1:Q1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030BA-EE29-4A96-AD4A-698358C0A9E4}">
  <sheetPr codeName="Sheet6"/>
  <dimension ref="A1:Q37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620</vt:i4>
      </vt:variant>
    </vt:vector>
  </HeadingPairs>
  <TitlesOfParts>
    <vt:vector size="65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2020-04-09T10:10:30Z</dcterms:modified>
</cp:coreProperties>
</file>