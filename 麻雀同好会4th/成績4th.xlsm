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9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0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1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3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4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5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6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7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8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0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1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B29B20CD-DBCA-464E-8E42-F3F9980B5BD5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032" r:id="rId6"/>
    <sheet name="れんたろう" sheetId="6034" r:id="rId7"/>
    <sheet name="ともき" sheetId="6036" r:id="rId8"/>
    <sheet name="だいち" sheetId="6038" r:id="rId9"/>
    <sheet name="だいち2" sheetId="6039" state="hidden" r:id="rId10"/>
    <sheet name="ともき2" sheetId="6037" state="hidden" r:id="rId11"/>
    <sheet name="れんたろう2" sheetId="6035" state="hidden" r:id="rId12"/>
    <sheet name="全体2" sheetId="6033" state="hidden" r:id="rId13"/>
    <sheet name="通算スコア" sheetId="3331" state="hidden" r:id="rId14"/>
    <sheet name="平均スコア" sheetId="3493" state="hidden" r:id="rId15"/>
    <sheet name="平均順位" sheetId="3183" state="hidden" r:id="rId16"/>
    <sheet name="トップ率" sheetId="3185" state="hidden" r:id="rId17"/>
    <sheet name="ラス率" sheetId="4886" state="hidden" r:id="rId18"/>
    <sheet name="アガリ率" sheetId="3189" state="hidden" r:id="rId19"/>
    <sheet name="放銃率" sheetId="3190" state="hidden" r:id="rId20"/>
    <sheet name="平均アガリ点" sheetId="3520" state="hidden" r:id="rId21"/>
    <sheet name="平均放銃点" sheetId="3521" state="hidden" r:id="rId22"/>
    <sheet name="ふっとび率" sheetId="3522" state="hidden" r:id="rId23"/>
    <sheet name="リーチ率" sheetId="3524" state="hidden" r:id="rId24"/>
    <sheet name="副露率" sheetId="3525" state="hidden" r:id="rId25"/>
    <sheet name="リーチ成功率" sheetId="4841" state="hidden" r:id="rId26"/>
    <sheet name="副露成功率" sheetId="3527" state="hidden" r:id="rId27"/>
    <sheet name="ツモ率" sheetId="3528" state="hidden" r:id="rId28"/>
  </sheets>
  <definedNames>
    <definedName name="アガリ数" localSheetId="3">Template1!$B$19</definedName>
    <definedName name="アガリ数" localSheetId="8">だいち!$B$19</definedName>
    <definedName name="アガリ数" localSheetId="7">ともき!$B$19</definedName>
    <definedName name="アガリ数" localSheetId="6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8">だいち!$C$19</definedName>
    <definedName name="アガリ率" localSheetId="7">ともき!$C$19</definedName>
    <definedName name="アガリ率" localSheetId="6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8">だいち!$B$25</definedName>
    <definedName name="ダマアガリ数" localSheetId="7">ともき!$B$25</definedName>
    <definedName name="ダマアガリ数" localSheetId="6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8">だいち!$C$25</definedName>
    <definedName name="ダマアガリ率" localSheetId="7">ともき!$C$25</definedName>
    <definedName name="ダマアガリ率" localSheetId="6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8">だいち!$B$34</definedName>
    <definedName name="チョンボ数" localSheetId="7">ともき!$B$34</definedName>
    <definedName name="チョンボ数" localSheetId="6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8">だいち!$C$34</definedName>
    <definedName name="チョンボ率" localSheetId="7">ともき!$C$34</definedName>
    <definedName name="チョンボ率" localSheetId="6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8">だいち!$B$21</definedName>
    <definedName name="ツモ数" localSheetId="7">ともき!$B$21</definedName>
    <definedName name="ツモ数" localSheetId="6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8">だいち!$C$21</definedName>
    <definedName name="ツモ率" localSheetId="7">ともき!$C$21</definedName>
    <definedName name="ツモ率" localSheetId="6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8">だいち!$B$7</definedName>
    <definedName name="トップ数" localSheetId="7">ともき!$B$7</definedName>
    <definedName name="トップ数" localSheetId="6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8">だいち!$C$7</definedName>
    <definedName name="トップ率" localSheetId="7">ともき!$C$7</definedName>
    <definedName name="トップ率" localSheetId="6">れんたろう!$C$7</definedName>
    <definedName name="トップ率" localSheetId="5">全体!$C$7</definedName>
    <definedName name="トップ率">#REF!</definedName>
    <definedName name="バランス" localSheetId="8">だいち!$B$13</definedName>
    <definedName name="バランス" localSheetId="7">ともき!$B$13</definedName>
    <definedName name="バランス" localSheetId="6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8">だいち!$B$14</definedName>
    <definedName name="ふっとび数" localSheetId="7">ともき!$B$14</definedName>
    <definedName name="ふっとび数" localSheetId="6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8">だいち!$C$14</definedName>
    <definedName name="ふっとび率" localSheetId="7">ともき!$C$14</definedName>
    <definedName name="ふっとび率" localSheetId="6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8">だいち!$B$9</definedName>
    <definedName name="ラス数" localSheetId="7">ともき!$B$9</definedName>
    <definedName name="ラス数" localSheetId="6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8">だいち!$C$9</definedName>
    <definedName name="ラス率" localSheetId="7">ともき!$C$9</definedName>
    <definedName name="ラス率" localSheetId="6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8">だいち!$B$23</definedName>
    <definedName name="リーチアガリ数" localSheetId="7">ともき!$B$23</definedName>
    <definedName name="リーチアガリ数" localSheetId="6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8">だいち!$C$23</definedName>
    <definedName name="リーチアガリ率" localSheetId="7">ともき!$C$23</definedName>
    <definedName name="リーチアガリ率" localSheetId="6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8">だいち!$B$15</definedName>
    <definedName name="リーチ数" localSheetId="7">ともき!$B$15</definedName>
    <definedName name="リーチ数" localSheetId="6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8">だいち!$B$17</definedName>
    <definedName name="リーチ成功数" localSheetId="7">ともき!$B$17</definedName>
    <definedName name="リーチ成功数" localSheetId="6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8">だいち!$C$17</definedName>
    <definedName name="リーチ成功率" localSheetId="7">ともき!$C$17</definedName>
    <definedName name="リーチ成功率" localSheetId="6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8">だいち!$C$15</definedName>
    <definedName name="リーチ率" localSheetId="7">ともき!$C$15</definedName>
    <definedName name="リーチ率" localSheetId="6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8">だいち!$B$22</definedName>
    <definedName name="ロン数" localSheetId="7">ともき!$B$22</definedName>
    <definedName name="ロン数" localSheetId="6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8">だいち!$C$22</definedName>
    <definedName name="ロン率" localSheetId="7">ともき!$C$22</definedName>
    <definedName name="ロン率" localSheetId="6">れんたろう!$C$22</definedName>
    <definedName name="ロン率" localSheetId="5">全体!$C$22</definedName>
    <definedName name="ロン率">#REF!</definedName>
    <definedName name="一位スコア" localSheetId="8">だいち!$B$10</definedName>
    <definedName name="一位スコア" localSheetId="7">ともき!$B$10</definedName>
    <definedName name="一位スコア" localSheetId="6">れんたろう!$B$10</definedName>
    <definedName name="一位スコア" localSheetId="5">全体!$B$10</definedName>
    <definedName name="一位スコア">Template1!$B$10</definedName>
    <definedName name="一位通算スコア" localSheetId="8">だいち!$C$10</definedName>
    <definedName name="一位通算スコア" localSheetId="7">ともき!$C$10</definedName>
    <definedName name="一位通算スコア" localSheetId="6">れんたろう!$C$10</definedName>
    <definedName name="一位通算スコア" localSheetId="5">全体!$C$10</definedName>
    <definedName name="一位通算スコア">Template1!$C$10</definedName>
    <definedName name="一翻数" localSheetId="8">だいち!$B$36</definedName>
    <definedName name="一翻数" localSheetId="7">ともき!$B$36</definedName>
    <definedName name="一翻数" localSheetId="6">れんたろう!$B$36</definedName>
    <definedName name="一翻数" localSheetId="5">全体!$B$36</definedName>
    <definedName name="一翻数">Template1!$B$36</definedName>
    <definedName name="一翻率" localSheetId="8">だいち!$C$36</definedName>
    <definedName name="一翻率" localSheetId="7">ともき!$C$36</definedName>
    <definedName name="一翻率" localSheetId="6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8">だいち!$C$30</definedName>
    <definedName name="現行連続アガリ" localSheetId="7">ともき!$C$30</definedName>
    <definedName name="現行連続アガリ" localSheetId="6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8">だいち!$C$31</definedName>
    <definedName name="現行連続無放銃" localSheetId="7">ともき!$C$31</definedName>
    <definedName name="現行連続無放銃" localSheetId="6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8">だいち!$B$33</definedName>
    <definedName name="最高点" localSheetId="7">ともき!$B$33</definedName>
    <definedName name="最高点" localSheetId="6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8">だいち!$B$32</definedName>
    <definedName name="最大ドラ数" localSheetId="7">ともき!$B$32</definedName>
    <definedName name="最大ドラ数" localSheetId="6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8">だいち!$B$33</definedName>
    <definedName name="最大点数" localSheetId="7">ともき!$B$33</definedName>
    <definedName name="最大点数" localSheetId="6">れんたろう!$B$33</definedName>
    <definedName name="最大点数" localSheetId="5">全体!$B$33</definedName>
    <definedName name="最大点数">#REF!</definedName>
    <definedName name="三位スコア" localSheetId="8">だいち!$B$12</definedName>
    <definedName name="三位スコア" localSheetId="7">ともき!$B$12</definedName>
    <definedName name="三位スコア" localSheetId="6">れんたろう!$B$12</definedName>
    <definedName name="三位スコア" localSheetId="5">全体!$B$12</definedName>
    <definedName name="三位スコア">Template1!$B$12</definedName>
    <definedName name="三位通算スコア" localSheetId="8">だいち!$C$12</definedName>
    <definedName name="三位通算スコア" localSheetId="7">ともき!$C$12</definedName>
    <definedName name="三位通算スコア" localSheetId="6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8">だいち!$B$3</definedName>
    <definedName name="総局数" localSheetId="7">ともき!$B$3</definedName>
    <definedName name="総局数" localSheetId="6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8">だいち!$B$2</definedName>
    <definedName name="対戦数" localSheetId="7">ともき!$B$2</definedName>
    <definedName name="対戦数" localSheetId="6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8">だいち!$C$26</definedName>
    <definedName name="通算アガリ点" localSheetId="7">ともき!$C$26</definedName>
    <definedName name="通算アガリ点" localSheetId="6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8">だいち!$B$4</definedName>
    <definedName name="通算スコア" localSheetId="7">ともき!$B$4</definedName>
    <definedName name="通算スコア" localSheetId="6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8">だいち!$C$28</definedName>
    <definedName name="通算副露アガリ点" localSheetId="7">ともき!$C$28</definedName>
    <definedName name="通算副露アガリ点" localSheetId="6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8">だいち!$C$29</definedName>
    <definedName name="通算放銃点" localSheetId="7">ともき!$C$29</definedName>
    <definedName name="通算放銃点" localSheetId="6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8">だいち!$C$27</definedName>
    <definedName name="通算門前アガリ点" localSheetId="7">ともき!$C$27</definedName>
    <definedName name="通算門前アガリ点" localSheetId="6">れんたろう!$C$27</definedName>
    <definedName name="通算門前アガリ点" localSheetId="5">全体!$C$27</definedName>
    <definedName name="通算門前アガリ点">#REF!</definedName>
    <definedName name="二位スコア" localSheetId="8">だいち!$B$11</definedName>
    <definedName name="二位スコア" localSheetId="7">ともき!$B$11</definedName>
    <definedName name="二位スコア" localSheetId="6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8">だいち!$B$8</definedName>
    <definedName name="二位数" localSheetId="7">ともき!$B$8</definedName>
    <definedName name="二位数" localSheetId="6">れんたろう!$B$8</definedName>
    <definedName name="二位数" localSheetId="5">全体!$B$8</definedName>
    <definedName name="二位数">#REF!</definedName>
    <definedName name="二位通算スコア" localSheetId="8">だいち!$C$11</definedName>
    <definedName name="二位通算スコア" localSheetId="7">ともき!$C$11</definedName>
    <definedName name="二位通算スコア" localSheetId="6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8">だいち!$C$8</definedName>
    <definedName name="二位率" localSheetId="7">ともき!$C$8</definedName>
    <definedName name="二位率" localSheetId="6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8">だいち!$B$24</definedName>
    <definedName name="副露アガリ数" localSheetId="7">ともき!$B$24</definedName>
    <definedName name="副露アガリ数" localSheetId="6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8">だいち!$B$28</definedName>
    <definedName name="副露アガリ点" localSheetId="7">ともき!$B$28</definedName>
    <definedName name="副露アガリ点" localSheetId="6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8">だいち!$C$24</definedName>
    <definedName name="副露アガリ率" localSheetId="7">ともき!$C$24</definedName>
    <definedName name="副露アガリ率" localSheetId="6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8">だいち!$B$16</definedName>
    <definedName name="副露数" localSheetId="7">ともき!$B$16</definedName>
    <definedName name="副露数" localSheetId="6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8">だいち!$B$18</definedName>
    <definedName name="副露成功数" localSheetId="7">ともき!$B$18</definedName>
    <definedName name="副露成功数" localSheetId="6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8">だいち!$C$18</definedName>
    <definedName name="副露成功率" localSheetId="7">ともき!$C$18</definedName>
    <definedName name="副露成功率" localSheetId="6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8">だいち!$C$16</definedName>
    <definedName name="副露率" localSheetId="7">ともき!$C$16</definedName>
    <definedName name="副露率" localSheetId="6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8">だいち!$B$26</definedName>
    <definedName name="平均アガリ点" localSheetId="7">ともき!$B$26</definedName>
    <definedName name="平均アガリ点" localSheetId="6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8">だいち!$B$5</definedName>
    <definedName name="平均スコア" localSheetId="7">ともき!$B$5</definedName>
    <definedName name="平均スコア" localSheetId="6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8">だいち!$B$6</definedName>
    <definedName name="平均順位" localSheetId="7">ともき!$B$6</definedName>
    <definedName name="平均順位" localSheetId="6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8">だいち!$B$29</definedName>
    <definedName name="平均放銃点" localSheetId="7">ともき!$B$29</definedName>
    <definedName name="平均放銃点" localSheetId="6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8">だいち!$B$20</definedName>
    <definedName name="放銃数" localSheetId="7">ともき!$B$20</definedName>
    <definedName name="放銃数" localSheetId="6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8">だいち!$C$20</definedName>
    <definedName name="放銃率" localSheetId="7">ともき!$C$20</definedName>
    <definedName name="放銃率" localSheetId="6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8">だいち!$B$1</definedName>
    <definedName name="名前" localSheetId="7">ともき!$B$1</definedName>
    <definedName name="名前" localSheetId="6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8">だいち!$B$27</definedName>
    <definedName name="門前アガリ点" localSheetId="7">ともき!$B$27</definedName>
    <definedName name="門前アガリ点" localSheetId="6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8">だいち!$B$30</definedName>
    <definedName name="連続アガリ" localSheetId="7">ともき!$B$30</definedName>
    <definedName name="連続アガリ" localSheetId="6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8">だいち!$B$31</definedName>
    <definedName name="連続無放銃" localSheetId="7">ともき!$B$31</definedName>
    <definedName name="連続無放銃" localSheetId="6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5" i="6038" l="1"/>
  <c r="O16" i="6038"/>
  <c r="C34" i="6038"/>
  <c r="B29" i="6038"/>
  <c r="C20" i="6038"/>
  <c r="B19" i="6038"/>
  <c r="H5" i="6038" s="1"/>
  <c r="B18" i="6038"/>
  <c r="B28" i="6038" s="1"/>
  <c r="C17" i="6038"/>
  <c r="B17" i="6038"/>
  <c r="C16" i="6038"/>
  <c r="C15" i="6038"/>
  <c r="C14" i="6038"/>
  <c r="O12" i="6038"/>
  <c r="B12" i="6038"/>
  <c r="O11" i="6038"/>
  <c r="H14" i="6038"/>
  <c r="B11" i="6038"/>
  <c r="O10" i="6038"/>
  <c r="B10" i="6038"/>
  <c r="B13" i="6038" s="1"/>
  <c r="C9" i="6038"/>
  <c r="C8" i="6038"/>
  <c r="O7" i="6038"/>
  <c r="C7" i="6038"/>
  <c r="O6" i="6038"/>
  <c r="B6" i="6038"/>
  <c r="O5" i="6038"/>
  <c r="B5" i="6038"/>
  <c r="O4" i="6038"/>
  <c r="O3" i="6038"/>
  <c r="O2" i="6038"/>
  <c r="O15" i="6036"/>
  <c r="O16" i="6036"/>
  <c r="H48" i="6036"/>
  <c r="H44" i="6036"/>
  <c r="C42" i="6036"/>
  <c r="H38" i="6036"/>
  <c r="H35" i="6036"/>
  <c r="C34" i="6036"/>
  <c r="H29" i="6036"/>
  <c r="B29" i="6036"/>
  <c r="B28" i="6036"/>
  <c r="B26" i="6036"/>
  <c r="H23" i="6036"/>
  <c r="C20" i="6036"/>
  <c r="B19" i="6036"/>
  <c r="H50" i="6036" s="1"/>
  <c r="H18" i="6036"/>
  <c r="C18" i="6036"/>
  <c r="B18" i="6036"/>
  <c r="C17" i="6036"/>
  <c r="B17" i="6036"/>
  <c r="C16" i="6036"/>
  <c r="H15" i="6036"/>
  <c r="C15" i="6036"/>
  <c r="C14" i="6036"/>
  <c r="H13" i="6036"/>
  <c r="B13" i="6036"/>
  <c r="O12" i="6036"/>
  <c r="B12" i="6036"/>
  <c r="O11" i="6036"/>
  <c r="B11" i="6036"/>
  <c r="O10" i="6036"/>
  <c r="H10" i="6036"/>
  <c r="B10" i="6036"/>
  <c r="C9" i="6036"/>
  <c r="H8" i="6036"/>
  <c r="C8" i="6036"/>
  <c r="O7" i="6036"/>
  <c r="H7" i="6036"/>
  <c r="C7" i="6036"/>
  <c r="O6" i="6036"/>
  <c r="B6" i="6036"/>
  <c r="O5" i="6036"/>
  <c r="B5" i="6036"/>
  <c r="O4" i="6036"/>
  <c r="H4" i="6036"/>
  <c r="O3" i="6036"/>
  <c r="O2" i="6036"/>
  <c r="H2" i="6036"/>
  <c r="O16" i="6032"/>
  <c r="O16" i="6034"/>
  <c r="O15" i="6034"/>
  <c r="H47" i="6034"/>
  <c r="H46" i="6034"/>
  <c r="C46" i="6034"/>
  <c r="C42" i="6034"/>
  <c r="H41" i="6034"/>
  <c r="H40" i="6034"/>
  <c r="H36" i="6034"/>
  <c r="C36" i="6034"/>
  <c r="H35" i="6034"/>
  <c r="C34" i="6034"/>
  <c r="B29" i="6034"/>
  <c r="H27" i="6034"/>
  <c r="B27" i="6034"/>
  <c r="C23" i="6034"/>
  <c r="C22" i="6034"/>
  <c r="H22" i="6034"/>
  <c r="C20" i="6034"/>
  <c r="B19" i="6034"/>
  <c r="H49" i="6034" s="1"/>
  <c r="H19" i="6034"/>
  <c r="C18" i="6034"/>
  <c r="B18" i="6034"/>
  <c r="B28" i="6034" s="1"/>
  <c r="B17" i="6034"/>
  <c r="C17" i="6034" s="1"/>
  <c r="C16" i="6034"/>
  <c r="H16" i="6034"/>
  <c r="C15" i="6034"/>
  <c r="H15" i="6034"/>
  <c r="C14" i="6034"/>
  <c r="O12" i="6034"/>
  <c r="B12" i="6034"/>
  <c r="O11" i="6034"/>
  <c r="H12" i="6034"/>
  <c r="B11" i="6034"/>
  <c r="O10" i="6034"/>
  <c r="B10" i="6034"/>
  <c r="C9" i="6034"/>
  <c r="H9" i="6034"/>
  <c r="C8" i="6034"/>
  <c r="O7" i="6034"/>
  <c r="C7" i="6034"/>
  <c r="O6" i="6034"/>
  <c r="B6" i="6034"/>
  <c r="O5" i="6034"/>
  <c r="H7" i="6034"/>
  <c r="B5" i="6034"/>
  <c r="O4" i="6034"/>
  <c r="O3" i="6034"/>
  <c r="O2" i="6034"/>
  <c r="H2" i="6034"/>
  <c r="O17" i="6032"/>
  <c r="O15" i="6032"/>
  <c r="C34" i="6032"/>
  <c r="B29" i="6032"/>
  <c r="B28" i="6032"/>
  <c r="C20" i="6032"/>
  <c r="B19" i="6032"/>
  <c r="H51" i="6032" s="1"/>
  <c r="B18" i="6032"/>
  <c r="C18" i="6032" s="1"/>
  <c r="B17" i="6032"/>
  <c r="C17" i="6032" s="1"/>
  <c r="C16" i="6032"/>
  <c r="C15" i="6032"/>
  <c r="C14" i="6032"/>
  <c r="O12" i="6032"/>
  <c r="B12" i="6032"/>
  <c r="O11" i="6032"/>
  <c r="B11" i="6032"/>
  <c r="O10" i="6032"/>
  <c r="B10" i="6032"/>
  <c r="C9" i="6032"/>
  <c r="C8" i="6032"/>
  <c r="O7" i="6032"/>
  <c r="C7" i="6032"/>
  <c r="O6" i="6032"/>
  <c r="B6" i="6032"/>
  <c r="O5" i="6032"/>
  <c r="B5" i="6032"/>
  <c r="O4" i="6032"/>
  <c r="O3" i="6032"/>
  <c r="O2" i="6032"/>
  <c r="C18" i="6038" l="1"/>
  <c r="B27" i="6038"/>
  <c r="H38" i="6038"/>
  <c r="H23" i="6038"/>
  <c r="C39" i="6038"/>
  <c r="H9" i="6038"/>
  <c r="H19" i="6038"/>
  <c r="H29" i="6038"/>
  <c r="H13" i="6038"/>
  <c r="H15" i="6038"/>
  <c r="C21" i="6038"/>
  <c r="C40" i="6038"/>
  <c r="H8" i="6038"/>
  <c r="H10" i="6038"/>
  <c r="H24" i="6038"/>
  <c r="H30" i="6038"/>
  <c r="C43" i="6038"/>
  <c r="H20" i="6038"/>
  <c r="C44" i="6038"/>
  <c r="H16" i="6038"/>
  <c r="H3" i="6038"/>
  <c r="C24" i="6038"/>
  <c r="H35" i="6038"/>
  <c r="H46" i="6038"/>
  <c r="H39" i="6038"/>
  <c r="H2" i="6038"/>
  <c r="C23" i="6038"/>
  <c r="H11" i="6038"/>
  <c r="H17" i="6038"/>
  <c r="H27" i="6038"/>
  <c r="C36" i="6038"/>
  <c r="H47" i="6038"/>
  <c r="C47" i="6038"/>
  <c r="C48" i="6038"/>
  <c r="H4" i="6038"/>
  <c r="H33" i="6038"/>
  <c r="H42" i="6038"/>
  <c r="H51" i="6038"/>
  <c r="H7" i="6038"/>
  <c r="H12" i="6038"/>
  <c r="C19" i="6038"/>
  <c r="C25" i="6038"/>
  <c r="H43" i="6038"/>
  <c r="H52" i="6038"/>
  <c r="H36" i="6038"/>
  <c r="H40" i="6038"/>
  <c r="H44" i="6038"/>
  <c r="H48" i="6038"/>
  <c r="H18" i="6038"/>
  <c r="H21" i="6038"/>
  <c r="C22" i="6038"/>
  <c r="B26" i="6038"/>
  <c r="H31" i="6038"/>
  <c r="H37" i="6038"/>
  <c r="H41" i="6038"/>
  <c r="H45" i="6038"/>
  <c r="H49" i="6038"/>
  <c r="H25" i="6038"/>
  <c r="H28" i="6038"/>
  <c r="H32" i="6038"/>
  <c r="C37" i="6038"/>
  <c r="C41" i="6038"/>
  <c r="C45" i="6038"/>
  <c r="H50" i="6038"/>
  <c r="H22" i="6038"/>
  <c r="H26" i="6038"/>
  <c r="H6" i="6038"/>
  <c r="H34" i="6038"/>
  <c r="C38" i="6038"/>
  <c r="C42" i="6038"/>
  <c r="C46" i="6038"/>
  <c r="H47" i="6032"/>
  <c r="H12" i="6032"/>
  <c r="H10" i="6032"/>
  <c r="C21" i="6032"/>
  <c r="H5" i="6032"/>
  <c r="C22" i="6032"/>
  <c r="C46" i="6032"/>
  <c r="C48" i="6032"/>
  <c r="C36" i="6032"/>
  <c r="H14" i="6032"/>
  <c r="C38" i="6032"/>
  <c r="H21" i="6032"/>
  <c r="H16" i="6032"/>
  <c r="H30" i="6032"/>
  <c r="H24" i="6032"/>
  <c r="H37" i="6032"/>
  <c r="H26" i="6032"/>
  <c r="B26" i="6032"/>
  <c r="H45" i="6032"/>
  <c r="C21" i="6036"/>
  <c r="H27" i="6036"/>
  <c r="C36" i="6036"/>
  <c r="H42" i="6036"/>
  <c r="H51" i="6036"/>
  <c r="H21" i="6036"/>
  <c r="H36" i="6036"/>
  <c r="H43" i="6036"/>
  <c r="H52" i="6036"/>
  <c r="H5" i="6036"/>
  <c r="H11" i="6036"/>
  <c r="H14" i="6036"/>
  <c r="C22" i="6036"/>
  <c r="C38" i="6036"/>
  <c r="C44" i="6036"/>
  <c r="C24" i="6036"/>
  <c r="H30" i="6036"/>
  <c r="H39" i="6036"/>
  <c r="C46" i="6036"/>
  <c r="H3" i="6036"/>
  <c r="H6" i="6036"/>
  <c r="H9" i="6036"/>
  <c r="H12" i="6036"/>
  <c r="C19" i="6036"/>
  <c r="C25" i="6036"/>
  <c r="H33" i="6036"/>
  <c r="C40" i="6036"/>
  <c r="H46" i="6036"/>
  <c r="H16" i="6036"/>
  <c r="H19" i="6036"/>
  <c r="H25" i="6036"/>
  <c r="H40" i="6036"/>
  <c r="C48" i="6036"/>
  <c r="H17" i="6036"/>
  <c r="H20" i="6036"/>
  <c r="H24" i="6036"/>
  <c r="H28" i="6036"/>
  <c r="H34" i="6036"/>
  <c r="C39" i="6036"/>
  <c r="C43" i="6036"/>
  <c r="C47" i="6036"/>
  <c r="H47" i="6036"/>
  <c r="H22" i="6036"/>
  <c r="H26" i="6036"/>
  <c r="H31" i="6036"/>
  <c r="C37" i="6036"/>
  <c r="C41" i="6036"/>
  <c r="C45" i="6036"/>
  <c r="H49" i="6036"/>
  <c r="C23" i="6036"/>
  <c r="B27" i="6036"/>
  <c r="H32" i="6036"/>
  <c r="H37" i="6036"/>
  <c r="H41" i="6036"/>
  <c r="H45" i="6036"/>
  <c r="B13" i="6032"/>
  <c r="H2" i="6032"/>
  <c r="H39" i="6032"/>
  <c r="H9" i="6032"/>
  <c r="H17" i="6032"/>
  <c r="C40" i="6032"/>
  <c r="C19" i="6032"/>
  <c r="H3" i="6032"/>
  <c r="H11" i="6032"/>
  <c r="C44" i="6032"/>
  <c r="B13" i="6034"/>
  <c r="H24" i="6034"/>
  <c r="H29" i="6034"/>
  <c r="H37" i="6034"/>
  <c r="H42" i="6034"/>
  <c r="C48" i="6034"/>
  <c r="H43" i="6034"/>
  <c r="H5" i="6034"/>
  <c r="H10" i="6034"/>
  <c r="C19" i="6034"/>
  <c r="C24" i="6034"/>
  <c r="H30" i="6034"/>
  <c r="C38" i="6034"/>
  <c r="H20" i="6034"/>
  <c r="C25" i="6034"/>
  <c r="H32" i="6034"/>
  <c r="H38" i="6034"/>
  <c r="C44" i="6034"/>
  <c r="H50" i="6034"/>
  <c r="H13" i="6034"/>
  <c r="H6" i="6034"/>
  <c r="H11" i="6034"/>
  <c r="H14" i="6034"/>
  <c r="H25" i="6034"/>
  <c r="H33" i="6034"/>
  <c r="H39" i="6034"/>
  <c r="H44" i="6034"/>
  <c r="H51" i="6034"/>
  <c r="H3" i="6034"/>
  <c r="H17" i="6034"/>
  <c r="H48" i="6034"/>
  <c r="H8" i="6034"/>
  <c r="H18" i="6034"/>
  <c r="C21" i="6034"/>
  <c r="B26" i="6034"/>
  <c r="C40" i="6034"/>
  <c r="H45" i="6034"/>
  <c r="H52" i="6034"/>
  <c r="H21" i="6034"/>
  <c r="H4" i="6034"/>
  <c r="H28" i="6034"/>
  <c r="H34" i="6034"/>
  <c r="C39" i="6034"/>
  <c r="C43" i="6034"/>
  <c r="C47" i="6034"/>
  <c r="H23" i="6034"/>
  <c r="H26" i="6034"/>
  <c r="H31" i="6034"/>
  <c r="C37" i="6034"/>
  <c r="C41" i="6034"/>
  <c r="C45" i="6034"/>
  <c r="C24" i="6032"/>
  <c r="H31" i="6032"/>
  <c r="H41" i="6032"/>
  <c r="H49" i="6032"/>
  <c r="H18" i="6032"/>
  <c r="H7" i="6032"/>
  <c r="H8" i="6032"/>
  <c r="H13" i="6032"/>
  <c r="H15" i="6032"/>
  <c r="C25" i="6032"/>
  <c r="H34" i="6032"/>
  <c r="C42" i="6032"/>
  <c r="H6" i="6032"/>
  <c r="H19" i="6032"/>
  <c r="H22" i="6032"/>
  <c r="H27" i="6032"/>
  <c r="H43" i="6032"/>
  <c r="H52" i="6032"/>
  <c r="H20" i="6032"/>
  <c r="H23" i="6032"/>
  <c r="H4" i="6032"/>
  <c r="H29" i="6032"/>
  <c r="H35" i="6032"/>
  <c r="C39" i="6032"/>
  <c r="C43" i="6032"/>
  <c r="C47" i="6032"/>
  <c r="H36" i="6032"/>
  <c r="H40" i="6032"/>
  <c r="H44" i="6032"/>
  <c r="H48" i="6032"/>
  <c r="H25" i="6032"/>
  <c r="H28" i="6032"/>
  <c r="H32" i="6032"/>
  <c r="C37" i="6032"/>
  <c r="C41" i="6032"/>
  <c r="C45" i="6032"/>
  <c r="H50" i="6032"/>
  <c r="C23" i="6032"/>
  <c r="B27" i="6032"/>
  <c r="H33" i="6032"/>
  <c r="H38" i="6032"/>
  <c r="H42" i="6032"/>
  <c r="H46" i="6032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<sst xmlns="http://schemas.openxmlformats.org/spreadsheetml/2006/main" count="1159" uniqueCount="192">
  <si>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</si>
  <si>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</si>
  <si>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</si>
  <si>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</si>
  <si>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</si>
  <si>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</si>
  <si>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</si>
  <si>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</si>
  <si>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</si>
  <si>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</si>
  <si>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</si>
  <si>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</si>
  <si>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</si>
  <si>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</si>
  <si>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</si>
  <si>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</si>
  <si>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</si>
  <si>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</si>
  <si>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</si>
  <si>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</si>
  <si>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</si>
  <si>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</si>
  <si>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</si>
  <si>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</si>
  <si>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</si>
  <si>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</si>
  <si>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</si>
  <si>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</si>
  <si>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</si>
  <si>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</si>
  <si>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</si>
  <si>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</si>
  <si>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</si>
  <si>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</si>
  <si>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</si>
  <si>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</si>
  <si>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</si>
  <si>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</si>
  <si>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</si>
  <si>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</si>
  <si>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</si>
  <si>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</si>
  <si>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</si>
  <si>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</si>
  <si>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</si>
  <si>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</si>
  <si>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</si>
  <si>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</si>
  <si>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</si>
  <si>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</si>
  <si>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</si>
  <si>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</si>
  <si>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</si>
  <si>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</si>
  <si>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</si>
  <si>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</si>
  <si>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</si>
  <si>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</si>
  <si>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</si>
  <si>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</si>
  <si>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</si>
  <si>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</si>
  <si>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</si>
  <si>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</si>
  <si>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</si>
  <si>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</si>
  <si>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</si>
  <si>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</si>
  <si>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</si>
  <si>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</si>
  <si>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</si>
  <si>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</si>
  <si>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</si>
  <si>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</si>
  <si>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</si>
  <si>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</si>
  <si>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</si>
  <si>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</si>
  <si>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</si>
  <si>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</si>
  <si>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</si>
  <si>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</si>
  <si>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</si>
  <si>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</si>
  <si>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</si>
  <si>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</si>
  <si>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</si>
  <si>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</si>
  <si>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</si>
  <si>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</si>
  <si>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</si>
  <si>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</si>
  <si>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</si>
  <si>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</si>
  <si>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</si>
  <si>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</si>
  <si>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</si>
  <si>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</si>
  <si>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</si>
  <si>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</si>
  <si>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</si>
  <si>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</si>
  <si>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</si>
  <si>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</si>
  <si>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</si>
  <si>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</si>
  <si>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</si>
  <si>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</si>
  <si>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</si>
  <si>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</si>
  <si>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</si>
  <si>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</si>
  <si>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</si>
  <si>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</si>
  <si>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</si>
  <si>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</si>
  <si>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</si>
  <si>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</si>
  <si>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</si>
  <si>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</si>
  <si>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</si>
  <si>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</si>
  <si>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</si>
  <si>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</si>
  <si>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</si>
  <si>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</si>
  <si>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</si>
  <si>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</si>
  <si>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</si>
  <si>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</si>
  <si>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</si>
  <si>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</si>
  <si>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</si>
  <si>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</si>
  <si>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</si>
  <si>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</si>
  <si>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</si>
  <si>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</si>
  <si>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</si>
  <si>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</si>
  <si>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</si>
  <si>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</si>
  <si>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</si>
  <si>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</si>
  <si>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</si>
  <si>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</si>
  <si>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</si>
  <si>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</si>
  <si>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</si>
  <si>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</si>
  <si>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</si>
  <si>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</si>
  <si>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</si>
  <si>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</si>
  <si>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</si>
  <si>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</si>
  <si>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</si>
  <si>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</si>
  <si>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</si>
  <si>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</si>
  <si>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</si>
  <si>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</si>
  <si>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</si>
  <si>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</si>
  <si>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</si>
  <si>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</si>
  <si>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</si>
  <si>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</si>
  <si>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</si>
  <si>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</si>
  <si>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</si>
  <si>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</si>
  <si>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</si>
  <si>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</si>
  <si>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</si>
  <si>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</si>
  <si>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</si>
  <si>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</si>
  <si>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</si>
  <si>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</si>
  <si>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</si>
  <si>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</si>
  <si>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</si>
  <si>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</si>
  <si>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</si>
  <si>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―</t>
  </si>
  <si>
    <t>2020-04-04@1.xlsm</t>
  </si>
  <si>
    <t>Sheet1</t>
  </si>
  <si>
    <t>全体</t>
  </si>
  <si>
    <t>ともき</t>
  </si>
  <si>
    <t>だいち</t>
  </si>
  <si>
    <t>れんたろう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</si>
</sst>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7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hartsheet" Target="chartsheets/sheet5.xml"/><Relationship Id="rId26" Type="http://schemas.openxmlformats.org/officeDocument/2006/relationships/chartsheet" Target="chartsheets/sheet13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8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hartsheet" Target="chartsheets/sheet4.xml"/><Relationship Id="rId25" Type="http://schemas.openxmlformats.org/officeDocument/2006/relationships/chartsheet" Target="chartsheets/sheet12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3.xml"/><Relationship Id="rId20" Type="http://schemas.openxmlformats.org/officeDocument/2006/relationships/chartsheet" Target="chartsheets/sheet7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11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2.xml"/><Relationship Id="rId23" Type="http://schemas.openxmlformats.org/officeDocument/2006/relationships/chartsheet" Target="chartsheets/sheet10.xml"/><Relationship Id="rId28" Type="http://schemas.openxmlformats.org/officeDocument/2006/relationships/chartsheet" Target="chartsheets/sheet15.xml"/><Relationship Id="rId10" Type="http://schemas.openxmlformats.org/officeDocument/2006/relationships/worksheet" Target="worksheets/sheet10.xml"/><Relationship Id="rId19" Type="http://schemas.openxmlformats.org/officeDocument/2006/relationships/chartsheet" Target="chartsheets/sheet6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1.xml"/><Relationship Id="rId22" Type="http://schemas.openxmlformats.org/officeDocument/2006/relationships/chartsheet" Target="chartsheets/sheet9.xml"/><Relationship Id="rId27" Type="http://schemas.openxmlformats.org/officeDocument/2006/relationships/chartsheet" Target="chartsheets/sheet14.xml"/><Relationship Id="rId30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全体!$L$2:$L$5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-2.9</c:v>
                </c:pt>
                <c:pt idx="2">
                  <c:v>-39.199999999999996</c:v>
                </c:pt>
                <c:pt idx="3">
                  <c:v>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D2-442C-AA55-3010F9D47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02-48E7-BC50-A706E3F03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7D-4FE4-BF0E-123B91A13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れんたろう!$L$2:$L$3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7-46A5-BCDF-4F4CE33767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-2300</c:v>
                </c:pt>
                <c:pt idx="1">
                  <c:v>0</c:v>
                </c:pt>
                <c:pt idx="2">
                  <c:v>400</c:v>
                </c:pt>
                <c:pt idx="3">
                  <c:v>-2000</c:v>
                </c:pt>
                <c:pt idx="4">
                  <c:v>-1000</c:v>
                </c:pt>
                <c:pt idx="5">
                  <c:v>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5F-4A3A-9EA4-26C637E709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2B-4B5A-BF72-1A6D075F9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ともき!$L$2:$L$3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-36.299999999999997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28-43A9-954E-02B6DC45A1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3100</c:v>
                </c:pt>
                <c:pt idx="1">
                  <c:v>-8000</c:v>
                </c:pt>
                <c:pt idx="2">
                  <c:v>-17300</c:v>
                </c:pt>
                <c:pt idx="3">
                  <c:v>0</c:v>
                </c:pt>
                <c:pt idx="4">
                  <c:v>-2600</c:v>
                </c:pt>
                <c:pt idx="5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E7-4E4A-94ED-5C06891B8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E6-4064-AE94-F2241FF2B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だいち!$L$2:$L$3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39.200000000000003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94-4581-8DE3-92D2B8672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-800</c:v>
                </c:pt>
                <c:pt idx="1">
                  <c:v>8000</c:v>
                </c:pt>
                <c:pt idx="2">
                  <c:v>16900</c:v>
                </c:pt>
                <c:pt idx="3">
                  <c:v>2000</c:v>
                </c:pt>
                <c:pt idx="4">
                  <c:v>3600</c:v>
                </c:pt>
                <c:pt idx="5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F7-4745-9381-A8B4B4C6B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2A-49D2-902B-37F626099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だいち2!$A$1:$B$2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だいち</c:v>
                  </c:pt>
                  <c:pt idx="1">
                    <c:v>だいち</c:v>
                  </c:pt>
                </c:lvl>
              </c:multiLvlStrCache>
            </c:multiLvlStrRef>
          </c:xVal>
          <c:yVal>
            <c:numRef>
              <c:f>だいち2!$A$3:$B$3</c:f>
              <c:numCache>
                <c:formatCode>\+0.0;\-0.0;\±0</c:formatCode>
                <c:ptCount val="2"/>
                <c:pt idx="0" formatCode="0\ &quot;回&quot;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だいち2!$A$1:$B$2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だいち</c:v>
                  </c:pt>
                  <c:pt idx="1">
                    <c:v>だいち</c:v>
                  </c:pt>
                </c:lvl>
              </c:multiLvlStrCache>
            </c:multiLvlStrRef>
          </c:xVal>
          <c:yVal>
            <c:numRef>
              <c:f>だいち2!$A$4:$B$4</c:f>
              <c:numCache>
                <c:formatCode>\+0.0;\-0.0;\±0</c:formatCode>
                <c:ptCount val="2"/>
                <c:pt idx="0" formatCode="0\ &quot;回&quot;">
                  <c:v>1</c:v>
                </c:pt>
                <c:pt idx="1">
                  <c:v>39.200000000000003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E1-47F0-A771-8E42B4155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.105427357601001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(だいち2!$A$1:$A$2,だいち2!$C$1:$C$2)</c:f>
              <c:multiLvlStrCache>
                <c:ptCount val="2"/>
                <c:lvl>
                  <c:pt idx="0">
                    <c:v>対戦数</c:v>
                  </c:pt>
                  <c:pt idx="1">
                    <c:v>平均スコア</c:v>
                  </c:pt>
                </c:lvl>
                <c:lvl>
                  <c:pt idx="0">
                    <c:v>だいち</c:v>
                  </c:pt>
                  <c:pt idx="1">
                    <c:v>だいち</c:v>
                  </c:pt>
                </c:lvl>
              </c:multiLvlStrCache>
            </c:multiLvlStrRef>
          </c:xVal>
          <c:yVal>
            <c:numRef>
              <c:f>(だいち2!$A$3,だいち2!$C$3)</c:f>
              <c:numCache>
                <c:formatCode>\+0.0;\-0.0;\±0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(だいち2!$A$1:$A$2,だいち2!$C$1:$C$2)</c:f>
              <c:multiLvlStrCache>
                <c:ptCount val="2"/>
                <c:lvl>
                  <c:pt idx="0">
                    <c:v>対戦数</c:v>
                  </c:pt>
                  <c:pt idx="1">
                    <c:v>平均スコア</c:v>
                  </c:pt>
                </c:lvl>
                <c:lvl>
                  <c:pt idx="0">
                    <c:v>だいち</c:v>
                  </c:pt>
                  <c:pt idx="1">
                    <c:v>だいち</c:v>
                  </c:pt>
                </c:lvl>
              </c:multiLvlStrCache>
            </c:multiLvlStrRef>
          </c:xVal>
          <c:yVal>
            <c:numRef>
              <c:f>(だいち2!$A$4,だいち2!$C$4)</c:f>
              <c:numCache>
                <c:formatCode>\+0.0;\-0.0;\±0</c:formatCode>
                <c:ptCount val="2"/>
                <c:pt idx="0" formatCode="0\ &quot;回&quot;">
                  <c:v>1</c:v>
                </c:pt>
                <c:pt idx="1">
                  <c:v>39.200000000000003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E0-4AEB-B03A-C45618E99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.3684757858670005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(だいち2!$A$1:$A$2,だいち2!$D$1:$D$2)</c:f>
              <c:multiLvlStrCache>
                <c:ptCount val="2"/>
                <c:lvl>
                  <c:pt idx="0">
                    <c:v>対戦数</c:v>
                  </c:pt>
                  <c:pt idx="1">
                    <c:v>平均順位</c:v>
                  </c:pt>
                </c:lvl>
                <c:lvl>
                  <c:pt idx="0">
                    <c:v>だいち</c:v>
                  </c:pt>
                  <c:pt idx="1">
                    <c:v>だいち</c:v>
                  </c:pt>
                </c:lvl>
              </c:multiLvlStrCache>
            </c:multiLvlStrRef>
          </c:xVal>
          <c:yVal>
            <c:numRef>
              <c:f>(だいち2!$A$3,だいち2!$D$3)</c:f>
              <c:numCache>
                <c:formatCode>0.00\ "位"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(だいち2!$A$1:$A$2,だいち2!$D$1:$D$2)</c:f>
              <c:multiLvlStrCache>
                <c:ptCount val="2"/>
                <c:lvl>
                  <c:pt idx="0">
                    <c:v>対戦数</c:v>
                  </c:pt>
                  <c:pt idx="1">
                    <c:v>平均順位</c:v>
                  </c:pt>
                </c:lvl>
                <c:lvl>
                  <c:pt idx="0">
                    <c:v>だいち</c:v>
                  </c:pt>
                  <c:pt idx="1">
                    <c:v>だいち</c:v>
                  </c:pt>
                </c:lvl>
              </c:multiLvlStrCache>
            </c:multiLvlStrRef>
          </c:xVal>
          <c:yVal>
            <c:numRef>
              <c:f>(だいち2!$A$4,だいち2!$D$4)</c:f>
              <c:numCache>
                <c:formatCode>0.00\ "位"</c:formatCode>
                <c:ptCount val="2"/>
                <c:pt idx="0" formatCode="0\ &quot;回&quot;">
                  <c:v>1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8A-482D-8867-20E9ED4126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(だいち2!$A$1:$A$2,だいち2!$E$1:$E$2)</c:f>
              <c:multiLvlStrCache>
                <c:ptCount val="2"/>
                <c:lvl>
                  <c:pt idx="0">
                    <c:v>対戦数</c:v>
                  </c:pt>
                  <c:pt idx="1">
                    <c:v>トップ率</c:v>
                  </c:pt>
                </c:lvl>
                <c:lvl>
                  <c:pt idx="0">
                    <c:v>だいち</c:v>
                  </c:pt>
                  <c:pt idx="1">
                    <c:v>だいち</c:v>
                  </c:pt>
                </c:lvl>
              </c:multiLvlStrCache>
            </c:multiLvlStrRef>
          </c:xVal>
          <c:yVal>
            <c:numRef>
              <c:f>(だいち2!$A$3,だいち2!$E$3)</c:f>
              <c:numCache>
                <c:formatCode>0.0%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(だいち2!$A$1:$A$2,だいち2!$E$1:$E$2)</c:f>
              <c:multiLvlStrCache>
                <c:ptCount val="2"/>
                <c:lvl>
                  <c:pt idx="0">
                    <c:v>対戦数</c:v>
                  </c:pt>
                  <c:pt idx="1">
                    <c:v>トップ率</c:v>
                  </c:pt>
                </c:lvl>
                <c:lvl>
                  <c:pt idx="0">
                    <c:v>だいち</c:v>
                  </c:pt>
                  <c:pt idx="1">
                    <c:v>だいち</c:v>
                  </c:pt>
                </c:lvl>
              </c:multiLvlStrCache>
            </c:multiLvlStrRef>
          </c:xVal>
          <c:yVal>
            <c:numRef>
              <c:f>(だいち2!$A$4,だいち2!$E$4)</c:f>
              <c:numCache>
                <c:formatCode>0.0%</c:formatCode>
                <c:ptCount val="2"/>
                <c:pt idx="0" formatCode="0\ &quot;回&quot;">
                  <c:v>1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9C-4030-A04D-3DE9292D13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(だいち2!$A$1:$A$2,だいち2!$F$1:$F$2)</c:f>
              <c:multiLvlStrCache>
                <c:ptCount val="2"/>
                <c:lvl>
                  <c:pt idx="0">
                    <c:v>対戦数</c:v>
                  </c:pt>
                  <c:pt idx="1">
                    <c:v>ラス率</c:v>
                  </c:pt>
                </c:lvl>
                <c:lvl>
                  <c:pt idx="0">
                    <c:v>だいち</c:v>
                  </c:pt>
                  <c:pt idx="1">
                    <c:v>だいち</c:v>
                  </c:pt>
                </c:lvl>
              </c:multiLvlStrCache>
            </c:multiLvlStrRef>
          </c:xVal>
          <c:yVal>
            <c:numRef>
              <c:f>(だいち2!$A$3,だいち2!$F$3)</c:f>
              <c:numCache>
                <c:formatCode>0.0%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(だいち2!$A$1:$A$2,だいち2!$F$1:$F$2)</c:f>
              <c:multiLvlStrCache>
                <c:ptCount val="2"/>
                <c:lvl>
                  <c:pt idx="0">
                    <c:v>対戦数</c:v>
                  </c:pt>
                  <c:pt idx="1">
                    <c:v>ラス率</c:v>
                  </c:pt>
                </c:lvl>
                <c:lvl>
                  <c:pt idx="0">
                    <c:v>だいち</c:v>
                  </c:pt>
                  <c:pt idx="1">
                    <c:v>だいち</c:v>
                  </c:pt>
                </c:lvl>
              </c:multiLvlStrCache>
            </c:multiLvlStrRef>
          </c:xVal>
          <c:yVal>
            <c:numRef>
              <c:f>(だいち2!$A$4,だいち2!$F$4)</c:f>
              <c:numCache>
                <c:formatCode>0.0%</c:formatCode>
                <c:ptCount val="2"/>
                <c:pt idx="0" formatCode="0\ &quot;回&quot;">
                  <c:v>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BB-49EF-A7C0-3125D56D8F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(だいち2!$A$1:$A$2,だいち2!$G$1:$G$2)</c:f>
              <c:multiLvlStrCache>
                <c:ptCount val="2"/>
                <c:lvl>
                  <c:pt idx="0">
                    <c:v>対戦数</c:v>
                  </c:pt>
                  <c:pt idx="1">
                    <c:v>アガリ率</c:v>
                  </c:pt>
                </c:lvl>
                <c:lvl>
                  <c:pt idx="0">
                    <c:v>だいち</c:v>
                  </c:pt>
                  <c:pt idx="1">
                    <c:v>だいち</c:v>
                  </c:pt>
                </c:lvl>
              </c:multiLvlStrCache>
            </c:multiLvlStrRef>
          </c:xVal>
          <c:yVal>
            <c:numRef>
              <c:f>(だいち2!$A$3,だいち2!$G$3)</c:f>
              <c:numCache>
                <c:formatCode>0.0%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(だいち2!$A$1:$A$2,だいち2!$G$1:$G$2)</c:f>
              <c:multiLvlStrCache>
                <c:ptCount val="2"/>
                <c:lvl>
                  <c:pt idx="0">
                    <c:v>対戦数</c:v>
                  </c:pt>
                  <c:pt idx="1">
                    <c:v>アガリ率</c:v>
                  </c:pt>
                </c:lvl>
                <c:lvl>
                  <c:pt idx="0">
                    <c:v>だいち</c:v>
                  </c:pt>
                  <c:pt idx="1">
                    <c:v>だいち</c:v>
                  </c:pt>
                </c:lvl>
              </c:multiLvlStrCache>
            </c:multiLvlStrRef>
          </c:xVal>
          <c:yVal>
            <c:numRef>
              <c:f>(だいち2!$A$4,だいち2!$G$4)</c:f>
              <c:numCache>
                <c:formatCode>0.0%</c:formatCode>
                <c:ptCount val="2"/>
                <c:pt idx="0" formatCode="0\ &quot;回&quot;">
                  <c:v>1</c:v>
                </c:pt>
                <c:pt idx="1">
                  <c:v>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95-4835-993A-E4A2085E87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1666666666666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(だいち2!$A$1:$A$2,だいち2!$H$1:$H$2)</c:f>
              <c:multiLvlStrCache>
                <c:ptCount val="2"/>
                <c:lvl>
                  <c:pt idx="0">
                    <c:v>対戦数</c:v>
                  </c:pt>
                  <c:pt idx="1">
                    <c:v>放銃率</c:v>
                  </c:pt>
                </c:lvl>
                <c:lvl>
                  <c:pt idx="0">
                    <c:v>だいち</c:v>
                  </c:pt>
                  <c:pt idx="1">
                    <c:v>だいち</c:v>
                  </c:pt>
                </c:lvl>
              </c:multiLvlStrCache>
            </c:multiLvlStrRef>
          </c:xVal>
          <c:yVal>
            <c:numRef>
              <c:f>(だいち2!$A$3,だいち2!$H$3)</c:f>
              <c:numCache>
                <c:formatCode>0.0%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(だいち2!$A$1:$A$2,だいち2!$H$1:$H$2)</c:f>
              <c:multiLvlStrCache>
                <c:ptCount val="2"/>
                <c:lvl>
                  <c:pt idx="0">
                    <c:v>対戦数</c:v>
                  </c:pt>
                  <c:pt idx="1">
                    <c:v>放銃率</c:v>
                  </c:pt>
                </c:lvl>
                <c:lvl>
                  <c:pt idx="0">
                    <c:v>だいち</c:v>
                  </c:pt>
                  <c:pt idx="1">
                    <c:v>だいち</c:v>
                  </c:pt>
                </c:lvl>
              </c:multiLvlStrCache>
            </c:multiLvlStrRef>
          </c:xVal>
          <c:yVal>
            <c:numRef>
              <c:f>(だいち2!$A$4,だいち2!$H$4)</c:f>
              <c:numCache>
                <c:formatCode>0.0%</c:formatCode>
                <c:ptCount val="2"/>
                <c:pt idx="0" formatCode="0\ &quot;回&quot;">
                  <c:v>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3C-46ED-A15E-013B1E288B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666666666666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(だいち2!$A$1:$A$2,だいち2!$I$1:$I$2)</c:f>
              <c:multiLvlStrCache>
                <c:ptCount val="2"/>
                <c:lvl>
                  <c:pt idx="0">
                    <c:v>対戦数</c:v>
                  </c:pt>
                  <c:pt idx="1">
                    <c:v>平均アガリ点</c:v>
                  </c:pt>
                </c:lvl>
                <c:lvl>
                  <c:pt idx="0">
                    <c:v>だいち</c:v>
                  </c:pt>
                  <c:pt idx="1">
                    <c:v>だいち</c:v>
                  </c:pt>
                </c:lvl>
              </c:multiLvlStrCache>
            </c:multiLvlStrRef>
          </c:xVal>
          <c:yVal>
            <c:numRef>
              <c:f>(だいち2!$A$3,だいち2!$I$3)</c:f>
              <c:numCache>
                <c:formatCode>0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(だいち2!$A$1:$A$2,だいち2!$I$1:$I$2)</c:f>
              <c:multiLvlStrCache>
                <c:ptCount val="2"/>
                <c:lvl>
                  <c:pt idx="0">
                    <c:v>対戦数</c:v>
                  </c:pt>
                  <c:pt idx="1">
                    <c:v>平均アガリ点</c:v>
                  </c:pt>
                </c:lvl>
                <c:lvl>
                  <c:pt idx="0">
                    <c:v>だいち</c:v>
                  </c:pt>
                  <c:pt idx="1">
                    <c:v>だいち</c:v>
                  </c:pt>
                </c:lvl>
              </c:multiLvlStrCache>
            </c:multiLvlStrRef>
          </c:xVal>
          <c:yVal>
            <c:numRef>
              <c:f>(だいち2!$A$4,だいち2!$I$4)</c:f>
              <c:numCache>
                <c:formatCode>0</c:formatCode>
                <c:ptCount val="2"/>
                <c:pt idx="0" formatCode="0\ &quot;回&quot;">
                  <c:v>1</c:v>
                </c:pt>
                <c:pt idx="1">
                  <c:v>6500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F8-41E2-A259-202A7F842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5857.14285714285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(だいち2!$A$1:$A$2,だいち2!$J$1:$J$2)</c:f>
              <c:multiLvlStrCache>
                <c:ptCount val="2"/>
                <c:lvl>
                  <c:pt idx="0">
                    <c:v>対戦数</c:v>
                  </c:pt>
                  <c:pt idx="1">
                    <c:v>平均放銃点</c:v>
                  </c:pt>
                </c:lvl>
                <c:lvl>
                  <c:pt idx="0">
                    <c:v>だいち</c:v>
                  </c:pt>
                  <c:pt idx="1">
                    <c:v>だいち</c:v>
                  </c:pt>
                </c:lvl>
              </c:multiLvlStrCache>
            </c:multiLvlStrRef>
          </c:xVal>
          <c:yVal>
            <c:numRef>
              <c:f>(だいち2!$A$3,だいち2!$J$3)</c:f>
              <c:numCache>
                <c:formatCode>0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(だいち2!$A$1:$A$2,だいち2!$J$1:$J$2)</c:f>
              <c:multiLvlStrCache>
                <c:ptCount val="2"/>
                <c:lvl>
                  <c:pt idx="0">
                    <c:v>対戦数</c:v>
                  </c:pt>
                  <c:pt idx="1">
                    <c:v>平均放銃点</c:v>
                  </c:pt>
                </c:lvl>
                <c:lvl>
                  <c:pt idx="0">
                    <c:v>だいち</c:v>
                  </c:pt>
                  <c:pt idx="1">
                    <c:v>だいち</c:v>
                  </c:pt>
                </c:lvl>
              </c:multiLvlStrCache>
            </c:multiLvlStrRef>
          </c:xVal>
          <c:yVal>
            <c:numRef>
              <c:f>(だいち2!$A$4,だいち2!$J$4)</c:f>
              <c:numCache>
                <c:formatCode>0</c:formatCode>
                <c:ptCount val="2"/>
                <c:pt idx="0" formatCode="0\ &quot;回&quot;">
                  <c:v>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80-4D89-945E-C1F41694E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6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(だいち2!$A$1:$A$2,だいち2!$K$1:$K$2)</c:f>
              <c:multiLvlStrCache>
                <c:ptCount val="2"/>
                <c:lvl>
                  <c:pt idx="0">
                    <c:v>対戦数</c:v>
                  </c:pt>
                  <c:pt idx="1">
                    <c:v>ふっとび率</c:v>
                  </c:pt>
                </c:lvl>
                <c:lvl>
                  <c:pt idx="0">
                    <c:v>だいち</c:v>
                  </c:pt>
                  <c:pt idx="1">
                    <c:v>だいち</c:v>
                  </c:pt>
                </c:lvl>
              </c:multiLvlStrCache>
            </c:multiLvlStrRef>
          </c:xVal>
          <c:yVal>
            <c:numRef>
              <c:f>(だいち2!$A$3,だいち2!$K$3)</c:f>
              <c:numCache>
                <c:formatCode>0.0%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(だいち2!$A$1:$A$2,だいち2!$K$1:$K$2)</c:f>
              <c:multiLvlStrCache>
                <c:ptCount val="2"/>
                <c:lvl>
                  <c:pt idx="0">
                    <c:v>対戦数</c:v>
                  </c:pt>
                  <c:pt idx="1">
                    <c:v>ふっとび率</c:v>
                  </c:pt>
                </c:lvl>
                <c:lvl>
                  <c:pt idx="0">
                    <c:v>だいち</c:v>
                  </c:pt>
                  <c:pt idx="1">
                    <c:v>だいち</c:v>
                  </c:pt>
                </c:lvl>
              </c:multiLvlStrCache>
            </c:multiLvlStrRef>
          </c:xVal>
          <c:yVal>
            <c:numRef>
              <c:f>(だいち2!$A$4,だいち2!$K$4)</c:f>
              <c:numCache>
                <c:formatCode>0.0%</c:formatCode>
                <c:ptCount val="2"/>
                <c:pt idx="0" formatCode="0\ &quot;回&quot;">
                  <c:v>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3B-4EFF-BF77-07D485D5BF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(だいち2!$A$1:$A$2,だいち2!$L$1:$L$2)</c:f>
              <c:multiLvlStrCache>
                <c:ptCount val="2"/>
                <c:lvl>
                  <c:pt idx="0">
                    <c:v>対戦数</c:v>
                  </c:pt>
                  <c:pt idx="1">
                    <c:v>リーチ率</c:v>
                  </c:pt>
                </c:lvl>
                <c:lvl>
                  <c:pt idx="0">
                    <c:v>だいち</c:v>
                  </c:pt>
                  <c:pt idx="1">
                    <c:v>だいち</c:v>
                  </c:pt>
                </c:lvl>
              </c:multiLvlStrCache>
            </c:multiLvlStrRef>
          </c:xVal>
          <c:yVal>
            <c:numRef>
              <c:f>(だいち2!$A$3,だいち2!$L$3)</c:f>
              <c:numCache>
                <c:formatCode>0.0%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(だいち2!$A$1:$A$2,だいち2!$L$1:$L$2)</c:f>
              <c:multiLvlStrCache>
                <c:ptCount val="2"/>
                <c:lvl>
                  <c:pt idx="0">
                    <c:v>対戦数</c:v>
                  </c:pt>
                  <c:pt idx="1">
                    <c:v>リーチ率</c:v>
                  </c:pt>
                </c:lvl>
                <c:lvl>
                  <c:pt idx="0">
                    <c:v>だいち</c:v>
                  </c:pt>
                  <c:pt idx="1">
                    <c:v>だいち</c:v>
                  </c:pt>
                </c:lvl>
              </c:multiLvlStrCache>
            </c:multiLvlStrRef>
          </c:xVal>
          <c:yVal>
            <c:numRef>
              <c:f>(だいち2!$A$4,だいち2!$L$4)</c:f>
              <c:numCache>
                <c:formatCode>0.0%</c:formatCode>
                <c:ptCount val="2"/>
                <c:pt idx="0" formatCode="0\ &quot;回&quot;">
                  <c:v>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09-4D53-BFDB-87C70F8C0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1666666666666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(だいち2!$A$1:$A$2,だいち2!$M$1:$M$2)</c:f>
              <c:multiLvlStrCache>
                <c:ptCount val="2"/>
                <c:lvl>
                  <c:pt idx="0">
                    <c:v>対戦数</c:v>
                  </c:pt>
                  <c:pt idx="1">
                    <c:v>副露率</c:v>
                  </c:pt>
                </c:lvl>
                <c:lvl>
                  <c:pt idx="0">
                    <c:v>だいち</c:v>
                  </c:pt>
                  <c:pt idx="1">
                    <c:v>だいち</c:v>
                  </c:pt>
                </c:lvl>
              </c:multiLvlStrCache>
            </c:multiLvlStrRef>
          </c:xVal>
          <c:yVal>
            <c:numRef>
              <c:f>(だいち2!$A$3,だいち2!$M$3)</c:f>
              <c:numCache>
                <c:formatCode>0.0%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(だいち2!$A$1:$A$2,だいち2!$M$1:$M$2)</c:f>
              <c:multiLvlStrCache>
                <c:ptCount val="2"/>
                <c:lvl>
                  <c:pt idx="0">
                    <c:v>対戦数</c:v>
                  </c:pt>
                  <c:pt idx="1">
                    <c:v>副露率</c:v>
                  </c:pt>
                </c:lvl>
                <c:lvl>
                  <c:pt idx="0">
                    <c:v>だいち</c:v>
                  </c:pt>
                  <c:pt idx="1">
                    <c:v>だいち</c:v>
                  </c:pt>
                </c:lvl>
              </c:multiLvlStrCache>
            </c:multiLvlStrRef>
          </c:xVal>
          <c:yVal>
            <c:numRef>
              <c:f>(だいち2!$A$4,だいち2!$M$4)</c:f>
              <c:numCache>
                <c:formatCode>0.0%</c:formatCode>
                <c:ptCount val="2"/>
                <c:pt idx="0" formatCode="0\ &quot;回&quot;">
                  <c:v>1</c:v>
                </c:pt>
                <c:pt idx="1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B3-4A03-B775-014828611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83333333333333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(だいち2!$A$1:$A$2,だいち2!$N$1:$N$2)</c:f>
              <c:multiLvlStrCache>
                <c:ptCount val="2"/>
                <c:lvl>
                  <c:pt idx="0">
                    <c:v>対戦数</c:v>
                  </c:pt>
                  <c:pt idx="1">
                    <c:v>リーチ成功率</c:v>
                  </c:pt>
                </c:lvl>
                <c:lvl>
                  <c:pt idx="0">
                    <c:v>だいち</c:v>
                  </c:pt>
                  <c:pt idx="1">
                    <c:v>だいち</c:v>
                  </c:pt>
                </c:lvl>
              </c:multiLvlStrCache>
            </c:multiLvlStrRef>
          </c:xVal>
          <c:yVal>
            <c:numRef>
              <c:f>(だいち2!$A$3,だいち2!$N$3)</c:f>
              <c:numCache>
                <c:formatCode>0.0%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(だいち2!$A$1:$A$2,だいち2!$N$1:$N$2)</c:f>
              <c:multiLvlStrCache>
                <c:ptCount val="2"/>
                <c:lvl>
                  <c:pt idx="0">
                    <c:v>対戦数</c:v>
                  </c:pt>
                  <c:pt idx="1">
                    <c:v>リーチ成功率</c:v>
                  </c:pt>
                </c:lvl>
                <c:lvl>
                  <c:pt idx="0">
                    <c:v>だいち</c:v>
                  </c:pt>
                  <c:pt idx="1">
                    <c:v>だいち</c:v>
                  </c:pt>
                </c:lvl>
              </c:multiLvlStrCache>
            </c:multiLvlStrRef>
          </c:xVal>
          <c:yVal>
            <c:numRef>
              <c:f>(だいち2!$A$4,だいち2!$N$4)</c:f>
              <c:numCache>
                <c:formatCode>0.0%</c:formatCode>
                <c:ptCount val="2"/>
                <c:pt idx="0" formatCode="0\ &quot;回&quot;">
                  <c:v>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7-416B-812A-75B8D357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571428571428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(だいち2!$A$1:$A$2,だいち2!$O$1:$O$2)</c:f>
              <c:multiLvlStrCache>
                <c:ptCount val="2"/>
                <c:lvl>
                  <c:pt idx="0">
                    <c:v>対戦数</c:v>
                  </c:pt>
                  <c:pt idx="1">
                    <c:v>副露成功率</c:v>
                  </c:pt>
                </c:lvl>
                <c:lvl>
                  <c:pt idx="0">
                    <c:v>だいち</c:v>
                  </c:pt>
                  <c:pt idx="1">
                    <c:v>だいち</c:v>
                  </c:pt>
                </c:lvl>
              </c:multiLvlStrCache>
            </c:multiLvlStrRef>
          </c:xVal>
          <c:yVal>
            <c:numRef>
              <c:f>(だいち2!$A$3,だいち2!$O$3)</c:f>
              <c:numCache>
                <c:formatCode>0.0%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(だいち2!$A$1:$A$2,だいち2!$O$1:$O$2)</c:f>
              <c:multiLvlStrCache>
                <c:ptCount val="2"/>
                <c:lvl>
                  <c:pt idx="0">
                    <c:v>対戦数</c:v>
                  </c:pt>
                  <c:pt idx="1">
                    <c:v>副露成功率</c:v>
                  </c:pt>
                </c:lvl>
                <c:lvl>
                  <c:pt idx="0">
                    <c:v>だいち</c:v>
                  </c:pt>
                  <c:pt idx="1">
                    <c:v>だいち</c:v>
                  </c:pt>
                </c:lvl>
              </c:multiLvlStrCache>
            </c:multiLvlStrRef>
          </c:xVal>
          <c:yVal>
            <c:numRef>
              <c:f>(だいち2!$A$4,だいち2!$O$4)</c:f>
              <c:numCache>
                <c:formatCode>0.0%</c:formatCode>
                <c:ptCount val="2"/>
                <c:pt idx="0" formatCode="0\ &quot;回&quot;">
                  <c:v>1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DD-41C7-9F04-A2C3E89E41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(だいち2!$A$1:$A$2,だいち2!$P$1:$P$2)</c:f>
              <c:multiLvlStrCache>
                <c:ptCount val="2"/>
                <c:lvl>
                  <c:pt idx="0">
                    <c:v>対戦数</c:v>
                  </c:pt>
                  <c:pt idx="1">
                    <c:v>ツモ率</c:v>
                  </c:pt>
                </c:lvl>
                <c:lvl>
                  <c:pt idx="0">
                    <c:v>だいち</c:v>
                  </c:pt>
                  <c:pt idx="1">
                    <c:v>だいち</c:v>
                  </c:pt>
                </c:lvl>
              </c:multiLvlStrCache>
            </c:multiLvlStrRef>
          </c:xVal>
          <c:yVal>
            <c:numRef>
              <c:f>(だいち2!$A$3,だいち2!$P$3)</c:f>
              <c:numCache>
                <c:formatCode>0.0%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(だいち2!$A$1:$A$2,だいち2!$P$1:$P$2)</c:f>
              <c:multiLvlStrCache>
                <c:ptCount val="2"/>
                <c:lvl>
                  <c:pt idx="0">
                    <c:v>対戦数</c:v>
                  </c:pt>
                  <c:pt idx="1">
                    <c:v>ツモ率</c:v>
                  </c:pt>
                </c:lvl>
                <c:lvl>
                  <c:pt idx="0">
                    <c:v>だいち</c:v>
                  </c:pt>
                  <c:pt idx="1">
                    <c:v>だいち</c:v>
                  </c:pt>
                </c:lvl>
              </c:multiLvlStrCache>
            </c:multiLvlStrRef>
          </c:xVal>
          <c:yVal>
            <c:numRef>
              <c:f>(だいち2!$A$4,だいち2!$P$4)</c:f>
              <c:numCache>
                <c:formatCode>0.0%</c:formatCode>
                <c:ptCount val="2"/>
                <c:pt idx="0" formatCode="0\ &quot;回&quot;">
                  <c:v>1</c:v>
                </c:pt>
                <c:pt idx="1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9-4766-A747-C026025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85714285714285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7FC86B6-E59D-49D2-96C8-2EA5DE6C9A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E412B31-9269-4759-93D3-F67FACA733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618EE3C-91B1-4985-8061-FB6C20136D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A6F75EE-B179-488B-969B-E1AAA36E37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4E957C1-9DD8-4787-B78E-0AC518D8EB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7AA9282-33C3-488E-9DC1-C0E0F2F21E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9106FB1-DF81-44CA-92C6-A9B97897AE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A8E3E02-1FD8-4A36-9B64-23D5A027CB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13E2FE8-F2C6-4A66-9667-2564A021A1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40FB7B1-BB0A-4B17-A161-89C3B5B117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269CC0C-E135-4D89-B606-AA387F37CE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3D1C5CC-FF79-48E1-AEA5-0D5DED3DBF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C2"/>
  <sheetViews>
    <sheetView workbookViewId="0"/>
  </sheetViews>
  <sheetFormatPr defaultColWidth="9" defaultRowHeight="18" x14ac:dyDescent="0.45"/>
  <cols>
    <col min="1" max="1" width="19.19921875" style="2" customWidth="1"/>
    <col min="2" max="2" width="19.19921875" style="3" customWidth="1"/>
    <col min="3" max="16384" width="9" style="2"/>
  </cols>
  <sheetData>
    <row r="1" spans="1:3" x14ac:dyDescent="0.45">
      <c r="A1" s="1">
        <v>32874</v>
      </c>
      <c r="B1" s="1">
        <v>2958465</v>
      </c>
    </row>
    <row r="2" spans="1:3" x14ac:dyDescent="0.45">
      <c r="A2" s="2" t="s">
        <v>186</v>
      </c>
      <c r="B2" s="3">
        <v>43925.818553240744</v>
      </c>
      <c r="C2" s="2" t="s">
        <v>187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147</v>
      </c>
      <c r="G2" s="36" t="s">
        <v>138</v>
      </c>
      <c r="H2" s="36" t="s">
        <v>137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139</v>
      </c>
      <c r="P2" s="36" t="s">
        <v>136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188</v>
      </c>
      <c r="B1">
        <v>3</v>
      </c>
    </row>
    <row r="2" spans="1:2" x14ac:dyDescent="0.45">
      <c r="A2" t="s">
        <v>191</v>
      </c>
      <c r="B2">
        <v>1</v>
      </c>
    </row>
    <row r="3" spans="1:2" x14ac:dyDescent="0.45">
      <c r="A3" t="s">
        <v>189</v>
      </c>
      <c r="B3">
        <v>1</v>
      </c>
    </row>
    <row r="4" spans="1:2" x14ac:dyDescent="0.45">
      <c r="A4" t="s">
        <v>190</v>
      </c>
      <c r="B4">
        <v>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/>
      <c r="C1" s="130"/>
      <c r="E1" s="108" t="s">
        <v>152</v>
      </c>
      <c r="F1" s="104" t="s">
        <v>115</v>
      </c>
      <c r="G1" s="103" t="s">
        <v>116</v>
      </c>
      <c r="H1" s="90" t="s">
        <v>117</v>
      </c>
      <c r="I1" s="104" t="s">
        <v>143</v>
      </c>
      <c r="K1" s="4" t="s">
        <v>19</v>
      </c>
      <c r="L1" s="104" t="s">
        <v>120</v>
      </c>
      <c r="M1" s="109"/>
      <c r="N1" s="76" t="s">
        <v>132</v>
      </c>
      <c r="O1" s="4" t="s">
        <v>133</v>
      </c>
      <c r="P1" s="110" t="s">
        <v>116</v>
      </c>
      <c r="Q1" s="66" t="s">
        <v>145</v>
      </c>
    </row>
    <row r="2" spans="1:17" x14ac:dyDescent="0.45">
      <c r="A2" s="20" t="s">
        <v>9</v>
      </c>
      <c r="B2" s="131">
        <v>0</v>
      </c>
      <c r="C2" s="132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126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33">
        <v>0</v>
      </c>
      <c r="C3" s="134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127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35">
        <v>0</v>
      </c>
      <c r="C4" s="136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128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23">
        <f>IF(B$2=0,0,B$4/B$2)</f>
        <v>0</v>
      </c>
      <c r="C5" s="124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129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37">
        <f>IF(B$2=0,0,(B$7*1+B$8*2+B$9*3)/B$2)</f>
        <v>0</v>
      </c>
      <c r="C6" s="138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130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131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148</v>
      </c>
      <c r="O9" s="4" t="s">
        <v>120</v>
      </c>
      <c r="P9" s="110" t="s">
        <v>116</v>
      </c>
      <c r="Q9" s="70" t="s">
        <v>145</v>
      </c>
    </row>
    <row r="10" spans="1:17" x14ac:dyDescent="0.45">
      <c r="A10" s="22" t="s">
        <v>181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149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182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150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183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151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184</v>
      </c>
      <c r="B13" s="123">
        <f>AVERAGE(B10:B12)</f>
        <v>0</v>
      </c>
      <c r="C13" s="124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144</v>
      </c>
      <c r="O14" s="4" t="s">
        <v>120</v>
      </c>
      <c r="P14" s="110" t="s">
        <v>116</v>
      </c>
      <c r="Q14" s="70" t="s">
        <v>145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180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178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179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162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163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161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155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156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134</v>
      </c>
      <c r="B32" s="125">
        <v>0</v>
      </c>
      <c r="C32" s="126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177</v>
      </c>
      <c r="B33" s="127">
        <v>-1000000</v>
      </c>
      <c r="C33" s="128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135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168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164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165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166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167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169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170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171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172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173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174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175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176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153</v>
      </c>
      <c r="F50" s="26" t="s">
        <v>154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157</v>
      </c>
      <c r="F51" s="96" t="s">
        <v>158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159</v>
      </c>
      <c r="F52" s="27" t="s">
        <v>160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6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69921875" style="51" customWidth="1"/>
    <col min="3" max="3" width="10.69921875" style="118" customWidth="1"/>
    <col min="4" max="4" width="10.69921875" style="49" customWidth="1"/>
    <col min="5" max="5" width="10.69921875" style="50" customWidth="1"/>
    <col min="6" max="6" width="10.69921875" style="51" customWidth="1"/>
    <col min="7" max="7" width="10.69921875" style="63" customWidth="1"/>
    <col min="8" max="8" width="10.69921875" style="51" customWidth="1"/>
    <col min="9" max="9" width="10.69921875" style="63" customWidth="1"/>
    <col min="10" max="10" width="10.69921875" style="51" customWidth="1"/>
    <col min="11" max="11" width="10.69921875" style="52" customWidth="1"/>
    <col min="12" max="12" width="10.69921875" style="51" customWidth="1"/>
    <col min="13" max="13" width="10.69921875" style="53" customWidth="1"/>
    <col min="14" max="14" width="10.69921875" style="51" customWidth="1"/>
    <col min="15" max="15" width="10.69921875" style="53" customWidth="1"/>
    <col min="16" max="16" width="10.69921875" style="51" customWidth="1"/>
    <col min="17" max="17" width="10.69921875" style="54" customWidth="1"/>
    <col min="18" max="18" width="10.69921875" style="51" customWidth="1"/>
    <col min="19" max="19" width="10.69921875" style="54" customWidth="1"/>
    <col min="20" max="20" width="10.69921875" style="51" customWidth="1"/>
    <col min="21" max="21" width="10.69921875" style="55" customWidth="1"/>
    <col min="22" max="22" width="10.69921875" style="51" customWidth="1"/>
    <col min="23" max="23" width="10.69921875" style="55" customWidth="1"/>
    <col min="24" max="24" width="10.69921875" style="51" customWidth="1"/>
    <col min="25" max="25" width="10.69921875" style="53" customWidth="1"/>
    <col min="26" max="26" width="10.69921875" style="51" customWidth="1"/>
    <col min="27" max="27" width="10.69921875" style="54" customWidth="1"/>
    <col min="28" max="28" width="10.69921875" style="51" customWidth="1"/>
    <col min="29" max="29" width="10.69921875" style="54" customWidth="1"/>
    <col min="30" max="30" width="10.69921875" style="51" customWidth="1"/>
    <col min="31" max="31" width="10.69921875" style="54" customWidth="1"/>
    <col min="32" max="32" width="10.69921875" style="51" customWidth="1"/>
    <col min="33" max="33" width="10.69921875" style="54" customWidth="1"/>
    <col min="34" max="34" width="10.69921875" style="51" customWidth="1"/>
    <col min="35" max="35" width="10.69921875" style="54" customWidth="1"/>
    <col min="36" max="36" width="10.69921875" style="51" customWidth="1"/>
    <col min="37" max="37" width="10.69921875" style="58" customWidth="1"/>
    <col min="38" max="16384" width="9" style="39"/>
  </cols>
  <sheetData>
    <row r="1" spans="1:37" x14ac:dyDescent="0.45">
      <c r="A1" s="38"/>
      <c r="B1" s="141" t="s">
        <v>9</v>
      </c>
      <c r="C1" s="142"/>
      <c r="D1" s="139" t="s">
        <v>6</v>
      </c>
      <c r="E1" s="140"/>
      <c r="F1" s="139" t="s">
        <v>7</v>
      </c>
      <c r="G1" s="140"/>
      <c r="H1" s="141" t="s">
        <v>184</v>
      </c>
      <c r="I1" s="142"/>
      <c r="J1" s="139" t="s">
        <v>15</v>
      </c>
      <c r="K1" s="140"/>
      <c r="L1" s="139" t="s">
        <v>14</v>
      </c>
      <c r="M1" s="140"/>
      <c r="N1" s="139" t="s">
        <v>147</v>
      </c>
      <c r="O1" s="140"/>
      <c r="P1" s="139" t="s">
        <v>140</v>
      </c>
      <c r="Q1" s="140"/>
      <c r="R1" s="139" t="s">
        <v>141</v>
      </c>
      <c r="S1" s="140"/>
      <c r="T1" s="139" t="s">
        <v>5</v>
      </c>
      <c r="U1" s="140"/>
      <c r="V1" s="139" t="s">
        <v>16</v>
      </c>
      <c r="W1" s="140"/>
      <c r="X1" s="139" t="s">
        <v>17</v>
      </c>
      <c r="Y1" s="140"/>
      <c r="Z1" s="139" t="s">
        <v>122</v>
      </c>
      <c r="AA1" s="140"/>
      <c r="AB1" s="139" t="s">
        <v>119</v>
      </c>
      <c r="AC1" s="140"/>
      <c r="AD1" s="139" t="s">
        <v>125</v>
      </c>
      <c r="AE1" s="140"/>
      <c r="AF1" s="139" t="s">
        <v>142</v>
      </c>
      <c r="AG1" s="140"/>
      <c r="AH1" s="139" t="s">
        <v>136</v>
      </c>
      <c r="AI1" s="140"/>
      <c r="AJ1" s="139" t="s">
        <v>177</v>
      </c>
      <c r="AK1" s="140"/>
    </row>
    <row r="2" spans="1:37" x14ac:dyDescent="0.45">
      <c r="A2" s="38" t="s">
        <v>146</v>
      </c>
      <c r="B2" s="145" t="s">
        <v>185</v>
      </c>
      <c r="C2" s="146"/>
      <c r="D2" s="143"/>
      <c r="E2" s="144"/>
      <c r="F2" s="143"/>
      <c r="G2" s="144"/>
      <c r="H2" s="145" t="s">
        <v>185</v>
      </c>
      <c r="I2" s="146"/>
      <c r="J2" s="145" t="s">
        <v>185</v>
      </c>
      <c r="K2" s="146"/>
      <c r="L2" s="145" t="s">
        <v>185</v>
      </c>
      <c r="M2" s="146"/>
      <c r="N2" s="145" t="s">
        <v>185</v>
      </c>
      <c r="O2" s="146"/>
      <c r="P2" s="145" t="s">
        <v>185</v>
      </c>
      <c r="Q2" s="146"/>
      <c r="R2" s="145" t="s">
        <v>185</v>
      </c>
      <c r="S2" s="146"/>
      <c r="T2" s="145" t="s">
        <v>185</v>
      </c>
      <c r="U2" s="146"/>
      <c r="V2" s="145" t="s">
        <v>185</v>
      </c>
      <c r="W2" s="146"/>
      <c r="X2" s="145" t="s">
        <v>185</v>
      </c>
      <c r="Y2" s="146"/>
      <c r="Z2" s="145" t="s">
        <v>185</v>
      </c>
      <c r="AA2" s="146"/>
      <c r="AB2" s="145" t="s">
        <v>185</v>
      </c>
      <c r="AC2" s="146"/>
      <c r="AD2" s="145" t="s">
        <v>185</v>
      </c>
      <c r="AE2" s="146"/>
      <c r="AF2" s="145" t="s">
        <v>185</v>
      </c>
      <c r="AG2" s="146"/>
      <c r="AH2" s="145" t="s">
        <v>185</v>
      </c>
      <c r="AI2" s="146"/>
      <c r="AJ2" s="145" t="s">
        <v>185</v>
      </c>
      <c r="AK2" s="146"/>
    </row>
    <row r="3" spans="1:37" x14ac:dyDescent="0.45">
      <c r="A3" s="40">
        <v>1</v>
      </c>
      <c r="B3" s="43" t="s">
        <v>188</v>
      </c>
      <c r="C3" s="117">
        <v>1</v>
      </c>
      <c r="D3" s="41" t="s">
        <v>190</v>
      </c>
      <c r="E3" s="42">
        <v>39.200000000000003</v>
      </c>
      <c r="F3" s="43" t="s">
        <v>190</v>
      </c>
      <c r="G3" s="62">
        <v>39.200000000000003</v>
      </c>
      <c r="H3" s="43" t="s">
        <v>190</v>
      </c>
      <c r="I3" s="62">
        <v>13.066666666666668</v>
      </c>
      <c r="J3" s="43" t="s">
        <v>190</v>
      </c>
      <c r="K3" s="44">
        <v>1</v>
      </c>
      <c r="L3" s="43" t="s">
        <v>190</v>
      </c>
      <c r="M3" s="45">
        <v>1</v>
      </c>
      <c r="N3" s="43" t="s">
        <v>191</v>
      </c>
      <c r="O3" s="45">
        <v>0</v>
      </c>
      <c r="P3" s="43" t="s">
        <v>190</v>
      </c>
      <c r="Q3" s="46">
        <v>0.625</v>
      </c>
      <c r="R3" s="43" t="s">
        <v>190</v>
      </c>
      <c r="S3" s="46">
        <v>0</v>
      </c>
      <c r="T3" s="43" t="s">
        <v>190</v>
      </c>
      <c r="U3" s="47">
        <v>6500</v>
      </c>
      <c r="V3" s="43" t="s">
        <v>190</v>
      </c>
      <c r="W3" s="47">
        <v>0</v>
      </c>
      <c r="X3" s="43" t="s">
        <v>188</v>
      </c>
      <c r="Y3" s="45">
        <v>0</v>
      </c>
      <c r="Z3" s="43" t="s">
        <v>191</v>
      </c>
      <c r="AA3" s="46">
        <v>0.5</v>
      </c>
      <c r="AB3" s="43" t="s">
        <v>190</v>
      </c>
      <c r="AC3" s="46">
        <v>0.375</v>
      </c>
      <c r="AD3" s="43" t="s">
        <v>189</v>
      </c>
      <c r="AE3" s="46">
        <v>0.33333333333333331</v>
      </c>
      <c r="AF3" s="43" t="s">
        <v>190</v>
      </c>
      <c r="AG3" s="46">
        <v>1</v>
      </c>
      <c r="AH3" s="43" t="s">
        <v>191</v>
      </c>
      <c r="AI3" s="46">
        <v>1</v>
      </c>
      <c r="AJ3" s="43" t="s">
        <v>188</v>
      </c>
      <c r="AK3" s="57">
        <v>64200</v>
      </c>
    </row>
    <row r="4" spans="1:37" x14ac:dyDescent="0.45">
      <c r="A4" s="48">
        <v>2</v>
      </c>
      <c r="B4" s="51" t="s">
        <v>191</v>
      </c>
      <c r="C4" s="118">
        <v>1</v>
      </c>
      <c r="D4" s="49" t="s">
        <v>188</v>
      </c>
      <c r="E4" s="50">
        <v>7.1054273576010019E-15</v>
      </c>
      <c r="F4" s="51" t="s">
        <v>188</v>
      </c>
      <c r="G4" s="63">
        <v>2.3684757858670005E-15</v>
      </c>
      <c r="H4" s="51" t="s">
        <v>188</v>
      </c>
      <c r="I4" s="63">
        <v>0</v>
      </c>
      <c r="J4" s="51" t="s">
        <v>188</v>
      </c>
      <c r="K4" s="52">
        <v>2</v>
      </c>
      <c r="L4" s="51" t="s">
        <v>188</v>
      </c>
      <c r="M4" s="53">
        <v>0.33333333333333331</v>
      </c>
      <c r="N4" s="51" t="s">
        <v>190</v>
      </c>
      <c r="O4" s="53">
        <v>0</v>
      </c>
      <c r="P4" s="51" t="s">
        <v>188</v>
      </c>
      <c r="Q4" s="54">
        <v>0.29166666666666669</v>
      </c>
      <c r="R4" s="51" t="s">
        <v>191</v>
      </c>
      <c r="S4" s="54">
        <v>0.125</v>
      </c>
      <c r="T4" s="51" t="s">
        <v>191</v>
      </c>
      <c r="U4" s="55">
        <v>6400</v>
      </c>
      <c r="V4" s="51" t="s">
        <v>191</v>
      </c>
      <c r="W4" s="55">
        <v>-2000</v>
      </c>
      <c r="X4" s="51" t="s">
        <v>191</v>
      </c>
      <c r="Y4" s="53">
        <v>0</v>
      </c>
      <c r="Z4" s="51" t="s">
        <v>189</v>
      </c>
      <c r="AA4" s="54">
        <v>0.375</v>
      </c>
      <c r="AB4" s="51" t="s">
        <v>191</v>
      </c>
      <c r="AC4" s="54">
        <v>0.25</v>
      </c>
      <c r="AD4" s="51" t="s">
        <v>188</v>
      </c>
      <c r="AE4" s="54">
        <v>0.2857142857142857</v>
      </c>
      <c r="AF4" s="51" t="s">
        <v>188</v>
      </c>
      <c r="AG4" s="54">
        <v>0.6</v>
      </c>
      <c r="AH4" s="51" t="s">
        <v>189</v>
      </c>
      <c r="AI4" s="54">
        <v>1</v>
      </c>
      <c r="AJ4" s="51" t="s">
        <v>190</v>
      </c>
      <c r="AK4" s="58">
        <v>64200</v>
      </c>
    </row>
    <row r="5" spans="1:37" x14ac:dyDescent="0.45">
      <c r="A5" s="48">
        <v>3</v>
      </c>
      <c r="B5" s="51" t="s">
        <v>189</v>
      </c>
      <c r="C5" s="118">
        <v>1</v>
      </c>
      <c r="D5" s="49" t="s">
        <v>191</v>
      </c>
      <c r="E5" s="50">
        <v>-2.9</v>
      </c>
      <c r="F5" s="51" t="s">
        <v>191</v>
      </c>
      <c r="G5" s="63">
        <v>-2.9</v>
      </c>
      <c r="H5" s="51" t="s">
        <v>191</v>
      </c>
      <c r="I5" s="63">
        <v>-0.96666666666666667</v>
      </c>
      <c r="J5" s="51" t="s">
        <v>191</v>
      </c>
      <c r="K5" s="52">
        <v>2</v>
      </c>
      <c r="L5" s="51" t="s">
        <v>191</v>
      </c>
      <c r="M5" s="53">
        <v>0</v>
      </c>
      <c r="N5" s="51" t="s">
        <v>188</v>
      </c>
      <c r="O5" s="53">
        <v>0.33333333333333331</v>
      </c>
      <c r="P5" s="51" t="s">
        <v>191</v>
      </c>
      <c r="Q5" s="54">
        <v>0.125</v>
      </c>
      <c r="R5" s="51" t="s">
        <v>188</v>
      </c>
      <c r="S5" s="54">
        <v>0.16666666666666666</v>
      </c>
      <c r="T5" s="51" t="s">
        <v>188</v>
      </c>
      <c r="U5" s="55">
        <v>5857.1428571428569</v>
      </c>
      <c r="V5" s="51" t="s">
        <v>188</v>
      </c>
      <c r="W5" s="55">
        <v>-3625</v>
      </c>
      <c r="X5" s="51" t="s">
        <v>189</v>
      </c>
      <c r="Y5" s="53">
        <v>0</v>
      </c>
      <c r="Z5" s="51" t="s">
        <v>188</v>
      </c>
      <c r="AA5" s="54">
        <v>0.29166666666666669</v>
      </c>
      <c r="AB5" s="51" t="s">
        <v>188</v>
      </c>
      <c r="AC5" s="54">
        <v>0.20833333333333334</v>
      </c>
      <c r="AD5" s="51" t="s">
        <v>191</v>
      </c>
      <c r="AE5" s="54">
        <v>0.25</v>
      </c>
      <c r="AF5" s="51" t="s">
        <v>191</v>
      </c>
      <c r="AG5" s="54">
        <v>0</v>
      </c>
      <c r="AH5" s="51" t="s">
        <v>188</v>
      </c>
      <c r="AI5" s="54">
        <v>0.42857142857142855</v>
      </c>
      <c r="AJ5" s="51" t="s">
        <v>191</v>
      </c>
      <c r="AK5" s="58">
        <v>32100</v>
      </c>
    </row>
    <row r="6" spans="1:37" x14ac:dyDescent="0.45">
      <c r="A6" s="48">
        <v>4</v>
      </c>
      <c r="B6" s="51" t="s">
        <v>190</v>
      </c>
      <c r="C6" s="118">
        <v>1</v>
      </c>
      <c r="D6" s="49" t="s">
        <v>189</v>
      </c>
      <c r="E6" s="50">
        <v>-36.299999999999997</v>
      </c>
      <c r="F6" s="51" t="s">
        <v>189</v>
      </c>
      <c r="G6" s="63">
        <v>-36.299999999999997</v>
      </c>
      <c r="H6" s="51" t="s">
        <v>189</v>
      </c>
      <c r="I6" s="63">
        <v>-12.1</v>
      </c>
      <c r="J6" s="51" t="s">
        <v>189</v>
      </c>
      <c r="K6" s="52">
        <v>3</v>
      </c>
      <c r="L6" s="51" t="s">
        <v>189</v>
      </c>
      <c r="M6" s="53">
        <v>0</v>
      </c>
      <c r="N6" s="51" t="s">
        <v>189</v>
      </c>
      <c r="O6" s="53">
        <v>1</v>
      </c>
      <c r="P6" s="51" t="s">
        <v>189</v>
      </c>
      <c r="Q6" s="54">
        <v>0.125</v>
      </c>
      <c r="R6" s="51" t="s">
        <v>189</v>
      </c>
      <c r="S6" s="54">
        <v>0.375</v>
      </c>
      <c r="T6" s="51" t="s">
        <v>189</v>
      </c>
      <c r="U6" s="55">
        <v>2100</v>
      </c>
      <c r="V6" s="51" t="s">
        <v>189</v>
      </c>
      <c r="W6" s="55">
        <v>-4166.666666666667</v>
      </c>
      <c r="X6" s="51" t="s">
        <v>190</v>
      </c>
      <c r="Y6" s="53">
        <v>0</v>
      </c>
      <c r="Z6" s="51" t="s">
        <v>190</v>
      </c>
      <c r="AA6" s="54">
        <v>0</v>
      </c>
      <c r="AB6" s="51" t="s">
        <v>189</v>
      </c>
      <c r="AC6" s="54">
        <v>0</v>
      </c>
      <c r="AD6" s="51" t="s">
        <v>190</v>
      </c>
      <c r="AE6" s="54">
        <v>0</v>
      </c>
      <c r="AF6" s="51" t="s">
        <v>189</v>
      </c>
      <c r="AG6" s="54">
        <v>0</v>
      </c>
      <c r="AH6" s="51" t="s">
        <v>190</v>
      </c>
      <c r="AI6" s="54">
        <v>0.2</v>
      </c>
      <c r="AJ6" s="51" t="s">
        <v>189</v>
      </c>
      <c r="AK6" s="58">
        <v>8700</v>
      </c>
    </row>
  </sheetData>
  <sortState xmlns:xlrd2="http://schemas.microsoft.com/office/spreadsheetml/2017/richdata2" ref="AJ3:AK28">
    <sortCondition descending="1" ref="AK1"/>
  </sortState>
  <mergeCells count="36">
    <mergeCell ref="B1:C1"/>
    <mergeCell ref="B2:C2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AH1:AI1"/>
    <mergeCell ref="D2:E2"/>
    <mergeCell ref="F2:G2"/>
    <mergeCell ref="J2:K2"/>
    <mergeCell ref="L2:M2"/>
    <mergeCell ref="P2:Q2"/>
    <mergeCell ref="N2:O2"/>
    <mergeCell ref="H2:I2"/>
    <mergeCell ref="Z1:AA1"/>
    <mergeCell ref="AB1:AC1"/>
    <mergeCell ref="AD1:AE1"/>
    <mergeCell ref="AF1:AG1"/>
    <mergeCell ref="D1:E1"/>
    <mergeCell ref="F1:G1"/>
    <mergeCell ref="J1:K1"/>
    <mergeCell ref="L1:M1"/>
    <mergeCell ref="P1:Q1"/>
    <mergeCell ref="N1:O1"/>
    <mergeCell ref="H1:I1"/>
    <mergeCell ref="X1:Y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16A16-23ED-4D7E-9E21-4D9A9B643211}">
  <sheetPr codeName="Sheet4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188</v>
      </c>
      <c r="C1" s="130"/>
      <c r="E1" s="108" t="s">
        <v>152</v>
      </c>
      <c r="F1" s="120" t="s">
        <v>115</v>
      </c>
      <c r="G1" s="119" t="s">
        <v>116</v>
      </c>
      <c r="H1" s="90" t="s">
        <v>117</v>
      </c>
      <c r="I1" s="120" t="s">
        <v>143</v>
      </c>
      <c r="K1" s="4" t="s">
        <v>19</v>
      </c>
      <c r="L1" s="120" t="s">
        <v>120</v>
      </c>
      <c r="M1" s="109"/>
      <c r="N1" s="76" t="s">
        <v>132</v>
      </c>
      <c r="O1" s="4" t="s">
        <v>133</v>
      </c>
      <c r="P1" s="110" t="s">
        <v>116</v>
      </c>
      <c r="Q1" s="66" t="s">
        <v>145</v>
      </c>
    </row>
    <row r="2" spans="1:17" x14ac:dyDescent="0.45">
      <c r="A2" s="20" t="s">
        <v>9</v>
      </c>
      <c r="B2" s="131">
        <v>3</v>
      </c>
      <c r="C2" s="132"/>
      <c r="E2" s="28" t="s">
        <v>72</v>
      </c>
      <c r="F2" s="25" t="s">
        <v>27</v>
      </c>
      <c r="G2" s="13">
        <v>5</v>
      </c>
      <c r="H2" s="91">
        <f>IF(B$19=0,0,G2/B$19)</f>
        <v>0.7142857142857143</v>
      </c>
      <c r="I2" s="59">
        <v>2</v>
      </c>
      <c r="K2" s="5">
        <v>0</v>
      </c>
      <c r="L2" s="64">
        <v>0</v>
      </c>
      <c r="N2" s="77" t="s">
        <v>126</v>
      </c>
      <c r="O2" s="83">
        <f t="shared" ref="O2:O7" si="0">IF(P2=0,0,Q2/P2)</f>
        <v>0</v>
      </c>
      <c r="P2" s="80">
        <v>3</v>
      </c>
      <c r="Q2" s="67">
        <v>0</v>
      </c>
    </row>
    <row r="3" spans="1:17" x14ac:dyDescent="0.45">
      <c r="A3" s="21" t="s">
        <v>8</v>
      </c>
      <c r="B3" s="133">
        <v>24</v>
      </c>
      <c r="C3" s="134"/>
      <c r="E3" s="29" t="s">
        <v>66</v>
      </c>
      <c r="F3" s="26" t="s">
        <v>22</v>
      </c>
      <c r="G3" s="14">
        <v>4</v>
      </c>
      <c r="H3" s="92">
        <f>IF(B$19=0,0,G3/B$19)</f>
        <v>0.5714285714285714</v>
      </c>
      <c r="I3" s="60">
        <v>2</v>
      </c>
      <c r="K3" s="7">
        <v>1</v>
      </c>
      <c r="L3" s="65">
        <v>-2.9</v>
      </c>
      <c r="N3" s="78" t="s">
        <v>127</v>
      </c>
      <c r="O3" s="84">
        <f t="shared" si="0"/>
        <v>0</v>
      </c>
      <c r="P3" s="81">
        <v>3</v>
      </c>
      <c r="Q3" s="68">
        <v>0</v>
      </c>
    </row>
    <row r="4" spans="1:17" x14ac:dyDescent="0.45">
      <c r="A4" s="21" t="s">
        <v>6</v>
      </c>
      <c r="B4" s="135">
        <v>7.1054273576010019E-15</v>
      </c>
      <c r="C4" s="136"/>
      <c r="E4" s="29" t="s">
        <v>86</v>
      </c>
      <c r="F4" s="26" t="s">
        <v>41</v>
      </c>
      <c r="G4" s="14">
        <v>3</v>
      </c>
      <c r="H4" s="92">
        <f>IF(B$19=0,0,G4/B$19)</f>
        <v>0.42857142857142855</v>
      </c>
      <c r="I4" s="60">
        <v>2</v>
      </c>
      <c r="K4" s="7">
        <v>2</v>
      </c>
      <c r="L4" s="65">
        <v>-39.199999999999996</v>
      </c>
      <c r="N4" s="78" t="s">
        <v>128</v>
      </c>
      <c r="O4" s="84">
        <f t="shared" si="0"/>
        <v>0</v>
      </c>
      <c r="P4" s="81">
        <v>3</v>
      </c>
      <c r="Q4" s="68">
        <v>0</v>
      </c>
    </row>
    <row r="5" spans="1:17" x14ac:dyDescent="0.45">
      <c r="A5" s="21" t="s">
        <v>7</v>
      </c>
      <c r="B5" s="123">
        <f>IF(B$2=0,0,B$4/B$2)</f>
        <v>2.3684757858670005E-15</v>
      </c>
      <c r="C5" s="124"/>
      <c r="E5" s="29" t="s">
        <v>64</v>
      </c>
      <c r="F5" s="26" t="s">
        <v>20</v>
      </c>
      <c r="G5" s="14">
        <v>2</v>
      </c>
      <c r="H5" s="92">
        <f>IF(B$19=0,0,G5/B$19)</f>
        <v>0.2857142857142857</v>
      </c>
      <c r="I5" s="60">
        <v>3</v>
      </c>
      <c r="K5" s="7">
        <v>3</v>
      </c>
      <c r="L5" s="65">
        <v>7.1054273576010019E-15</v>
      </c>
      <c r="N5" s="78" t="s">
        <v>129</v>
      </c>
      <c r="O5" s="84">
        <f t="shared" si="0"/>
        <v>0</v>
      </c>
      <c r="P5" s="81">
        <v>3</v>
      </c>
      <c r="Q5" s="68">
        <v>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157</v>
      </c>
      <c r="F6" s="26" t="s">
        <v>158</v>
      </c>
      <c r="G6" s="14">
        <v>2</v>
      </c>
      <c r="H6" s="92">
        <f>IF(B$19=0,0,G6/B$19)</f>
        <v>0.2857142857142857</v>
      </c>
      <c r="I6" s="60">
        <v>2</v>
      </c>
      <c r="N6" s="78" t="s">
        <v>130</v>
      </c>
      <c r="O6" s="84">
        <f t="shared" si="0"/>
        <v>0</v>
      </c>
      <c r="P6" s="81">
        <v>3</v>
      </c>
      <c r="Q6" s="68">
        <v>0</v>
      </c>
    </row>
    <row r="7" spans="1:17" x14ac:dyDescent="0.45">
      <c r="A7" s="21" t="s">
        <v>2</v>
      </c>
      <c r="B7" s="14">
        <v>1</v>
      </c>
      <c r="C7" s="8">
        <f t="shared" ref="C7:C14" si="1">IF(B$2=0,0,B7/B$2)</f>
        <v>0.33333333333333331</v>
      </c>
      <c r="E7" s="29" t="s">
        <v>65</v>
      </c>
      <c r="F7" s="26" t="s">
        <v>21</v>
      </c>
      <c r="G7" s="14">
        <v>1</v>
      </c>
      <c r="H7" s="92">
        <f>IF(B$19=0,0,G7/B$19)</f>
        <v>0.14285714285714285</v>
      </c>
      <c r="I7" s="60">
        <v>2</v>
      </c>
      <c r="N7" s="79" t="s">
        <v>131</v>
      </c>
      <c r="O7" s="85">
        <f t="shared" si="0"/>
        <v>0</v>
      </c>
      <c r="P7" s="82">
        <v>3</v>
      </c>
      <c r="Q7" s="69">
        <v>0</v>
      </c>
    </row>
    <row r="8" spans="1:17" x14ac:dyDescent="0.45">
      <c r="A8" s="21" t="s">
        <v>3</v>
      </c>
      <c r="B8" s="14">
        <v>1</v>
      </c>
      <c r="C8" s="8">
        <f t="shared" si="1"/>
        <v>0.33333333333333331</v>
      </c>
      <c r="E8" s="29" t="s">
        <v>68</v>
      </c>
      <c r="F8" s="26" t="s">
        <v>12</v>
      </c>
      <c r="G8" s="14">
        <v>1</v>
      </c>
      <c r="H8" s="92">
        <f>IF(B$19=0,0,G8/B$19)</f>
        <v>0.14285714285714285</v>
      </c>
      <c r="I8" s="60">
        <v>2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0.33333333333333331</v>
      </c>
      <c r="E9" s="29" t="s">
        <v>89</v>
      </c>
      <c r="F9" s="26" t="s">
        <v>44</v>
      </c>
      <c r="G9" s="14">
        <v>1</v>
      </c>
      <c r="H9" s="92">
        <f>IF(B$19=0,0,G9/B$19)</f>
        <v>0.14285714285714285</v>
      </c>
      <c r="I9" s="60">
        <v>2</v>
      </c>
      <c r="N9" s="76" t="s">
        <v>148</v>
      </c>
      <c r="O9" s="4" t="s">
        <v>120</v>
      </c>
      <c r="P9" s="110" t="s">
        <v>116</v>
      </c>
      <c r="Q9" s="70" t="s">
        <v>145</v>
      </c>
    </row>
    <row r="10" spans="1:17" x14ac:dyDescent="0.45">
      <c r="A10" s="22" t="s">
        <v>181</v>
      </c>
      <c r="B10" s="113">
        <f>IF(B7=0,0,C10/B7)</f>
        <v>39.200000000000003</v>
      </c>
      <c r="C10" s="114">
        <v>39.200000000000003</v>
      </c>
      <c r="E10" s="29" t="s">
        <v>67</v>
      </c>
      <c r="F10" s="26" t="s">
        <v>23</v>
      </c>
      <c r="G10" s="14">
        <v>0</v>
      </c>
      <c r="H10" s="92">
        <f>IF(B$19=0,0,G10/B$19)</f>
        <v>0</v>
      </c>
      <c r="I10" s="60">
        <v>1</v>
      </c>
      <c r="N10" s="77" t="s">
        <v>149</v>
      </c>
      <c r="O10" s="86">
        <f>IF(P10=0,0,Q10/P10)</f>
        <v>-2.9</v>
      </c>
      <c r="P10" s="80">
        <v>1</v>
      </c>
      <c r="Q10" s="71">
        <v>-2.9</v>
      </c>
    </row>
    <row r="11" spans="1:17" x14ac:dyDescent="0.45">
      <c r="A11" s="22" t="s">
        <v>182</v>
      </c>
      <c r="B11" s="113">
        <f>IF(B8=0,0,C11/B8)</f>
        <v>-2.9</v>
      </c>
      <c r="C11" s="114">
        <v>-2.9</v>
      </c>
      <c r="E11" s="29" t="s">
        <v>69</v>
      </c>
      <c r="F11" s="26" t="s">
        <v>24</v>
      </c>
      <c r="G11" s="14">
        <v>0</v>
      </c>
      <c r="H11" s="92">
        <f>IF(B$19=0,0,G11/B$19)</f>
        <v>0</v>
      </c>
      <c r="I11" s="60">
        <v>1</v>
      </c>
      <c r="N11" s="78" t="s">
        <v>150</v>
      </c>
      <c r="O11" s="87">
        <f>IF(P11=0,0,Q11/P11)</f>
        <v>-36.299999999999997</v>
      </c>
      <c r="P11" s="81">
        <v>1</v>
      </c>
      <c r="Q11" s="72">
        <v>-36.299999999999997</v>
      </c>
    </row>
    <row r="12" spans="1:17" x14ac:dyDescent="0.45">
      <c r="A12" s="22" t="s">
        <v>183</v>
      </c>
      <c r="B12" s="113">
        <f>IF(B9=0,0,C12/B9)</f>
        <v>-36.299999999999997</v>
      </c>
      <c r="C12" s="114">
        <v>-36.299999999999997</v>
      </c>
      <c r="E12" s="29" t="s">
        <v>70</v>
      </c>
      <c r="F12" s="26" t="s">
        <v>25</v>
      </c>
      <c r="G12" s="14">
        <v>0</v>
      </c>
      <c r="H12" s="92">
        <f>IF(B$19=0,0,G12/B$19)</f>
        <v>0</v>
      </c>
      <c r="I12" s="60">
        <v>1</v>
      </c>
      <c r="N12" s="79" t="s">
        <v>151</v>
      </c>
      <c r="O12" s="88">
        <f>IF(P12=0,0,Q12/P12)</f>
        <v>39.200000000000003</v>
      </c>
      <c r="P12" s="82">
        <v>1</v>
      </c>
      <c r="Q12" s="73">
        <v>39.200000000000003</v>
      </c>
    </row>
    <row r="13" spans="1:17" x14ac:dyDescent="0.45">
      <c r="A13" s="22" t="s">
        <v>184</v>
      </c>
      <c r="B13" s="123">
        <f>AVERAGE(B10:B12)</f>
        <v>0</v>
      </c>
      <c r="C13" s="124"/>
      <c r="E13" s="29" t="s">
        <v>71</v>
      </c>
      <c r="F13" s="26" t="s">
        <v>26</v>
      </c>
      <c r="G13" s="14">
        <v>0</v>
      </c>
      <c r="H13" s="92">
        <f>IF(B$19=0,0,G13/B$19)</f>
        <v>0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73</v>
      </c>
      <c r="F14" s="26" t="s">
        <v>28</v>
      </c>
      <c r="G14" s="14">
        <v>0</v>
      </c>
      <c r="H14" s="92">
        <f>IF(B$19=0,0,G14/B$19)</f>
        <v>0</v>
      </c>
      <c r="I14" s="60">
        <v>1</v>
      </c>
      <c r="N14" s="76" t="s">
        <v>144</v>
      </c>
      <c r="O14" s="4" t="s">
        <v>120</v>
      </c>
      <c r="P14" s="110" t="s">
        <v>116</v>
      </c>
      <c r="Q14" s="70" t="s">
        <v>145</v>
      </c>
    </row>
    <row r="15" spans="1:17" x14ac:dyDescent="0.45">
      <c r="A15" s="24" t="s">
        <v>121</v>
      </c>
      <c r="B15" s="17">
        <v>7</v>
      </c>
      <c r="C15" s="12">
        <f>IF(B$3=0,0,B15/B$3)</f>
        <v>0.29166666666666669</v>
      </c>
      <c r="E15" s="29" t="s">
        <v>74</v>
      </c>
      <c r="F15" s="26" t="s">
        <v>29</v>
      </c>
      <c r="G15" s="14">
        <v>0</v>
      </c>
      <c r="H15" s="92">
        <f>IF(B$19=0,0,G15/B$19)</f>
        <v>0</v>
      </c>
      <c r="I15" s="60">
        <v>1</v>
      </c>
      <c r="N15" s="77" t="s">
        <v>189</v>
      </c>
      <c r="O15" s="86">
        <f>IF(P15=0,0,Q15/P15)</f>
        <v>54.449999999999996</v>
      </c>
      <c r="P15" s="80">
        <v>2</v>
      </c>
      <c r="Q15" s="71">
        <v>108.89999999999999</v>
      </c>
    </row>
    <row r="16" spans="1:17" x14ac:dyDescent="0.45">
      <c r="A16" s="21" t="s">
        <v>118</v>
      </c>
      <c r="B16" s="14">
        <v>5</v>
      </c>
      <c r="C16" s="8">
        <f>IF(B$3=0,0,B16/B$3)</f>
        <v>0.20833333333333334</v>
      </c>
      <c r="E16" s="29" t="s">
        <v>75</v>
      </c>
      <c r="F16" s="26" t="s">
        <v>30</v>
      </c>
      <c r="G16" s="14">
        <v>0</v>
      </c>
      <c r="H16" s="92">
        <f>IF(B$19=0,0,G16/B$19)</f>
        <v>0</v>
      </c>
      <c r="I16" s="60">
        <v>1</v>
      </c>
      <c r="N16" s="78" t="s">
        <v>191</v>
      </c>
      <c r="O16" s="87">
        <f>IF(P16=0,0,Q16/P16)</f>
        <v>4.3500000000000023</v>
      </c>
      <c r="P16" s="81">
        <v>2</v>
      </c>
      <c r="Q16" s="72">
        <v>8.7000000000000046</v>
      </c>
    </row>
    <row r="17" spans="1:17" x14ac:dyDescent="0.45">
      <c r="A17" s="20" t="s">
        <v>123</v>
      </c>
      <c r="B17" s="13">
        <f>B23</f>
        <v>2</v>
      </c>
      <c r="C17" s="6">
        <f>IF(B$15=0,0,B17/B$15)</f>
        <v>0.2857142857142857</v>
      </c>
      <c r="E17" s="29" t="s">
        <v>76</v>
      </c>
      <c r="F17" s="26" t="s">
        <v>31</v>
      </c>
      <c r="G17" s="14">
        <v>0</v>
      </c>
      <c r="H17" s="92">
        <f>IF(B$19=0,0,G17/B$19)</f>
        <v>0</v>
      </c>
      <c r="I17" s="60">
        <v>1</v>
      </c>
      <c r="N17" s="78" t="s">
        <v>190</v>
      </c>
      <c r="O17" s="87">
        <f>IF(P17=0,0,Q17/P17)</f>
        <v>-58.800000000000004</v>
      </c>
      <c r="P17" s="81">
        <v>2</v>
      </c>
      <c r="Q17" s="72">
        <v>-117.60000000000001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0.6</v>
      </c>
      <c r="E18" s="29" t="s">
        <v>77</v>
      </c>
      <c r="F18" s="26" t="s">
        <v>32</v>
      </c>
      <c r="G18" s="14">
        <v>0</v>
      </c>
      <c r="H18" s="92">
        <f>IF(B$19=0,0,G18/B$19)</f>
        <v>0</v>
      </c>
      <c r="I18" s="60">
        <v>1</v>
      </c>
    </row>
    <row r="19" spans="1:17" x14ac:dyDescent="0.45">
      <c r="A19" s="20" t="s">
        <v>10</v>
      </c>
      <c r="B19" s="13">
        <f>B22+B21</f>
        <v>7</v>
      </c>
      <c r="C19" s="6">
        <f>IF(B$3=0,0,B19/B$3)</f>
        <v>0.29166666666666669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1</v>
      </c>
    </row>
    <row r="20" spans="1:17" x14ac:dyDescent="0.45">
      <c r="A20" s="21" t="s">
        <v>13</v>
      </c>
      <c r="B20" s="14">
        <v>4</v>
      </c>
      <c r="C20" s="8">
        <f>IF(B$3=0,0,B20/B$3)</f>
        <v>0.16666666666666666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1</v>
      </c>
    </row>
    <row r="21" spans="1:17" x14ac:dyDescent="0.45">
      <c r="A21" s="21" t="s">
        <v>12</v>
      </c>
      <c r="B21" s="14">
        <v>3</v>
      </c>
      <c r="C21" s="8">
        <f>IF(B$19=0,0,B21/B$19)</f>
        <v>0.42857142857142855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4</v>
      </c>
      <c r="C22" s="8">
        <f>IF(B$19=0,0,B22/B$19)</f>
        <v>0.5714285714285714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180</v>
      </c>
      <c r="B23" s="14">
        <v>2</v>
      </c>
      <c r="C23" s="8">
        <f>IF(B$19=0,0,B23/B$19)</f>
        <v>0.2857142857142857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178</v>
      </c>
      <c r="B24" s="14">
        <v>3</v>
      </c>
      <c r="C24" s="8">
        <f>IF(B$19=0,0,B24/B$19)</f>
        <v>0.42857142857142855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179</v>
      </c>
      <c r="B25" s="14">
        <v>2</v>
      </c>
      <c r="C25" s="8">
        <f>IF(B$19=0,0,B25/B$19)</f>
        <v>0.2857142857142857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5857.1428571428569</v>
      </c>
      <c r="C26" s="10">
        <v>41000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162</v>
      </c>
      <c r="B27" s="99">
        <f>IF($B$19-B$18=0,0,C27/($B$19-B$18))</f>
        <v>4525</v>
      </c>
      <c r="C27" s="100">
        <v>18100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163</v>
      </c>
      <c r="B28" s="99">
        <f>IF(B$18=0,0,C28/B$18)</f>
        <v>7633.333333333333</v>
      </c>
      <c r="C28" s="100">
        <v>22900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161</v>
      </c>
      <c r="B29" s="99">
        <f>IF(B$20=0,0,C29/B$20)</f>
        <v>-3625</v>
      </c>
      <c r="C29" s="100">
        <v>-14500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155</v>
      </c>
      <c r="B30" s="14">
        <v>3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156</v>
      </c>
      <c r="B31" s="14">
        <v>9</v>
      </c>
      <c r="C31" s="94">
        <v>9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134</v>
      </c>
      <c r="B32" s="125">
        <v>3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177</v>
      </c>
      <c r="B33" s="127">
        <v>64200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135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168</v>
      </c>
      <c r="B36" s="121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164</v>
      </c>
      <c r="B37" s="14">
        <v>4</v>
      </c>
      <c r="C37" s="8">
        <f t="shared" si="2"/>
        <v>0.5714285714285714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165</v>
      </c>
      <c r="B38" s="122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166</v>
      </c>
      <c r="B39" s="122">
        <v>1</v>
      </c>
      <c r="C39" s="8">
        <f t="shared" si="2"/>
        <v>0.14285714285714285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167</v>
      </c>
      <c r="B40" s="122">
        <v>1</v>
      </c>
      <c r="C40" s="8">
        <f t="shared" si="2"/>
        <v>0.14285714285714285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169</v>
      </c>
      <c r="B41" s="122">
        <v>1</v>
      </c>
      <c r="C41" s="8">
        <f t="shared" si="2"/>
        <v>0.14285714285714285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170</v>
      </c>
      <c r="B42" s="122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171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172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173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174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175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176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153</v>
      </c>
      <c r="F51" s="96" t="s">
        <v>154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159</v>
      </c>
      <c r="F52" s="27" t="s">
        <v>160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7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E2D9E-D4DC-4B7D-9790-E3BD524F2683}">
  <sheetPr codeName="Sheet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191</v>
      </c>
      <c r="C1" s="130"/>
      <c r="E1" s="108" t="s">
        <v>152</v>
      </c>
      <c r="F1" s="120" t="s">
        <v>115</v>
      </c>
      <c r="G1" s="119" t="s">
        <v>116</v>
      </c>
      <c r="H1" s="90" t="s">
        <v>117</v>
      </c>
      <c r="I1" s="120" t="s">
        <v>143</v>
      </c>
      <c r="K1" s="4" t="s">
        <v>19</v>
      </c>
      <c r="L1" s="120" t="s">
        <v>120</v>
      </c>
      <c r="M1" s="109"/>
      <c r="N1" s="76" t="s">
        <v>132</v>
      </c>
      <c r="O1" s="4" t="s">
        <v>133</v>
      </c>
      <c r="P1" s="110" t="s">
        <v>116</v>
      </c>
      <c r="Q1" s="66" t="s">
        <v>145</v>
      </c>
    </row>
    <row r="2" spans="1:17" x14ac:dyDescent="0.45">
      <c r="A2" s="20" t="s">
        <v>9</v>
      </c>
      <c r="B2" s="131">
        <v>1</v>
      </c>
      <c r="C2" s="132"/>
      <c r="E2" s="28" t="s">
        <v>64</v>
      </c>
      <c r="F2" s="25" t="s">
        <v>20</v>
      </c>
      <c r="G2" s="13">
        <v>1</v>
      </c>
      <c r="H2" s="91">
        <f>IF(B$19=0,0,G2/B$19)</f>
        <v>1</v>
      </c>
      <c r="I2" s="59">
        <v>1</v>
      </c>
      <c r="K2" s="5">
        <v>0</v>
      </c>
      <c r="L2" s="64">
        <v>0</v>
      </c>
      <c r="N2" s="77" t="s">
        <v>126</v>
      </c>
      <c r="O2" s="83">
        <f t="shared" ref="O2:O7" si="0">IF(P2=0,0,Q2/P2)</f>
        <v>-2300</v>
      </c>
      <c r="P2" s="80">
        <v>1</v>
      </c>
      <c r="Q2" s="67">
        <v>-2300</v>
      </c>
    </row>
    <row r="3" spans="1:17" x14ac:dyDescent="0.45">
      <c r="A3" s="21" t="s">
        <v>8</v>
      </c>
      <c r="B3" s="133">
        <v>8</v>
      </c>
      <c r="C3" s="134"/>
      <c r="E3" s="29" t="s">
        <v>68</v>
      </c>
      <c r="F3" s="26" t="s">
        <v>12</v>
      </c>
      <c r="G3" s="14">
        <v>1</v>
      </c>
      <c r="H3" s="92">
        <f>IF(B$19=0,0,G3/B$19)</f>
        <v>1</v>
      </c>
      <c r="I3" s="60">
        <v>1</v>
      </c>
      <c r="K3" s="7">
        <v>1</v>
      </c>
      <c r="L3" s="65">
        <v>-2.9</v>
      </c>
      <c r="N3" s="78" t="s">
        <v>127</v>
      </c>
      <c r="O3" s="84">
        <f t="shared" si="0"/>
        <v>0</v>
      </c>
      <c r="P3" s="81">
        <v>1</v>
      </c>
      <c r="Q3" s="68">
        <v>0</v>
      </c>
    </row>
    <row r="4" spans="1:17" x14ac:dyDescent="0.45">
      <c r="A4" s="21" t="s">
        <v>6</v>
      </c>
      <c r="B4" s="135">
        <v>-2.9</v>
      </c>
      <c r="C4" s="136"/>
      <c r="E4" s="29" t="s">
        <v>86</v>
      </c>
      <c r="F4" s="26" t="s">
        <v>41</v>
      </c>
      <c r="G4" s="14">
        <v>1</v>
      </c>
      <c r="H4" s="92">
        <f>IF(B$19=0,0,G4/B$19)</f>
        <v>1</v>
      </c>
      <c r="I4" s="60">
        <v>1</v>
      </c>
      <c r="N4" s="78" t="s">
        <v>128</v>
      </c>
      <c r="O4" s="84">
        <f t="shared" si="0"/>
        <v>400</v>
      </c>
      <c r="P4" s="81">
        <v>1</v>
      </c>
      <c r="Q4" s="68">
        <v>400</v>
      </c>
    </row>
    <row r="5" spans="1:17" x14ac:dyDescent="0.45">
      <c r="A5" s="21" t="s">
        <v>7</v>
      </c>
      <c r="B5" s="123">
        <f>IF(B$2=0,0,B$4/B$2)</f>
        <v>-2.9</v>
      </c>
      <c r="C5" s="124"/>
      <c r="E5" s="29" t="s">
        <v>65</v>
      </c>
      <c r="F5" s="26" t="s">
        <v>21</v>
      </c>
      <c r="G5" s="14">
        <v>0</v>
      </c>
      <c r="H5" s="92">
        <f>IF(B$19=0,0,G5/B$19)</f>
        <v>0</v>
      </c>
      <c r="I5" s="60">
        <v>3</v>
      </c>
      <c r="N5" s="78" t="s">
        <v>129</v>
      </c>
      <c r="O5" s="84">
        <f t="shared" si="0"/>
        <v>-2000</v>
      </c>
      <c r="P5" s="81">
        <v>1</v>
      </c>
      <c r="Q5" s="68">
        <v>-2000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66</v>
      </c>
      <c r="F6" s="26" t="s">
        <v>22</v>
      </c>
      <c r="G6" s="14">
        <v>0</v>
      </c>
      <c r="H6" s="92">
        <f>IF(B$19=0,0,G6/B$19)</f>
        <v>0</v>
      </c>
      <c r="I6" s="60">
        <v>3</v>
      </c>
      <c r="N6" s="78" t="s">
        <v>130</v>
      </c>
      <c r="O6" s="84">
        <f t="shared" si="0"/>
        <v>-1000</v>
      </c>
      <c r="P6" s="81">
        <v>1</v>
      </c>
      <c r="Q6" s="68">
        <v>-1000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67</v>
      </c>
      <c r="F7" s="26" t="s">
        <v>23</v>
      </c>
      <c r="G7" s="14">
        <v>0</v>
      </c>
      <c r="H7" s="92">
        <f>IF(B$19=0,0,G7/B$19)</f>
        <v>0</v>
      </c>
      <c r="I7" s="60">
        <v>1</v>
      </c>
      <c r="N7" s="79" t="s">
        <v>131</v>
      </c>
      <c r="O7" s="85">
        <f t="shared" si="0"/>
        <v>2000</v>
      </c>
      <c r="P7" s="82">
        <v>1</v>
      </c>
      <c r="Q7" s="69">
        <v>2000</v>
      </c>
    </row>
    <row r="8" spans="1:17" x14ac:dyDescent="0.45">
      <c r="A8" s="21" t="s">
        <v>3</v>
      </c>
      <c r="B8" s="14">
        <v>1</v>
      </c>
      <c r="C8" s="8">
        <f t="shared" si="1"/>
        <v>1</v>
      </c>
      <c r="E8" s="29" t="s">
        <v>69</v>
      </c>
      <c r="F8" s="26" t="s">
        <v>24</v>
      </c>
      <c r="G8" s="14">
        <v>0</v>
      </c>
      <c r="H8" s="92">
        <f>IF(B$19=0,0,G8/B$19)</f>
        <v>0</v>
      </c>
      <c r="I8" s="60">
        <v>1</v>
      </c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1"/>
        <v>0</v>
      </c>
      <c r="E9" s="29" t="s">
        <v>70</v>
      </c>
      <c r="F9" s="26" t="s">
        <v>25</v>
      </c>
      <c r="G9" s="14">
        <v>0</v>
      </c>
      <c r="H9" s="92">
        <f>IF(B$19=0,0,G9/B$19)</f>
        <v>0</v>
      </c>
      <c r="I9" s="60">
        <v>1</v>
      </c>
      <c r="N9" s="76" t="s">
        <v>148</v>
      </c>
      <c r="O9" s="4" t="s">
        <v>120</v>
      </c>
      <c r="P9" s="110" t="s">
        <v>116</v>
      </c>
      <c r="Q9" s="70" t="s">
        <v>145</v>
      </c>
    </row>
    <row r="10" spans="1:17" x14ac:dyDescent="0.45">
      <c r="A10" s="22" t="s">
        <v>181</v>
      </c>
      <c r="B10" s="113">
        <f>IF(B7=0,0,C10/B7)</f>
        <v>0</v>
      </c>
      <c r="C10" s="114">
        <v>0</v>
      </c>
      <c r="E10" s="29" t="s">
        <v>71</v>
      </c>
      <c r="F10" s="26" t="s">
        <v>26</v>
      </c>
      <c r="G10" s="14">
        <v>0</v>
      </c>
      <c r="H10" s="92">
        <f>IF(B$19=0,0,G10/B$19)</f>
        <v>0</v>
      </c>
      <c r="I10" s="60">
        <v>1</v>
      </c>
      <c r="N10" s="77" t="s">
        <v>149</v>
      </c>
      <c r="O10" s="86">
        <f>IF(P10=0,0,Q10/P10)</f>
        <v>-2.9</v>
      </c>
      <c r="P10" s="80">
        <v>1</v>
      </c>
      <c r="Q10" s="71">
        <v>-2.9</v>
      </c>
    </row>
    <row r="11" spans="1:17" x14ac:dyDescent="0.45">
      <c r="A11" s="22" t="s">
        <v>182</v>
      </c>
      <c r="B11" s="113">
        <f>IF(B8=0,0,C11/B8)</f>
        <v>-2.9</v>
      </c>
      <c r="C11" s="114">
        <v>-2.9</v>
      </c>
      <c r="E11" s="29" t="s">
        <v>72</v>
      </c>
      <c r="F11" s="26" t="s">
        <v>27</v>
      </c>
      <c r="G11" s="14">
        <v>0</v>
      </c>
      <c r="H11" s="92">
        <f>IF(B$19=0,0,G11/B$19)</f>
        <v>0</v>
      </c>
      <c r="I11" s="60">
        <v>3</v>
      </c>
      <c r="N11" s="78" t="s">
        <v>150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183</v>
      </c>
      <c r="B12" s="113">
        <f>IF(B9=0,0,C12/B9)</f>
        <v>0</v>
      </c>
      <c r="C12" s="114">
        <v>0</v>
      </c>
      <c r="E12" s="29" t="s">
        <v>73</v>
      </c>
      <c r="F12" s="26" t="s">
        <v>28</v>
      </c>
      <c r="G12" s="14">
        <v>0</v>
      </c>
      <c r="H12" s="92">
        <f>IF(B$19=0,0,G12/B$19)</f>
        <v>0</v>
      </c>
      <c r="I12" s="60">
        <v>1</v>
      </c>
      <c r="N12" s="79" t="s">
        <v>151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184</v>
      </c>
      <c r="B13" s="123">
        <f>AVERAGE(B10:B12)</f>
        <v>-0.96666666666666667</v>
      </c>
      <c r="C13" s="124"/>
      <c r="E13" s="29" t="s">
        <v>74</v>
      </c>
      <c r="F13" s="26" t="s">
        <v>29</v>
      </c>
      <c r="G13" s="14">
        <v>0</v>
      </c>
      <c r="H13" s="92">
        <f>IF(B$19=0,0,G13/B$19)</f>
        <v>0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75</v>
      </c>
      <c r="F14" s="26" t="s">
        <v>30</v>
      </c>
      <c r="G14" s="14">
        <v>0</v>
      </c>
      <c r="H14" s="92">
        <f>IF(B$19=0,0,G14/B$19)</f>
        <v>0</v>
      </c>
      <c r="I14" s="60">
        <v>1</v>
      </c>
      <c r="N14" s="76" t="s">
        <v>144</v>
      </c>
      <c r="O14" s="4" t="s">
        <v>120</v>
      </c>
      <c r="P14" s="110" t="s">
        <v>116</v>
      </c>
      <c r="Q14" s="70" t="s">
        <v>145</v>
      </c>
    </row>
    <row r="15" spans="1:17" x14ac:dyDescent="0.45">
      <c r="A15" s="24" t="s">
        <v>121</v>
      </c>
      <c r="B15" s="17">
        <v>4</v>
      </c>
      <c r="C15" s="12">
        <f>IF(B$3=0,0,B15/B$3)</f>
        <v>0.5</v>
      </c>
      <c r="E15" s="29" t="s">
        <v>76</v>
      </c>
      <c r="F15" s="26" t="s">
        <v>31</v>
      </c>
      <c r="G15" s="14">
        <v>0</v>
      </c>
      <c r="H15" s="92">
        <f>IF(B$19=0,0,G15/B$19)</f>
        <v>0</v>
      </c>
      <c r="I15" s="60">
        <v>1</v>
      </c>
      <c r="N15" s="77" t="s">
        <v>189</v>
      </c>
      <c r="O15" s="86">
        <f>IF(P15=0,0,Q15/P15)</f>
        <v>33.4</v>
      </c>
      <c r="P15" s="80">
        <v>1</v>
      </c>
      <c r="Q15" s="71">
        <v>33.4</v>
      </c>
    </row>
    <row r="16" spans="1:17" x14ac:dyDescent="0.45">
      <c r="A16" s="21" t="s">
        <v>118</v>
      </c>
      <c r="B16" s="14">
        <v>2</v>
      </c>
      <c r="C16" s="8">
        <f>IF(B$3=0,0,B16/B$3)</f>
        <v>0.25</v>
      </c>
      <c r="E16" s="29" t="s">
        <v>77</v>
      </c>
      <c r="F16" s="26" t="s">
        <v>32</v>
      </c>
      <c r="G16" s="14">
        <v>0</v>
      </c>
      <c r="H16" s="92">
        <f>IF(B$19=0,0,G16/B$19)</f>
        <v>0</v>
      </c>
      <c r="I16" s="60">
        <v>1</v>
      </c>
      <c r="N16" s="78" t="s">
        <v>190</v>
      </c>
      <c r="O16" s="87">
        <f>IF(P16=0,0,Q16/P16)</f>
        <v>-42.1</v>
      </c>
      <c r="P16" s="81">
        <v>1</v>
      </c>
      <c r="Q16" s="72">
        <v>-42.1</v>
      </c>
    </row>
    <row r="17" spans="1:9" x14ac:dyDescent="0.45">
      <c r="A17" s="20" t="s">
        <v>123</v>
      </c>
      <c r="B17" s="13">
        <f>B23</f>
        <v>1</v>
      </c>
      <c r="C17" s="6">
        <f>IF(B$15=0,0,B17/B$15)</f>
        <v>0.25</v>
      </c>
      <c r="E17" s="29" t="s">
        <v>78</v>
      </c>
      <c r="F17" s="26" t="s">
        <v>33</v>
      </c>
      <c r="G17" s="14">
        <v>0</v>
      </c>
      <c r="H17" s="92">
        <f>IF(B$19=0,0,G17/B$19)</f>
        <v>0</v>
      </c>
      <c r="I17" s="60">
        <v>1</v>
      </c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79</v>
      </c>
      <c r="F18" s="26" t="s">
        <v>34</v>
      </c>
      <c r="G18" s="14">
        <v>0</v>
      </c>
      <c r="H18" s="92">
        <f>IF(B$19=0,0,G18/B$19)</f>
        <v>0</v>
      </c>
      <c r="I18" s="60">
        <v>1</v>
      </c>
    </row>
    <row r="19" spans="1:9" x14ac:dyDescent="0.45">
      <c r="A19" s="20" t="s">
        <v>10</v>
      </c>
      <c r="B19" s="13">
        <f>B22+B21</f>
        <v>1</v>
      </c>
      <c r="C19" s="6">
        <f>IF(B$3=0,0,B19/B$3)</f>
        <v>0.125</v>
      </c>
      <c r="E19" s="29" t="s">
        <v>80</v>
      </c>
      <c r="F19" s="26" t="s">
        <v>35</v>
      </c>
      <c r="G19" s="14">
        <v>0</v>
      </c>
      <c r="H19" s="92">
        <f>IF(B$19=0,0,G19/B$19)</f>
        <v>0</v>
      </c>
      <c r="I19" s="60">
        <v>1</v>
      </c>
    </row>
    <row r="20" spans="1:9" x14ac:dyDescent="0.45">
      <c r="A20" s="21" t="s">
        <v>13</v>
      </c>
      <c r="B20" s="14">
        <v>1</v>
      </c>
      <c r="C20" s="8">
        <f>IF(B$3=0,0,B20/B$3)</f>
        <v>0.125</v>
      </c>
      <c r="E20" s="29" t="s">
        <v>81</v>
      </c>
      <c r="F20" s="26" t="s">
        <v>36</v>
      </c>
      <c r="G20" s="14">
        <v>0</v>
      </c>
      <c r="H20" s="92">
        <f>IF(B$19=0,0,G20/B$19)</f>
        <v>0</v>
      </c>
      <c r="I20" s="60">
        <v>1</v>
      </c>
    </row>
    <row r="21" spans="1:9" x14ac:dyDescent="0.45">
      <c r="A21" s="21" t="s">
        <v>12</v>
      </c>
      <c r="B21" s="14">
        <v>1</v>
      </c>
      <c r="C21" s="8">
        <f>IF(B$19=0,0,B21/B$19)</f>
        <v>1</v>
      </c>
      <c r="E21" s="29" t="s">
        <v>82</v>
      </c>
      <c r="F21" s="26" t="s">
        <v>37</v>
      </c>
      <c r="G21" s="14">
        <v>0</v>
      </c>
      <c r="H21" s="92">
        <f>IF(B$19=0,0,G21/B$19)</f>
        <v>0</v>
      </c>
      <c r="I21" s="60">
        <v>1</v>
      </c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83</v>
      </c>
      <c r="F22" s="26" t="s">
        <v>38</v>
      </c>
      <c r="G22" s="14">
        <v>0</v>
      </c>
      <c r="H22" s="92">
        <f>IF(B$19=0,0,G22/B$19)</f>
        <v>0</v>
      </c>
      <c r="I22" s="60">
        <v>1</v>
      </c>
    </row>
    <row r="23" spans="1:9" x14ac:dyDescent="0.45">
      <c r="A23" s="21" t="s">
        <v>180</v>
      </c>
      <c r="B23" s="14">
        <v>1</v>
      </c>
      <c r="C23" s="8">
        <f>IF(B$19=0,0,B23/B$19)</f>
        <v>1</v>
      </c>
      <c r="E23" s="29" t="s">
        <v>84</v>
      </c>
      <c r="F23" s="26" t="s">
        <v>39</v>
      </c>
      <c r="G23" s="14">
        <v>0</v>
      </c>
      <c r="H23" s="92">
        <f>IF(B$19=0,0,G23/B$19)</f>
        <v>0</v>
      </c>
      <c r="I23" s="60">
        <v>1</v>
      </c>
    </row>
    <row r="24" spans="1:9" x14ac:dyDescent="0.45">
      <c r="A24" s="21" t="s">
        <v>178</v>
      </c>
      <c r="B24" s="14">
        <v>0</v>
      </c>
      <c r="C24" s="8">
        <f>IF(B$19=0,0,B24/B$19)</f>
        <v>0</v>
      </c>
      <c r="E24" s="29" t="s">
        <v>85</v>
      </c>
      <c r="F24" s="26" t="s">
        <v>40</v>
      </c>
      <c r="G24" s="14">
        <v>0</v>
      </c>
      <c r="H24" s="92">
        <f>IF(B$19=0,0,G24/B$19)</f>
        <v>0</v>
      </c>
      <c r="I24" s="60">
        <v>1</v>
      </c>
    </row>
    <row r="25" spans="1:9" x14ac:dyDescent="0.45">
      <c r="A25" s="21" t="s">
        <v>179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>IF(B$19=0,0,G25/B$19)</f>
        <v>0</v>
      </c>
      <c r="I25" s="60">
        <v>1</v>
      </c>
    </row>
    <row r="26" spans="1:9" x14ac:dyDescent="0.45">
      <c r="A26" s="21" t="s">
        <v>5</v>
      </c>
      <c r="B26" s="18">
        <f>IF(B$19=0,0,C26/B$19)</f>
        <v>6400</v>
      </c>
      <c r="C26" s="10">
        <v>6400</v>
      </c>
      <c r="E26" s="29" t="s">
        <v>88</v>
      </c>
      <c r="F26" s="26" t="s">
        <v>43</v>
      </c>
      <c r="G26" s="14">
        <v>0</v>
      </c>
      <c r="H26" s="92">
        <f>IF(B$19=0,0,G26/B$19)</f>
        <v>0</v>
      </c>
      <c r="I26" s="60">
        <v>1</v>
      </c>
    </row>
    <row r="27" spans="1:9" x14ac:dyDescent="0.45">
      <c r="A27" s="22" t="s">
        <v>162</v>
      </c>
      <c r="B27" s="99">
        <f>IF($B$19-B$18=0,0,C27/($B$19-B$18))</f>
        <v>6400</v>
      </c>
      <c r="C27" s="100">
        <v>6400</v>
      </c>
      <c r="E27" s="29" t="s">
        <v>89</v>
      </c>
      <c r="F27" s="26" t="s">
        <v>44</v>
      </c>
      <c r="G27" s="14">
        <v>0</v>
      </c>
      <c r="H27" s="92">
        <f>IF(B$19=0,0,G27/B$19)</f>
        <v>0</v>
      </c>
      <c r="I27" s="60">
        <v>3</v>
      </c>
    </row>
    <row r="28" spans="1:9" x14ac:dyDescent="0.45">
      <c r="A28" s="22" t="s">
        <v>163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>IF(B$19=0,0,G28/B$19)</f>
        <v>0</v>
      </c>
      <c r="I28" s="60">
        <v>1</v>
      </c>
    </row>
    <row r="29" spans="1:9" x14ac:dyDescent="0.45">
      <c r="A29" s="22" t="s">
        <v>161</v>
      </c>
      <c r="B29" s="99">
        <f>IF(B$20=0,0,C29/B$20)</f>
        <v>-2000</v>
      </c>
      <c r="C29" s="100">
        <v>-2000</v>
      </c>
      <c r="E29" s="29" t="s">
        <v>91</v>
      </c>
      <c r="F29" s="26" t="s">
        <v>46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155</v>
      </c>
      <c r="B30" s="14">
        <v>1</v>
      </c>
      <c r="C30" s="94">
        <v>0</v>
      </c>
      <c r="E30" s="29" t="s">
        <v>92</v>
      </c>
      <c r="F30" s="26" t="s">
        <v>47</v>
      </c>
      <c r="G30" s="14">
        <v>0</v>
      </c>
      <c r="H30" s="92">
        <f>IF(B$19=0,0,G30/B$19)</f>
        <v>0</v>
      </c>
      <c r="I30" s="60">
        <v>1</v>
      </c>
    </row>
    <row r="31" spans="1:9" x14ac:dyDescent="0.45">
      <c r="A31" s="21" t="s">
        <v>156</v>
      </c>
      <c r="B31" s="14">
        <v>5</v>
      </c>
      <c r="C31" s="94">
        <v>2</v>
      </c>
      <c r="E31" s="29" t="s">
        <v>93</v>
      </c>
      <c r="F31" s="26" t="s">
        <v>48</v>
      </c>
      <c r="G31" s="14">
        <v>0</v>
      </c>
      <c r="H31" s="92">
        <f>IF(B$19=0,0,G31/B$19)</f>
        <v>0</v>
      </c>
      <c r="I31" s="60">
        <v>1</v>
      </c>
    </row>
    <row r="32" spans="1:9" x14ac:dyDescent="0.45">
      <c r="A32" s="56" t="s">
        <v>134</v>
      </c>
      <c r="B32" s="125">
        <v>0</v>
      </c>
      <c r="C32" s="126"/>
      <c r="E32" s="29" t="s">
        <v>94</v>
      </c>
      <c r="F32" s="26" t="s">
        <v>49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177</v>
      </c>
      <c r="B33" s="127">
        <v>32100</v>
      </c>
      <c r="C33" s="128"/>
      <c r="E33" s="29" t="s">
        <v>95</v>
      </c>
      <c r="F33" s="26" t="s">
        <v>50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135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97</v>
      </c>
      <c r="F35" s="26" t="s">
        <v>52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168</v>
      </c>
      <c r="B36" s="121">
        <v>0</v>
      </c>
      <c r="C36" s="102">
        <f t="shared" ref="C36:C48" si="2">IF(B$19=0,0,B36/B$19)</f>
        <v>0</v>
      </c>
      <c r="E36" s="29" t="s">
        <v>98</v>
      </c>
      <c r="F36" s="26" t="s">
        <v>53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164</v>
      </c>
      <c r="B37" s="14">
        <v>0</v>
      </c>
      <c r="C37" s="8">
        <f t="shared" si="2"/>
        <v>0</v>
      </c>
      <c r="E37" s="29" t="s">
        <v>99</v>
      </c>
      <c r="F37" s="26" t="s">
        <v>54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165</v>
      </c>
      <c r="B38" s="122">
        <v>0</v>
      </c>
      <c r="C38" s="8">
        <f t="shared" si="2"/>
        <v>0</v>
      </c>
      <c r="E38" s="29" t="s">
        <v>100</v>
      </c>
      <c r="F38" s="26" t="s">
        <v>55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166</v>
      </c>
      <c r="B39" s="122">
        <v>1</v>
      </c>
      <c r="C39" s="8">
        <f t="shared" si="2"/>
        <v>1</v>
      </c>
      <c r="E39" s="29" t="s">
        <v>101</v>
      </c>
      <c r="F39" s="26" t="s">
        <v>56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167</v>
      </c>
      <c r="B40" s="122">
        <v>0</v>
      </c>
      <c r="C40" s="8">
        <f t="shared" si="2"/>
        <v>0</v>
      </c>
      <c r="E40" s="29" t="s">
        <v>102</v>
      </c>
      <c r="F40" s="26" t="s">
        <v>57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169</v>
      </c>
      <c r="B41" s="122">
        <v>0</v>
      </c>
      <c r="C41" s="8">
        <f t="shared" si="2"/>
        <v>0</v>
      </c>
      <c r="E41" s="29" t="s">
        <v>103</v>
      </c>
      <c r="F41" s="26" t="s">
        <v>58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170</v>
      </c>
      <c r="B42" s="122">
        <v>0</v>
      </c>
      <c r="C42" s="8">
        <f t="shared" si="2"/>
        <v>0</v>
      </c>
      <c r="E42" s="29" t="s">
        <v>104</v>
      </c>
      <c r="F42" s="26" t="s">
        <v>59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171</v>
      </c>
      <c r="B43" s="122">
        <v>0</v>
      </c>
      <c r="C43" s="8">
        <f t="shared" si="2"/>
        <v>0</v>
      </c>
      <c r="E43" s="29" t="s">
        <v>105</v>
      </c>
      <c r="F43" s="26" t="s">
        <v>112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172</v>
      </c>
      <c r="B44" s="122">
        <v>0</v>
      </c>
      <c r="C44" s="8">
        <f t="shared" si="2"/>
        <v>0</v>
      </c>
      <c r="E44" s="29" t="s">
        <v>106</v>
      </c>
      <c r="F44" s="26" t="s">
        <v>113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173</v>
      </c>
      <c r="B45" s="122">
        <v>0</v>
      </c>
      <c r="C45" s="8">
        <f t="shared" si="2"/>
        <v>0</v>
      </c>
      <c r="E45" s="29" t="s">
        <v>107</v>
      </c>
      <c r="F45" s="26" t="s">
        <v>114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174</v>
      </c>
      <c r="B46" s="122">
        <v>0</v>
      </c>
      <c r="C46" s="8">
        <f t="shared" si="2"/>
        <v>0</v>
      </c>
      <c r="E46" s="29" t="s">
        <v>108</v>
      </c>
      <c r="F46" s="26" t="s">
        <v>60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175</v>
      </c>
      <c r="B47" s="122">
        <v>0</v>
      </c>
      <c r="C47" s="8">
        <f t="shared" si="2"/>
        <v>0</v>
      </c>
      <c r="E47" s="29" t="s">
        <v>109</v>
      </c>
      <c r="F47" s="26" t="s">
        <v>61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176</v>
      </c>
      <c r="B48" s="101">
        <v>0</v>
      </c>
      <c r="C48" s="11">
        <f t="shared" si="2"/>
        <v>0</v>
      </c>
      <c r="E48" s="29" t="s">
        <v>110</v>
      </c>
      <c r="F48" s="26" t="s">
        <v>62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111</v>
      </c>
      <c r="F49" s="26" t="s">
        <v>63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153</v>
      </c>
      <c r="F50" s="26" t="s">
        <v>154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157</v>
      </c>
      <c r="F51" s="96" t="s">
        <v>158</v>
      </c>
      <c r="G51" s="15">
        <v>0</v>
      </c>
      <c r="H51" s="97">
        <f>IF(B$19=0,0,G51/B$19)</f>
        <v>0</v>
      </c>
      <c r="I51" s="98">
        <v>3</v>
      </c>
    </row>
    <row r="52" spans="5:9" x14ac:dyDescent="0.45">
      <c r="E52" s="30" t="s">
        <v>159</v>
      </c>
      <c r="F52" s="27" t="s">
        <v>160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6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07191A-E1A0-41BF-B4BF-6A2E9DBE70A8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189</v>
      </c>
      <c r="C1" s="130"/>
      <c r="E1" s="108" t="s">
        <v>152</v>
      </c>
      <c r="F1" s="120" t="s">
        <v>115</v>
      </c>
      <c r="G1" s="119" t="s">
        <v>116</v>
      </c>
      <c r="H1" s="90" t="s">
        <v>117</v>
      </c>
      <c r="I1" s="120" t="s">
        <v>143</v>
      </c>
      <c r="K1" s="4" t="s">
        <v>19</v>
      </c>
      <c r="L1" s="120" t="s">
        <v>120</v>
      </c>
      <c r="M1" s="109"/>
      <c r="N1" s="76" t="s">
        <v>132</v>
      </c>
      <c r="O1" s="4" t="s">
        <v>133</v>
      </c>
      <c r="P1" s="110" t="s">
        <v>116</v>
      </c>
      <c r="Q1" s="66" t="s">
        <v>145</v>
      </c>
    </row>
    <row r="2" spans="1:17" x14ac:dyDescent="0.45">
      <c r="A2" s="20" t="s">
        <v>9</v>
      </c>
      <c r="B2" s="131">
        <v>1</v>
      </c>
      <c r="C2" s="132"/>
      <c r="E2" s="28" t="s">
        <v>64</v>
      </c>
      <c r="F2" s="25" t="s">
        <v>20</v>
      </c>
      <c r="G2" s="13">
        <v>1</v>
      </c>
      <c r="H2" s="91">
        <f>IF(B$19=0,0,G2/B$19)</f>
        <v>1</v>
      </c>
      <c r="I2" s="59">
        <v>1</v>
      </c>
      <c r="K2" s="5">
        <v>0</v>
      </c>
      <c r="L2" s="64">
        <v>0</v>
      </c>
      <c r="N2" s="77" t="s">
        <v>126</v>
      </c>
      <c r="O2" s="83">
        <f t="shared" ref="O2:O7" si="0">IF(P2=0,0,Q2/P2)</f>
        <v>3100</v>
      </c>
      <c r="P2" s="80">
        <v>1</v>
      </c>
      <c r="Q2" s="67">
        <v>3100</v>
      </c>
    </row>
    <row r="3" spans="1:17" x14ac:dyDescent="0.45">
      <c r="A3" s="21" t="s">
        <v>8</v>
      </c>
      <c r="B3" s="133">
        <v>8</v>
      </c>
      <c r="C3" s="134"/>
      <c r="E3" s="29" t="s">
        <v>65</v>
      </c>
      <c r="F3" s="26" t="s">
        <v>21</v>
      </c>
      <c r="G3" s="14">
        <v>1</v>
      </c>
      <c r="H3" s="92">
        <f>IF(B$19=0,0,G3/B$19)</f>
        <v>1</v>
      </c>
      <c r="I3" s="60">
        <v>1</v>
      </c>
      <c r="K3" s="7">
        <v>1</v>
      </c>
      <c r="L3" s="65">
        <v>-36.299999999999997</v>
      </c>
      <c r="N3" s="78" t="s">
        <v>127</v>
      </c>
      <c r="O3" s="84">
        <f t="shared" si="0"/>
        <v>-8000</v>
      </c>
      <c r="P3" s="81">
        <v>1</v>
      </c>
      <c r="Q3" s="68">
        <v>-8000</v>
      </c>
    </row>
    <row r="4" spans="1:17" x14ac:dyDescent="0.45">
      <c r="A4" s="21" t="s">
        <v>6</v>
      </c>
      <c r="B4" s="135">
        <v>-36.299999999999997</v>
      </c>
      <c r="C4" s="136"/>
      <c r="E4" s="29" t="s">
        <v>66</v>
      </c>
      <c r="F4" s="26" t="s">
        <v>22</v>
      </c>
      <c r="G4" s="14">
        <v>0</v>
      </c>
      <c r="H4" s="92">
        <f>IF(B$19=0,0,G4/B$19)</f>
        <v>0</v>
      </c>
      <c r="I4" s="60">
        <v>3</v>
      </c>
      <c r="N4" s="78" t="s">
        <v>128</v>
      </c>
      <c r="O4" s="84">
        <f t="shared" si="0"/>
        <v>-17300</v>
      </c>
      <c r="P4" s="81">
        <v>1</v>
      </c>
      <c r="Q4" s="68">
        <v>-17300</v>
      </c>
    </row>
    <row r="5" spans="1:17" x14ac:dyDescent="0.45">
      <c r="A5" s="21" t="s">
        <v>7</v>
      </c>
      <c r="B5" s="123">
        <f>IF(B$2=0,0,B$4/B$2)</f>
        <v>-36.299999999999997</v>
      </c>
      <c r="C5" s="124"/>
      <c r="E5" s="29" t="s">
        <v>67</v>
      </c>
      <c r="F5" s="26" t="s">
        <v>23</v>
      </c>
      <c r="G5" s="14">
        <v>0</v>
      </c>
      <c r="H5" s="92">
        <f>IF(B$19=0,0,G5/B$19)</f>
        <v>0</v>
      </c>
      <c r="I5" s="60">
        <v>1</v>
      </c>
      <c r="N5" s="78" t="s">
        <v>129</v>
      </c>
      <c r="O5" s="84">
        <f t="shared" si="0"/>
        <v>0</v>
      </c>
      <c r="P5" s="81">
        <v>1</v>
      </c>
      <c r="Q5" s="68">
        <v>0</v>
      </c>
    </row>
    <row r="6" spans="1:17" x14ac:dyDescent="0.45">
      <c r="A6" s="21" t="s">
        <v>1</v>
      </c>
      <c r="B6" s="137">
        <f>IF(B$2=0,0,(B$7*1+B$8*2+B$9*3)/B$2)</f>
        <v>3</v>
      </c>
      <c r="C6" s="138"/>
      <c r="E6" s="29" t="s">
        <v>68</v>
      </c>
      <c r="F6" s="26" t="s">
        <v>12</v>
      </c>
      <c r="G6" s="14">
        <v>0</v>
      </c>
      <c r="H6" s="92">
        <f>IF(B$19=0,0,G6/B$19)</f>
        <v>0</v>
      </c>
      <c r="I6" s="60">
        <v>3</v>
      </c>
      <c r="N6" s="78" t="s">
        <v>130</v>
      </c>
      <c r="O6" s="84">
        <f t="shared" si="0"/>
        <v>-2600</v>
      </c>
      <c r="P6" s="81">
        <v>1</v>
      </c>
      <c r="Q6" s="68">
        <v>-2600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69</v>
      </c>
      <c r="F7" s="26" t="s">
        <v>24</v>
      </c>
      <c r="G7" s="14">
        <v>0</v>
      </c>
      <c r="H7" s="92">
        <f>IF(B$19=0,0,G7/B$19)</f>
        <v>0</v>
      </c>
      <c r="I7" s="60">
        <v>1</v>
      </c>
      <c r="N7" s="79" t="s">
        <v>131</v>
      </c>
      <c r="O7" s="85">
        <f t="shared" si="0"/>
        <v>-1500</v>
      </c>
      <c r="P7" s="82">
        <v>1</v>
      </c>
      <c r="Q7" s="69">
        <v>-1500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70</v>
      </c>
      <c r="F8" s="26" t="s">
        <v>25</v>
      </c>
      <c r="G8" s="14">
        <v>0</v>
      </c>
      <c r="H8" s="92">
        <f>IF(B$19=0,0,G8/B$19)</f>
        <v>0</v>
      </c>
      <c r="I8" s="60">
        <v>1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1</v>
      </c>
      <c r="E9" s="29" t="s">
        <v>71</v>
      </c>
      <c r="F9" s="26" t="s">
        <v>26</v>
      </c>
      <c r="G9" s="14">
        <v>0</v>
      </c>
      <c r="H9" s="92">
        <f>IF(B$19=0,0,G9/B$19)</f>
        <v>0</v>
      </c>
      <c r="I9" s="60">
        <v>1</v>
      </c>
      <c r="N9" s="76" t="s">
        <v>148</v>
      </c>
      <c r="O9" s="4" t="s">
        <v>120</v>
      </c>
      <c r="P9" s="110" t="s">
        <v>116</v>
      </c>
      <c r="Q9" s="70" t="s">
        <v>145</v>
      </c>
    </row>
    <row r="10" spans="1:17" x14ac:dyDescent="0.45">
      <c r="A10" s="22" t="s">
        <v>181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>IF(B$19=0,0,G10/B$19)</f>
        <v>0</v>
      </c>
      <c r="I10" s="60">
        <v>3</v>
      </c>
      <c r="N10" s="77" t="s">
        <v>149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182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>IF(B$19=0,0,G11/B$19)</f>
        <v>0</v>
      </c>
      <c r="I11" s="60">
        <v>1</v>
      </c>
      <c r="N11" s="78" t="s">
        <v>150</v>
      </c>
      <c r="O11" s="87">
        <f>IF(P11=0,0,Q11/P11)</f>
        <v>-36.299999999999997</v>
      </c>
      <c r="P11" s="81">
        <v>1</v>
      </c>
      <c r="Q11" s="72">
        <v>-36.299999999999997</v>
      </c>
    </row>
    <row r="12" spans="1:17" x14ac:dyDescent="0.45">
      <c r="A12" s="22" t="s">
        <v>183</v>
      </c>
      <c r="B12" s="113">
        <f>IF(B9=0,0,C12/B9)</f>
        <v>-36.299999999999997</v>
      </c>
      <c r="C12" s="114">
        <v>-36.299999999999997</v>
      </c>
      <c r="E12" s="29" t="s">
        <v>74</v>
      </c>
      <c r="F12" s="26" t="s">
        <v>29</v>
      </c>
      <c r="G12" s="14">
        <v>0</v>
      </c>
      <c r="H12" s="92">
        <f>IF(B$19=0,0,G12/B$19)</f>
        <v>0</v>
      </c>
      <c r="I12" s="60">
        <v>1</v>
      </c>
      <c r="N12" s="79" t="s">
        <v>151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184</v>
      </c>
      <c r="B13" s="123">
        <f>AVERAGE(B10:B12)</f>
        <v>-12.1</v>
      </c>
      <c r="C13" s="124"/>
      <c r="E13" s="29" t="s">
        <v>75</v>
      </c>
      <c r="F13" s="26" t="s">
        <v>30</v>
      </c>
      <c r="G13" s="14">
        <v>0</v>
      </c>
      <c r="H13" s="92">
        <f>IF(B$19=0,0,G13/B$19)</f>
        <v>0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76</v>
      </c>
      <c r="F14" s="26" t="s">
        <v>31</v>
      </c>
      <c r="G14" s="14">
        <v>0</v>
      </c>
      <c r="H14" s="92">
        <f>IF(B$19=0,0,G14/B$19)</f>
        <v>0</v>
      </c>
      <c r="I14" s="60">
        <v>1</v>
      </c>
      <c r="N14" s="76" t="s">
        <v>144</v>
      </c>
      <c r="O14" s="4" t="s">
        <v>120</v>
      </c>
      <c r="P14" s="110" t="s">
        <v>116</v>
      </c>
      <c r="Q14" s="70" t="s">
        <v>145</v>
      </c>
    </row>
    <row r="15" spans="1:17" x14ac:dyDescent="0.45">
      <c r="A15" s="24" t="s">
        <v>121</v>
      </c>
      <c r="B15" s="17">
        <v>3</v>
      </c>
      <c r="C15" s="12">
        <f>IF(B$3=0,0,B15/B$3)</f>
        <v>0.375</v>
      </c>
      <c r="E15" s="29" t="s">
        <v>77</v>
      </c>
      <c r="F15" s="26" t="s">
        <v>32</v>
      </c>
      <c r="G15" s="14">
        <v>0</v>
      </c>
      <c r="H15" s="92">
        <f>IF(B$19=0,0,G15/B$19)</f>
        <v>0</v>
      </c>
      <c r="I15" s="60">
        <v>1</v>
      </c>
      <c r="N15" s="77" t="s">
        <v>191</v>
      </c>
      <c r="O15" s="86">
        <f>IF(P15=0,0,Q15/P15)</f>
        <v>-33.4</v>
      </c>
      <c r="P15" s="80">
        <v>1</v>
      </c>
      <c r="Q15" s="71">
        <v>-33.4</v>
      </c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>IF(B$19=0,0,G16/B$19)</f>
        <v>0</v>
      </c>
      <c r="I16" s="60">
        <v>1</v>
      </c>
      <c r="N16" s="78" t="s">
        <v>190</v>
      </c>
      <c r="O16" s="87">
        <f>IF(P16=0,0,Q16/P16)</f>
        <v>-75.5</v>
      </c>
      <c r="P16" s="81">
        <v>1</v>
      </c>
      <c r="Q16" s="72">
        <v>-75.5</v>
      </c>
    </row>
    <row r="17" spans="1:9" x14ac:dyDescent="0.45">
      <c r="A17" s="20" t="s">
        <v>123</v>
      </c>
      <c r="B17" s="13">
        <f>B23</f>
        <v>1</v>
      </c>
      <c r="C17" s="6">
        <f>IF(B$15=0,0,B17/B$15)</f>
        <v>0.33333333333333331</v>
      </c>
      <c r="E17" s="29" t="s">
        <v>79</v>
      </c>
      <c r="F17" s="26" t="s">
        <v>34</v>
      </c>
      <c r="G17" s="14">
        <v>0</v>
      </c>
      <c r="H17" s="92">
        <f>IF(B$19=0,0,G17/B$19)</f>
        <v>0</v>
      </c>
      <c r="I17" s="60">
        <v>1</v>
      </c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>IF(B$19=0,0,G18/B$19)</f>
        <v>0</v>
      </c>
      <c r="I18" s="60">
        <v>1</v>
      </c>
    </row>
    <row r="19" spans="1:9" x14ac:dyDescent="0.45">
      <c r="A19" s="20" t="s">
        <v>10</v>
      </c>
      <c r="B19" s="13">
        <f>B22+B21</f>
        <v>1</v>
      </c>
      <c r="C19" s="6">
        <f>IF(B$3=0,0,B19/B$3)</f>
        <v>0.125</v>
      </c>
      <c r="E19" s="29" t="s">
        <v>81</v>
      </c>
      <c r="F19" s="26" t="s">
        <v>36</v>
      </c>
      <c r="G19" s="14">
        <v>0</v>
      </c>
      <c r="H19" s="92">
        <f>IF(B$19=0,0,G19/B$19)</f>
        <v>0</v>
      </c>
      <c r="I19" s="60">
        <v>1</v>
      </c>
    </row>
    <row r="20" spans="1:9" x14ac:dyDescent="0.45">
      <c r="A20" s="21" t="s">
        <v>13</v>
      </c>
      <c r="B20" s="14">
        <v>3</v>
      </c>
      <c r="C20" s="8">
        <f>IF(B$3=0,0,B20/B$3)</f>
        <v>0.375</v>
      </c>
      <c r="E20" s="29" t="s">
        <v>82</v>
      </c>
      <c r="F20" s="26" t="s">
        <v>37</v>
      </c>
      <c r="G20" s="14">
        <v>0</v>
      </c>
      <c r="H20" s="92">
        <f>IF(B$19=0,0,G20/B$19)</f>
        <v>0</v>
      </c>
      <c r="I20" s="60">
        <v>1</v>
      </c>
    </row>
    <row r="21" spans="1:9" x14ac:dyDescent="0.45">
      <c r="A21" s="21" t="s">
        <v>12</v>
      </c>
      <c r="B21" s="14">
        <v>1</v>
      </c>
      <c r="C21" s="8">
        <f>IF(B$19=0,0,B21/B$19)</f>
        <v>1</v>
      </c>
      <c r="E21" s="29" t="s">
        <v>83</v>
      </c>
      <c r="F21" s="26" t="s">
        <v>38</v>
      </c>
      <c r="G21" s="14">
        <v>0</v>
      </c>
      <c r="H21" s="92">
        <f>IF(B$19=0,0,G21/B$19)</f>
        <v>0</v>
      </c>
      <c r="I21" s="60">
        <v>1</v>
      </c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>IF(B$19=0,0,G22/B$19)</f>
        <v>0</v>
      </c>
      <c r="I22" s="60">
        <v>1</v>
      </c>
    </row>
    <row r="23" spans="1:9" x14ac:dyDescent="0.45">
      <c r="A23" s="21" t="s">
        <v>180</v>
      </c>
      <c r="B23" s="14">
        <v>1</v>
      </c>
      <c r="C23" s="8">
        <f>IF(B$19=0,0,B23/B$19)</f>
        <v>1</v>
      </c>
      <c r="E23" s="29" t="s">
        <v>85</v>
      </c>
      <c r="F23" s="26" t="s">
        <v>40</v>
      </c>
      <c r="G23" s="14">
        <v>0</v>
      </c>
      <c r="H23" s="92">
        <f>IF(B$19=0,0,G23/B$19)</f>
        <v>0</v>
      </c>
      <c r="I23" s="60">
        <v>1</v>
      </c>
    </row>
    <row r="24" spans="1:9" x14ac:dyDescent="0.45">
      <c r="A24" s="21" t="s">
        <v>178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>IF(B$19=0,0,G24/B$19)</f>
        <v>0</v>
      </c>
      <c r="I24" s="60">
        <v>4</v>
      </c>
    </row>
    <row r="25" spans="1:9" x14ac:dyDescent="0.45">
      <c r="A25" s="21" t="s">
        <v>179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>IF(B$19=0,0,G25/B$19)</f>
        <v>0</v>
      </c>
      <c r="I25" s="60">
        <v>1</v>
      </c>
    </row>
    <row r="26" spans="1:9" x14ac:dyDescent="0.45">
      <c r="A26" s="21" t="s">
        <v>5</v>
      </c>
      <c r="B26" s="18">
        <f>IF(B$19=0,0,C26/B$19)</f>
        <v>2100</v>
      </c>
      <c r="C26" s="10">
        <v>2100</v>
      </c>
      <c r="E26" s="29" t="s">
        <v>88</v>
      </c>
      <c r="F26" s="26" t="s">
        <v>43</v>
      </c>
      <c r="G26" s="14">
        <v>0</v>
      </c>
      <c r="H26" s="92">
        <f>IF(B$19=0,0,G26/B$19)</f>
        <v>0</v>
      </c>
      <c r="I26" s="60">
        <v>1</v>
      </c>
    </row>
    <row r="27" spans="1:9" x14ac:dyDescent="0.45">
      <c r="A27" s="22" t="s">
        <v>162</v>
      </c>
      <c r="B27" s="99">
        <f>IF($B$19-B$18=0,0,C27/($B$19-B$18))</f>
        <v>2100</v>
      </c>
      <c r="C27" s="100">
        <v>2100</v>
      </c>
      <c r="E27" s="29" t="s">
        <v>89</v>
      </c>
      <c r="F27" s="26" t="s">
        <v>44</v>
      </c>
      <c r="G27" s="14">
        <v>0</v>
      </c>
      <c r="H27" s="92">
        <f>IF(B$19=0,0,G27/B$19)</f>
        <v>0</v>
      </c>
      <c r="I27" s="60">
        <v>3</v>
      </c>
    </row>
    <row r="28" spans="1:9" x14ac:dyDescent="0.45">
      <c r="A28" s="22" t="s">
        <v>163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>IF(B$19=0,0,G28/B$19)</f>
        <v>0</v>
      </c>
      <c r="I28" s="60">
        <v>1</v>
      </c>
    </row>
    <row r="29" spans="1:9" x14ac:dyDescent="0.45">
      <c r="A29" s="22" t="s">
        <v>161</v>
      </c>
      <c r="B29" s="99">
        <f>IF(B$20=0,0,C29/B$20)</f>
        <v>-4166.666666666667</v>
      </c>
      <c r="C29" s="100">
        <v>-12500</v>
      </c>
      <c r="E29" s="29" t="s">
        <v>91</v>
      </c>
      <c r="F29" s="26" t="s">
        <v>46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155</v>
      </c>
      <c r="B30" s="14">
        <v>1</v>
      </c>
      <c r="C30" s="94">
        <v>0</v>
      </c>
      <c r="E30" s="29" t="s">
        <v>92</v>
      </c>
      <c r="F30" s="26" t="s">
        <v>47</v>
      </c>
      <c r="G30" s="14">
        <v>0</v>
      </c>
      <c r="H30" s="92">
        <f>IF(B$19=0,0,G30/B$19)</f>
        <v>0</v>
      </c>
      <c r="I30" s="60">
        <v>1</v>
      </c>
    </row>
    <row r="31" spans="1:9" x14ac:dyDescent="0.45">
      <c r="A31" s="21" t="s">
        <v>156</v>
      </c>
      <c r="B31" s="14">
        <v>2</v>
      </c>
      <c r="C31" s="94">
        <v>1</v>
      </c>
      <c r="E31" s="29" t="s">
        <v>93</v>
      </c>
      <c r="F31" s="26" t="s">
        <v>48</v>
      </c>
      <c r="G31" s="14">
        <v>0</v>
      </c>
      <c r="H31" s="92">
        <f>IF(B$19=0,0,G31/B$19)</f>
        <v>0</v>
      </c>
      <c r="I31" s="60">
        <v>1</v>
      </c>
    </row>
    <row r="32" spans="1:9" x14ac:dyDescent="0.45">
      <c r="A32" s="56" t="s">
        <v>134</v>
      </c>
      <c r="B32" s="125">
        <v>0</v>
      </c>
      <c r="C32" s="126"/>
      <c r="E32" s="29" t="s">
        <v>94</v>
      </c>
      <c r="F32" s="26" t="s">
        <v>49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177</v>
      </c>
      <c r="B33" s="127">
        <v>8700</v>
      </c>
      <c r="C33" s="128"/>
      <c r="E33" s="29" t="s">
        <v>95</v>
      </c>
      <c r="F33" s="26" t="s">
        <v>50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135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97</v>
      </c>
      <c r="F35" s="26" t="s">
        <v>52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168</v>
      </c>
      <c r="B36" s="121">
        <v>0</v>
      </c>
      <c r="C36" s="102">
        <f t="shared" ref="C36:C48" si="2">IF(B$19=0,0,B36/B$19)</f>
        <v>0</v>
      </c>
      <c r="E36" s="29" t="s">
        <v>98</v>
      </c>
      <c r="F36" s="26" t="s">
        <v>53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164</v>
      </c>
      <c r="B37" s="14">
        <v>1</v>
      </c>
      <c r="C37" s="8">
        <f t="shared" si="2"/>
        <v>1</v>
      </c>
      <c r="E37" s="29" t="s">
        <v>99</v>
      </c>
      <c r="F37" s="26" t="s">
        <v>54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165</v>
      </c>
      <c r="B38" s="122">
        <v>0</v>
      </c>
      <c r="C38" s="8">
        <f t="shared" si="2"/>
        <v>0</v>
      </c>
      <c r="E38" s="29" t="s">
        <v>100</v>
      </c>
      <c r="F38" s="26" t="s">
        <v>55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166</v>
      </c>
      <c r="B39" s="122">
        <v>0</v>
      </c>
      <c r="C39" s="8">
        <f t="shared" si="2"/>
        <v>0</v>
      </c>
      <c r="E39" s="29" t="s">
        <v>101</v>
      </c>
      <c r="F39" s="26" t="s">
        <v>56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167</v>
      </c>
      <c r="B40" s="122">
        <v>0</v>
      </c>
      <c r="C40" s="8">
        <f t="shared" si="2"/>
        <v>0</v>
      </c>
      <c r="E40" s="29" t="s">
        <v>102</v>
      </c>
      <c r="F40" s="26" t="s">
        <v>57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169</v>
      </c>
      <c r="B41" s="122">
        <v>0</v>
      </c>
      <c r="C41" s="8">
        <f t="shared" si="2"/>
        <v>0</v>
      </c>
      <c r="E41" s="29" t="s">
        <v>103</v>
      </c>
      <c r="F41" s="26" t="s">
        <v>58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170</v>
      </c>
      <c r="B42" s="122">
        <v>0</v>
      </c>
      <c r="C42" s="8">
        <f t="shared" si="2"/>
        <v>0</v>
      </c>
      <c r="E42" s="29" t="s">
        <v>104</v>
      </c>
      <c r="F42" s="26" t="s">
        <v>59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171</v>
      </c>
      <c r="B43" s="122">
        <v>0</v>
      </c>
      <c r="C43" s="8">
        <f t="shared" si="2"/>
        <v>0</v>
      </c>
      <c r="E43" s="29" t="s">
        <v>105</v>
      </c>
      <c r="F43" s="26" t="s">
        <v>112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172</v>
      </c>
      <c r="B44" s="122">
        <v>0</v>
      </c>
      <c r="C44" s="8">
        <f t="shared" si="2"/>
        <v>0</v>
      </c>
      <c r="E44" s="29" t="s">
        <v>106</v>
      </c>
      <c r="F44" s="26" t="s">
        <v>113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173</v>
      </c>
      <c r="B45" s="122">
        <v>0</v>
      </c>
      <c r="C45" s="8">
        <f t="shared" si="2"/>
        <v>0</v>
      </c>
      <c r="E45" s="29" t="s">
        <v>107</v>
      </c>
      <c r="F45" s="26" t="s">
        <v>114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174</v>
      </c>
      <c r="B46" s="122">
        <v>0</v>
      </c>
      <c r="C46" s="8">
        <f t="shared" si="2"/>
        <v>0</v>
      </c>
      <c r="E46" s="29" t="s">
        <v>108</v>
      </c>
      <c r="F46" s="26" t="s">
        <v>60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175</v>
      </c>
      <c r="B47" s="122">
        <v>0</v>
      </c>
      <c r="C47" s="8">
        <f t="shared" si="2"/>
        <v>0</v>
      </c>
      <c r="E47" s="29" t="s">
        <v>109</v>
      </c>
      <c r="F47" s="26" t="s">
        <v>61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176</v>
      </c>
      <c r="B48" s="101">
        <v>0</v>
      </c>
      <c r="C48" s="11">
        <f t="shared" si="2"/>
        <v>0</v>
      </c>
      <c r="E48" s="29" t="s">
        <v>110</v>
      </c>
      <c r="F48" s="26" t="s">
        <v>62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111</v>
      </c>
      <c r="F49" s="26" t="s">
        <v>63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153</v>
      </c>
      <c r="F50" s="26" t="s">
        <v>154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157</v>
      </c>
      <c r="F51" s="96" t="s">
        <v>158</v>
      </c>
      <c r="G51" s="15">
        <v>0</v>
      </c>
      <c r="H51" s="97">
        <f>IF(B$19=0,0,G51/B$19)</f>
        <v>0</v>
      </c>
      <c r="I51" s="98">
        <v>3</v>
      </c>
    </row>
    <row r="52" spans="5:9" x14ac:dyDescent="0.45">
      <c r="E52" s="30" t="s">
        <v>159</v>
      </c>
      <c r="F52" s="27" t="s">
        <v>160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6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B3AFC-3CDA-470A-9EF4-0EDD223D33CA}">
  <sheetPr codeName="Sheet1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190</v>
      </c>
      <c r="C1" s="130"/>
      <c r="E1" s="108" t="s">
        <v>152</v>
      </c>
      <c r="F1" s="120" t="s">
        <v>115</v>
      </c>
      <c r="G1" s="119" t="s">
        <v>116</v>
      </c>
      <c r="H1" s="90" t="s">
        <v>117</v>
      </c>
      <c r="I1" s="120" t="s">
        <v>143</v>
      </c>
      <c r="K1" s="4" t="s">
        <v>19</v>
      </c>
      <c r="L1" s="120" t="s">
        <v>120</v>
      </c>
      <c r="M1" s="109"/>
      <c r="N1" s="76" t="s">
        <v>132</v>
      </c>
      <c r="O1" s="4" t="s">
        <v>133</v>
      </c>
      <c r="P1" s="110" t="s">
        <v>116</v>
      </c>
      <c r="Q1" s="66" t="s">
        <v>145</v>
      </c>
    </row>
    <row r="2" spans="1:17" x14ac:dyDescent="0.45">
      <c r="A2" s="20" t="s">
        <v>9</v>
      </c>
      <c r="B2" s="131">
        <v>1</v>
      </c>
      <c r="C2" s="132"/>
      <c r="E2" s="28" t="s">
        <v>72</v>
      </c>
      <c r="F2" s="25" t="s">
        <v>27</v>
      </c>
      <c r="G2" s="13">
        <v>5</v>
      </c>
      <c r="H2" s="91">
        <f>IF(B$19=0,0,G2/B$19)</f>
        <v>1</v>
      </c>
      <c r="I2" s="59">
        <v>1</v>
      </c>
      <c r="K2" s="5">
        <v>0</v>
      </c>
      <c r="L2" s="64">
        <v>0</v>
      </c>
      <c r="N2" s="77" t="s">
        <v>126</v>
      </c>
      <c r="O2" s="83">
        <f t="shared" ref="O2:O7" si="0">IF(P2=0,0,Q2/P2)</f>
        <v>-800</v>
      </c>
      <c r="P2" s="80">
        <v>1</v>
      </c>
      <c r="Q2" s="67">
        <v>-800</v>
      </c>
    </row>
    <row r="3" spans="1:17" x14ac:dyDescent="0.45">
      <c r="A3" s="21" t="s">
        <v>8</v>
      </c>
      <c r="B3" s="133">
        <v>8</v>
      </c>
      <c r="C3" s="134"/>
      <c r="E3" s="29" t="s">
        <v>66</v>
      </c>
      <c r="F3" s="26" t="s">
        <v>22</v>
      </c>
      <c r="G3" s="14">
        <v>4</v>
      </c>
      <c r="H3" s="92">
        <f>IF(B$19=0,0,G3/B$19)</f>
        <v>0.8</v>
      </c>
      <c r="I3" s="60">
        <v>1</v>
      </c>
      <c r="K3" s="7">
        <v>1</v>
      </c>
      <c r="L3" s="65">
        <v>39.200000000000003</v>
      </c>
      <c r="N3" s="78" t="s">
        <v>127</v>
      </c>
      <c r="O3" s="84">
        <f t="shared" si="0"/>
        <v>8000</v>
      </c>
      <c r="P3" s="81">
        <v>1</v>
      </c>
      <c r="Q3" s="68">
        <v>8000</v>
      </c>
    </row>
    <row r="4" spans="1:17" x14ac:dyDescent="0.45">
      <c r="A4" s="21" t="s">
        <v>6</v>
      </c>
      <c r="B4" s="135">
        <v>39.200000000000003</v>
      </c>
      <c r="C4" s="136"/>
      <c r="E4" s="29" t="s">
        <v>86</v>
      </c>
      <c r="F4" s="26" t="s">
        <v>41</v>
      </c>
      <c r="G4" s="14">
        <v>2</v>
      </c>
      <c r="H4" s="92">
        <f>IF(B$19=0,0,G4/B$19)</f>
        <v>0.4</v>
      </c>
      <c r="I4" s="60">
        <v>3</v>
      </c>
      <c r="N4" s="78" t="s">
        <v>128</v>
      </c>
      <c r="O4" s="84">
        <f t="shared" si="0"/>
        <v>16900</v>
      </c>
      <c r="P4" s="81">
        <v>1</v>
      </c>
      <c r="Q4" s="68">
        <v>16900</v>
      </c>
    </row>
    <row r="5" spans="1:17" x14ac:dyDescent="0.45">
      <c r="A5" s="21" t="s">
        <v>7</v>
      </c>
      <c r="B5" s="123">
        <f>IF(B$2=0,0,B$4/B$2)</f>
        <v>39.200000000000003</v>
      </c>
      <c r="C5" s="124"/>
      <c r="E5" s="29" t="s">
        <v>157</v>
      </c>
      <c r="F5" s="26" t="s">
        <v>158</v>
      </c>
      <c r="G5" s="14">
        <v>2</v>
      </c>
      <c r="H5" s="92">
        <f>IF(B$19=0,0,G5/B$19)</f>
        <v>0.4</v>
      </c>
      <c r="I5" s="60">
        <v>1</v>
      </c>
      <c r="N5" s="78" t="s">
        <v>129</v>
      </c>
      <c r="O5" s="84">
        <f t="shared" si="0"/>
        <v>2000</v>
      </c>
      <c r="P5" s="81">
        <v>1</v>
      </c>
      <c r="Q5" s="68">
        <v>2000</v>
      </c>
    </row>
    <row r="6" spans="1:17" x14ac:dyDescent="0.45">
      <c r="A6" s="21" t="s">
        <v>1</v>
      </c>
      <c r="B6" s="137">
        <f>IF(B$2=0,0,(B$7*1+B$8*2+B$9*3)/B$2)</f>
        <v>1</v>
      </c>
      <c r="C6" s="138"/>
      <c r="E6" s="29" t="s">
        <v>89</v>
      </c>
      <c r="F6" s="26" t="s">
        <v>44</v>
      </c>
      <c r="G6" s="14">
        <v>1</v>
      </c>
      <c r="H6" s="92">
        <f>IF(B$19=0,0,G6/B$19)</f>
        <v>0.2</v>
      </c>
      <c r="I6" s="60">
        <v>1</v>
      </c>
      <c r="N6" s="78" t="s">
        <v>130</v>
      </c>
      <c r="O6" s="84">
        <f t="shared" si="0"/>
        <v>3600</v>
      </c>
      <c r="P6" s="81">
        <v>1</v>
      </c>
      <c r="Q6" s="68">
        <v>3600</v>
      </c>
    </row>
    <row r="7" spans="1:17" x14ac:dyDescent="0.45">
      <c r="A7" s="21" t="s">
        <v>2</v>
      </c>
      <c r="B7" s="14">
        <v>1</v>
      </c>
      <c r="C7" s="8">
        <f t="shared" ref="C7:C14" si="1">IF(B$2=0,0,B7/B$2)</f>
        <v>1</v>
      </c>
      <c r="E7" s="29" t="s">
        <v>64</v>
      </c>
      <c r="F7" s="26" t="s">
        <v>20</v>
      </c>
      <c r="G7" s="14">
        <v>0</v>
      </c>
      <c r="H7" s="92">
        <f>IF(B$19=0,0,G7/B$19)</f>
        <v>0</v>
      </c>
      <c r="I7" s="60">
        <v>4</v>
      </c>
      <c r="N7" s="79" t="s">
        <v>131</v>
      </c>
      <c r="O7" s="85">
        <f t="shared" si="0"/>
        <v>-500</v>
      </c>
      <c r="P7" s="82">
        <v>1</v>
      </c>
      <c r="Q7" s="69">
        <v>-500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65</v>
      </c>
      <c r="F8" s="26" t="s">
        <v>21</v>
      </c>
      <c r="G8" s="14">
        <v>0</v>
      </c>
      <c r="H8" s="92">
        <f>IF(B$19=0,0,G8/B$19)</f>
        <v>0</v>
      </c>
      <c r="I8" s="60">
        <v>3</v>
      </c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1"/>
        <v>0</v>
      </c>
      <c r="E9" s="29" t="s">
        <v>67</v>
      </c>
      <c r="F9" s="26" t="s">
        <v>23</v>
      </c>
      <c r="G9" s="14">
        <v>0</v>
      </c>
      <c r="H9" s="92">
        <f>IF(B$19=0,0,G9/B$19)</f>
        <v>0</v>
      </c>
      <c r="I9" s="60">
        <v>1</v>
      </c>
      <c r="N9" s="76" t="s">
        <v>148</v>
      </c>
      <c r="O9" s="4" t="s">
        <v>120</v>
      </c>
      <c r="P9" s="110" t="s">
        <v>116</v>
      </c>
      <c r="Q9" s="70" t="s">
        <v>145</v>
      </c>
    </row>
    <row r="10" spans="1:17" x14ac:dyDescent="0.45">
      <c r="A10" s="22" t="s">
        <v>181</v>
      </c>
      <c r="B10" s="113">
        <f>IF(B7=0,0,C10/B7)</f>
        <v>39.200000000000003</v>
      </c>
      <c r="C10" s="114">
        <v>39.200000000000003</v>
      </c>
      <c r="E10" s="29" t="s">
        <v>68</v>
      </c>
      <c r="F10" s="26" t="s">
        <v>12</v>
      </c>
      <c r="G10" s="14">
        <v>0</v>
      </c>
      <c r="H10" s="92">
        <f>IF(B$19=0,0,G10/B$19)</f>
        <v>0</v>
      </c>
      <c r="I10" s="60">
        <v>3</v>
      </c>
      <c r="N10" s="77" t="s">
        <v>149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182</v>
      </c>
      <c r="B11" s="113">
        <f>IF(B8=0,0,C11/B8)</f>
        <v>0</v>
      </c>
      <c r="C11" s="114">
        <v>0</v>
      </c>
      <c r="E11" s="29" t="s">
        <v>69</v>
      </c>
      <c r="F11" s="26" t="s">
        <v>24</v>
      </c>
      <c r="G11" s="14">
        <v>0</v>
      </c>
      <c r="H11" s="92">
        <f>IF(B$19=0,0,G11/B$19)</f>
        <v>0</v>
      </c>
      <c r="I11" s="60">
        <v>1</v>
      </c>
      <c r="N11" s="78" t="s">
        <v>150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183</v>
      </c>
      <c r="B12" s="113">
        <f>IF(B9=0,0,C12/B9)</f>
        <v>0</v>
      </c>
      <c r="C12" s="114">
        <v>0</v>
      </c>
      <c r="E12" s="29" t="s">
        <v>70</v>
      </c>
      <c r="F12" s="26" t="s">
        <v>25</v>
      </c>
      <c r="G12" s="14">
        <v>0</v>
      </c>
      <c r="H12" s="92">
        <f>IF(B$19=0,0,G12/B$19)</f>
        <v>0</v>
      </c>
      <c r="I12" s="60">
        <v>1</v>
      </c>
      <c r="N12" s="79" t="s">
        <v>151</v>
      </c>
      <c r="O12" s="88">
        <f>IF(P12=0,0,Q12/P12)</f>
        <v>39.200000000000003</v>
      </c>
      <c r="P12" s="82">
        <v>1</v>
      </c>
      <c r="Q12" s="73">
        <v>39.200000000000003</v>
      </c>
    </row>
    <row r="13" spans="1:17" x14ac:dyDescent="0.45">
      <c r="A13" s="22" t="s">
        <v>184</v>
      </c>
      <c r="B13" s="123">
        <f>AVERAGE(B10:B12)</f>
        <v>13.066666666666668</v>
      </c>
      <c r="C13" s="124"/>
      <c r="E13" s="29" t="s">
        <v>71</v>
      </c>
      <c r="F13" s="26" t="s">
        <v>26</v>
      </c>
      <c r="G13" s="14">
        <v>0</v>
      </c>
      <c r="H13" s="92">
        <f>IF(B$19=0,0,G13/B$19)</f>
        <v>0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73</v>
      </c>
      <c r="F14" s="26" t="s">
        <v>28</v>
      </c>
      <c r="G14" s="14">
        <v>0</v>
      </c>
      <c r="H14" s="92">
        <f>IF(B$19=0,0,G14/B$19)</f>
        <v>0</v>
      </c>
      <c r="I14" s="60">
        <v>1</v>
      </c>
      <c r="N14" s="76" t="s">
        <v>144</v>
      </c>
      <c r="O14" s="4" t="s">
        <v>120</v>
      </c>
      <c r="P14" s="110" t="s">
        <v>116</v>
      </c>
      <c r="Q14" s="70" t="s">
        <v>145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74</v>
      </c>
      <c r="F15" s="26" t="s">
        <v>29</v>
      </c>
      <c r="G15" s="14">
        <v>0</v>
      </c>
      <c r="H15" s="92">
        <f>IF(B$19=0,0,G15/B$19)</f>
        <v>0</v>
      </c>
      <c r="I15" s="60">
        <v>1</v>
      </c>
      <c r="N15" s="77" t="s">
        <v>189</v>
      </c>
      <c r="O15" s="86">
        <f>IF(P15=0,0,Q15/P15)</f>
        <v>75.5</v>
      </c>
      <c r="P15" s="80">
        <v>1</v>
      </c>
      <c r="Q15" s="71">
        <v>75.5</v>
      </c>
    </row>
    <row r="16" spans="1:17" x14ac:dyDescent="0.45">
      <c r="A16" s="21" t="s">
        <v>118</v>
      </c>
      <c r="B16" s="14">
        <v>3</v>
      </c>
      <c r="C16" s="8">
        <f>IF(B$3=0,0,B16/B$3)</f>
        <v>0.375</v>
      </c>
      <c r="E16" s="29" t="s">
        <v>75</v>
      </c>
      <c r="F16" s="26" t="s">
        <v>30</v>
      </c>
      <c r="G16" s="14">
        <v>0</v>
      </c>
      <c r="H16" s="92">
        <f>IF(B$19=0,0,G16/B$19)</f>
        <v>0</v>
      </c>
      <c r="I16" s="60">
        <v>1</v>
      </c>
      <c r="N16" s="78" t="s">
        <v>191</v>
      </c>
      <c r="O16" s="87">
        <f>IF(P16=0,0,Q16/P16)</f>
        <v>42.1</v>
      </c>
      <c r="P16" s="81">
        <v>1</v>
      </c>
      <c r="Q16" s="72">
        <v>42.1</v>
      </c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76</v>
      </c>
      <c r="F17" s="26" t="s">
        <v>31</v>
      </c>
      <c r="G17" s="14">
        <v>0</v>
      </c>
      <c r="H17" s="92">
        <f>IF(B$19=0,0,G17/B$19)</f>
        <v>0</v>
      </c>
      <c r="I17" s="60">
        <v>1</v>
      </c>
    </row>
    <row r="18" spans="1:9" x14ac:dyDescent="0.45">
      <c r="A18" s="20" t="s">
        <v>124</v>
      </c>
      <c r="B18" s="13">
        <f>B24</f>
        <v>3</v>
      </c>
      <c r="C18" s="6">
        <f>IF(B$16=0,0,B18/B$16)</f>
        <v>1</v>
      </c>
      <c r="E18" s="29" t="s">
        <v>77</v>
      </c>
      <c r="F18" s="26" t="s">
        <v>32</v>
      </c>
      <c r="G18" s="14">
        <v>0</v>
      </c>
      <c r="H18" s="92">
        <f>IF(B$19=0,0,G18/B$19)</f>
        <v>0</v>
      </c>
      <c r="I18" s="60">
        <v>1</v>
      </c>
    </row>
    <row r="19" spans="1:9" x14ac:dyDescent="0.45">
      <c r="A19" s="20" t="s">
        <v>10</v>
      </c>
      <c r="B19" s="13">
        <f>B22+B21</f>
        <v>5</v>
      </c>
      <c r="C19" s="6">
        <f>IF(B$3=0,0,B19/B$3)</f>
        <v>0.625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1</v>
      </c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1</v>
      </c>
    </row>
    <row r="21" spans="1:9" x14ac:dyDescent="0.45">
      <c r="A21" s="21" t="s">
        <v>12</v>
      </c>
      <c r="B21" s="14">
        <v>1</v>
      </c>
      <c r="C21" s="8">
        <f>IF(B$19=0,0,B21/B$19)</f>
        <v>0.2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9" x14ac:dyDescent="0.45">
      <c r="A22" s="21" t="s">
        <v>11</v>
      </c>
      <c r="B22" s="14">
        <v>4</v>
      </c>
      <c r="C22" s="8">
        <f>IF(B$19=0,0,B22/B$19)</f>
        <v>0.8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1</v>
      </c>
    </row>
    <row r="23" spans="1:9" x14ac:dyDescent="0.45">
      <c r="A23" s="21" t="s">
        <v>180</v>
      </c>
      <c r="B23" s="14">
        <v>0</v>
      </c>
      <c r="C23" s="8">
        <f>IF(B$19=0,0,B23/B$19)</f>
        <v>0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9" x14ac:dyDescent="0.45">
      <c r="A24" s="21" t="s">
        <v>178</v>
      </c>
      <c r="B24" s="14">
        <v>3</v>
      </c>
      <c r="C24" s="8">
        <f>IF(B$19=0,0,B24/B$19)</f>
        <v>0.6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1</v>
      </c>
    </row>
    <row r="25" spans="1:9" x14ac:dyDescent="0.45">
      <c r="A25" s="21" t="s">
        <v>179</v>
      </c>
      <c r="B25" s="14">
        <v>2</v>
      </c>
      <c r="C25" s="8">
        <f>IF(B$19=0,0,B25/B$19)</f>
        <v>0.4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1</v>
      </c>
    </row>
    <row r="26" spans="1:9" x14ac:dyDescent="0.45">
      <c r="A26" s="21" t="s">
        <v>5</v>
      </c>
      <c r="B26" s="18">
        <f>IF(B$19=0,0,C26/B$19)</f>
        <v>6500</v>
      </c>
      <c r="C26" s="10">
        <v>32500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1</v>
      </c>
    </row>
    <row r="27" spans="1:9" x14ac:dyDescent="0.45">
      <c r="A27" s="22" t="s">
        <v>162</v>
      </c>
      <c r="B27" s="99">
        <f>IF($B$19-B$18=0,0,C27/($B$19-B$18))</f>
        <v>4800</v>
      </c>
      <c r="C27" s="100">
        <v>9600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1</v>
      </c>
    </row>
    <row r="28" spans="1:9" x14ac:dyDescent="0.45">
      <c r="A28" s="22" t="s">
        <v>163</v>
      </c>
      <c r="B28" s="99">
        <f>IF(B$18=0,0,C28/B$18)</f>
        <v>7633.333333333333</v>
      </c>
      <c r="C28" s="100">
        <v>22900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9" x14ac:dyDescent="0.45">
      <c r="A29" s="22" t="s">
        <v>161</v>
      </c>
      <c r="B29" s="99">
        <f>IF(B$20=0,0,C29/B$20)</f>
        <v>0</v>
      </c>
      <c r="C29" s="100">
        <v>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155</v>
      </c>
      <c r="B30" s="14">
        <v>3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</v>
      </c>
    </row>
    <row r="31" spans="1:9" x14ac:dyDescent="0.45">
      <c r="A31" s="21" t="s">
        <v>156</v>
      </c>
      <c r="B31" s="14">
        <v>8</v>
      </c>
      <c r="C31" s="94">
        <v>8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1</v>
      </c>
    </row>
    <row r="32" spans="1:9" x14ac:dyDescent="0.45">
      <c r="A32" s="56" t="s">
        <v>134</v>
      </c>
      <c r="B32" s="125">
        <v>3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177</v>
      </c>
      <c r="B33" s="127">
        <v>64200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135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168</v>
      </c>
      <c r="B36" s="121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164</v>
      </c>
      <c r="B37" s="14">
        <v>3</v>
      </c>
      <c r="C37" s="8">
        <f t="shared" si="2"/>
        <v>0.6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165</v>
      </c>
      <c r="B38" s="122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166</v>
      </c>
      <c r="B39" s="122">
        <v>0</v>
      </c>
      <c r="C39" s="8">
        <f t="shared" si="2"/>
        <v>0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167</v>
      </c>
      <c r="B40" s="122">
        <v>1</v>
      </c>
      <c r="C40" s="8">
        <f t="shared" si="2"/>
        <v>0.2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169</v>
      </c>
      <c r="B41" s="122">
        <v>1</v>
      </c>
      <c r="C41" s="8">
        <f t="shared" si="2"/>
        <v>0.2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170</v>
      </c>
      <c r="B42" s="122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171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172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173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174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175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176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153</v>
      </c>
      <c r="F51" s="96" t="s">
        <v>154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159</v>
      </c>
      <c r="F52" s="27" t="s">
        <v>160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6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4400-DC6A-4F3D-82F8-3A9B45FE0324}">
  <sheetPr codeName="Sheet12"/>
  <dimension ref="A1:Q4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190</v>
      </c>
      <c r="B1" s="36" t="s">
        <v>190</v>
      </c>
      <c r="C1" s="36" t="s">
        <v>190</v>
      </c>
      <c r="D1" s="37" t="s">
        <v>190</v>
      </c>
      <c r="E1" s="36" t="s">
        <v>190</v>
      </c>
      <c r="F1" s="36" t="s">
        <v>190</v>
      </c>
      <c r="G1" s="36" t="s">
        <v>190</v>
      </c>
      <c r="H1" s="36" t="s">
        <v>190</v>
      </c>
      <c r="I1" s="36" t="s">
        <v>190</v>
      </c>
      <c r="J1" s="36" t="s">
        <v>190</v>
      </c>
      <c r="K1" s="36" t="s">
        <v>190</v>
      </c>
      <c r="L1" s="36" t="s">
        <v>190</v>
      </c>
      <c r="M1" s="36" t="s">
        <v>190</v>
      </c>
      <c r="N1" s="36" t="s">
        <v>190</v>
      </c>
      <c r="O1" s="36" t="s">
        <v>190</v>
      </c>
      <c r="P1" s="36" t="s">
        <v>190</v>
      </c>
      <c r="Q1" s="36" t="s">
        <v>190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147</v>
      </c>
      <c r="G2" s="36" t="s">
        <v>138</v>
      </c>
      <c r="H2" s="36" t="s">
        <v>137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139</v>
      </c>
      <c r="P2" s="36" t="s">
        <v>136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39.200000000000003</v>
      </c>
      <c r="C4" s="32">
        <v>39.200000000000003</v>
      </c>
      <c r="D4" s="37">
        <v>1</v>
      </c>
      <c r="E4" s="33">
        <v>1</v>
      </c>
      <c r="F4" s="33">
        <v>0</v>
      </c>
      <c r="G4" s="33">
        <v>0.625</v>
      </c>
      <c r="H4" s="33">
        <v>0</v>
      </c>
      <c r="I4" s="34">
        <v>6500</v>
      </c>
      <c r="J4" s="34">
        <v>0</v>
      </c>
      <c r="K4" s="33">
        <v>0</v>
      </c>
      <c r="L4" s="33">
        <v>0</v>
      </c>
      <c r="M4" s="33">
        <v>0.375</v>
      </c>
      <c r="N4" s="33">
        <v>0</v>
      </c>
      <c r="O4" s="33">
        <v>1</v>
      </c>
      <c r="P4" s="33">
        <v>0.2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0DBC6-13D9-4895-96F4-A8439FE9B7C6}">
  <sheetPr codeName="Sheet10"/>
  <dimension ref="A1:Q4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189</v>
      </c>
      <c r="B1" s="36" t="s">
        <v>189</v>
      </c>
      <c r="C1" s="36" t="s">
        <v>189</v>
      </c>
      <c r="D1" s="37" t="s">
        <v>189</v>
      </c>
      <c r="E1" s="36" t="s">
        <v>189</v>
      </c>
      <c r="F1" s="36" t="s">
        <v>189</v>
      </c>
      <c r="G1" s="36" t="s">
        <v>189</v>
      </c>
      <c r="H1" s="36" t="s">
        <v>189</v>
      </c>
      <c r="I1" s="36" t="s">
        <v>189</v>
      </c>
      <c r="J1" s="36" t="s">
        <v>189</v>
      </c>
      <c r="K1" s="36" t="s">
        <v>189</v>
      </c>
      <c r="L1" s="36" t="s">
        <v>189</v>
      </c>
      <c r="M1" s="36" t="s">
        <v>189</v>
      </c>
      <c r="N1" s="36" t="s">
        <v>189</v>
      </c>
      <c r="O1" s="36" t="s">
        <v>189</v>
      </c>
      <c r="P1" s="36" t="s">
        <v>189</v>
      </c>
      <c r="Q1" s="36" t="s">
        <v>189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147</v>
      </c>
      <c r="G2" s="36" t="s">
        <v>138</v>
      </c>
      <c r="H2" s="36" t="s">
        <v>137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139</v>
      </c>
      <c r="P2" s="36" t="s">
        <v>136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-36.299999999999997</v>
      </c>
      <c r="C4" s="32">
        <v>-36.299999999999997</v>
      </c>
      <c r="D4" s="37">
        <v>3</v>
      </c>
      <c r="E4" s="33">
        <v>0</v>
      </c>
      <c r="F4" s="33">
        <v>1</v>
      </c>
      <c r="G4" s="33">
        <v>0.125</v>
      </c>
      <c r="H4" s="33">
        <v>0.375</v>
      </c>
      <c r="I4" s="34">
        <v>2100</v>
      </c>
      <c r="J4" s="34">
        <v>-4166.666666666667</v>
      </c>
      <c r="K4" s="33">
        <v>0</v>
      </c>
      <c r="L4" s="33">
        <v>0.375</v>
      </c>
      <c r="M4" s="33">
        <v>0</v>
      </c>
      <c r="N4" s="33">
        <v>0.33333333333333331</v>
      </c>
      <c r="O4" s="33">
        <v>0</v>
      </c>
      <c r="P4" s="33">
        <v>1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1063F-F719-4293-87CB-A1649D713339}">
  <sheetPr codeName="Sheet8"/>
  <dimension ref="A1:Q4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191</v>
      </c>
      <c r="B1" s="36" t="s">
        <v>191</v>
      </c>
      <c r="C1" s="36" t="s">
        <v>191</v>
      </c>
      <c r="D1" s="37" t="s">
        <v>191</v>
      </c>
      <c r="E1" s="36" t="s">
        <v>191</v>
      </c>
      <c r="F1" s="36" t="s">
        <v>191</v>
      </c>
      <c r="G1" s="36" t="s">
        <v>191</v>
      </c>
      <c r="H1" s="36" t="s">
        <v>191</v>
      </c>
      <c r="I1" s="36" t="s">
        <v>191</v>
      </c>
      <c r="J1" s="36" t="s">
        <v>191</v>
      </c>
      <c r="K1" s="36" t="s">
        <v>191</v>
      </c>
      <c r="L1" s="36" t="s">
        <v>191</v>
      </c>
      <c r="M1" s="36" t="s">
        <v>191</v>
      </c>
      <c r="N1" s="36" t="s">
        <v>191</v>
      </c>
      <c r="O1" s="36" t="s">
        <v>191</v>
      </c>
      <c r="P1" s="36" t="s">
        <v>191</v>
      </c>
      <c r="Q1" s="36" t="s">
        <v>191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147</v>
      </c>
      <c r="G2" s="36" t="s">
        <v>138</v>
      </c>
      <c r="H2" s="36" t="s">
        <v>137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139</v>
      </c>
      <c r="P2" s="36" t="s">
        <v>136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-2.9</v>
      </c>
      <c r="C4" s="32">
        <v>-2.9</v>
      </c>
      <c r="D4" s="37">
        <v>2</v>
      </c>
      <c r="E4" s="33">
        <v>0</v>
      </c>
      <c r="F4" s="33">
        <v>0</v>
      </c>
      <c r="G4" s="33">
        <v>0.125</v>
      </c>
      <c r="H4" s="33">
        <v>0.125</v>
      </c>
      <c r="I4" s="34">
        <v>6400</v>
      </c>
      <c r="J4" s="34">
        <v>-2000</v>
      </c>
      <c r="K4" s="33">
        <v>0</v>
      </c>
      <c r="L4" s="33">
        <v>0.5</v>
      </c>
      <c r="M4" s="33">
        <v>0.25</v>
      </c>
      <c r="N4" s="33">
        <v>0.25</v>
      </c>
      <c r="O4" s="33">
        <v>0</v>
      </c>
      <c r="P4" s="33">
        <v>1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E89FD-F9A9-49F5-B69F-B87EAA01F57B}">
  <sheetPr codeName="Sheet6"/>
  <dimension ref="A1:Q4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188</v>
      </c>
      <c r="B1" s="36" t="s">
        <v>188</v>
      </c>
      <c r="C1" s="36" t="s">
        <v>188</v>
      </c>
      <c r="D1" s="37" t="s">
        <v>188</v>
      </c>
      <c r="E1" s="36" t="s">
        <v>188</v>
      </c>
      <c r="F1" s="36" t="s">
        <v>188</v>
      </c>
      <c r="G1" s="36" t="s">
        <v>188</v>
      </c>
      <c r="H1" s="36" t="s">
        <v>188</v>
      </c>
      <c r="I1" s="36" t="s">
        <v>188</v>
      </c>
      <c r="J1" s="36" t="s">
        <v>188</v>
      </c>
      <c r="K1" s="36" t="s">
        <v>188</v>
      </c>
      <c r="L1" s="36" t="s">
        <v>188</v>
      </c>
      <c r="M1" s="36" t="s">
        <v>188</v>
      </c>
      <c r="N1" s="36" t="s">
        <v>188</v>
      </c>
      <c r="O1" s="36" t="s">
        <v>188</v>
      </c>
      <c r="P1" s="36" t="s">
        <v>188</v>
      </c>
      <c r="Q1" s="36" t="s">
        <v>188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147</v>
      </c>
      <c r="G2" s="36" t="s">
        <v>138</v>
      </c>
      <c r="H2" s="36" t="s">
        <v>137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139</v>
      </c>
      <c r="P2" s="36" t="s">
        <v>136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7.1054273576010019E-15</v>
      </c>
      <c r="C4" s="32">
        <v>2.3684757858670005E-15</v>
      </c>
      <c r="D4" s="37">
        <v>2</v>
      </c>
      <c r="E4" s="33">
        <v>0.33333333333333331</v>
      </c>
      <c r="F4" s="33">
        <v>0.33333333333333331</v>
      </c>
      <c r="G4" s="33">
        <v>0.29166666666666669</v>
      </c>
      <c r="H4" s="33">
        <v>0.16666666666666666</v>
      </c>
      <c r="I4" s="34">
        <v>5857.1428571428569</v>
      </c>
      <c r="J4" s="34">
        <v>-3625</v>
      </c>
      <c r="K4" s="33">
        <v>0</v>
      </c>
      <c r="L4" s="33">
        <v>0.29166666666666669</v>
      </c>
      <c r="M4" s="33">
        <v>0.20833333333333334</v>
      </c>
      <c r="N4" s="33">
        <v>0.2857142857142857</v>
      </c>
      <c r="O4" s="33">
        <v>0.6</v>
      </c>
      <c r="P4" s="33">
        <v>0.42857142857142855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13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310</vt:i4>
      </vt:variant>
    </vt:vector>
  </HeadingPairs>
  <TitlesOfParts>
    <vt:vector size="338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ともき</vt:lpstr>
      <vt:lpstr>だいち</vt:lpstr>
      <vt:lpstr>だいち2</vt:lpstr>
      <vt:lpstr>ともき2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ともき!アガリ数</vt:lpstr>
      <vt:lpstr>れんたろう!アガリ数</vt:lpstr>
      <vt:lpstr>全体!アガリ数</vt:lpstr>
      <vt:lpstr>Template1!アガリ率</vt:lpstr>
      <vt:lpstr>だいち!アガリ率</vt:lpstr>
      <vt:lpstr>ともき!アガリ率</vt:lpstr>
      <vt:lpstr>れんたろう!アガリ率</vt:lpstr>
      <vt:lpstr>全体!アガリ率</vt:lpstr>
      <vt:lpstr>Template1!ダマアガリ数</vt:lpstr>
      <vt:lpstr>だいち!ダマアガリ数</vt:lpstr>
      <vt:lpstr>ともき!ダマアガリ数</vt:lpstr>
      <vt:lpstr>れんたろう!ダマアガリ数</vt:lpstr>
      <vt:lpstr>全体!ダマアガリ数</vt:lpstr>
      <vt:lpstr>Template1!ダマアガリ率</vt:lpstr>
      <vt:lpstr>だいち!ダマアガリ率</vt:lpstr>
      <vt:lpstr>ともき!ダマアガリ率</vt:lpstr>
      <vt:lpstr>れんたろう!ダマアガリ率</vt:lpstr>
      <vt:lpstr>全体!ダマアガリ率</vt:lpstr>
      <vt:lpstr>Template1!チョンボ数</vt:lpstr>
      <vt:lpstr>だいち!チョンボ数</vt:lpstr>
      <vt:lpstr>ともき!チョンボ数</vt:lpstr>
      <vt:lpstr>れんたろう!チョンボ数</vt:lpstr>
      <vt:lpstr>全体!チョンボ数</vt:lpstr>
      <vt:lpstr>Template1!チョンボ率</vt:lpstr>
      <vt:lpstr>だいち!チョンボ率</vt:lpstr>
      <vt:lpstr>ともき!チョンボ率</vt:lpstr>
      <vt:lpstr>れんたろう!チョンボ率</vt:lpstr>
      <vt:lpstr>全体!チョンボ率</vt:lpstr>
      <vt:lpstr>Template1!ツモ数</vt:lpstr>
      <vt:lpstr>だいち!ツモ数</vt:lpstr>
      <vt:lpstr>ともき!ツモ数</vt:lpstr>
      <vt:lpstr>れんたろう!ツモ数</vt:lpstr>
      <vt:lpstr>全体!ツモ数</vt:lpstr>
      <vt:lpstr>Template1!ツモ率</vt:lpstr>
      <vt:lpstr>だいち!ツモ率</vt:lpstr>
      <vt:lpstr>ともき!ツモ率</vt:lpstr>
      <vt:lpstr>れんたろう!ツモ率</vt:lpstr>
      <vt:lpstr>全体!ツモ率</vt:lpstr>
      <vt:lpstr>Template1!トップ数</vt:lpstr>
      <vt:lpstr>だいち!トップ数</vt:lpstr>
      <vt:lpstr>ともき!トップ数</vt:lpstr>
      <vt:lpstr>れんたろう!トップ数</vt:lpstr>
      <vt:lpstr>全体!トップ数</vt:lpstr>
      <vt:lpstr>Template1!トップ率</vt:lpstr>
      <vt:lpstr>だいち!トップ率</vt:lpstr>
      <vt:lpstr>ともき!トップ率</vt:lpstr>
      <vt:lpstr>れんたろう!トップ率</vt:lpstr>
      <vt:lpstr>全体!トップ率</vt:lpstr>
      <vt:lpstr>だいち!バランス</vt:lpstr>
      <vt:lpstr>ともき!バランス</vt:lpstr>
      <vt:lpstr>れんたろう!バランス</vt:lpstr>
      <vt:lpstr>全体!バランス</vt:lpstr>
      <vt:lpstr>バランス</vt:lpstr>
      <vt:lpstr>Template1!ふっとび数</vt:lpstr>
      <vt:lpstr>だいち!ふっとび数</vt:lpstr>
      <vt:lpstr>ともき!ふっとび数</vt:lpstr>
      <vt:lpstr>れんたろう!ふっとび数</vt:lpstr>
      <vt:lpstr>全体!ふっとび数</vt:lpstr>
      <vt:lpstr>Template1!ふっとび率</vt:lpstr>
      <vt:lpstr>だいち!ふっとび率</vt:lpstr>
      <vt:lpstr>ともき!ふっとび率</vt:lpstr>
      <vt:lpstr>れんたろう!ふっとび率</vt:lpstr>
      <vt:lpstr>全体!ふっとび率</vt:lpstr>
      <vt:lpstr>Template1!ラス数</vt:lpstr>
      <vt:lpstr>だいち!ラス数</vt:lpstr>
      <vt:lpstr>ともき!ラス数</vt:lpstr>
      <vt:lpstr>れんたろう!ラス数</vt:lpstr>
      <vt:lpstr>全体!ラス数</vt:lpstr>
      <vt:lpstr>Template1!ラス率</vt:lpstr>
      <vt:lpstr>だいち!ラス率</vt:lpstr>
      <vt:lpstr>ともき!ラス率</vt:lpstr>
      <vt:lpstr>れんたろう!ラス率</vt:lpstr>
      <vt:lpstr>全体!ラス率</vt:lpstr>
      <vt:lpstr>Template1!リーチアガリ数</vt:lpstr>
      <vt:lpstr>だいち!リーチアガリ数</vt:lpstr>
      <vt:lpstr>ともき!リーチアガリ数</vt:lpstr>
      <vt:lpstr>れんたろう!リーチアガリ数</vt:lpstr>
      <vt:lpstr>全体!リーチアガリ数</vt:lpstr>
      <vt:lpstr>Template1!リーチアガリ率</vt:lpstr>
      <vt:lpstr>だいち!リーチアガリ率</vt:lpstr>
      <vt:lpstr>ともき!リーチアガリ率</vt:lpstr>
      <vt:lpstr>れんたろう!リーチアガリ率</vt:lpstr>
      <vt:lpstr>全体!リーチアガリ率</vt:lpstr>
      <vt:lpstr>Template1!リーチ数</vt:lpstr>
      <vt:lpstr>だいち!リーチ数</vt:lpstr>
      <vt:lpstr>ともき!リーチ数</vt:lpstr>
      <vt:lpstr>れんたろう!リーチ数</vt:lpstr>
      <vt:lpstr>全体!リーチ数</vt:lpstr>
      <vt:lpstr>Template1!リーチ成功数</vt:lpstr>
      <vt:lpstr>だいち!リーチ成功数</vt:lpstr>
      <vt:lpstr>ともき!リーチ成功数</vt:lpstr>
      <vt:lpstr>れんたろう!リーチ成功数</vt:lpstr>
      <vt:lpstr>全体!リーチ成功数</vt:lpstr>
      <vt:lpstr>Template1!リーチ成功率</vt:lpstr>
      <vt:lpstr>だいち!リーチ成功率</vt:lpstr>
      <vt:lpstr>ともき!リーチ成功率</vt:lpstr>
      <vt:lpstr>れんたろう!リーチ成功率</vt:lpstr>
      <vt:lpstr>全体!リーチ成功率</vt:lpstr>
      <vt:lpstr>Template1!リーチ率</vt:lpstr>
      <vt:lpstr>だいち!リーチ率</vt:lpstr>
      <vt:lpstr>ともき!リーチ率</vt:lpstr>
      <vt:lpstr>れんたろう!リーチ率</vt:lpstr>
      <vt:lpstr>全体!リーチ率</vt:lpstr>
      <vt:lpstr>Template1!ロン数</vt:lpstr>
      <vt:lpstr>だいち!ロン数</vt:lpstr>
      <vt:lpstr>ともき!ロン数</vt:lpstr>
      <vt:lpstr>れんたろう!ロン数</vt:lpstr>
      <vt:lpstr>全体!ロン数</vt:lpstr>
      <vt:lpstr>Template1!ロン率</vt:lpstr>
      <vt:lpstr>だいち!ロン率</vt:lpstr>
      <vt:lpstr>ともき!ロン率</vt:lpstr>
      <vt:lpstr>れんたろう!ロン率</vt:lpstr>
      <vt:lpstr>全体!ロン率</vt:lpstr>
      <vt:lpstr>だいち!一位スコア</vt:lpstr>
      <vt:lpstr>ともき!一位スコア</vt:lpstr>
      <vt:lpstr>れんたろう!一位スコア</vt:lpstr>
      <vt:lpstr>全体!一位スコア</vt:lpstr>
      <vt:lpstr>一位スコア</vt:lpstr>
      <vt:lpstr>だいち!一位通算スコア</vt:lpstr>
      <vt:lpstr>ともき!一位通算スコア</vt:lpstr>
      <vt:lpstr>れんたろう!一位通算スコア</vt:lpstr>
      <vt:lpstr>全体!一位通算スコア</vt:lpstr>
      <vt:lpstr>一位通算スコア</vt:lpstr>
      <vt:lpstr>だいち!一翻数</vt:lpstr>
      <vt:lpstr>ともき!一翻数</vt:lpstr>
      <vt:lpstr>れんたろう!一翻数</vt:lpstr>
      <vt:lpstr>全体!一翻数</vt:lpstr>
      <vt:lpstr>一翻数</vt:lpstr>
      <vt:lpstr>だいち!一翻率</vt:lpstr>
      <vt:lpstr>ともき!一翻率</vt:lpstr>
      <vt:lpstr>れんたろう!一翻率</vt:lpstr>
      <vt:lpstr>全体!一翻率</vt:lpstr>
      <vt:lpstr>一翻率</vt:lpstr>
      <vt:lpstr>Template1!現行連続アガリ</vt:lpstr>
      <vt:lpstr>だいち!現行連続アガリ</vt:lpstr>
      <vt:lpstr>ともき!現行連続アガリ</vt:lpstr>
      <vt:lpstr>れんたろう!現行連続アガリ</vt:lpstr>
      <vt:lpstr>全体!現行連続アガリ</vt:lpstr>
      <vt:lpstr>Template1!現行連続無放銃</vt:lpstr>
      <vt:lpstr>だいち!現行連続無放銃</vt:lpstr>
      <vt:lpstr>ともき!現行連続無放銃</vt:lpstr>
      <vt:lpstr>れんたろう!現行連続無放銃</vt:lpstr>
      <vt:lpstr>全体!現行連続無放銃</vt:lpstr>
      <vt:lpstr>Template1!最高点</vt:lpstr>
      <vt:lpstr>だいち!最高点</vt:lpstr>
      <vt:lpstr>ともき!最高点</vt:lpstr>
      <vt:lpstr>れんたろう!最高点</vt:lpstr>
      <vt:lpstr>全体!最高点</vt:lpstr>
      <vt:lpstr>Template1!最大ドラ数</vt:lpstr>
      <vt:lpstr>だいち!最大ドラ数</vt:lpstr>
      <vt:lpstr>ともき!最大ドラ数</vt:lpstr>
      <vt:lpstr>れんたろう!最大ドラ数</vt:lpstr>
      <vt:lpstr>全体!最大ドラ数</vt:lpstr>
      <vt:lpstr>Template1!最大点数</vt:lpstr>
      <vt:lpstr>だいち!最大点数</vt:lpstr>
      <vt:lpstr>ともき!最大点数</vt:lpstr>
      <vt:lpstr>れんたろう!最大点数</vt:lpstr>
      <vt:lpstr>全体!最大点数</vt:lpstr>
      <vt:lpstr>だいち!三位スコア</vt:lpstr>
      <vt:lpstr>ともき!三位スコア</vt:lpstr>
      <vt:lpstr>れんたろう!三位スコア</vt:lpstr>
      <vt:lpstr>全体!三位スコア</vt:lpstr>
      <vt:lpstr>三位スコア</vt:lpstr>
      <vt:lpstr>だいち!三位通算スコア</vt:lpstr>
      <vt:lpstr>ともき!三位通算スコア</vt:lpstr>
      <vt:lpstr>れんたろう!三位通算スコア</vt:lpstr>
      <vt:lpstr>全体!三位通算スコア</vt:lpstr>
      <vt:lpstr>三位通算スコア</vt:lpstr>
      <vt:lpstr>Template1!総局数</vt:lpstr>
      <vt:lpstr>だいち!総局数</vt:lpstr>
      <vt:lpstr>ともき!総局数</vt:lpstr>
      <vt:lpstr>れんたろう!総局数</vt:lpstr>
      <vt:lpstr>全体!総局数</vt:lpstr>
      <vt:lpstr>Template1!対戦数</vt:lpstr>
      <vt:lpstr>だいち!対戦数</vt:lpstr>
      <vt:lpstr>ともき!対戦数</vt:lpstr>
      <vt:lpstr>れんたろう!対戦数</vt:lpstr>
      <vt:lpstr>全体!対戦数</vt:lpstr>
      <vt:lpstr>Template1!通算アガリ点</vt:lpstr>
      <vt:lpstr>だいち!通算アガリ点</vt:lpstr>
      <vt:lpstr>ともき!通算アガリ点</vt:lpstr>
      <vt:lpstr>れんたろう!通算アガリ点</vt:lpstr>
      <vt:lpstr>全体!通算アガリ点</vt:lpstr>
      <vt:lpstr>Template1!通算スコア</vt:lpstr>
      <vt:lpstr>だいち!通算スコア</vt:lpstr>
      <vt:lpstr>ともき!通算スコア</vt:lpstr>
      <vt:lpstr>れんたろう!通算スコア</vt:lpstr>
      <vt:lpstr>全体!通算スコア</vt:lpstr>
      <vt:lpstr>Template1!通算副露アガリ点</vt:lpstr>
      <vt:lpstr>だいち!通算副露アガリ点</vt:lpstr>
      <vt:lpstr>ともき!通算副露アガリ点</vt:lpstr>
      <vt:lpstr>れんたろう!通算副露アガリ点</vt:lpstr>
      <vt:lpstr>全体!通算副露アガリ点</vt:lpstr>
      <vt:lpstr>Template1!通算放銃点</vt:lpstr>
      <vt:lpstr>だいち!通算放銃点</vt:lpstr>
      <vt:lpstr>ともき!通算放銃点</vt:lpstr>
      <vt:lpstr>れんたろう!通算放銃点</vt:lpstr>
      <vt:lpstr>全体!通算放銃点</vt:lpstr>
      <vt:lpstr>Template1!通算門前アガリ点</vt:lpstr>
      <vt:lpstr>だいち!通算門前アガリ点</vt:lpstr>
      <vt:lpstr>ともき!通算門前アガリ点</vt:lpstr>
      <vt:lpstr>れんたろう!通算門前アガリ点</vt:lpstr>
      <vt:lpstr>全体!通算門前アガリ点</vt:lpstr>
      <vt:lpstr>だいち!二位スコア</vt:lpstr>
      <vt:lpstr>ともき!二位スコア</vt:lpstr>
      <vt:lpstr>れんたろう!二位スコア</vt:lpstr>
      <vt:lpstr>全体!二位スコア</vt:lpstr>
      <vt:lpstr>二位スコア</vt:lpstr>
      <vt:lpstr>Template1!二位数</vt:lpstr>
      <vt:lpstr>だいち!二位数</vt:lpstr>
      <vt:lpstr>ともき!二位数</vt:lpstr>
      <vt:lpstr>れんたろう!二位数</vt:lpstr>
      <vt:lpstr>全体!二位数</vt:lpstr>
      <vt:lpstr>だいち!二位通算スコア</vt:lpstr>
      <vt:lpstr>ともき!二位通算スコア</vt:lpstr>
      <vt:lpstr>れんたろう!二位通算スコア</vt:lpstr>
      <vt:lpstr>全体!二位通算スコア</vt:lpstr>
      <vt:lpstr>二位通算スコア</vt:lpstr>
      <vt:lpstr>Template1!二位率</vt:lpstr>
      <vt:lpstr>だいち!二位率</vt:lpstr>
      <vt:lpstr>ともき!二位率</vt:lpstr>
      <vt:lpstr>れんたろう!二位率</vt:lpstr>
      <vt:lpstr>全体!二位率</vt:lpstr>
      <vt:lpstr>Template1!副露アガリ数</vt:lpstr>
      <vt:lpstr>だいち!副露アガリ数</vt:lpstr>
      <vt:lpstr>ともき!副露アガリ数</vt:lpstr>
      <vt:lpstr>れんたろう!副露アガリ数</vt:lpstr>
      <vt:lpstr>全体!副露アガリ数</vt:lpstr>
      <vt:lpstr>Template1!副露アガリ点</vt:lpstr>
      <vt:lpstr>だいち!副露アガリ点</vt:lpstr>
      <vt:lpstr>ともき!副露アガリ点</vt:lpstr>
      <vt:lpstr>れんたろう!副露アガリ点</vt:lpstr>
      <vt:lpstr>全体!副露アガリ点</vt:lpstr>
      <vt:lpstr>Template1!副露アガリ率</vt:lpstr>
      <vt:lpstr>だいち!副露アガリ率</vt:lpstr>
      <vt:lpstr>ともき!副露アガリ率</vt:lpstr>
      <vt:lpstr>れんたろう!副露アガリ率</vt:lpstr>
      <vt:lpstr>全体!副露アガリ率</vt:lpstr>
      <vt:lpstr>Template1!副露数</vt:lpstr>
      <vt:lpstr>だいち!副露数</vt:lpstr>
      <vt:lpstr>ともき!副露数</vt:lpstr>
      <vt:lpstr>れんたろう!副露数</vt:lpstr>
      <vt:lpstr>全体!副露数</vt:lpstr>
      <vt:lpstr>Template1!副露成功数</vt:lpstr>
      <vt:lpstr>だいち!副露成功数</vt:lpstr>
      <vt:lpstr>ともき!副露成功数</vt:lpstr>
      <vt:lpstr>れんたろう!副露成功数</vt:lpstr>
      <vt:lpstr>全体!副露成功数</vt:lpstr>
      <vt:lpstr>Template1!副露成功率</vt:lpstr>
      <vt:lpstr>だいち!副露成功率</vt:lpstr>
      <vt:lpstr>ともき!副露成功率</vt:lpstr>
      <vt:lpstr>れんたろう!副露成功率</vt:lpstr>
      <vt:lpstr>全体!副露成功率</vt:lpstr>
      <vt:lpstr>Template1!副露率</vt:lpstr>
      <vt:lpstr>だいち!副露率</vt:lpstr>
      <vt:lpstr>ともき!副露率</vt:lpstr>
      <vt:lpstr>れんたろう!副露率</vt:lpstr>
      <vt:lpstr>全体!副露率</vt:lpstr>
      <vt:lpstr>Template1!平均アガリ点</vt:lpstr>
      <vt:lpstr>だいち!平均アガリ点</vt:lpstr>
      <vt:lpstr>ともき!平均アガリ点</vt:lpstr>
      <vt:lpstr>れんたろう!平均アガリ点</vt:lpstr>
      <vt:lpstr>全体!平均アガリ点</vt:lpstr>
      <vt:lpstr>Template1!平均スコア</vt:lpstr>
      <vt:lpstr>だいち!平均スコア</vt:lpstr>
      <vt:lpstr>ともき!平均スコア</vt:lpstr>
      <vt:lpstr>れんたろう!平均スコア</vt:lpstr>
      <vt:lpstr>全体!平均スコア</vt:lpstr>
      <vt:lpstr>Template1!平均順位</vt:lpstr>
      <vt:lpstr>だいち!平均順位</vt:lpstr>
      <vt:lpstr>ともき!平均順位</vt:lpstr>
      <vt:lpstr>れんたろう!平均順位</vt:lpstr>
      <vt:lpstr>全体!平均順位</vt:lpstr>
      <vt:lpstr>Template1!平均放銃点</vt:lpstr>
      <vt:lpstr>だいち!平均放銃点</vt:lpstr>
      <vt:lpstr>ともき!平均放銃点</vt:lpstr>
      <vt:lpstr>れんたろう!平均放銃点</vt:lpstr>
      <vt:lpstr>全体!平均放銃点</vt:lpstr>
      <vt:lpstr>Template1!放銃数</vt:lpstr>
      <vt:lpstr>だいち!放銃数</vt:lpstr>
      <vt:lpstr>ともき!放銃数</vt:lpstr>
      <vt:lpstr>れんたろう!放銃数</vt:lpstr>
      <vt:lpstr>全体!放銃数</vt:lpstr>
      <vt:lpstr>Template1!放銃率</vt:lpstr>
      <vt:lpstr>だいち!放銃率</vt:lpstr>
      <vt:lpstr>ともき!放銃率</vt:lpstr>
      <vt:lpstr>れんたろう!放銃率</vt:lpstr>
      <vt:lpstr>全体!放銃率</vt:lpstr>
      <vt:lpstr>Template1!名前</vt:lpstr>
      <vt:lpstr>だいち!名前</vt:lpstr>
      <vt:lpstr>ともき!名前</vt:lpstr>
      <vt:lpstr>れんたろう!名前</vt:lpstr>
      <vt:lpstr>全体!名前</vt:lpstr>
      <vt:lpstr>Template1!門前アガリ点</vt:lpstr>
      <vt:lpstr>だいち!門前アガリ点</vt:lpstr>
      <vt:lpstr>ともき!門前アガリ点</vt:lpstr>
      <vt:lpstr>れんたろう!門前アガリ点</vt:lpstr>
      <vt:lpstr>全体!門前アガリ点</vt:lpstr>
      <vt:lpstr>Template1!連続アガリ</vt:lpstr>
      <vt:lpstr>だいち!連続アガリ</vt:lpstr>
      <vt:lpstr>ともき!連続アガリ</vt:lpstr>
      <vt:lpstr>れんたろう!連続アガリ</vt:lpstr>
      <vt:lpstr>全体!連続アガリ</vt:lpstr>
      <vt:lpstr>Template1!連続無放銃</vt:lpstr>
      <vt:lpstr>だいち!連続無放銃</vt:lpstr>
      <vt:lpstr>ともき!連続無放銃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2020-04-04T10:38:59Z</dcterms:modified>
</cp:coreProperties>
</file>