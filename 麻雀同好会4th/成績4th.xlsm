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02E95203-72EF-4C82-AF1F-1ED09FE4FF7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82" r:id="rId6"/>
    <sheet name="だいち" sheetId="6384" r:id="rId7"/>
    <sheet name="れんたろう" sheetId="6386" r:id="rId8"/>
    <sheet name="たかの" sheetId="6388" r:id="rId9"/>
    <sheet name="まっつん" sheetId="6390" r:id="rId10"/>
    <sheet name="いちかわ" sheetId="6392" r:id="rId11"/>
    <sheet name="ただ" sheetId="6394" r:id="rId12"/>
    <sheet name="たか" sheetId="6396" r:id="rId13"/>
    <sheet name="のり" sheetId="6398" r:id="rId14"/>
    <sheet name="りくと" sheetId="6400" r:id="rId15"/>
    <sheet name="わさび" sheetId="6402" r:id="rId16"/>
    <sheet name="わさび2" sheetId="6403" state="hidden" r:id="rId17"/>
    <sheet name="りくと2" sheetId="6401" state="hidden" r:id="rId18"/>
    <sheet name="のり2" sheetId="6399" state="hidden" r:id="rId19"/>
    <sheet name="たか2" sheetId="6397" state="hidden" r:id="rId20"/>
    <sheet name="ただ2" sheetId="6395" state="hidden" r:id="rId21"/>
    <sheet name="いちかわ2" sheetId="6393" state="hidden" r:id="rId22"/>
    <sheet name="まっつん2" sheetId="6391" state="hidden" r:id="rId23"/>
    <sheet name="たかの2" sheetId="6389" state="hidden" r:id="rId24"/>
    <sheet name="れんたろう2" sheetId="6387" state="hidden" r:id="rId25"/>
    <sheet name="だいち2" sheetId="6385" state="hidden" r:id="rId26"/>
    <sheet name="全体2" sheetId="638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トップ率">#REF!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リーチ率">#REF!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ロン率">#REF!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最大点数">#REF!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通算門前アガリ点">#REF!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数">#REF!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400" l="1"/>
  <c r="P18" i="6384"/>
  <c r="P23" i="6392" l="1"/>
  <c r="P16" i="6388"/>
  <c r="P18" i="6394" l="1"/>
  <c r="P17" i="6394"/>
  <c r="P15" i="6400"/>
  <c r="P17" i="6402"/>
  <c r="P17" i="6392"/>
  <c r="P15" i="6392"/>
  <c r="P15" i="6402"/>
  <c r="P16" i="6402"/>
  <c r="C35" i="6402"/>
  <c r="B30" i="6402"/>
  <c r="C21" i="6402"/>
  <c r="B20" i="6402"/>
  <c r="H51" i="6402" s="1"/>
  <c r="B19" i="6402"/>
  <c r="B29" i="6402" s="1"/>
  <c r="C18" i="6402"/>
  <c r="B18" i="6402"/>
  <c r="C17" i="6402"/>
  <c r="C16" i="6402"/>
  <c r="C15" i="6402"/>
  <c r="B13" i="6402"/>
  <c r="P12" i="6402"/>
  <c r="B12" i="6402"/>
  <c r="P11" i="6402"/>
  <c r="B11" i="6402"/>
  <c r="P10" i="6402"/>
  <c r="C10" i="6402"/>
  <c r="C9" i="6402"/>
  <c r="C8" i="6402"/>
  <c r="P7" i="6402"/>
  <c r="B7" i="6402"/>
  <c r="P6" i="6402"/>
  <c r="P5" i="6402"/>
  <c r="B5" i="6402"/>
  <c r="P4" i="6402"/>
  <c r="P3" i="6402"/>
  <c r="P2" i="6402"/>
  <c r="P19" i="6382"/>
  <c r="P18" i="6400"/>
  <c r="P16" i="6400"/>
  <c r="C35" i="6400"/>
  <c r="B30" i="6400"/>
  <c r="C21" i="6400"/>
  <c r="B20" i="6400"/>
  <c r="H51" i="6400" s="1"/>
  <c r="B19" i="6400"/>
  <c r="B29" i="6400" s="1"/>
  <c r="B18" i="6400"/>
  <c r="C18" i="6400" s="1"/>
  <c r="C17" i="6400"/>
  <c r="C16" i="6400"/>
  <c r="C15" i="6400"/>
  <c r="B13" i="6400"/>
  <c r="B14" i="6400" s="1"/>
  <c r="P12" i="6400"/>
  <c r="B12" i="6400"/>
  <c r="P11" i="6400"/>
  <c r="B11" i="6400"/>
  <c r="P10" i="6400"/>
  <c r="C10" i="6400"/>
  <c r="C9" i="6400"/>
  <c r="C8" i="6400"/>
  <c r="P7" i="6400"/>
  <c r="B7" i="6400"/>
  <c r="P6" i="6400"/>
  <c r="P5" i="6400"/>
  <c r="B5" i="6400"/>
  <c r="P4" i="6400"/>
  <c r="P3" i="6400"/>
  <c r="P2" i="6400"/>
  <c r="P18" i="6382"/>
  <c r="C19" i="6400" l="1"/>
  <c r="H2" i="6400"/>
  <c r="B14" i="6402"/>
  <c r="C19" i="6402"/>
  <c r="C39" i="6402"/>
  <c r="H24" i="6402"/>
  <c r="H40" i="6402"/>
  <c r="H12" i="6402"/>
  <c r="H41" i="6402"/>
  <c r="H47" i="6402"/>
  <c r="H10" i="6402"/>
  <c r="H15" i="6402"/>
  <c r="C47" i="6402"/>
  <c r="H18" i="6402"/>
  <c r="C24" i="6402"/>
  <c r="H6" i="6402"/>
  <c r="H26" i="6402"/>
  <c r="C45" i="6402"/>
  <c r="H13" i="6402"/>
  <c r="H5" i="6402"/>
  <c r="H4" i="6402"/>
  <c r="H31" i="6402"/>
  <c r="H21" i="6402"/>
  <c r="H34" i="6402"/>
  <c r="H48" i="6402"/>
  <c r="H7" i="6402"/>
  <c r="H35" i="6402"/>
  <c r="H3" i="6402"/>
  <c r="C26" i="6402"/>
  <c r="H49" i="6402"/>
  <c r="C25" i="6402"/>
  <c r="C49" i="6402"/>
  <c r="C41" i="6402"/>
  <c r="C20" i="6402"/>
  <c r="H44" i="6402"/>
  <c r="H9" i="6402"/>
  <c r="H43" i="6402"/>
  <c r="H2" i="6402"/>
  <c r="H11" i="6402"/>
  <c r="H16" i="6402"/>
  <c r="H19" i="6402"/>
  <c r="H22" i="6402"/>
  <c r="H28" i="6402"/>
  <c r="H37" i="6402"/>
  <c r="C43" i="6402"/>
  <c r="B28" i="6402"/>
  <c r="C37" i="6402"/>
  <c r="H14" i="6402"/>
  <c r="H17" i="6402"/>
  <c r="C22" i="6402"/>
  <c r="H29" i="6402"/>
  <c r="H39" i="6402"/>
  <c r="H45" i="6402"/>
  <c r="H52" i="6402"/>
  <c r="H20" i="6402"/>
  <c r="H23" i="6402"/>
  <c r="H27" i="6402"/>
  <c r="H30" i="6402"/>
  <c r="H36" i="6402"/>
  <c r="C40" i="6402"/>
  <c r="C44" i="6402"/>
  <c r="C48" i="6402"/>
  <c r="C23" i="6402"/>
  <c r="B27" i="6402"/>
  <c r="H32" i="6402"/>
  <c r="H38" i="6402"/>
  <c r="H42" i="6402"/>
  <c r="H46" i="6402"/>
  <c r="H50" i="6402"/>
  <c r="H25" i="6402"/>
  <c r="H8" i="6402"/>
  <c r="H33" i="6402"/>
  <c r="C38" i="6402"/>
  <c r="C42" i="6402"/>
  <c r="C46" i="6402"/>
  <c r="H27" i="6400"/>
  <c r="H13" i="6400"/>
  <c r="H44" i="6400"/>
  <c r="H8" i="6400"/>
  <c r="H39" i="6400"/>
  <c r="C47" i="6400"/>
  <c r="H11" i="6400"/>
  <c r="H4" i="6400"/>
  <c r="H31" i="6400"/>
  <c r="H38" i="6400"/>
  <c r="B28" i="6400"/>
  <c r="C22" i="6400"/>
  <c r="H5" i="6400"/>
  <c r="H15" i="6400"/>
  <c r="H19" i="6400"/>
  <c r="H40" i="6400"/>
  <c r="H12" i="6400"/>
  <c r="H32" i="6400"/>
  <c r="C40" i="6400"/>
  <c r="C48" i="6400"/>
  <c r="H17" i="6400"/>
  <c r="C44" i="6400"/>
  <c r="H48" i="6400"/>
  <c r="C23" i="6400"/>
  <c r="H10" i="6400"/>
  <c r="H16" i="6400"/>
  <c r="H26" i="6400"/>
  <c r="H34" i="6400"/>
  <c r="H43" i="6400"/>
  <c r="H49" i="6400"/>
  <c r="B27" i="6400"/>
  <c r="H9" i="6400"/>
  <c r="H22" i="6400"/>
  <c r="H45" i="6400"/>
  <c r="C39" i="6400"/>
  <c r="H23" i="6400"/>
  <c r="H3" i="6400"/>
  <c r="H20" i="6400"/>
  <c r="C26" i="6400"/>
  <c r="H35" i="6400"/>
  <c r="C43" i="6400"/>
  <c r="C49" i="6400"/>
  <c r="C24" i="6400"/>
  <c r="H29" i="6400"/>
  <c r="H36" i="6400"/>
  <c r="H41" i="6400"/>
  <c r="C45" i="6400"/>
  <c r="H50" i="6400"/>
  <c r="H14" i="6400"/>
  <c r="H18" i="6400"/>
  <c r="C20" i="6400"/>
  <c r="H25" i="6400"/>
  <c r="H30" i="6400"/>
  <c r="C41" i="6400"/>
  <c r="H46" i="6400"/>
  <c r="H6" i="6400"/>
  <c r="H7" i="6400"/>
  <c r="H37" i="6400"/>
  <c r="H21" i="6400"/>
  <c r="C25" i="6400"/>
  <c r="C37" i="6400"/>
  <c r="H42" i="6400"/>
  <c r="H47" i="6400"/>
  <c r="H52" i="6400"/>
  <c r="H24" i="6400"/>
  <c r="H28" i="6400"/>
  <c r="H33" i="6400"/>
  <c r="C38" i="6400"/>
  <c r="C42" i="6400"/>
  <c r="C46" i="6400"/>
  <c r="P17" i="6386" l="1"/>
  <c r="P15" i="6394"/>
  <c r="P16" i="6392"/>
  <c r="P20" i="6394"/>
  <c r="P19" i="6396"/>
  <c r="P18" i="6392"/>
  <c r="P18" i="6396"/>
  <c r="P15" i="6386"/>
  <c r="P17" i="6398" l="1"/>
  <c r="P16" i="6396"/>
  <c r="P17" i="6384"/>
  <c r="P16" i="6398"/>
  <c r="P15" i="6398"/>
  <c r="C35" i="6398"/>
  <c r="B30" i="6398"/>
  <c r="C21" i="6398"/>
  <c r="B20" i="6398"/>
  <c r="H51" i="6398" s="1"/>
  <c r="B19" i="6398"/>
  <c r="B29" i="6398" s="1"/>
  <c r="B18" i="6398"/>
  <c r="C18" i="6398" s="1"/>
  <c r="C17" i="6398"/>
  <c r="C16" i="6398"/>
  <c r="C15" i="6398"/>
  <c r="B13" i="6398"/>
  <c r="P12" i="6398"/>
  <c r="B12" i="6398"/>
  <c r="P11" i="6398"/>
  <c r="B11" i="6398"/>
  <c r="P10" i="6398"/>
  <c r="C10" i="6398"/>
  <c r="C9" i="6398"/>
  <c r="C8" i="6398"/>
  <c r="P7" i="6398"/>
  <c r="B7" i="6398"/>
  <c r="P6" i="6398"/>
  <c r="P5" i="6398"/>
  <c r="B5" i="6398"/>
  <c r="P4" i="6398"/>
  <c r="P3" i="6398"/>
  <c r="P2" i="6398"/>
  <c r="P17" i="6396"/>
  <c r="P15" i="6396"/>
  <c r="C35" i="6396"/>
  <c r="B30" i="6396"/>
  <c r="C21" i="6396"/>
  <c r="B20" i="6396"/>
  <c r="H52" i="6396" s="1"/>
  <c r="B19" i="6396"/>
  <c r="B29" i="6396" s="1"/>
  <c r="B18" i="6396"/>
  <c r="C18" i="6396" s="1"/>
  <c r="C17" i="6396"/>
  <c r="C16" i="6396"/>
  <c r="C15" i="6396"/>
  <c r="B13" i="6396"/>
  <c r="P12" i="6396"/>
  <c r="B12" i="6396"/>
  <c r="P11" i="6396"/>
  <c r="B11" i="6396"/>
  <c r="P10" i="6396"/>
  <c r="C10" i="6396"/>
  <c r="C9" i="6396"/>
  <c r="C8" i="6396"/>
  <c r="P7" i="6396"/>
  <c r="B7" i="6396"/>
  <c r="P6" i="6396"/>
  <c r="P5" i="6396"/>
  <c r="B5" i="6396"/>
  <c r="P4" i="6396"/>
  <c r="P3" i="6396"/>
  <c r="P2" i="6396"/>
  <c r="P22" i="6392"/>
  <c r="P19" i="6392"/>
  <c r="P17" i="6382"/>
  <c r="B14" i="6396" l="1"/>
  <c r="B14" i="6398"/>
  <c r="H8" i="6398"/>
  <c r="C19" i="6398"/>
  <c r="H20" i="6398"/>
  <c r="H9" i="6398"/>
  <c r="C23" i="6398"/>
  <c r="B28" i="6398"/>
  <c r="H41" i="6398"/>
  <c r="H47" i="6398"/>
  <c r="C47" i="6398"/>
  <c r="C41" i="6398"/>
  <c r="H3" i="6398"/>
  <c r="H26" i="6398"/>
  <c r="H48" i="6398"/>
  <c r="H2" i="6398"/>
  <c r="C24" i="6398"/>
  <c r="H17" i="6398"/>
  <c r="H37" i="6398"/>
  <c r="C25" i="6398"/>
  <c r="C37" i="6398"/>
  <c r="C43" i="6398"/>
  <c r="C48" i="6398"/>
  <c r="C20" i="6398"/>
  <c r="H49" i="6398"/>
  <c r="H18" i="6398"/>
  <c r="H27" i="6398"/>
  <c r="H31" i="6398"/>
  <c r="H39" i="6398"/>
  <c r="H11" i="6398"/>
  <c r="H13" i="6398"/>
  <c r="H22" i="6398"/>
  <c r="H10" i="6398"/>
  <c r="C26" i="6398"/>
  <c r="H32" i="6398"/>
  <c r="C39" i="6398"/>
  <c r="C44" i="6398"/>
  <c r="C49" i="6398"/>
  <c r="H29" i="6398"/>
  <c r="H12" i="6398"/>
  <c r="H30" i="6398"/>
  <c r="H15" i="6398"/>
  <c r="H6" i="6398"/>
  <c r="H19" i="6398"/>
  <c r="C22" i="6398"/>
  <c r="H28" i="6398"/>
  <c r="H34" i="6398"/>
  <c r="H40" i="6398"/>
  <c r="H45" i="6398"/>
  <c r="H5" i="6398"/>
  <c r="H36" i="6398"/>
  <c r="H21" i="6398"/>
  <c r="H43" i="6398"/>
  <c r="H23" i="6398"/>
  <c r="H44" i="6398"/>
  <c r="H7" i="6398"/>
  <c r="H14" i="6398"/>
  <c r="H16" i="6398"/>
  <c r="H24" i="6398"/>
  <c r="B27" i="6398"/>
  <c r="H35" i="6398"/>
  <c r="C40" i="6398"/>
  <c r="C45" i="6398"/>
  <c r="H52" i="6398"/>
  <c r="H38" i="6398"/>
  <c r="H42" i="6398"/>
  <c r="H46" i="6398"/>
  <c r="H50" i="6398"/>
  <c r="H25" i="6398"/>
  <c r="H4" i="6398"/>
  <c r="H33" i="6398"/>
  <c r="C38" i="6398"/>
  <c r="C42" i="6398"/>
  <c r="C46" i="6398"/>
  <c r="C19" i="6396"/>
  <c r="C20" i="6396"/>
  <c r="H33" i="6396"/>
  <c r="C46" i="6396"/>
  <c r="H2" i="6396"/>
  <c r="H16" i="6396"/>
  <c r="H19" i="6396"/>
  <c r="C25" i="6396"/>
  <c r="H40" i="6396"/>
  <c r="H44" i="6396"/>
  <c r="H48" i="6396"/>
  <c r="C38" i="6396"/>
  <c r="H9" i="6396"/>
  <c r="H11" i="6396"/>
  <c r="H25" i="6396"/>
  <c r="H27" i="6396"/>
  <c r="H36" i="6396"/>
  <c r="C40" i="6396"/>
  <c r="C48" i="6396"/>
  <c r="H4" i="6396"/>
  <c r="H14" i="6396"/>
  <c r="C22" i="6396"/>
  <c r="C26" i="6396"/>
  <c r="H37" i="6396"/>
  <c r="H41" i="6396"/>
  <c r="H45" i="6396"/>
  <c r="H49" i="6396"/>
  <c r="H6" i="6396"/>
  <c r="H13" i="6396"/>
  <c r="H17" i="6396"/>
  <c r="H26" i="6396"/>
  <c r="H28" i="6396"/>
  <c r="H31" i="6396"/>
  <c r="C37" i="6396"/>
  <c r="C41" i="6396"/>
  <c r="C45" i="6396"/>
  <c r="C49" i="6396"/>
  <c r="H7" i="6396"/>
  <c r="H22" i="6396"/>
  <c r="H30" i="6396"/>
  <c r="C44" i="6396"/>
  <c r="H8" i="6396"/>
  <c r="H20" i="6396"/>
  <c r="H23" i="6396"/>
  <c r="C23" i="6396"/>
  <c r="B27" i="6396"/>
  <c r="H32" i="6396"/>
  <c r="H38" i="6396"/>
  <c r="H42" i="6396"/>
  <c r="H46" i="6396"/>
  <c r="H50" i="6396"/>
  <c r="H3" i="6396"/>
  <c r="H15" i="6396"/>
  <c r="C42" i="6396"/>
  <c r="H51" i="6396"/>
  <c r="H12" i="6396"/>
  <c r="H18" i="6396"/>
  <c r="H21" i="6396"/>
  <c r="C24" i="6396"/>
  <c r="B28" i="6396"/>
  <c r="H34" i="6396"/>
  <c r="H39" i="6396"/>
  <c r="H43" i="6396"/>
  <c r="H47" i="6396"/>
  <c r="H5" i="6396"/>
  <c r="H24" i="6396"/>
  <c r="H10" i="6396"/>
  <c r="H29" i="6396"/>
  <c r="H35" i="6396"/>
  <c r="C39" i="6396"/>
  <c r="C43" i="6396"/>
  <c r="C47" i="6396"/>
  <c r="P18" i="6388" l="1"/>
  <c r="P19" i="6394"/>
  <c r="P16" i="6394"/>
  <c r="C35" i="6394"/>
  <c r="B30" i="6394"/>
  <c r="C21" i="6394"/>
  <c r="B20" i="6394"/>
  <c r="H52" i="6394" s="1"/>
  <c r="C19" i="6394"/>
  <c r="B19" i="6394"/>
  <c r="B29" i="6394" s="1"/>
  <c r="B18" i="6394"/>
  <c r="C18" i="6394" s="1"/>
  <c r="C17" i="6394"/>
  <c r="C16" i="6394"/>
  <c r="C15" i="6394"/>
  <c r="B13" i="6394"/>
  <c r="P12" i="6394"/>
  <c r="B12" i="6394"/>
  <c r="P11" i="6394"/>
  <c r="B11" i="6394"/>
  <c r="P10" i="6394"/>
  <c r="C10" i="6394"/>
  <c r="C9" i="6394"/>
  <c r="C8" i="6394"/>
  <c r="P7" i="6394"/>
  <c r="B7" i="6394"/>
  <c r="P6" i="6394"/>
  <c r="P5" i="6394"/>
  <c r="B5" i="6394"/>
  <c r="P4" i="6394"/>
  <c r="P3" i="6394"/>
  <c r="P2" i="6394"/>
  <c r="P19" i="6384"/>
  <c r="P20" i="6382"/>
  <c r="B14" i="6394" l="1"/>
  <c r="C20" i="6394"/>
  <c r="H15" i="6394"/>
  <c r="H36" i="6394"/>
  <c r="C39" i="6394"/>
  <c r="C43" i="6394"/>
  <c r="H12" i="6394"/>
  <c r="H20" i="6394"/>
  <c r="C25" i="6394"/>
  <c r="H41" i="6394"/>
  <c r="H45" i="6394"/>
  <c r="H49" i="6394"/>
  <c r="H10" i="6394"/>
  <c r="H16" i="6394"/>
  <c r="H11" i="6394"/>
  <c r="H14" i="6394"/>
  <c r="H35" i="6394"/>
  <c r="H48" i="6394"/>
  <c r="H30" i="6394"/>
  <c r="C47" i="6394"/>
  <c r="H9" i="6394"/>
  <c r="H7" i="6394"/>
  <c r="H22" i="6394"/>
  <c r="H25" i="6394"/>
  <c r="H28" i="6394"/>
  <c r="H31" i="6394"/>
  <c r="H37" i="6394"/>
  <c r="C40" i="6394"/>
  <c r="C44" i="6394"/>
  <c r="C48" i="6394"/>
  <c r="C42" i="6394"/>
  <c r="C26" i="6394"/>
  <c r="H50" i="6394"/>
  <c r="H27" i="6394"/>
  <c r="H19" i="6394"/>
  <c r="H3" i="6394"/>
  <c r="H38" i="6394"/>
  <c r="H46" i="6394"/>
  <c r="H6" i="6394"/>
  <c r="H8" i="6394"/>
  <c r="H18" i="6394"/>
  <c r="H26" i="6394"/>
  <c r="H29" i="6394"/>
  <c r="H32" i="6394"/>
  <c r="C37" i="6394"/>
  <c r="C41" i="6394"/>
  <c r="C45" i="6394"/>
  <c r="C49" i="6394"/>
  <c r="H34" i="6394"/>
  <c r="C46" i="6394"/>
  <c r="B28" i="6394"/>
  <c r="H40" i="6394"/>
  <c r="H44" i="6394"/>
  <c r="H4" i="6394"/>
  <c r="H21" i="6394"/>
  <c r="C22" i="6394"/>
  <c r="H42" i="6394"/>
  <c r="H17" i="6394"/>
  <c r="H13" i="6394"/>
  <c r="H23" i="6394"/>
  <c r="C23" i="6394"/>
  <c r="B27" i="6394"/>
  <c r="H33" i="6394"/>
  <c r="H39" i="6394"/>
  <c r="H43" i="6394"/>
  <c r="H47" i="6394"/>
  <c r="H51" i="6394"/>
  <c r="H5" i="6394"/>
  <c r="C38" i="6394"/>
  <c r="H2" i="6394"/>
  <c r="C24" i="6394"/>
  <c r="H24" i="6394"/>
  <c r="P21" i="6384" l="1"/>
  <c r="P16" i="6384"/>
  <c r="P20" i="6392"/>
  <c r="P21" i="6392"/>
  <c r="C35" i="6392"/>
  <c r="B30" i="6392"/>
  <c r="C21" i="6392"/>
  <c r="B20" i="6392"/>
  <c r="H51" i="6392" s="1"/>
  <c r="B19" i="6392"/>
  <c r="C19" i="6392" s="1"/>
  <c r="B18" i="6392"/>
  <c r="C18" i="6392" s="1"/>
  <c r="C17" i="6392"/>
  <c r="C16" i="6392"/>
  <c r="C15" i="6392"/>
  <c r="B13" i="6392"/>
  <c r="P12" i="6392"/>
  <c r="B12" i="6392"/>
  <c r="P11" i="6392"/>
  <c r="B11" i="6392"/>
  <c r="P10" i="6392"/>
  <c r="C10" i="6392"/>
  <c r="C9" i="6392"/>
  <c r="C8" i="6392"/>
  <c r="P7" i="6392"/>
  <c r="B7" i="6392"/>
  <c r="P6" i="6392"/>
  <c r="P5" i="6392"/>
  <c r="B5" i="6392"/>
  <c r="P4" i="6392"/>
  <c r="P3" i="6392"/>
  <c r="P2" i="6392"/>
  <c r="P16" i="6382"/>
  <c r="P16" i="6390"/>
  <c r="P15" i="6390"/>
  <c r="C35" i="6390"/>
  <c r="B30" i="6390"/>
  <c r="C21" i="6390"/>
  <c r="B20" i="6390"/>
  <c r="H50" i="6390" s="1"/>
  <c r="C19" i="6390"/>
  <c r="B19" i="6390"/>
  <c r="B29" i="6390" s="1"/>
  <c r="C18" i="6390"/>
  <c r="B18" i="6390"/>
  <c r="C17" i="6390"/>
  <c r="C16" i="6390"/>
  <c r="C15" i="6390"/>
  <c r="B13" i="6390"/>
  <c r="P12" i="6390"/>
  <c r="B12" i="6390"/>
  <c r="P11" i="6390"/>
  <c r="B11" i="6390"/>
  <c r="P10" i="6390"/>
  <c r="C10" i="6390"/>
  <c r="C9" i="6390"/>
  <c r="C8" i="6390"/>
  <c r="P7" i="6390"/>
  <c r="B7" i="6390"/>
  <c r="P6" i="6390"/>
  <c r="P5" i="6390"/>
  <c r="B5" i="6390"/>
  <c r="P4" i="6390"/>
  <c r="P3" i="6390"/>
  <c r="P2" i="6390"/>
  <c r="P22" i="6382"/>
  <c r="C20" i="6390" l="1"/>
  <c r="B14" i="6392"/>
  <c r="H20" i="6392"/>
  <c r="H22" i="6392"/>
  <c r="H4" i="6392"/>
  <c r="C26" i="6392"/>
  <c r="H15" i="6392"/>
  <c r="H32" i="6392"/>
  <c r="C24" i="6392"/>
  <c r="H5" i="6392"/>
  <c r="H11" i="6392"/>
  <c r="C41" i="6392"/>
  <c r="B29" i="6392"/>
  <c r="H34" i="6392"/>
  <c r="H29" i="6392"/>
  <c r="H46" i="6392"/>
  <c r="B28" i="6392"/>
  <c r="H10" i="6392"/>
  <c r="H35" i="6392"/>
  <c r="H14" i="6392"/>
  <c r="H25" i="6392"/>
  <c r="H17" i="6392"/>
  <c r="H23" i="6392"/>
  <c r="H37" i="6392"/>
  <c r="H8" i="6392"/>
  <c r="C22" i="6392"/>
  <c r="C37" i="6392"/>
  <c r="C47" i="6392"/>
  <c r="H18" i="6392"/>
  <c r="H47" i="6392"/>
  <c r="H2" i="6392"/>
  <c r="H16" i="6392"/>
  <c r="H26" i="6392"/>
  <c r="C39" i="6392"/>
  <c r="H48" i="6392"/>
  <c r="H42" i="6392"/>
  <c r="H7" i="6392"/>
  <c r="H43" i="6392"/>
  <c r="B27" i="6392"/>
  <c r="H30" i="6392"/>
  <c r="H21" i="6392"/>
  <c r="C23" i="6392"/>
  <c r="H40" i="6392"/>
  <c r="C49" i="6392"/>
  <c r="C43" i="6392"/>
  <c r="H50" i="6392"/>
  <c r="H19" i="6392"/>
  <c r="H38" i="6392"/>
  <c r="H44" i="6392"/>
  <c r="H6" i="6392"/>
  <c r="H3" i="6392"/>
  <c r="C20" i="6392"/>
  <c r="C25" i="6392"/>
  <c r="H31" i="6392"/>
  <c r="H39" i="6392"/>
  <c r="C45" i="6392"/>
  <c r="H52" i="6392"/>
  <c r="H24" i="6392"/>
  <c r="H12" i="6392"/>
  <c r="H28" i="6392"/>
  <c r="H13" i="6392"/>
  <c r="H36" i="6392"/>
  <c r="C40" i="6392"/>
  <c r="C44" i="6392"/>
  <c r="C48" i="6392"/>
  <c r="H41" i="6392"/>
  <c r="H45" i="6392"/>
  <c r="H49" i="6392"/>
  <c r="H27" i="6392"/>
  <c r="H9" i="6392"/>
  <c r="H33" i="6392"/>
  <c r="C38" i="6392"/>
  <c r="C42" i="6392"/>
  <c r="C46" i="6392"/>
  <c r="B14" i="6390"/>
  <c r="H6" i="6390"/>
  <c r="H33" i="6390"/>
  <c r="C42" i="6390"/>
  <c r="C46" i="6390"/>
  <c r="H3" i="6390"/>
  <c r="H15" i="6390"/>
  <c r="H19" i="6390"/>
  <c r="C24" i="6390"/>
  <c r="B28" i="6390"/>
  <c r="H34" i="6390"/>
  <c r="H39" i="6390"/>
  <c r="H43" i="6390"/>
  <c r="H47" i="6390"/>
  <c r="H2" i="6390"/>
  <c r="H22" i="6390"/>
  <c r="H26" i="6390"/>
  <c r="H29" i="6390"/>
  <c r="H35" i="6390"/>
  <c r="C39" i="6390"/>
  <c r="C43" i="6390"/>
  <c r="C47" i="6390"/>
  <c r="H52" i="6390"/>
  <c r="H13" i="6390"/>
  <c r="H16" i="6390"/>
  <c r="C25" i="6390"/>
  <c r="H40" i="6390"/>
  <c r="H44" i="6390"/>
  <c r="H48" i="6390"/>
  <c r="H25" i="6390"/>
  <c r="H7" i="6390"/>
  <c r="C38" i="6390"/>
  <c r="H51" i="6390"/>
  <c r="H9" i="6390"/>
  <c r="H5" i="6390"/>
  <c r="H11" i="6390"/>
  <c r="H20" i="6390"/>
  <c r="H23" i="6390"/>
  <c r="H27" i="6390"/>
  <c r="H30" i="6390"/>
  <c r="H36" i="6390"/>
  <c r="C40" i="6390"/>
  <c r="C44" i="6390"/>
  <c r="C48" i="6390"/>
  <c r="H4" i="6390"/>
  <c r="H17" i="6390"/>
  <c r="C22" i="6390"/>
  <c r="C26" i="6390"/>
  <c r="H37" i="6390"/>
  <c r="H41" i="6390"/>
  <c r="H45" i="6390"/>
  <c r="H49" i="6390"/>
  <c r="H10" i="6390"/>
  <c r="H12" i="6390"/>
  <c r="H14" i="6390"/>
  <c r="H24" i="6390"/>
  <c r="H28" i="6390"/>
  <c r="H31" i="6390"/>
  <c r="C37" i="6390"/>
  <c r="C41" i="6390"/>
  <c r="C45" i="6390"/>
  <c r="C49" i="6390"/>
  <c r="H8" i="6390"/>
  <c r="H18" i="6390"/>
  <c r="H21" i="6390"/>
  <c r="C23" i="6390"/>
  <c r="B27" i="6390"/>
  <c r="H32" i="6390"/>
  <c r="H38" i="6390"/>
  <c r="H42" i="6390"/>
  <c r="H46" i="6390"/>
  <c r="P15" i="6388" l="1"/>
  <c r="P17" i="6388"/>
  <c r="C35" i="6388"/>
  <c r="B30" i="6388"/>
  <c r="C21" i="6388"/>
  <c r="B20" i="6388"/>
  <c r="H5" i="6388" s="1"/>
  <c r="B19" i="6388"/>
  <c r="B29" i="6388" s="1"/>
  <c r="B18" i="6388"/>
  <c r="C18" i="6388" s="1"/>
  <c r="C17" i="6388"/>
  <c r="C16" i="6388"/>
  <c r="C15" i="6388"/>
  <c r="B13" i="6388"/>
  <c r="P12" i="6388"/>
  <c r="B12" i="6388"/>
  <c r="P11" i="6388"/>
  <c r="B11" i="6388"/>
  <c r="P10" i="6388"/>
  <c r="C10" i="6388"/>
  <c r="C9" i="6388"/>
  <c r="C8" i="6388"/>
  <c r="P7" i="6388"/>
  <c r="B7" i="6388"/>
  <c r="P6" i="6388"/>
  <c r="P5" i="6388"/>
  <c r="B5" i="6388"/>
  <c r="P4" i="6388"/>
  <c r="P3" i="6388"/>
  <c r="P2" i="6388"/>
  <c r="P18" i="6386"/>
  <c r="P16" i="6386"/>
  <c r="C35" i="6386"/>
  <c r="B30" i="6386"/>
  <c r="C21" i="6386"/>
  <c r="B20" i="6386"/>
  <c r="H51" i="6386" s="1"/>
  <c r="H12" i="6386"/>
  <c r="B19" i="6386"/>
  <c r="B29" i="6386" s="1"/>
  <c r="B18" i="6386"/>
  <c r="C18" i="6386" s="1"/>
  <c r="C17" i="6386"/>
  <c r="C16" i="6386"/>
  <c r="C15" i="6386"/>
  <c r="B13" i="6386"/>
  <c r="P12" i="6386"/>
  <c r="B12" i="6386"/>
  <c r="P11" i="6386"/>
  <c r="B11" i="6386"/>
  <c r="P10" i="6386"/>
  <c r="C10" i="6386"/>
  <c r="C9" i="6386"/>
  <c r="C8" i="6386"/>
  <c r="P7" i="6386"/>
  <c r="B7" i="6386"/>
  <c r="P6" i="6386"/>
  <c r="P5" i="6386"/>
  <c r="B5" i="6386"/>
  <c r="P4" i="6386"/>
  <c r="P3" i="6386"/>
  <c r="P2" i="6386"/>
  <c r="P23" i="6382"/>
  <c r="P20" i="6384"/>
  <c r="P15" i="6384"/>
  <c r="C35" i="6384"/>
  <c r="B30" i="6384"/>
  <c r="C21" i="6384"/>
  <c r="B20" i="6384"/>
  <c r="H16" i="6384" s="1"/>
  <c r="B19" i="6384"/>
  <c r="B29" i="6384" s="1"/>
  <c r="B18" i="6384"/>
  <c r="C18" i="6384" s="1"/>
  <c r="C17" i="6384"/>
  <c r="C16" i="6384"/>
  <c r="C15" i="6384"/>
  <c r="B13" i="6384"/>
  <c r="P12" i="6384"/>
  <c r="B12" i="6384"/>
  <c r="P11" i="6384"/>
  <c r="B11" i="6384"/>
  <c r="P10" i="6384"/>
  <c r="C10" i="6384"/>
  <c r="C9" i="6384"/>
  <c r="C8" i="6384"/>
  <c r="P7" i="6384"/>
  <c r="B7" i="6384"/>
  <c r="P6" i="6384"/>
  <c r="P5" i="6384"/>
  <c r="B5" i="6384"/>
  <c r="P4" i="6384"/>
  <c r="P3" i="6384"/>
  <c r="P2" i="6384"/>
  <c r="P21" i="6382"/>
  <c r="P15" i="6382"/>
  <c r="C35" i="6382"/>
  <c r="B30" i="6382"/>
  <c r="C21" i="6382"/>
  <c r="B20" i="6382"/>
  <c r="H18" i="6382" s="1"/>
  <c r="B19" i="6382"/>
  <c r="B29" i="6382" s="1"/>
  <c r="B18" i="6382"/>
  <c r="C18" i="6382" s="1"/>
  <c r="C17" i="6382"/>
  <c r="C16" i="6382"/>
  <c r="C15" i="6382"/>
  <c r="B13" i="6382"/>
  <c r="P12" i="6382"/>
  <c r="B12" i="6382"/>
  <c r="P11" i="6382"/>
  <c r="B11" i="6382"/>
  <c r="P10" i="6382"/>
  <c r="C10" i="6382"/>
  <c r="C9" i="6382"/>
  <c r="C8" i="6382"/>
  <c r="P7" i="6382"/>
  <c r="B7" i="6382"/>
  <c r="P6" i="6382"/>
  <c r="P5" i="6382"/>
  <c r="B5" i="6382"/>
  <c r="P4" i="6382"/>
  <c r="P3" i="6382"/>
  <c r="P2" i="6382"/>
  <c r="B14" i="6388" l="1"/>
  <c r="B14" i="6386"/>
  <c r="C19" i="6386"/>
  <c r="H16" i="6386"/>
  <c r="B14" i="6384"/>
  <c r="C19" i="6384"/>
  <c r="H21" i="6386"/>
  <c r="H29" i="6386"/>
  <c r="B14" i="6382"/>
  <c r="H2" i="6388"/>
  <c r="C19" i="6388"/>
  <c r="H35" i="6388"/>
  <c r="H19" i="6388"/>
  <c r="C39" i="6388"/>
  <c r="H40" i="6388"/>
  <c r="H16" i="6388"/>
  <c r="H10" i="6388"/>
  <c r="H4" i="6388"/>
  <c r="H13" i="6388"/>
  <c r="C43" i="6388"/>
  <c r="C25" i="6388"/>
  <c r="H44" i="6388"/>
  <c r="C20" i="6388"/>
  <c r="H25" i="6388"/>
  <c r="H11" i="6388"/>
  <c r="H7" i="6388"/>
  <c r="H30" i="6388"/>
  <c r="H52" i="6388"/>
  <c r="C47" i="6388"/>
  <c r="H48" i="6388"/>
  <c r="H23" i="6388"/>
  <c r="H12" i="6388"/>
  <c r="H28" i="6388"/>
  <c r="H14" i="6388"/>
  <c r="H36" i="6388"/>
  <c r="C40" i="6388"/>
  <c r="C44" i="6388"/>
  <c r="C48" i="6388"/>
  <c r="H6" i="6388"/>
  <c r="H20" i="6388"/>
  <c r="C22" i="6388"/>
  <c r="C26" i="6388"/>
  <c r="H37" i="6388"/>
  <c r="H41" i="6388"/>
  <c r="H45" i="6388"/>
  <c r="H49" i="6388"/>
  <c r="H26" i="6388"/>
  <c r="H29" i="6388"/>
  <c r="H31" i="6388"/>
  <c r="C37" i="6388"/>
  <c r="C45" i="6388"/>
  <c r="C49" i="6388"/>
  <c r="H17" i="6388"/>
  <c r="C41" i="6388"/>
  <c r="H9" i="6388"/>
  <c r="H21" i="6388"/>
  <c r="H24" i="6388"/>
  <c r="C23" i="6388"/>
  <c r="B27" i="6388"/>
  <c r="H32" i="6388"/>
  <c r="H38" i="6388"/>
  <c r="H42" i="6388"/>
  <c r="H46" i="6388"/>
  <c r="H50" i="6388"/>
  <c r="H27" i="6388"/>
  <c r="H8" i="6388"/>
  <c r="H33" i="6388"/>
  <c r="C38" i="6388"/>
  <c r="C42" i="6388"/>
  <c r="C46" i="6388"/>
  <c r="H51" i="6388"/>
  <c r="H3" i="6388"/>
  <c r="H15" i="6388"/>
  <c r="H18" i="6388"/>
  <c r="H22" i="6388"/>
  <c r="C24" i="6388"/>
  <c r="B28" i="6388"/>
  <c r="H34" i="6388"/>
  <c r="H39" i="6388"/>
  <c r="H43" i="6388"/>
  <c r="H47" i="6388"/>
  <c r="H15" i="6382"/>
  <c r="H39" i="6382"/>
  <c r="H11" i="6386"/>
  <c r="H9" i="6386"/>
  <c r="C20" i="6386"/>
  <c r="H18" i="6386"/>
  <c r="H6" i="6386"/>
  <c r="H39" i="6386"/>
  <c r="H38" i="6386"/>
  <c r="C23" i="6386"/>
  <c r="C45" i="6386"/>
  <c r="C37" i="6386"/>
  <c r="H25" i="6386"/>
  <c r="H10" i="6386"/>
  <c r="H5" i="6386"/>
  <c r="H7" i="6386"/>
  <c r="C24" i="6386"/>
  <c r="H46" i="6386"/>
  <c r="B28" i="6386"/>
  <c r="H47" i="6386"/>
  <c r="H14" i="6386"/>
  <c r="H31" i="6386"/>
  <c r="C39" i="6386"/>
  <c r="C47" i="6386"/>
  <c r="C49" i="6386"/>
  <c r="H32" i="6386"/>
  <c r="H2" i="6386"/>
  <c r="H8" i="6386"/>
  <c r="H19" i="6386"/>
  <c r="H22" i="6386"/>
  <c r="H24" i="6386"/>
  <c r="C26" i="6386"/>
  <c r="H34" i="6386"/>
  <c r="H42" i="6386"/>
  <c r="H50" i="6386"/>
  <c r="C25" i="6386"/>
  <c r="H28" i="6386"/>
  <c r="H35" i="6386"/>
  <c r="H43" i="6386"/>
  <c r="H4" i="6386"/>
  <c r="H3" i="6386"/>
  <c r="C41" i="6386"/>
  <c r="H17" i="6386"/>
  <c r="H20" i="6386"/>
  <c r="C22" i="6386"/>
  <c r="B27" i="6386"/>
  <c r="C43" i="6386"/>
  <c r="H52" i="6386"/>
  <c r="H40" i="6386"/>
  <c r="H44" i="6386"/>
  <c r="H48" i="6386"/>
  <c r="H23" i="6386"/>
  <c r="H13" i="6386"/>
  <c r="H27" i="6386"/>
  <c r="H30" i="6386"/>
  <c r="H36" i="6386"/>
  <c r="C40" i="6386"/>
  <c r="C44" i="6386"/>
  <c r="C48" i="6386"/>
  <c r="H37" i="6386"/>
  <c r="H41" i="6386"/>
  <c r="H45" i="6386"/>
  <c r="H49" i="6386"/>
  <c r="H26" i="6386"/>
  <c r="H15" i="6386"/>
  <c r="H33" i="6386"/>
  <c r="C38" i="6386"/>
  <c r="C42" i="6386"/>
  <c r="C46" i="6386"/>
  <c r="C19" i="6382"/>
  <c r="H22" i="6382"/>
  <c r="B28" i="6382"/>
  <c r="H19" i="6382"/>
  <c r="H11" i="6382"/>
  <c r="C24" i="6382"/>
  <c r="B27" i="6382"/>
  <c r="H10" i="6382"/>
  <c r="H2" i="6384"/>
  <c r="C24" i="6384"/>
  <c r="H31" i="6384"/>
  <c r="H37" i="6384"/>
  <c r="H42" i="6384"/>
  <c r="H48" i="6384"/>
  <c r="H38" i="6384"/>
  <c r="C37" i="6384"/>
  <c r="H44" i="6384"/>
  <c r="H49" i="6384"/>
  <c r="H9" i="6384"/>
  <c r="H32" i="6384"/>
  <c r="H26" i="6384"/>
  <c r="H20" i="6384"/>
  <c r="H23" i="6384"/>
  <c r="H29" i="6384"/>
  <c r="H19" i="6384"/>
  <c r="H39" i="6384"/>
  <c r="C43" i="6384"/>
  <c r="C48" i="6384"/>
  <c r="H3" i="6384"/>
  <c r="C47" i="6384"/>
  <c r="H11" i="6384"/>
  <c r="H50" i="6384"/>
  <c r="C20" i="6384"/>
  <c r="H10" i="6384"/>
  <c r="C26" i="6384"/>
  <c r="H40" i="6384"/>
  <c r="H5" i="6384"/>
  <c r="H24" i="6384"/>
  <c r="C22" i="6384"/>
  <c r="H30" i="6384"/>
  <c r="H35" i="6384"/>
  <c r="C39" i="6384"/>
  <c r="C44" i="6384"/>
  <c r="H51" i="6384"/>
  <c r="H22" i="6384"/>
  <c r="H15" i="6384"/>
  <c r="C25" i="6384"/>
  <c r="H33" i="6384"/>
  <c r="H6" i="6384"/>
  <c r="H14" i="6384"/>
  <c r="H21" i="6384"/>
  <c r="H27" i="6384"/>
  <c r="B27" i="6384"/>
  <c r="H36" i="6384"/>
  <c r="H41" i="6384"/>
  <c r="H46" i="6384"/>
  <c r="H4" i="6384"/>
  <c r="H18" i="6384"/>
  <c r="H43" i="6384"/>
  <c r="H8" i="6384"/>
  <c r="H25" i="6384"/>
  <c r="H45" i="6384"/>
  <c r="H12" i="6384"/>
  <c r="H17" i="6384"/>
  <c r="H13" i="6384"/>
  <c r="C23" i="6384"/>
  <c r="B28" i="6384"/>
  <c r="C40" i="6384"/>
  <c r="H47" i="6384"/>
  <c r="H52" i="6384"/>
  <c r="C41" i="6384"/>
  <c r="C45" i="6384"/>
  <c r="C49" i="6384"/>
  <c r="H28" i="6384"/>
  <c r="H7" i="6384"/>
  <c r="H34" i="6384"/>
  <c r="C38" i="6384"/>
  <c r="C42" i="6384"/>
  <c r="C46" i="6384"/>
  <c r="C41" i="6382"/>
  <c r="H44" i="6382"/>
  <c r="C20" i="6382"/>
  <c r="H32" i="6382"/>
  <c r="H7" i="6382"/>
  <c r="H25" i="6382"/>
  <c r="C43" i="6382"/>
  <c r="H12" i="6382"/>
  <c r="C22" i="6382"/>
  <c r="H4" i="6382"/>
  <c r="H29" i="6382"/>
  <c r="H38" i="6382"/>
  <c r="C47" i="6382"/>
  <c r="H43" i="6382"/>
  <c r="H16" i="6382"/>
  <c r="H48" i="6382"/>
  <c r="H6" i="6382"/>
  <c r="H26" i="6382"/>
  <c r="C23" i="6382"/>
  <c r="C37" i="6382"/>
  <c r="H49" i="6382"/>
  <c r="H50" i="6382"/>
  <c r="H14" i="6382"/>
  <c r="H24" i="6382"/>
  <c r="H40" i="6382"/>
  <c r="H45" i="6382"/>
  <c r="C49" i="6382"/>
  <c r="H46" i="6382"/>
  <c r="H51" i="6382"/>
  <c r="C25" i="6382"/>
  <c r="H20" i="6382"/>
  <c r="C26" i="6382"/>
  <c r="H35" i="6382"/>
  <c r="H41" i="6382"/>
  <c r="C45" i="6382"/>
  <c r="H5" i="6382"/>
  <c r="H33" i="6382"/>
  <c r="C39" i="6382"/>
  <c r="H3" i="6382"/>
  <c r="H28" i="6382"/>
  <c r="H2" i="6382"/>
  <c r="H9" i="6382"/>
  <c r="H21" i="6382"/>
  <c r="H31" i="6382"/>
  <c r="H36" i="6382"/>
  <c r="H42" i="6382"/>
  <c r="H47" i="6382"/>
  <c r="H52" i="6382"/>
  <c r="H27" i="6382"/>
  <c r="H13" i="6382"/>
  <c r="H30" i="6382"/>
  <c r="H17" i="6382"/>
  <c r="H37" i="6382"/>
  <c r="C40" i="6382"/>
  <c r="C44" i="6382"/>
  <c r="C48" i="6382"/>
  <c r="H23" i="6382"/>
  <c r="H8" i="6382"/>
  <c r="H34" i="6382"/>
  <c r="C38" i="6382"/>
  <c r="C42" i="6382"/>
  <c r="C46" i="638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<sst xmlns="http://schemas.openxmlformats.org/spreadsheetml/2006/main" count="2859" uniqueCount="214">
  <si>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</si>
  <si>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</si>
  <si>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</si>
  <si>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</si>
  <si>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</si>
  <si>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</si>
  <si>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</si>
  <si>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</si>
  <si>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</si>
  <si>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</si>
  <si>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</si>
  <si>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</si>
  <si>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</si>
  <si>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</si>
  <si>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</si>
  <si>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</si>
  <si>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</si>
  <si>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</si>
  <si>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</si>
  <si>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</si>
  <si>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</si>
  <si>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</si>
  <si>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</si>
  <si>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</si>
  <si>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</si>
  <si>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</si>
  <si>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</si>
  <si>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</si>
  <si>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</si>
  <si>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</si>
  <si>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</si>
  <si>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</si>
  <si>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</si>
  <si>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</si>
  <si>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</si>
  <si>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</si>
  <si>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</si>
  <si>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</si>
  <si>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</si>
  <si>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</si>
  <si>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</si>
  <si>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</si>
  <si>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</si>
  <si>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</si>
  <si>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</si>
  <si>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</si>
  <si>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</si>
  <si>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</si>
  <si>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</si>
  <si>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</si>
  <si>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</si>
  <si>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</si>
  <si>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</si>
  <si>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</si>
  <si>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</si>
  <si>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</si>
  <si>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</si>
  <si>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</si>
  <si>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</si>
  <si>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</si>
  <si>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</si>
  <si>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</si>
  <si>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</si>
  <si>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</si>
  <si>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</si>
  <si>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</si>
  <si>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</si>
  <si>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</si>
  <si>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</si>
  <si>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</si>
  <si>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</si>
  <si>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</si>
  <si>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</si>
  <si>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</si>
  <si>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</si>
  <si>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</si>
  <si>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</si>
  <si>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</si>
  <si>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</si>
  <si>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</si>
  <si>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</si>
  <si>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</si>
  <si>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</si>
  <si>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</si>
  <si>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</si>
  <si>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</si>
  <si>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</si>
  <si>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</si>
  <si>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</si>
  <si>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</si>
  <si>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</si>
  <si>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</si>
  <si>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</si>
  <si>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</si>
  <si>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</si>
  <si>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</si>
  <si>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</si>
  <si>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</si>
  <si>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</si>
  <si>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</si>
  <si>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</si>
  <si>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</si>
  <si>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</si>
  <si>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</si>
  <si>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</si>
  <si>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</si>
  <si>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</si>
  <si>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</si>
  <si>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</si>
  <si>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</si>
  <si>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</si>
  <si>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</si>
  <si>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</si>
  <si>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</si>
  <si>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</si>
  <si>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</si>
  <si>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</si>
  <si>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</si>
  <si>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</si>
  <si>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</si>
  <si>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</si>
  <si>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</si>
  <si>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</si>
  <si>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</si>
  <si>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</si>
  <si>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</si>
  <si>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</si>
  <si>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</si>
  <si>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</si>
  <si>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</si>
  <si>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</si>
  <si>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</si>
  <si>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</si>
  <si>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</si>
  <si>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</si>
  <si>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</si>
  <si>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</si>
  <si>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</si>
  <si>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</si>
  <si>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</si>
  <si>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</si>
  <si>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</si>
  <si>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</si>
  <si>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</si>
  <si>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</si>
  <si>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</si>
  <si>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</si>
  <si>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</si>
  <si>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</si>
  <si>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</si>
  <si>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</si>
  <si>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</si>
  <si>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</si>
  <si>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</si>
  <si>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</si>
  <si>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</si>
  <si>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</si>
  <si>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</si>
  <si>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</si>
  <si>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</si>
  <si>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</si>
  <si>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</si>
  <si>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</si>
  <si>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</si>
  <si>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</si>
  <si>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</si>
  <si>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</si>
  <si>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</si>
  <si>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</si>
  <si>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</si>
  <si>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</si>
  <si>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</si>
  <si>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</si>
  <si>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</si>
  <si>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</si>
  <si>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</si>
  <si>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</si>
  <si>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</si>
  <si>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</si>
  <si>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</si>
  <si>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</si>
  <si>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</si>
  <si>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</si>
  <si>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</si>
  <si>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</si>
  <si>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</si>
  <si>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</si>
  <si>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</si>
  <si>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</si>
  <si>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</si>
  <si>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</si>
  <si>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</si>
  <si>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</si>
  <si>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</si>
  <si>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</si>
  <si>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</si>
  <si>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</si>
  <si>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</si>
  <si>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</si>
  <si>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</si>
  <si>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</si>
  <si>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</si>
  <si>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</si>
  <si>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</si>
  <si>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</si>
  <si>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</si>
  <si>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</si>
  <si>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</si>
  <si>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</si>
  <si>
    <t>2020-10-08@0.xlsm</t>
  </si>
  <si>
    <t>2020-10-09@0.xlsm</t>
  </si>
  <si>
    <t>レーティング</t>
    <phoneticPr fontId="1"/>
  </si>
  <si>
    <t>R</t>
    <phoneticPr fontId="1"/>
  </si>
  <si>
    <t>2020-10-10@0.xlsm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</si>
</sst>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19-4182-9FE2-B81439A41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</c:v>
                </c:pt>
                <c:pt idx="1">
                  <c:v>41.666666666666664</c:v>
                </c:pt>
                <c:pt idx="2">
                  <c:v>-13.888888888888889</c:v>
                </c:pt>
                <c:pt idx="3">
                  <c:v>15.151515151515152</c:v>
                </c:pt>
                <c:pt idx="4">
                  <c:v>-16.666666666666668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D-4C8E-B75F-964920D95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38</c:v>
                </c:pt>
                <c:pt idx="2">
                  <c:v>33</c:v>
                </c:pt>
                <c:pt idx="3">
                  <c:v>29</c:v>
                </c:pt>
                <c:pt idx="4">
                  <c:v>21</c:v>
                </c:pt>
                <c:pt idx="5">
                  <c:v>24</c:v>
                </c:pt>
                <c:pt idx="6">
                  <c:v>12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1-420B-960C-F6A748968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全体!$M$2:$M$77</c:f>
              <c:numCache>
                <c:formatCode>0</c:formatCode>
                <c:ptCount val="76"/>
                <c:pt idx="0">
                  <c:v>1500</c:v>
                </c:pt>
                <c:pt idx="1">
                  <c:v>1503.7619999999999</c:v>
                </c:pt>
                <c:pt idx="2">
                  <c:v>1498.1594279999999</c:v>
                </c:pt>
                <c:pt idx="3">
                  <c:v>1499.9884714319999</c:v>
                </c:pt>
                <c:pt idx="4">
                  <c:v>1504.7225406034079</c:v>
                </c:pt>
                <c:pt idx="5">
                  <c:v>1492.4722053597875</c:v>
                </c:pt>
                <c:pt idx="6">
                  <c:v>1500.0053721276288</c:v>
                </c:pt>
                <c:pt idx="7">
                  <c:v>1493.9813398948629</c:v>
                </c:pt>
                <c:pt idx="8">
                  <c:v>1504.0494518554938</c:v>
                </c:pt>
                <c:pt idx="9">
                  <c:v>1500.0891551443608</c:v>
                </c:pt>
                <c:pt idx="10">
                  <c:v>1494.5866202134946</c:v>
                </c:pt>
                <c:pt idx="11">
                  <c:v>1494.0491004922137</c:v>
                </c:pt>
                <c:pt idx="12">
                  <c:v>1500.2288058892605</c:v>
                </c:pt>
                <c:pt idx="13">
                  <c:v>1509.0654330539248</c:v>
                </c:pt>
                <c:pt idx="14">
                  <c:v>1500.8390404556012</c:v>
                </c:pt>
                <c:pt idx="15">
                  <c:v>1500.2220062128677</c:v>
                </c:pt>
                <c:pt idx="16">
                  <c:v>1498.1926741755904</c:v>
                </c:pt>
                <c:pt idx="17">
                  <c:v>1500.3515181305368</c:v>
                </c:pt>
                <c:pt idx="18">
                  <c:v>1500.4094090217536</c:v>
                </c:pt>
                <c:pt idx="19">
                  <c:v>1496.308952567623</c:v>
                </c:pt>
                <c:pt idx="20">
                  <c:v>1494.9150988522172</c:v>
                </c:pt>
                <c:pt idx="21">
                  <c:v>1500.6396082591039</c:v>
                </c:pt>
                <c:pt idx="22">
                  <c:v>1499.8377706095491</c:v>
                </c:pt>
                <c:pt idx="23">
                  <c:v>1507.4647439858918</c:v>
                </c:pt>
                <c:pt idx="24">
                  <c:v>1500.5739555219764</c:v>
                </c:pt>
                <c:pt idx="25">
                  <c:v>1495.5245117888444</c:v>
                </c:pt>
                <c:pt idx="26">
                  <c:v>1499.1453647181113</c:v>
                </c:pt>
                <c:pt idx="27">
                  <c:v>1500.5844925298027</c:v>
                </c:pt>
                <c:pt idx="28">
                  <c:v>1507.2709855746239</c:v>
                </c:pt>
                <c:pt idx="29">
                  <c:v>1500.0753596611762</c:v>
                </c:pt>
                <c:pt idx="30">
                  <c:v>1500.6809075032093</c:v>
                </c:pt>
                <c:pt idx="31">
                  <c:v>1509.6528220581899</c:v>
                </c:pt>
                <c:pt idx="32">
                  <c:v>1507.3389051258407</c:v>
                </c:pt>
                <c:pt idx="33">
                  <c:v>1500.7188716950857</c:v>
                </c:pt>
                <c:pt idx="34">
                  <c:v>1506.7265584649151</c:v>
                </c:pt>
                <c:pt idx="35">
                  <c:v>1496.9661991141256</c:v>
                </c:pt>
                <c:pt idx="36">
                  <c:v>1500.5844019194408</c:v>
                </c:pt>
                <c:pt idx="37">
                  <c:v>1494.3528955079241</c:v>
                </c:pt>
                <c:pt idx="38">
                  <c:v>1496.2587781348766</c:v>
                </c:pt>
                <c:pt idx="39">
                  <c:v>1500.5292254660674</c:v>
                </c:pt>
                <c:pt idx="40">
                  <c:v>1495.360050113271</c:v>
                </c:pt>
                <c:pt idx="41">
                  <c:v>1496.5398898125914</c:v>
                </c:pt>
                <c:pt idx="42">
                  <c:v>1500.6286504737159</c:v>
                </c:pt>
                <c:pt idx="43">
                  <c:v>1505.4428785708735</c:v>
                </c:pt>
                <c:pt idx="44">
                  <c:v>1499.4642212994484</c:v>
                </c:pt>
                <c:pt idx="45">
                  <c:v>1500.6854359716517</c:v>
                </c:pt>
                <c:pt idx="46">
                  <c:v>1495.6713233558219</c:v>
                </c:pt>
                <c:pt idx="47">
                  <c:v>1509.7672954156869</c:v>
                </c:pt>
                <c:pt idx="48">
                  <c:v>1500.7386916431929</c:v>
                </c:pt>
                <c:pt idx="49">
                  <c:v>1496.9782594933338</c:v>
                </c:pt>
                <c:pt idx="50">
                  <c:v>1496.1563899363737</c:v>
                </c:pt>
                <c:pt idx="51">
                  <c:v>1501.0634515967554</c:v>
                </c:pt>
                <c:pt idx="52">
                  <c:v>1496.7010708871749</c:v>
                </c:pt>
                <c:pt idx="53">
                  <c:v>1497.4408644618518</c:v>
                </c:pt>
                <c:pt idx="54">
                  <c:v>1501.0922192750807</c:v>
                </c:pt>
                <c:pt idx="55">
                  <c:v>1497.9416659594301</c:v>
                </c:pt>
                <c:pt idx="56">
                  <c:v>1501.2000159636734</c:v>
                </c:pt>
                <c:pt idx="57">
                  <c:v>1501.1088158678913</c:v>
                </c:pt>
                <c:pt idx="58">
                  <c:v>1504.1861629726839</c:v>
                </c:pt>
                <c:pt idx="59">
                  <c:v>1503.7170459948477</c:v>
                </c:pt>
                <c:pt idx="60">
                  <c:v>1501.3427437188786</c:v>
                </c:pt>
                <c:pt idx="61">
                  <c:v>1498.8986872565654</c:v>
                </c:pt>
                <c:pt idx="62">
                  <c:v>1494.363295133026</c:v>
                </c:pt>
                <c:pt idx="63">
                  <c:v>1501.6271153622279</c:v>
                </c:pt>
                <c:pt idx="64">
                  <c:v>1498.1373526700545</c:v>
                </c:pt>
                <c:pt idx="65">
                  <c:v>1492.6345285540342</c:v>
                </c:pt>
                <c:pt idx="66">
                  <c:v>1501.92472138271</c:v>
                </c:pt>
                <c:pt idx="67">
                  <c:v>1497.1911730544136</c:v>
                </c:pt>
                <c:pt idx="68">
                  <c:v>1503.3580260160873</c:v>
                </c:pt>
                <c:pt idx="69">
                  <c:v>1502.1618778599907</c:v>
                </c:pt>
                <c:pt idx="70">
                  <c:v>1497.8229065928308</c:v>
                </c:pt>
                <c:pt idx="71">
                  <c:v>1497.9199691532738</c:v>
                </c:pt>
                <c:pt idx="72">
                  <c:v>1502.372449338354</c:v>
                </c:pt>
                <c:pt idx="73">
                  <c:v>1503.894214642324</c:v>
                </c:pt>
                <c:pt idx="74">
                  <c:v>1508.3588493544701</c:v>
                </c:pt>
                <c:pt idx="75">
                  <c:v>1502.4646962583433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A-4FD1-B7AB-4F9092D5E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5-465A-A5BF-6D398660C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2283.3333333333335</c:v>
                </c:pt>
                <c:pt idx="1">
                  <c:v>-717.64705882352939</c:v>
                </c:pt>
                <c:pt idx="2">
                  <c:v>1088.2352941176471</c:v>
                </c:pt>
                <c:pt idx="3">
                  <c:v>1081.25</c:v>
                </c:pt>
                <c:pt idx="4">
                  <c:v>-473.33333333333331</c:v>
                </c:pt>
                <c:pt idx="5">
                  <c:v>-1971.4285714285713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4-40CB-9C18-2953739CD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7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A-463A-9275-2FB1559FB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だいち!$M$2:$M$20</c:f>
              <c:numCache>
                <c:formatCode>0</c:formatCode>
                <c:ptCount val="19"/>
                <c:pt idx="0">
                  <c:v>1500</c:v>
                </c:pt>
                <c:pt idx="1">
                  <c:v>1503.7619999999999</c:v>
                </c:pt>
                <c:pt idx="2">
                  <c:v>1511.2274279999999</c:v>
                </c:pt>
                <c:pt idx="3">
                  <c:v>1507.2240634319999</c:v>
                </c:pt>
                <c:pt idx="4">
                  <c:v>1513.3247190514078</c:v>
                </c:pt>
                <c:pt idx="5">
                  <c:v>1522.0827707370993</c:v>
                </c:pt>
                <c:pt idx="6">
                  <c:v>1519.9222741126766</c:v>
                </c:pt>
                <c:pt idx="7">
                  <c:v>1518.3867404680007</c:v>
                </c:pt>
                <c:pt idx="8">
                  <c:v>1524.9664200251927</c:v>
                </c:pt>
                <c:pt idx="9">
                  <c:v>1522.5606215050416</c:v>
                </c:pt>
                <c:pt idx="10">
                  <c:v>1523.6432577760113</c:v>
                </c:pt>
                <c:pt idx="11">
                  <c:v>1537.5713982293553</c:v>
                </c:pt>
                <c:pt idx="12">
                  <c:v>1542.229969839979</c:v>
                </c:pt>
                <c:pt idx="13">
                  <c:v>1541.5325900209391</c:v>
                </c:pt>
                <c:pt idx="14">
                  <c:v>1538.8473944808134</c:v>
                </c:pt>
                <c:pt idx="15">
                  <c:v>1533.1003101139286</c:v>
                </c:pt>
                <c:pt idx="16">
                  <c:v>1528.1797082532451</c:v>
                </c:pt>
                <c:pt idx="17">
                  <c:v>1528.0946300037256</c:v>
                </c:pt>
                <c:pt idx="18">
                  <c:v>1532.4140622237032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E-4005-83DB-0E6CAC0BB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7D-46DB-83CC-B0B3CC469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6-4C5C-8421-2CDE0332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8-40A4-AF03-F278EE0D0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1500</c:v>
                </c:pt>
                <c:pt idx="1">
                  <c:v>1494.42</c:v>
                </c:pt>
                <c:pt idx="2">
                  <c:v>1482.2314800000001</c:v>
                </c:pt>
                <c:pt idx="3">
                  <c:v>1488.3500911200001</c:v>
                </c:pt>
                <c:pt idx="4">
                  <c:v>1482.19199057328</c:v>
                </c:pt>
                <c:pt idx="5">
                  <c:v>1476.3528386298403</c:v>
                </c:pt>
                <c:pt idx="6">
                  <c:v>1467.5247215980612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8-41DF-BB96-941AA4047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1-44B5-BA49-EC566341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51-4F90-9085-607569072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7-475D-A35B-1DECE637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たかの!$M$2:$M$8</c:f>
              <c:numCache>
                <c:formatCode>0</c:formatCode>
                <c:ptCount val="7"/>
                <c:pt idx="0">
                  <c:v>1500</c:v>
                </c:pt>
                <c:pt idx="1">
                  <c:v>1501.818</c:v>
                </c:pt>
                <c:pt idx="2">
                  <c:v>1506.5410919999999</c:v>
                </c:pt>
                <c:pt idx="3">
                  <c:v>1506.561845448</c:v>
                </c:pt>
                <c:pt idx="4">
                  <c:v>1502.424474375312</c:v>
                </c:pt>
                <c:pt idx="5">
                  <c:v>1501.5699275290601</c:v>
                </c:pt>
                <c:pt idx="6">
                  <c:v>1504.6445079638859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E-43BF-A4A3-C178FAB4D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D-427F-B039-FB8C8429D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5-47DD-9B62-B4C19D3F0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C-4949-8CF5-307039BEA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1500</c:v>
                </c:pt>
                <c:pt idx="1">
                  <c:v>1493.9760000000001</c:v>
                </c:pt>
                <c:pt idx="2">
                  <c:v>1493.4421440000001</c:v>
                </c:pt>
                <c:pt idx="3">
                  <c:v>1492.8694911360001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3-487A-B29D-BC0EAFCD5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3A0-A981-B47845B31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1-405D-AFE5-0D6574E03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7-46CB-95E1-50A710C0D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いちかわ!$M$2:$M$15</c:f>
              <c:numCache>
                <c:formatCode>0</c:formatCode>
                <c:ptCount val="14"/>
                <c:pt idx="0">
                  <c:v>1500</c:v>
                </c:pt>
                <c:pt idx="1">
                  <c:v>1510.0319999999999</c:v>
                </c:pt>
                <c:pt idx="2">
                  <c:v>1504.4698079999998</c:v>
                </c:pt>
                <c:pt idx="3">
                  <c:v>1496.2709891519999</c:v>
                </c:pt>
                <c:pt idx="4">
                  <c:v>1495.495363217088</c:v>
                </c:pt>
                <c:pt idx="5">
                  <c:v>1490.4763910377853</c:v>
                </c:pt>
                <c:pt idx="6">
                  <c:v>1494.1335326915587</c:v>
                </c:pt>
                <c:pt idx="7">
                  <c:v>1496.0407314954093</c:v>
                </c:pt>
                <c:pt idx="8">
                  <c:v>1500.1324871064369</c:v>
                </c:pt>
                <c:pt idx="9">
                  <c:v>1503.7676921837983</c:v>
                </c:pt>
                <c:pt idx="10">
                  <c:v>1501.3930860306955</c:v>
                </c:pt>
                <c:pt idx="11">
                  <c:v>1496.8427275145114</c:v>
                </c:pt>
                <c:pt idx="12">
                  <c:v>1506.1076711494243</c:v>
                </c:pt>
                <c:pt idx="13">
                  <c:v>1512.2210251225276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C-4F7A-B7D0-D49A4087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2-4684-AA25-F68A4B4E5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833.33333333333337</c:v>
                </c:pt>
                <c:pt idx="1">
                  <c:v>800</c:v>
                </c:pt>
                <c:pt idx="2">
                  <c:v>2937.5</c:v>
                </c:pt>
                <c:pt idx="3">
                  <c:v>1275</c:v>
                </c:pt>
                <c:pt idx="4">
                  <c:v>-650</c:v>
                </c:pt>
                <c:pt idx="5">
                  <c:v>-2614.2857142857142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4-4CA9-8FC0-F9AFEA2BD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E-482D-92EE-6E81902AB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ただ!$M$2:$M$11</c:f>
              <c:numCache>
                <c:formatCode>0</c:formatCode>
                <c:ptCount val="10"/>
                <c:pt idx="0">
                  <c:v>1500</c:v>
                </c:pt>
                <c:pt idx="1">
                  <c:v>1502.1479999999999</c:v>
                </c:pt>
                <c:pt idx="2">
                  <c:v>1507.8291119999999</c:v>
                </c:pt>
                <c:pt idx="3">
                  <c:v>1508.9341373279999</c:v>
                </c:pt>
                <c:pt idx="4">
                  <c:v>1513.6985325040318</c:v>
                </c:pt>
                <c:pt idx="5">
                  <c:v>1508.6063413090076</c:v>
                </c:pt>
                <c:pt idx="6">
                  <c:v>1504.7987032611536</c:v>
                </c:pt>
                <c:pt idx="7">
                  <c:v>1504.6859110415867</c:v>
                </c:pt>
                <c:pt idx="8">
                  <c:v>1500.3317955753371</c:v>
                </c:pt>
                <c:pt idx="9">
                  <c:v>1501.8658048018851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8-4976-BB9A-7C8BBA04F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C-45EC-B962-41775ED9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F-48B4-8297-FDF5D8A19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C-4B07-830E-3486FB118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たか!$M$2:$M$12</c:f>
              <c:numCache>
                <c:formatCode>0</c:formatCode>
                <c:ptCount val="11"/>
                <c:pt idx="0">
                  <c:v>1500</c:v>
                </c:pt>
                <c:pt idx="1">
                  <c:v>1507.626</c:v>
                </c:pt>
                <c:pt idx="2">
                  <c:v>1509.014244</c:v>
                </c:pt>
                <c:pt idx="3">
                  <c:v>1501.8081585360001</c:v>
                </c:pt>
                <c:pt idx="4">
                  <c:v>1510.7733095847841</c:v>
                </c:pt>
                <c:pt idx="5">
                  <c:v>1500.9886697272755</c:v>
                </c:pt>
                <c:pt idx="6">
                  <c:v>1505.2307377089119</c:v>
                </c:pt>
                <c:pt idx="7">
                  <c:v>1500.0333532826585</c:v>
                </c:pt>
                <c:pt idx="8">
                  <c:v>1507.2631531629625</c:v>
                </c:pt>
                <c:pt idx="9">
                  <c:v>1503.7395742439846</c:v>
                </c:pt>
                <c:pt idx="10">
                  <c:v>1502.5411367985207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3-449C-A8B9-09D4E8274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6-4305-8726-A45E979D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3-4488-9320-7F3FC986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D-4223-AA28-0D2B36DAB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1500</c:v>
                </c:pt>
                <c:pt idx="1">
                  <c:v>1493.154</c:v>
                </c:pt>
                <c:pt idx="2">
                  <c:v>1496.789076</c:v>
                </c:pt>
                <c:pt idx="3">
                  <c:v>1497.4143415440001</c:v>
                </c:pt>
                <c:pt idx="4">
                  <c:v>1490.8538554947361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3-4465-980C-4585DD7A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7-426C-B2B4-31F2EC382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1-452B-9B2E-FD08F9780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C-4F73-8126-1A28110D2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1500</c:v>
                </c:pt>
                <c:pt idx="1">
                  <c:v>1495.644</c:v>
                </c:pt>
                <c:pt idx="2">
                  <c:v>1498.9161360000001</c:v>
                </c:pt>
                <c:pt idx="3">
                  <c:v>1503.362639184</c:v>
                </c:pt>
                <c:pt idx="4">
                  <c:v>1497.4984633488959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8-4F5F-AD6C-0EBDAE40F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2-4AF0-8552-84F6B40C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0-4027-8AB3-51CB12B1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E-4EF7-9E82-061B2E15F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1500.72</c:v>
                </c:pt>
                <c:pt idx="2">
                  <c:v>1497.57168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5-4C8F-B28C-288E96542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わさび2!$B$1:$B$2</c:f>
              <c:strCache>
                <c:ptCount val="2"/>
                <c:pt idx="0">
                  <c:v>わさび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わさび2!$C$1:$C$2</c:f>
              <c:strCache>
                <c:ptCount val="2"/>
                <c:pt idx="0">
                  <c:v>わさび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わさび2!$C$3:$C$5</c:f>
              <c:numCache>
                <c:formatCode>\+0.0;\-0.0;\±0</c:formatCode>
                <c:ptCount val="3"/>
                <c:pt idx="1">
                  <c:v>4</c:v>
                </c:pt>
                <c:pt idx="2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947806286936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わさび2!$D$1:$D$2</c:f>
              <c:strCache>
                <c:ptCount val="2"/>
                <c:pt idx="0">
                  <c:v>わさび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わさび2!$D$3:$D$5</c:f>
              <c:numCache>
                <c:formatCode>0.00\ "位"</c:formatCode>
                <c:ptCount val="3"/>
                <c:pt idx="1">
                  <c:v>2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わさび2!$E$1:$E$2</c:f>
              <c:strCache>
                <c:ptCount val="2"/>
                <c:pt idx="0">
                  <c:v>わさび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わさび2!$F$1:$F$2</c:f>
              <c:strCache>
                <c:ptCount val="2"/>
                <c:pt idx="0">
                  <c:v>わさび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わさび2!$F$3:$F$5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わさび2!$G$1:$G$2</c:f>
              <c:strCache>
                <c:ptCount val="2"/>
                <c:pt idx="0">
                  <c:v>わさび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わさび2!$G$3:$G$5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46537842190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わさび2!$H$1:$H$2</c:f>
              <c:strCache>
                <c:ptCount val="2"/>
                <c:pt idx="0">
                  <c:v>わさび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わさび2!$H$3:$H$5</c:f>
              <c:numCache>
                <c:formatCode>0.0%</c:formatCode>
                <c:ptCount val="3"/>
                <c:pt idx="1">
                  <c:v>0.2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975845410628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わさび2!$I$1:$I$2</c:f>
              <c:strCache>
                <c:ptCount val="2"/>
                <c:pt idx="0">
                  <c:v>わさび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わさび2!$I$3:$I$5</c:f>
              <c:numCache>
                <c:formatCode>0</c:formatCode>
                <c:ptCount val="3"/>
                <c:pt idx="1">
                  <c:v>10566.666666666666</c:v>
                </c:pt>
                <c:pt idx="2">
                  <c:v>10925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3.5911602209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わさび2!$J$1:$J$2</c:f>
              <c:strCache>
                <c:ptCount val="2"/>
                <c:pt idx="0">
                  <c:v>わさび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わさび2!$J$3:$J$5</c:f>
              <c:numCache>
                <c:formatCode>0</c:formatCode>
                <c:ptCount val="3"/>
                <c:pt idx="1">
                  <c:v>-12850</c:v>
                </c:pt>
                <c:pt idx="2">
                  <c:v>-10300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7.419354838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わさび2!$K$1:$K$2</c:f>
              <c:strCache>
                <c:ptCount val="2"/>
                <c:pt idx="0">
                  <c:v>わさび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33333333333333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わさび2!$L$1:$L$2</c:f>
              <c:strCache>
                <c:ptCount val="2"/>
                <c:pt idx="0">
                  <c:v>わさび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わさび2!$L$3:$L$5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20772946859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わさび2!$M$1:$M$2</c:f>
              <c:strCache>
                <c:ptCount val="2"/>
                <c:pt idx="0">
                  <c:v>わさび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わさび2!$M$3:$M$5</c:f>
              <c:numCache>
                <c:formatCode>0.0%</c:formatCode>
                <c:ptCount val="3"/>
                <c:pt idx="1">
                  <c:v>0.3</c:v>
                </c:pt>
                <c:pt idx="2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325281803542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わさび2!$N$1:$N$2</c:f>
              <c:strCache>
                <c:ptCount val="2"/>
                <c:pt idx="0">
                  <c:v>わさび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わさび2!$N$3:$N$5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358974358974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わさび2!$O$1:$O$2</c:f>
              <c:strCache>
                <c:ptCount val="2"/>
                <c:pt idx="0">
                  <c:v>わさび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わさび2!$O$3:$O$5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94594594594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わさび2!$P$1:$P$2</c:f>
              <c:strCache>
                <c:ptCount val="2"/>
                <c:pt idx="0">
                  <c:v>わさび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618784530386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4E4364-96EA-4C8F-B415-727E7FB7B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0E088A-C505-4B4A-A10D-FF4F4F0C5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B878C0-704A-4475-85FA-D11C9E8AD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785B95-7A97-4B81-AEB2-5167050F5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F0E37F-6B07-47C5-A92B-F9C67F06A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1ADCD7-FA12-44E4-BEFB-991FBFC48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31E0CCC-442F-4C33-9D73-D8AF7C6CB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5BFA22D-5498-4BEB-B712-ABE7F925B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B5CB02-D2CD-43BD-85C1-17714CD35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F126C6-17A0-4C31-B5D3-80DF49B90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BF34E5-819F-4C93-9DD9-7A6485A83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F7C005C-277D-4052-8940-ED2A2134C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9E5830-BF31-43E5-A27E-C6DD938A9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1EEE06-DA04-4E65-BB9C-41BE25E87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C2E5DE-073B-4F5B-BEE7-E65031217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94EBAA-BC29-4B2A-8E69-A10BC904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C92E72-E748-4570-AB1A-7550C27927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1CBF21-3C84-4409-A682-5D8782AB4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0A3D86-8075-441E-B161-A231ADF8D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AE34050-CEAC-459A-A9DB-79F6D821B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436B42-C8E7-4ED8-9AF6-E0388574F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DFE1CD-1131-4D56-8E46-8DEF9BB92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6E46B3-DF8A-45BC-A7A9-9B28AD57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E6688E5-0C24-46C6-BA95-A35605F16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5E4D66-F711-4957-A828-0EE087779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B5E376-5198-403A-B1E1-C381F48E1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C8638FB-C726-4E3D-BEDD-02349D504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EBA62DB-4D24-4665-9474-FD71523A2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013308-E8BF-4376-8F82-5334A9C5D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B07771-B24F-40CC-A4E7-8C66F3D41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41474E-CC0D-4A2A-A236-DC80767BC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389005E-9062-4416-BC5F-67FC2762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3D7FEF-9EE3-4531-B8B8-C9814882D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2FE912-8BF3-4186-8141-2BD03DFCC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49543B-4D6F-4763-9017-F03E81836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EE9430F-3D74-4678-AA41-C0F8E2E96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272BF7-E46E-4792-9CF6-49DC4E01D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4E61E3-B6ED-46B4-99BC-D47831BC3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4B1BB2-A3CE-42E2-8EC9-9D6C5D06B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C13C9F0-2E58-4D40-BB10-B90C58EE0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053F45-BBA9-47C9-9A05-99A08AB16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B2F34D-8A1F-44F1-8B33-F7348B75B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ED84FB-C29D-44E4-8F91-7D7C5FB2D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03C2527-2287-42E7-852D-6CB5B4832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193</v>
      </c>
      <c r="B3" s="3">
        <v>44101.628645833334</v>
      </c>
      <c r="C3" s="2" t="s">
        <v>127</v>
      </c>
      <c r="D3" s="2" t="s">
        <v>189</v>
      </c>
      <c r="E3" s="2" t="s">
        <v>196</v>
      </c>
    </row>
    <row r="4" spans="1:6" x14ac:dyDescent="0.45">
      <c r="A4" s="2" t="s">
        <v>197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199</v>
      </c>
      <c r="B5" s="3">
        <v>44108.654826388891</v>
      </c>
      <c r="C5" s="2" t="s">
        <v>127</v>
      </c>
      <c r="D5" s="2" t="s">
        <v>189</v>
      </c>
      <c r="E5" s="2" t="s">
        <v>196</v>
      </c>
      <c r="F5" s="2" t="s">
        <v>202</v>
      </c>
    </row>
    <row r="6" spans="1:6" x14ac:dyDescent="0.45">
      <c r="A6" s="2" t="s">
        <v>203</v>
      </c>
      <c r="B6" s="3">
        <v>44108.750254629631</v>
      </c>
      <c r="C6" s="2" t="s">
        <v>127</v>
      </c>
      <c r="D6" s="2" t="s">
        <v>189</v>
      </c>
      <c r="E6" s="2" t="s">
        <v>196</v>
      </c>
      <c r="F6" s="2" t="s">
        <v>202</v>
      </c>
    </row>
    <row r="7" spans="1:6" x14ac:dyDescent="0.45">
      <c r="A7" s="2" t="s">
        <v>204</v>
      </c>
      <c r="B7" s="3">
        <v>44109.78162037037</v>
      </c>
      <c r="C7" s="2" t="s">
        <v>127</v>
      </c>
    </row>
    <row r="8" spans="1:6" x14ac:dyDescent="0.45">
      <c r="A8" s="2" t="s">
        <v>205</v>
      </c>
      <c r="B8" s="3">
        <v>44110.846435185187</v>
      </c>
      <c r="C8" s="2" t="s">
        <v>127</v>
      </c>
    </row>
    <row r="9" spans="1:6" x14ac:dyDescent="0.45">
      <c r="A9" s="2" t="s">
        <v>206</v>
      </c>
      <c r="B9" s="3">
        <v>44111.787476851852</v>
      </c>
      <c r="C9" s="2" t="s">
        <v>127</v>
      </c>
      <c r="D9" s="2" t="s">
        <v>189</v>
      </c>
    </row>
    <row r="10" spans="1:6" x14ac:dyDescent="0.45">
      <c r="A10" s="2" t="s">
        <v>209</v>
      </c>
      <c r="B10" s="3">
        <v>44112.702719907407</v>
      </c>
      <c r="C10" s="2" t="s">
        <v>127</v>
      </c>
    </row>
    <row r="11" spans="1:6" x14ac:dyDescent="0.45">
      <c r="A11" s="2" t="s">
        <v>210</v>
      </c>
      <c r="B11" s="3">
        <v>44114.010949074072</v>
      </c>
      <c r="C11" s="2" t="s">
        <v>127</v>
      </c>
      <c r="D11" s="2" t="s">
        <v>189</v>
      </c>
      <c r="E11" s="2" t="s">
        <v>196</v>
      </c>
    </row>
    <row r="12" spans="1:6" x14ac:dyDescent="0.45">
      <c r="A12" s="2" t="s">
        <v>213</v>
      </c>
      <c r="B12" s="3">
        <v>44114.784398148149</v>
      </c>
      <c r="C12" s="2" t="s">
        <v>127</v>
      </c>
      <c r="D12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75</v>
      </c>
    </row>
    <row r="2" spans="1:2" x14ac:dyDescent="0.45">
      <c r="A2" t="s">
        <v>126</v>
      </c>
      <c r="B2">
        <v>18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6</v>
      </c>
    </row>
    <row r="5" spans="1:2" x14ac:dyDescent="0.45">
      <c r="A5" t="s">
        <v>195</v>
      </c>
      <c r="B5">
        <v>3</v>
      </c>
    </row>
    <row r="6" spans="1:2" x14ac:dyDescent="0.45">
      <c r="A6" t="s">
        <v>194</v>
      </c>
      <c r="B6">
        <v>13</v>
      </c>
    </row>
    <row r="7" spans="1:2" x14ac:dyDescent="0.45">
      <c r="A7" t="s">
        <v>198</v>
      </c>
      <c r="B7">
        <v>9</v>
      </c>
    </row>
    <row r="8" spans="1:2" x14ac:dyDescent="0.45">
      <c r="A8" t="s">
        <v>201</v>
      </c>
      <c r="B8">
        <v>10</v>
      </c>
    </row>
    <row r="9" spans="1:2" x14ac:dyDescent="0.45">
      <c r="A9" t="s">
        <v>200</v>
      </c>
      <c r="B9">
        <v>4</v>
      </c>
    </row>
    <row r="10" spans="1:2" x14ac:dyDescent="0.45">
      <c r="A10" t="s">
        <v>208</v>
      </c>
      <c r="B10">
        <v>4</v>
      </c>
    </row>
    <row r="11" spans="1:2" x14ac:dyDescent="0.45">
      <c r="A11" t="s">
        <v>207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/>
      <c r="C1" s="131"/>
      <c r="E1" s="104" t="s">
        <v>155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0</v>
      </c>
      <c r="C2" s="133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4">
        <v>0</v>
      </c>
      <c r="C3" s="135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6">
        <v>0</v>
      </c>
      <c r="C4" s="137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4">
        <f>IF(B$2=0,0,B$4/B$2)</f>
        <v>0</v>
      </c>
      <c r="C5" s="125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211</v>
      </c>
      <c r="B6" s="128">
        <v>1500</v>
      </c>
      <c r="C6" s="129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8">
        <f>IF(B$2=0,0,(B$8*1+B$9*2+B$10*3)/B$2)</f>
        <v>0</v>
      </c>
      <c r="C7" s="139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187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183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166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165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158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159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6">
        <v>0</v>
      </c>
      <c r="C33" s="127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181</v>
      </c>
      <c r="B34" s="128">
        <v>-1000000</v>
      </c>
      <c r="C34" s="129"/>
      <c r="E34" s="27" t="s">
        <v>96</v>
      </c>
      <c r="F34" s="24" t="s">
        <v>51</v>
      </c>
      <c r="G34" s="12">
        <v>0</v>
      </c>
      <c r="H34" s="88">
        <f t="shared" ref="H34:H65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172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169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170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171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173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174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175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176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177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178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179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 t="s">
        <v>191</v>
      </c>
      <c r="B1" s="144" t="s">
        <v>9</v>
      </c>
      <c r="C1" s="145"/>
      <c r="D1" s="142" t="s">
        <v>6</v>
      </c>
      <c r="E1" s="143"/>
      <c r="F1" s="142" t="s">
        <v>7</v>
      </c>
      <c r="G1" s="143"/>
      <c r="H1" s="144" t="s">
        <v>211</v>
      </c>
      <c r="I1" s="145"/>
      <c r="J1" s="142" t="s">
        <v>15</v>
      </c>
      <c r="K1" s="143"/>
      <c r="L1" s="142" t="s">
        <v>14</v>
      </c>
      <c r="M1" s="143"/>
      <c r="N1" s="142" t="s">
        <v>150</v>
      </c>
      <c r="O1" s="143"/>
      <c r="P1" s="142" t="s">
        <v>143</v>
      </c>
      <c r="Q1" s="143"/>
      <c r="R1" s="142" t="s">
        <v>144</v>
      </c>
      <c r="S1" s="143"/>
      <c r="T1" s="142" t="s">
        <v>5</v>
      </c>
      <c r="U1" s="143"/>
      <c r="V1" s="142" t="s">
        <v>16</v>
      </c>
      <c r="W1" s="143"/>
      <c r="X1" s="142" t="s">
        <v>17</v>
      </c>
      <c r="Y1" s="143"/>
      <c r="Z1" s="142" t="s">
        <v>122</v>
      </c>
      <c r="AA1" s="143"/>
      <c r="AB1" s="142" t="s">
        <v>119</v>
      </c>
      <c r="AC1" s="143"/>
      <c r="AD1" s="142" t="s">
        <v>125</v>
      </c>
      <c r="AE1" s="143"/>
      <c r="AF1" s="142" t="s">
        <v>145</v>
      </c>
      <c r="AG1" s="143"/>
      <c r="AH1" s="142" t="s">
        <v>138</v>
      </c>
      <c r="AI1" s="143"/>
      <c r="AJ1" s="142" t="s">
        <v>181</v>
      </c>
      <c r="AK1" s="143"/>
    </row>
    <row r="2" spans="1:37" x14ac:dyDescent="0.45">
      <c r="A2" s="36" t="s">
        <v>149</v>
      </c>
      <c r="B2" s="140">
        <v>0.99953139660315893</v>
      </c>
      <c r="C2" s="141"/>
      <c r="D2" s="140">
        <v>0.99294394702784061</v>
      </c>
      <c r="E2" s="141"/>
      <c r="F2" s="140">
        <v>1.0000000000000002</v>
      </c>
      <c r="G2" s="141"/>
      <c r="H2" s="146"/>
      <c r="I2" s="147"/>
      <c r="J2" s="140">
        <v>0.71498513635886995</v>
      </c>
      <c r="K2" s="141"/>
      <c r="L2" s="140">
        <v>0.78934179708641206</v>
      </c>
      <c r="M2" s="141"/>
      <c r="N2" s="140">
        <v>0.69230372685468577</v>
      </c>
      <c r="O2" s="141"/>
      <c r="P2" s="140">
        <v>0.88362752858148352</v>
      </c>
      <c r="Q2" s="141"/>
      <c r="R2" s="140">
        <v>0.9506953287875809</v>
      </c>
      <c r="S2" s="141"/>
      <c r="T2" s="140">
        <v>0.99981997528583988</v>
      </c>
      <c r="U2" s="141"/>
      <c r="V2" s="140">
        <v>0.54408530551246848</v>
      </c>
      <c r="W2" s="141"/>
      <c r="X2" s="140">
        <v>0.9822533090495239</v>
      </c>
      <c r="Y2" s="141"/>
      <c r="Z2" s="140">
        <v>6.3923426627214897E-2</v>
      </c>
      <c r="AA2" s="141"/>
      <c r="AB2" s="140">
        <v>0.99983301313682094</v>
      </c>
      <c r="AC2" s="141"/>
      <c r="AD2" s="140">
        <v>0.30975613550768072</v>
      </c>
      <c r="AE2" s="141"/>
      <c r="AF2" s="140">
        <v>0.79723547382407067</v>
      </c>
      <c r="AG2" s="141"/>
      <c r="AH2" s="140">
        <v>0.88506472566003946</v>
      </c>
      <c r="AI2" s="141"/>
      <c r="AJ2" s="140">
        <v>0.97822279877537521</v>
      </c>
      <c r="AK2" s="141"/>
    </row>
    <row r="3" spans="1:37" x14ac:dyDescent="0.45">
      <c r="A3" s="38">
        <v>1</v>
      </c>
      <c r="B3" s="41" t="s">
        <v>139</v>
      </c>
      <c r="C3" s="113">
        <v>25</v>
      </c>
      <c r="D3" s="39" t="s">
        <v>126</v>
      </c>
      <c r="E3" s="40">
        <v>188.9</v>
      </c>
      <c r="F3" s="41" t="s">
        <v>126</v>
      </c>
      <c r="G3" s="60">
        <v>10.494444444444445</v>
      </c>
      <c r="H3" s="41" t="s">
        <v>126</v>
      </c>
      <c r="I3" s="45">
        <v>1532.4140622237032</v>
      </c>
      <c r="J3" s="41" t="s">
        <v>126</v>
      </c>
      <c r="K3" s="42">
        <v>1.7222222222222223</v>
      </c>
      <c r="L3" s="41" t="s">
        <v>208</v>
      </c>
      <c r="M3" s="43">
        <v>0.5</v>
      </c>
      <c r="N3" s="41" t="s">
        <v>126</v>
      </c>
      <c r="O3" s="43">
        <v>0.16666666666666666</v>
      </c>
      <c r="P3" s="41" t="s">
        <v>126</v>
      </c>
      <c r="Q3" s="44">
        <v>0.34228187919463088</v>
      </c>
      <c r="R3" s="41" t="s">
        <v>195</v>
      </c>
      <c r="S3" s="44">
        <v>4.7619047619047616E-2</v>
      </c>
      <c r="T3" s="41" t="s">
        <v>207</v>
      </c>
      <c r="U3" s="45">
        <v>10925</v>
      </c>
      <c r="V3" s="41" t="s">
        <v>195</v>
      </c>
      <c r="W3" s="45">
        <v>-3900</v>
      </c>
      <c r="X3" s="41" t="s">
        <v>126</v>
      </c>
      <c r="Y3" s="43">
        <v>0</v>
      </c>
      <c r="Z3" s="41" t="s">
        <v>190</v>
      </c>
      <c r="AA3" s="44">
        <v>0.28301886792452829</v>
      </c>
      <c r="AB3" s="41" t="s">
        <v>190</v>
      </c>
      <c r="AC3" s="44">
        <v>0.43396226415094341</v>
      </c>
      <c r="AD3" s="41" t="s">
        <v>208</v>
      </c>
      <c r="AE3" s="44">
        <v>0.77777777777777779</v>
      </c>
      <c r="AF3" s="41" t="s">
        <v>194</v>
      </c>
      <c r="AG3" s="44">
        <v>0.54545454545454541</v>
      </c>
      <c r="AH3" s="41" t="s">
        <v>207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18</v>
      </c>
      <c r="D4" s="47" t="s">
        <v>194</v>
      </c>
      <c r="E4" s="48">
        <v>65.800000000000011</v>
      </c>
      <c r="F4" s="49" t="s">
        <v>194</v>
      </c>
      <c r="G4" s="61">
        <v>5.0615384615384622</v>
      </c>
      <c r="H4" s="49" t="s">
        <v>194</v>
      </c>
      <c r="I4" s="53">
        <v>1512.2210251225276</v>
      </c>
      <c r="J4" s="49" t="s">
        <v>198</v>
      </c>
      <c r="K4" s="50">
        <v>1.8888888888888888</v>
      </c>
      <c r="L4" s="49" t="s">
        <v>126</v>
      </c>
      <c r="M4" s="51">
        <v>0.44444444444444442</v>
      </c>
      <c r="N4" s="49" t="s">
        <v>190</v>
      </c>
      <c r="O4" s="51">
        <v>0.16666666666666666</v>
      </c>
      <c r="P4" s="49" t="s">
        <v>190</v>
      </c>
      <c r="Q4" s="52">
        <v>0.33962264150943394</v>
      </c>
      <c r="R4" s="49" t="s">
        <v>198</v>
      </c>
      <c r="S4" s="52">
        <v>0.10975609756097561</v>
      </c>
      <c r="T4" s="49" t="s">
        <v>126</v>
      </c>
      <c r="U4" s="53">
        <v>9135.2941176470595</v>
      </c>
      <c r="V4" s="49" t="s">
        <v>208</v>
      </c>
      <c r="W4" s="53">
        <v>-6380</v>
      </c>
      <c r="X4" s="49" t="s">
        <v>190</v>
      </c>
      <c r="Y4" s="51">
        <v>0</v>
      </c>
      <c r="Z4" s="49" t="s">
        <v>201</v>
      </c>
      <c r="AA4" s="52">
        <v>0.26923076923076922</v>
      </c>
      <c r="AB4" s="49" t="s">
        <v>200</v>
      </c>
      <c r="AC4" s="52">
        <v>0.2857142857142857</v>
      </c>
      <c r="AD4" s="49" t="s">
        <v>194</v>
      </c>
      <c r="AE4" s="52">
        <v>0.6</v>
      </c>
      <c r="AF4" s="49" t="s">
        <v>126</v>
      </c>
      <c r="AG4" s="52">
        <v>0.54285714285714282</v>
      </c>
      <c r="AH4" s="49" t="s">
        <v>208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194</v>
      </c>
      <c r="C5" s="114">
        <v>13</v>
      </c>
      <c r="D5" s="47" t="s">
        <v>190</v>
      </c>
      <c r="E5" s="48">
        <v>24.7</v>
      </c>
      <c r="F5" s="49" t="s">
        <v>190</v>
      </c>
      <c r="G5" s="61">
        <v>4.1166666666666663</v>
      </c>
      <c r="H5" s="49" t="s">
        <v>190</v>
      </c>
      <c r="I5" s="53">
        <v>1504.6445079638859</v>
      </c>
      <c r="J5" s="49" t="s">
        <v>201</v>
      </c>
      <c r="K5" s="50">
        <v>1.9</v>
      </c>
      <c r="L5" s="49" t="s">
        <v>201</v>
      </c>
      <c r="M5" s="51">
        <v>0.4</v>
      </c>
      <c r="N5" s="49" t="s">
        <v>198</v>
      </c>
      <c r="O5" s="51">
        <v>0.22222222222222221</v>
      </c>
      <c r="P5" s="49" t="s">
        <v>198</v>
      </c>
      <c r="Q5" s="52">
        <v>0.32926829268292684</v>
      </c>
      <c r="R5" s="49" t="s">
        <v>190</v>
      </c>
      <c r="S5" s="52">
        <v>0.13207547169811321</v>
      </c>
      <c r="T5" s="49" t="s">
        <v>208</v>
      </c>
      <c r="U5" s="53">
        <v>9022.2222222222226</v>
      </c>
      <c r="V5" s="49" t="s">
        <v>126</v>
      </c>
      <c r="W5" s="53">
        <v>-6545</v>
      </c>
      <c r="X5" s="49" t="s">
        <v>195</v>
      </c>
      <c r="Y5" s="51">
        <v>0</v>
      </c>
      <c r="Z5" s="49" t="s">
        <v>126</v>
      </c>
      <c r="AA5" s="52">
        <v>0.26845637583892618</v>
      </c>
      <c r="AB5" s="49" t="s">
        <v>207</v>
      </c>
      <c r="AC5" s="52">
        <v>0.27777777777777779</v>
      </c>
      <c r="AD5" s="49" t="s">
        <v>198</v>
      </c>
      <c r="AE5" s="52">
        <v>0.6</v>
      </c>
      <c r="AF5" s="49" t="s">
        <v>198</v>
      </c>
      <c r="AG5" s="52">
        <v>0.5</v>
      </c>
      <c r="AH5" s="49" t="s">
        <v>190</v>
      </c>
      <c r="AI5" s="52">
        <v>0.55555555555555558</v>
      </c>
      <c r="AJ5" s="49" t="s">
        <v>194</v>
      </c>
      <c r="AK5" s="56">
        <v>80600</v>
      </c>
    </row>
    <row r="6" spans="1:37" x14ac:dyDescent="0.45">
      <c r="A6" s="46">
        <v>4</v>
      </c>
      <c r="B6" s="49" t="s">
        <v>201</v>
      </c>
      <c r="C6" s="114">
        <v>10</v>
      </c>
      <c r="D6" s="47" t="s">
        <v>201</v>
      </c>
      <c r="E6" s="48">
        <v>14.100000000000005</v>
      </c>
      <c r="F6" s="49" t="s">
        <v>201</v>
      </c>
      <c r="G6" s="61">
        <v>1.4100000000000006</v>
      </c>
      <c r="H6" s="49" t="s">
        <v>201</v>
      </c>
      <c r="I6" s="53">
        <v>1502.5411367985207</v>
      </c>
      <c r="J6" s="49" t="s">
        <v>194</v>
      </c>
      <c r="K6" s="50">
        <v>2</v>
      </c>
      <c r="L6" s="49" t="s">
        <v>194</v>
      </c>
      <c r="M6" s="51">
        <v>0.38461538461538464</v>
      </c>
      <c r="N6" s="49" t="s">
        <v>201</v>
      </c>
      <c r="O6" s="51">
        <v>0.3</v>
      </c>
      <c r="P6" s="49" t="s">
        <v>194</v>
      </c>
      <c r="Q6" s="52">
        <v>0.32653061224489793</v>
      </c>
      <c r="R6" s="49" t="s">
        <v>126</v>
      </c>
      <c r="S6" s="52">
        <v>0.13422818791946309</v>
      </c>
      <c r="T6" s="49" t="s">
        <v>190</v>
      </c>
      <c r="U6" s="53">
        <v>8355.5555555555547</v>
      </c>
      <c r="V6" s="49" t="s">
        <v>201</v>
      </c>
      <c r="W6" s="53">
        <v>-6907.6923076923076</v>
      </c>
      <c r="X6" s="49" t="s">
        <v>198</v>
      </c>
      <c r="Y6" s="51">
        <v>0</v>
      </c>
      <c r="Z6" s="49" t="s">
        <v>200</v>
      </c>
      <c r="AA6" s="52">
        <v>0.25714285714285712</v>
      </c>
      <c r="AB6" s="49" t="s">
        <v>164</v>
      </c>
      <c r="AC6" s="52">
        <v>0.25490196078431371</v>
      </c>
      <c r="AD6" s="49" t="s">
        <v>126</v>
      </c>
      <c r="AE6" s="52">
        <v>0.5</v>
      </c>
      <c r="AF6" s="49" t="s">
        <v>208</v>
      </c>
      <c r="AG6" s="52">
        <v>0.5</v>
      </c>
      <c r="AH6" s="49" t="s">
        <v>126</v>
      </c>
      <c r="AI6" s="52">
        <v>0.52941176470588236</v>
      </c>
      <c r="AJ6" s="49" t="s">
        <v>201</v>
      </c>
      <c r="AK6" s="56">
        <v>74600</v>
      </c>
    </row>
    <row r="7" spans="1:37" x14ac:dyDescent="0.45">
      <c r="A7" s="46">
        <v>5</v>
      </c>
      <c r="B7" s="49" t="s">
        <v>198</v>
      </c>
      <c r="C7" s="114">
        <v>9</v>
      </c>
      <c r="D7" s="47" t="s">
        <v>198</v>
      </c>
      <c r="E7" s="48">
        <v>9.6999999999999993</v>
      </c>
      <c r="F7" s="49" t="s">
        <v>198</v>
      </c>
      <c r="G7" s="61">
        <v>1.0777777777777777</v>
      </c>
      <c r="H7" s="49" t="s">
        <v>139</v>
      </c>
      <c r="I7" s="53">
        <v>1502.4646962583433</v>
      </c>
      <c r="J7" s="49" t="s">
        <v>139</v>
      </c>
      <c r="K7" s="50">
        <v>2</v>
      </c>
      <c r="L7" s="49" t="s">
        <v>139</v>
      </c>
      <c r="M7" s="51">
        <v>0.33333333333333331</v>
      </c>
      <c r="N7" s="49" t="s">
        <v>139</v>
      </c>
      <c r="O7" s="51">
        <v>0.33333333333333331</v>
      </c>
      <c r="P7" s="49" t="s">
        <v>139</v>
      </c>
      <c r="Q7" s="52">
        <v>0.29146537842190018</v>
      </c>
      <c r="R7" s="49" t="s">
        <v>208</v>
      </c>
      <c r="S7" s="52">
        <v>0.1388888888888889</v>
      </c>
      <c r="T7" s="49" t="s">
        <v>200</v>
      </c>
      <c r="U7" s="53">
        <v>8212.5</v>
      </c>
      <c r="V7" s="49" t="s">
        <v>194</v>
      </c>
      <c r="W7" s="53">
        <v>-7356.25</v>
      </c>
      <c r="X7" s="49" t="s">
        <v>200</v>
      </c>
      <c r="Y7" s="51">
        <v>0</v>
      </c>
      <c r="Z7" s="49" t="s">
        <v>194</v>
      </c>
      <c r="AA7" s="52">
        <v>0.25510204081632654</v>
      </c>
      <c r="AB7" s="49" t="s">
        <v>139</v>
      </c>
      <c r="AC7" s="52">
        <v>0.23832528180354268</v>
      </c>
      <c r="AD7" s="49" t="s">
        <v>195</v>
      </c>
      <c r="AE7" s="52">
        <v>0.5</v>
      </c>
      <c r="AF7" s="49" t="s">
        <v>139</v>
      </c>
      <c r="AG7" s="52">
        <v>0.44594594594594594</v>
      </c>
      <c r="AH7" s="49" t="s">
        <v>139</v>
      </c>
      <c r="AI7" s="52">
        <v>0.48618784530386738</v>
      </c>
      <c r="AJ7" s="49" t="s">
        <v>190</v>
      </c>
      <c r="AK7" s="56">
        <v>61300</v>
      </c>
    </row>
    <row r="8" spans="1:37" x14ac:dyDescent="0.45">
      <c r="A8" s="46">
        <v>6</v>
      </c>
      <c r="B8" s="49" t="s">
        <v>164</v>
      </c>
      <c r="C8" s="114">
        <v>6</v>
      </c>
      <c r="D8" s="47" t="s">
        <v>139</v>
      </c>
      <c r="E8" s="48">
        <v>1.4210854715202004E-14</v>
      </c>
      <c r="F8" s="49" t="s">
        <v>139</v>
      </c>
      <c r="G8" s="61">
        <v>1.8947806286936006E-16</v>
      </c>
      <c r="H8" s="49" t="s">
        <v>198</v>
      </c>
      <c r="I8" s="53">
        <v>1501.8658048018851</v>
      </c>
      <c r="J8" s="49" t="s">
        <v>190</v>
      </c>
      <c r="K8" s="50">
        <v>2</v>
      </c>
      <c r="L8" s="49" t="s">
        <v>198</v>
      </c>
      <c r="M8" s="51">
        <v>0.33333333333333331</v>
      </c>
      <c r="N8" s="49" t="s">
        <v>195</v>
      </c>
      <c r="O8" s="51">
        <v>0.33333333333333331</v>
      </c>
      <c r="P8" s="49" t="s">
        <v>208</v>
      </c>
      <c r="Q8" s="52">
        <v>0.25</v>
      </c>
      <c r="R8" s="49" t="s">
        <v>139</v>
      </c>
      <c r="S8" s="52">
        <v>0.14975845410628019</v>
      </c>
      <c r="T8" s="49" t="s">
        <v>194</v>
      </c>
      <c r="U8" s="53">
        <v>8165.625</v>
      </c>
      <c r="V8" s="49" t="s">
        <v>190</v>
      </c>
      <c r="W8" s="53">
        <v>-7571.4285714285716</v>
      </c>
      <c r="X8" s="49" t="s">
        <v>208</v>
      </c>
      <c r="Y8" s="51">
        <v>0</v>
      </c>
      <c r="Z8" s="49" t="s">
        <v>139</v>
      </c>
      <c r="AA8" s="52">
        <v>0.25120772946859904</v>
      </c>
      <c r="AB8" s="49" t="s">
        <v>195</v>
      </c>
      <c r="AC8" s="52">
        <v>0.23809523809523808</v>
      </c>
      <c r="AD8" s="49" t="s">
        <v>139</v>
      </c>
      <c r="AE8" s="52">
        <v>0.49358974358974361</v>
      </c>
      <c r="AF8" s="49" t="s">
        <v>200</v>
      </c>
      <c r="AG8" s="52">
        <v>0.4</v>
      </c>
      <c r="AH8" s="49" t="s">
        <v>201</v>
      </c>
      <c r="AI8" s="52">
        <v>0.47368421052631576</v>
      </c>
      <c r="AJ8" s="49" t="s">
        <v>164</v>
      </c>
      <c r="AK8" s="56">
        <v>58600</v>
      </c>
    </row>
    <row r="9" spans="1:37" x14ac:dyDescent="0.45">
      <c r="A9" s="46">
        <v>7</v>
      </c>
      <c r="B9" s="49" t="s">
        <v>190</v>
      </c>
      <c r="C9" s="114">
        <v>6</v>
      </c>
      <c r="D9" s="47" t="s">
        <v>207</v>
      </c>
      <c r="E9" s="48">
        <v>-13.5</v>
      </c>
      <c r="F9" s="49" t="s">
        <v>208</v>
      </c>
      <c r="G9" s="61">
        <v>-3.6749999999999989</v>
      </c>
      <c r="H9" s="49" t="s">
        <v>207</v>
      </c>
      <c r="I9" s="53">
        <v>1497.57168</v>
      </c>
      <c r="J9" s="49" t="s">
        <v>208</v>
      </c>
      <c r="K9" s="50">
        <v>2</v>
      </c>
      <c r="L9" s="49" t="s">
        <v>200</v>
      </c>
      <c r="M9" s="51">
        <v>0.25</v>
      </c>
      <c r="N9" s="49" t="s">
        <v>194</v>
      </c>
      <c r="O9" s="51">
        <v>0.38461538461538464</v>
      </c>
      <c r="P9" s="49" t="s">
        <v>201</v>
      </c>
      <c r="Q9" s="52">
        <v>0.24358974358974358</v>
      </c>
      <c r="R9" s="49" t="s">
        <v>194</v>
      </c>
      <c r="S9" s="52">
        <v>0.16326530612244897</v>
      </c>
      <c r="T9" s="49" t="s">
        <v>139</v>
      </c>
      <c r="U9" s="53">
        <v>8153.5911602209944</v>
      </c>
      <c r="V9" s="49" t="s">
        <v>198</v>
      </c>
      <c r="W9" s="53">
        <v>-7955.5555555555557</v>
      </c>
      <c r="X9" s="49" t="s">
        <v>207</v>
      </c>
      <c r="Y9" s="51">
        <v>0</v>
      </c>
      <c r="Z9" s="49" t="s">
        <v>208</v>
      </c>
      <c r="AA9" s="52">
        <v>0.25</v>
      </c>
      <c r="AB9" s="49" t="s">
        <v>126</v>
      </c>
      <c r="AC9" s="52">
        <v>0.2348993288590604</v>
      </c>
      <c r="AD9" s="49" t="s">
        <v>190</v>
      </c>
      <c r="AE9" s="52">
        <v>0.46666666666666667</v>
      </c>
      <c r="AF9" s="49" t="s">
        <v>207</v>
      </c>
      <c r="AG9" s="52">
        <v>0.4</v>
      </c>
      <c r="AH9" s="49" t="s">
        <v>194</v>
      </c>
      <c r="AI9" s="52">
        <v>0.46875</v>
      </c>
      <c r="AJ9" s="49" t="s">
        <v>198</v>
      </c>
      <c r="AK9" s="56">
        <v>56300</v>
      </c>
    </row>
    <row r="10" spans="1:37" x14ac:dyDescent="0.45">
      <c r="A10" s="46">
        <v>8</v>
      </c>
      <c r="B10" s="49" t="s">
        <v>200</v>
      </c>
      <c r="C10" s="114">
        <v>4</v>
      </c>
      <c r="D10" s="47" t="s">
        <v>208</v>
      </c>
      <c r="E10" s="48">
        <v>-14.699999999999996</v>
      </c>
      <c r="F10" s="49" t="s">
        <v>207</v>
      </c>
      <c r="G10" s="61">
        <v>-6.75</v>
      </c>
      <c r="H10" s="49" t="s">
        <v>208</v>
      </c>
      <c r="I10" s="53">
        <v>1497.4984633488959</v>
      </c>
      <c r="J10" s="49" t="s">
        <v>200</v>
      </c>
      <c r="K10" s="50">
        <v>2.25</v>
      </c>
      <c r="L10" s="49" t="s">
        <v>164</v>
      </c>
      <c r="M10" s="51">
        <v>0.16666666666666666</v>
      </c>
      <c r="N10" s="49" t="s">
        <v>200</v>
      </c>
      <c r="O10" s="51">
        <v>0.5</v>
      </c>
      <c r="P10" s="49" t="s">
        <v>200</v>
      </c>
      <c r="Q10" s="52">
        <v>0.22857142857142856</v>
      </c>
      <c r="R10" s="49" t="s">
        <v>201</v>
      </c>
      <c r="S10" s="52">
        <v>0.16666666666666666</v>
      </c>
      <c r="T10" s="49" t="s">
        <v>201</v>
      </c>
      <c r="U10" s="53">
        <v>7557.894736842105</v>
      </c>
      <c r="V10" s="49" t="s">
        <v>139</v>
      </c>
      <c r="W10" s="53">
        <v>-7977.4193548387093</v>
      </c>
      <c r="X10" s="49" t="s">
        <v>139</v>
      </c>
      <c r="Y10" s="51">
        <v>5.3333333333333337E-2</v>
      </c>
      <c r="Z10" s="49" t="s">
        <v>198</v>
      </c>
      <c r="AA10" s="52">
        <v>0.24390243902439024</v>
      </c>
      <c r="AB10" s="49" t="s">
        <v>194</v>
      </c>
      <c r="AC10" s="52">
        <v>0.22448979591836735</v>
      </c>
      <c r="AD10" s="49" t="s">
        <v>201</v>
      </c>
      <c r="AE10" s="52">
        <v>0.42857142857142855</v>
      </c>
      <c r="AF10" s="49" t="s">
        <v>190</v>
      </c>
      <c r="AG10" s="52">
        <v>0.39130434782608697</v>
      </c>
      <c r="AH10" s="49" t="s">
        <v>198</v>
      </c>
      <c r="AI10" s="52">
        <v>0.40740740740740738</v>
      </c>
      <c r="AJ10" s="49" t="s">
        <v>208</v>
      </c>
      <c r="AK10" s="56">
        <v>49300</v>
      </c>
    </row>
    <row r="11" spans="1:37" x14ac:dyDescent="0.45">
      <c r="A11" s="46">
        <v>9</v>
      </c>
      <c r="B11" s="49" t="s">
        <v>208</v>
      </c>
      <c r="C11" s="114">
        <v>4</v>
      </c>
      <c r="D11" s="47" t="s">
        <v>195</v>
      </c>
      <c r="E11" s="48">
        <v>-40.4</v>
      </c>
      <c r="F11" s="49" t="s">
        <v>200</v>
      </c>
      <c r="G11" s="61">
        <v>-12.924999999999999</v>
      </c>
      <c r="H11" s="49" t="s">
        <v>195</v>
      </c>
      <c r="I11" s="53">
        <v>1492.8694911360001</v>
      </c>
      <c r="J11" s="49" t="s">
        <v>195</v>
      </c>
      <c r="K11" s="50">
        <v>2.3333333333333335</v>
      </c>
      <c r="L11" s="49" t="s">
        <v>190</v>
      </c>
      <c r="M11" s="51">
        <v>0.16666666666666666</v>
      </c>
      <c r="N11" s="49" t="s">
        <v>208</v>
      </c>
      <c r="O11" s="51">
        <v>0.5</v>
      </c>
      <c r="P11" s="49" t="s">
        <v>207</v>
      </c>
      <c r="Q11" s="52">
        <v>0.22222222222222221</v>
      </c>
      <c r="R11" s="49" t="s">
        <v>207</v>
      </c>
      <c r="S11" s="52">
        <v>0.16666666666666666</v>
      </c>
      <c r="T11" s="49" t="s">
        <v>164</v>
      </c>
      <c r="U11" s="53">
        <v>7340</v>
      </c>
      <c r="V11" s="49" t="s">
        <v>200</v>
      </c>
      <c r="W11" s="53">
        <v>-9387.5</v>
      </c>
      <c r="X11" s="49" t="s">
        <v>194</v>
      </c>
      <c r="Y11" s="51">
        <v>7.6923076923076927E-2</v>
      </c>
      <c r="Z11" s="49" t="s">
        <v>207</v>
      </c>
      <c r="AA11" s="52">
        <v>0.22222222222222221</v>
      </c>
      <c r="AB11" s="49" t="s">
        <v>201</v>
      </c>
      <c r="AC11" s="52">
        <v>0.21794871794871795</v>
      </c>
      <c r="AD11" s="49" t="s">
        <v>164</v>
      </c>
      <c r="AE11" s="52">
        <v>0.27272727272727271</v>
      </c>
      <c r="AF11" s="49" t="s">
        <v>201</v>
      </c>
      <c r="AG11" s="52">
        <v>0.35294117647058826</v>
      </c>
      <c r="AH11" s="49" t="s">
        <v>164</v>
      </c>
      <c r="AI11" s="52">
        <v>0.3</v>
      </c>
      <c r="AJ11" s="49" t="s">
        <v>200</v>
      </c>
      <c r="AK11" s="56">
        <v>45000</v>
      </c>
    </row>
    <row r="12" spans="1:37" x14ac:dyDescent="0.45">
      <c r="A12" s="46">
        <v>10</v>
      </c>
      <c r="B12" s="49" t="s">
        <v>195</v>
      </c>
      <c r="C12" s="114">
        <v>3</v>
      </c>
      <c r="D12" s="47" t="s">
        <v>200</v>
      </c>
      <c r="E12" s="48">
        <v>-51.699999999999996</v>
      </c>
      <c r="F12" s="49" t="s">
        <v>195</v>
      </c>
      <c r="G12" s="61">
        <v>-13.466666666666667</v>
      </c>
      <c r="H12" s="49" t="s">
        <v>200</v>
      </c>
      <c r="I12" s="53">
        <v>1490.8538554947361</v>
      </c>
      <c r="J12" s="49" t="s">
        <v>207</v>
      </c>
      <c r="K12" s="50">
        <v>2.5</v>
      </c>
      <c r="L12" s="49" t="s">
        <v>195</v>
      </c>
      <c r="M12" s="51">
        <v>0</v>
      </c>
      <c r="N12" s="49" t="s">
        <v>207</v>
      </c>
      <c r="O12" s="51">
        <v>0.5</v>
      </c>
      <c r="P12" s="49" t="s">
        <v>164</v>
      </c>
      <c r="Q12" s="52">
        <v>0.19607843137254902</v>
      </c>
      <c r="R12" s="49" t="s">
        <v>164</v>
      </c>
      <c r="S12" s="52">
        <v>0.21568627450980393</v>
      </c>
      <c r="T12" s="49" t="s">
        <v>198</v>
      </c>
      <c r="U12" s="53">
        <v>6414.8148148148148</v>
      </c>
      <c r="V12" s="49" t="s">
        <v>207</v>
      </c>
      <c r="W12" s="53">
        <v>-10300</v>
      </c>
      <c r="X12" s="49" t="s">
        <v>201</v>
      </c>
      <c r="Y12" s="51">
        <v>0.1</v>
      </c>
      <c r="Z12" s="49" t="s">
        <v>164</v>
      </c>
      <c r="AA12" s="52">
        <v>0.21568627450980393</v>
      </c>
      <c r="AB12" s="49" t="s">
        <v>198</v>
      </c>
      <c r="AC12" s="52">
        <v>0.1951219512195122</v>
      </c>
      <c r="AD12" s="49" t="s">
        <v>207</v>
      </c>
      <c r="AE12" s="52">
        <v>0.25</v>
      </c>
      <c r="AF12" s="49" t="s">
        <v>164</v>
      </c>
      <c r="AG12" s="52">
        <v>0.30769230769230771</v>
      </c>
      <c r="AH12" s="49" t="s">
        <v>200</v>
      </c>
      <c r="AI12" s="52">
        <v>0.25</v>
      </c>
      <c r="AJ12" s="49" t="s">
        <v>207</v>
      </c>
      <c r="AK12" s="56">
        <v>39000</v>
      </c>
    </row>
    <row r="13" spans="1:37" x14ac:dyDescent="0.45">
      <c r="A13" s="46">
        <v>11</v>
      </c>
      <c r="B13" s="49" t="s">
        <v>207</v>
      </c>
      <c r="C13" s="114">
        <v>2</v>
      </c>
      <c r="D13" s="47" t="s">
        <v>164</v>
      </c>
      <c r="E13" s="48">
        <v>-182.90000000000003</v>
      </c>
      <c r="F13" s="49" t="s">
        <v>164</v>
      </c>
      <c r="G13" s="61">
        <v>-30.483333333333338</v>
      </c>
      <c r="H13" s="49" t="s">
        <v>164</v>
      </c>
      <c r="I13" s="53">
        <v>1467.5247215980612</v>
      </c>
      <c r="J13" s="49" t="s">
        <v>164</v>
      </c>
      <c r="K13" s="50">
        <v>2.6666666666666665</v>
      </c>
      <c r="L13" s="49" t="s">
        <v>207</v>
      </c>
      <c r="M13" s="51">
        <v>0</v>
      </c>
      <c r="N13" s="49" t="s">
        <v>164</v>
      </c>
      <c r="O13" s="51">
        <v>0.83333333333333337</v>
      </c>
      <c r="P13" s="49" t="s">
        <v>195</v>
      </c>
      <c r="Q13" s="52">
        <v>0.14285714285714285</v>
      </c>
      <c r="R13" s="49" t="s">
        <v>200</v>
      </c>
      <c r="S13" s="52">
        <v>0.22857142857142856</v>
      </c>
      <c r="T13" s="49" t="s">
        <v>195</v>
      </c>
      <c r="U13" s="53">
        <v>5800</v>
      </c>
      <c r="V13" s="49" t="s">
        <v>164</v>
      </c>
      <c r="W13" s="53">
        <v>-12463.636363636364</v>
      </c>
      <c r="X13" s="49" t="s">
        <v>164</v>
      </c>
      <c r="Y13" s="51">
        <v>0.33333333333333331</v>
      </c>
      <c r="Z13" s="49" t="s">
        <v>195</v>
      </c>
      <c r="AA13" s="52">
        <v>9.5238095238095233E-2</v>
      </c>
      <c r="AB13" s="49" t="s">
        <v>208</v>
      </c>
      <c r="AC13" s="52">
        <v>5.5555555555555552E-2</v>
      </c>
      <c r="AD13" s="49" t="s">
        <v>200</v>
      </c>
      <c r="AE13" s="52">
        <v>0.22222222222222221</v>
      </c>
      <c r="AF13" s="49" t="s">
        <v>195</v>
      </c>
      <c r="AG13" s="52">
        <v>0.2</v>
      </c>
      <c r="AH13" s="49" t="s">
        <v>195</v>
      </c>
      <c r="AI13" s="52">
        <v>0</v>
      </c>
      <c r="AJ13" s="49" t="s">
        <v>195</v>
      </c>
      <c r="AK13" s="56">
        <v>31700</v>
      </c>
    </row>
  </sheetData>
  <sortState xmlns:xlrd2="http://schemas.microsoft.com/office/spreadsheetml/2017/richdata2" ref="AJ3:AK42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0BD3-60CC-4E52-8881-0D515A309AFA}">
  <sheetPr codeName="Sheet4"/>
  <dimension ref="A1:R7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139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75</v>
      </c>
      <c r="C2" s="133"/>
      <c r="E2" s="26" t="s">
        <v>66</v>
      </c>
      <c r="F2" s="23" t="s">
        <v>22</v>
      </c>
      <c r="G2" s="11">
        <v>131</v>
      </c>
      <c r="H2" s="87">
        <f>IF(B$20=0,0,G2/B$20)</f>
        <v>0.72375690607734811</v>
      </c>
      <c r="I2" s="57">
        <v>5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-40</v>
      </c>
      <c r="Q2" s="76">
        <v>75</v>
      </c>
      <c r="R2" s="63">
        <v>-3000</v>
      </c>
    </row>
    <row r="3" spans="1:18" x14ac:dyDescent="0.45">
      <c r="A3" s="19" t="s">
        <v>8</v>
      </c>
      <c r="B3" s="134">
        <v>621</v>
      </c>
      <c r="C3" s="135"/>
      <c r="E3" s="27" t="s">
        <v>72</v>
      </c>
      <c r="F3" s="24" t="s">
        <v>27</v>
      </c>
      <c r="G3" s="12">
        <v>122</v>
      </c>
      <c r="H3" s="88">
        <f>IF(B$20=0,0,G3/B$20)</f>
        <v>0.67403314917127077</v>
      </c>
      <c r="I3" s="58">
        <v>5</v>
      </c>
      <c r="K3" s="74">
        <v>1</v>
      </c>
      <c r="L3" s="123">
        <v>20.9</v>
      </c>
      <c r="M3" s="121">
        <v>1503.7619999999999</v>
      </c>
      <c r="O3" s="74" t="s">
        <v>129</v>
      </c>
      <c r="P3" s="80">
        <f t="shared" si="0"/>
        <v>41.666666666666664</v>
      </c>
      <c r="Q3" s="77">
        <v>72</v>
      </c>
      <c r="R3" s="64">
        <v>3000</v>
      </c>
    </row>
    <row r="4" spans="1:18" x14ac:dyDescent="0.45">
      <c r="A4" s="19" t="s">
        <v>6</v>
      </c>
      <c r="B4" s="136">
        <v>1.4210854715202004E-14</v>
      </c>
      <c r="C4" s="137"/>
      <c r="E4" s="27" t="s">
        <v>64</v>
      </c>
      <c r="F4" s="24" t="s">
        <v>20</v>
      </c>
      <c r="G4" s="12">
        <v>73</v>
      </c>
      <c r="H4" s="88">
        <f>IF(B$20=0,0,G4/B$20)</f>
        <v>0.40331491712707185</v>
      </c>
      <c r="I4" s="58">
        <v>5</v>
      </c>
      <c r="K4" s="74">
        <v>2</v>
      </c>
      <c r="L4" s="123">
        <v>-10.100000000000001</v>
      </c>
      <c r="M4" s="121">
        <v>1498.1594279999999</v>
      </c>
      <c r="O4" s="74" t="s">
        <v>130</v>
      </c>
      <c r="P4" s="80">
        <f t="shared" si="0"/>
        <v>-13.888888888888889</v>
      </c>
      <c r="Q4" s="77">
        <v>72</v>
      </c>
      <c r="R4" s="64">
        <v>-1000</v>
      </c>
    </row>
    <row r="5" spans="1:18" x14ac:dyDescent="0.45">
      <c r="A5" s="19" t="s">
        <v>7</v>
      </c>
      <c r="B5" s="124">
        <f>IF(B$2=0,0,B$4/B$2)</f>
        <v>1.8947806286936006E-16</v>
      </c>
      <c r="C5" s="125"/>
      <c r="E5" s="27" t="s">
        <v>160</v>
      </c>
      <c r="F5" s="24" t="s">
        <v>161</v>
      </c>
      <c r="G5" s="12">
        <v>72</v>
      </c>
      <c r="H5" s="88">
        <f>IF(B$20=0,0,G5/B$20)</f>
        <v>0.39779005524861877</v>
      </c>
      <c r="I5" s="58">
        <v>6</v>
      </c>
      <c r="K5" s="74">
        <v>3</v>
      </c>
      <c r="L5" s="123">
        <v>-1.7763568394002505E-15</v>
      </c>
      <c r="M5" s="121">
        <v>1499.9884714319999</v>
      </c>
      <c r="O5" s="74" t="s">
        <v>131</v>
      </c>
      <c r="P5" s="80">
        <f t="shared" si="0"/>
        <v>15.151515151515152</v>
      </c>
      <c r="Q5" s="77">
        <v>66</v>
      </c>
      <c r="R5" s="64">
        <v>1000</v>
      </c>
    </row>
    <row r="6" spans="1:18" x14ac:dyDescent="0.45">
      <c r="A6" s="19" t="s">
        <v>211</v>
      </c>
      <c r="B6" s="128">
        <v>1502.4646962583433</v>
      </c>
      <c r="C6" s="129"/>
      <c r="E6" s="27" t="s">
        <v>68</v>
      </c>
      <c r="F6" s="24" t="s">
        <v>12</v>
      </c>
      <c r="G6" s="12">
        <v>55</v>
      </c>
      <c r="H6" s="88">
        <f>IF(B$20=0,0,G6/B$20)</f>
        <v>0.30386740331491713</v>
      </c>
      <c r="I6" s="58">
        <v>6</v>
      </c>
      <c r="K6" s="74">
        <v>4</v>
      </c>
      <c r="L6" s="123">
        <v>26.299999999999997</v>
      </c>
      <c r="M6" s="121">
        <v>1504.7225406034079</v>
      </c>
      <c r="O6" s="74" t="s">
        <v>132</v>
      </c>
      <c r="P6" s="80">
        <f t="shared" si="0"/>
        <v>-16.666666666666668</v>
      </c>
      <c r="Q6" s="77">
        <v>60</v>
      </c>
      <c r="R6" s="64">
        <v>-1000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67</v>
      </c>
      <c r="F7" s="24" t="s">
        <v>23</v>
      </c>
      <c r="G7" s="12">
        <v>45</v>
      </c>
      <c r="H7" s="88">
        <f>IF(B$20=0,0,G7/B$20)</f>
        <v>0.24861878453038674</v>
      </c>
      <c r="I7" s="58">
        <v>6</v>
      </c>
      <c r="K7" s="74">
        <v>5</v>
      </c>
      <c r="L7" s="123">
        <v>-41.600000000000009</v>
      </c>
      <c r="M7" s="121">
        <v>1492.4722053597875</v>
      </c>
      <c r="O7" s="75" t="s">
        <v>133</v>
      </c>
      <c r="P7" s="81">
        <f t="shared" si="0"/>
        <v>17.543859649122808</v>
      </c>
      <c r="Q7" s="78">
        <v>57</v>
      </c>
      <c r="R7" s="65">
        <v>1000</v>
      </c>
    </row>
    <row r="8" spans="1:18" x14ac:dyDescent="0.45">
      <c r="A8" s="19" t="s">
        <v>2</v>
      </c>
      <c r="B8" s="12">
        <v>25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30</v>
      </c>
      <c r="H8" s="88">
        <f>IF(B$20=0,0,G8/B$20)</f>
        <v>0.16574585635359115</v>
      </c>
      <c r="I8" s="58">
        <v>7</v>
      </c>
      <c r="K8" s="74">
        <v>6</v>
      </c>
      <c r="L8" s="123">
        <v>-7.1054273576010019E-15</v>
      </c>
      <c r="M8" s="121">
        <v>1500.0053721276288</v>
      </c>
      <c r="O8" s="107"/>
      <c r="P8" s="85"/>
      <c r="Q8" s="108"/>
      <c r="R8" s="70"/>
    </row>
    <row r="9" spans="1:18" x14ac:dyDescent="0.45">
      <c r="A9" s="19" t="s">
        <v>3</v>
      </c>
      <c r="B9" s="12">
        <v>25</v>
      </c>
      <c r="C9" s="6">
        <f t="shared" si="1"/>
        <v>0.33333333333333331</v>
      </c>
      <c r="E9" s="27" t="s">
        <v>69</v>
      </c>
      <c r="F9" s="24" t="s">
        <v>24</v>
      </c>
      <c r="G9" s="12">
        <v>22</v>
      </c>
      <c r="H9" s="88">
        <f>IF(B$20=0,0,G9/B$20)</f>
        <v>0.12154696132596685</v>
      </c>
      <c r="I9" s="58">
        <v>5</v>
      </c>
      <c r="K9" s="74">
        <v>7</v>
      </c>
      <c r="L9" s="123">
        <v>-33.600000000000009</v>
      </c>
      <c r="M9" s="121">
        <v>1493.9813398948629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25</v>
      </c>
      <c r="C10" s="7">
        <f t="shared" si="1"/>
        <v>0.33333333333333331</v>
      </c>
      <c r="E10" s="27" t="s">
        <v>70</v>
      </c>
      <c r="F10" s="24" t="s">
        <v>25</v>
      </c>
      <c r="G10" s="12">
        <v>19</v>
      </c>
      <c r="H10" s="88">
        <f>IF(B$20=0,0,G10/B$20)</f>
        <v>0.10497237569060773</v>
      </c>
      <c r="I10" s="58">
        <v>5</v>
      </c>
      <c r="K10" s="74">
        <v>8</v>
      </c>
      <c r="L10" s="123">
        <v>21.999999999999993</v>
      </c>
      <c r="M10" s="121">
        <v>1504.0494518554938</v>
      </c>
      <c r="O10" s="73" t="s">
        <v>152</v>
      </c>
      <c r="P10" s="82">
        <f>IF(Q10=0,0,R10/Q10)</f>
        <v>-4.1159999999999997</v>
      </c>
      <c r="Q10" s="76">
        <v>25</v>
      </c>
      <c r="R10" s="67">
        <v>-102.89999999999999</v>
      </c>
    </row>
    <row r="11" spans="1:18" x14ac:dyDescent="0.45">
      <c r="A11" s="20" t="s">
        <v>185</v>
      </c>
      <c r="B11" s="109">
        <f>IF(B8=0,0,C11/B8)</f>
        <v>33.280000000000008</v>
      </c>
      <c r="C11" s="110">
        <v>832.00000000000023</v>
      </c>
      <c r="E11" s="27" t="s">
        <v>65</v>
      </c>
      <c r="F11" s="24" t="s">
        <v>21</v>
      </c>
      <c r="G11" s="12">
        <v>12</v>
      </c>
      <c r="H11" s="88">
        <f>IF(B$20=0,0,G11/B$20)</f>
        <v>6.6298342541436461E-2</v>
      </c>
      <c r="I11" s="58">
        <v>5</v>
      </c>
      <c r="K11" s="74">
        <v>9</v>
      </c>
      <c r="L11" s="123">
        <v>-7.1054273576010019E-15</v>
      </c>
      <c r="M11" s="121">
        <v>1500.0891551443608</v>
      </c>
      <c r="O11" s="74" t="s">
        <v>153</v>
      </c>
      <c r="P11" s="83">
        <f>IF(Q11=0,0,R11/Q11)</f>
        <v>-2.2320000000000007</v>
      </c>
      <c r="Q11" s="77">
        <v>25</v>
      </c>
      <c r="R11" s="68">
        <v>-55.800000000000018</v>
      </c>
    </row>
    <row r="12" spans="1:18" x14ac:dyDescent="0.45">
      <c r="A12" s="20" t="s">
        <v>186</v>
      </c>
      <c r="B12" s="109">
        <f>IF(B9=0,0,C12/B9)</f>
        <v>-1.1280000000000003</v>
      </c>
      <c r="C12" s="110">
        <v>-28.200000000000006</v>
      </c>
      <c r="E12" s="27" t="s">
        <v>71</v>
      </c>
      <c r="F12" s="24" t="s">
        <v>26</v>
      </c>
      <c r="G12" s="12">
        <v>11</v>
      </c>
      <c r="H12" s="88">
        <f>IF(B$20=0,0,G12/B$20)</f>
        <v>6.0773480662983423E-2</v>
      </c>
      <c r="I12" s="58">
        <v>4</v>
      </c>
      <c r="K12" s="74">
        <v>10</v>
      </c>
      <c r="L12" s="123">
        <v>-30.700000000000006</v>
      </c>
      <c r="M12" s="121">
        <v>1494.5866202134946</v>
      </c>
      <c r="O12" s="75" t="s">
        <v>154</v>
      </c>
      <c r="P12" s="84">
        <f>IF(Q12=0,0,R12/Q12)</f>
        <v>6.3480000000000016</v>
      </c>
      <c r="Q12" s="78">
        <v>25</v>
      </c>
      <c r="R12" s="69">
        <v>158.70000000000005</v>
      </c>
    </row>
    <row r="13" spans="1:18" x14ac:dyDescent="0.45">
      <c r="A13" s="20" t="s">
        <v>187</v>
      </c>
      <c r="B13" s="109">
        <f>IF(B10=0,0,C13/B10)</f>
        <v>-32.152000000000001</v>
      </c>
      <c r="C13" s="110">
        <v>-803.80000000000007</v>
      </c>
      <c r="E13" s="27" t="s">
        <v>83</v>
      </c>
      <c r="F13" s="24" t="s">
        <v>38</v>
      </c>
      <c r="G13" s="12">
        <v>10</v>
      </c>
      <c r="H13" s="88">
        <f>IF(B$20=0,0,G13/B$20)</f>
        <v>5.5248618784530384E-2</v>
      </c>
      <c r="I13" s="58">
        <v>6</v>
      </c>
      <c r="K13" s="74">
        <v>11</v>
      </c>
      <c r="L13" s="123">
        <v>-34.000000000000007</v>
      </c>
      <c r="M13" s="121">
        <v>1494.0491004922137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86</v>
      </c>
      <c r="F14" s="24" t="s">
        <v>41</v>
      </c>
      <c r="G14" s="12">
        <v>9</v>
      </c>
      <c r="H14" s="88">
        <f>IF(B$20=0,0,G14/B$20)</f>
        <v>4.9723756906077346E-2</v>
      </c>
      <c r="I14" s="58">
        <v>4</v>
      </c>
      <c r="K14" s="74">
        <v>12</v>
      </c>
      <c r="L14" s="123">
        <v>-7.1054273576010019E-15</v>
      </c>
      <c r="M14" s="121">
        <v>1500.2288058892605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5.3333333333333337E-2</v>
      </c>
      <c r="E15" s="27" t="s">
        <v>81</v>
      </c>
      <c r="F15" s="24" t="s">
        <v>36</v>
      </c>
      <c r="G15" s="12">
        <v>7</v>
      </c>
      <c r="H15" s="88">
        <f>IF(B$20=0,0,G15/B$20)</f>
        <v>3.8674033149171269E-2</v>
      </c>
      <c r="I15" s="58">
        <v>5</v>
      </c>
      <c r="K15" s="74">
        <v>13</v>
      </c>
      <c r="L15" s="123">
        <v>48.999999999999993</v>
      </c>
      <c r="M15" s="121">
        <v>1509.0654330539248</v>
      </c>
      <c r="O15" s="73" t="s">
        <v>164</v>
      </c>
      <c r="P15" s="82">
        <f>IF(Q15=0,0,R15/Q15)</f>
        <v>45.725000000000001</v>
      </c>
      <c r="Q15" s="76">
        <v>12</v>
      </c>
      <c r="R15" s="67">
        <v>548.70000000000005</v>
      </c>
    </row>
    <row r="16" spans="1:18" x14ac:dyDescent="0.45">
      <c r="A16" s="22" t="s">
        <v>121</v>
      </c>
      <c r="B16" s="15">
        <v>156</v>
      </c>
      <c r="C16" s="10">
        <f>IF(B$3=0,0,B16/B$3)</f>
        <v>0.25120772946859904</v>
      </c>
      <c r="E16" s="27" t="s">
        <v>78</v>
      </c>
      <c r="F16" s="24" t="s">
        <v>33</v>
      </c>
      <c r="G16" s="12">
        <v>5</v>
      </c>
      <c r="H16" s="88">
        <f>IF(B$20=0,0,G16/B$20)</f>
        <v>2.7624309392265192E-2</v>
      </c>
      <c r="I16" s="58">
        <v>5</v>
      </c>
      <c r="K16" s="74">
        <v>14</v>
      </c>
      <c r="L16" s="123">
        <v>3.4999999999999929</v>
      </c>
      <c r="M16" s="121">
        <v>1500.8390404556012</v>
      </c>
      <c r="O16" s="74" t="s">
        <v>195</v>
      </c>
      <c r="P16" s="83">
        <f>IF(Q16=0,0,R16/Q16)</f>
        <v>20.2</v>
      </c>
      <c r="Q16" s="77">
        <v>6</v>
      </c>
      <c r="R16" s="68">
        <v>121.19999999999999</v>
      </c>
    </row>
    <row r="17" spans="1:18" x14ac:dyDescent="0.45">
      <c r="A17" s="19" t="s">
        <v>118</v>
      </c>
      <c r="B17" s="12">
        <v>148</v>
      </c>
      <c r="C17" s="6">
        <f>IF(B$3=0,0,B17/B$3)</f>
        <v>0.23832528180354268</v>
      </c>
      <c r="E17" s="27" t="s">
        <v>91</v>
      </c>
      <c r="F17" s="24" t="s">
        <v>46</v>
      </c>
      <c r="G17" s="12">
        <v>3</v>
      </c>
      <c r="H17" s="88">
        <f>IF(B$20=0,0,G17/B$20)</f>
        <v>1.6574585635359115E-2</v>
      </c>
      <c r="I17" s="58">
        <v>3</v>
      </c>
      <c r="K17" s="74">
        <v>15</v>
      </c>
      <c r="L17" s="123">
        <v>-7.1054273576010019E-15</v>
      </c>
      <c r="M17" s="121">
        <v>1500.2220062128677</v>
      </c>
      <c r="O17" s="74" t="s">
        <v>200</v>
      </c>
      <c r="P17" s="83">
        <f>IF(Q17=0,0,R17/Q17)</f>
        <v>19.387500000000003</v>
      </c>
      <c r="Q17" s="77">
        <v>8</v>
      </c>
      <c r="R17" s="68">
        <v>155.10000000000002</v>
      </c>
    </row>
    <row r="18" spans="1:18" x14ac:dyDescent="0.45">
      <c r="A18" s="18" t="s">
        <v>123</v>
      </c>
      <c r="B18" s="11">
        <f>B24</f>
        <v>77</v>
      </c>
      <c r="C18" s="5">
        <f>IF(B$16=0,0,B18/B$16)</f>
        <v>0.49358974358974361</v>
      </c>
      <c r="E18" s="27" t="s">
        <v>156</v>
      </c>
      <c r="F18" s="24" t="s">
        <v>157</v>
      </c>
      <c r="G18" s="12">
        <v>3</v>
      </c>
      <c r="H18" s="88">
        <f>IF(B$20=0,0,G18/B$20)</f>
        <v>1.6574585635359115E-2</v>
      </c>
      <c r="I18" s="58">
        <v>3</v>
      </c>
      <c r="K18" s="74">
        <v>16</v>
      </c>
      <c r="L18" s="123">
        <v>-11.600000000000007</v>
      </c>
      <c r="M18" s="121">
        <v>1498.1926741755904</v>
      </c>
      <c r="O18" s="74" t="s">
        <v>207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66</v>
      </c>
      <c r="C19" s="5">
        <f>IF(B$17=0,0,B19/B$17)</f>
        <v>0.44594594594594594</v>
      </c>
      <c r="E19" s="27" t="s">
        <v>73</v>
      </c>
      <c r="F19" s="24" t="s">
        <v>28</v>
      </c>
      <c r="G19" s="12">
        <v>2</v>
      </c>
      <c r="H19" s="88">
        <f>IF(B$20=0,0,G19/B$20)</f>
        <v>1.1049723756906077E-2</v>
      </c>
      <c r="I19" s="58">
        <v>3</v>
      </c>
      <c r="K19" s="74">
        <v>17</v>
      </c>
      <c r="L19" s="123">
        <v>-7.1054273576010019E-15</v>
      </c>
      <c r="M19" s="121">
        <v>1500.3515181305368</v>
      </c>
      <c r="O19" s="74" t="s">
        <v>208</v>
      </c>
      <c r="P19" s="83">
        <f>IF(Q19=0,0,R19/Q19)</f>
        <v>5.5124999999999984</v>
      </c>
      <c r="Q19" s="77">
        <v>8</v>
      </c>
      <c r="R19" s="68">
        <v>44.099999999999987</v>
      </c>
    </row>
    <row r="20" spans="1:18" x14ac:dyDescent="0.45">
      <c r="A20" s="18" t="s">
        <v>10</v>
      </c>
      <c r="B20" s="11">
        <f>B23+B22</f>
        <v>181</v>
      </c>
      <c r="C20" s="5">
        <f>IF(B$3=0,0,B20/B$3)</f>
        <v>0.29146537842190018</v>
      </c>
      <c r="E20" s="27" t="s">
        <v>79</v>
      </c>
      <c r="F20" s="24" t="s">
        <v>34</v>
      </c>
      <c r="G20" s="12">
        <v>2</v>
      </c>
      <c r="H20" s="88">
        <f>IF(B$20=0,0,G20/B$20)</f>
        <v>1.1049723756906077E-2</v>
      </c>
      <c r="I20" s="58">
        <v>3</v>
      </c>
      <c r="K20" s="74">
        <v>18</v>
      </c>
      <c r="L20" s="123">
        <v>-7.1054273576010019E-15</v>
      </c>
      <c r="M20" s="121">
        <v>1500.4094090217536</v>
      </c>
      <c r="O20" s="74" t="s">
        <v>198</v>
      </c>
      <c r="P20" s="83">
        <f>IF(Q20=0,0,R20/Q20)</f>
        <v>-1.6166666666666694</v>
      </c>
      <c r="Q20" s="77">
        <v>18</v>
      </c>
      <c r="R20" s="68">
        <v>-29.100000000000048</v>
      </c>
    </row>
    <row r="21" spans="1:18" x14ac:dyDescent="0.45">
      <c r="A21" s="19" t="s">
        <v>13</v>
      </c>
      <c r="B21" s="12">
        <v>93</v>
      </c>
      <c r="C21" s="6">
        <f>IF(B$3=0,0,B21/B$3)</f>
        <v>0.14975845410628019</v>
      </c>
      <c r="E21" s="27" t="s">
        <v>75</v>
      </c>
      <c r="F21" s="24" t="s">
        <v>30</v>
      </c>
      <c r="G21" s="12">
        <v>1</v>
      </c>
      <c r="H21" s="88">
        <f>IF(B$20=0,0,G21/B$20)</f>
        <v>5.5248618784530384E-3</v>
      </c>
      <c r="I21" s="58">
        <v>2</v>
      </c>
      <c r="K21" s="74">
        <v>19</v>
      </c>
      <c r="L21" s="123">
        <v>-23.100000000000009</v>
      </c>
      <c r="M21" s="121">
        <v>1496.308952567623</v>
      </c>
      <c r="O21" s="74" t="s">
        <v>190</v>
      </c>
      <c r="P21" s="83">
        <f>IF(Q21=0,0,R21/Q21)</f>
        <v>-3.6374999999999988</v>
      </c>
      <c r="Q21" s="77">
        <v>32</v>
      </c>
      <c r="R21" s="68">
        <v>-116.39999999999996</v>
      </c>
    </row>
    <row r="22" spans="1:18" x14ac:dyDescent="0.45">
      <c r="A22" s="19" t="s">
        <v>12</v>
      </c>
      <c r="B22" s="12">
        <v>88</v>
      </c>
      <c r="C22" s="6">
        <f>IF(B$20=0,0,B22/B$20)</f>
        <v>0.48618784530386738</v>
      </c>
      <c r="E22" s="27" t="s">
        <v>77</v>
      </c>
      <c r="F22" s="24" t="s">
        <v>32</v>
      </c>
      <c r="G22" s="12">
        <v>1</v>
      </c>
      <c r="H22" s="88">
        <f>IF(B$20=0,0,G22/B$20)</f>
        <v>5.5248618784530384E-3</v>
      </c>
      <c r="I22" s="58">
        <v>2</v>
      </c>
      <c r="K22" s="74">
        <v>20</v>
      </c>
      <c r="L22" s="123">
        <v>-31.300000000000008</v>
      </c>
      <c r="M22" s="121">
        <v>1494.9150988522172</v>
      </c>
      <c r="O22" s="74" t="s">
        <v>194</v>
      </c>
      <c r="P22" s="83">
        <f>IF(Q22=0,0,R22/Q22)</f>
        <v>-7.5923076923076938</v>
      </c>
      <c r="Q22" s="77">
        <v>26</v>
      </c>
      <c r="R22" s="68">
        <v>-197.40000000000003</v>
      </c>
    </row>
    <row r="23" spans="1:18" x14ac:dyDescent="0.45">
      <c r="A23" s="19" t="s">
        <v>11</v>
      </c>
      <c r="B23" s="12">
        <v>93</v>
      </c>
      <c r="C23" s="6">
        <f>IF(B$20=0,0,B23/B$20)</f>
        <v>0.51381215469613262</v>
      </c>
      <c r="E23" s="27" t="s">
        <v>85</v>
      </c>
      <c r="F23" s="24" t="s">
        <v>40</v>
      </c>
      <c r="G23" s="12">
        <v>1</v>
      </c>
      <c r="H23" s="88">
        <f>IF(B$20=0,0,G23/B$20)</f>
        <v>5.5248618784530384E-3</v>
      </c>
      <c r="I23" s="58">
        <v>2</v>
      </c>
      <c r="K23" s="74">
        <v>21</v>
      </c>
      <c r="L23" s="123">
        <v>-7.1054273576010019E-15</v>
      </c>
      <c r="M23" s="121">
        <v>1500.6396082591039</v>
      </c>
      <c r="O23" s="74" t="s">
        <v>126</v>
      </c>
      <c r="P23" s="83">
        <f>IF(Q23=0,0,R23/Q23)</f>
        <v>-15.741666666666662</v>
      </c>
      <c r="Q23" s="77">
        <v>36</v>
      </c>
      <c r="R23" s="68">
        <v>-566.69999999999982</v>
      </c>
    </row>
    <row r="24" spans="1:18" x14ac:dyDescent="0.45">
      <c r="A24" s="19" t="s">
        <v>184</v>
      </c>
      <c r="B24" s="12">
        <v>77</v>
      </c>
      <c r="C24" s="6">
        <f>IF(B$20=0,0,B24/B$20)</f>
        <v>0.425414364640884</v>
      </c>
      <c r="E24" s="27" t="s">
        <v>92</v>
      </c>
      <c r="F24" s="24" t="s">
        <v>47</v>
      </c>
      <c r="G24" s="12">
        <v>1</v>
      </c>
      <c r="H24" s="88">
        <f>IF(B$20=0,0,G24/B$20)</f>
        <v>5.5248618784530384E-3</v>
      </c>
      <c r="I24" s="58">
        <v>2</v>
      </c>
      <c r="K24" s="74">
        <v>22</v>
      </c>
      <c r="L24" s="123">
        <v>-4.4000000000000075</v>
      </c>
      <c r="M24" s="121">
        <v>1499.8377706095491</v>
      </c>
    </row>
    <row r="25" spans="1:18" x14ac:dyDescent="0.45">
      <c r="A25" s="19" t="s">
        <v>182</v>
      </c>
      <c r="B25" s="12">
        <v>66</v>
      </c>
      <c r="C25" s="6">
        <f>IF(B$20=0,0,B25/B$20)</f>
        <v>0.36464088397790057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23">
        <v>37.999999999999993</v>
      </c>
      <c r="M25" s="121">
        <v>1507.4647439858918</v>
      </c>
    </row>
    <row r="26" spans="1:18" x14ac:dyDescent="0.45">
      <c r="A26" s="19" t="s">
        <v>183</v>
      </c>
      <c r="B26" s="12">
        <v>38</v>
      </c>
      <c r="C26" s="6">
        <f>IF(B$20=0,0,B26/B$20)</f>
        <v>0.20994475138121546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23">
        <v>-7.1054273576010019E-15</v>
      </c>
      <c r="M26" s="121">
        <v>1500.5739555219764</v>
      </c>
    </row>
    <row r="27" spans="1:18" x14ac:dyDescent="0.45">
      <c r="A27" s="19" t="s">
        <v>5</v>
      </c>
      <c r="B27" s="16">
        <f>IF(B$20=0,0,C27/B$20)</f>
        <v>8153.5911602209944</v>
      </c>
      <c r="C27" s="8">
        <v>1475800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23">
        <v>-28.000000000000007</v>
      </c>
      <c r="M27" s="121">
        <v>1495.5245117888444</v>
      </c>
    </row>
    <row r="28" spans="1:18" x14ac:dyDescent="0.45">
      <c r="A28" s="20" t="s">
        <v>166</v>
      </c>
      <c r="B28" s="95">
        <f>IF($B$20-B$19=0,0,C28/($B$20-B$19))</f>
        <v>8845.217391304348</v>
      </c>
      <c r="C28" s="96">
        <v>1017200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23">
        <v>-8.0000000000000071</v>
      </c>
      <c r="M28" s="121">
        <v>1499.1453647181113</v>
      </c>
    </row>
    <row r="29" spans="1:18" x14ac:dyDescent="0.45">
      <c r="A29" s="20" t="s">
        <v>167</v>
      </c>
      <c r="B29" s="95">
        <f>IF(B$19=0,0,C29/B$19)</f>
        <v>6948.484848484848</v>
      </c>
      <c r="C29" s="96">
        <v>458600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23">
        <v>-7.1054273576010019E-15</v>
      </c>
      <c r="M29" s="121">
        <v>1500.5844925298027</v>
      </c>
    </row>
    <row r="30" spans="1:18" x14ac:dyDescent="0.45">
      <c r="A30" s="20" t="s">
        <v>165</v>
      </c>
      <c r="B30" s="95">
        <f>IF(B$21=0,0,C30/B$21)</f>
        <v>-7977.4193548387093</v>
      </c>
      <c r="C30" s="96">
        <v>-741900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23">
        <v>36.899999999999991</v>
      </c>
      <c r="M30" s="121">
        <v>1507.2709855746239</v>
      </c>
    </row>
    <row r="31" spans="1:18" x14ac:dyDescent="0.45">
      <c r="A31" s="19" t="s">
        <v>158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23">
        <v>-3.1000000000000085</v>
      </c>
      <c r="M31" s="121">
        <v>1500.0753596611762</v>
      </c>
    </row>
    <row r="32" spans="1:18" x14ac:dyDescent="0.45">
      <c r="A32" s="19" t="s">
        <v>159</v>
      </c>
      <c r="B32" s="12">
        <v>21</v>
      </c>
      <c r="C32" s="90">
        <v>21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23">
        <v>-8.4376949871511897E-15</v>
      </c>
      <c r="M32" s="121">
        <v>1500.6809075032093</v>
      </c>
    </row>
    <row r="33" spans="1:13" x14ac:dyDescent="0.45">
      <c r="A33" s="54" t="s">
        <v>136</v>
      </c>
      <c r="B33" s="126">
        <v>7</v>
      </c>
      <c r="C33" s="127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23">
        <v>49.599999999999994</v>
      </c>
      <c r="M33" s="121">
        <v>1509.6528220581899</v>
      </c>
    </row>
    <row r="34" spans="1:13" x14ac:dyDescent="0.45">
      <c r="A34" s="22" t="s">
        <v>181</v>
      </c>
      <c r="B34" s="128">
        <v>103000</v>
      </c>
      <c r="C34" s="129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23">
        <v>36.799999999999997</v>
      </c>
      <c r="M34" s="121">
        <v>1507.3389051258407</v>
      </c>
    </row>
    <row r="35" spans="1:13" x14ac:dyDescent="0.45">
      <c r="A35" s="21" t="s">
        <v>137</v>
      </c>
      <c r="B35" s="29">
        <v>3</v>
      </c>
      <c r="C35" s="9">
        <f>IF(B$3=0,0,B35/B$3)</f>
        <v>4.830917874396135E-3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23">
        <v>0</v>
      </c>
      <c r="M35" s="121">
        <v>1500.7188716950857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23">
        <v>33.6</v>
      </c>
      <c r="M36" s="121">
        <v>1506.7265584649151</v>
      </c>
    </row>
    <row r="37" spans="1:13" x14ac:dyDescent="0.45">
      <c r="A37" s="54" t="s">
        <v>172</v>
      </c>
      <c r="B37" s="117">
        <v>13</v>
      </c>
      <c r="C37" s="98">
        <f t="shared" ref="C37:C49" si="2">IF(B$20=0,0,B37/B$20)</f>
        <v>7.18232044198895E-2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23">
        <v>-20.199999999999996</v>
      </c>
      <c r="M37" s="121">
        <v>1496.9661991141256</v>
      </c>
    </row>
    <row r="38" spans="1:13" x14ac:dyDescent="0.45">
      <c r="A38" s="19" t="s">
        <v>168</v>
      </c>
      <c r="B38" s="12">
        <v>38</v>
      </c>
      <c r="C38" s="6">
        <f t="shared" si="2"/>
        <v>0.20994475138121546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23">
        <v>3.5527136788005009E-15</v>
      </c>
      <c r="M38" s="121">
        <v>1500.5844019194408</v>
      </c>
    </row>
    <row r="39" spans="1:13" x14ac:dyDescent="0.45">
      <c r="A39" s="19" t="s">
        <v>169</v>
      </c>
      <c r="B39" s="118">
        <v>33</v>
      </c>
      <c r="C39" s="6">
        <f t="shared" si="2"/>
        <v>0.18232044198895028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23">
        <v>-34.399999999999991</v>
      </c>
      <c r="M39" s="121">
        <v>1494.3528955079241</v>
      </c>
    </row>
    <row r="40" spans="1:13" x14ac:dyDescent="0.45">
      <c r="A40" s="19" t="s">
        <v>170</v>
      </c>
      <c r="B40" s="118">
        <v>29</v>
      </c>
      <c r="C40" s="6">
        <f t="shared" si="2"/>
        <v>0.16022099447513813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23">
        <v>-23.79999999999999</v>
      </c>
      <c r="M40" s="121">
        <v>1496.2587781348766</v>
      </c>
    </row>
    <row r="41" spans="1:13" x14ac:dyDescent="0.45">
      <c r="A41" s="19" t="s">
        <v>171</v>
      </c>
      <c r="B41" s="118">
        <v>21</v>
      </c>
      <c r="C41" s="6">
        <f t="shared" si="2"/>
        <v>0.11602209944751381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23">
        <v>1.0658141036401503E-14</v>
      </c>
      <c r="M41" s="121">
        <v>1500.5292254660674</v>
      </c>
    </row>
    <row r="42" spans="1:13" x14ac:dyDescent="0.45">
      <c r="A42" s="19" t="s">
        <v>173</v>
      </c>
      <c r="B42" s="118">
        <v>24</v>
      </c>
      <c r="C42" s="6">
        <f t="shared" si="2"/>
        <v>0.13259668508287292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23">
        <v>-28.79999999999999</v>
      </c>
      <c r="M42" s="121">
        <v>1495.360050113271</v>
      </c>
    </row>
    <row r="43" spans="1:13" x14ac:dyDescent="0.45">
      <c r="A43" s="19" t="s">
        <v>174</v>
      </c>
      <c r="B43" s="118">
        <v>12</v>
      </c>
      <c r="C43" s="6">
        <f t="shared" si="2"/>
        <v>6.6298342541436461E-2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23">
        <v>-22.499999999999989</v>
      </c>
      <c r="M43" s="121">
        <v>1496.5398898125914</v>
      </c>
    </row>
    <row r="44" spans="1:13" x14ac:dyDescent="0.45">
      <c r="A44" s="19" t="s">
        <v>175</v>
      </c>
      <c r="B44" s="118">
        <v>5</v>
      </c>
      <c r="C44" s="6">
        <f t="shared" si="2"/>
        <v>2.7624309392265192E-2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23">
        <v>1.0658141036401503E-14</v>
      </c>
      <c r="M44" s="121">
        <v>1500.6286504737159</v>
      </c>
    </row>
    <row r="45" spans="1:13" x14ac:dyDescent="0.45">
      <c r="A45" s="19" t="s">
        <v>176</v>
      </c>
      <c r="B45" s="118">
        <v>2</v>
      </c>
      <c r="C45" s="6">
        <f t="shared" si="2"/>
        <v>1.1049723756906077E-2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23">
        <v>26.600000000000012</v>
      </c>
      <c r="M45" s="121">
        <v>1505.4428785708735</v>
      </c>
    </row>
    <row r="46" spans="1:13" x14ac:dyDescent="0.45">
      <c r="A46" s="19" t="s">
        <v>177</v>
      </c>
      <c r="B46" s="118">
        <v>2</v>
      </c>
      <c r="C46" s="6">
        <f t="shared" si="2"/>
        <v>1.1049723756906077E-2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23">
        <v>-6.5999999999999908</v>
      </c>
      <c r="M46" s="121">
        <v>1499.4642212994484</v>
      </c>
    </row>
    <row r="47" spans="1:13" x14ac:dyDescent="0.45">
      <c r="A47" s="19" t="s">
        <v>178</v>
      </c>
      <c r="B47" s="118">
        <v>1</v>
      </c>
      <c r="C47" s="6">
        <f t="shared" si="2"/>
        <v>5.5248618784530384E-3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23">
        <v>8.8817841970012523E-15</v>
      </c>
      <c r="M47" s="121">
        <v>1500.6854359716517</v>
      </c>
    </row>
    <row r="48" spans="1:13" x14ac:dyDescent="0.45">
      <c r="A48" s="19" t="s">
        <v>179</v>
      </c>
      <c r="B48" s="118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23">
        <v>-27.999999999999993</v>
      </c>
      <c r="M48" s="121">
        <v>1495.6713233558219</v>
      </c>
    </row>
    <row r="49" spans="1:13" x14ac:dyDescent="0.45">
      <c r="A49" s="21" t="s">
        <v>180</v>
      </c>
      <c r="B49" s="97">
        <v>1</v>
      </c>
      <c r="C49" s="9">
        <f t="shared" si="2"/>
        <v>5.5248618784530384E-3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23">
        <v>50.000000000000007</v>
      </c>
      <c r="M49" s="121">
        <v>1509.7672954156869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23">
        <v>7.1054273576010019E-15</v>
      </c>
      <c r="M50" s="121">
        <v>1500.7386916431929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23">
        <v>-21.399999999999991</v>
      </c>
      <c r="M51" s="121">
        <v>1496.9782594933338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23">
        <v>-26.599999999999991</v>
      </c>
      <c r="M52" s="121">
        <v>1496.1563899363737</v>
      </c>
    </row>
    <row r="53" spans="1:13" x14ac:dyDescent="0.45">
      <c r="K53" s="74">
        <v>51</v>
      </c>
      <c r="L53" s="123">
        <v>1.0658141036401503E-14</v>
      </c>
      <c r="M53" s="121">
        <v>1501.0634515967554</v>
      </c>
    </row>
    <row r="54" spans="1:13" x14ac:dyDescent="0.45">
      <c r="K54" s="74">
        <v>52</v>
      </c>
      <c r="L54" s="123">
        <v>-24.199999999999989</v>
      </c>
      <c r="M54" s="121">
        <v>1496.7010708871749</v>
      </c>
    </row>
    <row r="55" spans="1:13" x14ac:dyDescent="0.45">
      <c r="K55" s="74">
        <v>53</v>
      </c>
      <c r="L55" s="123">
        <v>-20.199999999999989</v>
      </c>
      <c r="M55" s="121">
        <v>1497.4408644618518</v>
      </c>
    </row>
    <row r="56" spans="1:13" x14ac:dyDescent="0.45">
      <c r="K56" s="74">
        <v>54</v>
      </c>
      <c r="L56" s="123">
        <v>1.0658141036401503E-14</v>
      </c>
      <c r="M56" s="121">
        <v>1501.0922192750807</v>
      </c>
    </row>
    <row r="57" spans="1:13" x14ac:dyDescent="0.45">
      <c r="K57" s="74">
        <v>55</v>
      </c>
      <c r="L57" s="123">
        <v>-17.499999999999989</v>
      </c>
      <c r="M57" s="121">
        <v>1497.9416659594301</v>
      </c>
    </row>
    <row r="58" spans="1:13" x14ac:dyDescent="0.45">
      <c r="K58" s="74">
        <v>56</v>
      </c>
      <c r="L58" s="123">
        <v>0.50000000000001066</v>
      </c>
      <c r="M58" s="121">
        <v>1501.2000159636734</v>
      </c>
    </row>
    <row r="59" spans="1:13" x14ac:dyDescent="0.45">
      <c r="K59" s="74">
        <v>57</v>
      </c>
      <c r="L59" s="123">
        <v>1.0658141036401503E-14</v>
      </c>
      <c r="M59" s="121">
        <v>1501.1088158678913</v>
      </c>
    </row>
    <row r="60" spans="1:13" x14ac:dyDescent="0.45">
      <c r="K60" s="74">
        <v>58</v>
      </c>
      <c r="L60" s="123">
        <v>16.600000000000012</v>
      </c>
      <c r="M60" s="121">
        <v>1504.1861629726839</v>
      </c>
    </row>
    <row r="61" spans="1:13" x14ac:dyDescent="0.45">
      <c r="K61" s="74">
        <v>59</v>
      </c>
      <c r="L61" s="123">
        <v>13.600000000000012</v>
      </c>
      <c r="M61" s="121">
        <v>1503.7170459948477</v>
      </c>
    </row>
    <row r="62" spans="1:13" x14ac:dyDescent="0.45">
      <c r="K62" s="74">
        <v>60</v>
      </c>
      <c r="L62" s="123">
        <v>1.2434497875801753E-14</v>
      </c>
      <c r="M62" s="121">
        <v>1501.3427437188786</v>
      </c>
    </row>
    <row r="63" spans="1:13" x14ac:dyDescent="0.45">
      <c r="K63" s="74">
        <v>61</v>
      </c>
      <c r="L63" s="123">
        <v>-13.999999999999988</v>
      </c>
      <c r="M63" s="121">
        <v>1498.8986872565654</v>
      </c>
    </row>
    <row r="64" spans="1:13" x14ac:dyDescent="0.45">
      <c r="K64" s="74">
        <v>62</v>
      </c>
      <c r="L64" s="123">
        <v>-39.699999999999989</v>
      </c>
      <c r="M64" s="121">
        <v>1494.363295133026</v>
      </c>
    </row>
    <row r="65" spans="11:13" x14ac:dyDescent="0.45">
      <c r="K65" s="74">
        <v>63</v>
      </c>
      <c r="L65" s="123">
        <v>1.4210854715202004E-14</v>
      </c>
      <c r="M65" s="121">
        <v>1501.6271153622279</v>
      </c>
    </row>
    <row r="66" spans="11:13" x14ac:dyDescent="0.45">
      <c r="K66" s="74">
        <v>64</v>
      </c>
      <c r="L66" s="123">
        <v>-19.799999999999986</v>
      </c>
      <c r="M66" s="121">
        <v>1498.1373526700545</v>
      </c>
    </row>
    <row r="67" spans="11:13" x14ac:dyDescent="0.45">
      <c r="K67" s="74">
        <v>65</v>
      </c>
      <c r="L67" s="123">
        <v>-50.899999999999991</v>
      </c>
      <c r="M67" s="121">
        <v>1492.6345285540342</v>
      </c>
    </row>
    <row r="68" spans="11:13" x14ac:dyDescent="0.45">
      <c r="K68" s="74">
        <v>66</v>
      </c>
      <c r="L68" s="123">
        <v>7.1054273576010019E-15</v>
      </c>
      <c r="M68" s="121">
        <v>1501.92472138271</v>
      </c>
    </row>
    <row r="69" spans="11:13" x14ac:dyDescent="0.45">
      <c r="K69" s="74">
        <v>67</v>
      </c>
      <c r="L69" s="123">
        <v>-26.699999999999992</v>
      </c>
      <c r="M69" s="121">
        <v>1497.1911730544136</v>
      </c>
    </row>
    <row r="70" spans="11:13" x14ac:dyDescent="0.45">
      <c r="K70" s="74">
        <v>68</v>
      </c>
      <c r="L70" s="123">
        <v>7.0000000000000107</v>
      </c>
      <c r="M70" s="121">
        <v>1503.3580260160873</v>
      </c>
    </row>
    <row r="71" spans="11:13" x14ac:dyDescent="0.45">
      <c r="K71" s="74">
        <v>69</v>
      </c>
      <c r="L71" s="123">
        <v>1.0658141036401503E-14</v>
      </c>
      <c r="M71" s="121">
        <v>1502.1618778599907</v>
      </c>
    </row>
    <row r="72" spans="11:13" x14ac:dyDescent="0.45">
      <c r="K72" s="74">
        <v>70</v>
      </c>
      <c r="L72" s="123">
        <v>-24.399999999999988</v>
      </c>
      <c r="M72" s="121">
        <v>1497.8229065928308</v>
      </c>
    </row>
    <row r="73" spans="11:13" x14ac:dyDescent="0.45">
      <c r="K73" s="74">
        <v>71</v>
      </c>
      <c r="L73" s="123">
        <v>-24.299999999999986</v>
      </c>
      <c r="M73" s="121">
        <v>1497.9199691532738</v>
      </c>
    </row>
    <row r="74" spans="11:13" x14ac:dyDescent="0.45">
      <c r="K74" s="74">
        <v>72</v>
      </c>
      <c r="L74" s="123">
        <v>1.4210854715202004E-14</v>
      </c>
      <c r="M74" s="121">
        <v>1502.372449338354</v>
      </c>
    </row>
    <row r="75" spans="11:13" x14ac:dyDescent="0.45">
      <c r="K75" s="74">
        <v>73</v>
      </c>
      <c r="L75" s="123">
        <v>8.2000000000000135</v>
      </c>
      <c r="M75" s="121">
        <v>1503.894214642324</v>
      </c>
    </row>
    <row r="76" spans="11:13" x14ac:dyDescent="0.45">
      <c r="K76" s="74">
        <v>74</v>
      </c>
      <c r="L76" s="123">
        <v>32.800000000000011</v>
      </c>
      <c r="M76" s="121">
        <v>1508.3588493544701</v>
      </c>
    </row>
    <row r="77" spans="11:13" x14ac:dyDescent="0.45">
      <c r="K77" s="74">
        <v>75</v>
      </c>
      <c r="L77" s="123">
        <v>1.4210854715202004E-14</v>
      </c>
      <c r="M77" s="121">
        <v>1502.4646962583433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87EC4-6CCA-4EB3-8D17-5550F7E50C72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126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18</v>
      </c>
      <c r="C2" s="133"/>
      <c r="E2" s="26" t="s">
        <v>72</v>
      </c>
      <c r="F2" s="23" t="s">
        <v>27</v>
      </c>
      <c r="G2" s="11">
        <v>42</v>
      </c>
      <c r="H2" s="87">
        <f>IF(B$20=0,0,G2/B$20)</f>
        <v>0.82352941176470584</v>
      </c>
      <c r="I2" s="57">
        <v>4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2283.3333333333335</v>
      </c>
      <c r="Q2" s="76">
        <v>18</v>
      </c>
      <c r="R2" s="63">
        <v>41100</v>
      </c>
    </row>
    <row r="3" spans="1:18" x14ac:dyDescent="0.45">
      <c r="A3" s="19" t="s">
        <v>8</v>
      </c>
      <c r="B3" s="134">
        <v>149</v>
      </c>
      <c r="C3" s="135"/>
      <c r="E3" s="27" t="s">
        <v>66</v>
      </c>
      <c r="F3" s="24" t="s">
        <v>22</v>
      </c>
      <c r="G3" s="12">
        <v>37</v>
      </c>
      <c r="H3" s="88">
        <f>IF(B$20=0,0,G3/B$20)</f>
        <v>0.72549019607843135</v>
      </c>
      <c r="I3" s="58">
        <v>4</v>
      </c>
      <c r="K3" s="74">
        <v>1</v>
      </c>
      <c r="L3" s="123">
        <v>20.9</v>
      </c>
      <c r="M3" s="121">
        <v>1503.7619999999999</v>
      </c>
      <c r="O3" s="74" t="s">
        <v>129</v>
      </c>
      <c r="P3" s="80">
        <f t="shared" si="0"/>
        <v>-717.64705882352939</v>
      </c>
      <c r="Q3" s="77">
        <v>17</v>
      </c>
      <c r="R3" s="64">
        <v>-12200</v>
      </c>
    </row>
    <row r="4" spans="1:18" x14ac:dyDescent="0.45">
      <c r="A4" s="19" t="s">
        <v>6</v>
      </c>
      <c r="B4" s="136">
        <v>188.9</v>
      </c>
      <c r="C4" s="137"/>
      <c r="E4" s="27" t="s">
        <v>160</v>
      </c>
      <c r="F4" s="24" t="s">
        <v>161</v>
      </c>
      <c r="G4" s="12">
        <v>20</v>
      </c>
      <c r="H4" s="88">
        <f>IF(B$20=0,0,G4/B$20)</f>
        <v>0.39215686274509803</v>
      </c>
      <c r="I4" s="58">
        <v>7</v>
      </c>
      <c r="K4" s="74">
        <v>2</v>
      </c>
      <c r="L4" s="123">
        <v>62.5</v>
      </c>
      <c r="M4" s="121">
        <v>1511.2274279999999</v>
      </c>
      <c r="O4" s="74" t="s">
        <v>130</v>
      </c>
      <c r="P4" s="80">
        <f t="shared" si="0"/>
        <v>1088.2352941176471</v>
      </c>
      <c r="Q4" s="77">
        <v>17</v>
      </c>
      <c r="R4" s="64">
        <v>18500</v>
      </c>
    </row>
    <row r="5" spans="1:18" x14ac:dyDescent="0.45">
      <c r="A5" s="19" t="s">
        <v>7</v>
      </c>
      <c r="B5" s="124">
        <f>IF(B$2=0,0,B$4/B$2)</f>
        <v>10.494444444444445</v>
      </c>
      <c r="C5" s="125"/>
      <c r="E5" s="27" t="s">
        <v>64</v>
      </c>
      <c r="F5" s="24" t="s">
        <v>20</v>
      </c>
      <c r="G5" s="12">
        <v>18</v>
      </c>
      <c r="H5" s="88">
        <f>IF(B$20=0,0,G5/B$20)</f>
        <v>0.35294117647058826</v>
      </c>
      <c r="I5" s="58">
        <v>7</v>
      </c>
      <c r="K5" s="74">
        <v>3</v>
      </c>
      <c r="L5" s="123">
        <v>40.5</v>
      </c>
      <c r="M5" s="121">
        <v>1507.2240634319999</v>
      </c>
      <c r="O5" s="74" t="s">
        <v>131</v>
      </c>
      <c r="P5" s="80">
        <f t="shared" si="0"/>
        <v>1081.25</v>
      </c>
      <c r="Q5" s="77">
        <v>16</v>
      </c>
      <c r="R5" s="64">
        <v>17300</v>
      </c>
    </row>
    <row r="6" spans="1:18" x14ac:dyDescent="0.45">
      <c r="A6" s="19" t="s">
        <v>211</v>
      </c>
      <c r="B6" s="128">
        <v>1532.4140622237032</v>
      </c>
      <c r="C6" s="129"/>
      <c r="E6" s="27" t="s">
        <v>68</v>
      </c>
      <c r="F6" s="24" t="s">
        <v>12</v>
      </c>
      <c r="G6" s="12">
        <v>16</v>
      </c>
      <c r="H6" s="88">
        <f>IF(B$20=0,0,G6/B$20)</f>
        <v>0.31372549019607843</v>
      </c>
      <c r="I6" s="58">
        <v>5</v>
      </c>
      <c r="K6" s="74">
        <v>4</v>
      </c>
      <c r="L6" s="123">
        <v>74.5</v>
      </c>
      <c r="M6" s="121">
        <v>1513.3247190514078</v>
      </c>
      <c r="O6" s="74" t="s">
        <v>132</v>
      </c>
      <c r="P6" s="80">
        <f t="shared" si="0"/>
        <v>-473.33333333333331</v>
      </c>
      <c r="Q6" s="77">
        <v>15</v>
      </c>
      <c r="R6" s="64">
        <v>-7100</v>
      </c>
    </row>
    <row r="7" spans="1:18" x14ac:dyDescent="0.45">
      <c r="A7" s="19" t="s">
        <v>1</v>
      </c>
      <c r="B7" s="138">
        <f>IF(B$2=0,0,(B$8*1+B$9*2+B$10*3)/B$2)</f>
        <v>1.7222222222222223</v>
      </c>
      <c r="C7" s="139"/>
      <c r="E7" s="27" t="s">
        <v>89</v>
      </c>
      <c r="F7" s="24" t="s">
        <v>44</v>
      </c>
      <c r="G7" s="12">
        <v>10</v>
      </c>
      <c r="H7" s="88">
        <f>IF(B$20=0,0,G7/B$20)</f>
        <v>0.19607843137254902</v>
      </c>
      <c r="I7" s="58">
        <v>5</v>
      </c>
      <c r="K7" s="74">
        <v>5</v>
      </c>
      <c r="L7" s="123">
        <v>123.5</v>
      </c>
      <c r="M7" s="121">
        <v>1522.0827707370993</v>
      </c>
      <c r="O7" s="75" t="s">
        <v>133</v>
      </c>
      <c r="P7" s="81">
        <f t="shared" si="0"/>
        <v>-1971.4285714285713</v>
      </c>
      <c r="Q7" s="78">
        <v>14</v>
      </c>
      <c r="R7" s="65">
        <v>-27600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0.44444444444444442</v>
      </c>
      <c r="E8" s="27" t="s">
        <v>67</v>
      </c>
      <c r="F8" s="24" t="s">
        <v>23</v>
      </c>
      <c r="G8" s="12">
        <v>8</v>
      </c>
      <c r="H8" s="88">
        <f>IF(B$20=0,0,G8/B$20)</f>
        <v>0.15686274509803921</v>
      </c>
      <c r="I8" s="58">
        <v>9</v>
      </c>
      <c r="K8" s="74">
        <v>6</v>
      </c>
      <c r="L8" s="123">
        <v>111.9</v>
      </c>
      <c r="M8" s="121">
        <v>1519.9222741126766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69</v>
      </c>
      <c r="F9" s="24" t="s">
        <v>24</v>
      </c>
      <c r="G9" s="12">
        <v>8</v>
      </c>
      <c r="H9" s="88">
        <f>IF(B$20=0,0,G9/B$20)</f>
        <v>0.15686274509803921</v>
      </c>
      <c r="I9" s="58">
        <v>3</v>
      </c>
      <c r="K9" s="74">
        <v>7</v>
      </c>
      <c r="L9" s="123">
        <v>103.7</v>
      </c>
      <c r="M9" s="121">
        <v>1518.3867404680007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0.16666666666666666</v>
      </c>
      <c r="E10" s="27" t="s">
        <v>70</v>
      </c>
      <c r="F10" s="24" t="s">
        <v>25</v>
      </c>
      <c r="G10" s="12">
        <v>6</v>
      </c>
      <c r="H10" s="88">
        <f>IF(B$20=0,0,G10/B$20)</f>
        <v>0.11764705882352941</v>
      </c>
      <c r="I10" s="58">
        <v>2</v>
      </c>
      <c r="K10" s="74">
        <v>8</v>
      </c>
      <c r="L10" s="123">
        <v>140.6</v>
      </c>
      <c r="M10" s="121">
        <v>1524.9664200251927</v>
      </c>
      <c r="O10" s="73" t="s">
        <v>152</v>
      </c>
      <c r="P10" s="82">
        <f>IF(Q10=0,0,R10/Q10)</f>
        <v>9.0833333333333339</v>
      </c>
      <c r="Q10" s="76">
        <v>6</v>
      </c>
      <c r="R10" s="67">
        <v>54.5</v>
      </c>
    </row>
    <row r="11" spans="1:18" x14ac:dyDescent="0.45">
      <c r="A11" s="20" t="s">
        <v>185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>IF(B$20=0,0,G11/B$20)</f>
        <v>9.8039215686274508E-2</v>
      </c>
      <c r="I11" s="58">
        <v>3</v>
      </c>
      <c r="K11" s="74">
        <v>9</v>
      </c>
      <c r="L11" s="123">
        <v>127.8</v>
      </c>
      <c r="M11" s="121">
        <v>1522.5606215050416</v>
      </c>
      <c r="O11" s="74" t="s">
        <v>153</v>
      </c>
      <c r="P11" s="83">
        <f>IF(Q11=0,0,R11/Q11)</f>
        <v>6.8</v>
      </c>
      <c r="Q11" s="77">
        <v>7</v>
      </c>
      <c r="R11" s="68">
        <v>47.6</v>
      </c>
    </row>
    <row r="12" spans="1:18" x14ac:dyDescent="0.45">
      <c r="A12" s="20" t="s">
        <v>186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>IF(B$20=0,0,G12/B$20)</f>
        <v>5.8823529411764705E-2</v>
      </c>
      <c r="I12" s="58">
        <v>6</v>
      </c>
      <c r="K12" s="74">
        <v>10</v>
      </c>
      <c r="L12" s="123">
        <v>134.4</v>
      </c>
      <c r="M12" s="121">
        <v>1523.6432577760113</v>
      </c>
      <c r="O12" s="75" t="s">
        <v>154</v>
      </c>
      <c r="P12" s="84">
        <f>IF(Q12=0,0,R12/Q12)</f>
        <v>17.360000000000003</v>
      </c>
      <c r="Q12" s="78">
        <v>5</v>
      </c>
      <c r="R12" s="69">
        <v>86.800000000000011</v>
      </c>
    </row>
    <row r="13" spans="1:18" x14ac:dyDescent="0.45">
      <c r="A13" s="20" t="s">
        <v>187</v>
      </c>
      <c r="B13" s="109">
        <f>IF(B10=0,0,C13/B10)</f>
        <v>-23.133333333333336</v>
      </c>
      <c r="C13" s="110">
        <v>-69.400000000000006</v>
      </c>
      <c r="E13" s="27" t="s">
        <v>81</v>
      </c>
      <c r="F13" s="24" t="s">
        <v>36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23">
        <v>212.4</v>
      </c>
      <c r="M13" s="121">
        <v>1537.5713982293553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2.7341269841269842</v>
      </c>
      <c r="C14" s="125"/>
      <c r="E14" s="27" t="s">
        <v>71</v>
      </c>
      <c r="F14" s="24" t="s">
        <v>26</v>
      </c>
      <c r="G14" s="12">
        <v>2</v>
      </c>
      <c r="H14" s="88">
        <f>IF(B$20=0,0,G14/B$20)</f>
        <v>3.9215686274509803E-2</v>
      </c>
      <c r="I14" s="58">
        <v>7</v>
      </c>
      <c r="K14" s="74">
        <v>12</v>
      </c>
      <c r="L14" s="123">
        <v>239</v>
      </c>
      <c r="M14" s="121">
        <v>1542.229969839979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2</v>
      </c>
      <c r="H15" s="88">
        <f>IF(B$20=0,0,G15/B$20)</f>
        <v>3.9215686274509803E-2</v>
      </c>
      <c r="I15" s="58">
        <v>5</v>
      </c>
      <c r="K15" s="74">
        <v>13</v>
      </c>
      <c r="L15" s="123">
        <v>236</v>
      </c>
      <c r="M15" s="121">
        <v>1541.5325900209391</v>
      </c>
      <c r="O15" s="73" t="s">
        <v>164</v>
      </c>
      <c r="P15" s="82">
        <f>IF(Q15=0,0,R15/Q15)</f>
        <v>82.3</v>
      </c>
      <c r="Q15" s="76">
        <v>4</v>
      </c>
      <c r="R15" s="67">
        <v>329.2</v>
      </c>
    </row>
    <row r="16" spans="1:18" x14ac:dyDescent="0.45">
      <c r="A16" s="22" t="s">
        <v>121</v>
      </c>
      <c r="B16" s="15">
        <v>40</v>
      </c>
      <c r="C16" s="10">
        <f>IF(B$3=0,0,B16/B$3)</f>
        <v>0.26845637583892618</v>
      </c>
      <c r="E16" s="27" t="s">
        <v>156</v>
      </c>
      <c r="F16" s="24" t="s">
        <v>157</v>
      </c>
      <c r="G16" s="12">
        <v>2</v>
      </c>
      <c r="H16" s="88">
        <f>IF(B$20=0,0,G16/B$20)</f>
        <v>3.9215686274509803E-2</v>
      </c>
      <c r="I16" s="58">
        <v>1</v>
      </c>
      <c r="K16" s="74">
        <v>14</v>
      </c>
      <c r="L16" s="123">
        <v>222</v>
      </c>
      <c r="M16" s="121">
        <v>1538.8473944808134</v>
      </c>
      <c r="O16" s="74" t="s">
        <v>195</v>
      </c>
      <c r="P16" s="83">
        <f>IF(Q16=0,0,R16/Q16)</f>
        <v>33.800000000000004</v>
      </c>
      <c r="Q16" s="77">
        <v>3</v>
      </c>
      <c r="R16" s="68">
        <v>101.4</v>
      </c>
    </row>
    <row r="17" spans="1:18" x14ac:dyDescent="0.45">
      <c r="A17" s="19" t="s">
        <v>118</v>
      </c>
      <c r="B17" s="12">
        <v>35</v>
      </c>
      <c r="C17" s="6">
        <f>IF(B$3=0,0,B17/B$3)</f>
        <v>0.2348993288590604</v>
      </c>
      <c r="E17" s="27" t="s">
        <v>78</v>
      </c>
      <c r="F17" s="24" t="s">
        <v>33</v>
      </c>
      <c r="G17" s="12">
        <v>1</v>
      </c>
      <c r="H17" s="88">
        <f>IF(B$20=0,0,G17/B$20)</f>
        <v>1.9607843137254902E-2</v>
      </c>
      <c r="I17" s="58">
        <v>6</v>
      </c>
      <c r="K17" s="74">
        <v>15</v>
      </c>
      <c r="L17" s="123">
        <v>190.9</v>
      </c>
      <c r="M17" s="121">
        <v>1533.1003101139286</v>
      </c>
      <c r="O17" s="74" t="s">
        <v>200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20</v>
      </c>
      <c r="C18" s="5">
        <f>IF(B$16=0,0,B18/B$16)</f>
        <v>0.5</v>
      </c>
      <c r="E18" s="27" t="s">
        <v>79</v>
      </c>
      <c r="F18" s="24" t="s">
        <v>34</v>
      </c>
      <c r="G18" s="12">
        <v>1</v>
      </c>
      <c r="H18" s="88">
        <f>IF(B$20=0,0,G18/B$20)</f>
        <v>1.9607843137254902E-2</v>
      </c>
      <c r="I18" s="58">
        <v>2</v>
      </c>
      <c r="K18" s="74">
        <v>16</v>
      </c>
      <c r="L18" s="123">
        <v>164.20000000000002</v>
      </c>
      <c r="M18" s="121">
        <v>1528.1797082532451</v>
      </c>
      <c r="O18" s="74" t="s">
        <v>208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0.54285714285714282</v>
      </c>
      <c r="E19" s="27" t="s">
        <v>92</v>
      </c>
      <c r="F19" s="24" t="s">
        <v>47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23">
        <v>164.3</v>
      </c>
      <c r="M19" s="121">
        <v>1528.0946300037256</v>
      </c>
      <c r="O19" s="74" t="s">
        <v>198</v>
      </c>
      <c r="P19" s="83">
        <f>IF(Q19=0,0,R19/Q19)</f>
        <v>16.028571428571425</v>
      </c>
      <c r="Q19" s="77">
        <v>7</v>
      </c>
      <c r="R19" s="68">
        <v>112.19999999999997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0.34228187919463088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23">
        <v>188.9</v>
      </c>
      <c r="M20" s="121">
        <v>1532.4140622237032</v>
      </c>
      <c r="O20" s="74" t="s">
        <v>190</v>
      </c>
      <c r="P20" s="83">
        <f>IF(Q20=0,0,R20/Q20)</f>
        <v>-2.6</v>
      </c>
      <c r="Q20" s="77">
        <v>11</v>
      </c>
      <c r="R20" s="68">
        <v>-28.6</v>
      </c>
    </row>
    <row r="21" spans="1:18" x14ac:dyDescent="0.45">
      <c r="A21" s="19" t="s">
        <v>13</v>
      </c>
      <c r="B21" s="12">
        <v>20</v>
      </c>
      <c r="C21" s="6">
        <f>IF(B$3=0,0,B21/B$3)</f>
        <v>0.13422818791946309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O21" s="74" t="s">
        <v>194</v>
      </c>
      <c r="P21" s="83">
        <f>IF(Q21=0,0,R21/Q21)</f>
        <v>-5.4999999999999982</v>
      </c>
      <c r="Q21" s="77">
        <v>7</v>
      </c>
      <c r="R21" s="68">
        <v>-38.499999999999986</v>
      </c>
    </row>
    <row r="22" spans="1:18" x14ac:dyDescent="0.45">
      <c r="A22" s="19" t="s">
        <v>12</v>
      </c>
      <c r="B22" s="12">
        <v>27</v>
      </c>
      <c r="C22" s="6">
        <f>IF(B$20=0,0,B22/B$20)</f>
        <v>0.52941176470588236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0.47058823529411764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20</v>
      </c>
      <c r="C24" s="6">
        <f>IF(B$20=0,0,B24/B$20)</f>
        <v>0.39215686274509803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182</v>
      </c>
      <c r="B25" s="12">
        <v>19</v>
      </c>
      <c r="C25" s="6">
        <f>IF(B$20=0,0,B25/B$20)</f>
        <v>0.37254901960784315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183</v>
      </c>
      <c r="B26" s="12">
        <v>12</v>
      </c>
      <c r="C26" s="6">
        <f>IF(B$20=0,0,B26/B$20)</f>
        <v>0.23529411764705882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9135.2941176470595</v>
      </c>
      <c r="C27" s="8">
        <v>465900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9600</v>
      </c>
      <c r="C28" s="96">
        <v>307200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167</v>
      </c>
      <c r="B29" s="95">
        <f>IF(B$19=0,0,C29/B$19)</f>
        <v>8352.6315789473683</v>
      </c>
      <c r="C29" s="96">
        <v>158700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-6545</v>
      </c>
      <c r="C30" s="96">
        <v>-130900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158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159</v>
      </c>
      <c r="B32" s="12">
        <v>17</v>
      </c>
      <c r="C32" s="90">
        <v>9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6">
        <v>5</v>
      </c>
      <c r="C33" s="127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103000</v>
      </c>
      <c r="C34" s="129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2">IF(B$20=0,0,B37/B$20)</f>
        <v>3.9215686274509803E-2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7</v>
      </c>
      <c r="C38" s="6">
        <f t="shared" si="2"/>
        <v>0.13725490196078433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13</v>
      </c>
      <c r="C39" s="6">
        <f t="shared" si="2"/>
        <v>0.25490196078431371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7</v>
      </c>
      <c r="C40" s="6">
        <f t="shared" si="2"/>
        <v>0.13725490196078433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6</v>
      </c>
      <c r="C41" s="6">
        <f t="shared" si="2"/>
        <v>0.11764705882352941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9</v>
      </c>
      <c r="C42" s="6">
        <f t="shared" si="2"/>
        <v>0.17647058823529413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5</v>
      </c>
      <c r="C43" s="6">
        <f t="shared" si="2"/>
        <v>9.8039215686274508E-2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1</v>
      </c>
      <c r="C46" s="6">
        <f t="shared" si="2"/>
        <v>1.9607843137254902E-2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1</v>
      </c>
      <c r="C49" s="9">
        <f t="shared" si="2"/>
        <v>1.9607843137254902E-2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194-DEAB-4362-B3D6-1C8AE0BF8D6B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164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6</v>
      </c>
      <c r="C2" s="133"/>
      <c r="E2" s="26" t="s">
        <v>66</v>
      </c>
      <c r="F2" s="23" t="s">
        <v>22</v>
      </c>
      <c r="G2" s="11">
        <v>6</v>
      </c>
      <c r="H2" s="87">
        <f>IF(B$20=0,0,G2/B$20)</f>
        <v>0.6</v>
      </c>
      <c r="I2" s="57">
        <v>7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-2033.3333333333333</v>
      </c>
      <c r="Q2" s="76">
        <v>6</v>
      </c>
      <c r="R2" s="63">
        <v>-12200</v>
      </c>
    </row>
    <row r="3" spans="1:18" x14ac:dyDescent="0.45">
      <c r="A3" s="19" t="s">
        <v>8</v>
      </c>
      <c r="B3" s="134">
        <v>51</v>
      </c>
      <c r="C3" s="135"/>
      <c r="E3" s="27" t="s">
        <v>72</v>
      </c>
      <c r="F3" s="24" t="s">
        <v>27</v>
      </c>
      <c r="G3" s="12">
        <v>6</v>
      </c>
      <c r="H3" s="88">
        <f>IF(B$20=0,0,G3/B$20)</f>
        <v>0.6</v>
      </c>
      <c r="I3" s="58">
        <v>7</v>
      </c>
      <c r="K3" s="74">
        <v>1</v>
      </c>
      <c r="L3" s="123">
        <v>-31</v>
      </c>
      <c r="M3" s="121">
        <v>1494.42</v>
      </c>
      <c r="O3" s="74" t="s">
        <v>129</v>
      </c>
      <c r="P3" s="80">
        <f t="shared" si="0"/>
        <v>-3380</v>
      </c>
      <c r="Q3" s="77">
        <v>5</v>
      </c>
      <c r="R3" s="64">
        <v>-16900</v>
      </c>
    </row>
    <row r="4" spans="1:18" x14ac:dyDescent="0.45">
      <c r="A4" s="19" t="s">
        <v>6</v>
      </c>
      <c r="B4" s="136">
        <v>-182.90000000000003</v>
      </c>
      <c r="C4" s="137"/>
      <c r="E4" s="27" t="s">
        <v>160</v>
      </c>
      <c r="F4" s="24" t="s">
        <v>161</v>
      </c>
      <c r="G4" s="12">
        <v>4</v>
      </c>
      <c r="H4" s="88">
        <f>IF(B$20=0,0,G4/B$20)</f>
        <v>0.4</v>
      </c>
      <c r="I4" s="58">
        <v>5</v>
      </c>
      <c r="K4" s="74">
        <v>2</v>
      </c>
      <c r="L4" s="123">
        <v>-98.9</v>
      </c>
      <c r="M4" s="121">
        <v>1482.2314800000001</v>
      </c>
      <c r="O4" s="74" t="s">
        <v>130</v>
      </c>
      <c r="P4" s="80">
        <f t="shared" si="0"/>
        <v>-3720</v>
      </c>
      <c r="Q4" s="77">
        <v>5</v>
      </c>
      <c r="R4" s="64">
        <v>-18600</v>
      </c>
    </row>
    <row r="5" spans="1:18" x14ac:dyDescent="0.45">
      <c r="A5" s="19" t="s">
        <v>7</v>
      </c>
      <c r="B5" s="124">
        <f>IF(B$2=0,0,B$4/B$2)</f>
        <v>-30.483333333333338</v>
      </c>
      <c r="C5" s="125"/>
      <c r="E5" s="27" t="s">
        <v>64</v>
      </c>
      <c r="F5" s="24" t="s">
        <v>20</v>
      </c>
      <c r="G5" s="12">
        <v>3</v>
      </c>
      <c r="H5" s="88">
        <f>IF(B$20=0,0,G5/B$20)</f>
        <v>0.3</v>
      </c>
      <c r="I5" s="58">
        <v>9</v>
      </c>
      <c r="K5" s="74">
        <v>3</v>
      </c>
      <c r="L5" s="123">
        <v>-65.300000000000011</v>
      </c>
      <c r="M5" s="121">
        <v>1488.3500911200001</v>
      </c>
      <c r="O5" s="74" t="s">
        <v>131</v>
      </c>
      <c r="P5" s="80">
        <f t="shared" si="0"/>
        <v>-680</v>
      </c>
      <c r="Q5" s="77">
        <v>5</v>
      </c>
      <c r="R5" s="64">
        <v>-3400</v>
      </c>
    </row>
    <row r="6" spans="1:18" x14ac:dyDescent="0.45">
      <c r="A6" s="19" t="s">
        <v>211</v>
      </c>
      <c r="B6" s="128">
        <v>1467.5247215980612</v>
      </c>
      <c r="C6" s="129"/>
      <c r="E6" s="27" t="s">
        <v>67</v>
      </c>
      <c r="F6" s="24" t="s">
        <v>23</v>
      </c>
      <c r="G6" s="12">
        <v>2</v>
      </c>
      <c r="H6" s="88">
        <f>IF(B$20=0,0,G6/B$20)</f>
        <v>0.2</v>
      </c>
      <c r="I6" s="58">
        <v>7</v>
      </c>
      <c r="K6" s="74">
        <v>4</v>
      </c>
      <c r="L6" s="123">
        <v>-99.700000000000017</v>
      </c>
      <c r="M6" s="121">
        <v>1482.19199057328</v>
      </c>
      <c r="O6" s="74" t="s">
        <v>132</v>
      </c>
      <c r="P6" s="80">
        <f t="shared" si="0"/>
        <v>-50</v>
      </c>
      <c r="Q6" s="77">
        <v>4</v>
      </c>
      <c r="R6" s="64">
        <v>-200</v>
      </c>
    </row>
    <row r="7" spans="1:18" x14ac:dyDescent="0.45">
      <c r="A7" s="19" t="s">
        <v>1</v>
      </c>
      <c r="B7" s="138">
        <f>IF(B$2=0,0,(B$8*1+B$9*2+B$10*3)/B$2)</f>
        <v>2.6666666666666665</v>
      </c>
      <c r="C7" s="139"/>
      <c r="E7" s="27" t="s">
        <v>68</v>
      </c>
      <c r="F7" s="24" t="s">
        <v>12</v>
      </c>
      <c r="G7" s="12">
        <v>1</v>
      </c>
      <c r="H7" s="88">
        <f>IF(B$20=0,0,G7/B$20)</f>
        <v>0.1</v>
      </c>
      <c r="I7" s="58">
        <v>10</v>
      </c>
      <c r="K7" s="74">
        <v>5</v>
      </c>
      <c r="L7" s="123">
        <v>-132.90000000000003</v>
      </c>
      <c r="M7" s="121">
        <v>1476.3528386298403</v>
      </c>
      <c r="O7" s="75" t="s">
        <v>133</v>
      </c>
      <c r="P7" s="81">
        <f t="shared" si="0"/>
        <v>-2700</v>
      </c>
      <c r="Q7" s="78">
        <v>3</v>
      </c>
      <c r="R7" s="65">
        <v>-8100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6</v>
      </c>
      <c r="K8" s="74">
        <v>6</v>
      </c>
      <c r="L8" s="123">
        <v>-182.90000000000003</v>
      </c>
      <c r="M8" s="121">
        <v>1467.5247215980612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70</v>
      </c>
      <c r="F9" s="24" t="s">
        <v>25</v>
      </c>
      <c r="G9" s="12">
        <v>1</v>
      </c>
      <c r="H9" s="88">
        <f>IF(B$20=0,0,G9/B$20)</f>
        <v>0.1</v>
      </c>
      <c r="I9" s="58">
        <v>6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0.83333333333333337</v>
      </c>
      <c r="E10" s="27" t="s">
        <v>71</v>
      </c>
      <c r="F10" s="24" t="s">
        <v>26</v>
      </c>
      <c r="G10" s="12">
        <v>1</v>
      </c>
      <c r="H10" s="88">
        <f>IF(B$20=0,0,G10/B$20)</f>
        <v>0.1</v>
      </c>
      <c r="I10" s="58">
        <v>2</v>
      </c>
      <c r="O10" s="73" t="s">
        <v>152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185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>IF(B$20=0,0,G11/B$20)</f>
        <v>0.1</v>
      </c>
      <c r="I11" s="58">
        <v>2</v>
      </c>
      <c r="O11" s="74" t="s">
        <v>153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0.1</v>
      </c>
      <c r="I12" s="58">
        <v>2</v>
      </c>
      <c r="O12" s="75" t="s">
        <v>154</v>
      </c>
      <c r="P12" s="84">
        <f>IF(Q12=0,0,R12/Q12)</f>
        <v>-50</v>
      </c>
      <c r="Q12" s="78">
        <v>1</v>
      </c>
      <c r="R12" s="69">
        <v>-50</v>
      </c>
    </row>
    <row r="13" spans="1:18" x14ac:dyDescent="0.45">
      <c r="A13" s="20" t="s">
        <v>187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>IF(B$20=0,0,G13/B$20)</f>
        <v>0.1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-3.2333333333333321</v>
      </c>
      <c r="C14" s="125"/>
      <c r="E14" s="27" t="s">
        <v>86</v>
      </c>
      <c r="F14" s="24" t="s">
        <v>41</v>
      </c>
      <c r="G14" s="12">
        <v>1</v>
      </c>
      <c r="H14" s="88">
        <f>IF(B$20=0,0,G14/B$20)</f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89</v>
      </c>
      <c r="F15" s="24" t="s">
        <v>44</v>
      </c>
      <c r="G15" s="12">
        <v>1</v>
      </c>
      <c r="H15" s="88">
        <f>IF(B$20=0,0,G15/B$20)</f>
        <v>0.1</v>
      </c>
      <c r="I15" s="58">
        <v>10</v>
      </c>
      <c r="O15" s="73" t="s">
        <v>194</v>
      </c>
      <c r="P15" s="82">
        <f>IF(Q15=0,0,R15/Q15)</f>
        <v>-15.799999999999997</v>
      </c>
      <c r="Q15" s="76">
        <v>2</v>
      </c>
      <c r="R15" s="67">
        <v>-31.599999999999994</v>
      </c>
    </row>
    <row r="16" spans="1:18" x14ac:dyDescent="0.45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>IF(B$20=0,0,G16/B$20)</f>
        <v>0</v>
      </c>
      <c r="I16" s="58">
        <v>8</v>
      </c>
      <c r="O16" s="74" t="s">
        <v>190</v>
      </c>
      <c r="P16" s="83">
        <f>IF(Q16=0,0,R16/Q16)</f>
        <v>-26.525000000000002</v>
      </c>
      <c r="Q16" s="77">
        <v>4</v>
      </c>
      <c r="R16" s="68">
        <v>-106.10000000000001</v>
      </c>
    </row>
    <row r="17" spans="1:18" x14ac:dyDescent="0.45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198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5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-82.300000000000011</v>
      </c>
      <c r="Q18" s="77">
        <v>4</v>
      </c>
      <c r="R18" s="68">
        <v>-329.20000000000005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5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183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5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4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58600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2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2"/>
        <v>0.3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3</v>
      </c>
      <c r="C41" s="6">
        <f t="shared" si="2"/>
        <v>0.3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5796C-67E5-4C20-B655-6D0F3D86B2F6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190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6</v>
      </c>
      <c r="C2" s="133"/>
      <c r="E2" s="26" t="s">
        <v>72</v>
      </c>
      <c r="F2" s="23" t="s">
        <v>27</v>
      </c>
      <c r="G2" s="11">
        <v>18</v>
      </c>
      <c r="H2" s="87">
        <f>IF(B$20=0,0,G2/B$20)</f>
        <v>1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1750</v>
      </c>
      <c r="Q2" s="76">
        <v>6</v>
      </c>
      <c r="R2" s="63">
        <v>10500</v>
      </c>
    </row>
    <row r="3" spans="1:18" x14ac:dyDescent="0.45">
      <c r="A3" s="19" t="s">
        <v>8</v>
      </c>
      <c r="B3" s="134">
        <v>53</v>
      </c>
      <c r="C3" s="135"/>
      <c r="E3" s="27" t="s">
        <v>66</v>
      </c>
      <c r="F3" s="24" t="s">
        <v>22</v>
      </c>
      <c r="G3" s="12">
        <v>10</v>
      </c>
      <c r="H3" s="88">
        <f>IF(B$20=0,0,G3/B$20)</f>
        <v>0.55555555555555558</v>
      </c>
      <c r="I3" s="58">
        <v>8</v>
      </c>
      <c r="K3" s="74">
        <v>1</v>
      </c>
      <c r="L3" s="123">
        <v>10.1</v>
      </c>
      <c r="M3" s="121">
        <v>1501.818</v>
      </c>
      <c r="O3" s="74" t="s">
        <v>129</v>
      </c>
      <c r="P3" s="80">
        <f t="shared" si="0"/>
        <v>-2783.3333333333335</v>
      </c>
      <c r="Q3" s="77">
        <v>6</v>
      </c>
      <c r="R3" s="64">
        <v>-16700</v>
      </c>
    </row>
    <row r="4" spans="1:18" x14ac:dyDescent="0.45">
      <c r="A4" s="19" t="s">
        <v>6</v>
      </c>
      <c r="B4" s="136">
        <v>24.7</v>
      </c>
      <c r="C4" s="137"/>
      <c r="E4" s="27" t="s">
        <v>67</v>
      </c>
      <c r="F4" s="24" t="s">
        <v>23</v>
      </c>
      <c r="G4" s="12">
        <v>10</v>
      </c>
      <c r="H4" s="88">
        <f>IF(B$20=0,0,G4/B$20)</f>
        <v>0.55555555555555558</v>
      </c>
      <c r="I4" s="58">
        <v>2</v>
      </c>
      <c r="K4" s="74">
        <v>2</v>
      </c>
      <c r="L4" s="123">
        <v>36.4</v>
      </c>
      <c r="M4" s="121">
        <v>1506.5410919999999</v>
      </c>
      <c r="O4" s="74" t="s">
        <v>130</v>
      </c>
      <c r="P4" s="80">
        <f t="shared" si="0"/>
        <v>583.33333333333337</v>
      </c>
      <c r="Q4" s="77">
        <v>6</v>
      </c>
      <c r="R4" s="64">
        <v>3500</v>
      </c>
    </row>
    <row r="5" spans="1:18" x14ac:dyDescent="0.45">
      <c r="A5" s="19" t="s">
        <v>7</v>
      </c>
      <c r="B5" s="124">
        <f>IF(B$2=0,0,B$4/B$2)</f>
        <v>4.1166666666666663</v>
      </c>
      <c r="C5" s="125"/>
      <c r="E5" s="27" t="s">
        <v>160</v>
      </c>
      <c r="F5" s="24" t="s">
        <v>161</v>
      </c>
      <c r="G5" s="12">
        <v>8</v>
      </c>
      <c r="H5" s="88">
        <f>IF(B$20=0,0,G5/B$20)</f>
        <v>0.44444444444444442</v>
      </c>
      <c r="I5" s="58">
        <v>3</v>
      </c>
      <c r="K5" s="74">
        <v>3</v>
      </c>
      <c r="L5" s="123">
        <v>36.4</v>
      </c>
      <c r="M5" s="121">
        <v>1506.561845448</v>
      </c>
      <c r="O5" s="74" t="s">
        <v>131</v>
      </c>
      <c r="P5" s="80">
        <f t="shared" si="0"/>
        <v>-150</v>
      </c>
      <c r="Q5" s="77">
        <v>6</v>
      </c>
      <c r="R5" s="64">
        <v>-900</v>
      </c>
    </row>
    <row r="6" spans="1:18" x14ac:dyDescent="0.45">
      <c r="A6" s="19" t="s">
        <v>211</v>
      </c>
      <c r="B6" s="128">
        <v>1504.6445079638859</v>
      </c>
      <c r="C6" s="129"/>
      <c r="E6" s="27" t="s">
        <v>64</v>
      </c>
      <c r="F6" s="24" t="s">
        <v>20</v>
      </c>
      <c r="G6" s="12">
        <v>7</v>
      </c>
      <c r="H6" s="88">
        <f>IF(B$20=0,0,G6/B$20)</f>
        <v>0.3888888888888889</v>
      </c>
      <c r="I6" s="58">
        <v>6</v>
      </c>
      <c r="K6" s="74">
        <v>4</v>
      </c>
      <c r="L6" s="123">
        <v>13.299999999999997</v>
      </c>
      <c r="M6" s="121">
        <v>1502.424474375312</v>
      </c>
      <c r="O6" s="74" t="s">
        <v>132</v>
      </c>
      <c r="P6" s="80">
        <f t="shared" si="0"/>
        <v>3350</v>
      </c>
      <c r="Q6" s="77">
        <v>6</v>
      </c>
      <c r="R6" s="64">
        <v>20100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68</v>
      </c>
      <c r="F7" s="24" t="s">
        <v>12</v>
      </c>
      <c r="G7" s="12">
        <v>6</v>
      </c>
      <c r="H7" s="88">
        <f>IF(B$20=0,0,G7/B$20)</f>
        <v>0.33333333333333331</v>
      </c>
      <c r="I7" s="58">
        <v>4</v>
      </c>
      <c r="K7" s="74">
        <v>5</v>
      </c>
      <c r="L7" s="123">
        <v>8.0999999999999979</v>
      </c>
      <c r="M7" s="121">
        <v>1501.5699275290601</v>
      </c>
      <c r="O7" s="75" t="s">
        <v>133</v>
      </c>
      <c r="P7" s="81">
        <f t="shared" si="0"/>
        <v>2300</v>
      </c>
      <c r="Q7" s="78">
        <v>4</v>
      </c>
      <c r="R7" s="65">
        <v>9200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89</v>
      </c>
      <c r="F8" s="24" t="s">
        <v>44</v>
      </c>
      <c r="G8" s="12">
        <v>3</v>
      </c>
      <c r="H8" s="88">
        <f>IF(B$20=0,0,G8/B$20)</f>
        <v>0.16666666666666666</v>
      </c>
      <c r="I8" s="58">
        <v>6</v>
      </c>
      <c r="K8" s="74">
        <v>6</v>
      </c>
      <c r="L8" s="123">
        <v>24.7</v>
      </c>
      <c r="M8" s="121">
        <v>1504.6445079638859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0.66666666666666663</v>
      </c>
      <c r="E9" s="27" t="s">
        <v>65</v>
      </c>
      <c r="F9" s="24" t="s">
        <v>21</v>
      </c>
      <c r="G9" s="12">
        <v>2</v>
      </c>
      <c r="H9" s="88">
        <f>IF(B$20=0,0,G9/B$20)</f>
        <v>0.1111111111111111</v>
      </c>
      <c r="I9" s="58">
        <v>4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0.16666666666666666</v>
      </c>
      <c r="E10" s="27" t="s">
        <v>70</v>
      </c>
      <c r="F10" s="24" t="s">
        <v>25</v>
      </c>
      <c r="G10" s="12">
        <v>1</v>
      </c>
      <c r="H10" s="88">
        <f>IF(B$20=0,0,G10/B$20)</f>
        <v>5.5555555555555552E-2</v>
      </c>
      <c r="I10" s="58">
        <v>7</v>
      </c>
      <c r="O10" s="73" t="s">
        <v>152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5">
      <c r="A11" s="20" t="s">
        <v>185</v>
      </c>
      <c r="B11" s="109">
        <f>IF(B8=0,0,C11/B8)</f>
        <v>16.600000000000001</v>
      </c>
      <c r="C11" s="110">
        <v>16.600000000000001</v>
      </c>
      <c r="E11" s="27" t="s">
        <v>71</v>
      </c>
      <c r="F11" s="24" t="s">
        <v>26</v>
      </c>
      <c r="G11" s="12">
        <v>1</v>
      </c>
      <c r="H11" s="88">
        <f>IF(B$20=0,0,G11/B$20)</f>
        <v>5.5555555555555552E-2</v>
      </c>
      <c r="I11" s="58">
        <v>5</v>
      </c>
      <c r="O11" s="74" t="s">
        <v>153</v>
      </c>
      <c r="P11" s="83">
        <f>IF(Q11=0,0,R11/Q11)</f>
        <v>-5.2</v>
      </c>
      <c r="Q11" s="77">
        <v>1</v>
      </c>
      <c r="R11" s="68">
        <v>-5.2</v>
      </c>
    </row>
    <row r="12" spans="1:18" x14ac:dyDescent="0.45">
      <c r="A12" s="20" t="s">
        <v>186</v>
      </c>
      <c r="B12" s="109">
        <f>IF(B9=0,0,C12/B9)</f>
        <v>7.8</v>
      </c>
      <c r="C12" s="110">
        <v>31.2</v>
      </c>
      <c r="E12" s="27" t="s">
        <v>83</v>
      </c>
      <c r="F12" s="24" t="s">
        <v>38</v>
      </c>
      <c r="G12" s="12">
        <v>1</v>
      </c>
      <c r="H12" s="88">
        <f>IF(B$20=0,0,G12/B$20)</f>
        <v>5.5555555555555552E-2</v>
      </c>
      <c r="I12" s="58">
        <v>5</v>
      </c>
      <c r="O12" s="75" t="s">
        <v>154</v>
      </c>
      <c r="P12" s="84">
        <f>IF(Q12=0,0,R12/Q12)</f>
        <v>5.05</v>
      </c>
      <c r="Q12" s="78">
        <v>2</v>
      </c>
      <c r="R12" s="69">
        <v>10.1</v>
      </c>
    </row>
    <row r="13" spans="1:18" x14ac:dyDescent="0.45">
      <c r="A13" s="20" t="s">
        <v>187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>IF(B$20=0,0,G13/B$20)</f>
        <v>5.5555555555555552E-2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0.43333333333333357</v>
      </c>
      <c r="C14" s="125"/>
      <c r="E14" s="27" t="s">
        <v>91</v>
      </c>
      <c r="F14" s="24" t="s">
        <v>46</v>
      </c>
      <c r="G14" s="12">
        <v>1</v>
      </c>
      <c r="H14" s="88">
        <f>IF(B$20=0,0,G14/B$20)</f>
        <v>5.5555555555555552E-2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69</v>
      </c>
      <c r="F15" s="24" t="s">
        <v>24</v>
      </c>
      <c r="G15" s="12">
        <v>0</v>
      </c>
      <c r="H15" s="88">
        <f>IF(B$20=0,0,G15/B$20)</f>
        <v>0</v>
      </c>
      <c r="I15" s="58">
        <v>9</v>
      </c>
      <c r="O15" s="73" t="s">
        <v>164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15</v>
      </c>
      <c r="C16" s="10">
        <f>IF(B$3=0,0,B16/B$3)</f>
        <v>0.28301886792452829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194</v>
      </c>
      <c r="P16" s="83">
        <f>IF(Q16=0,0,R16/Q16)</f>
        <v>30.200000000000003</v>
      </c>
      <c r="Q16" s="77">
        <v>1</v>
      </c>
      <c r="R16" s="68">
        <v>30.200000000000003</v>
      </c>
    </row>
    <row r="17" spans="1:18" x14ac:dyDescent="0.45">
      <c r="A17" s="19" t="s">
        <v>118</v>
      </c>
      <c r="B17" s="12">
        <v>23</v>
      </c>
      <c r="C17" s="6">
        <f>IF(B$3=0,0,B17/B$3)</f>
        <v>0.43396226415094341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-6.9333333333333336</v>
      </c>
      <c r="Q17" s="77">
        <v>6</v>
      </c>
      <c r="R17" s="68">
        <v>-41.6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0.46666666666666667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198</v>
      </c>
      <c r="P18" s="83">
        <f>IF(Q18=0,0,R18/Q18)</f>
        <v>-16.600000000000001</v>
      </c>
      <c r="Q18" s="77">
        <v>3</v>
      </c>
      <c r="R18" s="68">
        <v>-49.800000000000004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0.39130434782608697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18</v>
      </c>
      <c r="C20" s="5">
        <f>IF(B$3=0,0,B20/B$3)</f>
        <v>0.33962264150943394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7</v>
      </c>
      <c r="C21" s="6">
        <f>IF(B$3=0,0,B21/B$3)</f>
        <v>0.13207547169811321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10</v>
      </c>
      <c r="C22" s="6">
        <f>IF(B$20=0,0,B22/B$20)</f>
        <v>0.55555555555555558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5">
      <c r="A23" s="19" t="s">
        <v>11</v>
      </c>
      <c r="B23" s="12">
        <v>8</v>
      </c>
      <c r="C23" s="6">
        <f>IF(B$20=0,0,B23/B$20)</f>
        <v>0.44444444444444442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7</v>
      </c>
      <c r="C24" s="6">
        <f>IF(B$20=0,0,B24/B$20)</f>
        <v>0.3888888888888889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6</v>
      </c>
    </row>
    <row r="25" spans="1:18" x14ac:dyDescent="0.45">
      <c r="A25" s="19" t="s">
        <v>182</v>
      </c>
      <c r="B25" s="12">
        <v>9</v>
      </c>
      <c r="C25" s="6">
        <f>IF(B$20=0,0,B25/B$20)</f>
        <v>0.5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183</v>
      </c>
      <c r="B26" s="12">
        <v>2</v>
      </c>
      <c r="C26" s="6">
        <f>IF(B$20=0,0,B26/B$20)</f>
        <v>0.1111111111111111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8355.5555555555547</v>
      </c>
      <c r="C27" s="8">
        <v>150400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10711.111111111111</v>
      </c>
      <c r="C28" s="96">
        <v>96400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6000</v>
      </c>
      <c r="C29" s="96">
        <v>54000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-7571.4285714285716</v>
      </c>
      <c r="C30" s="96">
        <v>-53000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158</v>
      </c>
      <c r="B31" s="12">
        <v>2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7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61300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2">IF(B$20=0,0,B37/B$20)</f>
        <v>5.5555555555555552E-2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5</v>
      </c>
      <c r="C38" s="6">
        <f t="shared" si="2"/>
        <v>0.27777777777777779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1</v>
      </c>
      <c r="C41" s="6">
        <f t="shared" si="2"/>
        <v>5.5555555555555552E-2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2"/>
        <v>5.5555555555555552E-2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2"/>
        <v>0.1111111111111111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2"/>
        <v>5.5555555555555552E-2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1</v>
      </c>
      <c r="C45" s="6">
        <f t="shared" si="2"/>
        <v>5.5555555555555552E-2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1</v>
      </c>
      <c r="C46" s="6">
        <f t="shared" si="2"/>
        <v>5.5555555555555552E-2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9E80-A523-4DF3-A7BF-7C26B6C4829A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195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3</v>
      </c>
      <c r="C2" s="133"/>
      <c r="E2" s="26" t="s">
        <v>160</v>
      </c>
      <c r="F2" s="23" t="s">
        <v>161</v>
      </c>
      <c r="G2" s="11">
        <v>3</v>
      </c>
      <c r="H2" s="87">
        <f>IF(B$20=0,0,G2/B$20)</f>
        <v>1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2566.6666666666665</v>
      </c>
      <c r="Q2" s="76">
        <v>3</v>
      </c>
      <c r="R2" s="63">
        <v>7700</v>
      </c>
    </row>
    <row r="3" spans="1:18" x14ac:dyDescent="0.45">
      <c r="A3" s="19" t="s">
        <v>8</v>
      </c>
      <c r="B3" s="134">
        <v>21</v>
      </c>
      <c r="C3" s="135"/>
      <c r="E3" s="27" t="s">
        <v>69</v>
      </c>
      <c r="F3" s="24" t="s">
        <v>24</v>
      </c>
      <c r="G3" s="12">
        <v>2</v>
      </c>
      <c r="H3" s="88">
        <f>IF(B$20=0,0,G3/B$20)</f>
        <v>0.66666666666666663</v>
      </c>
      <c r="I3" s="58">
        <v>1</v>
      </c>
      <c r="K3" s="74">
        <v>1</v>
      </c>
      <c r="L3" s="123">
        <v>-33.6</v>
      </c>
      <c r="M3" s="121">
        <v>1493.9760000000001</v>
      </c>
      <c r="O3" s="74" t="s">
        <v>129</v>
      </c>
      <c r="P3" s="80">
        <f t="shared" si="0"/>
        <v>4066.6666666666665</v>
      </c>
      <c r="Q3" s="77">
        <v>3</v>
      </c>
      <c r="R3" s="64">
        <v>12200</v>
      </c>
    </row>
    <row r="4" spans="1:18" x14ac:dyDescent="0.45">
      <c r="A4" s="19" t="s">
        <v>6</v>
      </c>
      <c r="B4" s="136">
        <v>-40.4</v>
      </c>
      <c r="C4" s="137"/>
      <c r="E4" s="27" t="s">
        <v>64</v>
      </c>
      <c r="F4" s="24" t="s">
        <v>20</v>
      </c>
      <c r="G4" s="12">
        <v>1</v>
      </c>
      <c r="H4" s="88">
        <f>IF(B$20=0,0,G4/B$20)</f>
        <v>0.33333333333333331</v>
      </c>
      <c r="I4" s="58">
        <v>8</v>
      </c>
      <c r="K4" s="74">
        <v>2</v>
      </c>
      <c r="L4" s="123">
        <v>-36.9</v>
      </c>
      <c r="M4" s="121">
        <v>1493.4421440000001</v>
      </c>
      <c r="O4" s="74" t="s">
        <v>130</v>
      </c>
      <c r="P4" s="80">
        <f t="shared" si="0"/>
        <v>-2766.6666666666665</v>
      </c>
      <c r="Q4" s="77">
        <v>3</v>
      </c>
      <c r="R4" s="64">
        <v>-8300</v>
      </c>
    </row>
    <row r="5" spans="1:18" x14ac:dyDescent="0.45">
      <c r="A5" s="19" t="s">
        <v>7</v>
      </c>
      <c r="B5" s="124">
        <f>IF(B$2=0,0,B$4/B$2)</f>
        <v>-13.466666666666667</v>
      </c>
      <c r="C5" s="125"/>
      <c r="E5" s="27" t="s">
        <v>67</v>
      </c>
      <c r="F5" s="24" t="s">
        <v>23</v>
      </c>
      <c r="G5" s="12">
        <v>1</v>
      </c>
      <c r="H5" s="88">
        <f>IF(B$20=0,0,G5/B$20)</f>
        <v>0.33333333333333331</v>
      </c>
      <c r="I5" s="58">
        <v>3</v>
      </c>
      <c r="K5" s="74">
        <v>3</v>
      </c>
      <c r="L5" s="123">
        <v>-40.4</v>
      </c>
      <c r="M5" s="121">
        <v>1492.8694911360001</v>
      </c>
      <c r="O5" s="74" t="s">
        <v>131</v>
      </c>
      <c r="P5" s="80">
        <f t="shared" si="0"/>
        <v>-9750</v>
      </c>
      <c r="Q5" s="77">
        <v>2</v>
      </c>
      <c r="R5" s="64">
        <v>-19500</v>
      </c>
    </row>
    <row r="6" spans="1:18" x14ac:dyDescent="0.45">
      <c r="A6" s="19" t="s">
        <v>211</v>
      </c>
      <c r="B6" s="128">
        <v>1492.8694911360001</v>
      </c>
      <c r="C6" s="129"/>
      <c r="E6" s="27" t="s">
        <v>72</v>
      </c>
      <c r="F6" s="24" t="s">
        <v>27</v>
      </c>
      <c r="G6" s="12">
        <v>1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-10500</v>
      </c>
      <c r="Q6" s="77">
        <v>2</v>
      </c>
      <c r="R6" s="64">
        <v>-21000</v>
      </c>
    </row>
    <row r="7" spans="1:18" x14ac:dyDescent="0.45">
      <c r="A7" s="19" t="s">
        <v>1</v>
      </c>
      <c r="B7" s="138">
        <f>IF(B$2=0,0,(B$8*1+B$9*2+B$10*3)/B$2)</f>
        <v>2.3333333333333335</v>
      </c>
      <c r="C7" s="139"/>
      <c r="E7" s="27" t="s">
        <v>89</v>
      </c>
      <c r="F7" s="24" t="s">
        <v>44</v>
      </c>
      <c r="G7" s="12">
        <v>1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-750</v>
      </c>
      <c r="Q7" s="78">
        <v>2</v>
      </c>
      <c r="R7" s="65">
        <v>-1500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8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0.66666666666666663</v>
      </c>
      <c r="E9" s="27" t="s">
        <v>66</v>
      </c>
      <c r="F9" s="24" t="s">
        <v>22</v>
      </c>
      <c r="G9" s="12">
        <v>0</v>
      </c>
      <c r="H9" s="88">
        <f>IF(B$20=0,0,G9/B$20)</f>
        <v>0</v>
      </c>
      <c r="I9" s="58">
        <v>11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0.33333333333333331</v>
      </c>
      <c r="E10" s="27" t="s">
        <v>68</v>
      </c>
      <c r="F10" s="24" t="s">
        <v>12</v>
      </c>
      <c r="G10" s="12">
        <v>0</v>
      </c>
      <c r="H10" s="88">
        <f>IF(B$20=0,0,G10/B$20)</f>
        <v>0</v>
      </c>
      <c r="I10" s="58">
        <v>11</v>
      </c>
      <c r="O10" s="73" t="s">
        <v>152</v>
      </c>
      <c r="P10" s="82">
        <f>IF(Q10=0,0,R10/Q10)</f>
        <v>-33.6</v>
      </c>
      <c r="Q10" s="76">
        <v>1</v>
      </c>
      <c r="R10" s="67">
        <v>-33.6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9</v>
      </c>
      <c r="O11" s="74" t="s">
        <v>153</v>
      </c>
      <c r="P11" s="83">
        <f>IF(Q11=0,0,R11/Q11)</f>
        <v>-3.3</v>
      </c>
      <c r="Q11" s="77">
        <v>1</v>
      </c>
      <c r="R11" s="68">
        <v>-3.3</v>
      </c>
    </row>
    <row r="12" spans="1:18" x14ac:dyDescent="0.45">
      <c r="A12" s="20" t="s">
        <v>186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8</v>
      </c>
      <c r="O12" s="75" t="s">
        <v>154</v>
      </c>
      <c r="P12" s="84">
        <f>IF(Q12=0,0,R12/Q12)</f>
        <v>-3.5</v>
      </c>
      <c r="Q12" s="78">
        <v>1</v>
      </c>
      <c r="R12" s="69">
        <v>-3.5</v>
      </c>
    </row>
    <row r="13" spans="1:18" x14ac:dyDescent="0.45">
      <c r="A13" s="20" t="s">
        <v>187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-12.333333333333334</v>
      </c>
      <c r="C14" s="125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194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5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3</v>
      </c>
    </row>
    <row r="18" spans="1:9" x14ac:dyDescent="0.45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5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5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5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5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9" x14ac:dyDescent="0.45">
      <c r="A24" s="19" t="s">
        <v>184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5">
      <c r="A25" s="19" t="s">
        <v>182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5">
      <c r="A26" s="19" t="s">
        <v>183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5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5">
      <c r="A28" s="20" t="s">
        <v>166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5">
      <c r="A29" s="20" t="s">
        <v>167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5">
      <c r="A30" s="20" t="s">
        <v>165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5">
      <c r="A31" s="19" t="s">
        <v>158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5">
      <c r="A32" s="19" t="s">
        <v>159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2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31700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BED2-8257-4CFA-8BCF-7266CA9B4EE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194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13</v>
      </c>
      <c r="C2" s="133"/>
      <c r="E2" s="26" t="s">
        <v>66</v>
      </c>
      <c r="F2" s="23" t="s">
        <v>22</v>
      </c>
      <c r="G2" s="11">
        <v>33</v>
      </c>
      <c r="H2" s="87">
        <f>IF(B$20=0,0,G2/B$20)</f>
        <v>1.03125</v>
      </c>
      <c r="I2" s="57">
        <v>2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-676.92307692307691</v>
      </c>
      <c r="Q2" s="76">
        <v>13</v>
      </c>
      <c r="R2" s="63">
        <v>-8800</v>
      </c>
    </row>
    <row r="3" spans="1:18" x14ac:dyDescent="0.45">
      <c r="A3" s="19" t="s">
        <v>8</v>
      </c>
      <c r="B3" s="134">
        <v>98</v>
      </c>
      <c r="C3" s="135"/>
      <c r="E3" s="27" t="s">
        <v>72</v>
      </c>
      <c r="F3" s="24" t="s">
        <v>27</v>
      </c>
      <c r="G3" s="12">
        <v>18</v>
      </c>
      <c r="H3" s="88">
        <f>IF(B$20=0,0,G3/B$20)</f>
        <v>0.5625</v>
      </c>
      <c r="I3" s="58">
        <v>8</v>
      </c>
      <c r="K3" s="74">
        <v>1</v>
      </c>
      <c r="L3" s="123">
        <v>55.6</v>
      </c>
      <c r="M3" s="121">
        <v>1510.0319999999999</v>
      </c>
      <c r="O3" s="74" t="s">
        <v>129</v>
      </c>
      <c r="P3" s="80">
        <f t="shared" si="0"/>
        <v>1615.3846153846155</v>
      </c>
      <c r="Q3" s="77">
        <v>13</v>
      </c>
      <c r="R3" s="64">
        <v>21000</v>
      </c>
    </row>
    <row r="4" spans="1:18" x14ac:dyDescent="0.45">
      <c r="A4" s="19" t="s">
        <v>6</v>
      </c>
      <c r="B4" s="136">
        <v>65.800000000000011</v>
      </c>
      <c r="C4" s="137"/>
      <c r="E4" s="27" t="s">
        <v>64</v>
      </c>
      <c r="F4" s="24" t="s">
        <v>20</v>
      </c>
      <c r="G4" s="12">
        <v>15</v>
      </c>
      <c r="H4" s="88">
        <f>IF(B$20=0,0,G4/B$20)</f>
        <v>0.46875</v>
      </c>
      <c r="I4" s="58">
        <v>2</v>
      </c>
      <c r="K4" s="74">
        <v>2</v>
      </c>
      <c r="L4" s="123">
        <v>24.900000000000002</v>
      </c>
      <c r="M4" s="121">
        <v>1504.4698079999998</v>
      </c>
      <c r="O4" s="74" t="s">
        <v>130</v>
      </c>
      <c r="P4" s="80">
        <f t="shared" si="0"/>
        <v>284.61538461538464</v>
      </c>
      <c r="Q4" s="77">
        <v>13</v>
      </c>
      <c r="R4" s="64">
        <v>3700</v>
      </c>
    </row>
    <row r="5" spans="1:18" x14ac:dyDescent="0.45">
      <c r="A5" s="19" t="s">
        <v>7</v>
      </c>
      <c r="B5" s="124">
        <f>IF(B$2=0,0,B$4/B$2)</f>
        <v>5.0615384615384622</v>
      </c>
      <c r="C5" s="125"/>
      <c r="E5" s="27" t="s">
        <v>67</v>
      </c>
      <c r="F5" s="24" t="s">
        <v>23</v>
      </c>
      <c r="G5" s="12">
        <v>10</v>
      </c>
      <c r="H5" s="88">
        <f>IF(B$20=0,0,G5/B$20)</f>
        <v>0.3125</v>
      </c>
      <c r="I5" s="58">
        <v>4</v>
      </c>
      <c r="K5" s="74">
        <v>3</v>
      </c>
      <c r="L5" s="123">
        <v>-20.599999999999998</v>
      </c>
      <c r="M5" s="121">
        <v>1496.2709891519999</v>
      </c>
      <c r="O5" s="74" t="s">
        <v>131</v>
      </c>
      <c r="P5" s="80">
        <f t="shared" si="0"/>
        <v>1009.0909090909091</v>
      </c>
      <c r="Q5" s="77">
        <v>11</v>
      </c>
      <c r="R5" s="64">
        <v>11100</v>
      </c>
    </row>
    <row r="6" spans="1:18" x14ac:dyDescent="0.45">
      <c r="A6" s="19" t="s">
        <v>211</v>
      </c>
      <c r="B6" s="128">
        <v>1512.2210251225276</v>
      </c>
      <c r="C6" s="129"/>
      <c r="E6" s="27" t="s">
        <v>160</v>
      </c>
      <c r="F6" s="24" t="s">
        <v>161</v>
      </c>
      <c r="G6" s="12">
        <v>8</v>
      </c>
      <c r="H6" s="88">
        <f>IF(B$20=0,0,G6/B$20)</f>
        <v>0.25</v>
      </c>
      <c r="I6" s="58">
        <v>10</v>
      </c>
      <c r="K6" s="74">
        <v>4</v>
      </c>
      <c r="L6" s="123">
        <v>-25</v>
      </c>
      <c r="M6" s="121">
        <v>1495.495363217088</v>
      </c>
      <c r="O6" s="74" t="s">
        <v>132</v>
      </c>
      <c r="P6" s="80">
        <f t="shared" si="0"/>
        <v>2188.8888888888887</v>
      </c>
      <c r="Q6" s="77">
        <v>9</v>
      </c>
      <c r="R6" s="64">
        <v>19700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68</v>
      </c>
      <c r="F7" s="24" t="s">
        <v>12</v>
      </c>
      <c r="G7" s="12">
        <v>7</v>
      </c>
      <c r="H7" s="88">
        <f>IF(B$20=0,0,G7/B$20)</f>
        <v>0.21875</v>
      </c>
      <c r="I7" s="58">
        <v>8</v>
      </c>
      <c r="K7" s="74">
        <v>5</v>
      </c>
      <c r="L7" s="123">
        <v>-53</v>
      </c>
      <c r="M7" s="121">
        <v>1490.4763910377853</v>
      </c>
      <c r="O7" s="75" t="s">
        <v>133</v>
      </c>
      <c r="P7" s="81">
        <f t="shared" si="0"/>
        <v>1910</v>
      </c>
      <c r="Q7" s="78">
        <v>10</v>
      </c>
      <c r="R7" s="65">
        <v>19100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0.38461538461538464</v>
      </c>
      <c r="E8" s="27" t="s">
        <v>69</v>
      </c>
      <c r="F8" s="24" t="s">
        <v>24</v>
      </c>
      <c r="G8" s="12">
        <v>5</v>
      </c>
      <c r="H8" s="88">
        <f>IF(B$20=0,0,G8/B$20)</f>
        <v>0.15625</v>
      </c>
      <c r="I8" s="58">
        <v>4</v>
      </c>
      <c r="K8" s="74">
        <v>6</v>
      </c>
      <c r="L8" s="123">
        <v>-32.799999999999997</v>
      </c>
      <c r="M8" s="121">
        <v>1494.1335326915587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0.23076923076923078</v>
      </c>
      <c r="E9" s="27" t="s">
        <v>89</v>
      </c>
      <c r="F9" s="24" t="s">
        <v>44</v>
      </c>
      <c r="G9" s="12">
        <v>4</v>
      </c>
      <c r="H9" s="88">
        <f>IF(B$20=0,0,G9/B$20)</f>
        <v>0.125</v>
      </c>
      <c r="I9" s="58">
        <v>8</v>
      </c>
      <c r="K9" s="74">
        <v>7</v>
      </c>
      <c r="L9" s="123">
        <v>-22.199999999999996</v>
      </c>
      <c r="M9" s="121">
        <v>1496.0407314954093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0.38461538461538464</v>
      </c>
      <c r="E10" s="27" t="s">
        <v>71</v>
      </c>
      <c r="F10" s="24" t="s">
        <v>26</v>
      </c>
      <c r="G10" s="12">
        <v>2</v>
      </c>
      <c r="H10" s="88">
        <f>IF(B$20=0,0,G10/B$20)</f>
        <v>6.25E-2</v>
      </c>
      <c r="I10" s="58">
        <v>3</v>
      </c>
      <c r="K10" s="74">
        <v>8</v>
      </c>
      <c r="L10" s="123">
        <v>0.30000000000000426</v>
      </c>
      <c r="M10" s="121">
        <v>1500.1324871064369</v>
      </c>
      <c r="O10" s="73" t="s">
        <v>152</v>
      </c>
      <c r="P10" s="82">
        <f>IF(Q10=0,0,R10/Q10)</f>
        <v>-21.033333333333335</v>
      </c>
      <c r="Q10" s="76">
        <v>3</v>
      </c>
      <c r="R10" s="67">
        <v>-63.1</v>
      </c>
    </row>
    <row r="11" spans="1:18" x14ac:dyDescent="0.45">
      <c r="A11" s="20" t="s">
        <v>185</v>
      </c>
      <c r="B11" s="109">
        <f>IF(B8=0,0,C11/B8)</f>
        <v>36.58</v>
      </c>
      <c r="C11" s="110">
        <v>182.89999999999998</v>
      </c>
      <c r="E11" s="27" t="s">
        <v>81</v>
      </c>
      <c r="F11" s="24" t="s">
        <v>36</v>
      </c>
      <c r="G11" s="12">
        <v>2</v>
      </c>
      <c r="H11" s="88">
        <f>IF(B$20=0,0,G11/B$20)</f>
        <v>6.25E-2</v>
      </c>
      <c r="I11" s="58">
        <v>3</v>
      </c>
      <c r="K11" s="74">
        <v>9</v>
      </c>
      <c r="L11" s="123">
        <v>20.500000000000004</v>
      </c>
      <c r="M11" s="121">
        <v>1503.7676921837983</v>
      </c>
      <c r="O11" s="74" t="s">
        <v>153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186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6.25E-2</v>
      </c>
      <c r="I12" s="58">
        <v>4</v>
      </c>
      <c r="K12" s="74">
        <v>10</v>
      </c>
      <c r="L12" s="123">
        <v>6.9000000000000039</v>
      </c>
      <c r="M12" s="121">
        <v>1501.3930860306955</v>
      </c>
      <c r="O12" s="75" t="s">
        <v>154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187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6.25E-2</v>
      </c>
      <c r="I13" s="58">
        <v>1</v>
      </c>
      <c r="K13" s="74">
        <v>11</v>
      </c>
      <c r="L13" s="123">
        <v>-18.799999999999997</v>
      </c>
      <c r="M13" s="121">
        <v>1496.8427275145114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5.5599999999999987</v>
      </c>
      <c r="C14" s="125"/>
      <c r="E14" s="27" t="s">
        <v>65</v>
      </c>
      <c r="F14" s="24" t="s">
        <v>21</v>
      </c>
      <c r="G14" s="12">
        <v>1</v>
      </c>
      <c r="H14" s="88">
        <f>IF(B$20=0,0,G14/B$20)</f>
        <v>3.125E-2</v>
      </c>
      <c r="I14" s="58">
        <v>7</v>
      </c>
      <c r="K14" s="74">
        <v>12</v>
      </c>
      <c r="L14" s="123">
        <v>32.1</v>
      </c>
      <c r="M14" s="121">
        <v>1506.1076711494243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7.6923076923076927E-2</v>
      </c>
      <c r="E15" s="27" t="s">
        <v>70</v>
      </c>
      <c r="F15" s="24" t="s">
        <v>25</v>
      </c>
      <c r="G15" s="12">
        <v>1</v>
      </c>
      <c r="H15" s="88">
        <f>IF(B$20=0,0,G15/B$20)</f>
        <v>3.125E-2</v>
      </c>
      <c r="I15" s="58">
        <v>8</v>
      </c>
      <c r="K15" s="74">
        <v>13</v>
      </c>
      <c r="L15" s="123">
        <v>65.800000000000011</v>
      </c>
      <c r="M15" s="121">
        <v>1512.2210251225276</v>
      </c>
      <c r="O15" s="73" t="s">
        <v>208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25</v>
      </c>
      <c r="C16" s="10">
        <f>IF(B$3=0,0,B16/B$3)</f>
        <v>0.25510204081632654</v>
      </c>
      <c r="E16" s="27" t="s">
        <v>73</v>
      </c>
      <c r="F16" s="24" t="s">
        <v>28</v>
      </c>
      <c r="G16" s="12">
        <v>1</v>
      </c>
      <c r="H16" s="88">
        <f>IF(B$20=0,0,G16/B$20)</f>
        <v>3.125E-2</v>
      </c>
      <c r="I16" s="58">
        <v>2</v>
      </c>
      <c r="O16" s="74" t="s">
        <v>198</v>
      </c>
      <c r="P16" s="83">
        <f>IF(Q16=0,0,R16/Q16)</f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22</v>
      </c>
      <c r="C17" s="6">
        <f>IF(B$3=0,0,B17/B$3)</f>
        <v>0.22448979591836735</v>
      </c>
      <c r="E17" s="27" t="s">
        <v>75</v>
      </c>
      <c r="F17" s="24" t="s">
        <v>30</v>
      </c>
      <c r="G17" s="12">
        <v>1</v>
      </c>
      <c r="H17" s="88">
        <f>IF(B$20=0,0,G17/B$20)</f>
        <v>3.125E-2</v>
      </c>
      <c r="I17" s="58">
        <v>1</v>
      </c>
      <c r="O17" s="74" t="s">
        <v>207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0.6</v>
      </c>
      <c r="E18" s="27" t="s">
        <v>78</v>
      </c>
      <c r="F18" s="24" t="s">
        <v>33</v>
      </c>
      <c r="G18" s="12">
        <v>1</v>
      </c>
      <c r="H18" s="88">
        <f>IF(B$20=0,0,G18/B$20)</f>
        <v>3.125E-2</v>
      </c>
      <c r="I18" s="58">
        <v>4</v>
      </c>
      <c r="O18" s="74" t="s">
        <v>164</v>
      </c>
      <c r="P18" s="83">
        <f>IF(Q18=0,0,R18/Q18)</f>
        <v>15.799999999999997</v>
      </c>
      <c r="Q18" s="77">
        <v>2</v>
      </c>
      <c r="R18" s="68">
        <v>31.599999999999994</v>
      </c>
    </row>
    <row r="19" spans="1:18" x14ac:dyDescent="0.45">
      <c r="A19" s="18" t="s">
        <v>124</v>
      </c>
      <c r="B19" s="11">
        <f>B25</f>
        <v>12</v>
      </c>
      <c r="C19" s="5">
        <f>IF(B$17=0,0,B19/B$17)</f>
        <v>0.54545454545454541</v>
      </c>
      <c r="E19" s="27" t="s">
        <v>86</v>
      </c>
      <c r="F19" s="24" t="s">
        <v>41</v>
      </c>
      <c r="G19" s="12">
        <v>1</v>
      </c>
      <c r="H19" s="88">
        <f>IF(B$20=0,0,G19/B$20)</f>
        <v>3.125E-2</v>
      </c>
      <c r="I19" s="58">
        <v>7</v>
      </c>
      <c r="O19" s="74" t="s">
        <v>201</v>
      </c>
      <c r="P19" s="83">
        <f>IF(Q19=0,0,R19/Q19)</f>
        <v>9.4124999999999996</v>
      </c>
      <c r="Q19" s="77">
        <v>8</v>
      </c>
      <c r="R19" s="68">
        <v>75.3</v>
      </c>
    </row>
    <row r="20" spans="1:18" x14ac:dyDescent="0.45">
      <c r="A20" s="18" t="s">
        <v>10</v>
      </c>
      <c r="B20" s="11">
        <f>B23+B22</f>
        <v>32</v>
      </c>
      <c r="C20" s="5">
        <f>IF(B$3=0,0,B20/B$3)</f>
        <v>0.32653061224489793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195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16</v>
      </c>
      <c r="C21" s="6">
        <f>IF(B$3=0,0,B21/B$3)</f>
        <v>0.16326530612244897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0.46875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200</v>
      </c>
      <c r="P22" s="83">
        <f>IF(Q22=0,0,R22/Q22)</f>
        <v>-7.1999999999999993</v>
      </c>
      <c r="Q22" s="77">
        <v>2</v>
      </c>
      <c r="R22" s="68">
        <v>-14.399999999999999</v>
      </c>
    </row>
    <row r="23" spans="1:18" x14ac:dyDescent="0.45">
      <c r="A23" s="19" t="s">
        <v>11</v>
      </c>
      <c r="B23" s="12">
        <v>17</v>
      </c>
      <c r="C23" s="6">
        <f>IF(B$20=0,0,B23/B$20)</f>
        <v>0.53125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  <c r="O23" s="74" t="s">
        <v>190</v>
      </c>
      <c r="P23" s="83">
        <f>IF(Q23=0,0,R23/Q23)</f>
        <v>-30.200000000000003</v>
      </c>
      <c r="Q23" s="77">
        <v>1</v>
      </c>
      <c r="R23" s="68">
        <v>-30.200000000000003</v>
      </c>
    </row>
    <row r="24" spans="1:18" x14ac:dyDescent="0.45">
      <c r="A24" s="19" t="s">
        <v>184</v>
      </c>
      <c r="B24" s="12">
        <v>15</v>
      </c>
      <c r="C24" s="6">
        <f>IF(B$20=0,0,B24/B$20)</f>
        <v>0.46875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12</v>
      </c>
      <c r="C25" s="6">
        <f>IF(B$20=0,0,B25/B$20)</f>
        <v>0.375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183</v>
      </c>
      <c r="B26" s="12">
        <v>5</v>
      </c>
      <c r="C26" s="6">
        <f>IF(B$20=0,0,B26/B$20)</f>
        <v>0.15625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8165.625</v>
      </c>
      <c r="C27" s="8">
        <v>261300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8615</v>
      </c>
      <c r="C28" s="96">
        <v>172300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7416.666666666667</v>
      </c>
      <c r="C29" s="96">
        <v>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-7356.25</v>
      </c>
      <c r="C30" s="96">
        <v>-117700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158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30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6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80600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1.020408163265306E-2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2">IF(B$20=0,0,B37/B$20)</f>
        <v>6.25E-2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7</v>
      </c>
      <c r="C38" s="6">
        <f t="shared" si="2"/>
        <v>0.21875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6</v>
      </c>
      <c r="C39" s="6">
        <f t="shared" si="2"/>
        <v>0.1875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6</v>
      </c>
      <c r="C40" s="6">
        <f t="shared" si="2"/>
        <v>0.1875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2"/>
        <v>6.25E-2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4</v>
      </c>
      <c r="C42" s="6">
        <f t="shared" si="2"/>
        <v>0.125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2"/>
        <v>3.125E-2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1</v>
      </c>
      <c r="C45" s="6">
        <f t="shared" si="2"/>
        <v>3.125E-2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1</v>
      </c>
      <c r="C47" s="6">
        <f t="shared" si="2"/>
        <v>3.125E-2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27EE-707F-4AF7-B234-2151094A7967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198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9</v>
      </c>
      <c r="C2" s="133"/>
      <c r="E2" s="26" t="s">
        <v>66</v>
      </c>
      <c r="F2" s="23" t="s">
        <v>22</v>
      </c>
      <c r="G2" s="11">
        <v>15</v>
      </c>
      <c r="H2" s="87">
        <f>IF(B$20=0,0,G2/B$20)</f>
        <v>0.55555555555555558</v>
      </c>
      <c r="I2" s="57">
        <v>8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833.33333333333337</v>
      </c>
      <c r="Q2" s="76">
        <v>9</v>
      </c>
      <c r="R2" s="63">
        <v>7500</v>
      </c>
    </row>
    <row r="3" spans="1:18" x14ac:dyDescent="0.45">
      <c r="A3" s="19" t="s">
        <v>8</v>
      </c>
      <c r="B3" s="134">
        <v>82</v>
      </c>
      <c r="C3" s="135"/>
      <c r="E3" s="27" t="s">
        <v>160</v>
      </c>
      <c r="F3" s="24" t="s">
        <v>161</v>
      </c>
      <c r="G3" s="12">
        <v>15</v>
      </c>
      <c r="H3" s="88">
        <f>IF(B$20=0,0,G3/B$20)</f>
        <v>0.55555555555555558</v>
      </c>
      <c r="I3" s="58">
        <v>2</v>
      </c>
      <c r="K3" s="74">
        <v>1</v>
      </c>
      <c r="L3" s="123">
        <v>11.6</v>
      </c>
      <c r="M3" s="121">
        <v>1502.1479999999999</v>
      </c>
      <c r="O3" s="74" t="s">
        <v>129</v>
      </c>
      <c r="P3" s="80">
        <f t="shared" si="0"/>
        <v>800</v>
      </c>
      <c r="Q3" s="77">
        <v>8</v>
      </c>
      <c r="R3" s="64">
        <v>6400</v>
      </c>
    </row>
    <row r="4" spans="1:18" x14ac:dyDescent="0.45">
      <c r="A4" s="19" t="s">
        <v>6</v>
      </c>
      <c r="B4" s="136">
        <v>9.6999999999999993</v>
      </c>
      <c r="C4" s="137"/>
      <c r="E4" s="27" t="s">
        <v>64</v>
      </c>
      <c r="F4" s="24" t="s">
        <v>20</v>
      </c>
      <c r="G4" s="12">
        <v>11</v>
      </c>
      <c r="H4" s="88">
        <f>IF(B$20=0,0,G4/B$20)</f>
        <v>0.40740740740740738</v>
      </c>
      <c r="I4" s="58">
        <v>4</v>
      </c>
      <c r="K4" s="74">
        <v>2</v>
      </c>
      <c r="L4" s="123">
        <v>42.9</v>
      </c>
      <c r="M4" s="121">
        <v>1507.8291119999999</v>
      </c>
      <c r="O4" s="74" t="s">
        <v>130</v>
      </c>
      <c r="P4" s="80">
        <f t="shared" si="0"/>
        <v>2937.5</v>
      </c>
      <c r="Q4" s="77">
        <v>8</v>
      </c>
      <c r="R4" s="64">
        <v>23500</v>
      </c>
    </row>
    <row r="5" spans="1:18" x14ac:dyDescent="0.45">
      <c r="A5" s="19" t="s">
        <v>7</v>
      </c>
      <c r="B5" s="124">
        <f>IF(B$2=0,0,B$4/B$2)</f>
        <v>1.0777777777777777</v>
      </c>
      <c r="C5" s="125"/>
      <c r="E5" s="27" t="s">
        <v>72</v>
      </c>
      <c r="F5" s="24" t="s">
        <v>27</v>
      </c>
      <c r="G5" s="12">
        <v>11</v>
      </c>
      <c r="H5" s="88">
        <f>IF(B$20=0,0,G5/B$20)</f>
        <v>0.40740740740740738</v>
      </c>
      <c r="I5" s="58">
        <v>9</v>
      </c>
      <c r="K5" s="74">
        <v>3</v>
      </c>
      <c r="L5" s="123">
        <v>49.199999999999996</v>
      </c>
      <c r="M5" s="121">
        <v>1508.9341373279999</v>
      </c>
      <c r="O5" s="74" t="s">
        <v>131</v>
      </c>
      <c r="P5" s="80">
        <f t="shared" si="0"/>
        <v>1275</v>
      </c>
      <c r="Q5" s="77">
        <v>8</v>
      </c>
      <c r="R5" s="64">
        <v>10200</v>
      </c>
    </row>
    <row r="6" spans="1:18" x14ac:dyDescent="0.45">
      <c r="A6" s="19" t="s">
        <v>211</v>
      </c>
      <c r="B6" s="128">
        <v>1501.8658048018851</v>
      </c>
      <c r="C6" s="129"/>
      <c r="E6" s="27" t="s">
        <v>68</v>
      </c>
      <c r="F6" s="24" t="s">
        <v>12</v>
      </c>
      <c r="G6" s="12">
        <v>10</v>
      </c>
      <c r="H6" s="88">
        <f>IF(B$20=0,0,G6/B$20)</f>
        <v>0.37037037037037035</v>
      </c>
      <c r="I6" s="58">
        <v>3</v>
      </c>
      <c r="K6" s="74">
        <v>4</v>
      </c>
      <c r="L6" s="123">
        <v>75.8</v>
      </c>
      <c r="M6" s="121">
        <v>1513.6985325040318</v>
      </c>
      <c r="O6" s="74" t="s">
        <v>132</v>
      </c>
      <c r="P6" s="80">
        <f t="shared" si="0"/>
        <v>-650</v>
      </c>
      <c r="Q6" s="77">
        <v>8</v>
      </c>
      <c r="R6" s="64">
        <v>-5200</v>
      </c>
    </row>
    <row r="7" spans="1:18" x14ac:dyDescent="0.45">
      <c r="A7" s="19" t="s">
        <v>1</v>
      </c>
      <c r="B7" s="138">
        <f>IF(B$2=0,0,(B$8*1+B$9*2+B$10*3)/B$2)</f>
        <v>1.8888888888888888</v>
      </c>
      <c r="C7" s="139"/>
      <c r="E7" s="27" t="s">
        <v>70</v>
      </c>
      <c r="F7" s="24" t="s">
        <v>25</v>
      </c>
      <c r="G7" s="12">
        <v>7</v>
      </c>
      <c r="H7" s="88">
        <f>IF(B$20=0,0,G7/B$20)</f>
        <v>0.25925925925925924</v>
      </c>
      <c r="I7" s="58">
        <v>1</v>
      </c>
      <c r="K7" s="74">
        <v>5</v>
      </c>
      <c r="L7" s="123">
        <v>47.8</v>
      </c>
      <c r="M7" s="121">
        <v>1508.6063413090076</v>
      </c>
      <c r="O7" s="75" t="s">
        <v>133</v>
      </c>
      <c r="P7" s="81">
        <f t="shared" si="0"/>
        <v>-2614.2857142857142</v>
      </c>
      <c r="Q7" s="78">
        <v>7</v>
      </c>
      <c r="R7" s="65">
        <v>-18300</v>
      </c>
    </row>
    <row r="8" spans="1:18" x14ac:dyDescent="0.45">
      <c r="A8" s="19" t="s">
        <v>2</v>
      </c>
      <c r="B8" s="12">
        <v>3</v>
      </c>
      <c r="C8" s="6">
        <f t="shared" ref="C8:C15" si="1">IF(B$2=0,0,B8/B$2)</f>
        <v>0.33333333333333331</v>
      </c>
      <c r="E8" s="27" t="s">
        <v>71</v>
      </c>
      <c r="F8" s="24" t="s">
        <v>26</v>
      </c>
      <c r="G8" s="12">
        <v>4</v>
      </c>
      <c r="H8" s="88">
        <f>IF(B$20=0,0,G8/B$20)</f>
        <v>0.14814814814814814</v>
      </c>
      <c r="I8" s="58">
        <v>1</v>
      </c>
      <c r="K8" s="74">
        <v>6</v>
      </c>
      <c r="L8" s="123">
        <v>26.4</v>
      </c>
      <c r="M8" s="121">
        <v>1504.7987032611536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0.44444444444444442</v>
      </c>
      <c r="E9" s="27" t="s">
        <v>67</v>
      </c>
      <c r="F9" s="24" t="s">
        <v>23</v>
      </c>
      <c r="G9" s="12">
        <v>3</v>
      </c>
      <c r="H9" s="88">
        <f>IF(B$20=0,0,G9/B$20)</f>
        <v>0.1111111111111111</v>
      </c>
      <c r="I9" s="58">
        <v>10</v>
      </c>
      <c r="K9" s="74">
        <v>7</v>
      </c>
      <c r="L9" s="123">
        <v>25.9</v>
      </c>
      <c r="M9" s="121">
        <v>1504.6859110415867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0.22222222222222221</v>
      </c>
      <c r="E10" s="27" t="s">
        <v>89</v>
      </c>
      <c r="F10" s="24" t="s">
        <v>44</v>
      </c>
      <c r="G10" s="12">
        <v>3</v>
      </c>
      <c r="H10" s="88">
        <f>IF(B$20=0,0,G10/B$20)</f>
        <v>0.1111111111111111</v>
      </c>
      <c r="I10" s="58">
        <v>9</v>
      </c>
      <c r="K10" s="74">
        <v>8</v>
      </c>
      <c r="L10" s="123">
        <v>1.5</v>
      </c>
      <c r="M10" s="121">
        <v>1500.3317955753371</v>
      </c>
      <c r="O10" s="73" t="s">
        <v>152</v>
      </c>
      <c r="P10" s="82">
        <f>IF(Q10=0,0,R10/Q10)</f>
        <v>-7.8</v>
      </c>
      <c r="Q10" s="76">
        <v>5</v>
      </c>
      <c r="R10" s="67">
        <v>-39</v>
      </c>
    </row>
    <row r="11" spans="1:18" x14ac:dyDescent="0.45">
      <c r="A11" s="20" t="s">
        <v>185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>IF(B$20=0,0,G11/B$20)</f>
        <v>7.407407407407407E-2</v>
      </c>
      <c r="I11" s="58">
        <v>7</v>
      </c>
      <c r="K11" s="74">
        <v>9</v>
      </c>
      <c r="L11" s="123">
        <v>9.6999999999999993</v>
      </c>
      <c r="M11" s="121">
        <v>1501.8658048018851</v>
      </c>
      <c r="O11" s="74" t="s">
        <v>153</v>
      </c>
      <c r="P11" s="83">
        <f>IF(Q11=0,0,R11/Q11)</f>
        <v>8.9499999999999993</v>
      </c>
      <c r="Q11" s="77">
        <v>2</v>
      </c>
      <c r="R11" s="68">
        <v>17.899999999999999</v>
      </c>
    </row>
    <row r="12" spans="1:18" x14ac:dyDescent="0.45">
      <c r="A12" s="20" t="s">
        <v>186</v>
      </c>
      <c r="B12" s="109">
        <f>IF(B9=0,0,C12/B9)</f>
        <v>-3.5</v>
      </c>
      <c r="C12" s="110">
        <v>-14</v>
      </c>
      <c r="E12" s="27" t="s">
        <v>73</v>
      </c>
      <c r="F12" s="24" t="s">
        <v>28</v>
      </c>
      <c r="G12" s="12">
        <v>1</v>
      </c>
      <c r="H12" s="88">
        <f>IF(B$20=0,0,G12/B$20)</f>
        <v>3.7037037037037035E-2</v>
      </c>
      <c r="I12" s="58">
        <v>1</v>
      </c>
      <c r="O12" s="75" t="s">
        <v>154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187</v>
      </c>
      <c r="B13" s="109">
        <f>IF(B10=0,0,C13/B10)</f>
        <v>-22.9</v>
      </c>
      <c r="C13" s="110">
        <v>-45.8</v>
      </c>
      <c r="E13" s="27" t="s">
        <v>78</v>
      </c>
      <c r="F13" s="24" t="s">
        <v>33</v>
      </c>
      <c r="G13" s="12">
        <v>1</v>
      </c>
      <c r="H13" s="88">
        <f>IF(B$20=0,0,G13/B$20)</f>
        <v>3.7037037037037035E-2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-1.0777777777777768</v>
      </c>
      <c r="C14" s="125"/>
      <c r="E14" s="27" t="s">
        <v>79</v>
      </c>
      <c r="F14" s="24" t="s">
        <v>34</v>
      </c>
      <c r="G14" s="12">
        <v>1</v>
      </c>
      <c r="H14" s="88">
        <f>IF(B$20=0,0,G14/B$20)</f>
        <v>3.7037037037037035E-2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1</v>
      </c>
      <c r="H15" s="88">
        <f>IF(B$20=0,0,G15/B$20)</f>
        <v>3.7037037037037035E-2</v>
      </c>
      <c r="I15" s="58">
        <v>6</v>
      </c>
      <c r="O15" s="73" t="s">
        <v>164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20</v>
      </c>
      <c r="C16" s="10">
        <f>IF(B$3=0,0,B16/B$3)</f>
        <v>0.24390243902439024</v>
      </c>
      <c r="E16" s="27" t="s">
        <v>156</v>
      </c>
      <c r="F16" s="24" t="s">
        <v>157</v>
      </c>
      <c r="G16" s="12">
        <v>1</v>
      </c>
      <c r="H16" s="88">
        <f>IF(B$20=0,0,G16/B$20)</f>
        <v>3.7037037037037035E-2</v>
      </c>
      <c r="I16" s="58">
        <v>2</v>
      </c>
      <c r="O16" s="74" t="s">
        <v>190</v>
      </c>
      <c r="P16" s="83">
        <f>IF(Q16=0,0,R16/Q16)</f>
        <v>21.224999999999998</v>
      </c>
      <c r="Q16" s="77">
        <v>4</v>
      </c>
      <c r="R16" s="68">
        <v>84.899999999999991</v>
      </c>
    </row>
    <row r="17" spans="1:18" x14ac:dyDescent="0.45">
      <c r="A17" s="19" t="s">
        <v>118</v>
      </c>
      <c r="B17" s="12">
        <v>16</v>
      </c>
      <c r="C17" s="6">
        <f>IF(B$3=0,0,B17/B$3)</f>
        <v>0.1951219512195122</v>
      </c>
      <c r="E17" s="27" t="s">
        <v>65</v>
      </c>
      <c r="F17" s="24" t="s">
        <v>21</v>
      </c>
      <c r="G17" s="12">
        <v>0</v>
      </c>
      <c r="H17" s="88">
        <f>IF(B$20=0,0,G17/B$20)</f>
        <v>0</v>
      </c>
      <c r="I17" s="58">
        <v>8</v>
      </c>
      <c r="O17" s="74" t="s">
        <v>207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208</v>
      </c>
      <c r="P18" s="83">
        <f>IF(Q18=0,0,R18/Q18)</f>
        <v>-8.7333333333333343</v>
      </c>
      <c r="Q18" s="77">
        <v>3</v>
      </c>
      <c r="R18" s="68">
        <v>-26.200000000000003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126</v>
      </c>
      <c r="P19" s="83">
        <f>IF(Q19=0,0,R19/Q19)</f>
        <v>-16.028571428571428</v>
      </c>
      <c r="Q19" s="77">
        <v>7</v>
      </c>
      <c r="R19" s="68">
        <v>-112.19999999999999</v>
      </c>
    </row>
    <row r="20" spans="1:18" x14ac:dyDescent="0.45">
      <c r="A20" s="18" t="s">
        <v>10</v>
      </c>
      <c r="B20" s="11">
        <f>B23+B22</f>
        <v>27</v>
      </c>
      <c r="C20" s="5">
        <f>IF(B$3=0,0,B20/B$3)</f>
        <v>0.32926829268292684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194</v>
      </c>
      <c r="P20" s="83">
        <f>IF(Q20=0,0,R20/Q20)</f>
        <v>-16.2</v>
      </c>
      <c r="Q20" s="77">
        <v>1</v>
      </c>
      <c r="R20" s="68">
        <v>-16.2</v>
      </c>
    </row>
    <row r="21" spans="1:18" x14ac:dyDescent="0.45">
      <c r="A21" s="19" t="s">
        <v>13</v>
      </c>
      <c r="B21" s="12">
        <v>9</v>
      </c>
      <c r="C21" s="6">
        <f>IF(B$3=0,0,B21/B$3)</f>
        <v>0.10975609756097561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11</v>
      </c>
      <c r="C22" s="6">
        <f>IF(B$20=0,0,B22/B$20)</f>
        <v>0.40740740740740738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16</v>
      </c>
      <c r="C23" s="6">
        <f>IF(B$20=0,0,B23/B$20)</f>
        <v>0.59259259259259256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5">
      <c r="A24" s="19" t="s">
        <v>184</v>
      </c>
      <c r="B24" s="12">
        <v>12</v>
      </c>
      <c r="C24" s="6">
        <f>IF(B$20=0,0,B24/B$20)</f>
        <v>0.44444444444444442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8</v>
      </c>
      <c r="C25" s="6">
        <f>IF(B$20=0,0,B25/B$20)</f>
        <v>0.29629629629629628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7</v>
      </c>
    </row>
    <row r="26" spans="1:18" x14ac:dyDescent="0.45">
      <c r="A26" s="19" t="s">
        <v>183</v>
      </c>
      <c r="B26" s="12">
        <v>7</v>
      </c>
      <c r="C26" s="6">
        <f>IF(B$20=0,0,B26/B$20)</f>
        <v>0.25925925925925924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6414.8148148148148</v>
      </c>
      <c r="C27" s="8">
        <v>173200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7310.5263157894733</v>
      </c>
      <c r="C28" s="96">
        <v>138900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4287.5</v>
      </c>
      <c r="C29" s="96">
        <v>34300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-7955.5555555555557</v>
      </c>
      <c r="C30" s="96">
        <v>-71600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158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159</v>
      </c>
      <c r="B32" s="12">
        <v>14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6">
        <v>3</v>
      </c>
      <c r="C33" s="127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56300</v>
      </c>
      <c r="C34" s="129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2">IF(B$20=0,0,B37/B$20)</f>
        <v>7.407407407407407E-2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8</v>
      </c>
      <c r="C38" s="6">
        <f t="shared" si="2"/>
        <v>0.29629629629629628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4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6</v>
      </c>
      <c r="C40" s="6">
        <f t="shared" si="2"/>
        <v>0.22222222222222221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5</v>
      </c>
      <c r="C41" s="6">
        <f t="shared" si="2"/>
        <v>0.18518518518518517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2"/>
        <v>3.7037037037037035E-2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1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945A-8164-4DC4-9782-9C9236860F18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201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10</v>
      </c>
      <c r="C2" s="133"/>
      <c r="E2" s="26" t="s">
        <v>66</v>
      </c>
      <c r="F2" s="23" t="s">
        <v>22</v>
      </c>
      <c r="G2" s="11">
        <v>12</v>
      </c>
      <c r="H2" s="87">
        <f>IF(B$20=0,0,G2/B$20)</f>
        <v>0.63157894736842102</v>
      </c>
      <c r="I2" s="57">
        <v>6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1180</v>
      </c>
      <c r="Q2" s="76">
        <v>10</v>
      </c>
      <c r="R2" s="63">
        <v>11800</v>
      </c>
    </row>
    <row r="3" spans="1:18" x14ac:dyDescent="0.45">
      <c r="A3" s="19" t="s">
        <v>8</v>
      </c>
      <c r="B3" s="134">
        <v>78</v>
      </c>
      <c r="C3" s="135"/>
      <c r="E3" s="27" t="s">
        <v>72</v>
      </c>
      <c r="F3" s="24" t="s">
        <v>27</v>
      </c>
      <c r="G3" s="12">
        <v>12</v>
      </c>
      <c r="H3" s="88">
        <f>IF(B$20=0,0,G3/B$20)</f>
        <v>0.63157894736842102</v>
      </c>
      <c r="I3" s="58">
        <v>6</v>
      </c>
      <c r="K3" s="74">
        <v>1</v>
      </c>
      <c r="L3" s="123">
        <v>42.4</v>
      </c>
      <c r="M3" s="121">
        <v>1507.626</v>
      </c>
      <c r="O3" s="74" t="s">
        <v>129</v>
      </c>
      <c r="P3" s="80">
        <f t="shared" si="0"/>
        <v>770</v>
      </c>
      <c r="Q3" s="77">
        <v>10</v>
      </c>
      <c r="R3" s="64">
        <v>7700</v>
      </c>
    </row>
    <row r="4" spans="1:18" x14ac:dyDescent="0.45">
      <c r="A4" s="19" t="s">
        <v>6</v>
      </c>
      <c r="B4" s="136">
        <v>14.100000000000005</v>
      </c>
      <c r="C4" s="137"/>
      <c r="E4" s="27" t="s">
        <v>64</v>
      </c>
      <c r="F4" s="24" t="s">
        <v>20</v>
      </c>
      <c r="G4" s="12">
        <v>8</v>
      </c>
      <c r="H4" s="88">
        <f>IF(B$20=0,0,G4/B$20)</f>
        <v>0.42105263157894735</v>
      </c>
      <c r="I4" s="58">
        <v>3</v>
      </c>
      <c r="K4" s="74">
        <v>2</v>
      </c>
      <c r="L4" s="123">
        <v>50.4</v>
      </c>
      <c r="M4" s="121">
        <v>1509.014244</v>
      </c>
      <c r="O4" s="74" t="s">
        <v>130</v>
      </c>
      <c r="P4" s="80">
        <f t="shared" si="0"/>
        <v>-3420</v>
      </c>
      <c r="Q4" s="77">
        <v>10</v>
      </c>
      <c r="R4" s="64">
        <v>-34200</v>
      </c>
    </row>
    <row r="5" spans="1:18" x14ac:dyDescent="0.45">
      <c r="A5" s="19" t="s">
        <v>7</v>
      </c>
      <c r="B5" s="124">
        <f>IF(B$2=0,0,B$4/B$2)</f>
        <v>1.4100000000000006</v>
      </c>
      <c r="C5" s="125"/>
      <c r="E5" s="27" t="s">
        <v>160</v>
      </c>
      <c r="F5" s="24" t="s">
        <v>161</v>
      </c>
      <c r="G5" s="12">
        <v>6</v>
      </c>
      <c r="H5" s="88">
        <f>IF(B$20=0,0,G5/B$20)</f>
        <v>0.31578947368421051</v>
      </c>
      <c r="I5" s="58">
        <v>9</v>
      </c>
      <c r="K5" s="74">
        <v>3</v>
      </c>
      <c r="L5" s="123">
        <v>10.399999999999999</v>
      </c>
      <c r="M5" s="121">
        <v>1501.8081585360001</v>
      </c>
      <c r="O5" s="74" t="s">
        <v>131</v>
      </c>
      <c r="P5" s="80">
        <f t="shared" si="0"/>
        <v>-866.66666666666663</v>
      </c>
      <c r="Q5" s="77">
        <v>9</v>
      </c>
      <c r="R5" s="64">
        <v>-7800</v>
      </c>
    </row>
    <row r="6" spans="1:18" x14ac:dyDescent="0.45">
      <c r="A6" s="19" t="s">
        <v>211</v>
      </c>
      <c r="B6" s="128">
        <v>1502.5411367985207</v>
      </c>
      <c r="C6" s="129"/>
      <c r="E6" s="27" t="s">
        <v>68</v>
      </c>
      <c r="F6" s="24" t="s">
        <v>12</v>
      </c>
      <c r="G6" s="12">
        <v>4</v>
      </c>
      <c r="H6" s="88">
        <f>IF(B$20=0,0,G6/B$20)</f>
        <v>0.21052631578947367</v>
      </c>
      <c r="I6" s="58">
        <v>9</v>
      </c>
      <c r="K6" s="74">
        <v>4</v>
      </c>
      <c r="L6" s="123">
        <v>60</v>
      </c>
      <c r="M6" s="121">
        <v>1510.7733095847841</v>
      </c>
      <c r="O6" s="74" t="s">
        <v>132</v>
      </c>
      <c r="P6" s="80">
        <f t="shared" si="0"/>
        <v>-600</v>
      </c>
      <c r="Q6" s="77">
        <v>7</v>
      </c>
      <c r="R6" s="64">
        <v>-4200</v>
      </c>
    </row>
    <row r="7" spans="1:18" x14ac:dyDescent="0.45">
      <c r="A7" s="19" t="s">
        <v>1</v>
      </c>
      <c r="B7" s="138">
        <f>IF(B$2=0,0,(B$8*1+B$9*2+B$10*3)/B$2)</f>
        <v>1.9</v>
      </c>
      <c r="C7" s="139"/>
      <c r="E7" s="27" t="s">
        <v>89</v>
      </c>
      <c r="F7" s="24" t="s">
        <v>44</v>
      </c>
      <c r="G7" s="12">
        <v>4</v>
      </c>
      <c r="H7" s="88">
        <f>IF(B$20=0,0,G7/B$20)</f>
        <v>0.21052631578947367</v>
      </c>
      <c r="I7" s="58">
        <v>4</v>
      </c>
      <c r="K7" s="74">
        <v>5</v>
      </c>
      <c r="L7" s="123">
        <v>6.2000000000000028</v>
      </c>
      <c r="M7" s="121">
        <v>1500.9886697272755</v>
      </c>
      <c r="O7" s="75" t="s">
        <v>133</v>
      </c>
      <c r="P7" s="81">
        <f t="shared" si="0"/>
        <v>3850</v>
      </c>
      <c r="Q7" s="78">
        <v>8</v>
      </c>
      <c r="R7" s="65">
        <v>30800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</v>
      </c>
      <c r="E8" s="27" t="s">
        <v>65</v>
      </c>
      <c r="F8" s="24" t="s">
        <v>21</v>
      </c>
      <c r="G8" s="12">
        <v>3</v>
      </c>
      <c r="H8" s="88">
        <f>IF(B$20=0,0,G8/B$20)</f>
        <v>0.15789473684210525</v>
      </c>
      <c r="I8" s="58">
        <v>2</v>
      </c>
      <c r="K8" s="74">
        <v>6</v>
      </c>
      <c r="L8" s="123">
        <v>30.000000000000004</v>
      </c>
      <c r="M8" s="121">
        <v>1505.2307377089119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0.3</v>
      </c>
      <c r="E9" s="27" t="s">
        <v>67</v>
      </c>
      <c r="F9" s="24" t="s">
        <v>23</v>
      </c>
      <c r="G9" s="12">
        <v>3</v>
      </c>
      <c r="H9" s="88">
        <f>IF(B$20=0,0,G9/B$20)</f>
        <v>0.15789473684210525</v>
      </c>
      <c r="I9" s="58">
        <v>8</v>
      </c>
      <c r="K9" s="74">
        <v>7</v>
      </c>
      <c r="L9" s="123">
        <v>1.2000000000000028</v>
      </c>
      <c r="M9" s="121">
        <v>1500.0333532826585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86</v>
      </c>
      <c r="F10" s="24" t="s">
        <v>41</v>
      </c>
      <c r="G10" s="12">
        <v>3</v>
      </c>
      <c r="H10" s="88">
        <f>IF(B$20=0,0,G10/B$20)</f>
        <v>0.15789473684210525</v>
      </c>
      <c r="I10" s="58">
        <v>1</v>
      </c>
      <c r="K10" s="74">
        <v>8</v>
      </c>
      <c r="L10" s="123">
        <v>40.900000000000006</v>
      </c>
      <c r="M10" s="121">
        <v>1507.2631531629625</v>
      </c>
      <c r="O10" s="73" t="s">
        <v>152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5">
      <c r="A11" s="20" t="s">
        <v>185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>IF(B$20=0,0,G11/B$20)</f>
        <v>0.10526315789473684</v>
      </c>
      <c r="I11" s="58">
        <v>4</v>
      </c>
      <c r="K11" s="74">
        <v>9</v>
      </c>
      <c r="L11" s="123">
        <v>21.100000000000005</v>
      </c>
      <c r="M11" s="121">
        <v>1503.7395742439846</v>
      </c>
      <c r="O11" s="74" t="s">
        <v>153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186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>IF(B$20=0,0,G12/B$20)</f>
        <v>5.2631578947368418E-2</v>
      </c>
      <c r="I12" s="58">
        <v>8</v>
      </c>
      <c r="K12" s="74">
        <v>10</v>
      </c>
      <c r="L12" s="123">
        <v>14.100000000000005</v>
      </c>
      <c r="M12" s="121">
        <v>1502.5411367985207</v>
      </c>
      <c r="O12" s="75" t="s">
        <v>154</v>
      </c>
      <c r="P12" s="84">
        <f>IF(Q12=0,0,R12/Q12)</f>
        <v>16.125</v>
      </c>
      <c r="Q12" s="78">
        <v>4</v>
      </c>
      <c r="R12" s="69">
        <v>64.5</v>
      </c>
    </row>
    <row r="13" spans="1:18" x14ac:dyDescent="0.45">
      <c r="A13" s="20" t="s">
        <v>187</v>
      </c>
      <c r="B13" s="109">
        <f>IF(B10=0,0,C13/B10)</f>
        <v>-40.866666666666667</v>
      </c>
      <c r="C13" s="110">
        <v>-122.6</v>
      </c>
      <c r="E13" s="27" t="s">
        <v>71</v>
      </c>
      <c r="F13" s="24" t="s">
        <v>26</v>
      </c>
      <c r="G13" s="12">
        <v>1</v>
      </c>
      <c r="H13" s="88">
        <f>IF(B$20=0,0,G13/B$20)</f>
        <v>5.2631578947368418E-2</v>
      </c>
      <c r="I13" s="58">
        <v>6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-2.7527777777777778</v>
      </c>
      <c r="C14" s="125"/>
      <c r="E14" s="27" t="s">
        <v>77</v>
      </c>
      <c r="F14" s="24" t="s">
        <v>32</v>
      </c>
      <c r="G14" s="12">
        <v>1</v>
      </c>
      <c r="H14" s="88">
        <f>IF(B$20=0,0,G14/B$20)</f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0.1</v>
      </c>
      <c r="E15" s="27" t="s">
        <v>85</v>
      </c>
      <c r="F15" s="24" t="s">
        <v>40</v>
      </c>
      <c r="G15" s="12">
        <v>1</v>
      </c>
      <c r="H15" s="88">
        <f>IF(B$20=0,0,G15/B$20)</f>
        <v>5.2631578947368418E-2</v>
      </c>
      <c r="I15" s="58">
        <v>1</v>
      </c>
      <c r="O15" s="73" t="s">
        <v>200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21</v>
      </c>
      <c r="C16" s="10">
        <f>IF(B$3=0,0,B16/B$3)</f>
        <v>0.26923076923076922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5">
      <c r="A17" s="19" t="s">
        <v>118</v>
      </c>
      <c r="B17" s="12">
        <v>17</v>
      </c>
      <c r="C17" s="6">
        <f>IF(B$3=0,0,B17/B$3)</f>
        <v>0.21794871794871795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194</v>
      </c>
      <c r="P17" s="83">
        <f>IF(Q17=0,0,R17/Q17)</f>
        <v>-9.4124999999999996</v>
      </c>
      <c r="Q17" s="77">
        <v>8</v>
      </c>
      <c r="R17" s="68">
        <v>-75.3</v>
      </c>
    </row>
    <row r="18" spans="1:18" x14ac:dyDescent="0.45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164</v>
      </c>
      <c r="P18" s="83">
        <f>IF(Q18=0,0,R18/Q18)</f>
        <v>-14.600000000000005</v>
      </c>
      <c r="Q18" s="77">
        <v>2</v>
      </c>
      <c r="R18" s="68">
        <v>-29.20000000000001</v>
      </c>
    </row>
    <row r="19" spans="1:18" x14ac:dyDescent="0.45">
      <c r="A19" s="18" t="s">
        <v>124</v>
      </c>
      <c r="B19" s="11">
        <f>B25</f>
        <v>6</v>
      </c>
      <c r="C19" s="5">
        <f>IF(B$17=0,0,B19/B$17)</f>
        <v>0.35294117647058826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O19" s="74" t="s">
        <v>198</v>
      </c>
      <c r="P19" s="83">
        <f>IF(Q19=0,0,R19/Q19)</f>
        <v>-35.1</v>
      </c>
      <c r="Q19" s="77">
        <v>1</v>
      </c>
      <c r="R19" s="68">
        <v>-35.1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0.24358974358974358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13</v>
      </c>
      <c r="C21" s="6">
        <f>IF(B$3=0,0,B21/B$3)</f>
        <v>0.16666666666666666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5">
      <c r="A24" s="19" t="s">
        <v>184</v>
      </c>
      <c r="B24" s="12">
        <v>9</v>
      </c>
      <c r="C24" s="6">
        <f>IF(B$20=0,0,B24/B$20)</f>
        <v>0.47368421052631576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7</v>
      </c>
    </row>
    <row r="26" spans="1:18" x14ac:dyDescent="0.45">
      <c r="A26" s="19" t="s">
        <v>183</v>
      </c>
      <c r="B26" s="12">
        <v>4</v>
      </c>
      <c r="C26" s="6">
        <f>IF(B$20=0,0,B26/B$20)</f>
        <v>0.21052631578947367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7557.894736842105</v>
      </c>
      <c r="C27" s="8">
        <v>143600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4383.333333333333</v>
      </c>
      <c r="C29" s="96">
        <v>26300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-6907.6923076923076</v>
      </c>
      <c r="C30" s="96">
        <v>-89800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158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5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74600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4</v>
      </c>
      <c r="C37" s="98">
        <f t="shared" ref="C37:C49" si="2">IF(B$20=0,0,B37/B$20)</f>
        <v>0.21052631578947367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5</v>
      </c>
      <c r="C38" s="6">
        <f t="shared" si="2"/>
        <v>0.26315789473684209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2"/>
        <v>0.10526315789473684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2"/>
        <v>0.10526315789473684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FBA28-F7E9-4797-85C4-C594CE6DC95C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200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4</v>
      </c>
      <c r="C2" s="133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4">
        <v>35</v>
      </c>
      <c r="C3" s="135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3</v>
      </c>
      <c r="K3" s="74">
        <v>1</v>
      </c>
      <c r="L3" s="123">
        <v>-38</v>
      </c>
      <c r="M3" s="121">
        <v>1493.154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6">
        <v>-51.699999999999996</v>
      </c>
      <c r="C4" s="137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23">
        <v>-18</v>
      </c>
      <c r="M4" s="121">
        <v>1496.789076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4">
        <f>IF(B$2=0,0,B$4/B$2)</f>
        <v>-12.924999999999999</v>
      </c>
      <c r="C5" s="125"/>
      <c r="E5" s="27" t="s">
        <v>160</v>
      </c>
      <c r="F5" s="24" t="s">
        <v>161</v>
      </c>
      <c r="G5" s="12">
        <v>3</v>
      </c>
      <c r="H5" s="88">
        <f>IF(B$20=0,0,G5/B$20)</f>
        <v>0.375</v>
      </c>
      <c r="I5" s="58">
        <v>8</v>
      </c>
      <c r="K5" s="74">
        <v>3</v>
      </c>
      <c r="L5" s="123">
        <v>-14.9</v>
      </c>
      <c r="M5" s="121">
        <v>1497.4143415440001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211</v>
      </c>
      <c r="B6" s="128">
        <v>1490.8538554947361</v>
      </c>
      <c r="C6" s="129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23">
        <v>-51.699999999999996</v>
      </c>
      <c r="M6" s="121">
        <v>1490.8538554947361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8">
        <f>IF(B$2=0,0,(B$8*1+B$9*2+B$10*3)/B$2)</f>
        <v>2.25</v>
      </c>
      <c r="C7" s="139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153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186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9</v>
      </c>
      <c r="O12" s="75" t="s">
        <v>154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187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-4.7666666666666657</v>
      </c>
      <c r="C14" s="125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194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201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183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3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45000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F71A-4C7F-448B-99BF-78909EF3DFC0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208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4</v>
      </c>
      <c r="C2" s="133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4">
        <v>36</v>
      </c>
      <c r="C3" s="135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23">
        <v>-24.2</v>
      </c>
      <c r="M3" s="121">
        <v>1495.644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6">
        <v>-14.699999999999996</v>
      </c>
      <c r="C4" s="137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23">
        <v>-6.1999999999999993</v>
      </c>
      <c r="M4" s="121">
        <v>1498.9161360000001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4">
        <f>IF(B$2=0,0,B$4/B$2)</f>
        <v>-3.6749999999999989</v>
      </c>
      <c r="C5" s="125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8</v>
      </c>
      <c r="K5" s="74">
        <v>3</v>
      </c>
      <c r="L5" s="123">
        <v>18.100000000000001</v>
      </c>
      <c r="M5" s="121">
        <v>1503.362639184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211</v>
      </c>
      <c r="B6" s="128">
        <v>1497.4984633488959</v>
      </c>
      <c r="C6" s="129"/>
      <c r="E6" s="27" t="s">
        <v>160</v>
      </c>
      <c r="F6" s="24" t="s">
        <v>161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23">
        <v>-14.699999999999996</v>
      </c>
      <c r="M6" s="121">
        <v>1497.4984633488959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10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3</v>
      </c>
      <c r="O10" s="73" t="s">
        <v>152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185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153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154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187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-2.4500000000000006</v>
      </c>
      <c r="C14" s="125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198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207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  <c r="O18" s="74" t="s">
        <v>194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182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183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167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158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5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49300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C565-2CDF-4773-8EA0-A9D075675BC9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207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</v>
      </c>
      <c r="C2" s="133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4">
        <v>18</v>
      </c>
      <c r="C3" s="135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23">
        <v>4</v>
      </c>
      <c r="M3" s="121">
        <v>1500.72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6">
        <v>-13.5</v>
      </c>
      <c r="C4" s="137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23">
        <v>-13.5</v>
      </c>
      <c r="M4" s="121">
        <v>1497.57168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4">
        <f>IF(B$2=0,0,B$4/B$2)</f>
        <v>-6.75</v>
      </c>
      <c r="C5" s="125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211</v>
      </c>
      <c r="B6" s="128">
        <v>1497.57168</v>
      </c>
      <c r="C6" s="129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8">
        <f>IF(B$2=0,0,(B$8*1+B$9*2+B$10*3)/B$2)</f>
        <v>2.5</v>
      </c>
      <c r="C7" s="139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160</v>
      </c>
      <c r="F9" s="24" t="s">
        <v>161</v>
      </c>
      <c r="G9" s="12">
        <v>1</v>
      </c>
      <c r="H9" s="88">
        <f>IF(B$20=0,0,G9/B$20)</f>
        <v>0.25</v>
      </c>
      <c r="I9" s="58">
        <v>10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8</v>
      </c>
      <c r="O10" s="73" t="s">
        <v>152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9</v>
      </c>
      <c r="O11" s="74" t="s">
        <v>153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186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187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-4.5</v>
      </c>
      <c r="C14" s="125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208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194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198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184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183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158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159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6">
        <v>3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39000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18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05A52-E572-4677-94E4-A55900646F45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207</v>
      </c>
      <c r="B1" s="34" t="s">
        <v>207</v>
      </c>
      <c r="C1" s="34" t="s">
        <v>207</v>
      </c>
      <c r="D1" s="35" t="s">
        <v>207</v>
      </c>
      <c r="E1" s="34" t="s">
        <v>207</v>
      </c>
      <c r="F1" s="34" t="s">
        <v>207</v>
      </c>
      <c r="G1" s="34" t="s">
        <v>207</v>
      </c>
      <c r="H1" s="34" t="s">
        <v>207</v>
      </c>
      <c r="I1" s="34" t="s">
        <v>207</v>
      </c>
      <c r="J1" s="34" t="s">
        <v>207</v>
      </c>
      <c r="K1" s="34" t="s">
        <v>207</v>
      </c>
      <c r="L1" s="34" t="s">
        <v>207</v>
      </c>
      <c r="M1" s="34" t="s">
        <v>207</v>
      </c>
      <c r="N1" s="34" t="s">
        <v>207</v>
      </c>
      <c r="O1" s="34" t="s">
        <v>207</v>
      </c>
      <c r="P1" s="34" t="s">
        <v>207</v>
      </c>
      <c r="Q1" s="34" t="s">
        <v>207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F0B-75A0-4041-9949-D95B8157966D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208</v>
      </c>
      <c r="B1" s="34" t="s">
        <v>208</v>
      </c>
      <c r="C1" s="34" t="s">
        <v>208</v>
      </c>
      <c r="D1" s="35" t="s">
        <v>208</v>
      </c>
      <c r="E1" s="34" t="s">
        <v>208</v>
      </c>
      <c r="F1" s="34" t="s">
        <v>208</v>
      </c>
      <c r="G1" s="34" t="s">
        <v>208</v>
      </c>
      <c r="H1" s="34" t="s">
        <v>208</v>
      </c>
      <c r="I1" s="34" t="s">
        <v>208</v>
      </c>
      <c r="J1" s="34" t="s">
        <v>208</v>
      </c>
      <c r="K1" s="34" t="s">
        <v>208</v>
      </c>
      <c r="L1" s="34" t="s">
        <v>208</v>
      </c>
      <c r="M1" s="34" t="s">
        <v>208</v>
      </c>
      <c r="N1" s="34" t="s">
        <v>208</v>
      </c>
      <c r="O1" s="34" t="s">
        <v>208</v>
      </c>
      <c r="P1" s="34" t="s">
        <v>208</v>
      </c>
      <c r="Q1" s="34" t="s">
        <v>208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66E75-200C-41BE-B06F-DE73EB59C122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200</v>
      </c>
      <c r="B1" s="34" t="s">
        <v>200</v>
      </c>
      <c r="C1" s="34" t="s">
        <v>200</v>
      </c>
      <c r="D1" s="35" t="s">
        <v>200</v>
      </c>
      <c r="E1" s="34" t="s">
        <v>200</v>
      </c>
      <c r="F1" s="34" t="s">
        <v>200</v>
      </c>
      <c r="G1" s="34" t="s">
        <v>200</v>
      </c>
      <c r="H1" s="34" t="s">
        <v>200</v>
      </c>
      <c r="I1" s="34" t="s">
        <v>200</v>
      </c>
      <c r="J1" s="34" t="s">
        <v>200</v>
      </c>
      <c r="K1" s="34" t="s">
        <v>200</v>
      </c>
      <c r="L1" s="34" t="s">
        <v>200</v>
      </c>
      <c r="M1" s="34" t="s">
        <v>200</v>
      </c>
      <c r="N1" s="34" t="s">
        <v>200</v>
      </c>
      <c r="O1" s="34" t="s">
        <v>200</v>
      </c>
      <c r="P1" s="34" t="s">
        <v>200</v>
      </c>
      <c r="Q1" s="34" t="s">
        <v>200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15A5-B53E-4290-BAF3-38F44BC948D6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CCFB-08CB-46E3-91EC-71DFDB73938D}">
  <sheetPr codeName="Sheet18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632B3-AD70-4B9A-9B84-B3FECC47E8E6}">
  <sheetPr codeName="Sheet16"/>
  <dimension ref="A1:Q1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394CD-6CFB-4811-93F5-4C88F13B9FC9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EDAD9-C194-4980-B228-795EE7F52800}">
  <sheetPr codeName="Sheet12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575-A2AA-4DA1-A424-C8D1D0BE8CE7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164</v>
      </c>
      <c r="B1" s="34" t="s">
        <v>164</v>
      </c>
      <c r="C1" s="34" t="s">
        <v>164</v>
      </c>
      <c r="D1" s="35" t="s">
        <v>164</v>
      </c>
      <c r="E1" s="34" t="s">
        <v>164</v>
      </c>
      <c r="F1" s="34" t="s">
        <v>164</v>
      </c>
      <c r="G1" s="34" t="s">
        <v>164</v>
      </c>
      <c r="H1" s="34" t="s">
        <v>164</v>
      </c>
      <c r="I1" s="34" t="s">
        <v>164</v>
      </c>
      <c r="J1" s="34" t="s">
        <v>164</v>
      </c>
      <c r="K1" s="34" t="s">
        <v>164</v>
      </c>
      <c r="L1" s="34" t="s">
        <v>164</v>
      </c>
      <c r="M1" s="34" t="s">
        <v>164</v>
      </c>
      <c r="N1" s="34" t="s">
        <v>164</v>
      </c>
      <c r="O1" s="34" t="s">
        <v>164</v>
      </c>
      <c r="P1" s="34" t="s">
        <v>164</v>
      </c>
      <c r="Q1" s="34" t="s">
        <v>164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43EB-0848-46A1-8E6E-C3F15266E9E2}">
  <sheetPr codeName="Sheet8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64CE-E2D9-464B-81C0-87660915485F}">
  <sheetPr codeName="Sheet6"/>
  <dimension ref="A1:Q2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2020-10-10T16:05:35Z</dcterms:modified>
</cp:coreProperties>
</file>