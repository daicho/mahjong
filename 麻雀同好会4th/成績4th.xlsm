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4C109033-5682-46BD-9A7E-C40357BF5952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74" r:id="rId6"/>
    <sheet name="れんたろう" sheetId="6176" r:id="rId7"/>
    <sheet name="ともき" sheetId="6178" r:id="rId8"/>
    <sheet name="だいち" sheetId="6180" r:id="rId9"/>
    <sheet name="りくと" sheetId="6182" r:id="rId10"/>
    <sheet name="まっつん" sheetId="6184" r:id="rId11"/>
    <sheet name="たかの" sheetId="6186" r:id="rId12"/>
    <sheet name="のり" sheetId="6188" r:id="rId13"/>
    <sheet name="ただ" sheetId="6190" r:id="rId14"/>
    <sheet name="ぱぱ" sheetId="6192" r:id="rId15"/>
    <sheet name="ぱぱ2" sheetId="6193" state="hidden" r:id="rId16"/>
    <sheet name="ただ2" sheetId="6191" state="hidden" r:id="rId17"/>
    <sheet name="のり2" sheetId="6189" state="hidden" r:id="rId18"/>
    <sheet name="たかの2" sheetId="6187" state="hidden" r:id="rId19"/>
    <sheet name="まっつん2" sheetId="6185" state="hidden" r:id="rId20"/>
    <sheet name="りくと2" sheetId="6183" state="hidden" r:id="rId21"/>
    <sheet name="だいち2" sheetId="6181" state="hidden" r:id="rId22"/>
    <sheet name="ともき2" sheetId="6179" state="hidden" r:id="rId23"/>
    <sheet name="れんたろう2" sheetId="6177" state="hidden" r:id="rId24"/>
    <sheet name="全体2" sheetId="6175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6176" l="1"/>
  <c r="O17" i="6188"/>
  <c r="O15" i="6192" l="1"/>
  <c r="O16" i="6192"/>
  <c r="C34" i="6192"/>
  <c r="B29" i="6192"/>
  <c r="B28" i="6192"/>
  <c r="C20" i="6192"/>
  <c r="B19" i="6192"/>
  <c r="H51" i="6192" s="1"/>
  <c r="C18" i="6192"/>
  <c r="B18" i="6192"/>
  <c r="B17" i="6192"/>
  <c r="C17" i="6192" s="1"/>
  <c r="C16" i="6192"/>
  <c r="C15" i="6192"/>
  <c r="C14" i="6192"/>
  <c r="O12" i="6192"/>
  <c r="B12" i="6192"/>
  <c r="B13" i="6192" s="1"/>
  <c r="O11" i="6192"/>
  <c r="B11" i="6192"/>
  <c r="O10" i="6192"/>
  <c r="B10" i="6192"/>
  <c r="C9" i="6192"/>
  <c r="C8" i="6192"/>
  <c r="O7" i="6192"/>
  <c r="C7" i="6192"/>
  <c r="O6" i="6192"/>
  <c r="B6" i="6192"/>
  <c r="O5" i="6192"/>
  <c r="B5" i="6192"/>
  <c r="O4" i="6192"/>
  <c r="O3" i="6192"/>
  <c r="O2" i="6192"/>
  <c r="O22" i="6180"/>
  <c r="O17" i="6176"/>
  <c r="O19" i="6174"/>
  <c r="H19" i="6192" l="1"/>
  <c r="H2" i="6192"/>
  <c r="C40" i="6192"/>
  <c r="H47" i="6192"/>
  <c r="H35" i="6192"/>
  <c r="H36" i="6192"/>
  <c r="H16" i="6192"/>
  <c r="H24" i="6192"/>
  <c r="H41" i="6192"/>
  <c r="H3" i="6192"/>
  <c r="C22" i="6192"/>
  <c r="H14" i="6192"/>
  <c r="C46" i="6192"/>
  <c r="H10" i="6192"/>
  <c r="H21" i="6192"/>
  <c r="C42" i="6192"/>
  <c r="H20" i="6192"/>
  <c r="C36" i="6192"/>
  <c r="H8" i="6192"/>
  <c r="H17" i="6192"/>
  <c r="H48" i="6192"/>
  <c r="C43" i="6192"/>
  <c r="H26" i="6192"/>
  <c r="C19" i="6192"/>
  <c r="H37" i="6192"/>
  <c r="H22" i="6192"/>
  <c r="H13" i="6192"/>
  <c r="C38" i="6192"/>
  <c r="C48" i="6192"/>
  <c r="C25" i="6192"/>
  <c r="H31" i="6192"/>
  <c r="H39" i="6192"/>
  <c r="H44" i="6192"/>
  <c r="H49" i="6192"/>
  <c r="H29" i="6192"/>
  <c r="C24" i="6192"/>
  <c r="H6" i="6192"/>
  <c r="H5" i="6192"/>
  <c r="H9" i="6192"/>
  <c r="H18" i="6192"/>
  <c r="H27" i="6192"/>
  <c r="C39" i="6192"/>
  <c r="C44" i="6192"/>
  <c r="H7" i="6192"/>
  <c r="C47" i="6192"/>
  <c r="H4" i="6192"/>
  <c r="H15" i="6192"/>
  <c r="H43" i="6192"/>
  <c r="H30" i="6192"/>
  <c r="H11" i="6192"/>
  <c r="H23" i="6192"/>
  <c r="H34" i="6192"/>
  <c r="C21" i="6192"/>
  <c r="B26" i="6192"/>
  <c r="H40" i="6192"/>
  <c r="H45" i="6192"/>
  <c r="H52" i="6192"/>
  <c r="H25" i="6192"/>
  <c r="H28" i="6192"/>
  <c r="H32" i="6192"/>
  <c r="C37" i="6192"/>
  <c r="C41" i="6192"/>
  <c r="C45" i="6192"/>
  <c r="H50" i="6192"/>
  <c r="H12" i="6192"/>
  <c r="C23" i="6192"/>
  <c r="B27" i="6192"/>
  <c r="H33" i="6192"/>
  <c r="H38" i="6192"/>
  <c r="H42" i="6192"/>
  <c r="H46" i="6192"/>
  <c r="O17" i="6182" l="1"/>
  <c r="O16" i="6190"/>
  <c r="O16" i="6178"/>
  <c r="O18" i="6186"/>
  <c r="O19" i="6190" l="1"/>
  <c r="O15" i="6178"/>
  <c r="O18" i="6190"/>
  <c r="O15" i="6176"/>
  <c r="O15" i="6184" l="1"/>
  <c r="O17" i="6178"/>
  <c r="O20" i="6180"/>
  <c r="O19" i="6184"/>
  <c r="O16" i="6174"/>
  <c r="O17" i="6190"/>
  <c r="O15" i="6190"/>
  <c r="C34" i="6190"/>
  <c r="B29" i="6190"/>
  <c r="C20" i="6190"/>
  <c r="B19" i="6190"/>
  <c r="H50" i="6190" s="1"/>
  <c r="B18" i="6190"/>
  <c r="B28" i="6190" s="1"/>
  <c r="B17" i="6190"/>
  <c r="C17" i="6190" s="1"/>
  <c r="C16" i="6190"/>
  <c r="C15" i="6190"/>
  <c r="C14" i="6190"/>
  <c r="O12" i="6190"/>
  <c r="B12" i="6190"/>
  <c r="O11" i="6190"/>
  <c r="B11" i="6190"/>
  <c r="O10" i="6190"/>
  <c r="B10" i="6190"/>
  <c r="C9" i="6190"/>
  <c r="C8" i="6190"/>
  <c r="O7" i="6190"/>
  <c r="C7" i="6190"/>
  <c r="O6" i="6190"/>
  <c r="B6" i="6190"/>
  <c r="O5" i="6190"/>
  <c r="B5" i="6190"/>
  <c r="O4" i="6190"/>
  <c r="O3" i="6190"/>
  <c r="O2" i="6190"/>
  <c r="C18" i="6190" l="1"/>
  <c r="B13" i="6190"/>
  <c r="H10" i="6190"/>
  <c r="H15" i="6190"/>
  <c r="C24" i="6190"/>
  <c r="H31" i="6190"/>
  <c r="H19" i="6190"/>
  <c r="H42" i="6190"/>
  <c r="H33" i="6190"/>
  <c r="H3" i="6190"/>
  <c r="H26" i="6190"/>
  <c r="C42" i="6190"/>
  <c r="H9" i="6190"/>
  <c r="C19" i="6190"/>
  <c r="C25" i="6190"/>
  <c r="H36" i="6190"/>
  <c r="H23" i="6190"/>
  <c r="C36" i="6190"/>
  <c r="H48" i="6190"/>
  <c r="C46" i="6190"/>
  <c r="H13" i="6190"/>
  <c r="H27" i="6190"/>
  <c r="H47" i="6190"/>
  <c r="H17" i="6190"/>
  <c r="H24" i="6190"/>
  <c r="C48" i="6190"/>
  <c r="H2" i="6190"/>
  <c r="H43" i="6190"/>
  <c r="H29" i="6190"/>
  <c r="H37" i="6190"/>
  <c r="H12" i="6190"/>
  <c r="H38" i="6190"/>
  <c r="H6" i="6190"/>
  <c r="H18" i="6190"/>
  <c r="H21" i="6190"/>
  <c r="C21" i="6190"/>
  <c r="H30" i="6190"/>
  <c r="H41" i="6190"/>
  <c r="H49" i="6190"/>
  <c r="C38" i="6190"/>
  <c r="H44" i="6190"/>
  <c r="H11" i="6190"/>
  <c r="H14" i="6190"/>
  <c r="B26" i="6190"/>
  <c r="H34" i="6190"/>
  <c r="H39" i="6190"/>
  <c r="C44" i="6190"/>
  <c r="H51" i="6190"/>
  <c r="H16" i="6190"/>
  <c r="H4" i="6190"/>
  <c r="H7" i="6190"/>
  <c r="H20" i="6190"/>
  <c r="H22" i="6190"/>
  <c r="C22" i="6190"/>
  <c r="B27" i="6190"/>
  <c r="H40" i="6190"/>
  <c r="H45" i="6190"/>
  <c r="H5" i="6190"/>
  <c r="C23" i="6190"/>
  <c r="H8" i="6190"/>
  <c r="H35" i="6190"/>
  <c r="C40" i="6190"/>
  <c r="H46" i="6190"/>
  <c r="H52" i="6190"/>
  <c r="C39" i="6190"/>
  <c r="C43" i="6190"/>
  <c r="C47" i="6190"/>
  <c r="H25" i="6190"/>
  <c r="H28" i="6190"/>
  <c r="H32" i="6190"/>
  <c r="C37" i="6190"/>
  <c r="C41" i="6190"/>
  <c r="C45" i="6190"/>
  <c r="O19" i="6180" l="1"/>
  <c r="O20" i="6186"/>
  <c r="O21" i="6176"/>
  <c r="O16" i="6186"/>
  <c r="O17" i="6180" l="1"/>
  <c r="O19" i="6182"/>
  <c r="O22" i="6176"/>
  <c r="O18" i="6176"/>
  <c r="O15" i="6182"/>
  <c r="O18" i="6184"/>
  <c r="O16" i="6188" l="1"/>
  <c r="O19" i="6188"/>
  <c r="O21" i="6184"/>
  <c r="O20" i="6184"/>
  <c r="O15" i="6180"/>
  <c r="O18" i="6180"/>
  <c r="O17" i="6186"/>
  <c r="O15" i="6188"/>
  <c r="O18" i="6188"/>
  <c r="C34" i="6188"/>
  <c r="B29" i="6188"/>
  <c r="C20" i="6188"/>
  <c r="B19" i="6188"/>
  <c r="H52" i="6188" s="1"/>
  <c r="B18" i="6188"/>
  <c r="B28" i="6188" s="1"/>
  <c r="B17" i="6188"/>
  <c r="C17" i="6188" s="1"/>
  <c r="C16" i="6188"/>
  <c r="C15" i="6188"/>
  <c r="C14" i="6188"/>
  <c r="O12" i="6188"/>
  <c r="B12" i="6188"/>
  <c r="O11" i="6188"/>
  <c r="B11" i="6188"/>
  <c r="O10" i="6188"/>
  <c r="B10" i="6188"/>
  <c r="C9" i="6188"/>
  <c r="C8" i="6188"/>
  <c r="O7" i="6188"/>
  <c r="C7" i="6188"/>
  <c r="O6" i="6188"/>
  <c r="B6" i="6188"/>
  <c r="O5" i="6188"/>
  <c r="B5" i="6188"/>
  <c r="O4" i="6188"/>
  <c r="O3" i="6188"/>
  <c r="O2" i="6188"/>
  <c r="O18" i="6182"/>
  <c r="O21" i="6174"/>
  <c r="O19" i="6186"/>
  <c r="O15" i="6186"/>
  <c r="C34" i="6186"/>
  <c r="B29" i="6186"/>
  <c r="C20" i="6186"/>
  <c r="B19" i="6186"/>
  <c r="H6" i="6186" s="1"/>
  <c r="B18" i="6186"/>
  <c r="B17" i="6186"/>
  <c r="C17" i="6186" s="1"/>
  <c r="C16" i="6186"/>
  <c r="C15" i="6186"/>
  <c r="C14" i="6186"/>
  <c r="O12" i="6186"/>
  <c r="B12" i="6186"/>
  <c r="O11" i="6186"/>
  <c r="B11" i="6186"/>
  <c r="O10" i="6186"/>
  <c r="B10" i="6186"/>
  <c r="C9" i="6186"/>
  <c r="C8" i="6186"/>
  <c r="O7" i="6186"/>
  <c r="C7" i="6186"/>
  <c r="O6" i="6186"/>
  <c r="B6" i="6186"/>
  <c r="O5" i="6186"/>
  <c r="B5" i="6186"/>
  <c r="O4" i="6186"/>
  <c r="O3" i="6186"/>
  <c r="O2" i="6186"/>
  <c r="O17" i="6184"/>
  <c r="O16" i="6184"/>
  <c r="C34" i="6184"/>
  <c r="B29" i="6184"/>
  <c r="C20" i="6184"/>
  <c r="B19" i="6184"/>
  <c r="H51" i="6184" s="1"/>
  <c r="B18" i="6184"/>
  <c r="B28" i="6184" s="1"/>
  <c r="B17" i="6184"/>
  <c r="C17" i="6184" s="1"/>
  <c r="C16" i="6184"/>
  <c r="C15" i="6184"/>
  <c r="C14" i="6184"/>
  <c r="O12" i="6184"/>
  <c r="B12" i="6184"/>
  <c r="O11" i="6184"/>
  <c r="B11" i="6184"/>
  <c r="O10" i="6184"/>
  <c r="B10" i="6184"/>
  <c r="C9" i="6184"/>
  <c r="C8" i="6184"/>
  <c r="O7" i="6184"/>
  <c r="C7" i="6184"/>
  <c r="O6" i="6184"/>
  <c r="B6" i="6184"/>
  <c r="O5" i="6184"/>
  <c r="B5" i="6184"/>
  <c r="O4" i="6184"/>
  <c r="O3" i="6184"/>
  <c r="O2" i="6184"/>
  <c r="O17" i="6174"/>
  <c r="O20" i="6182"/>
  <c r="O16" i="6182"/>
  <c r="C34" i="6182"/>
  <c r="B29" i="6182"/>
  <c r="C20" i="6182"/>
  <c r="B19" i="6182"/>
  <c r="H51" i="6182" s="1"/>
  <c r="B18" i="6182"/>
  <c r="C18" i="6182" s="1"/>
  <c r="B17" i="6182"/>
  <c r="C17" i="6182" s="1"/>
  <c r="C16" i="6182"/>
  <c r="C15" i="6182"/>
  <c r="C14" i="6182"/>
  <c r="O12" i="6182"/>
  <c r="B12" i="6182"/>
  <c r="O11" i="6182"/>
  <c r="B11" i="6182"/>
  <c r="O10" i="6182"/>
  <c r="B10" i="6182"/>
  <c r="C9" i="6182"/>
  <c r="C8" i="6182"/>
  <c r="O7" i="6182"/>
  <c r="C7" i="6182"/>
  <c r="O6" i="6182"/>
  <c r="B6" i="6182"/>
  <c r="O5" i="6182"/>
  <c r="B5" i="6182"/>
  <c r="O4" i="6182"/>
  <c r="O3" i="6182"/>
  <c r="O2" i="6182"/>
  <c r="O22" i="6174"/>
  <c r="O18" i="6174"/>
  <c r="O16" i="6180"/>
  <c r="O21" i="6180"/>
  <c r="C34" i="6180"/>
  <c r="B29" i="6180"/>
  <c r="C20" i="6180"/>
  <c r="B19" i="6180"/>
  <c r="H15" i="6180" s="1"/>
  <c r="B18" i="6180"/>
  <c r="B28" i="6180" s="1"/>
  <c r="B17" i="6180"/>
  <c r="C17" i="6180" s="1"/>
  <c r="C16" i="6180"/>
  <c r="C15" i="6180"/>
  <c r="C14" i="6180"/>
  <c r="O12" i="6180"/>
  <c r="B12" i="6180"/>
  <c r="O11" i="6180"/>
  <c r="B11" i="6180"/>
  <c r="O10" i="6180"/>
  <c r="B10" i="6180"/>
  <c r="C9" i="6180"/>
  <c r="C8" i="6180"/>
  <c r="O7" i="6180"/>
  <c r="C7" i="6180"/>
  <c r="O6" i="6180"/>
  <c r="B6" i="6180"/>
  <c r="O5" i="6180"/>
  <c r="B5" i="6180"/>
  <c r="O4" i="6180"/>
  <c r="O3" i="6180"/>
  <c r="O2" i="6180"/>
  <c r="O18" i="6178"/>
  <c r="O19" i="6178"/>
  <c r="C34" i="6178"/>
  <c r="B29" i="6178"/>
  <c r="C20" i="6178"/>
  <c r="B19" i="6178"/>
  <c r="H51" i="6178" s="1"/>
  <c r="B18" i="6178"/>
  <c r="B28" i="6178" s="1"/>
  <c r="B17" i="6178"/>
  <c r="C17" i="6178" s="1"/>
  <c r="C16" i="6178"/>
  <c r="C15" i="6178"/>
  <c r="C14" i="6178"/>
  <c r="O12" i="6178"/>
  <c r="B12" i="6178"/>
  <c r="O11" i="6178"/>
  <c r="B11" i="6178"/>
  <c r="O10" i="6178"/>
  <c r="B10" i="6178"/>
  <c r="C9" i="6178"/>
  <c r="C8" i="6178"/>
  <c r="O7" i="6178"/>
  <c r="C7" i="6178"/>
  <c r="O6" i="6178"/>
  <c r="B6" i="6178"/>
  <c r="O5" i="6178"/>
  <c r="B5" i="6178"/>
  <c r="O4" i="6178"/>
  <c r="O3" i="6178"/>
  <c r="O2" i="6178"/>
  <c r="O20" i="6174"/>
  <c r="O20" i="6176"/>
  <c r="O16" i="6176"/>
  <c r="C34" i="6176"/>
  <c r="B29" i="6176"/>
  <c r="C20" i="6176"/>
  <c r="B19" i="6176"/>
  <c r="H4" i="6176" s="1"/>
  <c r="B18" i="6176"/>
  <c r="B28" i="6176" s="1"/>
  <c r="B17" i="6176"/>
  <c r="C17" i="6176" s="1"/>
  <c r="C16" i="6176"/>
  <c r="C15" i="6176"/>
  <c r="C14" i="6176"/>
  <c r="O12" i="6176"/>
  <c r="B12" i="6176"/>
  <c r="O11" i="6176"/>
  <c r="B11" i="6176"/>
  <c r="O10" i="6176"/>
  <c r="B10" i="6176"/>
  <c r="C9" i="6176"/>
  <c r="C8" i="6176"/>
  <c r="O7" i="6176"/>
  <c r="C7" i="6176"/>
  <c r="O6" i="6176"/>
  <c r="B6" i="6176"/>
  <c r="O5" i="6176"/>
  <c r="B5" i="6176"/>
  <c r="O4" i="6176"/>
  <c r="O3" i="6176"/>
  <c r="O2" i="6176"/>
  <c r="O23" i="6174"/>
  <c r="O15" i="6174"/>
  <c r="C34" i="6174"/>
  <c r="B29" i="6174"/>
  <c r="C20" i="6174"/>
  <c r="B19" i="6174"/>
  <c r="H51" i="6174" s="1"/>
  <c r="B18" i="6174"/>
  <c r="B28" i="6174" s="1"/>
  <c r="B17" i="6174"/>
  <c r="C17" i="6174" s="1"/>
  <c r="C16" i="6174"/>
  <c r="C15" i="6174"/>
  <c r="C14" i="6174"/>
  <c r="O12" i="6174"/>
  <c r="B12" i="6174"/>
  <c r="O11" i="6174"/>
  <c r="B11" i="6174"/>
  <c r="O10" i="6174"/>
  <c r="B10" i="6174"/>
  <c r="C9" i="6174"/>
  <c r="C8" i="6174"/>
  <c r="O7" i="6174"/>
  <c r="C7" i="6174"/>
  <c r="O6" i="6174"/>
  <c r="B6" i="6174"/>
  <c r="O5" i="6174"/>
  <c r="B5" i="6174"/>
  <c r="O4" i="6174"/>
  <c r="O3" i="6174"/>
  <c r="O2" i="6174"/>
  <c r="H25" i="6182" l="1"/>
  <c r="B28" i="6182"/>
  <c r="C18" i="6178"/>
  <c r="C18" i="6188"/>
  <c r="B13" i="6178"/>
  <c r="B13" i="6184"/>
  <c r="B13" i="6186"/>
  <c r="C18" i="6184"/>
  <c r="C18" i="6176"/>
  <c r="B13" i="6180"/>
  <c r="B13" i="6176"/>
  <c r="H47" i="6176"/>
  <c r="B13" i="6182"/>
  <c r="H49" i="6182"/>
  <c r="H4" i="6182"/>
  <c r="H52" i="6182"/>
  <c r="H22" i="6182"/>
  <c r="C21" i="6182"/>
  <c r="H5" i="6182"/>
  <c r="H35" i="6182"/>
  <c r="H2" i="6182"/>
  <c r="H9" i="6182"/>
  <c r="H24" i="6182"/>
  <c r="C22" i="6182"/>
  <c r="H40" i="6182"/>
  <c r="H18" i="6182"/>
  <c r="H34" i="6182"/>
  <c r="C25" i="6182"/>
  <c r="C40" i="6182"/>
  <c r="H27" i="6182"/>
  <c r="H7" i="6182"/>
  <c r="H21" i="6182"/>
  <c r="H41" i="6182"/>
  <c r="H44" i="6182"/>
  <c r="C44" i="6182"/>
  <c r="H3" i="6182"/>
  <c r="H12" i="6182"/>
  <c r="H23" i="6182"/>
  <c r="B26" i="6182"/>
  <c r="H36" i="6182"/>
  <c r="H45" i="6182"/>
  <c r="H15" i="6182"/>
  <c r="H10" i="6182"/>
  <c r="H39" i="6182"/>
  <c r="C46" i="6182"/>
  <c r="H19" i="6182"/>
  <c r="H16" i="6182"/>
  <c r="H8" i="6182"/>
  <c r="H6" i="6182"/>
  <c r="H13" i="6182"/>
  <c r="H20" i="6182"/>
  <c r="H26" i="6182"/>
  <c r="C39" i="6182"/>
  <c r="H47" i="6182"/>
  <c r="H29" i="6182"/>
  <c r="H31" i="6182"/>
  <c r="C36" i="6182"/>
  <c r="C42" i="6182"/>
  <c r="C47" i="6182"/>
  <c r="H14" i="6182"/>
  <c r="C19" i="6182"/>
  <c r="C24" i="6182"/>
  <c r="H37" i="6182"/>
  <c r="H43" i="6182"/>
  <c r="H48" i="6182"/>
  <c r="H11" i="6182"/>
  <c r="H17" i="6182"/>
  <c r="C38" i="6182"/>
  <c r="C43" i="6182"/>
  <c r="C48" i="6182"/>
  <c r="H27" i="6176"/>
  <c r="H33" i="6176"/>
  <c r="H43" i="6176"/>
  <c r="H23" i="6176"/>
  <c r="H12" i="6176"/>
  <c r="C47" i="6176"/>
  <c r="H48" i="6176"/>
  <c r="H21" i="6176"/>
  <c r="H37" i="6176"/>
  <c r="H7" i="6176"/>
  <c r="C22" i="6176"/>
  <c r="C36" i="6176"/>
  <c r="H26" i="6176"/>
  <c r="H18" i="6176"/>
  <c r="H10" i="6176"/>
  <c r="H15" i="6176"/>
  <c r="B27" i="6176"/>
  <c r="B26" i="6176"/>
  <c r="C40" i="6176"/>
  <c r="H2" i="6176"/>
  <c r="C21" i="6176"/>
  <c r="H5" i="6176"/>
  <c r="H25" i="6176"/>
  <c r="H42" i="6176"/>
  <c r="C40" i="6178"/>
  <c r="C48" i="6178"/>
  <c r="H13" i="6178"/>
  <c r="C22" i="6178"/>
  <c r="H12" i="6178"/>
  <c r="H6" i="6178"/>
  <c r="C47" i="6178"/>
  <c r="H3" i="6178"/>
  <c r="H9" i="6178"/>
  <c r="H30" i="6178"/>
  <c r="H14" i="6178"/>
  <c r="H21" i="6178"/>
  <c r="C39" i="6178"/>
  <c r="H49" i="6178"/>
  <c r="H26" i="6178"/>
  <c r="C19" i="6178"/>
  <c r="C25" i="6178"/>
  <c r="H34" i="6178"/>
  <c r="C42" i="6178"/>
  <c r="H41" i="6178"/>
  <c r="H43" i="6178"/>
  <c r="H4" i="6178"/>
  <c r="H22" i="6178"/>
  <c r="H10" i="6178"/>
  <c r="H17" i="6178"/>
  <c r="B26" i="6178"/>
  <c r="H35" i="6178"/>
  <c r="H45" i="6178"/>
  <c r="H16" i="6178"/>
  <c r="H19" i="6178"/>
  <c r="H20" i="6178"/>
  <c r="H23" i="6178"/>
  <c r="H8" i="6178"/>
  <c r="C36" i="6178"/>
  <c r="C46" i="6178"/>
  <c r="H11" i="6178"/>
  <c r="H31" i="6178"/>
  <c r="H2" i="6178"/>
  <c r="H27" i="6178"/>
  <c r="H7" i="6178"/>
  <c r="H15" i="6178"/>
  <c r="H18" i="6178"/>
  <c r="C21" i="6178"/>
  <c r="H39" i="6178"/>
  <c r="H47" i="6178"/>
  <c r="H30" i="6180"/>
  <c r="H3" i="6188"/>
  <c r="H40" i="6188"/>
  <c r="H17" i="6184"/>
  <c r="H7" i="6184"/>
  <c r="H12" i="6184"/>
  <c r="H25" i="6184"/>
  <c r="H34" i="6184"/>
  <c r="H21" i="6184"/>
  <c r="C42" i="6184"/>
  <c r="H18" i="6188"/>
  <c r="C19" i="6188"/>
  <c r="H29" i="6188"/>
  <c r="H27" i="6188"/>
  <c r="C39" i="6188"/>
  <c r="C48" i="6188"/>
  <c r="H11" i="6188"/>
  <c r="C40" i="6188"/>
  <c r="H23" i="6188"/>
  <c r="H30" i="6188"/>
  <c r="C43" i="6188"/>
  <c r="H44" i="6188"/>
  <c r="H15" i="6188"/>
  <c r="H2" i="6188"/>
  <c r="H16" i="6188"/>
  <c r="H20" i="6188"/>
  <c r="H24" i="6188"/>
  <c r="H35" i="6188"/>
  <c r="C44" i="6188"/>
  <c r="C21" i="6188"/>
  <c r="H9" i="6188"/>
  <c r="H10" i="6188"/>
  <c r="H36" i="6188"/>
  <c r="C47" i="6188"/>
  <c r="H7" i="6188"/>
  <c r="H8" i="6188"/>
  <c r="H4" i="6188"/>
  <c r="C25" i="6188"/>
  <c r="C36" i="6188"/>
  <c r="H48" i="6188"/>
  <c r="H4" i="6186"/>
  <c r="C19" i="6186"/>
  <c r="H21" i="6186"/>
  <c r="H34" i="6186"/>
  <c r="H22" i="6186"/>
  <c r="H37" i="6186"/>
  <c r="H9" i="6186"/>
  <c r="H19" i="6186"/>
  <c r="H8" i="6186"/>
  <c r="C40" i="6186"/>
  <c r="H17" i="6186"/>
  <c r="C23" i="6186"/>
  <c r="H42" i="6186"/>
  <c r="H7" i="6186"/>
  <c r="H18" i="6186"/>
  <c r="H23" i="6186"/>
  <c r="H28" i="6186"/>
  <c r="C22" i="6186"/>
  <c r="B27" i="6186"/>
  <c r="H24" i="6186"/>
  <c r="H31" i="6186"/>
  <c r="B13" i="6188"/>
  <c r="H12" i="6188"/>
  <c r="H21" i="6188"/>
  <c r="C22" i="6188"/>
  <c r="B26" i="6188"/>
  <c r="H31" i="6188"/>
  <c r="H37" i="6188"/>
  <c r="H41" i="6188"/>
  <c r="H45" i="6188"/>
  <c r="H49" i="6188"/>
  <c r="H25" i="6188"/>
  <c r="H28" i="6188"/>
  <c r="H32" i="6188"/>
  <c r="C37" i="6188"/>
  <c r="C41" i="6188"/>
  <c r="C45" i="6188"/>
  <c r="H50" i="6188"/>
  <c r="H19" i="6188"/>
  <c r="C23" i="6188"/>
  <c r="B27" i="6188"/>
  <c r="H33" i="6188"/>
  <c r="H38" i="6188"/>
  <c r="H42" i="6188"/>
  <c r="H46" i="6188"/>
  <c r="H51" i="6188"/>
  <c r="H6" i="6188"/>
  <c r="H22" i="6188"/>
  <c r="H26" i="6188"/>
  <c r="H13" i="6188"/>
  <c r="H34" i="6188"/>
  <c r="C38" i="6188"/>
  <c r="C42" i="6188"/>
  <c r="C46" i="6188"/>
  <c r="H5" i="6188"/>
  <c r="H14" i="6188"/>
  <c r="H17" i="6188"/>
  <c r="C24" i="6188"/>
  <c r="H39" i="6188"/>
  <c r="H43" i="6188"/>
  <c r="H47" i="6188"/>
  <c r="H27" i="6186"/>
  <c r="H36" i="6186"/>
  <c r="C43" i="6186"/>
  <c r="C44" i="6186"/>
  <c r="H5" i="6186"/>
  <c r="B26" i="6186"/>
  <c r="H46" i="6186"/>
  <c r="H11" i="6186"/>
  <c r="H14" i="6186"/>
  <c r="H20" i="6186"/>
  <c r="C36" i="6186"/>
  <c r="H25" i="6186"/>
  <c r="H30" i="6186"/>
  <c r="H39" i="6186"/>
  <c r="H47" i="6186"/>
  <c r="H12" i="6186"/>
  <c r="H3" i="6186"/>
  <c r="H2" i="6186"/>
  <c r="H16" i="6186"/>
  <c r="C21" i="6186"/>
  <c r="C39" i="6186"/>
  <c r="C47" i="6186"/>
  <c r="C18" i="6186"/>
  <c r="H38" i="6186"/>
  <c r="H43" i="6186"/>
  <c r="H48" i="6186"/>
  <c r="C48" i="6186"/>
  <c r="C24" i="6186"/>
  <c r="H32" i="6186"/>
  <c r="H40" i="6186"/>
  <c r="H44" i="6186"/>
  <c r="H49" i="6186"/>
  <c r="H51" i="6186"/>
  <c r="C25" i="6186"/>
  <c r="H41" i="6186"/>
  <c r="H45" i="6186"/>
  <c r="H52" i="6186"/>
  <c r="B28" i="6186"/>
  <c r="H26" i="6186"/>
  <c r="H29" i="6186"/>
  <c r="H33" i="6186"/>
  <c r="C37" i="6186"/>
  <c r="C41" i="6186"/>
  <c r="C45" i="6186"/>
  <c r="H50" i="6186"/>
  <c r="H13" i="6186"/>
  <c r="H15" i="6186"/>
  <c r="H10" i="6186"/>
  <c r="H35" i="6186"/>
  <c r="C38" i="6186"/>
  <c r="C42" i="6186"/>
  <c r="C46" i="6186"/>
  <c r="H33" i="6174"/>
  <c r="H43" i="6184"/>
  <c r="H15" i="6184"/>
  <c r="H35" i="6184"/>
  <c r="C44" i="6184"/>
  <c r="H4" i="6184"/>
  <c r="H11" i="6184"/>
  <c r="H22" i="6184"/>
  <c r="C22" i="6184"/>
  <c r="H46" i="6184"/>
  <c r="H10" i="6184"/>
  <c r="H6" i="6184"/>
  <c r="C23" i="6184"/>
  <c r="C36" i="6184"/>
  <c r="H48" i="6184"/>
  <c r="H38" i="6184"/>
  <c r="H3" i="6184"/>
  <c r="H24" i="6184"/>
  <c r="H30" i="6184"/>
  <c r="H40" i="6184"/>
  <c r="H20" i="6184"/>
  <c r="H2" i="6184"/>
  <c r="C25" i="6184"/>
  <c r="H49" i="6184"/>
  <c r="H26" i="6184"/>
  <c r="H8" i="6184"/>
  <c r="H41" i="6184"/>
  <c r="H5" i="6184"/>
  <c r="H23" i="6184"/>
  <c r="C21" i="6184"/>
  <c r="B26" i="6184"/>
  <c r="C40" i="6184"/>
  <c r="H47" i="6184"/>
  <c r="H52" i="6184"/>
  <c r="H9" i="6184"/>
  <c r="H14" i="6184"/>
  <c r="B27" i="6184"/>
  <c r="H37" i="6184"/>
  <c r="H42" i="6184"/>
  <c r="C46" i="6184"/>
  <c r="H29" i="6184"/>
  <c r="H18" i="6184"/>
  <c r="H39" i="6184"/>
  <c r="H44" i="6184"/>
  <c r="C48" i="6184"/>
  <c r="C19" i="6184"/>
  <c r="C24" i="6184"/>
  <c r="H19" i="6184"/>
  <c r="C38" i="6184"/>
  <c r="H45" i="6184"/>
  <c r="H50" i="6184"/>
  <c r="H13" i="6184"/>
  <c r="H27" i="6184"/>
  <c r="H16" i="6184"/>
  <c r="H32" i="6184"/>
  <c r="H36" i="6184"/>
  <c r="C39" i="6184"/>
  <c r="C43" i="6184"/>
  <c r="C47" i="6184"/>
  <c r="H28" i="6184"/>
  <c r="H31" i="6184"/>
  <c r="H33" i="6184"/>
  <c r="C37" i="6184"/>
  <c r="C41" i="6184"/>
  <c r="C45" i="6184"/>
  <c r="B13" i="6174"/>
  <c r="H48" i="6174"/>
  <c r="H28" i="6182"/>
  <c r="H30" i="6182"/>
  <c r="H32" i="6182"/>
  <c r="C37" i="6182"/>
  <c r="C41" i="6182"/>
  <c r="C45" i="6182"/>
  <c r="H50" i="6182"/>
  <c r="C23" i="6182"/>
  <c r="B27" i="6182"/>
  <c r="H33" i="6182"/>
  <c r="H38" i="6182"/>
  <c r="H42" i="6182"/>
  <c r="H46" i="6182"/>
  <c r="H28" i="6180"/>
  <c r="H24" i="6180"/>
  <c r="H22" i="6180"/>
  <c r="H8" i="6180"/>
  <c r="C18" i="6180"/>
  <c r="H25" i="6180"/>
  <c r="C21" i="6180"/>
  <c r="H29" i="6180"/>
  <c r="H36" i="6180"/>
  <c r="H14" i="6180"/>
  <c r="C40" i="6180"/>
  <c r="H4" i="6180"/>
  <c r="H18" i="6180"/>
  <c r="C22" i="6180"/>
  <c r="H42" i="6180"/>
  <c r="H2" i="6180"/>
  <c r="H27" i="6180"/>
  <c r="H5" i="6180"/>
  <c r="C25" i="6180"/>
  <c r="C42" i="6180"/>
  <c r="H46" i="6180"/>
  <c r="H16" i="6180"/>
  <c r="C46" i="6180"/>
  <c r="B26" i="6180"/>
  <c r="H37" i="6180"/>
  <c r="H48" i="6180"/>
  <c r="H7" i="6180"/>
  <c r="H12" i="6180"/>
  <c r="H9" i="6180"/>
  <c r="H40" i="6180"/>
  <c r="H49" i="6180"/>
  <c r="H31" i="6180"/>
  <c r="H41" i="6180"/>
  <c r="C48" i="6180"/>
  <c r="H32" i="6180"/>
  <c r="H34" i="6180"/>
  <c r="C36" i="6180"/>
  <c r="H44" i="6180"/>
  <c r="H50" i="6180"/>
  <c r="H10" i="6180"/>
  <c r="H6" i="6180"/>
  <c r="H11" i="6180"/>
  <c r="H26" i="6180"/>
  <c r="C19" i="6180"/>
  <c r="C24" i="6180"/>
  <c r="H38" i="6180"/>
  <c r="H45" i="6180"/>
  <c r="H3" i="6180"/>
  <c r="H19" i="6180"/>
  <c r="H13" i="6180"/>
  <c r="H20" i="6180"/>
  <c r="C38" i="6180"/>
  <c r="C44" i="6180"/>
  <c r="H52" i="6180"/>
  <c r="C39" i="6180"/>
  <c r="C43" i="6180"/>
  <c r="C47" i="6180"/>
  <c r="H23" i="6180"/>
  <c r="H33" i="6180"/>
  <c r="H21" i="6180"/>
  <c r="C37" i="6180"/>
  <c r="C41" i="6180"/>
  <c r="C45" i="6180"/>
  <c r="H51" i="6180"/>
  <c r="H17" i="6180"/>
  <c r="C23" i="6180"/>
  <c r="B27" i="6180"/>
  <c r="H35" i="6180"/>
  <c r="H39" i="6180"/>
  <c r="H43" i="6180"/>
  <c r="H47" i="6180"/>
  <c r="C18" i="6174"/>
  <c r="H7" i="6174"/>
  <c r="C36" i="6174"/>
  <c r="H29" i="6174"/>
  <c r="H30" i="6174"/>
  <c r="H43" i="6174"/>
  <c r="H32" i="6174"/>
  <c r="H21" i="6174"/>
  <c r="C23" i="6174"/>
  <c r="C42" i="6174"/>
  <c r="H14" i="6174"/>
  <c r="C22" i="6174"/>
  <c r="H9" i="6174"/>
  <c r="B27" i="6174"/>
  <c r="H8" i="6174"/>
  <c r="C46" i="6174"/>
  <c r="H25" i="6178"/>
  <c r="H29" i="6178"/>
  <c r="H37" i="6178"/>
  <c r="C43" i="6178"/>
  <c r="H5" i="6178"/>
  <c r="C24" i="6178"/>
  <c r="C38" i="6178"/>
  <c r="C44" i="6178"/>
  <c r="H52" i="6178"/>
  <c r="H36" i="6178"/>
  <c r="H40" i="6178"/>
  <c r="H44" i="6178"/>
  <c r="H48" i="6178"/>
  <c r="H24" i="6178"/>
  <c r="H28" i="6178"/>
  <c r="H32" i="6178"/>
  <c r="C37" i="6178"/>
  <c r="C41" i="6178"/>
  <c r="C45" i="6178"/>
  <c r="H50" i="6178"/>
  <c r="C23" i="6178"/>
  <c r="B27" i="6178"/>
  <c r="H33" i="6178"/>
  <c r="H38" i="6178"/>
  <c r="H42" i="6178"/>
  <c r="H46" i="6178"/>
  <c r="C23" i="6176"/>
  <c r="H38" i="6176"/>
  <c r="H44" i="6176"/>
  <c r="H49" i="6176"/>
  <c r="C48" i="6176"/>
  <c r="H39" i="6176"/>
  <c r="C19" i="6176"/>
  <c r="H11" i="6176"/>
  <c r="H19" i="6176"/>
  <c r="H40" i="6176"/>
  <c r="H45" i="6176"/>
  <c r="H50" i="6176"/>
  <c r="H24" i="6176"/>
  <c r="H17" i="6176"/>
  <c r="H9" i="6176"/>
  <c r="H6" i="6176"/>
  <c r="H14" i="6176"/>
  <c r="H35" i="6176"/>
  <c r="C39" i="6176"/>
  <c r="C44" i="6176"/>
  <c r="H22" i="6176"/>
  <c r="C24" i="6176"/>
  <c r="H13" i="6176"/>
  <c r="C43" i="6176"/>
  <c r="C25" i="6176"/>
  <c r="H20" i="6176"/>
  <c r="H28" i="6176"/>
  <c r="H31" i="6176"/>
  <c r="H41" i="6176"/>
  <c r="H46" i="6176"/>
  <c r="H52" i="6176"/>
  <c r="H29" i="6176"/>
  <c r="H32" i="6176"/>
  <c r="H34" i="6176"/>
  <c r="C37" i="6176"/>
  <c r="C41" i="6176"/>
  <c r="C45" i="6176"/>
  <c r="H51" i="6176"/>
  <c r="H3" i="6176"/>
  <c r="H16" i="6176"/>
  <c r="H30" i="6176"/>
  <c r="H8" i="6176"/>
  <c r="H36" i="6176"/>
  <c r="C38" i="6176"/>
  <c r="C42" i="6176"/>
  <c r="C46" i="6176"/>
  <c r="H49" i="6174"/>
  <c r="C48" i="6174"/>
  <c r="C38" i="6174"/>
  <c r="H11" i="6174"/>
  <c r="H24" i="6174"/>
  <c r="H40" i="6174"/>
  <c r="C19" i="6174"/>
  <c r="C24" i="6174"/>
  <c r="H19" i="6174"/>
  <c r="H45" i="6174"/>
  <c r="H10" i="6174"/>
  <c r="H12" i="6174"/>
  <c r="C25" i="6174"/>
  <c r="H20" i="6174"/>
  <c r="H4" i="6174"/>
  <c r="H50" i="6174"/>
  <c r="H6" i="6174"/>
  <c r="H31" i="6174"/>
  <c r="H15" i="6174"/>
  <c r="H17" i="6174"/>
  <c r="H37" i="6174"/>
  <c r="C44" i="6174"/>
  <c r="H28" i="6174"/>
  <c r="H42" i="6174"/>
  <c r="H46" i="6174"/>
  <c r="H5" i="6174"/>
  <c r="H39" i="6174"/>
  <c r="H23" i="6174"/>
  <c r="H18" i="6174"/>
  <c r="H44" i="6174"/>
  <c r="H41" i="6174"/>
  <c r="H25" i="6174"/>
  <c r="H2" i="6174"/>
  <c r="H3" i="6174"/>
  <c r="H22" i="6174"/>
  <c r="C21" i="6174"/>
  <c r="B26" i="6174"/>
  <c r="C40" i="6174"/>
  <c r="H47" i="6174"/>
  <c r="H52" i="6174"/>
  <c r="H16" i="6174"/>
  <c r="H34" i="6174"/>
  <c r="H13" i="6174"/>
  <c r="H36" i="6174"/>
  <c r="H38" i="6174"/>
  <c r="C39" i="6174"/>
  <c r="C43" i="6174"/>
  <c r="C47" i="6174"/>
  <c r="H27" i="6174"/>
  <c r="H35" i="6174"/>
  <c r="H26" i="6174"/>
  <c r="C37" i="6174"/>
  <c r="C41" i="6174"/>
  <c r="C45" i="617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<sst xmlns="http://schemas.openxmlformats.org/spreadsheetml/2006/main" count="2656" uniqueCount="220">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</sst>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全体!$K$2:$K$206</c:f>
              <c:numCache>
                <c:formatCode>General</c:formatCode>
                <c:ptCount val="2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</c:numCache>
            </c:numRef>
          </c:xVal>
          <c:yVal>
            <c:numRef>
              <c:f>全体!$L$2:$L$206</c:f>
              <c:numCache>
                <c:formatCode>\+0.0;\-0.0;\±0</c:formatCode>
                <c:ptCount val="205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8-40BF-BD32-521A8B6D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-9.9502487562189046</c:v>
                </c:pt>
                <c:pt idx="1">
                  <c:v>-10.1010101010101</c:v>
                </c:pt>
                <c:pt idx="2">
                  <c:v>0</c:v>
                </c:pt>
                <c:pt idx="3">
                  <c:v>18.518518518518519</c:v>
                </c:pt>
                <c:pt idx="4">
                  <c:v>-56.737588652482266</c:v>
                </c:pt>
                <c:pt idx="5">
                  <c:v>70.175438596491233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A-4693-ADD3-12326BD5A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36</c:v>
                </c:pt>
                <c:pt idx="1">
                  <c:v>84</c:v>
                </c:pt>
                <c:pt idx="2">
                  <c:v>73</c:v>
                </c:pt>
                <c:pt idx="3">
                  <c:v>83</c:v>
                </c:pt>
                <c:pt idx="4">
                  <c:v>71</c:v>
                </c:pt>
                <c:pt idx="5">
                  <c:v>40</c:v>
                </c:pt>
                <c:pt idx="6">
                  <c:v>28</c:v>
                </c:pt>
                <c:pt idx="7">
                  <c:v>10</c:v>
                </c:pt>
                <c:pt idx="8">
                  <c:v>8</c:v>
                </c:pt>
                <c:pt idx="9">
                  <c:v>5</c:v>
                </c:pt>
                <c:pt idx="10">
                  <c:v>3</c:v>
                </c:pt>
                <c:pt idx="11">
                  <c:v>1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D-4357-BB7B-56E79DD6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れんたろう!$L$2:$L$40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4-4261-B223-A8F5B6FC0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-2978.3783783783783</c:v>
                </c:pt>
                <c:pt idx="1">
                  <c:v>-778.37837837837833</c:v>
                </c:pt>
                <c:pt idx="2">
                  <c:v>-464.70588235294116</c:v>
                </c:pt>
                <c:pt idx="3">
                  <c:v>-2719.3548387096776</c:v>
                </c:pt>
                <c:pt idx="4">
                  <c:v>1293.1034482758621</c:v>
                </c:pt>
                <c:pt idx="5">
                  <c:v>3677.2727272727275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9C-B334-67833F44C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5</c:v>
                </c:pt>
                <c:pt idx="3">
                  <c:v>20</c:v>
                </c:pt>
                <c:pt idx="4">
                  <c:v>16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1-4D37-A500-3A6CB5589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D-4A8D-81E6-47F47B4F9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EA-4A68-AD0E-63598F0C5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3-433D-BD53-0A636C7A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だいち!$L$2:$L$52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23-4D79-8FB2-8277AD6B1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102</c:v>
                </c:pt>
                <c:pt idx="1">
                  <c:v>4112.2448979591836</c:v>
                </c:pt>
                <c:pt idx="2">
                  <c:v>4950</c:v>
                </c:pt>
                <c:pt idx="3">
                  <c:v>3382.5</c:v>
                </c:pt>
                <c:pt idx="4">
                  <c:v>-1788.8888888888889</c:v>
                </c:pt>
                <c:pt idx="5">
                  <c:v>1244.8275862068965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6-4841-A7AE-E8410201E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7</c:v>
                </c:pt>
                <c:pt idx="1">
                  <c:v>20</c:v>
                </c:pt>
                <c:pt idx="2">
                  <c:v>19</c:v>
                </c:pt>
                <c:pt idx="3">
                  <c:v>27</c:v>
                </c:pt>
                <c:pt idx="4">
                  <c:v>27</c:v>
                </c:pt>
                <c:pt idx="5">
                  <c:v>10</c:v>
                </c:pt>
                <c:pt idx="6">
                  <c:v>6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A-4F64-8F87-E7CC28972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りくと!$L$2:$L$21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D-4F73-8F9E-D6B988464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-3536.8421052631579</c:v>
                </c:pt>
                <c:pt idx="1">
                  <c:v>311.11111111111109</c:v>
                </c:pt>
                <c:pt idx="2">
                  <c:v>-4556.25</c:v>
                </c:pt>
                <c:pt idx="3">
                  <c:v>2975</c:v>
                </c:pt>
                <c:pt idx="4">
                  <c:v>666.66666666666663</c:v>
                </c:pt>
                <c:pt idx="5">
                  <c:v>-3700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74-4845-BAEB-8B2700A69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3</c:v>
                </c:pt>
                <c:pt idx="4">
                  <c:v>2</c:v>
                </c:pt>
                <c:pt idx="5">
                  <c:v>6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1-4DC5-AA5B-FD2746CA0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B0-47EA-BE4A-799B7236A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397.14285714285717</c:v>
                </c:pt>
                <c:pt idx="1">
                  <c:v>-942.85714285714289</c:v>
                </c:pt>
                <c:pt idx="2">
                  <c:v>-1728.5714285714287</c:v>
                </c:pt>
                <c:pt idx="3">
                  <c:v>-1115.625</c:v>
                </c:pt>
                <c:pt idx="4">
                  <c:v>-2696.2962962962961</c:v>
                </c:pt>
                <c:pt idx="5">
                  <c:v>-190.47619047619048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4-47A8-8EC5-541659EAC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9</c:v>
                </c:pt>
                <c:pt idx="1">
                  <c:v>13</c:v>
                </c:pt>
                <c:pt idx="2">
                  <c:v>19</c:v>
                </c:pt>
                <c:pt idx="3">
                  <c:v>11</c:v>
                </c:pt>
                <c:pt idx="4">
                  <c:v>7</c:v>
                </c:pt>
                <c:pt idx="5">
                  <c:v>2</c:v>
                </c:pt>
                <c:pt idx="6">
                  <c:v>6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E-4293-809D-A4E5A128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たかの!$L$2:$L$25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7-4A16-A480-63DA4FDB3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-626.08695652173913</c:v>
                </c:pt>
                <c:pt idx="1">
                  <c:v>-1254.5454545454545</c:v>
                </c:pt>
                <c:pt idx="2">
                  <c:v>2410.5263157894738</c:v>
                </c:pt>
                <c:pt idx="3">
                  <c:v>593.75</c:v>
                </c:pt>
                <c:pt idx="4">
                  <c:v>5283.333333333333</c:v>
                </c:pt>
                <c:pt idx="5">
                  <c:v>-1320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3-4E3D-8F14-E36B68656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6</c:v>
                </c:pt>
                <c:pt idx="1">
                  <c:v>12</c:v>
                </c:pt>
                <c:pt idx="2">
                  <c:v>10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9-4829-A1DC-CE8FBE180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05-458C-A97D-8AB4DE9AA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4212.5</c:v>
                </c:pt>
                <c:pt idx="1">
                  <c:v>387.5</c:v>
                </c:pt>
                <c:pt idx="2">
                  <c:v>-4987.5</c:v>
                </c:pt>
                <c:pt idx="3">
                  <c:v>-5850</c:v>
                </c:pt>
                <c:pt idx="4">
                  <c:v>6160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B6-4A30-8390-5DE5AD250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3-45B2-AC43-4D9B09957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5B-4F29-96E4-E6A8A45CF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4241.666666666667</c:v>
                </c:pt>
                <c:pt idx="1">
                  <c:v>-8866.6666666666661</c:v>
                </c:pt>
                <c:pt idx="2">
                  <c:v>-1336.3636363636363</c:v>
                </c:pt>
                <c:pt idx="3">
                  <c:v>-3500</c:v>
                </c:pt>
                <c:pt idx="4">
                  <c:v>4100</c:v>
                </c:pt>
                <c:pt idx="5">
                  <c:v>-1371.4285714285713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0-435C-86EC-F14809329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3</c:v>
                </c:pt>
                <c:pt idx="1">
                  <c:v>8</c:v>
                </c:pt>
                <c:pt idx="2">
                  <c:v>3</c:v>
                </c:pt>
                <c:pt idx="3">
                  <c:v>5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1-425B-AFCF-FDF18F535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5FB-A35C-37C073786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9-4E0F-942D-5383D69DB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9-428C-9AA7-A87B4B63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ただ2!$C$3:$C$15</c:f>
              <c:numCache>
                <c:formatCode>\+0.0;\-0.0;\±0</c:formatCode>
                <c:ptCount val="13"/>
                <c:pt idx="1">
                  <c:v>68.2</c:v>
                </c:pt>
                <c:pt idx="2">
                  <c:v>20.6</c:v>
                </c:pt>
                <c:pt idx="3">
                  <c:v>2.9666666666666686</c:v>
                </c:pt>
                <c:pt idx="4">
                  <c:v>-10.299999999999999</c:v>
                </c:pt>
                <c:pt idx="5">
                  <c:v>-14.579999999999998</c:v>
                </c:pt>
                <c:pt idx="6">
                  <c:v>-21.666666666666668</c:v>
                </c:pt>
                <c:pt idx="7">
                  <c:v>-26.142857142857142</c:v>
                </c:pt>
                <c:pt idx="8">
                  <c:v>-16.074999999999999</c:v>
                </c:pt>
                <c:pt idx="9">
                  <c:v>-13.333333333333334</c:v>
                </c:pt>
                <c:pt idx="10">
                  <c:v>-11.28</c:v>
                </c:pt>
                <c:pt idx="11">
                  <c:v>-11</c:v>
                </c:pt>
                <c:pt idx="12">
                  <c:v>-9.0416666666666661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966105252550001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ただ2!$D$3:$D$15</c:f>
              <c:numCache>
                <c:formatCode>0.00\ "位"</c:formatCode>
                <c:ptCount val="13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2.7142857142857144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2.3636363636363638</c:v>
                </c:pt>
                <c:pt idx="12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ただ2!$E$3:$E$15</c:f>
              <c:numCache>
                <c:formatCode>0.0%</c:formatCode>
                <c:ptCount val="13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ただ2!$F$3:$F$15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0.8571428571428571</c:v>
                </c:pt>
                <c:pt idx="8">
                  <c:v>0.75</c:v>
                </c:pt>
                <c:pt idx="9">
                  <c:v>0.66666666666666663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ただ2!$G$3:$G$15</c:f>
              <c:numCache>
                <c:formatCode>0.0%</c:formatCode>
                <c:ptCount val="13"/>
                <c:pt idx="1">
                  <c:v>0.75</c:v>
                </c:pt>
                <c:pt idx="2">
                  <c:v>0.5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0.31578947368421051</c:v>
                </c:pt>
                <c:pt idx="6">
                  <c:v>0.2978723404255319</c:v>
                </c:pt>
                <c:pt idx="7">
                  <c:v>0.27450980392156865</c:v>
                </c:pt>
                <c:pt idx="8">
                  <c:v>0.32203389830508472</c:v>
                </c:pt>
                <c:pt idx="9">
                  <c:v>0.31818181818181818</c:v>
                </c:pt>
                <c:pt idx="10">
                  <c:v>0.32876712328767121</c:v>
                </c:pt>
                <c:pt idx="11">
                  <c:v>0.31707317073170732</c:v>
                </c:pt>
                <c:pt idx="12">
                  <c:v>0.32222222222222224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714377820760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ただ2!$H$3:$H$15</c:f>
              <c:numCache>
                <c:formatCode>0.0%</c:formatCode>
                <c:ptCount val="13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0.23333333333333334</c:v>
                </c:pt>
                <c:pt idx="5">
                  <c:v>0.23684210526315788</c:v>
                </c:pt>
                <c:pt idx="6">
                  <c:v>0.25531914893617019</c:v>
                </c:pt>
                <c:pt idx="7">
                  <c:v>0.27450980392156865</c:v>
                </c:pt>
                <c:pt idx="8">
                  <c:v>0.2711864406779661</c:v>
                </c:pt>
                <c:pt idx="9">
                  <c:v>0.24242424242424243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0.24444444444444444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796260477111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ただ2!$I$3:$I$15</c:f>
              <c:numCache>
                <c:formatCode>0</c:formatCode>
                <c:ptCount val="13"/>
                <c:pt idx="1">
                  <c:v>10350</c:v>
                </c:pt>
                <c:pt idx="2">
                  <c:v>9442.8571428571431</c:v>
                </c:pt>
                <c:pt idx="3">
                  <c:v>7870</c:v>
                </c:pt>
                <c:pt idx="4">
                  <c:v>7870</c:v>
                </c:pt>
                <c:pt idx="5">
                  <c:v>7891.666666666667</c:v>
                </c:pt>
                <c:pt idx="6">
                  <c:v>8464.2857142857138</c:v>
                </c:pt>
                <c:pt idx="7">
                  <c:v>8464.2857142857138</c:v>
                </c:pt>
                <c:pt idx="8">
                  <c:v>9442.105263157895</c:v>
                </c:pt>
                <c:pt idx="9">
                  <c:v>9809.5238095238092</c:v>
                </c:pt>
                <c:pt idx="10">
                  <c:v>9712.5</c:v>
                </c:pt>
                <c:pt idx="11">
                  <c:v>9503.8461538461543</c:v>
                </c:pt>
                <c:pt idx="12">
                  <c:v>8979.310344827587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977.97356828193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ただ2!$J$3:$J$15</c:f>
              <c:numCache>
                <c:formatCode>0</c:formatCode>
                <c:ptCount val="13"/>
                <c:pt idx="1">
                  <c:v>-1950</c:v>
                </c:pt>
                <c:pt idx="2">
                  <c:v>-5300</c:v>
                </c:pt>
                <c:pt idx="3">
                  <c:v>-8760</c:v>
                </c:pt>
                <c:pt idx="4">
                  <c:v>-9628.5714285714294</c:v>
                </c:pt>
                <c:pt idx="5">
                  <c:v>-8955.5555555555547</c:v>
                </c:pt>
                <c:pt idx="6">
                  <c:v>-11600</c:v>
                </c:pt>
                <c:pt idx="7">
                  <c:v>-11657.142857142857</c:v>
                </c:pt>
                <c:pt idx="8">
                  <c:v>-11700</c:v>
                </c:pt>
                <c:pt idx="9">
                  <c:v>-11700</c:v>
                </c:pt>
                <c:pt idx="10">
                  <c:v>-11227.777777777777</c:v>
                </c:pt>
                <c:pt idx="11">
                  <c:v>-10365</c:v>
                </c:pt>
                <c:pt idx="12">
                  <c:v>-9904.545454545454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23.26530612244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7254901960784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ただ2!$L$3:$L$15</c:f>
              <c:numCache>
                <c:formatCode>0.0%</c:formatCode>
                <c:ptCount val="13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0.16666666666666666</c:v>
                </c:pt>
                <c:pt idx="5">
                  <c:v>0.13157894736842105</c:v>
                </c:pt>
                <c:pt idx="6">
                  <c:v>0.1276595744680851</c:v>
                </c:pt>
                <c:pt idx="7">
                  <c:v>0.11764705882352941</c:v>
                </c:pt>
                <c:pt idx="8">
                  <c:v>0.15254237288135594</c:v>
                </c:pt>
                <c:pt idx="9">
                  <c:v>0.16666666666666666</c:v>
                </c:pt>
                <c:pt idx="10">
                  <c:v>0.16438356164383561</c:v>
                </c:pt>
                <c:pt idx="11">
                  <c:v>0.15853658536585366</c:v>
                </c:pt>
                <c:pt idx="12">
                  <c:v>0.14444444444444443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4029658284977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ただ2!$M$3:$M$15</c:f>
              <c:numCache>
                <c:formatCode>0.0%</c:formatCode>
                <c:ptCount val="13"/>
                <c:pt idx="1">
                  <c:v>0.125</c:v>
                </c:pt>
                <c:pt idx="2">
                  <c:v>0.14285714285714285</c:v>
                </c:pt>
                <c:pt idx="3">
                  <c:v>0.16</c:v>
                </c:pt>
                <c:pt idx="4">
                  <c:v>0.23333333333333334</c:v>
                </c:pt>
                <c:pt idx="5">
                  <c:v>0.34210526315789475</c:v>
                </c:pt>
                <c:pt idx="6">
                  <c:v>0.34042553191489361</c:v>
                </c:pt>
                <c:pt idx="7">
                  <c:v>0.35294117647058826</c:v>
                </c:pt>
                <c:pt idx="8">
                  <c:v>0.3728813559322034</c:v>
                </c:pt>
                <c:pt idx="9">
                  <c:v>0.34848484848484851</c:v>
                </c:pt>
                <c:pt idx="10">
                  <c:v>0.34246575342465752</c:v>
                </c:pt>
                <c:pt idx="11">
                  <c:v>0.32926829268292684</c:v>
                </c:pt>
                <c:pt idx="12">
                  <c:v>0.34444444444444444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4384268214055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ただ2!$N$3:$N$15</c:f>
              <c:numCache>
                <c:formatCode>0.0%</c:formatCode>
                <c:ptCount val="13"/>
                <c:pt idx="1">
                  <c:v>1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0.66666666666666663</c:v>
                </c:pt>
                <c:pt idx="7">
                  <c:v>0.66666666666666663</c:v>
                </c:pt>
                <c:pt idx="8">
                  <c:v>0.77777777777777779</c:v>
                </c:pt>
                <c:pt idx="9">
                  <c:v>0.72727272727272729</c:v>
                </c:pt>
                <c:pt idx="10">
                  <c:v>0.75</c:v>
                </c:pt>
                <c:pt idx="11">
                  <c:v>0.69230769230769229</c:v>
                </c:pt>
                <c:pt idx="12">
                  <c:v>0.69230769230769229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8223350253807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ただ2!$O$3:$O$15</c:f>
              <c:numCache>
                <c:formatCode>0.0%</c:formatCode>
                <c:ptCount val="13"/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0.14285714285714285</c:v>
                </c:pt>
                <c:pt idx="5">
                  <c:v>0.23076923076923078</c:v>
                </c:pt>
                <c:pt idx="6">
                  <c:v>0.25</c:v>
                </c:pt>
                <c:pt idx="7">
                  <c:v>0.22222222222222221</c:v>
                </c:pt>
                <c:pt idx="8">
                  <c:v>0.22727272727272727</c:v>
                </c:pt>
                <c:pt idx="9">
                  <c:v>0.2608695652173913</c:v>
                </c:pt>
                <c:pt idx="10">
                  <c:v>0.24</c:v>
                </c:pt>
                <c:pt idx="11">
                  <c:v>0.25925925925925924</c:v>
                </c:pt>
                <c:pt idx="12">
                  <c:v>0.25806451612903225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0094637223974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ただ2!$P$3:$P$15</c:f>
              <c:numCache>
                <c:formatCode>0.0%</c:formatCode>
                <c:ptCount val="13"/>
                <c:pt idx="1">
                  <c:v>0.33333333333333331</c:v>
                </c:pt>
                <c:pt idx="2">
                  <c:v>0.42857142857142855</c:v>
                </c:pt>
                <c:pt idx="3">
                  <c:v>0.4</c:v>
                </c:pt>
                <c:pt idx="4">
                  <c:v>0.4</c:v>
                </c:pt>
                <c:pt idx="5">
                  <c:v>0.33333333333333331</c:v>
                </c:pt>
                <c:pt idx="6">
                  <c:v>0.35714285714285715</c:v>
                </c:pt>
                <c:pt idx="7">
                  <c:v>0.35714285714285715</c:v>
                </c:pt>
                <c:pt idx="8">
                  <c:v>0.36842105263157893</c:v>
                </c:pt>
                <c:pt idx="9">
                  <c:v>0.38095238095238093</c:v>
                </c:pt>
                <c:pt idx="10">
                  <c:v>0.375</c:v>
                </c:pt>
                <c:pt idx="11">
                  <c:v>0.34615384615384615</c:v>
                </c:pt>
                <c:pt idx="12">
                  <c:v>0.34482758620689657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8149779735682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5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43931.044166666667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211</v>
      </c>
      <c r="B8" s="3">
        <v>43931.497708333336</v>
      </c>
      <c r="C8" s="2" t="s">
        <v>127</v>
      </c>
    </row>
    <row r="9" spans="1:12" x14ac:dyDescent="0.45">
      <c r="A9" s="2" t="s">
        <v>212</v>
      </c>
      <c r="B9" s="3">
        <v>43982.706192129626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214</v>
      </c>
      <c r="B10" s="3">
        <v>43987.962800925925</v>
      </c>
      <c r="C10" s="2" t="s">
        <v>127</v>
      </c>
      <c r="D10" s="2" t="s">
        <v>191</v>
      </c>
    </row>
    <row r="11" spans="1:12" x14ac:dyDescent="0.45">
      <c r="A11" s="2" t="s">
        <v>215</v>
      </c>
      <c r="B11" s="3">
        <v>43988.969351851854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216</v>
      </c>
      <c r="B12" s="3">
        <v>43989.615729166668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217</v>
      </c>
      <c r="B13" s="3">
        <v>43990.614918981482</v>
      </c>
      <c r="C13" s="2" t="s">
        <v>127</v>
      </c>
      <c r="D13" s="2" t="s">
        <v>191</v>
      </c>
    </row>
    <row r="14" spans="1:12" x14ac:dyDescent="0.45">
      <c r="A14" s="2" t="s">
        <v>218</v>
      </c>
      <c r="B14" s="3">
        <v>43991.976631944446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219</v>
      </c>
      <c r="B15" s="3">
        <v>43992.982615740744</v>
      </c>
      <c r="C15" s="2" t="s">
        <v>127</v>
      </c>
      <c r="D15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204</v>
      </c>
    </row>
    <row r="2" spans="1:2" x14ac:dyDescent="0.45">
      <c r="A2" t="s">
        <v>164</v>
      </c>
      <c r="B2">
        <v>38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50</v>
      </c>
    </row>
    <row r="5" spans="1:2" x14ac:dyDescent="0.45">
      <c r="A5" t="s">
        <v>194</v>
      </c>
      <c r="B5">
        <v>19</v>
      </c>
    </row>
    <row r="6" spans="1:2" x14ac:dyDescent="0.45">
      <c r="A6" t="s">
        <v>192</v>
      </c>
      <c r="B6">
        <v>36</v>
      </c>
    </row>
    <row r="7" spans="1:2" x14ac:dyDescent="0.45">
      <c r="A7" t="s">
        <v>193</v>
      </c>
      <c r="B7">
        <v>23</v>
      </c>
    </row>
    <row r="8" spans="1:2" x14ac:dyDescent="0.45">
      <c r="A8" t="s">
        <v>196</v>
      </c>
      <c r="B8">
        <v>8</v>
      </c>
    </row>
    <row r="9" spans="1:2" x14ac:dyDescent="0.45">
      <c r="A9" t="s">
        <v>205</v>
      </c>
      <c r="B9">
        <v>12</v>
      </c>
    </row>
    <row r="10" spans="1:2" x14ac:dyDescent="0.45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43" t="s">
        <v>9</v>
      </c>
      <c r="C1" s="144"/>
      <c r="D1" s="141" t="s">
        <v>6</v>
      </c>
      <c r="E1" s="142"/>
      <c r="F1" s="141" t="s">
        <v>7</v>
      </c>
      <c r="G1" s="142"/>
      <c r="H1" s="143" t="s">
        <v>188</v>
      </c>
      <c r="I1" s="144"/>
      <c r="J1" s="141" t="s">
        <v>15</v>
      </c>
      <c r="K1" s="142"/>
      <c r="L1" s="141" t="s">
        <v>14</v>
      </c>
      <c r="M1" s="142"/>
      <c r="N1" s="141" t="s">
        <v>150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181</v>
      </c>
      <c r="AK1" s="142"/>
    </row>
    <row r="2" spans="1:37" x14ac:dyDescent="0.45">
      <c r="A2" s="38" t="s">
        <v>149</v>
      </c>
      <c r="B2" s="139">
        <v>0.5941064698461862</v>
      </c>
      <c r="C2" s="140"/>
      <c r="D2" s="145"/>
      <c r="E2" s="146"/>
      <c r="F2" s="145"/>
      <c r="G2" s="146"/>
      <c r="H2" s="139">
        <v>0.21735724174138638</v>
      </c>
      <c r="I2" s="140"/>
      <c r="J2" s="139">
        <v>0.82510393395997184</v>
      </c>
      <c r="K2" s="140"/>
      <c r="L2" s="139">
        <v>0.74147692276535493</v>
      </c>
      <c r="M2" s="140"/>
      <c r="N2" s="139">
        <v>0.78377479313457465</v>
      </c>
      <c r="O2" s="140"/>
      <c r="P2" s="139">
        <v>0.77652983620659255</v>
      </c>
      <c r="Q2" s="140"/>
      <c r="R2" s="139">
        <v>0.39937529886705297</v>
      </c>
      <c r="S2" s="140"/>
      <c r="T2" s="139">
        <v>0.37182142367976712</v>
      </c>
      <c r="U2" s="140"/>
      <c r="V2" s="139">
        <v>1.5101259536346575E-2</v>
      </c>
      <c r="W2" s="140"/>
      <c r="X2" s="139">
        <v>0.69632075047522612</v>
      </c>
      <c r="Y2" s="140"/>
      <c r="Z2" s="139">
        <v>4.018092011213021E-2</v>
      </c>
      <c r="AA2" s="140"/>
      <c r="AB2" s="139">
        <v>-0.17857898460634897</v>
      </c>
      <c r="AC2" s="140"/>
      <c r="AD2" s="139">
        <v>0.42935467554329187</v>
      </c>
      <c r="AE2" s="140"/>
      <c r="AF2" s="139">
        <v>0.65107740271737091</v>
      </c>
      <c r="AG2" s="140"/>
      <c r="AH2" s="139">
        <v>0.82835461669972932</v>
      </c>
      <c r="AI2" s="140"/>
      <c r="AJ2" s="139">
        <v>0.12762141212772016</v>
      </c>
      <c r="AK2" s="140"/>
    </row>
    <row r="3" spans="1:37" x14ac:dyDescent="0.45">
      <c r="A3" s="40">
        <v>1</v>
      </c>
      <c r="B3" s="43" t="s">
        <v>139</v>
      </c>
      <c r="C3" s="117">
        <v>68</v>
      </c>
      <c r="D3" s="41" t="s">
        <v>126</v>
      </c>
      <c r="E3" s="42">
        <v>689.90000000000009</v>
      </c>
      <c r="F3" s="43" t="s">
        <v>126</v>
      </c>
      <c r="G3" s="62">
        <v>13.798000000000002</v>
      </c>
      <c r="H3" s="43" t="s">
        <v>196</v>
      </c>
      <c r="I3" s="62">
        <v>7.6166666666666663</v>
      </c>
      <c r="J3" s="43" t="s">
        <v>126</v>
      </c>
      <c r="K3" s="44">
        <v>1.72</v>
      </c>
      <c r="L3" s="43" t="s">
        <v>126</v>
      </c>
      <c r="M3" s="45">
        <v>0.46</v>
      </c>
      <c r="N3" s="43" t="s">
        <v>196</v>
      </c>
      <c r="O3" s="45">
        <v>0.125</v>
      </c>
      <c r="P3" s="43" t="s">
        <v>126</v>
      </c>
      <c r="Q3" s="46">
        <v>0.34293193717277487</v>
      </c>
      <c r="R3" s="43" t="s">
        <v>196</v>
      </c>
      <c r="S3" s="46">
        <v>7.6923076923076927E-2</v>
      </c>
      <c r="T3" s="43" t="s">
        <v>164</v>
      </c>
      <c r="U3" s="47">
        <v>10479.48717948718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213</v>
      </c>
      <c r="AA3" s="46">
        <v>0.32432432432432434</v>
      </c>
      <c r="AB3" s="43" t="s">
        <v>205</v>
      </c>
      <c r="AC3" s="46">
        <v>0.34444444444444444</v>
      </c>
      <c r="AD3" s="43" t="s">
        <v>213</v>
      </c>
      <c r="AE3" s="46">
        <v>0.70833333333333337</v>
      </c>
      <c r="AF3" s="43" t="s">
        <v>213</v>
      </c>
      <c r="AG3" s="46">
        <v>0.5714285714285714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50</v>
      </c>
      <c r="D4" s="49" t="s">
        <v>193</v>
      </c>
      <c r="E4" s="50">
        <v>97</v>
      </c>
      <c r="F4" s="51" t="s">
        <v>193</v>
      </c>
      <c r="G4" s="63">
        <v>4.2173913043478262</v>
      </c>
      <c r="H4" s="51" t="s">
        <v>194</v>
      </c>
      <c r="I4" s="63">
        <v>6.6492063492063496</v>
      </c>
      <c r="J4" s="51" t="s">
        <v>196</v>
      </c>
      <c r="K4" s="52">
        <v>1.875</v>
      </c>
      <c r="L4" s="51" t="s">
        <v>193</v>
      </c>
      <c r="M4" s="53">
        <v>0.39130434782608697</v>
      </c>
      <c r="N4" s="51" t="s">
        <v>126</v>
      </c>
      <c r="O4" s="53">
        <v>0.18</v>
      </c>
      <c r="P4" s="51" t="s">
        <v>193</v>
      </c>
      <c r="Q4" s="54">
        <v>0.32515337423312884</v>
      </c>
      <c r="R4" s="51" t="s">
        <v>126</v>
      </c>
      <c r="S4" s="54">
        <v>0.12303664921465969</v>
      </c>
      <c r="T4" s="51" t="s">
        <v>126</v>
      </c>
      <c r="U4" s="55">
        <v>9916.0305343511445</v>
      </c>
      <c r="V4" s="51" t="s">
        <v>189</v>
      </c>
      <c r="W4" s="55">
        <v>-7317.6470588235297</v>
      </c>
      <c r="X4" s="51" t="s">
        <v>213</v>
      </c>
      <c r="Y4" s="53">
        <v>0</v>
      </c>
      <c r="Z4" s="51" t="s">
        <v>196</v>
      </c>
      <c r="AA4" s="54">
        <v>0.29230769230769232</v>
      </c>
      <c r="AB4" s="51" t="s">
        <v>193</v>
      </c>
      <c r="AC4" s="54">
        <v>0.33128834355828218</v>
      </c>
      <c r="AD4" s="51" t="s">
        <v>205</v>
      </c>
      <c r="AE4" s="54">
        <v>0.69230769230769229</v>
      </c>
      <c r="AF4" s="51" t="s">
        <v>126</v>
      </c>
      <c r="AG4" s="54">
        <v>0.52307692307692311</v>
      </c>
      <c r="AH4" s="51" t="s">
        <v>196</v>
      </c>
      <c r="AI4" s="54">
        <v>0.52941176470588236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38</v>
      </c>
      <c r="D5" s="49" t="s">
        <v>196</v>
      </c>
      <c r="E5" s="50">
        <v>7.4999999999999858</v>
      </c>
      <c r="F5" s="51" t="s">
        <v>196</v>
      </c>
      <c r="G5" s="63">
        <v>0.93749999999999822</v>
      </c>
      <c r="H5" s="51" t="s">
        <v>193</v>
      </c>
      <c r="I5" s="63">
        <v>2.5111111111111106</v>
      </c>
      <c r="J5" s="51" t="s">
        <v>193</v>
      </c>
      <c r="K5" s="52">
        <v>1.9565217391304348</v>
      </c>
      <c r="L5" s="51" t="s">
        <v>164</v>
      </c>
      <c r="M5" s="53">
        <v>0.36842105263157893</v>
      </c>
      <c r="N5" s="51" t="s">
        <v>192</v>
      </c>
      <c r="O5" s="53">
        <v>0.30555555555555558</v>
      </c>
      <c r="P5" s="51" t="s">
        <v>205</v>
      </c>
      <c r="Q5" s="54">
        <v>0.32222222222222224</v>
      </c>
      <c r="R5" s="51" t="s">
        <v>192</v>
      </c>
      <c r="S5" s="54">
        <v>0.1263537906137184</v>
      </c>
      <c r="T5" s="51" t="s">
        <v>189</v>
      </c>
      <c r="U5" s="55">
        <v>9062.5</v>
      </c>
      <c r="V5" s="51" t="s">
        <v>193</v>
      </c>
      <c r="W5" s="55">
        <v>-7609.090909090909</v>
      </c>
      <c r="X5" s="51" t="s">
        <v>126</v>
      </c>
      <c r="Y5" s="53">
        <v>0.04</v>
      </c>
      <c r="Z5" s="51" t="s">
        <v>164</v>
      </c>
      <c r="AA5" s="54">
        <v>0.29054054054054052</v>
      </c>
      <c r="AB5" s="51" t="s">
        <v>192</v>
      </c>
      <c r="AC5" s="54">
        <v>0.23104693140794225</v>
      </c>
      <c r="AD5" s="51" t="s">
        <v>196</v>
      </c>
      <c r="AE5" s="54">
        <v>0.68421052631578949</v>
      </c>
      <c r="AF5" s="51" t="s">
        <v>189</v>
      </c>
      <c r="AG5" s="54">
        <v>0.5</v>
      </c>
      <c r="AH5" s="51" t="s">
        <v>213</v>
      </c>
      <c r="AI5" s="54">
        <v>0.52173913043478259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192</v>
      </c>
      <c r="C6" s="118">
        <v>36</v>
      </c>
      <c r="D6" s="49" t="s">
        <v>139</v>
      </c>
      <c r="E6" s="50">
        <v>-1.4210854715202004E-14</v>
      </c>
      <c r="F6" s="51" t="s">
        <v>139</v>
      </c>
      <c r="G6" s="63">
        <v>-6.9661052525500017E-17</v>
      </c>
      <c r="H6" s="51" t="s">
        <v>213</v>
      </c>
      <c r="I6" s="63">
        <v>2.1361111111111115</v>
      </c>
      <c r="J6" s="51" t="s">
        <v>139</v>
      </c>
      <c r="K6" s="52">
        <v>2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213</v>
      </c>
      <c r="Q6" s="54">
        <v>0.3108108108108108</v>
      </c>
      <c r="R6" s="51" t="s">
        <v>193</v>
      </c>
      <c r="S6" s="54">
        <v>0.13496932515337423</v>
      </c>
      <c r="T6" s="51" t="s">
        <v>205</v>
      </c>
      <c r="U6" s="55">
        <v>8979.310344827587</v>
      </c>
      <c r="V6" s="51" t="s">
        <v>192</v>
      </c>
      <c r="W6" s="55">
        <v>-7997.1428571428569</v>
      </c>
      <c r="X6" s="51" t="s">
        <v>192</v>
      </c>
      <c r="Y6" s="53">
        <v>0.1111111111111111</v>
      </c>
      <c r="Z6" s="51" t="s">
        <v>189</v>
      </c>
      <c r="AA6" s="54">
        <v>0.28378378378378377</v>
      </c>
      <c r="AB6" s="51" t="s">
        <v>164</v>
      </c>
      <c r="AC6" s="54">
        <v>0.21621621621621623</v>
      </c>
      <c r="AD6" s="51" t="s">
        <v>126</v>
      </c>
      <c r="AE6" s="54">
        <v>0.61764705882352944</v>
      </c>
      <c r="AF6" s="51" t="s">
        <v>194</v>
      </c>
      <c r="AG6" s="54">
        <v>0.47058823529411764</v>
      </c>
      <c r="AH6" s="51" t="s">
        <v>126</v>
      </c>
      <c r="AI6" s="54">
        <v>0.51908396946564883</v>
      </c>
      <c r="AJ6" s="51" t="s">
        <v>194</v>
      </c>
      <c r="AK6" s="58">
        <v>104100</v>
      </c>
    </row>
    <row r="7" spans="1:37" x14ac:dyDescent="0.45">
      <c r="A7" s="48">
        <v>5</v>
      </c>
      <c r="B7" s="51" t="s">
        <v>193</v>
      </c>
      <c r="C7" s="118">
        <v>23</v>
      </c>
      <c r="D7" s="49" t="s">
        <v>213</v>
      </c>
      <c r="E7" s="50">
        <v>-41.599999999999994</v>
      </c>
      <c r="F7" s="51" t="s">
        <v>164</v>
      </c>
      <c r="G7" s="63">
        <v>-4.2184210526315802</v>
      </c>
      <c r="H7" s="51" t="s">
        <v>126</v>
      </c>
      <c r="I7" s="63">
        <v>2.0932367149758448</v>
      </c>
      <c r="J7" s="51" t="s">
        <v>192</v>
      </c>
      <c r="K7" s="52">
        <v>2.0277777777777777</v>
      </c>
      <c r="L7" s="51" t="s">
        <v>192</v>
      </c>
      <c r="M7" s="53">
        <v>0.27777777777777779</v>
      </c>
      <c r="N7" s="51" t="s">
        <v>213</v>
      </c>
      <c r="O7" s="53">
        <v>0.33333333333333331</v>
      </c>
      <c r="P7" s="51" t="s">
        <v>139</v>
      </c>
      <c r="Q7" s="54">
        <v>0.29271437782076082</v>
      </c>
      <c r="R7" s="51" t="s">
        <v>194</v>
      </c>
      <c r="S7" s="54">
        <v>0.13846153846153847</v>
      </c>
      <c r="T7" s="51" t="s">
        <v>139</v>
      </c>
      <c r="U7" s="55">
        <v>8977.9735682819392</v>
      </c>
      <c r="V7" s="51" t="s">
        <v>194</v>
      </c>
      <c r="W7" s="55">
        <v>-8133.333333333333</v>
      </c>
      <c r="X7" s="51" t="s">
        <v>189</v>
      </c>
      <c r="Y7" s="53">
        <v>0.1111111111111111</v>
      </c>
      <c r="Z7" s="51" t="s">
        <v>194</v>
      </c>
      <c r="AA7" s="54">
        <v>0.26923076923076922</v>
      </c>
      <c r="AB7" s="51" t="s">
        <v>139</v>
      </c>
      <c r="AC7" s="54">
        <v>0.20438426821405545</v>
      </c>
      <c r="AD7" s="51" t="s">
        <v>193</v>
      </c>
      <c r="AE7" s="54">
        <v>0.60869565217391308</v>
      </c>
      <c r="AF7" s="51" t="s">
        <v>193</v>
      </c>
      <c r="AG7" s="54">
        <v>0.46296296296296297</v>
      </c>
      <c r="AH7" s="51" t="s">
        <v>193</v>
      </c>
      <c r="AI7" s="54">
        <v>0.47169811320754718</v>
      </c>
      <c r="AJ7" s="51" t="s">
        <v>126</v>
      </c>
      <c r="AK7" s="58">
        <v>102700</v>
      </c>
    </row>
    <row r="8" spans="1:37" x14ac:dyDescent="0.45">
      <c r="A8" s="48">
        <v>6</v>
      </c>
      <c r="B8" s="51" t="s">
        <v>194</v>
      </c>
      <c r="C8" s="118">
        <v>19</v>
      </c>
      <c r="D8" s="49" t="s">
        <v>189</v>
      </c>
      <c r="E8" s="50">
        <v>-105.5</v>
      </c>
      <c r="F8" s="51" t="s">
        <v>213</v>
      </c>
      <c r="G8" s="63">
        <v>-4.6222222222222218</v>
      </c>
      <c r="H8" s="51" t="s">
        <v>205</v>
      </c>
      <c r="I8" s="63">
        <v>1.8999999999999986</v>
      </c>
      <c r="J8" s="51" t="s">
        <v>164</v>
      </c>
      <c r="K8" s="52">
        <v>2.0789473684210527</v>
      </c>
      <c r="L8" s="51" t="s">
        <v>205</v>
      </c>
      <c r="M8" s="53">
        <v>0.25</v>
      </c>
      <c r="N8" s="51" t="s">
        <v>193</v>
      </c>
      <c r="O8" s="53">
        <v>0.34782608695652173</v>
      </c>
      <c r="P8" s="51" t="s">
        <v>192</v>
      </c>
      <c r="Q8" s="54">
        <v>0.26353790613718414</v>
      </c>
      <c r="R8" s="51" t="s">
        <v>139</v>
      </c>
      <c r="S8" s="54">
        <v>0.1579626047711154</v>
      </c>
      <c r="T8" s="51" t="s">
        <v>194</v>
      </c>
      <c r="U8" s="55">
        <v>8441.176470588236</v>
      </c>
      <c r="V8" s="51" t="s">
        <v>139</v>
      </c>
      <c r="W8" s="55">
        <v>-8223.2653061224482</v>
      </c>
      <c r="X8" s="51" t="s">
        <v>139</v>
      </c>
      <c r="Y8" s="53">
        <v>0.13725490196078433</v>
      </c>
      <c r="Z8" s="51" t="s">
        <v>126</v>
      </c>
      <c r="AA8" s="54">
        <v>0.26701570680628273</v>
      </c>
      <c r="AB8" s="51" t="s">
        <v>126</v>
      </c>
      <c r="AC8" s="54">
        <v>0.17015706806282724</v>
      </c>
      <c r="AD8" s="51" t="s">
        <v>139</v>
      </c>
      <c r="AE8" s="54">
        <v>0.54822335025380708</v>
      </c>
      <c r="AF8" s="51" t="s">
        <v>139</v>
      </c>
      <c r="AG8" s="54">
        <v>0.41009463722397477</v>
      </c>
      <c r="AH8" s="51" t="s">
        <v>139</v>
      </c>
      <c r="AI8" s="54">
        <v>0.45814977973568283</v>
      </c>
      <c r="AJ8" s="51" t="s">
        <v>213</v>
      </c>
      <c r="AK8" s="58">
        <v>95000</v>
      </c>
    </row>
    <row r="9" spans="1:37" x14ac:dyDescent="0.45">
      <c r="A9" s="48">
        <v>7</v>
      </c>
      <c r="B9" s="51" t="s">
        <v>205</v>
      </c>
      <c r="C9" s="118">
        <v>12</v>
      </c>
      <c r="D9" s="49" t="s">
        <v>205</v>
      </c>
      <c r="E9" s="50">
        <v>-108.5</v>
      </c>
      <c r="F9" s="51" t="s">
        <v>192</v>
      </c>
      <c r="G9" s="63">
        <v>-5.8666666666666654</v>
      </c>
      <c r="H9" s="51" t="s">
        <v>139</v>
      </c>
      <c r="I9" s="63">
        <v>0</v>
      </c>
      <c r="J9" s="51" t="s">
        <v>213</v>
      </c>
      <c r="K9" s="52">
        <v>2.1111111111111112</v>
      </c>
      <c r="L9" s="51" t="s">
        <v>196</v>
      </c>
      <c r="M9" s="53">
        <v>0.25</v>
      </c>
      <c r="N9" s="51" t="s">
        <v>189</v>
      </c>
      <c r="O9" s="53">
        <v>0.44444444444444442</v>
      </c>
      <c r="P9" s="51" t="s">
        <v>164</v>
      </c>
      <c r="Q9" s="54">
        <v>0.26351351351351349</v>
      </c>
      <c r="R9" s="51" t="s">
        <v>213</v>
      </c>
      <c r="S9" s="54">
        <v>0.1891891891891892</v>
      </c>
      <c r="T9" s="51" t="s">
        <v>196</v>
      </c>
      <c r="U9" s="55">
        <v>7964.7058823529414</v>
      </c>
      <c r="V9" s="51" t="s">
        <v>164</v>
      </c>
      <c r="W9" s="55">
        <v>-8253.8461538461543</v>
      </c>
      <c r="X9" s="51" t="s">
        <v>164</v>
      </c>
      <c r="Y9" s="53">
        <v>0.21052631578947367</v>
      </c>
      <c r="Z9" s="51" t="s">
        <v>192</v>
      </c>
      <c r="AA9" s="54">
        <v>0.2563176895306859</v>
      </c>
      <c r="AB9" s="51" t="s">
        <v>196</v>
      </c>
      <c r="AC9" s="54">
        <v>0.13846153846153847</v>
      </c>
      <c r="AD9" s="51" t="s">
        <v>192</v>
      </c>
      <c r="AE9" s="54">
        <v>0.53521126760563376</v>
      </c>
      <c r="AF9" s="51" t="s">
        <v>164</v>
      </c>
      <c r="AG9" s="54">
        <v>0.390625</v>
      </c>
      <c r="AH9" s="51" t="s">
        <v>164</v>
      </c>
      <c r="AI9" s="54">
        <v>0.4358974358974359</v>
      </c>
      <c r="AJ9" s="51" t="s">
        <v>205</v>
      </c>
      <c r="AK9" s="58">
        <v>93200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164</v>
      </c>
      <c r="E10" s="50">
        <v>-160.30000000000004</v>
      </c>
      <c r="F10" s="51" t="s">
        <v>194</v>
      </c>
      <c r="G10" s="63">
        <v>-8.8052631578947338</v>
      </c>
      <c r="H10" s="51" t="s">
        <v>164</v>
      </c>
      <c r="I10" s="63">
        <v>-1.7483193277310864</v>
      </c>
      <c r="J10" s="51" t="s">
        <v>189</v>
      </c>
      <c r="K10" s="52">
        <v>2.2222222222222223</v>
      </c>
      <c r="L10" s="51" t="s">
        <v>189</v>
      </c>
      <c r="M10" s="53">
        <v>0.22222222222222221</v>
      </c>
      <c r="N10" s="51" t="s">
        <v>164</v>
      </c>
      <c r="O10" s="53">
        <v>0.44736842105263158</v>
      </c>
      <c r="P10" s="51" t="s">
        <v>194</v>
      </c>
      <c r="Q10" s="54">
        <v>0.26153846153846155</v>
      </c>
      <c r="R10" s="51" t="s">
        <v>164</v>
      </c>
      <c r="S10" s="54">
        <v>0.2195945945945946</v>
      </c>
      <c r="T10" s="51" t="s">
        <v>193</v>
      </c>
      <c r="U10" s="55">
        <v>7958.4905660377362</v>
      </c>
      <c r="V10" s="51" t="s">
        <v>126</v>
      </c>
      <c r="W10" s="55">
        <v>-8495.7446808510631</v>
      </c>
      <c r="X10" s="51" t="s">
        <v>193</v>
      </c>
      <c r="Y10" s="53">
        <v>0.21739130434782608</v>
      </c>
      <c r="Z10" s="51" t="s">
        <v>139</v>
      </c>
      <c r="AA10" s="54">
        <v>0.25402965828497742</v>
      </c>
      <c r="AB10" s="51" t="s">
        <v>194</v>
      </c>
      <c r="AC10" s="54">
        <v>0.13076923076923078</v>
      </c>
      <c r="AD10" s="51" t="s">
        <v>189</v>
      </c>
      <c r="AE10" s="54">
        <v>0.47619047619047616</v>
      </c>
      <c r="AF10" s="51" t="s">
        <v>196</v>
      </c>
      <c r="AG10" s="54">
        <v>0.33333333333333331</v>
      </c>
      <c r="AH10" s="51" t="s">
        <v>192</v>
      </c>
      <c r="AI10" s="54">
        <v>0.38356164383561642</v>
      </c>
      <c r="AJ10" s="51" t="s">
        <v>196</v>
      </c>
      <c r="AK10" s="58">
        <v>89000</v>
      </c>
    </row>
    <row r="11" spans="1:37" x14ac:dyDescent="0.45">
      <c r="A11" s="48">
        <v>9</v>
      </c>
      <c r="B11" s="51" t="s">
        <v>213</v>
      </c>
      <c r="C11" s="118">
        <v>9</v>
      </c>
      <c r="D11" s="49" t="s">
        <v>194</v>
      </c>
      <c r="E11" s="50">
        <v>-167.29999999999995</v>
      </c>
      <c r="F11" s="51" t="s">
        <v>205</v>
      </c>
      <c r="G11" s="63">
        <v>-9.0416666666666661</v>
      </c>
      <c r="H11" s="51" t="s">
        <v>189</v>
      </c>
      <c r="I11" s="63">
        <v>-3.6805555555555549</v>
      </c>
      <c r="J11" s="51" t="s">
        <v>205</v>
      </c>
      <c r="K11" s="52">
        <v>2.25</v>
      </c>
      <c r="L11" s="51" t="s">
        <v>213</v>
      </c>
      <c r="M11" s="53">
        <v>0.22222222222222221</v>
      </c>
      <c r="N11" s="51" t="s">
        <v>194</v>
      </c>
      <c r="O11" s="53">
        <v>0.47368421052631576</v>
      </c>
      <c r="P11" s="51" t="s">
        <v>196</v>
      </c>
      <c r="Q11" s="54">
        <v>0.26153846153846155</v>
      </c>
      <c r="R11" s="51" t="s">
        <v>189</v>
      </c>
      <c r="S11" s="54">
        <v>0.22972972972972974</v>
      </c>
      <c r="T11" s="51" t="s">
        <v>213</v>
      </c>
      <c r="U11" s="55">
        <v>7530.434782608696</v>
      </c>
      <c r="V11" s="51" t="s">
        <v>213</v>
      </c>
      <c r="W11" s="55">
        <v>-8671.4285714285706</v>
      </c>
      <c r="X11" s="51" t="s">
        <v>205</v>
      </c>
      <c r="Y11" s="53">
        <v>0.25</v>
      </c>
      <c r="Z11" s="51" t="s">
        <v>205</v>
      </c>
      <c r="AA11" s="54">
        <v>0.14444444444444443</v>
      </c>
      <c r="AB11" s="51" t="s">
        <v>213</v>
      </c>
      <c r="AC11" s="54">
        <v>9.45945945945946E-2</v>
      </c>
      <c r="AD11" s="51" t="s">
        <v>164</v>
      </c>
      <c r="AE11" s="54">
        <v>0.43023255813953487</v>
      </c>
      <c r="AF11" s="51" t="s">
        <v>192</v>
      </c>
      <c r="AG11" s="54">
        <v>0.3125</v>
      </c>
      <c r="AH11" s="51" t="s">
        <v>194</v>
      </c>
      <c r="AI11" s="54">
        <v>0.38235294117647056</v>
      </c>
      <c r="AJ11" s="51" t="s">
        <v>192</v>
      </c>
      <c r="AK11" s="58">
        <v>88500</v>
      </c>
    </row>
    <row r="12" spans="1:37" x14ac:dyDescent="0.45">
      <c r="A12" s="48">
        <v>10</v>
      </c>
      <c r="B12" s="51" t="s">
        <v>196</v>
      </c>
      <c r="C12" s="118">
        <v>8</v>
      </c>
      <c r="D12" s="49" t="s">
        <v>192</v>
      </c>
      <c r="E12" s="50">
        <v>-211.19999999999996</v>
      </c>
      <c r="F12" s="51" t="s">
        <v>189</v>
      </c>
      <c r="G12" s="63">
        <v>-11.722222222222221</v>
      </c>
      <c r="H12" s="51" t="s">
        <v>192</v>
      </c>
      <c r="I12" s="63">
        <v>-4.4875757575757573</v>
      </c>
      <c r="J12" s="51" t="s">
        <v>194</v>
      </c>
      <c r="K12" s="52">
        <v>2.3157894736842106</v>
      </c>
      <c r="L12" s="51" t="s">
        <v>194</v>
      </c>
      <c r="M12" s="53">
        <v>0.15789473684210525</v>
      </c>
      <c r="N12" s="51" t="s">
        <v>205</v>
      </c>
      <c r="O12" s="53">
        <v>0.5</v>
      </c>
      <c r="P12" s="51" t="s">
        <v>189</v>
      </c>
      <c r="Q12" s="54">
        <v>0.21621621621621623</v>
      </c>
      <c r="R12" s="51" t="s">
        <v>205</v>
      </c>
      <c r="S12" s="54">
        <v>0.24444444444444444</v>
      </c>
      <c r="T12" s="51" t="s">
        <v>192</v>
      </c>
      <c r="U12" s="55">
        <v>7353.4246575342468</v>
      </c>
      <c r="V12" s="51" t="s">
        <v>205</v>
      </c>
      <c r="W12" s="55">
        <v>-9904.545454545454</v>
      </c>
      <c r="X12" s="51" t="s">
        <v>194</v>
      </c>
      <c r="Y12" s="53">
        <v>0.26315789473684209</v>
      </c>
      <c r="Z12" s="51" t="s">
        <v>193</v>
      </c>
      <c r="AA12" s="54">
        <v>0.1411042944785276</v>
      </c>
      <c r="AB12" s="51" t="s">
        <v>189</v>
      </c>
      <c r="AC12" s="54">
        <v>8.1081081081081086E-2</v>
      </c>
      <c r="AD12" s="51" t="s">
        <v>194</v>
      </c>
      <c r="AE12" s="54">
        <v>0.42857142857142855</v>
      </c>
      <c r="AF12" s="51" t="s">
        <v>205</v>
      </c>
      <c r="AG12" s="54">
        <v>0.25806451612903225</v>
      </c>
      <c r="AH12" s="51" t="s">
        <v>205</v>
      </c>
      <c r="AI12" s="54">
        <v>0.34482758620689657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8C6FA-9EE5-437A-AEC3-34E84746D074}">
  <sheetPr codeName="Sheet4"/>
  <dimension ref="A1:Q206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204</v>
      </c>
      <c r="C2" s="132"/>
      <c r="E2" s="28" t="s">
        <v>66</v>
      </c>
      <c r="F2" s="25" t="s">
        <v>22</v>
      </c>
      <c r="G2" s="13">
        <v>322</v>
      </c>
      <c r="H2" s="91">
        <f>IF(B$19=0,0,G2/B$19)</f>
        <v>0.70925110132158586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-9.9502487562189046</v>
      </c>
      <c r="P2" s="80">
        <v>201</v>
      </c>
      <c r="Q2" s="67">
        <v>-2000</v>
      </c>
    </row>
    <row r="3" spans="1:17" x14ac:dyDescent="0.45">
      <c r="A3" s="21" t="s">
        <v>8</v>
      </c>
      <c r="B3" s="133">
        <v>1551</v>
      </c>
      <c r="C3" s="134"/>
      <c r="E3" s="29" t="s">
        <v>72</v>
      </c>
      <c r="F3" s="26" t="s">
        <v>27</v>
      </c>
      <c r="G3" s="14">
        <v>246</v>
      </c>
      <c r="H3" s="92">
        <f>IF(B$19=0,0,G3/B$19)</f>
        <v>0.54185022026431717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-10.1010101010101</v>
      </c>
      <c r="P3" s="81">
        <v>198</v>
      </c>
      <c r="Q3" s="68">
        <v>-2000</v>
      </c>
    </row>
    <row r="4" spans="1:17" x14ac:dyDescent="0.45">
      <c r="A4" s="21" t="s">
        <v>6</v>
      </c>
      <c r="B4" s="135">
        <v>-1.4210854715202004E-14</v>
      </c>
      <c r="C4" s="136"/>
      <c r="E4" s="29" t="s">
        <v>64</v>
      </c>
      <c r="F4" s="26" t="s">
        <v>20</v>
      </c>
      <c r="G4" s="14">
        <v>207</v>
      </c>
      <c r="H4" s="92">
        <f>IF(B$19=0,0,G4/B$19)</f>
        <v>0.45594713656387664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0</v>
      </c>
      <c r="P4" s="81">
        <v>186</v>
      </c>
      <c r="Q4" s="68">
        <v>0</v>
      </c>
    </row>
    <row r="5" spans="1:17" x14ac:dyDescent="0.45">
      <c r="A5" s="21" t="s">
        <v>7</v>
      </c>
      <c r="B5" s="123">
        <f>IF(B$2=0,0,B$4/B$2)</f>
        <v>-6.9661052525500017E-17</v>
      </c>
      <c r="C5" s="124"/>
      <c r="E5" s="29" t="s">
        <v>160</v>
      </c>
      <c r="F5" s="26" t="s">
        <v>161</v>
      </c>
      <c r="G5" s="14">
        <v>195</v>
      </c>
      <c r="H5" s="92">
        <f>IF(B$19=0,0,G5/B$19)</f>
        <v>0.42951541850220265</v>
      </c>
      <c r="I5" s="60">
        <v>6</v>
      </c>
      <c r="K5" s="7">
        <v>3</v>
      </c>
      <c r="L5" s="65">
        <v>7.1054273576010019E-15</v>
      </c>
      <c r="N5" s="78" t="s">
        <v>131</v>
      </c>
      <c r="O5" s="84">
        <f t="shared" si="0"/>
        <v>18.518518518518519</v>
      </c>
      <c r="P5" s="81">
        <v>162</v>
      </c>
      <c r="Q5" s="68">
        <v>3000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145</v>
      </c>
      <c r="H6" s="92">
        <f>IF(B$19=0,0,G6/B$19)</f>
        <v>0.31938325991189426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-56.737588652482266</v>
      </c>
      <c r="P6" s="81">
        <v>141</v>
      </c>
      <c r="Q6" s="68">
        <v>-8000</v>
      </c>
    </row>
    <row r="7" spans="1:17" x14ac:dyDescent="0.45">
      <c r="A7" s="21" t="s">
        <v>2</v>
      </c>
      <c r="B7" s="14">
        <v>68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107</v>
      </c>
      <c r="H7" s="92">
        <f>IF(B$19=0,0,G7/B$19)</f>
        <v>0.23568281938325991</v>
      </c>
      <c r="I7" s="60">
        <v>4</v>
      </c>
      <c r="K7" s="7">
        <v>5</v>
      </c>
      <c r="L7" s="65">
        <v>-55.999999999999993</v>
      </c>
      <c r="N7" s="79" t="s">
        <v>133</v>
      </c>
      <c r="O7" s="85">
        <f t="shared" si="0"/>
        <v>70.175438596491233</v>
      </c>
      <c r="P7" s="82">
        <v>114</v>
      </c>
      <c r="Q7" s="69">
        <v>8000</v>
      </c>
    </row>
    <row r="8" spans="1:17" x14ac:dyDescent="0.45">
      <c r="A8" s="21" t="s">
        <v>3</v>
      </c>
      <c r="B8" s="14">
        <v>68</v>
      </c>
      <c r="C8" s="8">
        <f t="shared" si="1"/>
        <v>0.33333333333333331</v>
      </c>
      <c r="E8" s="29" t="s">
        <v>89</v>
      </c>
      <c r="F8" s="26" t="s">
        <v>44</v>
      </c>
      <c r="G8" s="14">
        <v>63</v>
      </c>
      <c r="H8" s="92">
        <f>IF(B$19=0,0,G8/B$19)</f>
        <v>0.13876651982378854</v>
      </c>
      <c r="I8" s="60">
        <v>5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68</v>
      </c>
      <c r="C9" s="9">
        <f t="shared" si="1"/>
        <v>0.33333333333333331</v>
      </c>
      <c r="E9" s="29" t="s">
        <v>69</v>
      </c>
      <c r="F9" s="26" t="s">
        <v>24</v>
      </c>
      <c r="G9" s="14">
        <v>57</v>
      </c>
      <c r="H9" s="92">
        <f>IF(B$19=0,0,G9/B$19)</f>
        <v>0.12555066079295155</v>
      </c>
      <c r="I9" s="60">
        <v>5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42.942647058823525</v>
      </c>
      <c r="C10" s="114">
        <v>2920.0999999999995</v>
      </c>
      <c r="E10" s="29" t="s">
        <v>65</v>
      </c>
      <c r="F10" s="26" t="s">
        <v>21</v>
      </c>
      <c r="G10" s="14">
        <v>46</v>
      </c>
      <c r="H10" s="92">
        <f>IF(B$19=0,0,G10/B$19)</f>
        <v>0.1013215859030837</v>
      </c>
      <c r="I10" s="60">
        <v>7</v>
      </c>
      <c r="K10" s="7">
        <v>8</v>
      </c>
      <c r="L10" s="65">
        <v>-81.5</v>
      </c>
      <c r="N10" s="77" t="s">
        <v>152</v>
      </c>
      <c r="O10" s="86">
        <f>IF(P10=0,0,Q10/P10)</f>
        <v>-7.1411764705882339</v>
      </c>
      <c r="P10" s="80">
        <v>68</v>
      </c>
      <c r="Q10" s="71">
        <v>-485.59999999999991</v>
      </c>
    </row>
    <row r="11" spans="1:17" x14ac:dyDescent="0.45">
      <c r="A11" s="22" t="s">
        <v>186</v>
      </c>
      <c r="B11" s="113">
        <f>IF(B8=0,0,C11/B8)</f>
        <v>-4.2676470588235311</v>
      </c>
      <c r="C11" s="114">
        <v>-290.2000000000001</v>
      </c>
      <c r="E11" s="29" t="s">
        <v>70</v>
      </c>
      <c r="F11" s="26" t="s">
        <v>25</v>
      </c>
      <c r="G11" s="14">
        <v>33</v>
      </c>
      <c r="H11" s="92">
        <f>IF(B$19=0,0,G11/B$19)</f>
        <v>7.268722466960352E-2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1.9749999999999994</v>
      </c>
      <c r="P11" s="81">
        <v>68</v>
      </c>
      <c r="Q11" s="72">
        <v>134.29999999999995</v>
      </c>
    </row>
    <row r="12" spans="1:17" x14ac:dyDescent="0.45">
      <c r="A12" s="22" t="s">
        <v>187</v>
      </c>
      <c r="B12" s="113">
        <f>IF(B9=0,0,C12/B9)</f>
        <v>-38.675000000000004</v>
      </c>
      <c r="C12" s="114">
        <v>-2629.9</v>
      </c>
      <c r="E12" s="29" t="s">
        <v>71</v>
      </c>
      <c r="F12" s="26" t="s">
        <v>26</v>
      </c>
      <c r="G12" s="14">
        <v>33</v>
      </c>
      <c r="H12" s="92">
        <f>IF(B$19=0,0,G12/B$19)</f>
        <v>7.268722466960352E-2</v>
      </c>
      <c r="I12" s="60">
        <v>6</v>
      </c>
      <c r="K12" s="7">
        <v>10</v>
      </c>
      <c r="L12" s="65">
        <v>60.4</v>
      </c>
      <c r="N12" s="79" t="s">
        <v>154</v>
      </c>
      <c r="O12" s="88">
        <f>IF(P12=0,0,Q12/P12)</f>
        <v>5.1661764705882334</v>
      </c>
      <c r="P12" s="82">
        <v>68</v>
      </c>
      <c r="Q12" s="73">
        <v>351.2999999999999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86</v>
      </c>
      <c r="F13" s="26" t="s">
        <v>41</v>
      </c>
      <c r="G13" s="14">
        <v>26</v>
      </c>
      <c r="H13" s="92">
        <f>IF(B$19=0,0,G13/B$19)</f>
        <v>5.7268722466960353E-2</v>
      </c>
      <c r="I13" s="60">
        <v>5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28</v>
      </c>
      <c r="C14" s="11">
        <f t="shared" si="1"/>
        <v>0.13725490196078433</v>
      </c>
      <c r="E14" s="29" t="s">
        <v>83</v>
      </c>
      <c r="F14" s="26" t="s">
        <v>38</v>
      </c>
      <c r="G14" s="14">
        <v>25</v>
      </c>
      <c r="H14" s="92">
        <f>IF(B$19=0,0,G14/B$19)</f>
        <v>5.5066079295154183E-2</v>
      </c>
      <c r="I14" s="60">
        <v>4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394</v>
      </c>
      <c r="C15" s="12">
        <f>IF(B$3=0,0,B15/B$3)</f>
        <v>0.25402965828497742</v>
      </c>
      <c r="E15" s="29" t="s">
        <v>78</v>
      </c>
      <c r="F15" s="26" t="s">
        <v>33</v>
      </c>
      <c r="G15" s="14">
        <v>15</v>
      </c>
      <c r="H15" s="92">
        <f>IF(B$19=0,0,G15/B$19)</f>
        <v>3.3039647577092511E-2</v>
      </c>
      <c r="I15" s="60">
        <v>5</v>
      </c>
      <c r="K15" s="7">
        <v>13</v>
      </c>
      <c r="L15" s="65">
        <v>14.300000000000002</v>
      </c>
      <c r="N15" s="77" t="s">
        <v>189</v>
      </c>
      <c r="O15" s="86">
        <f>IF(P15=0,0,Q15/P15)</f>
        <v>17.583333333333336</v>
      </c>
      <c r="P15" s="80">
        <v>18</v>
      </c>
      <c r="Q15" s="71">
        <v>316.50000000000006</v>
      </c>
    </row>
    <row r="16" spans="1:17" x14ac:dyDescent="0.45">
      <c r="A16" s="21" t="s">
        <v>118</v>
      </c>
      <c r="B16" s="14">
        <v>317</v>
      </c>
      <c r="C16" s="8">
        <f>IF(B$3=0,0,B16/B$3)</f>
        <v>0.20438426821405545</v>
      </c>
      <c r="E16" s="29" t="s">
        <v>79</v>
      </c>
      <c r="F16" s="26" t="s">
        <v>34</v>
      </c>
      <c r="G16" s="14">
        <v>11</v>
      </c>
      <c r="H16" s="92">
        <f>IF(B$19=0,0,G16/B$19)</f>
        <v>2.4229074889867842E-2</v>
      </c>
      <c r="I16" s="60">
        <v>4</v>
      </c>
      <c r="K16" s="7">
        <v>14</v>
      </c>
      <c r="L16" s="65">
        <v>12.800000000000002</v>
      </c>
      <c r="N16" s="78" t="s">
        <v>205</v>
      </c>
      <c r="O16" s="87">
        <f>IF(P16=0,0,Q16/P16)</f>
        <v>13.5625</v>
      </c>
      <c r="P16" s="81">
        <v>24</v>
      </c>
      <c r="Q16" s="72">
        <v>325.5</v>
      </c>
    </row>
    <row r="17" spans="1:17" x14ac:dyDescent="0.45">
      <c r="A17" s="20" t="s">
        <v>123</v>
      </c>
      <c r="B17" s="13">
        <f>B23</f>
        <v>216</v>
      </c>
      <c r="C17" s="6">
        <f>IF(B$15=0,0,B17/B$15)</f>
        <v>0.54822335025380708</v>
      </c>
      <c r="E17" s="29" t="s">
        <v>81</v>
      </c>
      <c r="F17" s="26" t="s">
        <v>36</v>
      </c>
      <c r="G17" s="14">
        <v>10</v>
      </c>
      <c r="H17" s="92">
        <f>IF(B$19=0,0,G17/B$19)</f>
        <v>2.2026431718061675E-2</v>
      </c>
      <c r="I17" s="60">
        <v>4</v>
      </c>
      <c r="K17" s="7">
        <v>15</v>
      </c>
      <c r="L17" s="65">
        <v>1.7763568394002505E-15</v>
      </c>
      <c r="N17" s="78" t="s">
        <v>194</v>
      </c>
      <c r="O17" s="87">
        <f>IF(P17=0,0,Q17/P17)</f>
        <v>13.2078947368421</v>
      </c>
      <c r="P17" s="81">
        <v>38</v>
      </c>
      <c r="Q17" s="72">
        <v>501.89999999999981</v>
      </c>
    </row>
    <row r="18" spans="1:17" x14ac:dyDescent="0.45">
      <c r="A18" s="20" t="s">
        <v>124</v>
      </c>
      <c r="B18" s="13">
        <f>B24</f>
        <v>130</v>
      </c>
      <c r="C18" s="6">
        <f>IF(B$16=0,0,B18/B$16)</f>
        <v>0.41009463722397477</v>
      </c>
      <c r="E18" s="29" t="s">
        <v>91</v>
      </c>
      <c r="F18" s="26" t="s">
        <v>46</v>
      </c>
      <c r="G18" s="14">
        <v>9</v>
      </c>
      <c r="H18" s="92">
        <f>IF(B$19=0,0,G18/B$19)</f>
        <v>1.9823788546255508E-2</v>
      </c>
      <c r="I18" s="60">
        <v>3</v>
      </c>
      <c r="K18" s="7">
        <v>16</v>
      </c>
      <c r="L18" s="65">
        <v>3.4000000000000017</v>
      </c>
      <c r="N18" s="78" t="s">
        <v>192</v>
      </c>
      <c r="O18" s="87">
        <f>IF(P18=0,0,Q18/P18)</f>
        <v>8.8000000000000043</v>
      </c>
      <c r="P18" s="81">
        <v>72</v>
      </c>
      <c r="Q18" s="72">
        <v>633.60000000000036</v>
      </c>
    </row>
    <row r="19" spans="1:17" x14ac:dyDescent="0.45">
      <c r="A19" s="20" t="s">
        <v>10</v>
      </c>
      <c r="B19" s="13">
        <f>B22+B21</f>
        <v>454</v>
      </c>
      <c r="C19" s="6">
        <f>IF(B$3=0,0,B19/B$3)</f>
        <v>0.29271437782076082</v>
      </c>
      <c r="E19" s="29" t="s">
        <v>92</v>
      </c>
      <c r="F19" s="26" t="s">
        <v>47</v>
      </c>
      <c r="G19" s="14">
        <v>7</v>
      </c>
      <c r="H19" s="92">
        <f>IF(B$19=0,0,G19/B$19)</f>
        <v>1.5418502202643172E-2</v>
      </c>
      <c r="I19" s="60">
        <v>4</v>
      </c>
      <c r="K19" s="7">
        <v>17</v>
      </c>
      <c r="L19" s="65">
        <v>-35.800000000000004</v>
      </c>
      <c r="N19" s="78" t="s">
        <v>213</v>
      </c>
      <c r="O19" s="87">
        <f>IF(P19=0,0,Q19/P19)</f>
        <v>6.9333333333333345</v>
      </c>
      <c r="P19" s="81">
        <v>18</v>
      </c>
      <c r="Q19" s="72">
        <v>124.80000000000003</v>
      </c>
    </row>
    <row r="20" spans="1:17" x14ac:dyDescent="0.45">
      <c r="A20" s="21" t="s">
        <v>13</v>
      </c>
      <c r="B20" s="14">
        <v>245</v>
      </c>
      <c r="C20" s="8">
        <f>IF(B$3=0,0,B20/B$3)</f>
        <v>0.1579626047711154</v>
      </c>
      <c r="E20" s="29" t="s">
        <v>156</v>
      </c>
      <c r="F20" s="26" t="s">
        <v>157</v>
      </c>
      <c r="G20" s="14">
        <v>6</v>
      </c>
      <c r="H20" s="92">
        <f>IF(B$19=0,0,G20/B$19)</f>
        <v>1.3215859030837005E-2</v>
      </c>
      <c r="I20" s="60">
        <v>3</v>
      </c>
      <c r="K20" s="7">
        <v>18</v>
      </c>
      <c r="L20" s="65">
        <v>-7.1054273576010019E-15</v>
      </c>
      <c r="N20" s="78" t="s">
        <v>164</v>
      </c>
      <c r="O20" s="87">
        <f>IF(P20=0,0,Q20/P20)</f>
        <v>6.3276315789473658</v>
      </c>
      <c r="P20" s="81">
        <v>76</v>
      </c>
      <c r="Q20" s="72">
        <v>480.89999999999981</v>
      </c>
    </row>
    <row r="21" spans="1:17" x14ac:dyDescent="0.45">
      <c r="A21" s="21" t="s">
        <v>12</v>
      </c>
      <c r="B21" s="14">
        <v>208</v>
      </c>
      <c r="C21" s="8">
        <f>IF(B$19=0,0,B21/B$19)</f>
        <v>0.45814977973568283</v>
      </c>
      <c r="E21" s="29" t="s">
        <v>73</v>
      </c>
      <c r="F21" s="26" t="s">
        <v>28</v>
      </c>
      <c r="G21" s="14">
        <v>2</v>
      </c>
      <c r="H21" s="92">
        <f>IF(B$19=0,0,G21/B$19)</f>
        <v>4.4052863436123352E-3</v>
      </c>
      <c r="I21" s="60">
        <v>3</v>
      </c>
      <c r="K21" s="7">
        <v>19</v>
      </c>
      <c r="L21" s="65">
        <v>-27.100000000000009</v>
      </c>
      <c r="N21" s="78" t="s">
        <v>196</v>
      </c>
      <c r="O21" s="87">
        <f>IF(P21=0,0,Q21/P21)</f>
        <v>-1.4062500000000027</v>
      </c>
      <c r="P21" s="81">
        <v>16</v>
      </c>
      <c r="Q21" s="72">
        <v>-22.500000000000043</v>
      </c>
    </row>
    <row r="22" spans="1:17" x14ac:dyDescent="0.45">
      <c r="A22" s="21" t="s">
        <v>11</v>
      </c>
      <c r="B22" s="14">
        <v>246</v>
      </c>
      <c r="C22" s="8">
        <f>IF(B$19=0,0,B22/B$19)</f>
        <v>0.54185022026431717</v>
      </c>
      <c r="E22" s="29" t="s">
        <v>75</v>
      </c>
      <c r="F22" s="26" t="s">
        <v>30</v>
      </c>
      <c r="G22" s="14">
        <v>2</v>
      </c>
      <c r="H22" s="92">
        <f>IF(B$19=0,0,G22/B$19)</f>
        <v>4.4052863436123352E-3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>IF(P22=0,0,Q22/P22)</f>
        <v>-6.3260869565217392</v>
      </c>
      <c r="P22" s="81">
        <v>46</v>
      </c>
      <c r="Q22" s="72">
        <v>-291</v>
      </c>
    </row>
    <row r="23" spans="1:17" x14ac:dyDescent="0.45">
      <c r="A23" s="21" t="s">
        <v>184</v>
      </c>
      <c r="B23" s="14">
        <v>216</v>
      </c>
      <c r="C23" s="8">
        <f>IF(B$19=0,0,B23/B$19)</f>
        <v>0.47577092511013214</v>
      </c>
      <c r="E23" s="29" t="s">
        <v>77</v>
      </c>
      <c r="F23" s="26" t="s">
        <v>32</v>
      </c>
      <c r="G23" s="14">
        <v>2</v>
      </c>
      <c r="H23" s="92">
        <f>IF(B$19=0,0,G23/B$19)</f>
        <v>4.4052863436123352E-3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-20.696999999999981</v>
      </c>
      <c r="P23" s="81">
        <v>100</v>
      </c>
      <c r="Q23" s="72">
        <v>-2069.699999999998</v>
      </c>
    </row>
    <row r="24" spans="1:17" x14ac:dyDescent="0.45">
      <c r="A24" s="21" t="s">
        <v>182</v>
      </c>
      <c r="B24" s="14">
        <v>130</v>
      </c>
      <c r="C24" s="8">
        <f>IF(B$19=0,0,B24/B$19)</f>
        <v>0.28634361233480177</v>
      </c>
      <c r="E24" s="29" t="s">
        <v>85</v>
      </c>
      <c r="F24" s="26" t="s">
        <v>40</v>
      </c>
      <c r="G24" s="14">
        <v>2</v>
      </c>
      <c r="H24" s="92">
        <f>IF(B$19=0,0,G24/B$19)</f>
        <v>4.4052863436123352E-3</v>
      </c>
      <c r="I24" s="60">
        <v>2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108</v>
      </c>
      <c r="C25" s="8">
        <f>IF(B$19=0,0,B25/B$19)</f>
        <v>0.23788546255506607</v>
      </c>
      <c r="E25" s="29" t="s">
        <v>87</v>
      </c>
      <c r="F25" s="26" t="s">
        <v>42</v>
      </c>
      <c r="G25" s="14">
        <v>2</v>
      </c>
      <c r="H25" s="92">
        <f>IF(B$19=0,0,G25/B$19)</f>
        <v>4.4052863436123352E-3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8977.9735682819392</v>
      </c>
      <c r="C26" s="10">
        <v>4076000</v>
      </c>
      <c r="E26" s="29" t="s">
        <v>93</v>
      </c>
      <c r="F26" s="26" t="s">
        <v>48</v>
      </c>
      <c r="G26" s="14">
        <v>2</v>
      </c>
      <c r="H26" s="92">
        <f>IF(B$19=0,0,G26/B$19)</f>
        <v>4.4052863436123352E-3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9334.5679012345681</v>
      </c>
      <c r="C27" s="100">
        <v>3024400</v>
      </c>
      <c r="E27" s="29" t="s">
        <v>84</v>
      </c>
      <c r="F27" s="26" t="s">
        <v>39</v>
      </c>
      <c r="G27" s="14">
        <v>1</v>
      </c>
      <c r="H27" s="92">
        <f>IF(B$19=0,0,G27/B$19)</f>
        <v>2.2026431718061676E-3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8089.2307692307695</v>
      </c>
      <c r="C28" s="100">
        <v>1051600</v>
      </c>
      <c r="E28" s="29" t="s">
        <v>95</v>
      </c>
      <c r="F28" s="26" t="s">
        <v>50</v>
      </c>
      <c r="G28" s="14">
        <v>1</v>
      </c>
      <c r="H28" s="92">
        <f>IF(B$19=0,0,G28/B$19)</f>
        <v>2.2026431718061676E-3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-8223.2653061224482</v>
      </c>
      <c r="C29" s="100">
        <v>-2014700</v>
      </c>
      <c r="E29" s="29" t="s">
        <v>97</v>
      </c>
      <c r="F29" s="26" t="s">
        <v>52</v>
      </c>
      <c r="G29" s="14">
        <v>1</v>
      </c>
      <c r="H29" s="92">
        <f>IF(B$19=0,0,G29/B$19)</f>
        <v>2.2026431718061676E-3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102</v>
      </c>
      <c r="F30" s="26" t="s">
        <v>57</v>
      </c>
      <c r="G30" s="14">
        <v>1</v>
      </c>
      <c r="H30" s="92">
        <f>IF(B$19=0,0,G30/B$19)</f>
        <v>2.2026431718061676E-3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34</v>
      </c>
      <c r="C31" s="94">
        <v>2</v>
      </c>
      <c r="E31" s="29" t="s">
        <v>74</v>
      </c>
      <c r="F31" s="26" t="s">
        <v>29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6</v>
      </c>
      <c r="C32" s="126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3</v>
      </c>
      <c r="C34" s="11">
        <f>IF(B$3=0,0,B34/B$3)</f>
        <v>1.9342359767891683E-3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88</v>
      </c>
      <c r="F35" s="26" t="s">
        <v>43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36</v>
      </c>
      <c r="C36" s="102">
        <f t="shared" ref="C36:C48" si="2">IF(B$19=0,0,B36/B$19)</f>
        <v>7.9295154185022032E-2</v>
      </c>
      <c r="E36" s="29" t="s">
        <v>90</v>
      </c>
      <c r="F36" s="26" t="s">
        <v>45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84</v>
      </c>
      <c r="C37" s="8">
        <f t="shared" si="2"/>
        <v>0.18502202643171806</v>
      </c>
      <c r="E37" s="29" t="s">
        <v>94</v>
      </c>
      <c r="F37" s="26" t="s">
        <v>49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73</v>
      </c>
      <c r="C38" s="8">
        <f t="shared" si="2"/>
        <v>0.16079295154185022</v>
      </c>
      <c r="E38" s="29" t="s">
        <v>96</v>
      </c>
      <c r="F38" s="26" t="s">
        <v>51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83</v>
      </c>
      <c r="C39" s="8">
        <f t="shared" si="2"/>
        <v>0.1828193832599119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71</v>
      </c>
      <c r="C40" s="8">
        <f t="shared" si="2"/>
        <v>0.15638766519823788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40</v>
      </c>
      <c r="C41" s="8">
        <f t="shared" si="2"/>
        <v>8.8105726872246701E-2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28</v>
      </c>
      <c r="C42" s="8">
        <f t="shared" si="2"/>
        <v>6.1674008810572688E-2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10</v>
      </c>
      <c r="C43" s="8">
        <f t="shared" si="2"/>
        <v>2.2026431718061675E-2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8</v>
      </c>
      <c r="C44" s="8">
        <f t="shared" si="2"/>
        <v>1.7621145374449341E-2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5</v>
      </c>
      <c r="C45" s="8">
        <f t="shared" si="2"/>
        <v>1.1013215859030838E-2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3</v>
      </c>
      <c r="C46" s="8">
        <f t="shared" si="2"/>
        <v>6.6079295154185024E-3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1</v>
      </c>
      <c r="C47" s="8">
        <f t="shared" si="2"/>
        <v>2.2026431718061676E-3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12</v>
      </c>
      <c r="C48" s="11">
        <f t="shared" si="2"/>
        <v>2.643171806167401E-2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8D65C-B606-4D70-86A4-57219BECBEDF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38</v>
      </c>
      <c r="C2" s="132"/>
      <c r="E2" s="28" t="s">
        <v>66</v>
      </c>
      <c r="F2" s="25" t="s">
        <v>22</v>
      </c>
      <c r="G2" s="13">
        <v>70</v>
      </c>
      <c r="H2" s="91">
        <f>IF(B$19=0,0,G2/B$19)</f>
        <v>0.89743589743589747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-2978.3783783783783</v>
      </c>
      <c r="P2" s="80">
        <v>37</v>
      </c>
      <c r="Q2" s="67">
        <v>-110200</v>
      </c>
    </row>
    <row r="3" spans="1:17" x14ac:dyDescent="0.45">
      <c r="A3" s="21" t="s">
        <v>8</v>
      </c>
      <c r="B3" s="133">
        <v>296</v>
      </c>
      <c r="C3" s="134"/>
      <c r="E3" s="29" t="s">
        <v>72</v>
      </c>
      <c r="F3" s="26" t="s">
        <v>27</v>
      </c>
      <c r="G3" s="14">
        <v>42</v>
      </c>
      <c r="H3" s="92">
        <f>IF(B$19=0,0,G3/B$19)</f>
        <v>0.53846153846153844</v>
      </c>
      <c r="I3" s="60">
        <v>6</v>
      </c>
      <c r="K3" s="7">
        <v>1</v>
      </c>
      <c r="L3" s="65">
        <v>-2.9</v>
      </c>
      <c r="N3" s="78" t="s">
        <v>129</v>
      </c>
      <c r="O3" s="84">
        <f t="shared" si="0"/>
        <v>-778.37837837837833</v>
      </c>
      <c r="P3" s="81">
        <v>37</v>
      </c>
      <c r="Q3" s="68">
        <v>-28800</v>
      </c>
    </row>
    <row r="4" spans="1:17" x14ac:dyDescent="0.45">
      <c r="A4" s="21" t="s">
        <v>6</v>
      </c>
      <c r="B4" s="135">
        <v>-160.30000000000004</v>
      </c>
      <c r="C4" s="136"/>
      <c r="E4" s="29" t="s">
        <v>160</v>
      </c>
      <c r="F4" s="26" t="s">
        <v>161</v>
      </c>
      <c r="G4" s="14">
        <v>40</v>
      </c>
      <c r="H4" s="92">
        <f>IF(B$19=0,0,G4/B$19)</f>
        <v>0.51282051282051277</v>
      </c>
      <c r="I4" s="60">
        <v>2</v>
      </c>
      <c r="K4" s="7">
        <v>2</v>
      </c>
      <c r="L4" s="65">
        <v>32.9</v>
      </c>
      <c r="N4" s="78" t="s">
        <v>130</v>
      </c>
      <c r="O4" s="84">
        <f t="shared" si="0"/>
        <v>-464.70588235294116</v>
      </c>
      <c r="P4" s="81">
        <v>34</v>
      </c>
      <c r="Q4" s="68">
        <v>-15800</v>
      </c>
    </row>
    <row r="5" spans="1:17" x14ac:dyDescent="0.45">
      <c r="A5" s="21" t="s">
        <v>7</v>
      </c>
      <c r="B5" s="123">
        <f>IF(B$2=0,0,B$4/B$2)</f>
        <v>-4.2184210526315802</v>
      </c>
      <c r="C5" s="124"/>
      <c r="E5" s="29" t="s">
        <v>64</v>
      </c>
      <c r="F5" s="26" t="s">
        <v>20</v>
      </c>
      <c r="G5" s="14">
        <v>38</v>
      </c>
      <c r="H5" s="92">
        <f>IF(B$19=0,0,G5/B$19)</f>
        <v>0.48717948717948717</v>
      </c>
      <c r="I5" s="60">
        <v>4</v>
      </c>
      <c r="K5" s="7">
        <v>3</v>
      </c>
      <c r="L5" s="65">
        <v>61.5</v>
      </c>
      <c r="N5" s="78" t="s">
        <v>131</v>
      </c>
      <c r="O5" s="84">
        <f t="shared" si="0"/>
        <v>-2719.3548387096776</v>
      </c>
      <c r="P5" s="81">
        <v>31</v>
      </c>
      <c r="Q5" s="68">
        <v>-84300</v>
      </c>
    </row>
    <row r="6" spans="1:17" x14ac:dyDescent="0.45">
      <c r="A6" s="21" t="s">
        <v>1</v>
      </c>
      <c r="B6" s="137">
        <f>IF(B$2=0,0,(B$7*1+B$8*2+B$9*3)/B$2)</f>
        <v>2.0789473684210527</v>
      </c>
      <c r="C6" s="138"/>
      <c r="E6" s="29" t="s">
        <v>68</v>
      </c>
      <c r="F6" s="26" t="s">
        <v>12</v>
      </c>
      <c r="G6" s="14">
        <v>21</v>
      </c>
      <c r="H6" s="92">
        <f>IF(B$19=0,0,G6/B$19)</f>
        <v>0.26923076923076922</v>
      </c>
      <c r="I6" s="60">
        <v>7</v>
      </c>
      <c r="K6" s="7">
        <v>4</v>
      </c>
      <c r="L6" s="65">
        <v>27.4</v>
      </c>
      <c r="N6" s="78" t="s">
        <v>132</v>
      </c>
      <c r="O6" s="84">
        <f t="shared" si="0"/>
        <v>1293.1034482758621</v>
      </c>
      <c r="P6" s="81">
        <v>29</v>
      </c>
      <c r="Q6" s="68">
        <v>37500</v>
      </c>
    </row>
    <row r="7" spans="1:17" x14ac:dyDescent="0.45">
      <c r="A7" s="21" t="s">
        <v>2</v>
      </c>
      <c r="B7" s="14">
        <v>14</v>
      </c>
      <c r="C7" s="8">
        <f t="shared" ref="C7:C14" si="1">IF(B$2=0,0,B7/B$2)</f>
        <v>0.36842105263157893</v>
      </c>
      <c r="E7" s="29" t="s">
        <v>67</v>
      </c>
      <c r="F7" s="26" t="s">
        <v>23</v>
      </c>
      <c r="G7" s="14">
        <v>18</v>
      </c>
      <c r="H7" s="92">
        <f>IF(B$19=0,0,G7/B$19)</f>
        <v>0.23076923076923078</v>
      </c>
      <c r="I7" s="60">
        <v>6</v>
      </c>
      <c r="K7" s="7">
        <v>5</v>
      </c>
      <c r="L7" s="65">
        <v>18</v>
      </c>
      <c r="N7" s="79" t="s">
        <v>133</v>
      </c>
      <c r="O7" s="85">
        <f t="shared" si="0"/>
        <v>3677.2727272727275</v>
      </c>
      <c r="P7" s="82">
        <v>22</v>
      </c>
      <c r="Q7" s="69">
        <v>80900</v>
      </c>
    </row>
    <row r="8" spans="1:17" x14ac:dyDescent="0.45">
      <c r="A8" s="21" t="s">
        <v>3</v>
      </c>
      <c r="B8" s="14">
        <v>7</v>
      </c>
      <c r="C8" s="8">
        <f t="shared" si="1"/>
        <v>0.18421052631578946</v>
      </c>
      <c r="E8" s="29" t="s">
        <v>89</v>
      </c>
      <c r="F8" s="26" t="s">
        <v>44</v>
      </c>
      <c r="G8" s="14">
        <v>11</v>
      </c>
      <c r="H8" s="92">
        <f>IF(B$19=0,0,G8/B$19)</f>
        <v>0.14102564102564102</v>
      </c>
      <c r="I8" s="60">
        <v>4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17</v>
      </c>
      <c r="C9" s="9">
        <f t="shared" si="1"/>
        <v>0.44736842105263158</v>
      </c>
      <c r="E9" s="29" t="s">
        <v>65</v>
      </c>
      <c r="F9" s="26" t="s">
        <v>21</v>
      </c>
      <c r="G9" s="14">
        <v>9</v>
      </c>
      <c r="H9" s="92">
        <f>IF(B$19=0,0,G9/B$19)</f>
        <v>0.11538461538461539</v>
      </c>
      <c r="I9" s="60">
        <v>5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41.664285714285725</v>
      </c>
      <c r="C10" s="114">
        <v>583.30000000000018</v>
      </c>
      <c r="E10" s="29" t="s">
        <v>70</v>
      </c>
      <c r="F10" s="26" t="s">
        <v>25</v>
      </c>
      <c r="G10" s="14">
        <v>8</v>
      </c>
      <c r="H10" s="92">
        <f>IF(B$19=0,0,G10/B$19)</f>
        <v>0.10256410256410256</v>
      </c>
      <c r="I10" s="60">
        <v>3</v>
      </c>
      <c r="K10" s="7">
        <v>8</v>
      </c>
      <c r="L10" s="65">
        <v>-9.9999999999999964</v>
      </c>
      <c r="N10" s="77" t="s">
        <v>152</v>
      </c>
      <c r="O10" s="86">
        <f>IF(P10=0,0,Q10/P10)</f>
        <v>-12.076923076923078</v>
      </c>
      <c r="P10" s="80">
        <v>13</v>
      </c>
      <c r="Q10" s="71">
        <v>-157.00000000000003</v>
      </c>
    </row>
    <row r="11" spans="1:17" x14ac:dyDescent="0.45">
      <c r="A11" s="22" t="s">
        <v>186</v>
      </c>
      <c r="B11" s="113">
        <f>IF(B8=0,0,C11/B8)</f>
        <v>-5.3857142857142861</v>
      </c>
      <c r="C11" s="114">
        <v>-37.700000000000003</v>
      </c>
      <c r="E11" s="29" t="s">
        <v>86</v>
      </c>
      <c r="F11" s="26" t="s">
        <v>41</v>
      </c>
      <c r="G11" s="14">
        <v>7</v>
      </c>
      <c r="H11" s="92">
        <f>IF(B$19=0,0,G11/B$19)</f>
        <v>8.9743589743589744E-2</v>
      </c>
      <c r="I11" s="60">
        <v>2</v>
      </c>
      <c r="K11" s="7">
        <v>9</v>
      </c>
      <c r="L11" s="65">
        <v>33.5</v>
      </c>
      <c r="N11" s="78" t="s">
        <v>153</v>
      </c>
      <c r="O11" s="87">
        <f>IF(P11=0,0,Q11/P11)</f>
        <v>7.5399999999999974</v>
      </c>
      <c r="P11" s="81">
        <v>10</v>
      </c>
      <c r="Q11" s="72">
        <v>75.399999999999977</v>
      </c>
    </row>
    <row r="12" spans="1:17" x14ac:dyDescent="0.45">
      <c r="A12" s="22" t="s">
        <v>187</v>
      </c>
      <c r="B12" s="113">
        <f>IF(B9=0,0,C12/B9)</f>
        <v>-41.523529411764699</v>
      </c>
      <c r="C12" s="114">
        <v>-705.89999999999986</v>
      </c>
      <c r="E12" s="29" t="s">
        <v>69</v>
      </c>
      <c r="F12" s="26" t="s">
        <v>24</v>
      </c>
      <c r="G12" s="14">
        <v>5</v>
      </c>
      <c r="H12" s="92">
        <f>IF(B$19=0,0,G12/B$19)</f>
        <v>6.4102564102564097E-2</v>
      </c>
      <c r="I12" s="60">
        <v>9</v>
      </c>
      <c r="K12" s="7">
        <v>10</v>
      </c>
      <c r="L12" s="65">
        <v>26</v>
      </c>
      <c r="N12" s="79" t="s">
        <v>154</v>
      </c>
      <c r="O12" s="88">
        <f>IF(P12=0,0,Q12/P12)</f>
        <v>-5.2466666666666661</v>
      </c>
      <c r="P12" s="82">
        <v>15</v>
      </c>
      <c r="Q12" s="73">
        <v>-78.699999999999989</v>
      </c>
    </row>
    <row r="13" spans="1:17" x14ac:dyDescent="0.45">
      <c r="A13" s="22" t="s">
        <v>188</v>
      </c>
      <c r="B13" s="123">
        <f>AVERAGE(B10:B12)</f>
        <v>-1.7483193277310864</v>
      </c>
      <c r="C13" s="124"/>
      <c r="E13" s="29" t="s">
        <v>91</v>
      </c>
      <c r="F13" s="26" t="s">
        <v>46</v>
      </c>
      <c r="G13" s="14">
        <v>5</v>
      </c>
      <c r="H13" s="92">
        <f>IF(B$19=0,0,G13/B$19)</f>
        <v>6.4102564102564097E-2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8</v>
      </c>
      <c r="C14" s="11">
        <f t="shared" si="1"/>
        <v>0.21052631578947367</v>
      </c>
      <c r="E14" s="29" t="s">
        <v>71</v>
      </c>
      <c r="F14" s="26" t="s">
        <v>26</v>
      </c>
      <c r="G14" s="14">
        <v>4</v>
      </c>
      <c r="H14" s="92">
        <f>IF(B$19=0,0,G14/B$19)</f>
        <v>5.128205128205128E-2</v>
      </c>
      <c r="I14" s="60">
        <v>7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86</v>
      </c>
      <c r="C15" s="12">
        <f>IF(B$3=0,0,B15/B$3)</f>
        <v>0.29054054054054052</v>
      </c>
      <c r="E15" s="29" t="s">
        <v>79</v>
      </c>
      <c r="F15" s="26" t="s">
        <v>34</v>
      </c>
      <c r="G15" s="14">
        <v>3</v>
      </c>
      <c r="H15" s="92">
        <f>IF(B$19=0,0,G15/B$19)</f>
        <v>3.8461538461538464E-2</v>
      </c>
      <c r="I15" s="60">
        <v>3</v>
      </c>
      <c r="K15" s="7">
        <v>13</v>
      </c>
      <c r="L15" s="65">
        <v>-33.5</v>
      </c>
      <c r="N15" s="77" t="s">
        <v>205</v>
      </c>
      <c r="O15" s="86">
        <f t="shared" ref="O15:O22" si="2">IF(P15=0,0,Q15/P15)</f>
        <v>29.925000000000001</v>
      </c>
      <c r="P15" s="80">
        <v>4</v>
      </c>
      <c r="Q15" s="71">
        <v>119.7</v>
      </c>
    </row>
    <row r="16" spans="1:17" x14ac:dyDescent="0.45">
      <c r="A16" s="21" t="s">
        <v>118</v>
      </c>
      <c r="B16" s="14">
        <v>64</v>
      </c>
      <c r="C16" s="8">
        <f>IF(B$3=0,0,B16/B$3)</f>
        <v>0.21621621621621623</v>
      </c>
      <c r="E16" s="29" t="s">
        <v>81</v>
      </c>
      <c r="F16" s="26" t="s">
        <v>36</v>
      </c>
      <c r="G16" s="14">
        <v>3</v>
      </c>
      <c r="H16" s="92">
        <f>IF(B$19=0,0,G16/B$19)</f>
        <v>3.8461538461538464E-2</v>
      </c>
      <c r="I16" s="60">
        <v>2</v>
      </c>
      <c r="K16" s="7">
        <v>14</v>
      </c>
      <c r="L16" s="65">
        <v>15.100000000000001</v>
      </c>
      <c r="N16" s="78" t="s">
        <v>189</v>
      </c>
      <c r="O16" s="87">
        <f t="shared" si="2"/>
        <v>26.674999999999997</v>
      </c>
      <c r="P16" s="81">
        <v>4</v>
      </c>
      <c r="Q16" s="72">
        <v>106.69999999999999</v>
      </c>
    </row>
    <row r="17" spans="1:17" x14ac:dyDescent="0.45">
      <c r="A17" s="20" t="s">
        <v>123</v>
      </c>
      <c r="B17" s="13">
        <f>B23</f>
        <v>37</v>
      </c>
      <c r="C17" s="6">
        <f>IF(B$15=0,0,B17/B$15)</f>
        <v>0.43023255813953487</v>
      </c>
      <c r="E17" s="29" t="s">
        <v>78</v>
      </c>
      <c r="F17" s="26" t="s">
        <v>33</v>
      </c>
      <c r="G17" s="14">
        <v>2</v>
      </c>
      <c r="H17" s="92">
        <f>IF(B$19=0,0,G17/B$19)</f>
        <v>2.564102564102564E-2</v>
      </c>
      <c r="I17" s="60">
        <v>7</v>
      </c>
      <c r="K17" s="7">
        <v>15</v>
      </c>
      <c r="L17" s="65">
        <v>-33.1</v>
      </c>
      <c r="N17" s="78" t="s">
        <v>213</v>
      </c>
      <c r="O17" s="87">
        <f t="shared" si="2"/>
        <v>9.1222222222222218</v>
      </c>
      <c r="P17" s="81">
        <v>9</v>
      </c>
      <c r="Q17" s="72">
        <v>82.1</v>
      </c>
    </row>
    <row r="18" spans="1:17" x14ac:dyDescent="0.45">
      <c r="A18" s="20" t="s">
        <v>124</v>
      </c>
      <c r="B18" s="13">
        <f>B24</f>
        <v>25</v>
      </c>
      <c r="C18" s="6">
        <f>IF(B$16=0,0,B18/B$16)</f>
        <v>0.390625</v>
      </c>
      <c r="E18" s="29" t="s">
        <v>83</v>
      </c>
      <c r="F18" s="26" t="s">
        <v>38</v>
      </c>
      <c r="G18" s="14">
        <v>2</v>
      </c>
      <c r="H18" s="92">
        <f>IF(B$19=0,0,G18/B$19)</f>
        <v>2.564102564102564E-2</v>
      </c>
      <c r="I18" s="60">
        <v>7</v>
      </c>
      <c r="K18" s="7">
        <v>16</v>
      </c>
      <c r="L18" s="65">
        <v>-10.8</v>
      </c>
      <c r="N18" s="78" t="s">
        <v>192</v>
      </c>
      <c r="O18" s="87">
        <f t="shared" si="2"/>
        <v>5.7499999999999982</v>
      </c>
      <c r="P18" s="81">
        <v>16</v>
      </c>
      <c r="Q18" s="72">
        <v>91.999999999999972</v>
      </c>
    </row>
    <row r="19" spans="1:17" x14ac:dyDescent="0.45">
      <c r="A19" s="20" t="s">
        <v>10</v>
      </c>
      <c r="B19" s="13">
        <f>B22+B21</f>
        <v>78</v>
      </c>
      <c r="C19" s="6">
        <f>IF(B$3=0,0,B19/B$3)</f>
        <v>0.26351351351351349</v>
      </c>
      <c r="E19" s="29" t="s">
        <v>92</v>
      </c>
      <c r="F19" s="26" t="s">
        <v>47</v>
      </c>
      <c r="G19" s="14">
        <v>2</v>
      </c>
      <c r="H19" s="92">
        <f>IF(B$19=0,0,G19/B$19)</f>
        <v>2.564102564102564E-2</v>
      </c>
      <c r="I19" s="60">
        <v>2</v>
      </c>
      <c r="K19" s="7">
        <v>17</v>
      </c>
      <c r="L19" s="65">
        <v>-32.900000000000006</v>
      </c>
      <c r="N19" s="78" t="s">
        <v>196</v>
      </c>
      <c r="O19" s="87">
        <f t="shared" si="2"/>
        <v>-0.29999999999999244</v>
      </c>
      <c r="P19" s="81">
        <v>3</v>
      </c>
      <c r="Q19" s="72">
        <v>-0.89999999999997726</v>
      </c>
    </row>
    <row r="20" spans="1:17" x14ac:dyDescent="0.45">
      <c r="A20" s="21" t="s">
        <v>13</v>
      </c>
      <c r="B20" s="14">
        <v>65</v>
      </c>
      <c r="C20" s="8">
        <f>IF(B$3=0,0,B20/B$3)</f>
        <v>0.2195945945945946</v>
      </c>
      <c r="E20" s="29" t="s">
        <v>75</v>
      </c>
      <c r="F20" s="26" t="s">
        <v>30</v>
      </c>
      <c r="G20" s="14">
        <v>1</v>
      </c>
      <c r="H20" s="92">
        <f>IF(B$19=0,0,G20/B$19)</f>
        <v>1.282051282051282E-2</v>
      </c>
      <c r="I20" s="60">
        <v>2</v>
      </c>
      <c r="K20" s="7">
        <v>18</v>
      </c>
      <c r="L20" s="65">
        <v>-69.300000000000011</v>
      </c>
      <c r="N20" s="78" t="s">
        <v>126</v>
      </c>
      <c r="O20" s="87">
        <f t="shared" si="2"/>
        <v>-15.628571428571421</v>
      </c>
      <c r="P20" s="81">
        <v>28</v>
      </c>
      <c r="Q20" s="72">
        <v>-437.5999999999998</v>
      </c>
    </row>
    <row r="21" spans="1:17" x14ac:dyDescent="0.45">
      <c r="A21" s="21" t="s">
        <v>12</v>
      </c>
      <c r="B21" s="14">
        <v>34</v>
      </c>
      <c r="C21" s="8">
        <f>IF(B$19=0,0,B21/B$19)</f>
        <v>0.4358974358974359</v>
      </c>
      <c r="E21" s="29" t="s">
        <v>97</v>
      </c>
      <c r="F21" s="26" t="s">
        <v>52</v>
      </c>
      <c r="G21" s="14">
        <v>1</v>
      </c>
      <c r="H21" s="92">
        <f>IF(B$19=0,0,G21/B$19)</f>
        <v>1.282051282051282E-2</v>
      </c>
      <c r="I21" s="60">
        <v>1</v>
      </c>
      <c r="K21" s="7">
        <v>19</v>
      </c>
      <c r="L21" s="65">
        <v>-44.500000000000014</v>
      </c>
      <c r="N21" s="78" t="s">
        <v>193</v>
      </c>
      <c r="O21" s="87">
        <f t="shared" si="2"/>
        <v>-33.971428571428568</v>
      </c>
      <c r="P21" s="81">
        <v>7</v>
      </c>
      <c r="Q21" s="72">
        <v>-237.79999999999998</v>
      </c>
    </row>
    <row r="22" spans="1:17" x14ac:dyDescent="0.45">
      <c r="A22" s="21" t="s">
        <v>11</v>
      </c>
      <c r="B22" s="14">
        <v>44</v>
      </c>
      <c r="C22" s="8">
        <f>IF(B$19=0,0,B22/B$19)</f>
        <v>0.5641025641025641</v>
      </c>
      <c r="E22" s="29" t="s">
        <v>156</v>
      </c>
      <c r="F22" s="26" t="s">
        <v>157</v>
      </c>
      <c r="G22" s="14">
        <v>1</v>
      </c>
      <c r="H22" s="92">
        <f>IF(B$19=0,0,G22/B$19)</f>
        <v>1.282051282051282E-2</v>
      </c>
      <c r="I22" s="60">
        <v>4</v>
      </c>
      <c r="K22" s="7">
        <v>20</v>
      </c>
      <c r="L22" s="65">
        <v>-72.000000000000014</v>
      </c>
      <c r="N22" s="78" t="s">
        <v>194</v>
      </c>
      <c r="O22" s="87">
        <f t="shared" si="2"/>
        <v>-41.02</v>
      </c>
      <c r="P22" s="81">
        <v>5</v>
      </c>
      <c r="Q22" s="72">
        <v>-205.10000000000002</v>
      </c>
    </row>
    <row r="23" spans="1:17" x14ac:dyDescent="0.45">
      <c r="A23" s="21" t="s">
        <v>184</v>
      </c>
      <c r="B23" s="14">
        <v>37</v>
      </c>
      <c r="C23" s="8">
        <f>IF(B$19=0,0,B23/B$19)</f>
        <v>0.47435897435897434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25</v>
      </c>
      <c r="C24" s="8">
        <f>IF(B$19=0,0,B24/B$19)</f>
        <v>0.32051282051282054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16</v>
      </c>
      <c r="C25" s="8">
        <f>IF(B$19=0,0,B25/B$19)</f>
        <v>0.20512820512820512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10479.48717948718</v>
      </c>
      <c r="C26" s="10">
        <v>817400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11422.641509433963</v>
      </c>
      <c r="C27" s="100">
        <v>605400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8480</v>
      </c>
      <c r="C28" s="100">
        <v>212000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-8253.8461538461543</v>
      </c>
      <c r="C29" s="100">
        <v>-536500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20</v>
      </c>
      <c r="C31" s="94">
        <v>1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6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1</v>
      </c>
      <c r="C34" s="11">
        <f>IF(B$3=0,0,B34/B$3)</f>
        <v>3.3783783783783786E-3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2</v>
      </c>
      <c r="C36" s="102">
        <f t="shared" ref="C36:C48" si="3">IF(B$19=0,0,B36/B$19)</f>
        <v>2.564102564102564E-2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12</v>
      </c>
      <c r="C37" s="8">
        <f t="shared" si="3"/>
        <v>0.15384615384615385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5</v>
      </c>
      <c r="C38" s="8">
        <f t="shared" si="3"/>
        <v>6.4102564102564097E-2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20</v>
      </c>
      <c r="C39" s="8">
        <f t="shared" si="3"/>
        <v>0.25641025641025639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16</v>
      </c>
      <c r="C40" s="8">
        <f t="shared" si="3"/>
        <v>0.20512820512820512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7</v>
      </c>
      <c r="C41" s="8">
        <f t="shared" si="3"/>
        <v>8.9743589743589744E-2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5">
      <c r="A42" s="21" t="s">
        <v>174</v>
      </c>
      <c r="B42" s="122">
        <v>8</v>
      </c>
      <c r="C42" s="8">
        <f t="shared" si="3"/>
        <v>0.10256410256410256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12" x14ac:dyDescent="0.45">
      <c r="A43" s="21" t="s">
        <v>175</v>
      </c>
      <c r="B43" s="122">
        <v>3</v>
      </c>
      <c r="C43" s="8">
        <f t="shared" si="3"/>
        <v>3.8461538461538464E-2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3"/>
        <v>1.282051282051282E-2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0</v>
      </c>
      <c r="C45" s="8">
        <f t="shared" si="3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1</v>
      </c>
      <c r="C47" s="8">
        <f t="shared" si="3"/>
        <v>1.282051282051282E-2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3</v>
      </c>
      <c r="C48" s="11">
        <f t="shared" si="3"/>
        <v>3.8461538461538464E-2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4F0F-E2E4-4296-A85D-5D9CA8D53836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8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9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6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1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9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92668-9C47-448B-932A-92682CA73ED9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50</v>
      </c>
      <c r="C2" s="132"/>
      <c r="E2" s="28" t="s">
        <v>66</v>
      </c>
      <c r="F2" s="25" t="s">
        <v>22</v>
      </c>
      <c r="G2" s="13">
        <v>89</v>
      </c>
      <c r="H2" s="91">
        <f>IF(B$19=0,0,G2/B$19)</f>
        <v>0.67938931297709926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102</v>
      </c>
      <c r="P2" s="80">
        <v>50</v>
      </c>
      <c r="Q2" s="67">
        <v>5100</v>
      </c>
    </row>
    <row r="3" spans="1:17" x14ac:dyDescent="0.45">
      <c r="A3" s="21" t="s">
        <v>8</v>
      </c>
      <c r="B3" s="133">
        <v>382</v>
      </c>
      <c r="C3" s="134"/>
      <c r="E3" s="29" t="s">
        <v>160</v>
      </c>
      <c r="F3" s="26" t="s">
        <v>161</v>
      </c>
      <c r="G3" s="14">
        <v>62</v>
      </c>
      <c r="H3" s="92">
        <f>IF(B$19=0,0,G3/B$19)</f>
        <v>0.47328244274809161</v>
      </c>
      <c r="I3" s="60">
        <v>3</v>
      </c>
      <c r="K3" s="7">
        <v>1</v>
      </c>
      <c r="L3" s="65">
        <v>39.200000000000003</v>
      </c>
      <c r="N3" s="78" t="s">
        <v>129</v>
      </c>
      <c r="O3" s="84">
        <f t="shared" si="0"/>
        <v>4112.2448979591836</v>
      </c>
      <c r="P3" s="81">
        <v>49</v>
      </c>
      <c r="Q3" s="68">
        <v>201500</v>
      </c>
    </row>
    <row r="4" spans="1:17" x14ac:dyDescent="0.45">
      <c r="A4" s="21" t="s">
        <v>6</v>
      </c>
      <c r="B4" s="135">
        <v>689.90000000000009</v>
      </c>
      <c r="C4" s="136"/>
      <c r="E4" s="29" t="s">
        <v>72</v>
      </c>
      <c r="F4" s="26" t="s">
        <v>27</v>
      </c>
      <c r="G4" s="14">
        <v>58</v>
      </c>
      <c r="H4" s="92">
        <f>IF(B$19=0,0,G4/B$19)</f>
        <v>0.44274809160305345</v>
      </c>
      <c r="I4" s="60">
        <v>8</v>
      </c>
      <c r="K4" s="7">
        <v>2</v>
      </c>
      <c r="L4" s="65">
        <v>99.6</v>
      </c>
      <c r="N4" s="78" t="s">
        <v>130</v>
      </c>
      <c r="O4" s="84">
        <f t="shared" si="0"/>
        <v>4950</v>
      </c>
      <c r="P4" s="81">
        <v>46</v>
      </c>
      <c r="Q4" s="68">
        <v>227700</v>
      </c>
    </row>
    <row r="5" spans="1:17" x14ac:dyDescent="0.45">
      <c r="A5" s="21" t="s">
        <v>7</v>
      </c>
      <c r="B5" s="123">
        <f>IF(B$2=0,0,B$4/B$2)</f>
        <v>13.798000000000002</v>
      </c>
      <c r="C5" s="124"/>
      <c r="E5" s="29" t="s">
        <v>64</v>
      </c>
      <c r="F5" s="26" t="s">
        <v>20</v>
      </c>
      <c r="G5" s="14">
        <v>57</v>
      </c>
      <c r="H5" s="92">
        <f>IF(B$19=0,0,G5/B$19)</f>
        <v>0.4351145038167939</v>
      </c>
      <c r="I5" s="60">
        <v>8</v>
      </c>
      <c r="K5" s="7">
        <v>3</v>
      </c>
      <c r="L5" s="65">
        <v>98.1</v>
      </c>
      <c r="N5" s="78" t="s">
        <v>131</v>
      </c>
      <c r="O5" s="84">
        <f t="shared" si="0"/>
        <v>3382.5</v>
      </c>
      <c r="P5" s="81">
        <v>40</v>
      </c>
      <c r="Q5" s="68">
        <v>135300</v>
      </c>
    </row>
    <row r="6" spans="1:17" x14ac:dyDescent="0.45">
      <c r="A6" s="21" t="s">
        <v>1</v>
      </c>
      <c r="B6" s="137">
        <f>IF(B$2=0,0,(B$7*1+B$8*2+B$9*3)/B$2)</f>
        <v>1.72</v>
      </c>
      <c r="C6" s="138"/>
      <c r="E6" s="29" t="s">
        <v>68</v>
      </c>
      <c r="F6" s="26" t="s">
        <v>12</v>
      </c>
      <c r="G6" s="14">
        <v>51</v>
      </c>
      <c r="H6" s="92">
        <f>IF(B$19=0,0,G6/B$19)</f>
        <v>0.38931297709923662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-1788.8888888888889</v>
      </c>
      <c r="P6" s="81">
        <v>36</v>
      </c>
      <c r="Q6" s="68">
        <v>-64400</v>
      </c>
    </row>
    <row r="7" spans="1:17" x14ac:dyDescent="0.45">
      <c r="A7" s="21" t="s">
        <v>2</v>
      </c>
      <c r="B7" s="14">
        <v>23</v>
      </c>
      <c r="C7" s="8">
        <f t="shared" ref="C7:C14" si="1">IF(B$2=0,0,B7/B$2)</f>
        <v>0.46</v>
      </c>
      <c r="E7" s="29" t="s">
        <v>67</v>
      </c>
      <c r="F7" s="26" t="s">
        <v>23</v>
      </c>
      <c r="G7" s="14">
        <v>29</v>
      </c>
      <c r="H7" s="92">
        <f>IF(B$19=0,0,G7/B$19)</f>
        <v>0.22137404580152673</v>
      </c>
      <c r="I7" s="60">
        <v>7</v>
      </c>
      <c r="K7" s="7">
        <v>5</v>
      </c>
      <c r="L7" s="65">
        <v>143.1</v>
      </c>
      <c r="N7" s="79" t="s">
        <v>133</v>
      </c>
      <c r="O7" s="85">
        <f t="shared" si="0"/>
        <v>1244.8275862068965</v>
      </c>
      <c r="P7" s="82">
        <v>29</v>
      </c>
      <c r="Q7" s="69">
        <v>36100</v>
      </c>
    </row>
    <row r="8" spans="1:17" x14ac:dyDescent="0.45">
      <c r="A8" s="21" t="s">
        <v>3</v>
      </c>
      <c r="B8" s="14">
        <v>18</v>
      </c>
      <c r="C8" s="8">
        <f t="shared" si="1"/>
        <v>0.36</v>
      </c>
      <c r="E8" s="29" t="s">
        <v>69</v>
      </c>
      <c r="F8" s="26" t="s">
        <v>24</v>
      </c>
      <c r="G8" s="14">
        <v>24</v>
      </c>
      <c r="H8" s="92">
        <f>IF(B$19=0,0,G8/B$19)</f>
        <v>0.18320610687022901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9</v>
      </c>
      <c r="C9" s="9">
        <f t="shared" si="1"/>
        <v>0.18</v>
      </c>
      <c r="E9" s="29" t="s">
        <v>89</v>
      </c>
      <c r="F9" s="26" t="s">
        <v>44</v>
      </c>
      <c r="G9" s="14">
        <v>22</v>
      </c>
      <c r="H9" s="92">
        <f>IF(B$19=0,0,G9/B$19)</f>
        <v>0.16793893129770993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45.013043478260869</v>
      </c>
      <c r="C10" s="114">
        <v>1035.3</v>
      </c>
      <c r="E10" s="29" t="s">
        <v>65</v>
      </c>
      <c r="F10" s="26" t="s">
        <v>21</v>
      </c>
      <c r="G10" s="14">
        <v>13</v>
      </c>
      <c r="H10" s="92">
        <f>IF(B$19=0,0,G10/B$19)</f>
        <v>9.9236641221374045E-2</v>
      </c>
      <c r="I10" s="60">
        <v>8</v>
      </c>
      <c r="K10" s="7">
        <v>8</v>
      </c>
      <c r="L10" s="65">
        <v>132.6</v>
      </c>
      <c r="N10" s="77" t="s">
        <v>152</v>
      </c>
      <c r="O10" s="86">
        <f>IF(P10=0,0,Q10/P10)</f>
        <v>-0.29333333333333322</v>
      </c>
      <c r="P10" s="80">
        <v>15</v>
      </c>
      <c r="Q10" s="71">
        <v>-4.3999999999999986</v>
      </c>
    </row>
    <row r="11" spans="1:17" x14ac:dyDescent="0.45">
      <c r="A11" s="22" t="s">
        <v>186</v>
      </c>
      <c r="B11" s="113">
        <f>IF(B8=0,0,C11/B8)</f>
        <v>0.35555555555555562</v>
      </c>
      <c r="C11" s="114">
        <v>6.4000000000000012</v>
      </c>
      <c r="E11" s="29" t="s">
        <v>71</v>
      </c>
      <c r="F11" s="26" t="s">
        <v>26</v>
      </c>
      <c r="G11" s="14">
        <v>13</v>
      </c>
      <c r="H11" s="92">
        <f>IF(B$19=0,0,G11/B$19)</f>
        <v>9.9236641221374045E-2</v>
      </c>
      <c r="I11" s="60">
        <v>4</v>
      </c>
      <c r="K11" s="7">
        <v>9</v>
      </c>
      <c r="L11" s="65">
        <v>151.29999999999998</v>
      </c>
      <c r="N11" s="78" t="s">
        <v>153</v>
      </c>
      <c r="O11" s="87">
        <f>IF(P11=0,0,Q11/P11)</f>
        <v>18.682352941176468</v>
      </c>
      <c r="P11" s="81">
        <v>17</v>
      </c>
      <c r="Q11" s="72">
        <v>317.59999999999997</v>
      </c>
    </row>
    <row r="12" spans="1:17" x14ac:dyDescent="0.45">
      <c r="A12" s="22" t="s">
        <v>187</v>
      </c>
      <c r="B12" s="113">
        <f>IF(B9=0,0,C12/B9)</f>
        <v>-39.088888888888889</v>
      </c>
      <c r="C12" s="114">
        <v>-351.8</v>
      </c>
      <c r="E12" s="29" t="s">
        <v>70</v>
      </c>
      <c r="F12" s="26" t="s">
        <v>25</v>
      </c>
      <c r="G12" s="14">
        <v>10</v>
      </c>
      <c r="H12" s="92">
        <f>IF(B$19=0,0,G12/B$19)</f>
        <v>7.6335877862595422E-2</v>
      </c>
      <c r="I12" s="60">
        <v>4</v>
      </c>
      <c r="K12" s="7">
        <v>10</v>
      </c>
      <c r="L12" s="65">
        <v>229</v>
      </c>
      <c r="N12" s="79" t="s">
        <v>154</v>
      </c>
      <c r="O12" s="88">
        <f>IF(P12=0,0,Q12/P12)</f>
        <v>20.927777777777784</v>
      </c>
      <c r="P12" s="82">
        <v>18</v>
      </c>
      <c r="Q12" s="73">
        <v>376.7000000000001</v>
      </c>
    </row>
    <row r="13" spans="1:17" x14ac:dyDescent="0.45">
      <c r="A13" s="22" t="s">
        <v>188</v>
      </c>
      <c r="B13" s="123">
        <f>AVERAGE(B10:B12)</f>
        <v>2.0932367149758448</v>
      </c>
      <c r="C13" s="124"/>
      <c r="E13" s="29" t="s">
        <v>86</v>
      </c>
      <c r="F13" s="26" t="s">
        <v>41</v>
      </c>
      <c r="G13" s="14">
        <v>10</v>
      </c>
      <c r="H13" s="92">
        <f>IF(B$19=0,0,G13/B$19)</f>
        <v>7.6335877862595422E-2</v>
      </c>
      <c r="I13" s="60">
        <v>4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0.04</v>
      </c>
      <c r="E14" s="29" t="s">
        <v>83</v>
      </c>
      <c r="F14" s="26" t="s">
        <v>38</v>
      </c>
      <c r="G14" s="14">
        <v>7</v>
      </c>
      <c r="H14" s="92">
        <f>IF(B$19=0,0,G14/B$19)</f>
        <v>5.3435114503816793E-2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102</v>
      </c>
      <c r="C15" s="12">
        <f>IF(B$3=0,0,B15/B$3)</f>
        <v>0.26701570680628273</v>
      </c>
      <c r="E15" s="29" t="s">
        <v>156</v>
      </c>
      <c r="F15" s="26" t="s">
        <v>157</v>
      </c>
      <c r="G15" s="14">
        <v>4</v>
      </c>
      <c r="H15" s="92">
        <f>IF(B$19=0,0,G15/B$19)</f>
        <v>3.0534351145038167E-2</v>
      </c>
      <c r="I15" s="60">
        <v>1</v>
      </c>
      <c r="K15" s="7">
        <v>13</v>
      </c>
      <c r="L15" s="65">
        <v>197</v>
      </c>
      <c r="N15" s="77" t="s">
        <v>196</v>
      </c>
      <c r="O15" s="86">
        <f>IF(P15=0,0,Q15/P15)</f>
        <v>34.9</v>
      </c>
      <c r="P15" s="80">
        <v>2</v>
      </c>
      <c r="Q15" s="71">
        <v>69.8</v>
      </c>
    </row>
    <row r="16" spans="1:17" x14ac:dyDescent="0.45">
      <c r="A16" s="21" t="s">
        <v>118</v>
      </c>
      <c r="B16" s="14">
        <v>65</v>
      </c>
      <c r="C16" s="8">
        <f>IF(B$3=0,0,B16/B$3)</f>
        <v>0.17015706806282724</v>
      </c>
      <c r="E16" s="29" t="s">
        <v>92</v>
      </c>
      <c r="F16" s="26" t="s">
        <v>47</v>
      </c>
      <c r="G16" s="14">
        <v>3</v>
      </c>
      <c r="H16" s="92">
        <f>IF(B$19=0,0,G16/B$19)</f>
        <v>2.2900763358778626E-2</v>
      </c>
      <c r="I16" s="60">
        <v>3</v>
      </c>
      <c r="K16" s="7">
        <v>14</v>
      </c>
      <c r="L16" s="65">
        <v>249.2</v>
      </c>
      <c r="N16" s="78" t="s">
        <v>189</v>
      </c>
      <c r="O16" s="87">
        <f>IF(P16=0,0,Q16/P16)</f>
        <v>29.983333333333331</v>
      </c>
      <c r="P16" s="81">
        <v>6</v>
      </c>
      <c r="Q16" s="72">
        <v>179.89999999999998</v>
      </c>
    </row>
    <row r="17" spans="1:17" x14ac:dyDescent="0.45">
      <c r="A17" s="20" t="s">
        <v>123</v>
      </c>
      <c r="B17" s="13">
        <f>B23</f>
        <v>63</v>
      </c>
      <c r="C17" s="6">
        <f>IF(B$15=0,0,B17/B$15)</f>
        <v>0.61764705882352944</v>
      </c>
      <c r="E17" s="29" t="s">
        <v>78</v>
      </c>
      <c r="F17" s="26" t="s">
        <v>33</v>
      </c>
      <c r="G17" s="14">
        <v>2</v>
      </c>
      <c r="H17" s="92">
        <f>IF(B$19=0,0,G17/B$19)</f>
        <v>1.5267175572519083E-2</v>
      </c>
      <c r="I17" s="60">
        <v>8</v>
      </c>
      <c r="K17" s="7">
        <v>15</v>
      </c>
      <c r="L17" s="65">
        <v>213.5</v>
      </c>
      <c r="N17" s="78" t="s">
        <v>194</v>
      </c>
      <c r="O17" s="87">
        <f>IF(P17=0,0,Q17/P17)</f>
        <v>28.627272727272736</v>
      </c>
      <c r="P17" s="81">
        <v>11</v>
      </c>
      <c r="Q17" s="72">
        <v>314.90000000000009</v>
      </c>
    </row>
    <row r="18" spans="1:17" x14ac:dyDescent="0.45">
      <c r="A18" s="20" t="s">
        <v>124</v>
      </c>
      <c r="B18" s="13">
        <f>B24</f>
        <v>34</v>
      </c>
      <c r="C18" s="6">
        <f>IF(B$16=0,0,B18/B$16)</f>
        <v>0.52307692307692311</v>
      </c>
      <c r="E18" s="29" t="s">
        <v>79</v>
      </c>
      <c r="F18" s="26" t="s">
        <v>34</v>
      </c>
      <c r="G18" s="14">
        <v>2</v>
      </c>
      <c r="H18" s="92">
        <f>IF(B$19=0,0,G18/B$19)</f>
        <v>1.5267175572519083E-2</v>
      </c>
      <c r="I18" s="60">
        <v>5</v>
      </c>
      <c r="K18" s="7">
        <v>16</v>
      </c>
      <c r="L18" s="65">
        <v>273.8</v>
      </c>
      <c r="N18" s="78" t="s">
        <v>192</v>
      </c>
      <c r="O18" s="87">
        <f>IF(P18=0,0,Q18/P18)</f>
        <v>25.471428571428575</v>
      </c>
      <c r="P18" s="81">
        <v>21</v>
      </c>
      <c r="Q18" s="72">
        <v>534.90000000000009</v>
      </c>
    </row>
    <row r="19" spans="1:17" x14ac:dyDescent="0.45">
      <c r="A19" s="20" t="s">
        <v>10</v>
      </c>
      <c r="B19" s="13">
        <f>B22+B21</f>
        <v>131</v>
      </c>
      <c r="C19" s="6">
        <f>IF(B$3=0,0,B19/B$3)</f>
        <v>0.34293193717277487</v>
      </c>
      <c r="E19" s="29" t="s">
        <v>81</v>
      </c>
      <c r="F19" s="26" t="s">
        <v>36</v>
      </c>
      <c r="G19" s="14">
        <v>2</v>
      </c>
      <c r="H19" s="92">
        <f>IF(B$19=0,0,G19/B$19)</f>
        <v>1.5267175572519083E-2</v>
      </c>
      <c r="I19" s="60">
        <v>5</v>
      </c>
      <c r="K19" s="7">
        <v>17</v>
      </c>
      <c r="L19" s="65">
        <v>242.8</v>
      </c>
      <c r="N19" s="78" t="s">
        <v>193</v>
      </c>
      <c r="O19" s="87">
        <f>IF(P19=0,0,Q19/P19)</f>
        <v>21.374999999999996</v>
      </c>
      <c r="P19" s="81">
        <v>12</v>
      </c>
      <c r="Q19" s="72">
        <v>256.49999999999994</v>
      </c>
    </row>
    <row r="20" spans="1:17" x14ac:dyDescent="0.45">
      <c r="A20" s="21" t="s">
        <v>13</v>
      </c>
      <c r="B20" s="14">
        <v>47</v>
      </c>
      <c r="C20" s="8">
        <f>IF(B$3=0,0,B20/B$3)</f>
        <v>0.12303664921465969</v>
      </c>
      <c r="E20" s="29" t="s">
        <v>91</v>
      </c>
      <c r="F20" s="26" t="s">
        <v>46</v>
      </c>
      <c r="G20" s="14">
        <v>2</v>
      </c>
      <c r="H20" s="92">
        <f>IF(B$19=0,0,G20/B$19)</f>
        <v>1.5267175572519083E-2</v>
      </c>
      <c r="I20" s="60">
        <v>4</v>
      </c>
      <c r="K20" s="7">
        <v>18</v>
      </c>
      <c r="L20" s="65">
        <v>280</v>
      </c>
      <c r="N20" s="78" t="s">
        <v>205</v>
      </c>
      <c r="O20" s="87">
        <f>IF(P20=0,0,Q20/P20)</f>
        <v>21.218181818181815</v>
      </c>
      <c r="P20" s="81">
        <v>11</v>
      </c>
      <c r="Q20" s="72">
        <v>233.39999999999998</v>
      </c>
    </row>
    <row r="21" spans="1:17" x14ac:dyDescent="0.45">
      <c r="A21" s="21" t="s">
        <v>12</v>
      </c>
      <c r="B21" s="14">
        <v>68</v>
      </c>
      <c r="C21" s="8">
        <f>IF(B$19=0,0,B21/B$19)</f>
        <v>0.51908396946564883</v>
      </c>
      <c r="E21" s="29" t="s">
        <v>93</v>
      </c>
      <c r="F21" s="26" t="s">
        <v>48</v>
      </c>
      <c r="G21" s="14">
        <v>2</v>
      </c>
      <c r="H21" s="92">
        <f>IF(B$19=0,0,G21/B$19)</f>
        <v>1.5267175572519083E-2</v>
      </c>
      <c r="I21" s="60">
        <v>1</v>
      </c>
      <c r="K21" s="7">
        <v>19</v>
      </c>
      <c r="L21" s="65">
        <v>281.5</v>
      </c>
      <c r="N21" s="78" t="s">
        <v>164</v>
      </c>
      <c r="O21" s="87">
        <f>IF(P21=0,0,Q21/P21)</f>
        <v>15.628571428571425</v>
      </c>
      <c r="P21" s="81">
        <v>28</v>
      </c>
      <c r="Q21" s="72">
        <v>437.59999999999991</v>
      </c>
    </row>
    <row r="22" spans="1:17" x14ac:dyDescent="0.45">
      <c r="A22" s="21" t="s">
        <v>11</v>
      </c>
      <c r="B22" s="14">
        <v>63</v>
      </c>
      <c r="C22" s="8">
        <f>IF(B$19=0,0,B22/B$19)</f>
        <v>0.48091603053435117</v>
      </c>
      <c r="E22" s="29" t="s">
        <v>73</v>
      </c>
      <c r="F22" s="26" t="s">
        <v>28</v>
      </c>
      <c r="G22" s="14">
        <v>1</v>
      </c>
      <c r="H22" s="92">
        <f>IF(B$19=0,0,G22/B$19)</f>
        <v>7.6335877862595417E-3</v>
      </c>
      <c r="I22" s="60">
        <v>2</v>
      </c>
      <c r="K22" s="7">
        <v>20</v>
      </c>
      <c r="L22" s="65">
        <v>287.2</v>
      </c>
      <c r="N22" s="78" t="s">
        <v>213</v>
      </c>
      <c r="O22" s="87">
        <f>IF(P22=0,0,Q22/P22)</f>
        <v>4.7444444444444436</v>
      </c>
      <c r="P22" s="81">
        <v>9</v>
      </c>
      <c r="Q22" s="72">
        <v>42.699999999999989</v>
      </c>
    </row>
    <row r="23" spans="1:17" x14ac:dyDescent="0.45">
      <c r="A23" s="21" t="s">
        <v>184</v>
      </c>
      <c r="B23" s="14">
        <v>63</v>
      </c>
      <c r="C23" s="8">
        <f>IF(B$19=0,0,B23/B$19)</f>
        <v>0.48091603053435117</v>
      </c>
      <c r="E23" s="29" t="s">
        <v>84</v>
      </c>
      <c r="F23" s="26" t="s">
        <v>39</v>
      </c>
      <c r="G23" s="14">
        <v>1</v>
      </c>
      <c r="H23" s="92">
        <f>IF(B$19=0,0,G23/B$19)</f>
        <v>7.6335877862595417E-3</v>
      </c>
      <c r="I23" s="60">
        <v>1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34</v>
      </c>
      <c r="C24" s="8">
        <f>IF(B$19=0,0,B24/B$19)</f>
        <v>0.25954198473282442</v>
      </c>
      <c r="E24" s="29" t="s">
        <v>87</v>
      </c>
      <c r="F24" s="26" t="s">
        <v>42</v>
      </c>
      <c r="G24" s="14">
        <v>1</v>
      </c>
      <c r="H24" s="92">
        <f>IF(B$19=0,0,G24/B$19)</f>
        <v>7.6335877862595417E-3</v>
      </c>
      <c r="I24" s="60">
        <v>2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34</v>
      </c>
      <c r="C25" s="8">
        <f>IF(B$19=0,0,B25/B$19)</f>
        <v>0.25954198473282442</v>
      </c>
      <c r="E25" s="29" t="s">
        <v>95</v>
      </c>
      <c r="F25" s="26" t="s">
        <v>50</v>
      </c>
      <c r="G25" s="14">
        <v>1</v>
      </c>
      <c r="H25" s="92">
        <f>IF(B$19=0,0,G25/B$19)</f>
        <v>7.6335877862595417E-3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9916.0305343511445</v>
      </c>
      <c r="C26" s="10">
        <v>1299000</v>
      </c>
      <c r="E26" s="29" t="s">
        <v>74</v>
      </c>
      <c r="F26" s="26" t="s">
        <v>29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10155.670103092783</v>
      </c>
      <c r="C27" s="100">
        <v>985100</v>
      </c>
      <c r="E27" s="29" t="s">
        <v>75</v>
      </c>
      <c r="F27" s="26" t="s">
        <v>30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9232.3529411764703</v>
      </c>
      <c r="C28" s="100">
        <v>313900</v>
      </c>
      <c r="E28" s="29" t="s">
        <v>76</v>
      </c>
      <c r="F28" s="26" t="s">
        <v>31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-8495.7446808510631</v>
      </c>
      <c r="C29" s="100">
        <v>-399300</v>
      </c>
      <c r="E29" s="29" t="s">
        <v>77</v>
      </c>
      <c r="F29" s="26" t="s">
        <v>32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1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5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583.00000000000011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7</v>
      </c>
      <c r="C36" s="102">
        <f t="shared" ref="C36:C48" si="2">IF(B$19=0,0,B36/B$19)</f>
        <v>5.3435114503816793E-2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20</v>
      </c>
      <c r="C37" s="8">
        <f t="shared" si="2"/>
        <v>0.15267175572519084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19</v>
      </c>
      <c r="C38" s="8">
        <f t="shared" si="2"/>
        <v>0.14503816793893129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27</v>
      </c>
      <c r="C39" s="8">
        <f t="shared" si="2"/>
        <v>0.20610687022900764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27</v>
      </c>
      <c r="C40" s="8">
        <f t="shared" si="2"/>
        <v>0.20610687022900764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10</v>
      </c>
      <c r="C41" s="8">
        <f t="shared" si="2"/>
        <v>7.6335877862595422E-2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6</v>
      </c>
      <c r="C42" s="8">
        <f t="shared" si="2"/>
        <v>4.5801526717557252E-2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3</v>
      </c>
      <c r="C43" s="8">
        <f t="shared" si="2"/>
        <v>2.2900763358778626E-2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4</v>
      </c>
      <c r="C44" s="8">
        <f t="shared" si="2"/>
        <v>3.0534351145038167E-2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2</v>
      </c>
      <c r="C45" s="8">
        <f t="shared" si="2"/>
        <v>1.5267175572519083E-2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6</v>
      </c>
      <c r="C48" s="11">
        <f t="shared" si="2"/>
        <v>4.5801526717557252E-2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A8B83-181D-4514-89CF-E448BF8F5106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19</v>
      </c>
      <c r="C2" s="132"/>
      <c r="E2" s="28" t="s">
        <v>66</v>
      </c>
      <c r="F2" s="25" t="s">
        <v>22</v>
      </c>
      <c r="G2" s="13">
        <v>24</v>
      </c>
      <c r="H2" s="91">
        <f>IF(B$19=0,0,G2/B$19)</f>
        <v>0.70588235294117652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-3536.8421052631579</v>
      </c>
      <c r="P2" s="80">
        <v>19</v>
      </c>
      <c r="Q2" s="67">
        <v>-67200</v>
      </c>
    </row>
    <row r="3" spans="1:17" x14ac:dyDescent="0.45">
      <c r="A3" s="21" t="s">
        <v>8</v>
      </c>
      <c r="B3" s="133">
        <v>130</v>
      </c>
      <c r="C3" s="134"/>
      <c r="E3" s="29" t="s">
        <v>64</v>
      </c>
      <c r="F3" s="26" t="s">
        <v>20</v>
      </c>
      <c r="G3" s="14">
        <v>15</v>
      </c>
      <c r="H3" s="92">
        <f>IF(B$19=0,0,G3/B$19)</f>
        <v>0.44117647058823528</v>
      </c>
      <c r="I3" s="60">
        <v>7</v>
      </c>
      <c r="K3" s="7">
        <v>1</v>
      </c>
      <c r="L3" s="65">
        <v>-55.5</v>
      </c>
      <c r="N3" s="78" t="s">
        <v>129</v>
      </c>
      <c r="O3" s="84">
        <f t="shared" si="0"/>
        <v>311.11111111111109</v>
      </c>
      <c r="P3" s="81">
        <v>18</v>
      </c>
      <c r="Q3" s="68">
        <v>5600</v>
      </c>
    </row>
    <row r="4" spans="1:17" x14ac:dyDescent="0.45">
      <c r="A4" s="21" t="s">
        <v>6</v>
      </c>
      <c r="B4" s="135">
        <v>-167.29999999999995</v>
      </c>
      <c r="C4" s="136"/>
      <c r="E4" s="29" t="s">
        <v>72</v>
      </c>
      <c r="F4" s="26" t="s">
        <v>27</v>
      </c>
      <c r="G4" s="14">
        <v>15</v>
      </c>
      <c r="H4" s="92">
        <f>IF(B$19=0,0,G4/B$19)</f>
        <v>0.44117647058823528</v>
      </c>
      <c r="I4" s="60">
        <v>9</v>
      </c>
      <c r="K4" s="7">
        <v>2</v>
      </c>
      <c r="L4" s="65">
        <v>-106.5</v>
      </c>
      <c r="N4" s="78" t="s">
        <v>130</v>
      </c>
      <c r="O4" s="84">
        <f t="shared" si="0"/>
        <v>-4556.25</v>
      </c>
      <c r="P4" s="81">
        <v>16</v>
      </c>
      <c r="Q4" s="68">
        <v>-72900</v>
      </c>
    </row>
    <row r="5" spans="1:17" x14ac:dyDescent="0.45">
      <c r="A5" s="21" t="s">
        <v>7</v>
      </c>
      <c r="B5" s="123">
        <f>IF(B$2=0,0,B$4/B$2)</f>
        <v>-8.8052631578947338</v>
      </c>
      <c r="C5" s="124"/>
      <c r="E5" s="29" t="s">
        <v>160</v>
      </c>
      <c r="F5" s="26" t="s">
        <v>161</v>
      </c>
      <c r="G5" s="14">
        <v>14</v>
      </c>
      <c r="H5" s="92">
        <f>IF(B$19=0,0,G5/B$19)</f>
        <v>0.41176470588235292</v>
      </c>
      <c r="I5" s="60">
        <v>7</v>
      </c>
      <c r="K5" s="7">
        <v>3</v>
      </c>
      <c r="L5" s="65">
        <v>-108</v>
      </c>
      <c r="N5" s="78" t="s">
        <v>131</v>
      </c>
      <c r="O5" s="84">
        <f t="shared" si="0"/>
        <v>2975</v>
      </c>
      <c r="P5" s="81">
        <v>12</v>
      </c>
      <c r="Q5" s="68">
        <v>35700</v>
      </c>
    </row>
    <row r="6" spans="1:17" x14ac:dyDescent="0.45">
      <c r="A6" s="21" t="s">
        <v>1</v>
      </c>
      <c r="B6" s="137">
        <f>IF(B$2=0,0,(B$7*1+B$8*2+B$9*3)/B$2)</f>
        <v>2.3157894736842106</v>
      </c>
      <c r="C6" s="138"/>
      <c r="E6" s="29" t="s">
        <v>68</v>
      </c>
      <c r="F6" s="26" t="s">
        <v>12</v>
      </c>
      <c r="G6" s="14">
        <v>10</v>
      </c>
      <c r="H6" s="92">
        <f>IF(B$19=0,0,G6/B$19)</f>
        <v>0.29411764705882354</v>
      </c>
      <c r="I6" s="60">
        <v>5</v>
      </c>
      <c r="K6" s="7">
        <v>4</v>
      </c>
      <c r="L6" s="65">
        <v>-115.5</v>
      </c>
      <c r="N6" s="78" t="s">
        <v>132</v>
      </c>
      <c r="O6" s="84">
        <f t="shared" si="0"/>
        <v>666.66666666666663</v>
      </c>
      <c r="P6" s="81">
        <v>9</v>
      </c>
      <c r="Q6" s="68">
        <v>6000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0.15789473684210525</v>
      </c>
      <c r="E7" s="29" t="s">
        <v>67</v>
      </c>
      <c r="F7" s="26" t="s">
        <v>23</v>
      </c>
      <c r="G7" s="14">
        <v>8</v>
      </c>
      <c r="H7" s="92">
        <f>IF(B$19=0,0,G7/B$19)</f>
        <v>0.23529411764705882</v>
      </c>
      <c r="I7" s="60">
        <v>5</v>
      </c>
      <c r="K7" s="7">
        <v>5</v>
      </c>
      <c r="L7" s="65">
        <v>-116</v>
      </c>
      <c r="N7" s="79" t="s">
        <v>133</v>
      </c>
      <c r="O7" s="85">
        <f t="shared" si="0"/>
        <v>-3700</v>
      </c>
      <c r="P7" s="82">
        <v>8</v>
      </c>
      <c r="Q7" s="69">
        <v>-29600</v>
      </c>
    </row>
    <row r="8" spans="1:17" x14ac:dyDescent="0.45">
      <c r="A8" s="21" t="s">
        <v>3</v>
      </c>
      <c r="B8" s="14">
        <v>7</v>
      </c>
      <c r="C8" s="8">
        <f t="shared" si="1"/>
        <v>0.36842105263157893</v>
      </c>
      <c r="E8" s="29" t="s">
        <v>65</v>
      </c>
      <c r="F8" s="26" t="s">
        <v>21</v>
      </c>
      <c r="G8" s="14">
        <v>4</v>
      </c>
      <c r="H8" s="92">
        <f>IF(B$19=0,0,G8/B$19)</f>
        <v>0.11764705882352941</v>
      </c>
      <c r="I8" s="60">
        <v>3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9</v>
      </c>
      <c r="C9" s="9">
        <f t="shared" si="1"/>
        <v>0.47368421052631576</v>
      </c>
      <c r="E9" s="29" t="s">
        <v>69</v>
      </c>
      <c r="F9" s="26" t="s">
        <v>24</v>
      </c>
      <c r="G9" s="14">
        <v>4</v>
      </c>
      <c r="H9" s="92">
        <f>IF(B$19=0,0,G9/B$19)</f>
        <v>0.11764705882352941</v>
      </c>
      <c r="I9" s="60">
        <v>7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58.4</v>
      </c>
      <c r="C10" s="114">
        <v>175.2</v>
      </c>
      <c r="E10" s="29" t="s">
        <v>89</v>
      </c>
      <c r="F10" s="26" t="s">
        <v>44</v>
      </c>
      <c r="G10" s="14">
        <v>4</v>
      </c>
      <c r="H10" s="92">
        <f>IF(B$19=0,0,G10/B$19)</f>
        <v>0.11764705882352941</v>
      </c>
      <c r="I10" s="60">
        <v>7</v>
      </c>
      <c r="K10" s="7">
        <v>8</v>
      </c>
      <c r="L10" s="65">
        <v>-157.19999999999999</v>
      </c>
      <c r="N10" s="77" t="s">
        <v>152</v>
      </c>
      <c r="O10" s="86">
        <f>IF(P10=0,0,Q10/P10)</f>
        <v>-31.3</v>
      </c>
      <c r="P10" s="80">
        <v>5</v>
      </c>
      <c r="Q10" s="71">
        <v>-156.5</v>
      </c>
    </row>
    <row r="11" spans="1:17" x14ac:dyDescent="0.45">
      <c r="A11" s="22" t="s">
        <v>186</v>
      </c>
      <c r="B11" s="113">
        <f>IF(B8=0,0,C11/B8)</f>
        <v>-1.7857142857142854</v>
      </c>
      <c r="C11" s="114">
        <v>-12.499999999999998</v>
      </c>
      <c r="E11" s="29" t="s">
        <v>86</v>
      </c>
      <c r="F11" s="26" t="s">
        <v>41</v>
      </c>
      <c r="G11" s="14">
        <v>3</v>
      </c>
      <c r="H11" s="92">
        <f>IF(B$19=0,0,G11/B$19)</f>
        <v>8.8235294117647065E-2</v>
      </c>
      <c r="I11" s="60">
        <v>3</v>
      </c>
      <c r="K11" s="7">
        <v>9</v>
      </c>
      <c r="L11" s="65">
        <v>-172.39999999999998</v>
      </c>
      <c r="N11" s="78" t="s">
        <v>153</v>
      </c>
      <c r="O11" s="87">
        <f>IF(P11=0,0,Q11/P11)</f>
        <v>-4.2125000000000004</v>
      </c>
      <c r="P11" s="81">
        <v>8</v>
      </c>
      <c r="Q11" s="72">
        <v>-33.700000000000003</v>
      </c>
    </row>
    <row r="12" spans="1:17" x14ac:dyDescent="0.45">
      <c r="A12" s="22" t="s">
        <v>187</v>
      </c>
      <c r="B12" s="113">
        <f>IF(B9=0,0,C12/B9)</f>
        <v>-36.666666666666664</v>
      </c>
      <c r="C12" s="114">
        <v>-330</v>
      </c>
      <c r="E12" s="29" t="s">
        <v>70</v>
      </c>
      <c r="F12" s="26" t="s">
        <v>25</v>
      </c>
      <c r="G12" s="14">
        <v>2</v>
      </c>
      <c r="H12" s="92">
        <f>IF(B$19=0,0,G12/B$19)</f>
        <v>5.8823529411764705E-2</v>
      </c>
      <c r="I12" s="60">
        <v>6</v>
      </c>
      <c r="K12" s="7">
        <v>10</v>
      </c>
      <c r="L12" s="65">
        <v>-217.59999999999997</v>
      </c>
      <c r="N12" s="79" t="s">
        <v>154</v>
      </c>
      <c r="O12" s="88">
        <f>IF(P12=0,0,Q12/P12)</f>
        <v>3.816666666666666</v>
      </c>
      <c r="P12" s="82">
        <v>6</v>
      </c>
      <c r="Q12" s="73">
        <v>22.899999999999995</v>
      </c>
    </row>
    <row r="13" spans="1:17" x14ac:dyDescent="0.45">
      <c r="A13" s="22" t="s">
        <v>188</v>
      </c>
      <c r="B13" s="123">
        <f>AVERAGE(B10:B12)</f>
        <v>6.6492063492063496</v>
      </c>
      <c r="C13" s="124"/>
      <c r="E13" s="29" t="s">
        <v>71</v>
      </c>
      <c r="F13" s="26" t="s">
        <v>26</v>
      </c>
      <c r="G13" s="14">
        <v>1</v>
      </c>
      <c r="H13" s="92">
        <f>IF(B$19=0,0,G13/B$19)</f>
        <v>2.9411764705882353E-2</v>
      </c>
      <c r="I13" s="60">
        <v>9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0.26315789473684209</v>
      </c>
      <c r="E14" s="29" t="s">
        <v>78</v>
      </c>
      <c r="F14" s="26" t="s">
        <v>33</v>
      </c>
      <c r="G14" s="14">
        <v>1</v>
      </c>
      <c r="H14" s="92">
        <f>IF(B$19=0,0,G14/B$19)</f>
        <v>2.9411764705882353E-2</v>
      </c>
      <c r="I14" s="60">
        <v>6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35</v>
      </c>
      <c r="C15" s="12">
        <f>IF(B$3=0,0,B15/B$3)</f>
        <v>0.26923076923076922</v>
      </c>
      <c r="E15" s="29" t="s">
        <v>81</v>
      </c>
      <c r="F15" s="26" t="s">
        <v>36</v>
      </c>
      <c r="G15" s="14">
        <v>1</v>
      </c>
      <c r="H15" s="92">
        <f>IF(B$19=0,0,G15/B$19)</f>
        <v>2.9411764705882353E-2</v>
      </c>
      <c r="I15" s="60">
        <v>3</v>
      </c>
      <c r="K15" s="7">
        <v>13</v>
      </c>
      <c r="L15" s="65">
        <v>-280.59999999999997</v>
      </c>
      <c r="N15" s="77" t="s">
        <v>164</v>
      </c>
      <c r="O15" s="86">
        <f>IF(P15=0,0,Q15/P15)</f>
        <v>41.02</v>
      </c>
      <c r="P15" s="80">
        <v>5</v>
      </c>
      <c r="Q15" s="71">
        <v>205.10000000000002</v>
      </c>
    </row>
    <row r="16" spans="1:17" x14ac:dyDescent="0.45">
      <c r="A16" s="21" t="s">
        <v>118</v>
      </c>
      <c r="B16" s="14">
        <v>17</v>
      </c>
      <c r="C16" s="8">
        <f>IF(B$3=0,0,B16/B$3)</f>
        <v>0.13076923076923078</v>
      </c>
      <c r="E16" s="29" t="s">
        <v>87</v>
      </c>
      <c r="F16" s="26" t="s">
        <v>42</v>
      </c>
      <c r="G16" s="14">
        <v>1</v>
      </c>
      <c r="H16" s="92">
        <f>IF(B$19=0,0,G16/B$19)</f>
        <v>2.9411764705882353E-2</v>
      </c>
      <c r="I16" s="60">
        <v>1</v>
      </c>
      <c r="K16" s="7">
        <v>14</v>
      </c>
      <c r="L16" s="65">
        <v>-330.7</v>
      </c>
      <c r="N16" s="78" t="s">
        <v>192</v>
      </c>
      <c r="O16" s="87">
        <f>IF(P16=0,0,Q16/P16)</f>
        <v>2.1999999999999993</v>
      </c>
      <c r="P16" s="81">
        <v>9</v>
      </c>
      <c r="Q16" s="72">
        <v>19.799999999999994</v>
      </c>
    </row>
    <row r="17" spans="1:17" x14ac:dyDescent="0.45">
      <c r="A17" s="20" t="s">
        <v>123</v>
      </c>
      <c r="B17" s="13">
        <f>B23</f>
        <v>15</v>
      </c>
      <c r="C17" s="6">
        <f>IF(B$15=0,0,B17/B$15)</f>
        <v>0.42857142857142855</v>
      </c>
      <c r="E17" s="29" t="s">
        <v>91</v>
      </c>
      <c r="F17" s="26" t="s">
        <v>46</v>
      </c>
      <c r="G17" s="14">
        <v>1</v>
      </c>
      <c r="H17" s="92">
        <f>IF(B$19=0,0,G17/B$19)</f>
        <v>2.9411764705882353E-2</v>
      </c>
      <c r="I17" s="60">
        <v>2</v>
      </c>
      <c r="K17" s="7">
        <v>15</v>
      </c>
      <c r="L17" s="65">
        <v>-284.09999999999997</v>
      </c>
      <c r="N17" s="78" t="s">
        <v>205</v>
      </c>
      <c r="O17" s="87">
        <f>IF(P17=0,0,Q17/P17)</f>
        <v>-8.9499999999999993</v>
      </c>
      <c r="P17" s="81">
        <v>4</v>
      </c>
      <c r="Q17" s="72">
        <v>-35.799999999999997</v>
      </c>
    </row>
    <row r="18" spans="1:17" x14ac:dyDescent="0.45">
      <c r="A18" s="20" t="s">
        <v>124</v>
      </c>
      <c r="B18" s="13">
        <f>B24</f>
        <v>8</v>
      </c>
      <c r="C18" s="6">
        <f>IF(B$16=0,0,B18/B$16)</f>
        <v>0.47058823529411764</v>
      </c>
      <c r="E18" s="29" t="s">
        <v>92</v>
      </c>
      <c r="F18" s="26" t="s">
        <v>47</v>
      </c>
      <c r="G18" s="14">
        <v>1</v>
      </c>
      <c r="H18" s="92">
        <f>IF(B$19=0,0,G18/B$19)</f>
        <v>2.9411764705882353E-2</v>
      </c>
      <c r="I18" s="60">
        <v>1</v>
      </c>
      <c r="K18" s="7">
        <v>16</v>
      </c>
      <c r="L18" s="65">
        <v>-234.59999999999997</v>
      </c>
      <c r="N18" s="78" t="s">
        <v>196</v>
      </c>
      <c r="O18" s="87">
        <f>IF(P18=0,0,Q18/P18)</f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34</v>
      </c>
      <c r="C19" s="6">
        <f>IF(B$3=0,0,B19/B$3)</f>
        <v>0.26153846153846155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-233.19999999999996</v>
      </c>
      <c r="N19" s="78" t="s">
        <v>126</v>
      </c>
      <c r="O19" s="87">
        <f>IF(P19=0,0,Q19/P19)</f>
        <v>-28.627272727272736</v>
      </c>
      <c r="P19" s="81">
        <v>11</v>
      </c>
      <c r="Q19" s="72">
        <v>-314.90000000000009</v>
      </c>
    </row>
    <row r="20" spans="1:17" x14ac:dyDescent="0.45">
      <c r="A20" s="21" t="s">
        <v>13</v>
      </c>
      <c r="B20" s="14">
        <v>18</v>
      </c>
      <c r="C20" s="8">
        <f>IF(B$3=0,0,B20/B$3)</f>
        <v>0.13846153846153847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-154.09999999999997</v>
      </c>
      <c r="N20" s="78" t="s">
        <v>193</v>
      </c>
      <c r="O20" s="87">
        <f>IF(P20=0,0,Q20/P20)</f>
        <v>-44.449999999999996</v>
      </c>
      <c r="P20" s="81">
        <v>8</v>
      </c>
      <c r="Q20" s="72">
        <v>-355.59999999999997</v>
      </c>
    </row>
    <row r="21" spans="1:17" x14ac:dyDescent="0.45">
      <c r="A21" s="21" t="s">
        <v>12</v>
      </c>
      <c r="B21" s="14">
        <v>13</v>
      </c>
      <c r="C21" s="8">
        <f>IF(B$19=0,0,B21/B$19)</f>
        <v>0.38235294117647056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-167.29999999999995</v>
      </c>
    </row>
    <row r="22" spans="1:17" x14ac:dyDescent="0.45">
      <c r="A22" s="21" t="s">
        <v>11</v>
      </c>
      <c r="B22" s="14">
        <v>21</v>
      </c>
      <c r="C22" s="8">
        <f>IF(B$19=0,0,B22/B$19)</f>
        <v>0.61764705882352944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15</v>
      </c>
      <c r="C23" s="8">
        <f>IF(B$19=0,0,B23/B$19)</f>
        <v>0.44117647058823528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4</v>
      </c>
    </row>
    <row r="24" spans="1:17" x14ac:dyDescent="0.45">
      <c r="A24" s="21" t="s">
        <v>182</v>
      </c>
      <c r="B24" s="14">
        <v>8</v>
      </c>
      <c r="C24" s="8">
        <f>IF(B$19=0,0,B24/B$19)</f>
        <v>0.23529411764705882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6</v>
      </c>
    </row>
    <row r="25" spans="1:17" x14ac:dyDescent="0.45">
      <c r="A25" s="21" t="s">
        <v>183</v>
      </c>
      <c r="B25" s="14">
        <v>11</v>
      </c>
      <c r="C25" s="8">
        <f>IF(B$19=0,0,B25/B$19)</f>
        <v>0.3235294117647059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8441.176470588236</v>
      </c>
      <c r="C26" s="10">
        <v>287000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9842.3076923076915</v>
      </c>
      <c r="C27" s="100">
        <v>255900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</row>
    <row r="28" spans="1:17" x14ac:dyDescent="0.45">
      <c r="A28" s="22" t="s">
        <v>167</v>
      </c>
      <c r="B28" s="99">
        <f>IF(B$18=0,0,C28/B$18)</f>
        <v>3887.5</v>
      </c>
      <c r="C28" s="100">
        <v>31100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-8133.333333333333</v>
      </c>
      <c r="C29" s="100">
        <v>-146400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3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26</v>
      </c>
      <c r="C31" s="94">
        <v>2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4</v>
      </c>
      <c r="C36" s="102">
        <f t="shared" ref="C36:C48" si="2">IF(B$19=0,0,B36/B$19)</f>
        <v>0.11764705882352941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7</v>
      </c>
      <c r="C37" s="8">
        <f t="shared" si="2"/>
        <v>0.20588235294117646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8</v>
      </c>
      <c r="C38" s="8">
        <f t="shared" si="2"/>
        <v>0.23529411764705882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8.8235294117647065E-2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2</v>
      </c>
      <c r="C40" s="8">
        <f t="shared" si="2"/>
        <v>5.8823529411764705E-2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6</v>
      </c>
      <c r="C41" s="8">
        <f t="shared" si="2"/>
        <v>0.17647058823529413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2.9411764705882353E-2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2.9411764705882353E-2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2.9411764705882353E-2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2.9411764705882353E-2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0E361-138A-4DA3-BAAE-BCC5FB1F620A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36</v>
      </c>
      <c r="C2" s="132"/>
      <c r="E2" s="28" t="s">
        <v>72</v>
      </c>
      <c r="F2" s="25" t="s">
        <v>27</v>
      </c>
      <c r="G2" s="13">
        <v>45</v>
      </c>
      <c r="H2" s="91">
        <f>IF(B$19=0,0,G2/B$19)</f>
        <v>0.61643835616438358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397.14285714285717</v>
      </c>
      <c r="P2" s="80">
        <v>35</v>
      </c>
      <c r="Q2" s="67">
        <v>13900</v>
      </c>
    </row>
    <row r="3" spans="1:17" x14ac:dyDescent="0.45">
      <c r="A3" s="21" t="s">
        <v>8</v>
      </c>
      <c r="B3" s="133">
        <v>277</v>
      </c>
      <c r="C3" s="134"/>
      <c r="E3" s="29" t="s">
        <v>66</v>
      </c>
      <c r="F3" s="26" t="s">
        <v>22</v>
      </c>
      <c r="G3" s="14">
        <v>39</v>
      </c>
      <c r="H3" s="92">
        <f>IF(B$19=0,0,G3/B$19)</f>
        <v>0.53424657534246578</v>
      </c>
      <c r="I3" s="60">
        <v>9</v>
      </c>
      <c r="K3" s="7">
        <v>1</v>
      </c>
      <c r="L3" s="65">
        <v>-0.5</v>
      </c>
      <c r="N3" s="78" t="s">
        <v>129</v>
      </c>
      <c r="O3" s="84">
        <f t="shared" si="0"/>
        <v>-942.85714285714289</v>
      </c>
      <c r="P3" s="81">
        <v>35</v>
      </c>
      <c r="Q3" s="68">
        <v>-33000</v>
      </c>
    </row>
    <row r="4" spans="1:17" x14ac:dyDescent="0.45">
      <c r="A4" s="21" t="s">
        <v>6</v>
      </c>
      <c r="B4" s="135">
        <v>-211.19999999999996</v>
      </c>
      <c r="C4" s="136"/>
      <c r="E4" s="29" t="s">
        <v>64</v>
      </c>
      <c r="F4" s="26" t="s">
        <v>20</v>
      </c>
      <c r="G4" s="14">
        <v>35</v>
      </c>
      <c r="H4" s="92">
        <f>IF(B$19=0,0,G4/B$19)</f>
        <v>0.47945205479452052</v>
      </c>
      <c r="I4" s="60">
        <v>5</v>
      </c>
      <c r="K4" s="7">
        <v>2</v>
      </c>
      <c r="L4" s="65">
        <v>-62.8</v>
      </c>
      <c r="N4" s="78" t="s">
        <v>130</v>
      </c>
      <c r="O4" s="84">
        <f t="shared" si="0"/>
        <v>-1728.5714285714287</v>
      </c>
      <c r="P4" s="81">
        <v>35</v>
      </c>
      <c r="Q4" s="68">
        <v>-60500</v>
      </c>
    </row>
    <row r="5" spans="1:17" x14ac:dyDescent="0.45">
      <c r="A5" s="21" t="s">
        <v>7</v>
      </c>
      <c r="B5" s="123">
        <f>IF(B$2=0,0,B$4/B$2)</f>
        <v>-5.8666666666666654</v>
      </c>
      <c r="C5" s="124"/>
      <c r="E5" s="29" t="s">
        <v>160</v>
      </c>
      <c r="F5" s="26" t="s">
        <v>161</v>
      </c>
      <c r="G5" s="14">
        <v>32</v>
      </c>
      <c r="H5" s="92">
        <f>IF(B$19=0,0,G5/B$19)</f>
        <v>0.43835616438356162</v>
      </c>
      <c r="I5" s="60">
        <v>4</v>
      </c>
      <c r="K5" s="7">
        <v>3</v>
      </c>
      <c r="L5" s="65">
        <v>-48.5</v>
      </c>
      <c r="N5" s="78" t="s">
        <v>131</v>
      </c>
      <c r="O5" s="84">
        <f t="shared" si="0"/>
        <v>-1115.625</v>
      </c>
      <c r="P5" s="81">
        <v>32</v>
      </c>
      <c r="Q5" s="68">
        <v>-35700</v>
      </c>
    </row>
    <row r="6" spans="1:17" x14ac:dyDescent="0.45">
      <c r="A6" s="21" t="s">
        <v>1</v>
      </c>
      <c r="B6" s="137">
        <f>IF(B$2=0,0,(B$7*1+B$8*2+B$9*3)/B$2)</f>
        <v>2.0277777777777777</v>
      </c>
      <c r="C6" s="138"/>
      <c r="E6" s="29" t="s">
        <v>68</v>
      </c>
      <c r="F6" s="26" t="s">
        <v>12</v>
      </c>
      <c r="G6" s="14">
        <v>20</v>
      </c>
      <c r="H6" s="92">
        <f>IF(B$19=0,0,G6/B$19)</f>
        <v>0.27397260273972601</v>
      </c>
      <c r="I6" s="60">
        <v>6</v>
      </c>
      <c r="K6" s="7">
        <v>4</v>
      </c>
      <c r="L6" s="65">
        <v>-75.599999999999994</v>
      </c>
      <c r="N6" s="78" t="s">
        <v>132</v>
      </c>
      <c r="O6" s="84">
        <f t="shared" si="0"/>
        <v>-2696.2962962962961</v>
      </c>
      <c r="P6" s="81">
        <v>27</v>
      </c>
      <c r="Q6" s="68">
        <v>-72800</v>
      </c>
    </row>
    <row r="7" spans="1:17" x14ac:dyDescent="0.45">
      <c r="A7" s="21" t="s">
        <v>2</v>
      </c>
      <c r="B7" s="14">
        <v>10</v>
      </c>
      <c r="C7" s="8">
        <f t="shared" ref="C7:C14" si="1">IF(B$2=0,0,B7/B$2)</f>
        <v>0.27777777777777779</v>
      </c>
      <c r="E7" s="29" t="s">
        <v>67</v>
      </c>
      <c r="F7" s="26" t="s">
        <v>23</v>
      </c>
      <c r="G7" s="14">
        <v>19</v>
      </c>
      <c r="H7" s="92">
        <f>IF(B$19=0,0,G7/B$19)</f>
        <v>0.26027397260273971</v>
      </c>
      <c r="I7" s="60">
        <v>3</v>
      </c>
      <c r="K7" s="7">
        <v>5</v>
      </c>
      <c r="L7" s="65">
        <v>-96.5</v>
      </c>
      <c r="N7" s="79" t="s">
        <v>133</v>
      </c>
      <c r="O7" s="85">
        <f t="shared" si="0"/>
        <v>-190.47619047619048</v>
      </c>
      <c r="P7" s="82">
        <v>21</v>
      </c>
      <c r="Q7" s="69">
        <v>-4000</v>
      </c>
    </row>
    <row r="8" spans="1:17" x14ac:dyDescent="0.45">
      <c r="A8" s="21" t="s">
        <v>3</v>
      </c>
      <c r="B8" s="14">
        <v>15</v>
      </c>
      <c r="C8" s="8">
        <f t="shared" si="1"/>
        <v>0.41666666666666669</v>
      </c>
      <c r="E8" s="29" t="s">
        <v>89</v>
      </c>
      <c r="F8" s="26" t="s">
        <v>44</v>
      </c>
      <c r="G8" s="14">
        <v>9</v>
      </c>
      <c r="H8" s="92">
        <f>IF(B$19=0,0,G8/B$19)</f>
        <v>0.12328767123287671</v>
      </c>
      <c r="I8" s="60">
        <v>6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11</v>
      </c>
      <c r="C9" s="9">
        <f t="shared" si="1"/>
        <v>0.30555555555555558</v>
      </c>
      <c r="E9" s="29" t="s">
        <v>69</v>
      </c>
      <c r="F9" s="26" t="s">
        <v>24</v>
      </c>
      <c r="G9" s="14">
        <v>8</v>
      </c>
      <c r="H9" s="92">
        <f>IF(B$19=0,0,G9/B$19)</f>
        <v>0.1095890410958904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34.07</v>
      </c>
      <c r="C10" s="114">
        <v>340.7</v>
      </c>
      <c r="E10" s="29" t="s">
        <v>65</v>
      </c>
      <c r="F10" s="26" t="s">
        <v>21</v>
      </c>
      <c r="G10" s="14">
        <v>6</v>
      </c>
      <c r="H10" s="92">
        <f>IF(B$19=0,0,G10/B$19)</f>
        <v>8.2191780821917804E-2</v>
      </c>
      <c r="I10" s="60">
        <v>9</v>
      </c>
      <c r="K10" s="7">
        <v>8</v>
      </c>
      <c r="L10" s="65">
        <v>-28.3</v>
      </c>
      <c r="N10" s="77" t="s">
        <v>152</v>
      </c>
      <c r="O10" s="86">
        <f>IF(P10=0,0,Q10/P10)</f>
        <v>-19.75</v>
      </c>
      <c r="P10" s="80">
        <v>10</v>
      </c>
      <c r="Q10" s="71">
        <v>-197.5</v>
      </c>
    </row>
    <row r="11" spans="1:17" x14ac:dyDescent="0.45">
      <c r="A11" s="22" t="s">
        <v>186</v>
      </c>
      <c r="B11" s="113">
        <f>IF(B8=0,0,C11/B8)</f>
        <v>-7.26</v>
      </c>
      <c r="C11" s="114">
        <v>-108.89999999999999</v>
      </c>
      <c r="E11" s="29" t="s">
        <v>71</v>
      </c>
      <c r="F11" s="26" t="s">
        <v>26</v>
      </c>
      <c r="G11" s="14">
        <v>6</v>
      </c>
      <c r="H11" s="92">
        <f>IF(B$19=0,0,G11/B$19)</f>
        <v>8.2191780821917804E-2</v>
      </c>
      <c r="I11" s="60">
        <v>5</v>
      </c>
      <c r="K11" s="7">
        <v>9</v>
      </c>
      <c r="L11" s="65">
        <v>-20.3</v>
      </c>
      <c r="N11" s="78" t="s">
        <v>153</v>
      </c>
      <c r="O11" s="87">
        <f>IF(P11=0,0,Q11/P11)</f>
        <v>-7.6916666666666673</v>
      </c>
      <c r="P11" s="81">
        <v>12</v>
      </c>
      <c r="Q11" s="72">
        <v>-92.300000000000011</v>
      </c>
    </row>
    <row r="12" spans="1:17" x14ac:dyDescent="0.45">
      <c r="A12" s="22" t="s">
        <v>187</v>
      </c>
      <c r="B12" s="113">
        <f>IF(B9=0,0,C12/B9)</f>
        <v>-40.272727272727273</v>
      </c>
      <c r="C12" s="114">
        <v>-443</v>
      </c>
      <c r="E12" s="29" t="s">
        <v>70</v>
      </c>
      <c r="F12" s="26" t="s">
        <v>25</v>
      </c>
      <c r="G12" s="14">
        <v>4</v>
      </c>
      <c r="H12" s="92">
        <f>IF(B$19=0,0,G12/B$19)</f>
        <v>5.4794520547945202E-2</v>
      </c>
      <c r="I12" s="60">
        <v>7</v>
      </c>
      <c r="K12" s="7">
        <v>10</v>
      </c>
      <c r="L12" s="65">
        <v>-14.9</v>
      </c>
      <c r="N12" s="79" t="s">
        <v>154</v>
      </c>
      <c r="O12" s="88">
        <f>IF(P12=0,0,Q12/P12)</f>
        <v>5.6142857142857157</v>
      </c>
      <c r="P12" s="82">
        <v>14</v>
      </c>
      <c r="Q12" s="73">
        <v>78.600000000000023</v>
      </c>
    </row>
    <row r="13" spans="1:17" x14ac:dyDescent="0.45">
      <c r="A13" s="22" t="s">
        <v>188</v>
      </c>
      <c r="B13" s="123">
        <f>AVERAGE(B10:B12)</f>
        <v>-4.4875757575757573</v>
      </c>
      <c r="C13" s="124"/>
      <c r="E13" s="29" t="s">
        <v>79</v>
      </c>
      <c r="F13" s="26" t="s">
        <v>34</v>
      </c>
      <c r="G13" s="14">
        <v>4</v>
      </c>
      <c r="H13" s="92">
        <f>IF(B$19=0,0,G13/B$19)</f>
        <v>5.4794520547945202E-2</v>
      </c>
      <c r="I13" s="60">
        <v>2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0.1111111111111111</v>
      </c>
      <c r="E14" s="29" t="s">
        <v>83</v>
      </c>
      <c r="F14" s="26" t="s">
        <v>38</v>
      </c>
      <c r="G14" s="14">
        <v>4</v>
      </c>
      <c r="H14" s="92">
        <f>IF(B$19=0,0,G14/B$19)</f>
        <v>5.4794520547945202E-2</v>
      </c>
      <c r="I14" s="60">
        <v>5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71</v>
      </c>
      <c r="C15" s="12">
        <f>IF(B$3=0,0,B15/B$3)</f>
        <v>0.2563176895306859</v>
      </c>
      <c r="E15" s="29" t="s">
        <v>78</v>
      </c>
      <c r="F15" s="26" t="s">
        <v>33</v>
      </c>
      <c r="G15" s="14">
        <v>3</v>
      </c>
      <c r="H15" s="92">
        <f>IF(B$19=0,0,G15/B$19)</f>
        <v>4.1095890410958902E-2</v>
      </c>
      <c r="I15" s="60">
        <v>4</v>
      </c>
      <c r="K15" s="7">
        <v>13</v>
      </c>
      <c r="L15" s="65">
        <v>-125.89999999999999</v>
      </c>
      <c r="N15" s="77" t="s">
        <v>189</v>
      </c>
      <c r="O15" s="86">
        <f t="shared" ref="O15:O21" si="2"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64</v>
      </c>
      <c r="C16" s="8">
        <f>IF(B$3=0,0,B16/B$3)</f>
        <v>0.23104693140794225</v>
      </c>
      <c r="E16" s="29" t="s">
        <v>86</v>
      </c>
      <c r="F16" s="26" t="s">
        <v>41</v>
      </c>
      <c r="G16" s="14">
        <v>2</v>
      </c>
      <c r="H16" s="92">
        <f>IF(B$19=0,0,G16/B$19)</f>
        <v>2.7397260273972601E-2</v>
      </c>
      <c r="I16" s="60">
        <v>8</v>
      </c>
      <c r="K16" s="7">
        <v>14</v>
      </c>
      <c r="L16" s="65">
        <v>-149.39999999999998</v>
      </c>
      <c r="N16" s="78" t="s">
        <v>193</v>
      </c>
      <c r="O16" s="87">
        <f t="shared" si="2"/>
        <v>10.600000000000003</v>
      </c>
      <c r="P16" s="81">
        <v>12</v>
      </c>
      <c r="Q16" s="72">
        <v>127.20000000000005</v>
      </c>
    </row>
    <row r="17" spans="1:17" x14ac:dyDescent="0.45">
      <c r="A17" s="20" t="s">
        <v>123</v>
      </c>
      <c r="B17" s="13">
        <f>B23</f>
        <v>38</v>
      </c>
      <c r="C17" s="6">
        <f>IF(B$15=0,0,B17/B$15)</f>
        <v>0.53521126760563376</v>
      </c>
      <c r="E17" s="29" t="s">
        <v>81</v>
      </c>
      <c r="F17" s="26" t="s">
        <v>36</v>
      </c>
      <c r="G17" s="14">
        <v>1</v>
      </c>
      <c r="H17" s="92">
        <f>IF(B$19=0,0,G17/B$19)</f>
        <v>1.3698630136986301E-2</v>
      </c>
      <c r="I17" s="60">
        <v>6</v>
      </c>
      <c r="K17" s="7">
        <v>15</v>
      </c>
      <c r="L17" s="65">
        <v>-121.39999999999998</v>
      </c>
      <c r="N17" s="78" t="s">
        <v>194</v>
      </c>
      <c r="O17" s="87">
        <f t="shared" si="2"/>
        <v>-2.1999999999999997</v>
      </c>
      <c r="P17" s="81">
        <v>9</v>
      </c>
      <c r="Q17" s="72">
        <v>-19.799999999999997</v>
      </c>
    </row>
    <row r="18" spans="1:17" x14ac:dyDescent="0.45">
      <c r="A18" s="20" t="s">
        <v>124</v>
      </c>
      <c r="B18" s="13">
        <f>B24</f>
        <v>20</v>
      </c>
      <c r="C18" s="6">
        <f>IF(B$16=0,0,B18/B$16)</f>
        <v>0.3125</v>
      </c>
      <c r="E18" s="29" t="s">
        <v>91</v>
      </c>
      <c r="F18" s="26" t="s">
        <v>46</v>
      </c>
      <c r="G18" s="14">
        <v>1</v>
      </c>
      <c r="H18" s="92">
        <f>IF(B$19=0,0,G18/B$19)</f>
        <v>1.3698630136986301E-2</v>
      </c>
      <c r="I18" s="60">
        <v>5</v>
      </c>
      <c r="K18" s="7">
        <v>16</v>
      </c>
      <c r="L18" s="65">
        <v>-141.29999999999998</v>
      </c>
      <c r="N18" s="78" t="s">
        <v>164</v>
      </c>
      <c r="O18" s="87">
        <f t="shared" si="2"/>
        <v>-5.7499999999999982</v>
      </c>
      <c r="P18" s="81">
        <v>16</v>
      </c>
      <c r="Q18" s="72">
        <v>-91.999999999999972</v>
      </c>
    </row>
    <row r="19" spans="1:17" x14ac:dyDescent="0.45">
      <c r="A19" s="20" t="s">
        <v>10</v>
      </c>
      <c r="B19" s="13">
        <f>B22+B21</f>
        <v>73</v>
      </c>
      <c r="C19" s="6">
        <f>IF(B$3=0,0,B19/B$3)</f>
        <v>0.26353790613718414</v>
      </c>
      <c r="E19" s="29" t="s">
        <v>92</v>
      </c>
      <c r="F19" s="26" t="s">
        <v>47</v>
      </c>
      <c r="G19" s="14">
        <v>1</v>
      </c>
      <c r="H19" s="92">
        <f>IF(B$19=0,0,G19/B$19)</f>
        <v>1.3698630136986301E-2</v>
      </c>
      <c r="I19" s="60">
        <v>5</v>
      </c>
      <c r="K19" s="7">
        <v>17</v>
      </c>
      <c r="L19" s="65">
        <v>-149.1</v>
      </c>
      <c r="N19" s="78" t="s">
        <v>205</v>
      </c>
      <c r="O19" s="87">
        <f t="shared" si="2"/>
        <v>-12.375</v>
      </c>
      <c r="P19" s="81">
        <v>4</v>
      </c>
      <c r="Q19" s="72">
        <v>-49.5</v>
      </c>
    </row>
    <row r="20" spans="1:17" x14ac:dyDescent="0.45">
      <c r="A20" s="21" t="s">
        <v>13</v>
      </c>
      <c r="B20" s="14">
        <v>35</v>
      </c>
      <c r="C20" s="8">
        <f>IF(B$3=0,0,B20/B$3)</f>
        <v>0.1263537906137184</v>
      </c>
      <c r="E20" s="29" t="s">
        <v>156</v>
      </c>
      <c r="F20" s="26" t="s">
        <v>157</v>
      </c>
      <c r="G20" s="14">
        <v>1</v>
      </c>
      <c r="H20" s="92">
        <f>IF(B$19=0,0,G20/B$19)</f>
        <v>1.3698630136986301E-2</v>
      </c>
      <c r="I20" s="60">
        <v>2</v>
      </c>
      <c r="K20" s="7">
        <v>18</v>
      </c>
      <c r="L20" s="65">
        <v>-201.89999999999998</v>
      </c>
      <c r="N20" s="78" t="s">
        <v>196</v>
      </c>
      <c r="O20" s="87">
        <f t="shared" si="2"/>
        <v>-19.342857142857145</v>
      </c>
      <c r="P20" s="81">
        <v>7</v>
      </c>
      <c r="Q20" s="72">
        <v>-135.4</v>
      </c>
    </row>
    <row r="21" spans="1:17" x14ac:dyDescent="0.45">
      <c r="A21" s="21" t="s">
        <v>12</v>
      </c>
      <c r="B21" s="14">
        <v>28</v>
      </c>
      <c r="C21" s="8">
        <f>IF(B$19=0,0,B21/B$19)</f>
        <v>0.38356164383561642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-152.39999999999998</v>
      </c>
      <c r="N21" s="78" t="s">
        <v>126</v>
      </c>
      <c r="O21" s="87">
        <f t="shared" si="2"/>
        <v>-25.471428571428575</v>
      </c>
      <c r="P21" s="81">
        <v>21</v>
      </c>
      <c r="Q21" s="72">
        <v>-534.90000000000009</v>
      </c>
    </row>
    <row r="22" spans="1:17" x14ac:dyDescent="0.45">
      <c r="A22" s="21" t="s">
        <v>11</v>
      </c>
      <c r="B22" s="14">
        <v>45</v>
      </c>
      <c r="C22" s="8">
        <f>IF(B$19=0,0,B22/B$19)</f>
        <v>0.61643835616438358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38</v>
      </c>
      <c r="C23" s="8">
        <f>IF(B$19=0,0,B23/B$19)</f>
        <v>0.52054794520547942</v>
      </c>
      <c r="E23" s="29" t="s">
        <v>75</v>
      </c>
      <c r="F23" s="26" t="s">
        <v>30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20</v>
      </c>
      <c r="C24" s="8">
        <f>IF(B$19=0,0,B24/B$19)</f>
        <v>0.27397260273972601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15</v>
      </c>
      <c r="C25" s="8">
        <f>IF(B$19=0,0,B25/B$19)</f>
        <v>0.20547945205479451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4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7353.4246575342468</v>
      </c>
      <c r="C26" s="10">
        <v>536800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7486.7924528301883</v>
      </c>
      <c r="C27" s="100">
        <v>396800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7000</v>
      </c>
      <c r="C28" s="100">
        <v>140000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-7997.1428571428569</v>
      </c>
      <c r="C29" s="100">
        <v>-279900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6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88500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9</v>
      </c>
      <c r="C36" s="102">
        <f t="shared" ref="C36:C48" si="3">IF(B$19=0,0,B36/B$19)</f>
        <v>0.12328767123287671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13</v>
      </c>
      <c r="C37" s="8">
        <f t="shared" si="3"/>
        <v>0.17808219178082191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19</v>
      </c>
      <c r="C38" s="8">
        <f t="shared" si="3"/>
        <v>0.26027397260273971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11</v>
      </c>
      <c r="C39" s="8">
        <f t="shared" si="3"/>
        <v>0.15068493150684931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7</v>
      </c>
      <c r="C40" s="8">
        <f t="shared" si="3"/>
        <v>9.5890410958904104E-2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2</v>
      </c>
      <c r="C41" s="8">
        <f t="shared" si="3"/>
        <v>2.7397260273972601E-2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5">
      <c r="A42" s="21" t="s">
        <v>174</v>
      </c>
      <c r="B42" s="122">
        <v>6</v>
      </c>
      <c r="C42" s="8">
        <f t="shared" si="3"/>
        <v>8.2191780821917804E-2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12" x14ac:dyDescent="0.45">
      <c r="A43" s="21" t="s">
        <v>175</v>
      </c>
      <c r="B43" s="122">
        <v>2</v>
      </c>
      <c r="C43" s="8">
        <f t="shared" si="3"/>
        <v>2.7397260273972601E-2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3"/>
        <v>1.3698630136986301E-2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3"/>
        <v>1.3698630136986301E-2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1</v>
      </c>
      <c r="C46" s="8">
        <f t="shared" si="3"/>
        <v>1.3698630136986301E-2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1.3698630136986301E-2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AC75A-7516-46AC-AFA9-97BA426C6D61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23</v>
      </c>
      <c r="C2" s="132"/>
      <c r="E2" s="28" t="s">
        <v>72</v>
      </c>
      <c r="F2" s="25" t="s">
        <v>27</v>
      </c>
      <c r="G2" s="13">
        <v>40</v>
      </c>
      <c r="H2" s="91">
        <f>IF(B$19=0,0,G2/B$19)</f>
        <v>0.75471698113207553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-626.08695652173913</v>
      </c>
      <c r="P2" s="80">
        <v>23</v>
      </c>
      <c r="Q2" s="67">
        <v>-14400</v>
      </c>
    </row>
    <row r="3" spans="1:17" x14ac:dyDescent="0.45">
      <c r="A3" s="21" t="s">
        <v>8</v>
      </c>
      <c r="B3" s="133">
        <v>163</v>
      </c>
      <c r="C3" s="134"/>
      <c r="E3" s="29" t="s">
        <v>66</v>
      </c>
      <c r="F3" s="26" t="s">
        <v>22</v>
      </c>
      <c r="G3" s="14">
        <v>34</v>
      </c>
      <c r="H3" s="92">
        <f>IF(B$19=0,0,G3/B$19)</f>
        <v>0.64150943396226412</v>
      </c>
      <c r="I3" s="60">
        <v>7</v>
      </c>
      <c r="K3" s="7">
        <v>1</v>
      </c>
      <c r="L3" s="65">
        <v>56</v>
      </c>
      <c r="N3" s="78" t="s">
        <v>129</v>
      </c>
      <c r="O3" s="84">
        <f t="shared" si="0"/>
        <v>-1254.5454545454545</v>
      </c>
      <c r="P3" s="81">
        <v>22</v>
      </c>
      <c r="Q3" s="68">
        <v>-27600</v>
      </c>
    </row>
    <row r="4" spans="1:17" x14ac:dyDescent="0.45">
      <c r="A4" s="21" t="s">
        <v>6</v>
      </c>
      <c r="B4" s="135">
        <v>97</v>
      </c>
      <c r="C4" s="136"/>
      <c r="E4" s="29" t="s">
        <v>64</v>
      </c>
      <c r="F4" s="26" t="s">
        <v>20</v>
      </c>
      <c r="G4" s="14">
        <v>14</v>
      </c>
      <c r="H4" s="92">
        <f>IF(B$19=0,0,G4/B$19)</f>
        <v>0.26415094339622641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2410.5263157894738</v>
      </c>
      <c r="P4" s="81">
        <v>19</v>
      </c>
      <c r="Q4" s="68">
        <v>45800</v>
      </c>
    </row>
    <row r="5" spans="1:17" x14ac:dyDescent="0.45">
      <c r="A5" s="21" t="s">
        <v>7</v>
      </c>
      <c r="B5" s="123">
        <f>IF(B$2=0,0,B$4/B$2)</f>
        <v>4.2173913043478262</v>
      </c>
      <c r="C5" s="124"/>
      <c r="E5" s="29" t="s">
        <v>68</v>
      </c>
      <c r="F5" s="26" t="s">
        <v>12</v>
      </c>
      <c r="G5" s="14">
        <v>13</v>
      </c>
      <c r="H5" s="92">
        <f>IF(B$19=0,0,G5/B$19)</f>
        <v>0.24528301886792453</v>
      </c>
      <c r="I5" s="60">
        <v>9</v>
      </c>
      <c r="K5" s="7">
        <v>3</v>
      </c>
      <c r="L5" s="65">
        <v>159</v>
      </c>
      <c r="N5" s="78" t="s">
        <v>131</v>
      </c>
      <c r="O5" s="84">
        <f t="shared" si="0"/>
        <v>593.75</v>
      </c>
      <c r="P5" s="81">
        <v>16</v>
      </c>
      <c r="Q5" s="68">
        <v>9500</v>
      </c>
    </row>
    <row r="6" spans="1:17" x14ac:dyDescent="0.45">
      <c r="A6" s="21" t="s">
        <v>1</v>
      </c>
      <c r="B6" s="137">
        <f>IF(B$2=0,0,(B$7*1+B$8*2+B$9*3)/B$2)</f>
        <v>1.9565217391304348</v>
      </c>
      <c r="C6" s="138"/>
      <c r="E6" s="29" t="s">
        <v>160</v>
      </c>
      <c r="F6" s="26" t="s">
        <v>161</v>
      </c>
      <c r="G6" s="14">
        <v>13</v>
      </c>
      <c r="H6" s="92">
        <f>IF(B$19=0,0,G6/B$19)</f>
        <v>0.24528301886792453</v>
      </c>
      <c r="I6" s="60">
        <v>10</v>
      </c>
      <c r="K6" s="7">
        <v>4</v>
      </c>
      <c r="L6" s="65">
        <v>112.4</v>
      </c>
      <c r="N6" s="78" t="s">
        <v>132</v>
      </c>
      <c r="O6" s="84">
        <f t="shared" si="0"/>
        <v>5283.333333333333</v>
      </c>
      <c r="P6" s="81">
        <v>12</v>
      </c>
      <c r="Q6" s="68">
        <v>63400</v>
      </c>
    </row>
    <row r="7" spans="1:17" x14ac:dyDescent="0.45">
      <c r="A7" s="21" t="s">
        <v>2</v>
      </c>
      <c r="B7" s="14">
        <v>9</v>
      </c>
      <c r="C7" s="8">
        <f t="shared" ref="C7:C14" si="1">IF(B$2=0,0,B7/B$2)</f>
        <v>0.39130434782608697</v>
      </c>
      <c r="E7" s="29" t="s">
        <v>67</v>
      </c>
      <c r="F7" s="26" t="s">
        <v>23</v>
      </c>
      <c r="G7" s="14">
        <v>11</v>
      </c>
      <c r="H7" s="92">
        <f>IF(B$19=0,0,G7/B$19)</f>
        <v>0.20754716981132076</v>
      </c>
      <c r="I7" s="60">
        <v>8</v>
      </c>
      <c r="K7" s="7">
        <v>5</v>
      </c>
      <c r="L7" s="65">
        <v>140.30000000000001</v>
      </c>
      <c r="N7" s="79" t="s">
        <v>133</v>
      </c>
      <c r="O7" s="85">
        <f t="shared" si="0"/>
        <v>-1320</v>
      </c>
      <c r="P7" s="82">
        <v>10</v>
      </c>
      <c r="Q7" s="69">
        <v>-13200</v>
      </c>
    </row>
    <row r="8" spans="1:17" x14ac:dyDescent="0.45">
      <c r="A8" s="21" t="s">
        <v>3</v>
      </c>
      <c r="B8" s="14">
        <v>6</v>
      </c>
      <c r="C8" s="8">
        <f t="shared" si="1"/>
        <v>0.2608695652173913</v>
      </c>
      <c r="E8" s="29" t="s">
        <v>83</v>
      </c>
      <c r="F8" s="26" t="s">
        <v>38</v>
      </c>
      <c r="G8" s="14">
        <v>8</v>
      </c>
      <c r="H8" s="92">
        <f>IF(B$19=0,0,G8/B$19)</f>
        <v>0.15094339622641509</v>
      </c>
      <c r="I8" s="60">
        <v>1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8</v>
      </c>
      <c r="C9" s="9">
        <f t="shared" si="1"/>
        <v>0.34782608695652173</v>
      </c>
      <c r="E9" s="29" t="s">
        <v>69</v>
      </c>
      <c r="F9" s="26" t="s">
        <v>24</v>
      </c>
      <c r="G9" s="14">
        <v>7</v>
      </c>
      <c r="H9" s="92">
        <f>IF(B$19=0,0,G9/B$19)</f>
        <v>0.13207547169811321</v>
      </c>
      <c r="I9" s="60">
        <v>3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42.833333333333336</v>
      </c>
      <c r="C10" s="114">
        <v>385.5</v>
      </c>
      <c r="E10" s="29" t="s">
        <v>89</v>
      </c>
      <c r="F10" s="26" t="s">
        <v>44</v>
      </c>
      <c r="G10" s="14">
        <v>6</v>
      </c>
      <c r="H10" s="92">
        <f>IF(B$19=0,0,G10/B$19)</f>
        <v>0.11320754716981132</v>
      </c>
      <c r="I10" s="60">
        <v>8</v>
      </c>
      <c r="K10" s="7">
        <v>8</v>
      </c>
      <c r="L10" s="65">
        <v>96.800000000000011</v>
      </c>
      <c r="N10" s="77" t="s">
        <v>152</v>
      </c>
      <c r="O10" s="86">
        <f>IF(P10=0,0,Q10/P10)</f>
        <v>-7.5</v>
      </c>
      <c r="P10" s="80">
        <v>8</v>
      </c>
      <c r="Q10" s="71">
        <v>-60</v>
      </c>
    </row>
    <row r="11" spans="1:17" x14ac:dyDescent="0.45">
      <c r="A11" s="22" t="s">
        <v>186</v>
      </c>
      <c r="B11" s="113">
        <f>IF(B8=0,0,C11/B8)</f>
        <v>3.0499999999999994</v>
      </c>
      <c r="C11" s="114">
        <v>18.299999999999997</v>
      </c>
      <c r="E11" s="29" t="s">
        <v>65</v>
      </c>
      <c r="F11" s="26" t="s">
        <v>21</v>
      </c>
      <c r="G11" s="14">
        <v>4</v>
      </c>
      <c r="H11" s="92">
        <f>IF(B$19=0,0,G11/B$19)</f>
        <v>7.5471698113207544E-2</v>
      </c>
      <c r="I11" s="60">
        <v>10</v>
      </c>
      <c r="K11" s="7">
        <v>9</v>
      </c>
      <c r="L11" s="65">
        <v>51.600000000000009</v>
      </c>
      <c r="N11" s="78" t="s">
        <v>153</v>
      </c>
      <c r="O11" s="87">
        <f>IF(P11=0,0,Q11/P11)</f>
        <v>3.3749999999999991</v>
      </c>
      <c r="P11" s="81">
        <v>8</v>
      </c>
      <c r="Q11" s="72">
        <v>26.999999999999993</v>
      </c>
    </row>
    <row r="12" spans="1:17" x14ac:dyDescent="0.45">
      <c r="A12" s="22" t="s">
        <v>187</v>
      </c>
      <c r="B12" s="113">
        <f>IF(B9=0,0,C12/B9)</f>
        <v>-38.35</v>
      </c>
      <c r="C12" s="114">
        <v>-306.8</v>
      </c>
      <c r="E12" s="29" t="s">
        <v>78</v>
      </c>
      <c r="F12" s="26" t="s">
        <v>33</v>
      </c>
      <c r="G12" s="14">
        <v>3</v>
      </c>
      <c r="H12" s="92">
        <f>IF(B$19=0,0,G12/B$19)</f>
        <v>5.6603773584905662E-2</v>
      </c>
      <c r="I12" s="60">
        <v>2</v>
      </c>
      <c r="K12" s="7">
        <v>10</v>
      </c>
      <c r="L12" s="65">
        <v>28.300000000000008</v>
      </c>
      <c r="N12" s="79" t="s">
        <v>154</v>
      </c>
      <c r="O12" s="88">
        <f>IF(P12=0,0,Q12/P12)</f>
        <v>18.571428571428573</v>
      </c>
      <c r="P12" s="82">
        <v>7</v>
      </c>
      <c r="Q12" s="73">
        <v>130</v>
      </c>
    </row>
    <row r="13" spans="1:17" x14ac:dyDescent="0.45">
      <c r="A13" s="22" t="s">
        <v>188</v>
      </c>
      <c r="B13" s="123">
        <f>AVERAGE(B10:B12)</f>
        <v>2.5111111111111106</v>
      </c>
      <c r="C13" s="124"/>
      <c r="E13" s="29" t="s">
        <v>81</v>
      </c>
      <c r="F13" s="26" t="s">
        <v>36</v>
      </c>
      <c r="G13" s="14">
        <v>3</v>
      </c>
      <c r="H13" s="92">
        <f>IF(B$19=0,0,G13/B$19)</f>
        <v>5.6603773584905662E-2</v>
      </c>
      <c r="I13" s="60">
        <v>1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0.21739130434782608</v>
      </c>
      <c r="E14" s="29" t="s">
        <v>71</v>
      </c>
      <c r="F14" s="26" t="s">
        <v>26</v>
      </c>
      <c r="G14" s="14">
        <v>2</v>
      </c>
      <c r="H14" s="92">
        <f>IF(B$19=0,0,G14/B$19)</f>
        <v>3.7735849056603772E-2</v>
      </c>
      <c r="I14" s="60">
        <v>8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23</v>
      </c>
      <c r="C15" s="12">
        <f>IF(B$3=0,0,B15/B$3)</f>
        <v>0.1411042944785276</v>
      </c>
      <c r="E15" s="29" t="s">
        <v>85</v>
      </c>
      <c r="F15" s="26" t="s">
        <v>40</v>
      </c>
      <c r="G15" s="14">
        <v>2</v>
      </c>
      <c r="H15" s="92">
        <f>IF(B$19=0,0,G15/B$19)</f>
        <v>3.7735849056603772E-2</v>
      </c>
      <c r="I15" s="60">
        <v>1</v>
      </c>
      <c r="K15" s="7">
        <v>13</v>
      </c>
      <c r="L15" s="65">
        <v>83.1</v>
      </c>
      <c r="N15" s="77" t="s">
        <v>194</v>
      </c>
      <c r="O15" s="86">
        <f t="shared" ref="O15:O20" si="2">IF(P15=0,0,Q15/P15)</f>
        <v>44.449999999999996</v>
      </c>
      <c r="P15" s="80">
        <v>8</v>
      </c>
      <c r="Q15" s="71">
        <v>355.59999999999997</v>
      </c>
    </row>
    <row r="16" spans="1:17" x14ac:dyDescent="0.45">
      <c r="A16" s="21" t="s">
        <v>118</v>
      </c>
      <c r="B16" s="14">
        <v>54</v>
      </c>
      <c r="C16" s="8">
        <f>IF(B$3=0,0,B16/B$3)</f>
        <v>0.33128834355828218</v>
      </c>
      <c r="E16" s="29" t="s">
        <v>75</v>
      </c>
      <c r="F16" s="26" t="s">
        <v>30</v>
      </c>
      <c r="G16" s="14">
        <v>1</v>
      </c>
      <c r="H16" s="92">
        <f>IF(B$19=0,0,G16/B$19)</f>
        <v>1.8867924528301886E-2</v>
      </c>
      <c r="I16" s="60">
        <v>1</v>
      </c>
      <c r="K16" s="7">
        <v>14</v>
      </c>
      <c r="L16" s="65">
        <v>89.399999999999991</v>
      </c>
      <c r="N16" s="78" t="s">
        <v>164</v>
      </c>
      <c r="O16" s="87">
        <f t="shared" si="2"/>
        <v>33.971428571428568</v>
      </c>
      <c r="P16" s="81">
        <v>7</v>
      </c>
      <c r="Q16" s="72">
        <v>237.79999999999998</v>
      </c>
    </row>
    <row r="17" spans="1:17" x14ac:dyDescent="0.45">
      <c r="A17" s="20" t="s">
        <v>123</v>
      </c>
      <c r="B17" s="13">
        <f>B23</f>
        <v>14</v>
      </c>
      <c r="C17" s="6">
        <f>IF(B$15=0,0,B17/B$15)</f>
        <v>0.60869565217391308</v>
      </c>
      <c r="E17" s="29" t="s">
        <v>102</v>
      </c>
      <c r="F17" s="26" t="s">
        <v>57</v>
      </c>
      <c r="G17" s="14">
        <v>1</v>
      </c>
      <c r="H17" s="92">
        <f>IF(B$19=0,0,G17/B$19)</f>
        <v>1.8867924528301886E-2</v>
      </c>
      <c r="I17" s="60">
        <v>1</v>
      </c>
      <c r="K17" s="7">
        <v>15</v>
      </c>
      <c r="L17" s="65">
        <v>112.6</v>
      </c>
      <c r="N17" s="78" t="s">
        <v>196</v>
      </c>
      <c r="O17" s="87">
        <f t="shared" si="2"/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25</v>
      </c>
      <c r="C18" s="6">
        <f>IF(B$16=0,0,B18/B$16)</f>
        <v>0.46296296296296297</v>
      </c>
      <c r="E18" s="29" t="s">
        <v>70</v>
      </c>
      <c r="F18" s="26" t="s">
        <v>25</v>
      </c>
      <c r="G18" s="14">
        <v>0</v>
      </c>
      <c r="H18" s="92">
        <f>IF(B$19=0,0,G18/B$19)</f>
        <v>0</v>
      </c>
      <c r="I18" s="60">
        <v>8</v>
      </c>
      <c r="K18" s="7">
        <v>16</v>
      </c>
      <c r="L18" s="65">
        <v>119.3</v>
      </c>
      <c r="N18" s="78" t="s">
        <v>189</v>
      </c>
      <c r="O18" s="87">
        <f t="shared" si="2"/>
        <v>4.2000000000000011</v>
      </c>
      <c r="P18" s="81">
        <v>4</v>
      </c>
      <c r="Q18" s="72">
        <v>16.800000000000004</v>
      </c>
    </row>
    <row r="19" spans="1:17" x14ac:dyDescent="0.45">
      <c r="A19" s="20" t="s">
        <v>10</v>
      </c>
      <c r="B19" s="13">
        <f>B22+B21</f>
        <v>53</v>
      </c>
      <c r="C19" s="6">
        <f>IF(B$3=0,0,B19/B$3)</f>
        <v>0.32515337423312884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71.699999999999989</v>
      </c>
      <c r="N19" s="78" t="s">
        <v>192</v>
      </c>
      <c r="O19" s="87">
        <f t="shared" si="2"/>
        <v>-10.600000000000003</v>
      </c>
      <c r="P19" s="81">
        <v>12</v>
      </c>
      <c r="Q19" s="72">
        <v>-127.20000000000005</v>
      </c>
    </row>
    <row r="20" spans="1:17" x14ac:dyDescent="0.45">
      <c r="A20" s="21" t="s">
        <v>13</v>
      </c>
      <c r="B20" s="14">
        <v>22</v>
      </c>
      <c r="C20" s="8">
        <f>IF(B$3=0,0,B20/B$3)</f>
        <v>0.13496932515337423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45.399999999999991</v>
      </c>
      <c r="N20" s="78" t="s">
        <v>126</v>
      </c>
      <c r="O20" s="87">
        <f t="shared" si="2"/>
        <v>-21.374999999999996</v>
      </c>
      <c r="P20" s="81">
        <v>12</v>
      </c>
      <c r="Q20" s="72">
        <v>-256.49999999999994</v>
      </c>
    </row>
    <row r="21" spans="1:17" x14ac:dyDescent="0.45">
      <c r="A21" s="21" t="s">
        <v>12</v>
      </c>
      <c r="B21" s="14">
        <v>25</v>
      </c>
      <c r="C21" s="8">
        <f>IF(B$19=0,0,B21/B$19)</f>
        <v>0.47169811320754718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100.1</v>
      </c>
    </row>
    <row r="22" spans="1:17" x14ac:dyDescent="0.45">
      <c r="A22" s="21" t="s">
        <v>11</v>
      </c>
      <c r="B22" s="14">
        <v>28</v>
      </c>
      <c r="C22" s="8">
        <f>IF(B$19=0,0,B22/B$19)</f>
        <v>0.52830188679245282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14</v>
      </c>
      <c r="C23" s="8">
        <f>IF(B$19=0,0,B23/B$19)</f>
        <v>0.26415094339622641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6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25</v>
      </c>
      <c r="C24" s="8">
        <f>IF(B$19=0,0,B24/B$19)</f>
        <v>0.47169811320754718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14</v>
      </c>
      <c r="C25" s="8">
        <f>IF(B$19=0,0,B25/B$19)</f>
        <v>0.26415094339622641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7958.4905660377362</v>
      </c>
      <c r="C26" s="10">
        <v>421800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8732.1428571428569</v>
      </c>
      <c r="C27" s="100">
        <v>244500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9</v>
      </c>
    </row>
    <row r="28" spans="1:17" x14ac:dyDescent="0.45">
      <c r="A28" s="22" t="s">
        <v>167</v>
      </c>
      <c r="B28" s="99">
        <f>IF(B$18=0,0,C28/B$18)</f>
        <v>7092</v>
      </c>
      <c r="C28" s="100">
        <v>177300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</row>
    <row r="29" spans="1:17" x14ac:dyDescent="0.45">
      <c r="A29" s="22" t="s">
        <v>165</v>
      </c>
      <c r="B29" s="99">
        <f>IF(B$20=0,0,C29/B$20)</f>
        <v>-7609.090909090909</v>
      </c>
      <c r="C29" s="100">
        <v>-167400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27</v>
      </c>
      <c r="C31" s="94">
        <v>5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6</v>
      </c>
    </row>
    <row r="33" spans="1:9" x14ac:dyDescent="0.45">
      <c r="A33" s="24" t="s">
        <v>181</v>
      </c>
      <c r="B33" s="127">
        <v>106500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1">
        <v>6</v>
      </c>
      <c r="C36" s="102">
        <f t="shared" ref="C36:C48" si="3">IF(B$19=0,0,B36/B$19)</f>
        <v>0.11320754716981132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12</v>
      </c>
      <c r="C37" s="8">
        <f t="shared" si="3"/>
        <v>0.22641509433962265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9" x14ac:dyDescent="0.45">
      <c r="A38" s="21" t="s">
        <v>169</v>
      </c>
      <c r="B38" s="122">
        <v>10</v>
      </c>
      <c r="C38" s="8">
        <f t="shared" si="3"/>
        <v>0.18867924528301888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9</v>
      </c>
      <c r="C39" s="8">
        <f t="shared" si="3"/>
        <v>0.16981132075471697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9</v>
      </c>
      <c r="C40" s="8">
        <f t="shared" si="3"/>
        <v>0.16981132075471697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3"/>
        <v>3.7735849056603772E-2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3"/>
        <v>5.6603773584905662E-2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3"/>
        <v>1.8867924528301886E-2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1.8867924528301886E-2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C8FB2-0A5A-42EF-9D29-723890FAE1FF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0.70588235294117652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4212.5</v>
      </c>
      <c r="P2" s="80">
        <v>8</v>
      </c>
      <c r="Q2" s="67">
        <v>33700</v>
      </c>
    </row>
    <row r="3" spans="1:17" x14ac:dyDescent="0.45">
      <c r="A3" s="21" t="s">
        <v>8</v>
      </c>
      <c r="B3" s="133">
        <v>65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0.58823529411764708</v>
      </c>
      <c r="I3" s="60">
        <v>8</v>
      </c>
      <c r="K3" s="7">
        <v>1</v>
      </c>
      <c r="L3" s="65">
        <v>-30.5</v>
      </c>
      <c r="N3" s="78" t="s">
        <v>129</v>
      </c>
      <c r="O3" s="84">
        <f t="shared" si="0"/>
        <v>387.5</v>
      </c>
      <c r="P3" s="81">
        <v>8</v>
      </c>
      <c r="Q3" s="68">
        <v>3100</v>
      </c>
    </row>
    <row r="4" spans="1:17" x14ac:dyDescent="0.45">
      <c r="A4" s="21" t="s">
        <v>6</v>
      </c>
      <c r="B4" s="135">
        <v>7.4999999999999858</v>
      </c>
      <c r="C4" s="136"/>
      <c r="E4" s="29" t="s">
        <v>68</v>
      </c>
      <c r="F4" s="26" t="s">
        <v>12</v>
      </c>
      <c r="G4" s="14">
        <v>8</v>
      </c>
      <c r="H4" s="92">
        <f>IF(B$19=0,0,G4/B$19)</f>
        <v>0.47058823529411764</v>
      </c>
      <c r="I4" s="60">
        <v>2</v>
      </c>
      <c r="K4" s="7">
        <v>2</v>
      </c>
      <c r="L4" s="65">
        <v>-28.6</v>
      </c>
      <c r="N4" s="78" t="s">
        <v>130</v>
      </c>
      <c r="O4" s="84">
        <f t="shared" si="0"/>
        <v>-4987.5</v>
      </c>
      <c r="P4" s="81">
        <v>8</v>
      </c>
      <c r="Q4" s="68">
        <v>-39900</v>
      </c>
    </row>
    <row r="5" spans="1:17" x14ac:dyDescent="0.45">
      <c r="A5" s="21" t="s">
        <v>7</v>
      </c>
      <c r="B5" s="123">
        <f>IF(B$2=0,0,B$4/B$2)</f>
        <v>0.93749999999999822</v>
      </c>
      <c r="C5" s="124"/>
      <c r="E5" s="29" t="s">
        <v>160</v>
      </c>
      <c r="F5" s="26" t="s">
        <v>161</v>
      </c>
      <c r="G5" s="14">
        <v>7</v>
      </c>
      <c r="H5" s="92">
        <f>IF(B$19=0,0,G5/B$19)</f>
        <v>0.41176470588235292</v>
      </c>
      <c r="I5" s="60">
        <v>7</v>
      </c>
      <c r="K5" s="7">
        <v>3</v>
      </c>
      <c r="L5" s="65">
        <v>-41.400000000000006</v>
      </c>
      <c r="N5" s="78" t="s">
        <v>131</v>
      </c>
      <c r="O5" s="84">
        <f t="shared" si="0"/>
        <v>-5850</v>
      </c>
      <c r="P5" s="81">
        <v>6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1.875</v>
      </c>
      <c r="C6" s="138"/>
      <c r="E6" s="29" t="s">
        <v>72</v>
      </c>
      <c r="F6" s="26" t="s">
        <v>27</v>
      </c>
      <c r="G6" s="14">
        <v>6</v>
      </c>
      <c r="H6" s="92">
        <f>IF(B$19=0,0,G6/B$19)</f>
        <v>0.35294117647058826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6160</v>
      </c>
      <c r="P6" s="81">
        <v>5</v>
      </c>
      <c r="Q6" s="68">
        <v>30800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67</v>
      </c>
      <c r="F7" s="26" t="s">
        <v>23</v>
      </c>
      <c r="G7" s="14">
        <v>5</v>
      </c>
      <c r="H7" s="92">
        <f>IF(B$19=0,0,G7/B$19)</f>
        <v>0.29411764705882354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5</v>
      </c>
      <c r="C8" s="8">
        <f t="shared" si="1"/>
        <v>0.625</v>
      </c>
      <c r="E8" s="29" t="s">
        <v>65</v>
      </c>
      <c r="F8" s="26" t="s">
        <v>21</v>
      </c>
      <c r="G8" s="14">
        <v>2</v>
      </c>
      <c r="H8" s="92">
        <f>IF(B$19=0,0,G8/B$19)</f>
        <v>0.11764705882352941</v>
      </c>
      <c r="I8" s="60">
        <v>3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0.125</v>
      </c>
      <c r="E9" s="29" t="s">
        <v>71</v>
      </c>
      <c r="F9" s="26" t="s">
        <v>26</v>
      </c>
      <c r="G9" s="14">
        <v>2</v>
      </c>
      <c r="H9" s="92">
        <f>IF(B$19=0,0,G9/B$19)</f>
        <v>0.11764705882352941</v>
      </c>
      <c r="I9" s="60">
        <v>2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0.11764705882352941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5.333333333333333</v>
      </c>
      <c r="P10" s="80">
        <v>3</v>
      </c>
      <c r="Q10" s="71">
        <v>16</v>
      </c>
    </row>
    <row r="11" spans="1:17" x14ac:dyDescent="0.45">
      <c r="A11" s="22" t="s">
        <v>186</v>
      </c>
      <c r="B11" s="113">
        <f>IF(B8=0,0,C11/B8)</f>
        <v>-17</v>
      </c>
      <c r="C11" s="114">
        <v>-85</v>
      </c>
      <c r="E11" s="29" t="s">
        <v>73</v>
      </c>
      <c r="F11" s="26" t="s">
        <v>28</v>
      </c>
      <c r="G11" s="14">
        <v>1</v>
      </c>
      <c r="H11" s="92">
        <f>IF(B$19=0,0,G11/B$19)</f>
        <v>5.8823529411764705E-2</v>
      </c>
      <c r="I11" s="60">
        <v>1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77</v>
      </c>
      <c r="F12" s="26" t="s">
        <v>32</v>
      </c>
      <c r="G12" s="14">
        <v>1</v>
      </c>
      <c r="H12" s="92">
        <f>IF(B$19=0,0,G12/B$19)</f>
        <v>5.8823529411764705E-2</v>
      </c>
      <c r="I12" s="60">
        <v>2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7.6166666666666663</v>
      </c>
      <c r="C13" s="124"/>
      <c r="E13" s="29" t="s">
        <v>89</v>
      </c>
      <c r="F13" s="26" t="s">
        <v>44</v>
      </c>
      <c r="G13" s="14">
        <v>1</v>
      </c>
      <c r="H13" s="92">
        <f>IF(B$19=0,0,G13/B$19)</f>
        <v>5.8823529411764705E-2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69</v>
      </c>
      <c r="F14" s="26" t="s">
        <v>24</v>
      </c>
      <c r="G14" s="14">
        <v>0</v>
      </c>
      <c r="H14" s="92">
        <f>IF(B$19=0,0,G14/B$19)</f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0.29230769230769232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8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9</v>
      </c>
      <c r="C16" s="8">
        <f>IF(B$3=0,0,B16/B$3)</f>
        <v>0.13846153846153847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19.342857142857149</v>
      </c>
      <c r="P16" s="81">
        <v>7</v>
      </c>
      <c r="Q16" s="72">
        <v>135.40000000000003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0.68421052631578949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164</v>
      </c>
      <c r="O17" s="87">
        <f>IF(P17=0,0,Q17/P17)</f>
        <v>0.29999999999999832</v>
      </c>
      <c r="P17" s="81">
        <v>3</v>
      </c>
      <c r="Q17" s="72">
        <v>0.89999999999999503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17</v>
      </c>
      <c r="C19" s="6">
        <f>IF(B$3=0,0,B19/B$3)</f>
        <v>0.26153846153846155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7.6923076923076927E-2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0.52941176470588236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8</v>
      </c>
      <c r="C22" s="8">
        <f>IF(B$19=0,0,B22/B$19)</f>
        <v>0.47058823529411764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13</v>
      </c>
      <c r="C23" s="8">
        <f>IF(B$19=0,0,B23/B$19)</f>
        <v>0.76470588235294112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0.17647058823529413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1</v>
      </c>
      <c r="C25" s="8">
        <f>IF(B$19=0,0,B25/B$19)</f>
        <v>5.8823529411764705E-2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7964.7058823529414</v>
      </c>
      <c r="C26" s="10">
        <v>135400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8221.4285714285706</v>
      </c>
      <c r="C27" s="100">
        <v>115100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6766.666666666667</v>
      </c>
      <c r="C28" s="100">
        <v>20300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18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0.11764705882352941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0.17647058823529413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2"/>
        <v>0.29411764705882354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0.17647058823529413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5.8823529411764705E-2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0.11764705882352941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5.8823529411764705E-2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F11D9-06F1-4160-901B-87898ED5DA9E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12</v>
      </c>
      <c r="C2" s="132"/>
      <c r="E2" s="28" t="s">
        <v>66</v>
      </c>
      <c r="F2" s="25" t="s">
        <v>22</v>
      </c>
      <c r="G2" s="13">
        <v>31</v>
      </c>
      <c r="H2" s="91">
        <f>IF(B$19=0,0,G2/B$19)</f>
        <v>1.0689655172413792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4241.666666666667</v>
      </c>
      <c r="P2" s="80">
        <v>12</v>
      </c>
      <c r="Q2" s="67">
        <v>50900</v>
      </c>
    </row>
    <row r="3" spans="1:17" x14ac:dyDescent="0.45">
      <c r="A3" s="21" t="s">
        <v>8</v>
      </c>
      <c r="B3" s="133">
        <v>90</v>
      </c>
      <c r="C3" s="134"/>
      <c r="E3" s="29" t="s">
        <v>72</v>
      </c>
      <c r="F3" s="26" t="s">
        <v>27</v>
      </c>
      <c r="G3" s="14">
        <v>18</v>
      </c>
      <c r="H3" s="92">
        <f>IF(B$19=0,0,G3/B$19)</f>
        <v>0.62068965517241381</v>
      </c>
      <c r="I3" s="60">
        <v>3</v>
      </c>
      <c r="K3" s="7">
        <v>1</v>
      </c>
      <c r="L3" s="65">
        <v>68.2</v>
      </c>
      <c r="N3" s="78" t="s">
        <v>129</v>
      </c>
      <c r="O3" s="84">
        <f t="shared" si="0"/>
        <v>-8866.6666666666661</v>
      </c>
      <c r="P3" s="81">
        <v>12</v>
      </c>
      <c r="Q3" s="68">
        <v>-106400</v>
      </c>
    </row>
    <row r="4" spans="1:17" x14ac:dyDescent="0.45">
      <c r="A4" s="21" t="s">
        <v>6</v>
      </c>
      <c r="B4" s="135">
        <v>-108.5</v>
      </c>
      <c r="C4" s="136"/>
      <c r="E4" s="29" t="s">
        <v>64</v>
      </c>
      <c r="F4" s="26" t="s">
        <v>20</v>
      </c>
      <c r="G4" s="14">
        <v>8</v>
      </c>
      <c r="H4" s="92">
        <f>IF(B$19=0,0,G4/B$19)</f>
        <v>0.27586206896551724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-1336.3636363636363</v>
      </c>
      <c r="P4" s="81">
        <v>11</v>
      </c>
      <c r="Q4" s="68">
        <v>-14700</v>
      </c>
    </row>
    <row r="5" spans="1:17" x14ac:dyDescent="0.45">
      <c r="A5" s="21" t="s">
        <v>7</v>
      </c>
      <c r="B5" s="123">
        <f>IF(B$2=0,0,B$4/B$2)</f>
        <v>-9.0416666666666661</v>
      </c>
      <c r="C5" s="124"/>
      <c r="E5" s="29" t="s">
        <v>160</v>
      </c>
      <c r="F5" s="26" t="s">
        <v>161</v>
      </c>
      <c r="G5" s="14">
        <v>8</v>
      </c>
      <c r="H5" s="92">
        <f>IF(B$19=0,0,G5/B$19)</f>
        <v>0.27586206896551724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-3500</v>
      </c>
      <c r="P5" s="81">
        <v>9</v>
      </c>
      <c r="Q5" s="68">
        <v>-31500</v>
      </c>
    </row>
    <row r="6" spans="1:17" x14ac:dyDescent="0.45">
      <c r="A6" s="21" t="s">
        <v>1</v>
      </c>
      <c r="B6" s="137">
        <f>IF(B$2=0,0,(B$7*1+B$8*2+B$9*3)/B$2)</f>
        <v>2.25</v>
      </c>
      <c r="C6" s="138"/>
      <c r="E6" s="29" t="s">
        <v>68</v>
      </c>
      <c r="F6" s="26" t="s">
        <v>12</v>
      </c>
      <c r="G6" s="14">
        <v>7</v>
      </c>
      <c r="H6" s="92">
        <f>IF(B$19=0,0,G6/B$19)</f>
        <v>0.2413793103448276</v>
      </c>
      <c r="I6" s="60">
        <v>10</v>
      </c>
      <c r="K6" s="7">
        <v>4</v>
      </c>
      <c r="L6" s="65">
        <v>-41.199999999999996</v>
      </c>
      <c r="N6" s="78" t="s">
        <v>132</v>
      </c>
      <c r="O6" s="84">
        <f t="shared" si="0"/>
        <v>4100</v>
      </c>
      <c r="P6" s="81">
        <v>8</v>
      </c>
      <c r="Q6" s="68">
        <v>32800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0.25</v>
      </c>
      <c r="E7" s="29" t="s">
        <v>70</v>
      </c>
      <c r="F7" s="26" t="s">
        <v>25</v>
      </c>
      <c r="G7" s="14">
        <v>6</v>
      </c>
      <c r="H7" s="92">
        <f>IF(B$19=0,0,G7/B$19)</f>
        <v>0.20689655172413793</v>
      </c>
      <c r="I7" s="60">
        <v>1</v>
      </c>
      <c r="K7" s="7">
        <v>5</v>
      </c>
      <c r="L7" s="65">
        <v>-72.899999999999991</v>
      </c>
      <c r="N7" s="79" t="s">
        <v>133</v>
      </c>
      <c r="O7" s="85">
        <f t="shared" si="0"/>
        <v>-1371.4285714285713</v>
      </c>
      <c r="P7" s="82">
        <v>7</v>
      </c>
      <c r="Q7" s="69">
        <v>-9600</v>
      </c>
    </row>
    <row r="8" spans="1:17" x14ac:dyDescent="0.45">
      <c r="A8" s="21" t="s">
        <v>3</v>
      </c>
      <c r="B8" s="14">
        <v>3</v>
      </c>
      <c r="C8" s="8">
        <f t="shared" si="1"/>
        <v>0.25</v>
      </c>
      <c r="E8" s="29" t="s">
        <v>89</v>
      </c>
      <c r="F8" s="26" t="s">
        <v>44</v>
      </c>
      <c r="G8" s="14">
        <v>6</v>
      </c>
      <c r="H8" s="92">
        <f>IF(B$19=0,0,G8/B$19)</f>
        <v>0.20689655172413793</v>
      </c>
      <c r="I8" s="60">
        <v>1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1"/>
        <v>0.5</v>
      </c>
      <c r="E9" s="29" t="s">
        <v>69</v>
      </c>
      <c r="F9" s="26" t="s">
        <v>24</v>
      </c>
      <c r="G9" s="14">
        <v>4</v>
      </c>
      <c r="H9" s="92">
        <f>IF(B$19=0,0,G9/B$19)</f>
        <v>0.13793103448275862</v>
      </c>
      <c r="I9" s="60">
        <v>2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45.033333333333331</v>
      </c>
      <c r="C10" s="114">
        <v>135.1</v>
      </c>
      <c r="E10" s="29" t="s">
        <v>65</v>
      </c>
      <c r="F10" s="26" t="s">
        <v>21</v>
      </c>
      <c r="G10" s="14">
        <v>3</v>
      </c>
      <c r="H10" s="92">
        <f>IF(B$19=0,0,G10/B$19)</f>
        <v>0.10344827586206896</v>
      </c>
      <c r="I10" s="60">
        <v>6</v>
      </c>
      <c r="K10" s="7">
        <v>8</v>
      </c>
      <c r="L10" s="65">
        <v>-128.6</v>
      </c>
      <c r="N10" s="77" t="s">
        <v>152</v>
      </c>
      <c r="O10" s="86">
        <f>IF(P10=0,0,Q10/P10)</f>
        <v>9.0500000000000007</v>
      </c>
      <c r="P10" s="80">
        <v>6</v>
      </c>
      <c r="Q10" s="71">
        <v>54.300000000000004</v>
      </c>
    </row>
    <row r="11" spans="1:17" x14ac:dyDescent="0.45">
      <c r="A11" s="22" t="s">
        <v>186</v>
      </c>
      <c r="B11" s="113">
        <f>IF(B8=0,0,C11/B8)</f>
        <v>2.5333333333333337</v>
      </c>
      <c r="C11" s="114">
        <v>7.6000000000000014</v>
      </c>
      <c r="E11" s="29" t="s">
        <v>67</v>
      </c>
      <c r="F11" s="26" t="s">
        <v>23</v>
      </c>
      <c r="G11" s="14">
        <v>3</v>
      </c>
      <c r="H11" s="92">
        <f>IF(B$19=0,0,G11/B$19)</f>
        <v>0.10344827586206896</v>
      </c>
      <c r="I11" s="60">
        <v>10</v>
      </c>
      <c r="K11" s="7">
        <v>9</v>
      </c>
      <c r="L11" s="65">
        <v>-120</v>
      </c>
      <c r="N11" s="78" t="s">
        <v>153</v>
      </c>
      <c r="O11" s="87">
        <f>IF(P11=0,0,Q11/P11)</f>
        <v>-10.9</v>
      </c>
      <c r="P11" s="81">
        <v>3</v>
      </c>
      <c r="Q11" s="72">
        <v>-32.700000000000003</v>
      </c>
    </row>
    <row r="12" spans="1:17" x14ac:dyDescent="0.45">
      <c r="A12" s="22" t="s">
        <v>187</v>
      </c>
      <c r="B12" s="113">
        <f>IF(B9=0,0,C12/B9)</f>
        <v>-41.866666666666667</v>
      </c>
      <c r="C12" s="114">
        <v>-251.2</v>
      </c>
      <c r="E12" s="29" t="s">
        <v>71</v>
      </c>
      <c r="F12" s="26" t="s">
        <v>26</v>
      </c>
      <c r="G12" s="14">
        <v>3</v>
      </c>
      <c r="H12" s="92">
        <f>IF(B$19=0,0,G12/B$19)</f>
        <v>0.10344827586206896</v>
      </c>
      <c r="I12" s="60">
        <v>3</v>
      </c>
      <c r="K12" s="7">
        <v>10</v>
      </c>
      <c r="L12" s="65">
        <v>-112.8</v>
      </c>
      <c r="N12" s="79" t="s">
        <v>154</v>
      </c>
      <c r="O12" s="88">
        <f>IF(P12=0,0,Q12/P12)</f>
        <v>-43.366666666666667</v>
      </c>
      <c r="P12" s="82">
        <v>3</v>
      </c>
      <c r="Q12" s="73">
        <v>-130.1</v>
      </c>
    </row>
    <row r="13" spans="1:17" x14ac:dyDescent="0.45">
      <c r="A13" s="22" t="s">
        <v>188</v>
      </c>
      <c r="B13" s="123">
        <f>AVERAGE(B10:B12)</f>
        <v>1.8999999999999986</v>
      </c>
      <c r="C13" s="124"/>
      <c r="E13" s="29" t="s">
        <v>78</v>
      </c>
      <c r="F13" s="26" t="s">
        <v>33</v>
      </c>
      <c r="G13" s="14">
        <v>3</v>
      </c>
      <c r="H13" s="92">
        <f>IF(B$19=0,0,G13/B$19)</f>
        <v>0.10344827586206896</v>
      </c>
      <c r="I13" s="60">
        <v>1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0.25</v>
      </c>
      <c r="E14" s="29" t="s">
        <v>83</v>
      </c>
      <c r="F14" s="26" t="s">
        <v>38</v>
      </c>
      <c r="G14" s="14">
        <v>3</v>
      </c>
      <c r="H14" s="92">
        <f>IF(B$19=0,0,G14/B$19)</f>
        <v>0.10344827586206896</v>
      </c>
      <c r="I14" s="60">
        <v>2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13</v>
      </c>
      <c r="C15" s="12">
        <f>IF(B$3=0,0,B15/B$3)</f>
        <v>0.14444444444444443</v>
      </c>
      <c r="E15" s="29" t="s">
        <v>86</v>
      </c>
      <c r="F15" s="26" t="s">
        <v>41</v>
      </c>
      <c r="G15" s="14">
        <v>1</v>
      </c>
      <c r="H15" s="92">
        <f>IF(B$19=0,0,G15/B$19)</f>
        <v>3.4482758620689655E-2</v>
      </c>
      <c r="I15" s="60">
        <v>7</v>
      </c>
      <c r="N15" s="77" t="s">
        <v>192</v>
      </c>
      <c r="O15" s="86">
        <f>IF(P15=0,0,Q15/P15)</f>
        <v>12.375</v>
      </c>
      <c r="P15" s="80">
        <v>4</v>
      </c>
      <c r="Q15" s="71">
        <v>49.5</v>
      </c>
    </row>
    <row r="16" spans="1:17" x14ac:dyDescent="0.45">
      <c r="A16" s="21" t="s">
        <v>118</v>
      </c>
      <c r="B16" s="14">
        <v>31</v>
      </c>
      <c r="C16" s="8">
        <f>IF(B$3=0,0,B16/B$3)</f>
        <v>0.34444444444444444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194</v>
      </c>
      <c r="O16" s="87">
        <f>IF(P16=0,0,Q16/P16)</f>
        <v>8.9499999999999993</v>
      </c>
      <c r="P16" s="81">
        <v>4</v>
      </c>
      <c r="Q16" s="72">
        <v>35.799999999999997</v>
      </c>
    </row>
    <row r="17" spans="1:17" x14ac:dyDescent="0.45">
      <c r="A17" s="20" t="s">
        <v>123</v>
      </c>
      <c r="B17" s="13">
        <f>B23</f>
        <v>9</v>
      </c>
      <c r="C17" s="6">
        <f>IF(B$15=0,0,B17/B$15)</f>
        <v>0.69230769230769229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-21.218181818181822</v>
      </c>
      <c r="P17" s="81">
        <v>11</v>
      </c>
      <c r="Q17" s="72">
        <v>-233.40000000000003</v>
      </c>
    </row>
    <row r="18" spans="1:17" x14ac:dyDescent="0.45">
      <c r="A18" s="20" t="s">
        <v>124</v>
      </c>
      <c r="B18" s="13">
        <f>B24</f>
        <v>8</v>
      </c>
      <c r="C18" s="6">
        <f>IF(B$16=0,0,B18/B$16)</f>
        <v>0.25806451612903225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  <c r="N18" s="78" t="s">
        <v>164</v>
      </c>
      <c r="O18" s="87">
        <f>IF(P18=0,0,Q18/P18)</f>
        <v>-29.925000000000004</v>
      </c>
      <c r="P18" s="81">
        <v>4</v>
      </c>
      <c r="Q18" s="72">
        <v>-119.70000000000002</v>
      </c>
    </row>
    <row r="19" spans="1:17" x14ac:dyDescent="0.45">
      <c r="A19" s="20" t="s">
        <v>10</v>
      </c>
      <c r="B19" s="13">
        <f>B22+B21</f>
        <v>29</v>
      </c>
      <c r="C19" s="6">
        <f>IF(B$3=0,0,B19/B$3)</f>
        <v>0.32222222222222224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  <c r="N19" s="78" t="s">
        <v>189</v>
      </c>
      <c r="O19" s="87">
        <f>IF(P19=0,0,Q19/P19)</f>
        <v>-57.7</v>
      </c>
      <c r="P19" s="81">
        <v>1</v>
      </c>
      <c r="Q19" s="72">
        <v>-57.7</v>
      </c>
    </row>
    <row r="20" spans="1:17" x14ac:dyDescent="0.45">
      <c r="A20" s="21" t="s">
        <v>13</v>
      </c>
      <c r="B20" s="14">
        <v>22</v>
      </c>
      <c r="C20" s="8">
        <f>IF(B$3=0,0,B20/B$3)</f>
        <v>0.24444444444444444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4</v>
      </c>
    </row>
    <row r="21" spans="1:17" x14ac:dyDescent="0.45">
      <c r="A21" s="21" t="s">
        <v>12</v>
      </c>
      <c r="B21" s="14">
        <v>10</v>
      </c>
      <c r="C21" s="8">
        <f>IF(B$19=0,0,B21/B$19)</f>
        <v>0.34482758620689657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6</v>
      </c>
    </row>
    <row r="22" spans="1:17" x14ac:dyDescent="0.45">
      <c r="A22" s="21" t="s">
        <v>11</v>
      </c>
      <c r="B22" s="14">
        <v>19</v>
      </c>
      <c r="C22" s="8">
        <f>IF(B$19=0,0,B22/B$19)</f>
        <v>0.65517241379310343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9</v>
      </c>
      <c r="C23" s="8">
        <f>IF(B$19=0,0,B23/B$19)</f>
        <v>0.31034482758620691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7</v>
      </c>
    </row>
    <row r="24" spans="1:17" x14ac:dyDescent="0.45">
      <c r="A24" s="21" t="s">
        <v>182</v>
      </c>
      <c r="B24" s="14">
        <v>8</v>
      </c>
      <c r="C24" s="8">
        <f>IF(B$19=0,0,B24/B$19)</f>
        <v>0.27586206896551724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12</v>
      </c>
      <c r="C25" s="8">
        <f>IF(B$19=0,0,B25/B$19)</f>
        <v>0.41379310344827586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8979.310344827587</v>
      </c>
      <c r="C26" s="10">
        <v>260400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8623.8095238095229</v>
      </c>
      <c r="C27" s="100">
        <v>181100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9912.5</v>
      </c>
      <c r="C28" s="100">
        <v>79300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-9904.545454545454</v>
      </c>
      <c r="C29" s="100">
        <v>-217900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10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0.10344827586206896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8</v>
      </c>
      <c r="C37" s="8">
        <f t="shared" si="2"/>
        <v>0.27586206896551724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2"/>
        <v>0.10344827586206896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5</v>
      </c>
      <c r="C39" s="8">
        <f t="shared" si="2"/>
        <v>0.17241379310344829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0.10344827586206896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6.8965517241379309E-2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3.4482758620689655E-2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2</v>
      </c>
      <c r="C43" s="8">
        <f t="shared" si="2"/>
        <v>6.8965517241379309E-2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2</v>
      </c>
      <c r="C46" s="8">
        <f t="shared" si="2"/>
        <v>6.8965517241379309E-2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CD8D6-8B85-4697-9DB4-6B662179F271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7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5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4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2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3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4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9643-D32B-4786-9A74-C8CE7B847A91}">
  <sheetPr codeName="Sheet24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6FFD8-738C-45B5-98A6-6C73FC1D9DEB}">
  <sheetPr codeName="Sheet22"/>
  <dimension ref="A1:Q1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5429-DF6C-40B8-9CF4-1066A16074E1}">
  <sheetPr codeName="Sheet20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C179A-8756-49C0-BD33-4EEA96C0D57A}">
  <sheetPr codeName="Sheet18"/>
  <dimension ref="A1:Q2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E654-2900-4EDC-9EE1-9CC5F2C70CB1}">
  <sheetPr codeName="Sheet16"/>
  <dimension ref="A1:Q3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6A24-DE2D-43CC-A0CF-AD1848468B32}">
  <sheetPr codeName="Sheet14"/>
  <dimension ref="A1:Q2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73FEB-1E08-4577-B68D-C4F42684FC0D}">
  <sheetPr codeName="Sheet12"/>
  <dimension ref="A1:Q5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6B25-625F-4E86-A808-6031B39D28A2}">
  <sheetPr codeName="Sheet10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C3E4-15CE-42DC-B805-ABCB5CF2957D}">
  <sheetPr codeName="Sheet8"/>
  <dimension ref="A1:Q4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6D08D-88BC-4907-8864-C6AE0DE4B074}">
  <sheetPr codeName="Sheet6"/>
  <dimension ref="A1:Q7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2020-06-10T15:04:12Z</dcterms:modified>
</cp:coreProperties>
</file>