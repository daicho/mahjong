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F96CDDDE-1789-42D1-BE55-F1B512D0749E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7" i="6176"/>
  <c r="O18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5" i="6182" l="1"/>
  <c r="O16" i="6190"/>
  <c r="O16" i="6178"/>
  <c r="O20" i="6186"/>
  <c r="O18" i="6190" l="1"/>
  <c r="O15" i="6178"/>
  <c r="O19" i="6190"/>
  <c r="O15" i="6176"/>
  <c r="O15" i="6184" l="1"/>
  <c r="O18" i="6178"/>
  <c r="O18" i="6180"/>
  <c r="O20" i="6184"/>
  <c r="O16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9" i="6190"/>
  <c r="H26" i="6190"/>
  <c r="C24" i="6190"/>
  <c r="H31" i="6190"/>
  <c r="H18" i="6190"/>
  <c r="H42" i="6190"/>
  <c r="H33" i="6190"/>
  <c r="H3" i="6190"/>
  <c r="H25" i="6190"/>
  <c r="C42" i="6190"/>
  <c r="H11" i="6190"/>
  <c r="C19" i="6190"/>
  <c r="C25" i="6190"/>
  <c r="H36" i="6190"/>
  <c r="H22" i="6190"/>
  <c r="C36" i="6190"/>
  <c r="H48" i="6190"/>
  <c r="C46" i="6190"/>
  <c r="H13" i="6190"/>
  <c r="H27" i="6190"/>
  <c r="H47" i="6190"/>
  <c r="H16" i="6190"/>
  <c r="H23" i="6190"/>
  <c r="C48" i="6190"/>
  <c r="H2" i="6190"/>
  <c r="H43" i="6190"/>
  <c r="H29" i="6190"/>
  <c r="H37" i="6190"/>
  <c r="H12" i="6190"/>
  <c r="H38" i="6190"/>
  <c r="H6" i="6190"/>
  <c r="H17" i="6190"/>
  <c r="H20" i="6190"/>
  <c r="C21" i="6190"/>
  <c r="H30" i="6190"/>
  <c r="H41" i="6190"/>
  <c r="H49" i="6190"/>
  <c r="C38" i="6190"/>
  <c r="H44" i="6190"/>
  <c r="H10" i="6190"/>
  <c r="H14" i="6190"/>
  <c r="B26" i="6190"/>
  <c r="H34" i="6190"/>
  <c r="H39" i="6190"/>
  <c r="C44" i="6190"/>
  <c r="H51" i="6190"/>
  <c r="H15" i="6190"/>
  <c r="H5" i="6190"/>
  <c r="H7" i="6190"/>
  <c r="H19" i="6190"/>
  <c r="H21" i="6190"/>
  <c r="C22" i="6190"/>
  <c r="B27" i="6190"/>
  <c r="H40" i="6190"/>
  <c r="H45" i="6190"/>
  <c r="H4" i="6190"/>
  <c r="C23" i="6190"/>
  <c r="H8" i="6190"/>
  <c r="H35" i="6190"/>
  <c r="C40" i="6190"/>
  <c r="H46" i="6190"/>
  <c r="H52" i="6190"/>
  <c r="C39" i="6190"/>
  <c r="C43" i="6190"/>
  <c r="C47" i="6190"/>
  <c r="H24" i="6190"/>
  <c r="H28" i="6190"/>
  <c r="H32" i="6190"/>
  <c r="C37" i="6190"/>
  <c r="C41" i="6190"/>
  <c r="C45" i="6190"/>
  <c r="O16" i="6180" l="1"/>
  <c r="O19" i="6186"/>
  <c r="O21" i="6176"/>
  <c r="O16" i="6186"/>
  <c r="O15" i="6180" l="1"/>
  <c r="O19" i="6182"/>
  <c r="O18" i="6176"/>
  <c r="O20" i="6176"/>
  <c r="O16" i="6182"/>
  <c r="O18" i="6184"/>
  <c r="O16" i="6188" l="1"/>
  <c r="O18" i="6188"/>
  <c r="O21" i="6184"/>
  <c r="O16" i="6184"/>
  <c r="O17" i="6180"/>
  <c r="O19" i="6180"/>
  <c r="O17" i="6186"/>
  <c r="O15" i="6188"/>
  <c r="O17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17" i="6174"/>
  <c r="O18" i="6186"/>
  <c r="O15" i="6186"/>
  <c r="C34" i="6186"/>
  <c r="B29" i="6186"/>
  <c r="C20" i="6186"/>
  <c r="B19" i="6186"/>
  <c r="H9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9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5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20" i="6180"/>
  <c r="O21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9" i="6178"/>
  <c r="O17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21" i="6174"/>
  <c r="O19" i="6176"/>
  <c r="O16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9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2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18" i="6182"/>
  <c r="C21" i="6182"/>
  <c r="H4" i="6182"/>
  <c r="H35" i="6182"/>
  <c r="H5" i="6182"/>
  <c r="H8" i="6182"/>
  <c r="H21" i="6182"/>
  <c r="C22" i="6182"/>
  <c r="H40" i="6182"/>
  <c r="H31" i="6182"/>
  <c r="H34" i="6182"/>
  <c r="C25" i="6182"/>
  <c r="C40" i="6182"/>
  <c r="H24" i="6182"/>
  <c r="H7" i="6182"/>
  <c r="H17" i="6182"/>
  <c r="H41" i="6182"/>
  <c r="H44" i="6182"/>
  <c r="C44" i="6182"/>
  <c r="H2" i="6182"/>
  <c r="H14" i="6182"/>
  <c r="H19" i="6182"/>
  <c r="B26" i="6182"/>
  <c r="H36" i="6182"/>
  <c r="H45" i="6182"/>
  <c r="H11" i="6182"/>
  <c r="H29" i="6182"/>
  <c r="H39" i="6182"/>
  <c r="C46" i="6182"/>
  <c r="H15" i="6182"/>
  <c r="H12" i="6182"/>
  <c r="H9" i="6182"/>
  <c r="H6" i="6182"/>
  <c r="H10" i="6182"/>
  <c r="H16" i="6182"/>
  <c r="H23" i="6182"/>
  <c r="C39" i="6182"/>
  <c r="H47" i="6182"/>
  <c r="H26" i="6182"/>
  <c r="H30" i="6182"/>
  <c r="C36" i="6182"/>
  <c r="C42" i="6182"/>
  <c r="C47" i="6182"/>
  <c r="H20" i="6182"/>
  <c r="C19" i="6182"/>
  <c r="C24" i="6182"/>
  <c r="H37" i="6182"/>
  <c r="H43" i="6182"/>
  <c r="H48" i="6182"/>
  <c r="H27" i="6182"/>
  <c r="H13" i="6182"/>
  <c r="C38" i="6182"/>
  <c r="C43" i="6182"/>
  <c r="C48" i="6182"/>
  <c r="H26" i="6176"/>
  <c r="H32" i="6176"/>
  <c r="H43" i="6176"/>
  <c r="H22" i="6176"/>
  <c r="H12" i="6176"/>
  <c r="C47" i="6176"/>
  <c r="H48" i="6176"/>
  <c r="H37" i="6176"/>
  <c r="H36" i="6176"/>
  <c r="H6" i="6176"/>
  <c r="C22" i="6176"/>
  <c r="C36" i="6176"/>
  <c r="H25" i="6176"/>
  <c r="H17" i="6176"/>
  <c r="H11" i="6176"/>
  <c r="H15" i="6176"/>
  <c r="B27" i="6176"/>
  <c r="B26" i="6176"/>
  <c r="C40" i="6176"/>
  <c r="H2" i="6176"/>
  <c r="C21" i="6176"/>
  <c r="H3" i="6176"/>
  <c r="H24" i="6176"/>
  <c r="H42" i="6176"/>
  <c r="C40" i="6178"/>
  <c r="C48" i="6178"/>
  <c r="H13" i="6178"/>
  <c r="C22" i="6178"/>
  <c r="H12" i="6178"/>
  <c r="H6" i="6178"/>
  <c r="C47" i="6178"/>
  <c r="H4" i="6178"/>
  <c r="H8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3" i="6178"/>
  <c r="H22" i="6178"/>
  <c r="H10" i="6178"/>
  <c r="H17" i="6178"/>
  <c r="B26" i="6178"/>
  <c r="H35" i="6178"/>
  <c r="H45" i="6178"/>
  <c r="H16" i="6178"/>
  <c r="H19" i="6178"/>
  <c r="H20" i="6178"/>
  <c r="H23" i="6178"/>
  <c r="H7" i="6178"/>
  <c r="C36" i="6178"/>
  <c r="C46" i="6178"/>
  <c r="H11" i="6178"/>
  <c r="H31" i="6178"/>
  <c r="H2" i="6178"/>
  <c r="H27" i="6178"/>
  <c r="H9" i="6178"/>
  <c r="H15" i="6178"/>
  <c r="H18" i="6178"/>
  <c r="C21" i="6178"/>
  <c r="H39" i="6178"/>
  <c r="H47" i="6178"/>
  <c r="H29" i="6180"/>
  <c r="H7" i="6188"/>
  <c r="H40" i="6188"/>
  <c r="H16" i="6184"/>
  <c r="H7" i="6184"/>
  <c r="H11" i="6184"/>
  <c r="H25" i="6184"/>
  <c r="H34" i="6184"/>
  <c r="H21" i="6184"/>
  <c r="C42" i="6184"/>
  <c r="H16" i="6188"/>
  <c r="C19" i="6188"/>
  <c r="H29" i="6188"/>
  <c r="H26" i="6188"/>
  <c r="C39" i="6188"/>
  <c r="C48" i="6188"/>
  <c r="H13" i="6188"/>
  <c r="C40" i="6188"/>
  <c r="H22" i="6188"/>
  <c r="H30" i="6188"/>
  <c r="C43" i="6188"/>
  <c r="H44" i="6188"/>
  <c r="H11" i="6188"/>
  <c r="H2" i="6188"/>
  <c r="H14" i="6188"/>
  <c r="H19" i="6188"/>
  <c r="H23" i="6188"/>
  <c r="H35" i="6188"/>
  <c r="C44" i="6188"/>
  <c r="C21" i="6188"/>
  <c r="H12" i="6188"/>
  <c r="H9" i="6188"/>
  <c r="H36" i="6188"/>
  <c r="C47" i="6188"/>
  <c r="H8" i="6188"/>
  <c r="H6" i="6188"/>
  <c r="H3" i="6188"/>
  <c r="C25" i="6188"/>
  <c r="C36" i="6188"/>
  <c r="H48" i="6188"/>
  <c r="H4" i="6186"/>
  <c r="C19" i="6186"/>
  <c r="H20" i="6186"/>
  <c r="H34" i="6186"/>
  <c r="H21" i="6186"/>
  <c r="H37" i="6186"/>
  <c r="H7" i="6186"/>
  <c r="H18" i="6186"/>
  <c r="H10" i="6186"/>
  <c r="C40" i="6186"/>
  <c r="H15" i="6186"/>
  <c r="C23" i="6186"/>
  <c r="H42" i="6186"/>
  <c r="H5" i="6186"/>
  <c r="H16" i="6186"/>
  <c r="H22" i="6186"/>
  <c r="H28" i="6186"/>
  <c r="C22" i="6186"/>
  <c r="B27" i="6186"/>
  <c r="H23" i="6186"/>
  <c r="H31" i="6186"/>
  <c r="B13" i="6188"/>
  <c r="H17" i="6188"/>
  <c r="H20" i="6188"/>
  <c r="C22" i="6188"/>
  <c r="B26" i="6188"/>
  <c r="H31" i="6188"/>
  <c r="H37" i="6188"/>
  <c r="H41" i="6188"/>
  <c r="H45" i="6188"/>
  <c r="H49" i="6188"/>
  <c r="H24" i="6188"/>
  <c r="H27" i="6188"/>
  <c r="H32" i="6188"/>
  <c r="C37" i="6188"/>
  <c r="C41" i="6188"/>
  <c r="C45" i="6188"/>
  <c r="H50" i="6188"/>
  <c r="H18" i="6188"/>
  <c r="C23" i="6188"/>
  <c r="B27" i="6188"/>
  <c r="H33" i="6188"/>
  <c r="H38" i="6188"/>
  <c r="H42" i="6188"/>
  <c r="H46" i="6188"/>
  <c r="H51" i="6188"/>
  <c r="H4" i="6188"/>
  <c r="H21" i="6188"/>
  <c r="H25" i="6188"/>
  <c r="H28" i="6188"/>
  <c r="H34" i="6188"/>
  <c r="C38" i="6188"/>
  <c r="C42" i="6188"/>
  <c r="C46" i="6188"/>
  <c r="H5" i="6188"/>
  <c r="H10" i="6188"/>
  <c r="H15" i="6188"/>
  <c r="C24" i="6188"/>
  <c r="H39" i="6188"/>
  <c r="H43" i="6188"/>
  <c r="H47" i="6188"/>
  <c r="H27" i="6186"/>
  <c r="H36" i="6186"/>
  <c r="C43" i="6186"/>
  <c r="C44" i="6186"/>
  <c r="H6" i="6186"/>
  <c r="B26" i="6186"/>
  <c r="H46" i="6186"/>
  <c r="H11" i="6186"/>
  <c r="H17" i="6186"/>
  <c r="H19" i="6186"/>
  <c r="C36" i="6186"/>
  <c r="H24" i="6186"/>
  <c r="H30" i="6186"/>
  <c r="H39" i="6186"/>
  <c r="H47" i="6186"/>
  <c r="H12" i="6186"/>
  <c r="H2" i="6186"/>
  <c r="H3" i="6186"/>
  <c r="H14" i="6186"/>
  <c r="C21" i="6186"/>
  <c r="C39" i="6186"/>
  <c r="C47" i="6186"/>
  <c r="C18" i="6186"/>
  <c r="H38" i="6186"/>
  <c r="H43" i="6186"/>
  <c r="H48" i="6186"/>
  <c r="C48" i="6186"/>
  <c r="C24" i="6186"/>
  <c r="H32" i="6186"/>
  <c r="H40" i="6186"/>
  <c r="H44" i="6186"/>
  <c r="H49" i="6186"/>
  <c r="H51" i="6186"/>
  <c r="C25" i="6186"/>
  <c r="H41" i="6186"/>
  <c r="H45" i="6186"/>
  <c r="H52" i="6186"/>
  <c r="B28" i="6186"/>
  <c r="H25" i="6186"/>
  <c r="H29" i="6186"/>
  <c r="H33" i="6186"/>
  <c r="C37" i="6186"/>
  <c r="C41" i="6186"/>
  <c r="C45" i="6186"/>
  <c r="H50" i="6186"/>
  <c r="H13" i="6186"/>
  <c r="H26" i="6186"/>
  <c r="H8" i="6186"/>
  <c r="H35" i="6186"/>
  <c r="C38" i="6186"/>
  <c r="C42" i="6186"/>
  <c r="C46" i="6186"/>
  <c r="H30" i="6174"/>
  <c r="H43" i="6184"/>
  <c r="H14" i="6184"/>
  <c r="H35" i="6184"/>
  <c r="C44" i="6184"/>
  <c r="H3" i="6184"/>
  <c r="H13" i="6184"/>
  <c r="H22" i="6184"/>
  <c r="C22" i="6184"/>
  <c r="H46" i="6184"/>
  <c r="H10" i="6184"/>
  <c r="H6" i="6184"/>
  <c r="C23" i="6184"/>
  <c r="C36" i="6184"/>
  <c r="H48" i="6184"/>
  <c r="H38" i="6184"/>
  <c r="H4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5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2" i="6184"/>
  <c r="H27" i="6184"/>
  <c r="H17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5" i="6182"/>
  <c r="H28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7" i="6180"/>
  <c r="H22" i="6180"/>
  <c r="H19" i="6180"/>
  <c r="H9" i="6180"/>
  <c r="C18" i="6180"/>
  <c r="H24" i="6180"/>
  <c r="C21" i="6180"/>
  <c r="H28" i="6180"/>
  <c r="H36" i="6180"/>
  <c r="H13" i="6180"/>
  <c r="C40" i="6180"/>
  <c r="H3" i="6180"/>
  <c r="H17" i="6180"/>
  <c r="C22" i="6180"/>
  <c r="H42" i="6180"/>
  <c r="H2" i="6180"/>
  <c r="H26" i="6180"/>
  <c r="H4" i="6180"/>
  <c r="C25" i="6180"/>
  <c r="C42" i="6180"/>
  <c r="H46" i="6180"/>
  <c r="H15" i="6180"/>
  <c r="C46" i="6180"/>
  <c r="B26" i="6180"/>
  <c r="H37" i="6180"/>
  <c r="H48" i="6180"/>
  <c r="H7" i="6180"/>
  <c r="H14" i="6180"/>
  <c r="H8" i="6180"/>
  <c r="H40" i="6180"/>
  <c r="H49" i="6180"/>
  <c r="H30" i="6180"/>
  <c r="H41" i="6180"/>
  <c r="C48" i="6180"/>
  <c r="H32" i="6180"/>
  <c r="H34" i="6180"/>
  <c r="C36" i="6180"/>
  <c r="H44" i="6180"/>
  <c r="H50" i="6180"/>
  <c r="H10" i="6180"/>
  <c r="H6" i="6180"/>
  <c r="H12" i="6180"/>
  <c r="H25" i="6180"/>
  <c r="C19" i="6180"/>
  <c r="C24" i="6180"/>
  <c r="H38" i="6180"/>
  <c r="H45" i="6180"/>
  <c r="H5" i="6180"/>
  <c r="H21" i="6180"/>
  <c r="H11" i="6180"/>
  <c r="H23" i="6180"/>
  <c r="C38" i="6180"/>
  <c r="C44" i="6180"/>
  <c r="H52" i="6180"/>
  <c r="C39" i="6180"/>
  <c r="C43" i="6180"/>
  <c r="C47" i="6180"/>
  <c r="H31" i="6180"/>
  <c r="H33" i="6180"/>
  <c r="H18" i="6180"/>
  <c r="C37" i="6180"/>
  <c r="C41" i="6180"/>
  <c r="C45" i="6180"/>
  <c r="H51" i="6180"/>
  <c r="H20" i="6180"/>
  <c r="C23" i="6180"/>
  <c r="B27" i="6180"/>
  <c r="H35" i="6180"/>
  <c r="H39" i="6180"/>
  <c r="H43" i="6180"/>
  <c r="H47" i="6180"/>
  <c r="C18" i="6174"/>
  <c r="H7" i="6174"/>
  <c r="C36" i="6174"/>
  <c r="H38" i="6174"/>
  <c r="H27" i="6174"/>
  <c r="H43" i="6174"/>
  <c r="H29" i="6174"/>
  <c r="H24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0" i="6176"/>
  <c r="H18" i="6176"/>
  <c r="H40" i="6176"/>
  <c r="H45" i="6176"/>
  <c r="H50" i="6176"/>
  <c r="H23" i="6176"/>
  <c r="H20" i="6176"/>
  <c r="H8" i="6176"/>
  <c r="H7" i="6176"/>
  <c r="H13" i="6176"/>
  <c r="H34" i="6176"/>
  <c r="C39" i="6176"/>
  <c r="C44" i="6176"/>
  <c r="H21" i="6176"/>
  <c r="C24" i="6176"/>
  <c r="H14" i="6176"/>
  <c r="C43" i="6176"/>
  <c r="C25" i="6176"/>
  <c r="H19" i="6176"/>
  <c r="H27" i="6176"/>
  <c r="H30" i="6176"/>
  <c r="H41" i="6176"/>
  <c r="H46" i="6176"/>
  <c r="H52" i="6176"/>
  <c r="H28" i="6176"/>
  <c r="H31" i="6176"/>
  <c r="H33" i="6176"/>
  <c r="C37" i="6176"/>
  <c r="C41" i="6176"/>
  <c r="C45" i="6176"/>
  <c r="H51" i="6176"/>
  <c r="H5" i="6176"/>
  <c r="H16" i="6176"/>
  <c r="H29" i="6176"/>
  <c r="H9" i="6176"/>
  <c r="H35" i="6176"/>
  <c r="C38" i="6176"/>
  <c r="C42" i="6176"/>
  <c r="C46" i="6176"/>
  <c r="H49" i="6174"/>
  <c r="C48" i="6174"/>
  <c r="C38" i="6174"/>
  <c r="H11" i="6174"/>
  <c r="H33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28" i="6174"/>
  <c r="H15" i="6174"/>
  <c r="H17" i="6174"/>
  <c r="H36" i="6174"/>
  <c r="C44" i="6174"/>
  <c r="H26" i="6174"/>
  <c r="H42" i="6174"/>
  <c r="H46" i="6174"/>
  <c r="H5" i="6174"/>
  <c r="H39" i="6174"/>
  <c r="H25" i="6174"/>
  <c r="H18" i="6174"/>
  <c r="H44" i="6174"/>
  <c r="H41" i="6174"/>
  <c r="H22" i="6174"/>
  <c r="H2" i="6174"/>
  <c r="H3" i="6174"/>
  <c r="H21" i="6174"/>
  <c r="C21" i="6174"/>
  <c r="B26" i="6174"/>
  <c r="C40" i="6174"/>
  <c r="H47" i="6174"/>
  <c r="H52" i="6174"/>
  <c r="H16" i="6174"/>
  <c r="H31" i="6174"/>
  <c r="H14" i="6174"/>
  <c r="H35" i="6174"/>
  <c r="H37" i="6174"/>
  <c r="C39" i="6174"/>
  <c r="C43" i="6174"/>
  <c r="C47" i="6174"/>
  <c r="H32" i="6174"/>
  <c r="H34" i="6174"/>
  <c r="H23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<sst xmlns="http://schemas.openxmlformats.org/spreadsheetml/2006/main" count="2627" uniqueCount="214">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</sst>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全体!$K$2:$K$143</c:f>
              <c:numCache>
                <c:formatCode>General</c:formatCode>
                <c:ptCount val="1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</c:numCache>
            </c:numRef>
          </c:xVal>
          <c:yVal>
            <c:numRef>
              <c:f>全体!$L$2:$L$143</c:f>
              <c:numCache>
                <c:formatCode>\+0.0;\-0.0;\±0</c:formatCode>
                <c:ptCount val="14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-7.2463768115942031</c:v>
                </c:pt>
                <c:pt idx="1">
                  <c:v>-7.4074074074074074</c:v>
                </c:pt>
                <c:pt idx="2">
                  <c:v>-7.5757575757575761</c:v>
                </c:pt>
                <c:pt idx="3">
                  <c:v>18.518518518518519</c:v>
                </c:pt>
                <c:pt idx="4">
                  <c:v>-62.5</c:v>
                </c:pt>
                <c:pt idx="5">
                  <c:v>83.333333333333329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22</c:v>
                </c:pt>
                <c:pt idx="1">
                  <c:v>48</c:v>
                </c:pt>
                <c:pt idx="2">
                  <c:v>51</c:v>
                </c:pt>
                <c:pt idx="3">
                  <c:v>60</c:v>
                </c:pt>
                <c:pt idx="4">
                  <c:v>48</c:v>
                </c:pt>
                <c:pt idx="5">
                  <c:v>25</c:v>
                </c:pt>
                <c:pt idx="6">
                  <c:v>21</c:v>
                </c:pt>
                <c:pt idx="7">
                  <c:v>7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-2530.4347826086955</c:v>
                </c:pt>
                <c:pt idx="1">
                  <c:v>860.86956521739125</c:v>
                </c:pt>
                <c:pt idx="2">
                  <c:v>-856.52173913043475</c:v>
                </c:pt>
                <c:pt idx="3">
                  <c:v>-4805</c:v>
                </c:pt>
                <c:pt idx="4">
                  <c:v>1170</c:v>
                </c:pt>
                <c:pt idx="5">
                  <c:v>5487.5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16</c:v>
                </c:pt>
                <c:pt idx="4">
                  <c:v>10</c:v>
                </c:pt>
                <c:pt idx="5">
                  <c:v>3</c:v>
                </c:pt>
                <c:pt idx="6">
                  <c:v>6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2316.6666666666665</c:v>
                </c:pt>
                <c:pt idx="1">
                  <c:v>142.85714285714286</c:v>
                </c:pt>
                <c:pt idx="2">
                  <c:v>-3385.7142857142858</c:v>
                </c:pt>
                <c:pt idx="3">
                  <c:v>2485.7142857142858</c:v>
                </c:pt>
                <c:pt idx="4">
                  <c:v>1000</c:v>
                </c:pt>
                <c:pt idx="5">
                  <c:v>-6916.666666666667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だいち!$L$2:$L$37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117.14285714285714</c:v>
                </c:pt>
                <c:pt idx="1">
                  <c:v>4864.7058823529414</c:v>
                </c:pt>
                <c:pt idx="2">
                  <c:v>5969.69696969697</c:v>
                </c:pt>
                <c:pt idx="3">
                  <c:v>4585.1851851851852</c:v>
                </c:pt>
                <c:pt idx="4">
                  <c:v>-856</c:v>
                </c:pt>
                <c:pt idx="5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6</c:v>
                </c:pt>
                <c:pt idx="1">
                  <c:v>14</c:v>
                </c:pt>
                <c:pt idx="2">
                  <c:v>15</c:v>
                </c:pt>
                <c:pt idx="3">
                  <c:v>18</c:v>
                </c:pt>
                <c:pt idx="4">
                  <c:v>18</c:v>
                </c:pt>
                <c:pt idx="5">
                  <c:v>7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-6392.8571428571431</c:v>
                </c:pt>
                <c:pt idx="1">
                  <c:v>-2300</c:v>
                </c:pt>
                <c:pt idx="2">
                  <c:v>-8558.3333333333339</c:v>
                </c:pt>
                <c:pt idx="3">
                  <c:v>2325</c:v>
                </c:pt>
                <c:pt idx="4">
                  <c:v>400</c:v>
                </c:pt>
                <c:pt idx="5">
                  <c:v>-2850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1620</c:v>
                </c:pt>
                <c:pt idx="1">
                  <c:v>-1496</c:v>
                </c:pt>
                <c:pt idx="2">
                  <c:v>-604</c:v>
                </c:pt>
                <c:pt idx="3">
                  <c:v>-395.45454545454544</c:v>
                </c:pt>
                <c:pt idx="4">
                  <c:v>-1752.6315789473683</c:v>
                </c:pt>
                <c:pt idx="5">
                  <c:v>581.25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14</c:v>
                </c:pt>
                <c:pt idx="3">
                  <c:v>10</c:v>
                </c:pt>
                <c:pt idx="4">
                  <c:v>4</c:v>
                </c:pt>
                <c:pt idx="5">
                  <c:v>2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-3715.3846153846152</c:v>
                </c:pt>
                <c:pt idx="1">
                  <c:v>-1633.3333333333333</c:v>
                </c:pt>
                <c:pt idx="2">
                  <c:v>6016.666666666667</c:v>
                </c:pt>
                <c:pt idx="3">
                  <c:v>-888.88888888888891</c:v>
                </c:pt>
                <c:pt idx="4">
                  <c:v>4683.333333333333</c:v>
                </c:pt>
                <c:pt idx="5">
                  <c:v>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6</c:v>
                </c:pt>
                <c:pt idx="3">
                  <c:v>5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-8580</c:v>
                </c:pt>
                <c:pt idx="3">
                  <c:v>-4133.333333333333</c:v>
                </c:pt>
                <c:pt idx="4">
                  <c:v>4000</c:v>
                </c:pt>
                <c:pt idx="5">
                  <c:v>-3550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7137.5</c:v>
                </c:pt>
                <c:pt idx="1">
                  <c:v>-12112.5</c:v>
                </c:pt>
                <c:pt idx="2">
                  <c:v>-3357.1428571428573</c:v>
                </c:pt>
                <c:pt idx="3">
                  <c:v>-4400</c:v>
                </c:pt>
                <c:pt idx="4">
                  <c:v>2950</c:v>
                </c:pt>
                <c:pt idx="5">
                  <c:v>-3775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ぱぱ2!$B$3:$B$12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ぱぱ2!$C$3:$C$12</c:f>
              <c:numCache>
                <c:formatCode>\+0.0;\-0.0;\±0</c:formatCode>
                <c:ptCount val="10"/>
                <c:pt idx="1">
                  <c:v>-27.3</c:v>
                </c:pt>
                <c:pt idx="2">
                  <c:v>-18.399999999999999</c:v>
                </c:pt>
                <c:pt idx="3">
                  <c:v>-20.666666666666668</c:v>
                </c:pt>
                <c:pt idx="4">
                  <c:v>-16.074999999999999</c:v>
                </c:pt>
                <c:pt idx="5">
                  <c:v>-8.4599999999999991</c:v>
                </c:pt>
                <c:pt idx="6">
                  <c:v>4.6166666666666671</c:v>
                </c:pt>
                <c:pt idx="7">
                  <c:v>-0.59999999999999942</c:v>
                </c:pt>
                <c:pt idx="8">
                  <c:v>-2.4124999999999996</c:v>
                </c:pt>
                <c:pt idx="9">
                  <c:v>-4.6222222222222218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ぱぱ2!$D$3:$D$12</c:f>
              <c:numCache>
                <c:formatCode>0.00\ "位"</c:formatCode>
                <c:ptCount val="10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2.125</c:v>
                </c:pt>
                <c:pt idx="9">
                  <c:v>2.1111111111111112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ぱぱ2!$E$3:$E$12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ぱぱ2!$F$3:$F$12</c:f>
              <c:numCache>
                <c:formatCode>0.0%</c:formatCode>
                <c:ptCount val="1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ぱぱ2!$G$3:$G$12</c:f>
              <c:numCache>
                <c:formatCode>0.0%</c:formatCode>
                <c:ptCount val="10"/>
                <c:pt idx="1">
                  <c:v>0.14285714285714285</c:v>
                </c:pt>
                <c:pt idx="2">
                  <c:v>0.1875</c:v>
                </c:pt>
                <c:pt idx="3">
                  <c:v>0.25806451612903225</c:v>
                </c:pt>
                <c:pt idx="4">
                  <c:v>0.26315789473684209</c:v>
                </c:pt>
                <c:pt idx="5">
                  <c:v>0.29545454545454547</c:v>
                </c:pt>
                <c:pt idx="6">
                  <c:v>0.35416666666666669</c:v>
                </c:pt>
                <c:pt idx="7">
                  <c:v>0.33333333333333331</c:v>
                </c:pt>
                <c:pt idx="8">
                  <c:v>0.3188405797101449</c:v>
                </c:pt>
                <c:pt idx="9">
                  <c:v>0.3108108108108108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787439613526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ぱぱ2!$H$3:$H$12</c:f>
              <c:numCache>
                <c:formatCode>0.0%</c:formatCode>
                <c:ptCount val="10"/>
                <c:pt idx="1">
                  <c:v>0.42857142857142855</c:v>
                </c:pt>
                <c:pt idx="2">
                  <c:v>0.25</c:v>
                </c:pt>
                <c:pt idx="3">
                  <c:v>0.25806451612903225</c:v>
                </c:pt>
                <c:pt idx="4">
                  <c:v>0.21052631578947367</c:v>
                </c:pt>
                <c:pt idx="5">
                  <c:v>0.18181818181818182</c:v>
                </c:pt>
                <c:pt idx="6">
                  <c:v>0.16666666666666666</c:v>
                </c:pt>
                <c:pt idx="7">
                  <c:v>0.17460317460317459</c:v>
                </c:pt>
                <c:pt idx="8">
                  <c:v>0.17391304347826086</c:v>
                </c:pt>
                <c:pt idx="9">
                  <c:v>0.1891891891891892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352657004830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ぱぱ2!$I$3:$I$12</c:f>
              <c:numCache>
                <c:formatCode>0</c:formatCode>
                <c:ptCount val="10"/>
                <c:pt idx="1">
                  <c:v>12000</c:v>
                </c:pt>
                <c:pt idx="2">
                  <c:v>8700</c:v>
                </c:pt>
                <c:pt idx="3">
                  <c:v>5862.5</c:v>
                </c:pt>
                <c:pt idx="4">
                  <c:v>5410</c:v>
                </c:pt>
                <c:pt idx="5">
                  <c:v>5238.4615384615381</c:v>
                </c:pt>
                <c:pt idx="6">
                  <c:v>7005.8823529411766</c:v>
                </c:pt>
                <c:pt idx="7">
                  <c:v>7295.2380952380954</c:v>
                </c:pt>
                <c:pt idx="8">
                  <c:v>7509.090909090909</c:v>
                </c:pt>
                <c:pt idx="9">
                  <c:v>7530.434782608696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239.7350993377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ぱぱ2!$J$3:$J$12</c:f>
              <c:numCache>
                <c:formatCode>0</c:formatCode>
                <c:ptCount val="10"/>
                <c:pt idx="1">
                  <c:v>-5533.333333333333</c:v>
                </c:pt>
                <c:pt idx="2">
                  <c:v>-6150</c:v>
                </c:pt>
                <c:pt idx="3">
                  <c:v>-7575</c:v>
                </c:pt>
                <c:pt idx="4">
                  <c:v>-7575</c:v>
                </c:pt>
                <c:pt idx="5">
                  <c:v>-7575</c:v>
                </c:pt>
                <c:pt idx="6">
                  <c:v>-7575</c:v>
                </c:pt>
                <c:pt idx="7">
                  <c:v>-8554.545454545454</c:v>
                </c:pt>
                <c:pt idx="8">
                  <c:v>-8508.3333333333339</c:v>
                </c:pt>
                <c:pt idx="9">
                  <c:v>-8671.4285714285706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427.5449101796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ぱぱ2!$K$3:$K$12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567375886524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ぱぱ2!$L$3:$L$12</c:f>
              <c:numCache>
                <c:formatCode>0.0%</c:formatCode>
                <c:ptCount val="10"/>
                <c:pt idx="1">
                  <c:v>0.2857142857142857</c:v>
                </c:pt>
                <c:pt idx="2">
                  <c:v>0.3125</c:v>
                </c:pt>
                <c:pt idx="3">
                  <c:v>0.29032258064516131</c:v>
                </c:pt>
                <c:pt idx="4">
                  <c:v>0.26315789473684209</c:v>
                </c:pt>
                <c:pt idx="5">
                  <c:v>0.29545454545454547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0.32432432432432434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531400966183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ぱぱ2!$M$3:$M$12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2.6315789473684209E-2</c:v>
                </c:pt>
                <c:pt idx="5">
                  <c:v>4.5454545454545456E-2</c:v>
                </c:pt>
                <c:pt idx="6">
                  <c:v>6.25E-2</c:v>
                </c:pt>
                <c:pt idx="7">
                  <c:v>6.3492063492063489E-2</c:v>
                </c:pt>
                <c:pt idx="8">
                  <c:v>8.6956521739130432E-2</c:v>
                </c:pt>
                <c:pt idx="9">
                  <c:v>9.45945945945946E-2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386473429951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ぱぱ2!$N$3:$N$12</c:f>
              <c:numCache>
                <c:formatCode>0.0%</c:formatCode>
                <c:ptCount val="10"/>
                <c:pt idx="1">
                  <c:v>0.5</c:v>
                </c:pt>
                <c:pt idx="2">
                  <c:v>0.6</c:v>
                </c:pt>
                <c:pt idx="3">
                  <c:v>0.66666666666666663</c:v>
                </c:pt>
                <c:pt idx="4">
                  <c:v>0.7</c:v>
                </c:pt>
                <c:pt idx="5">
                  <c:v>0.76923076923076927</c:v>
                </c:pt>
                <c:pt idx="6">
                  <c:v>0.8125</c:v>
                </c:pt>
                <c:pt idx="7">
                  <c:v>0.76190476190476186</c:v>
                </c:pt>
                <c:pt idx="8">
                  <c:v>0.73913043478260865</c:v>
                </c:pt>
                <c:pt idx="9">
                  <c:v>0.70833333333333337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39285714285714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ぱぱ2!$O$3:$O$12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0.75</c:v>
                </c:pt>
                <c:pt idx="8">
                  <c:v>0.5</c:v>
                </c:pt>
                <c:pt idx="9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364928909952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ぱぱ2!$P$3:$P$12</c:f>
              <c:numCache>
                <c:formatCode>0.0%</c:formatCode>
                <c:ptCount val="10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0.53846153846153844</c:v>
                </c:pt>
                <c:pt idx="6">
                  <c:v>0.58823529411764708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0.52173913043478259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708609271523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7426EF-B6CB-4387-9136-D9E449D19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486CDA-A8C1-4BC1-8511-3860666A0A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E7FC8C-9883-4C4A-8B0F-C2E74CA77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B972BA-97C8-4FED-BD05-322765B6D6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BD3B10-36BD-4007-A95F-91E7E30F47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57F0636-9C1E-4FD6-9A49-FE99ACC2E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7F77A2-4521-4ACA-9933-89DE7DBF6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68BE09-8243-41E4-90AA-8FAC45537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6DF87F0-38AF-41BB-BC1F-DDCF4AF25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11ABB7-9647-403D-B057-EC318A3527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A91C5E-C859-4279-981B-14B1E7786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5895624-D596-41EB-BDEF-43DD2CC68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BC66D1-5D64-4848-9148-1EDFEAE773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EBE3CA-77F7-45A7-8736-963746A37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DCD966-DC85-4C9A-BA5B-27BD41116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64B0FC-A170-42F2-9CB1-8748A7427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550F32-5AA8-4FE5-88EC-BEEECEBCD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E56AB4-8701-49EB-9608-56F02F8B9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170FFD-6B38-45D7-BDA8-1D76F80F2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EFB547-097F-4ADA-87DA-488699608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1836FC-C930-4BFD-8A4C-C8DC27478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151EA0-6F6B-4D15-B885-1B7020B10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BF58E8-C038-4181-83FC-326114FB9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06A6A6-4DC8-4884-A298-F84D38848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777104-1D17-4B42-B8F0-D091D20D1B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3417A2-BEDD-4ED3-B7C2-C7718DB09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E47C76-FBE0-4F31-AA52-53A8A333C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32D47D-1CB8-4BA4-9C27-336946CCD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91ECD7-A4CB-4AA2-B5C4-BB7A25098D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8DBA15E-DEA1-463F-8965-552479209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141</v>
      </c>
    </row>
    <row r="2" spans="1:2" x14ac:dyDescent="0.45">
      <c r="A2" t="s">
        <v>164</v>
      </c>
      <c r="B2">
        <v>24</v>
      </c>
    </row>
    <row r="3" spans="1:2" x14ac:dyDescent="0.45">
      <c r="A3" t="s">
        <v>189</v>
      </c>
      <c r="B3">
        <v>7</v>
      </c>
    </row>
    <row r="4" spans="1:2" x14ac:dyDescent="0.45">
      <c r="A4" t="s">
        <v>126</v>
      </c>
      <c r="B4">
        <v>35</v>
      </c>
    </row>
    <row r="5" spans="1:2" x14ac:dyDescent="0.45">
      <c r="A5" t="s">
        <v>194</v>
      </c>
      <c r="B5">
        <v>14</v>
      </c>
    </row>
    <row r="6" spans="1:2" x14ac:dyDescent="0.45">
      <c r="A6" t="s">
        <v>192</v>
      </c>
      <c r="B6">
        <v>26</v>
      </c>
    </row>
    <row r="7" spans="1:2" x14ac:dyDescent="0.45">
      <c r="A7" t="s">
        <v>193</v>
      </c>
      <c r="B7">
        <v>13</v>
      </c>
    </row>
    <row r="8" spans="1:2" x14ac:dyDescent="0.45">
      <c r="A8" t="s">
        <v>196</v>
      </c>
      <c r="B8">
        <v>5</v>
      </c>
    </row>
    <row r="9" spans="1:2" x14ac:dyDescent="0.45">
      <c r="A9" t="s">
        <v>205</v>
      </c>
      <c r="B9">
        <v>8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0.75969058608044215</v>
      </c>
      <c r="C2" s="142"/>
      <c r="D2" s="145"/>
      <c r="E2" s="146"/>
      <c r="F2" s="145"/>
      <c r="G2" s="146"/>
      <c r="H2" s="141">
        <v>0.89137251551396812</v>
      </c>
      <c r="I2" s="142"/>
      <c r="J2" s="141">
        <v>0.86601941889768141</v>
      </c>
      <c r="K2" s="142"/>
      <c r="L2" s="141">
        <v>0.73883127622336642</v>
      </c>
      <c r="M2" s="142"/>
      <c r="N2" s="141">
        <v>0.82905274077430524</v>
      </c>
      <c r="O2" s="142"/>
      <c r="P2" s="141">
        <v>0.84169371469805854</v>
      </c>
      <c r="Q2" s="142"/>
      <c r="R2" s="141">
        <v>0.40514688308024349</v>
      </c>
      <c r="S2" s="142"/>
      <c r="T2" s="141">
        <v>0.59395036706086402</v>
      </c>
      <c r="U2" s="142"/>
      <c r="V2" s="141">
        <v>-0.48188469538144041</v>
      </c>
      <c r="W2" s="142"/>
      <c r="X2" s="141">
        <v>0.78689334058167204</v>
      </c>
      <c r="Y2" s="142"/>
      <c r="Z2" s="141">
        <v>-0.3617031434636831</v>
      </c>
      <c r="AA2" s="142"/>
      <c r="AB2" s="141">
        <v>0.2573805480805238</v>
      </c>
      <c r="AC2" s="142"/>
      <c r="AD2" s="141">
        <v>0.76668680361122421</v>
      </c>
      <c r="AE2" s="142"/>
      <c r="AF2" s="141">
        <v>0.9836465936603096</v>
      </c>
      <c r="AG2" s="142"/>
      <c r="AH2" s="141">
        <v>0.8377593107122383</v>
      </c>
      <c r="AI2" s="142"/>
      <c r="AJ2" s="141">
        <v>0.68157613652308047</v>
      </c>
      <c r="AK2" s="142"/>
    </row>
    <row r="3" spans="1:37" x14ac:dyDescent="0.45">
      <c r="A3" s="40">
        <v>1</v>
      </c>
      <c r="B3" s="43" t="s">
        <v>139</v>
      </c>
      <c r="C3" s="117">
        <v>47</v>
      </c>
      <c r="D3" s="41" t="s">
        <v>126</v>
      </c>
      <c r="E3" s="42">
        <v>526.40000000000009</v>
      </c>
      <c r="F3" s="43" t="s">
        <v>126</v>
      </c>
      <c r="G3" s="62">
        <v>15.040000000000003</v>
      </c>
      <c r="H3" s="43" t="s">
        <v>205</v>
      </c>
      <c r="I3" s="62">
        <v>6.477777777777777</v>
      </c>
      <c r="J3" s="43" t="s">
        <v>126</v>
      </c>
      <c r="K3" s="44">
        <v>1.7142857142857142</v>
      </c>
      <c r="L3" s="43" t="s">
        <v>193</v>
      </c>
      <c r="M3" s="45">
        <v>0.53846153846153844</v>
      </c>
      <c r="N3" s="43" t="s">
        <v>126</v>
      </c>
      <c r="O3" s="45">
        <v>0.17142857142857143</v>
      </c>
      <c r="P3" s="43" t="s">
        <v>193</v>
      </c>
      <c r="Q3" s="46">
        <v>0.36046511627906974</v>
      </c>
      <c r="R3" s="43" t="s">
        <v>126</v>
      </c>
      <c r="S3" s="46">
        <v>0.10566037735849057</v>
      </c>
      <c r="T3" s="43" t="s">
        <v>164</v>
      </c>
      <c r="U3" s="47">
        <v>11500</v>
      </c>
      <c r="V3" s="43" t="s">
        <v>196</v>
      </c>
      <c r="W3" s="47">
        <v>-4400</v>
      </c>
      <c r="X3" s="43" t="s">
        <v>189</v>
      </c>
      <c r="Y3" s="45">
        <v>0</v>
      </c>
      <c r="Z3" s="43" t="s">
        <v>164</v>
      </c>
      <c r="AA3" s="46">
        <v>0.33684210526315789</v>
      </c>
      <c r="AB3" s="43" t="s">
        <v>193</v>
      </c>
      <c r="AC3" s="46">
        <v>0.38372093023255816</v>
      </c>
      <c r="AD3" s="43" t="s">
        <v>205</v>
      </c>
      <c r="AE3" s="46">
        <v>0.77777777777777779</v>
      </c>
      <c r="AF3" s="43" t="s">
        <v>189</v>
      </c>
      <c r="AG3" s="46">
        <v>0.6</v>
      </c>
      <c r="AH3" s="43" t="s">
        <v>189</v>
      </c>
      <c r="AI3" s="46">
        <v>0.6428571428571429</v>
      </c>
      <c r="AJ3" s="43" t="s">
        <v>164</v>
      </c>
      <c r="AK3" s="57">
        <v>112300</v>
      </c>
    </row>
    <row r="4" spans="1:37" x14ac:dyDescent="0.45">
      <c r="A4" s="48">
        <v>2</v>
      </c>
      <c r="B4" s="51" t="s">
        <v>126</v>
      </c>
      <c r="C4" s="118">
        <v>35</v>
      </c>
      <c r="D4" s="49" t="s">
        <v>193</v>
      </c>
      <c r="E4" s="50">
        <v>83.1</v>
      </c>
      <c r="F4" s="51" t="s">
        <v>193</v>
      </c>
      <c r="G4" s="63">
        <v>6.3923076923076918</v>
      </c>
      <c r="H4" s="51" t="s">
        <v>126</v>
      </c>
      <c r="I4" s="63">
        <v>2.8244658119658133</v>
      </c>
      <c r="J4" s="51" t="s">
        <v>193</v>
      </c>
      <c r="K4" s="52">
        <v>1.8461538461538463</v>
      </c>
      <c r="L4" s="51" t="s">
        <v>126</v>
      </c>
      <c r="M4" s="53">
        <v>0.45714285714285713</v>
      </c>
      <c r="N4" s="51" t="s">
        <v>196</v>
      </c>
      <c r="O4" s="53">
        <v>0.2</v>
      </c>
      <c r="P4" s="51" t="s">
        <v>126</v>
      </c>
      <c r="Q4" s="54">
        <v>0.35471698113207545</v>
      </c>
      <c r="R4" s="51" t="s">
        <v>196</v>
      </c>
      <c r="S4" s="54">
        <v>0.11764705882352941</v>
      </c>
      <c r="T4" s="51" t="s">
        <v>126</v>
      </c>
      <c r="U4" s="55">
        <v>10005.319148936171</v>
      </c>
      <c r="V4" s="51" t="s">
        <v>189</v>
      </c>
      <c r="W4" s="55">
        <v>-6628.5714285714284</v>
      </c>
      <c r="X4" s="51" t="s">
        <v>196</v>
      </c>
      <c r="Y4" s="53">
        <v>0</v>
      </c>
      <c r="Z4" s="51" t="s">
        <v>213</v>
      </c>
      <c r="AA4" s="54">
        <v>0.32432432432432434</v>
      </c>
      <c r="AB4" s="51" t="s">
        <v>205</v>
      </c>
      <c r="AC4" s="54">
        <v>0.3728813559322034</v>
      </c>
      <c r="AD4" s="51" t="s">
        <v>213</v>
      </c>
      <c r="AE4" s="54">
        <v>0.70833333333333337</v>
      </c>
      <c r="AF4" s="51" t="s">
        <v>126</v>
      </c>
      <c r="AG4" s="54">
        <v>0.57999999999999996</v>
      </c>
      <c r="AH4" s="51" t="s">
        <v>213</v>
      </c>
      <c r="AI4" s="54">
        <v>0.52173913043478259</v>
      </c>
      <c r="AJ4" s="51" t="s">
        <v>139</v>
      </c>
      <c r="AK4" s="58">
        <v>112300</v>
      </c>
    </row>
    <row r="5" spans="1:37" x14ac:dyDescent="0.45">
      <c r="A5" s="48">
        <v>3</v>
      </c>
      <c r="B5" s="51" t="s">
        <v>192</v>
      </c>
      <c r="C5" s="118">
        <v>26</v>
      </c>
      <c r="D5" s="49" t="s">
        <v>164</v>
      </c>
      <c r="E5" s="50">
        <v>7.3999999999999773</v>
      </c>
      <c r="F5" s="51" t="s">
        <v>164</v>
      </c>
      <c r="G5" s="63">
        <v>0.3083333333333324</v>
      </c>
      <c r="H5" s="51" t="s">
        <v>213</v>
      </c>
      <c r="I5" s="63">
        <v>2.1361111111111115</v>
      </c>
      <c r="J5" s="51" t="s">
        <v>192</v>
      </c>
      <c r="K5" s="52">
        <v>1.9230769230769231</v>
      </c>
      <c r="L5" s="51" t="s">
        <v>164</v>
      </c>
      <c r="M5" s="53">
        <v>0.41666666666666669</v>
      </c>
      <c r="N5" s="51" t="s">
        <v>192</v>
      </c>
      <c r="O5" s="53">
        <v>0.23076923076923078</v>
      </c>
      <c r="P5" s="51" t="s">
        <v>205</v>
      </c>
      <c r="Q5" s="54">
        <v>0.32203389830508472</v>
      </c>
      <c r="R5" s="51" t="s">
        <v>193</v>
      </c>
      <c r="S5" s="54">
        <v>0.12790697674418605</v>
      </c>
      <c r="T5" s="51" t="s">
        <v>189</v>
      </c>
      <c r="U5" s="55">
        <v>9985.7142857142862</v>
      </c>
      <c r="V5" s="51" t="s">
        <v>164</v>
      </c>
      <c r="W5" s="55">
        <v>-7279.0697674418607</v>
      </c>
      <c r="X5" s="51" t="s">
        <v>213</v>
      </c>
      <c r="Y5" s="53">
        <v>0</v>
      </c>
      <c r="Z5" s="51" t="s">
        <v>194</v>
      </c>
      <c r="AA5" s="54">
        <v>0.2988505747126437</v>
      </c>
      <c r="AB5" s="51" t="s">
        <v>192</v>
      </c>
      <c r="AC5" s="54">
        <v>0.22043010752688172</v>
      </c>
      <c r="AD5" s="51" t="s">
        <v>193</v>
      </c>
      <c r="AE5" s="54">
        <v>0.625</v>
      </c>
      <c r="AF5" s="51" t="s">
        <v>213</v>
      </c>
      <c r="AG5" s="54">
        <v>0.5714285714285714</v>
      </c>
      <c r="AH5" s="51" t="s">
        <v>126</v>
      </c>
      <c r="AI5" s="54">
        <v>0.48936170212765956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164</v>
      </c>
      <c r="C6" s="118">
        <v>24</v>
      </c>
      <c r="D6" s="49" t="s">
        <v>139</v>
      </c>
      <c r="E6" s="50">
        <v>0</v>
      </c>
      <c r="F6" s="51" t="s">
        <v>139</v>
      </c>
      <c r="G6" s="63">
        <v>0</v>
      </c>
      <c r="H6" s="51" t="s">
        <v>139</v>
      </c>
      <c r="I6" s="63">
        <v>0</v>
      </c>
      <c r="J6" s="51" t="s">
        <v>164</v>
      </c>
      <c r="K6" s="52">
        <v>2</v>
      </c>
      <c r="L6" s="51" t="s">
        <v>139</v>
      </c>
      <c r="M6" s="53">
        <v>0.33333333333333331</v>
      </c>
      <c r="N6" s="51" t="s">
        <v>189</v>
      </c>
      <c r="O6" s="53">
        <v>0.2857142857142857</v>
      </c>
      <c r="P6" s="51" t="s">
        <v>213</v>
      </c>
      <c r="Q6" s="54">
        <v>0.3108108108108108</v>
      </c>
      <c r="R6" s="51" t="s">
        <v>192</v>
      </c>
      <c r="S6" s="54">
        <v>0.12903225806451613</v>
      </c>
      <c r="T6" s="51" t="s">
        <v>205</v>
      </c>
      <c r="U6" s="55">
        <v>9442.105263157895</v>
      </c>
      <c r="V6" s="51" t="s">
        <v>192</v>
      </c>
      <c r="W6" s="55">
        <v>-7541.666666666667</v>
      </c>
      <c r="X6" s="51" t="s">
        <v>126</v>
      </c>
      <c r="Y6" s="53">
        <v>2.8571428571428571E-2</v>
      </c>
      <c r="Z6" s="51" t="s">
        <v>189</v>
      </c>
      <c r="AA6" s="54">
        <v>0.27777777777777779</v>
      </c>
      <c r="AB6" s="51" t="s">
        <v>139</v>
      </c>
      <c r="AC6" s="54">
        <v>0.2038647342995169</v>
      </c>
      <c r="AD6" s="51" t="s">
        <v>126</v>
      </c>
      <c r="AE6" s="54">
        <v>0.61194029850746268</v>
      </c>
      <c r="AF6" s="51" t="s">
        <v>193</v>
      </c>
      <c r="AG6" s="54">
        <v>0.42424242424242425</v>
      </c>
      <c r="AH6" s="51" t="s">
        <v>193</v>
      </c>
      <c r="AI6" s="54">
        <v>0.4838709677419355</v>
      </c>
      <c r="AJ6" s="51" t="s">
        <v>126</v>
      </c>
      <c r="AK6" s="58">
        <v>102700</v>
      </c>
    </row>
    <row r="7" spans="1:37" x14ac:dyDescent="0.45">
      <c r="A7" s="48">
        <v>5</v>
      </c>
      <c r="B7" s="51" t="s">
        <v>194</v>
      </c>
      <c r="C7" s="118">
        <v>14</v>
      </c>
      <c r="D7" s="49" t="s">
        <v>192</v>
      </c>
      <c r="E7" s="50">
        <v>-24.699999999999989</v>
      </c>
      <c r="F7" s="51" t="s">
        <v>192</v>
      </c>
      <c r="G7" s="63">
        <v>-0.94999999999999951</v>
      </c>
      <c r="H7" s="51" t="s">
        <v>164</v>
      </c>
      <c r="I7" s="63">
        <v>-0.67833333333333223</v>
      </c>
      <c r="J7" s="51" t="s">
        <v>139</v>
      </c>
      <c r="K7" s="52">
        <v>2</v>
      </c>
      <c r="L7" s="51" t="s">
        <v>192</v>
      </c>
      <c r="M7" s="53">
        <v>0.30769230769230771</v>
      </c>
      <c r="N7" s="51" t="s">
        <v>139</v>
      </c>
      <c r="O7" s="53">
        <v>0.33333333333333331</v>
      </c>
      <c r="P7" s="51" t="s">
        <v>139</v>
      </c>
      <c r="Q7" s="54">
        <v>0.29178743961352654</v>
      </c>
      <c r="R7" s="51" t="s">
        <v>194</v>
      </c>
      <c r="S7" s="54">
        <v>0.14942528735632185</v>
      </c>
      <c r="T7" s="51" t="s">
        <v>139</v>
      </c>
      <c r="U7" s="55">
        <v>9239.7350993377477</v>
      </c>
      <c r="V7" s="51" t="s">
        <v>139</v>
      </c>
      <c r="W7" s="55">
        <v>-8427.5449101796403</v>
      </c>
      <c r="X7" s="51" t="s">
        <v>192</v>
      </c>
      <c r="Y7" s="53">
        <v>7.6923076923076927E-2</v>
      </c>
      <c r="Z7" s="51" t="s">
        <v>192</v>
      </c>
      <c r="AA7" s="54">
        <v>0.27419354838709675</v>
      </c>
      <c r="AB7" s="51" t="s">
        <v>164</v>
      </c>
      <c r="AC7" s="54">
        <v>0.19473684210526315</v>
      </c>
      <c r="AD7" s="51" t="s">
        <v>192</v>
      </c>
      <c r="AE7" s="54">
        <v>0.5490196078431373</v>
      </c>
      <c r="AF7" s="51" t="s">
        <v>139</v>
      </c>
      <c r="AG7" s="54">
        <v>0.39336492890995262</v>
      </c>
      <c r="AH7" s="51" t="s">
        <v>139</v>
      </c>
      <c r="AI7" s="54">
        <v>0.44370860927152317</v>
      </c>
      <c r="AJ7" s="51" t="s">
        <v>213</v>
      </c>
      <c r="AK7" s="58">
        <v>95000</v>
      </c>
    </row>
    <row r="8" spans="1:37" x14ac:dyDescent="0.45">
      <c r="A8" s="48">
        <v>6</v>
      </c>
      <c r="B8" s="51" t="s">
        <v>193</v>
      </c>
      <c r="C8" s="118">
        <v>13</v>
      </c>
      <c r="D8" s="49" t="s">
        <v>189</v>
      </c>
      <c r="E8" s="50">
        <v>-26.899999999999988</v>
      </c>
      <c r="F8" s="51" t="s">
        <v>189</v>
      </c>
      <c r="G8" s="63">
        <v>-3.8428571428571412</v>
      </c>
      <c r="H8" s="51" t="s">
        <v>193</v>
      </c>
      <c r="I8" s="63">
        <v>-3.1780952380952385</v>
      </c>
      <c r="J8" s="51" t="s">
        <v>189</v>
      </c>
      <c r="K8" s="52">
        <v>2</v>
      </c>
      <c r="L8" s="51" t="s">
        <v>189</v>
      </c>
      <c r="M8" s="53">
        <v>0.2857142857142857</v>
      </c>
      <c r="N8" s="51" t="s">
        <v>213</v>
      </c>
      <c r="O8" s="53">
        <v>0.33333333333333331</v>
      </c>
      <c r="P8" s="51" t="s">
        <v>192</v>
      </c>
      <c r="Q8" s="54">
        <v>0.27419354838709675</v>
      </c>
      <c r="R8" s="51" t="s">
        <v>139</v>
      </c>
      <c r="S8" s="54">
        <v>0.16135265700483092</v>
      </c>
      <c r="T8" s="51" t="s">
        <v>193</v>
      </c>
      <c r="U8" s="55">
        <v>8300</v>
      </c>
      <c r="V8" s="51" t="s">
        <v>193</v>
      </c>
      <c r="W8" s="55">
        <v>-8509.0909090909099</v>
      </c>
      <c r="X8" s="51" t="s">
        <v>139</v>
      </c>
      <c r="Y8" s="53">
        <v>0.12056737588652482</v>
      </c>
      <c r="Z8" s="51" t="s">
        <v>139</v>
      </c>
      <c r="AA8" s="54">
        <v>0.27053140096618356</v>
      </c>
      <c r="AB8" s="51" t="s">
        <v>126</v>
      </c>
      <c r="AC8" s="54">
        <v>0.18867924528301888</v>
      </c>
      <c r="AD8" s="51" t="s">
        <v>139</v>
      </c>
      <c r="AE8" s="54">
        <v>0.53928571428571426</v>
      </c>
      <c r="AF8" s="51" t="s">
        <v>164</v>
      </c>
      <c r="AG8" s="54">
        <v>0.32432432432432434</v>
      </c>
      <c r="AH8" s="51" t="s">
        <v>192</v>
      </c>
      <c r="AI8" s="54">
        <v>0.39215686274509803</v>
      </c>
      <c r="AJ8" s="51" t="s">
        <v>205</v>
      </c>
      <c r="AK8" s="58">
        <v>93200</v>
      </c>
    </row>
    <row r="9" spans="1:37" x14ac:dyDescent="0.45">
      <c r="A9" s="48">
        <v>7</v>
      </c>
      <c r="B9" s="51" t="s">
        <v>213</v>
      </c>
      <c r="C9" s="118">
        <v>9</v>
      </c>
      <c r="D9" s="49" t="s">
        <v>213</v>
      </c>
      <c r="E9" s="50">
        <v>-41.599999999999994</v>
      </c>
      <c r="F9" s="51" t="s">
        <v>213</v>
      </c>
      <c r="G9" s="63">
        <v>-4.6222222222222218</v>
      </c>
      <c r="H9" s="51" t="s">
        <v>189</v>
      </c>
      <c r="I9" s="63">
        <v>-3.4222222222222221</v>
      </c>
      <c r="J9" s="51" t="s">
        <v>213</v>
      </c>
      <c r="K9" s="52">
        <v>2.1111111111111112</v>
      </c>
      <c r="L9" s="51" t="s">
        <v>205</v>
      </c>
      <c r="M9" s="53">
        <v>0.25</v>
      </c>
      <c r="N9" s="51" t="s">
        <v>193</v>
      </c>
      <c r="O9" s="53">
        <v>0.38461538461538464</v>
      </c>
      <c r="P9" s="51" t="s">
        <v>189</v>
      </c>
      <c r="Q9" s="54">
        <v>0.25925925925925924</v>
      </c>
      <c r="R9" s="51" t="s">
        <v>213</v>
      </c>
      <c r="S9" s="54">
        <v>0.1891891891891892</v>
      </c>
      <c r="T9" s="51" t="s">
        <v>192</v>
      </c>
      <c r="U9" s="55">
        <v>8147.0588235294117</v>
      </c>
      <c r="V9" s="51" t="s">
        <v>213</v>
      </c>
      <c r="W9" s="55">
        <v>-8671.4285714285706</v>
      </c>
      <c r="X9" s="51" t="s">
        <v>164</v>
      </c>
      <c r="Y9" s="53">
        <v>0.125</v>
      </c>
      <c r="Z9" s="51" t="s">
        <v>126</v>
      </c>
      <c r="AA9" s="54">
        <v>0.25283018867924528</v>
      </c>
      <c r="AB9" s="51" t="s">
        <v>196</v>
      </c>
      <c r="AC9" s="54">
        <v>0.17647058823529413</v>
      </c>
      <c r="AD9" s="51" t="s">
        <v>189</v>
      </c>
      <c r="AE9" s="54">
        <v>0.53333333333333333</v>
      </c>
      <c r="AF9" s="51" t="s">
        <v>192</v>
      </c>
      <c r="AG9" s="54">
        <v>0.31707317073170732</v>
      </c>
      <c r="AH9" s="51" t="s">
        <v>205</v>
      </c>
      <c r="AI9" s="54">
        <v>0.36842105263157893</v>
      </c>
      <c r="AJ9" s="51" t="s">
        <v>192</v>
      </c>
      <c r="AK9" s="58">
        <v>88500</v>
      </c>
    </row>
    <row r="10" spans="1:37" x14ac:dyDescent="0.45">
      <c r="A10" s="48">
        <v>8</v>
      </c>
      <c r="B10" s="51" t="s">
        <v>205</v>
      </c>
      <c r="C10" s="118">
        <v>8</v>
      </c>
      <c r="D10" s="49" t="s">
        <v>196</v>
      </c>
      <c r="E10" s="50">
        <v>-64.400000000000006</v>
      </c>
      <c r="F10" s="51" t="s">
        <v>196</v>
      </c>
      <c r="G10" s="63">
        <v>-12.88</v>
      </c>
      <c r="H10" s="51" t="s">
        <v>192</v>
      </c>
      <c r="I10" s="63">
        <v>-3.5861111111111108</v>
      </c>
      <c r="J10" s="51" t="s">
        <v>196</v>
      </c>
      <c r="K10" s="52">
        <v>2.2000000000000002</v>
      </c>
      <c r="L10" s="51" t="s">
        <v>213</v>
      </c>
      <c r="M10" s="53">
        <v>0.22222222222222221</v>
      </c>
      <c r="N10" s="51" t="s">
        <v>164</v>
      </c>
      <c r="O10" s="53">
        <v>0.41666666666666669</v>
      </c>
      <c r="P10" s="51" t="s">
        <v>164</v>
      </c>
      <c r="Q10" s="54">
        <v>0.25789473684210529</v>
      </c>
      <c r="R10" s="51" t="s">
        <v>164</v>
      </c>
      <c r="S10" s="54">
        <v>0.22631578947368422</v>
      </c>
      <c r="T10" s="51" t="s">
        <v>213</v>
      </c>
      <c r="U10" s="55">
        <v>7530.434782608696</v>
      </c>
      <c r="V10" s="51" t="s">
        <v>194</v>
      </c>
      <c r="W10" s="55">
        <v>-9046.1538461538457</v>
      </c>
      <c r="X10" s="51" t="s">
        <v>193</v>
      </c>
      <c r="Y10" s="53">
        <v>0.23076923076923078</v>
      </c>
      <c r="Z10" s="51" t="s">
        <v>196</v>
      </c>
      <c r="AA10" s="54">
        <v>0.23529411764705882</v>
      </c>
      <c r="AB10" s="51" t="s">
        <v>194</v>
      </c>
      <c r="AC10" s="54">
        <v>0.11494252873563218</v>
      </c>
      <c r="AD10" s="51" t="s">
        <v>196</v>
      </c>
      <c r="AE10" s="54">
        <v>0.5</v>
      </c>
      <c r="AF10" s="51" t="s">
        <v>205</v>
      </c>
      <c r="AG10" s="54">
        <v>0.22727272727272727</v>
      </c>
      <c r="AH10" s="51" t="s">
        <v>164</v>
      </c>
      <c r="AI10" s="54">
        <v>0.36734693877551022</v>
      </c>
      <c r="AJ10" s="51" t="s">
        <v>189</v>
      </c>
      <c r="AK10" s="58">
        <v>66700</v>
      </c>
    </row>
    <row r="11" spans="1:37" x14ac:dyDescent="0.45">
      <c r="A11" s="48">
        <v>9</v>
      </c>
      <c r="B11" s="51" t="s">
        <v>189</v>
      </c>
      <c r="C11" s="118">
        <v>7</v>
      </c>
      <c r="D11" s="49" t="s">
        <v>205</v>
      </c>
      <c r="E11" s="50">
        <v>-128.6</v>
      </c>
      <c r="F11" s="51" t="s">
        <v>205</v>
      </c>
      <c r="G11" s="63">
        <v>-16.074999999999999</v>
      </c>
      <c r="H11" s="51" t="s">
        <v>196</v>
      </c>
      <c r="I11" s="63">
        <v>-8.5666666666666682</v>
      </c>
      <c r="J11" s="51" t="s">
        <v>205</v>
      </c>
      <c r="K11" s="52">
        <v>2.5</v>
      </c>
      <c r="L11" s="51" t="s">
        <v>194</v>
      </c>
      <c r="M11" s="53">
        <v>0</v>
      </c>
      <c r="N11" s="51" t="s">
        <v>194</v>
      </c>
      <c r="O11" s="53">
        <v>0.5714285714285714</v>
      </c>
      <c r="P11" s="51" t="s">
        <v>196</v>
      </c>
      <c r="Q11" s="54">
        <v>0.17647058823529413</v>
      </c>
      <c r="R11" s="51" t="s">
        <v>189</v>
      </c>
      <c r="S11" s="54">
        <v>0.25925925925925924</v>
      </c>
      <c r="T11" s="51" t="s">
        <v>194</v>
      </c>
      <c r="U11" s="55">
        <v>6253.333333333333</v>
      </c>
      <c r="V11" s="51" t="s">
        <v>126</v>
      </c>
      <c r="W11" s="55">
        <v>-10114.285714285714</v>
      </c>
      <c r="X11" s="51" t="s">
        <v>194</v>
      </c>
      <c r="Y11" s="53">
        <v>0.35714285714285715</v>
      </c>
      <c r="Z11" s="51" t="s">
        <v>193</v>
      </c>
      <c r="AA11" s="54">
        <v>0.18604651162790697</v>
      </c>
      <c r="AB11" s="51" t="s">
        <v>213</v>
      </c>
      <c r="AC11" s="54">
        <v>9.45945945945946E-2</v>
      </c>
      <c r="AD11" s="51" t="s">
        <v>164</v>
      </c>
      <c r="AE11" s="54">
        <v>0.421875</v>
      </c>
      <c r="AF11" s="51" t="s">
        <v>194</v>
      </c>
      <c r="AG11" s="54">
        <v>0.2</v>
      </c>
      <c r="AH11" s="51" t="s">
        <v>194</v>
      </c>
      <c r="AI11" s="54">
        <v>0.33333333333333331</v>
      </c>
      <c r="AJ11" s="51" t="s">
        <v>194</v>
      </c>
      <c r="AK11" s="58">
        <v>46300</v>
      </c>
    </row>
    <row r="12" spans="1:37" x14ac:dyDescent="0.45">
      <c r="A12" s="48">
        <v>10</v>
      </c>
      <c r="B12" s="51" t="s">
        <v>196</v>
      </c>
      <c r="C12" s="118">
        <v>5</v>
      </c>
      <c r="D12" s="49" t="s">
        <v>194</v>
      </c>
      <c r="E12" s="50">
        <v>-330.7</v>
      </c>
      <c r="F12" s="51" t="s">
        <v>194</v>
      </c>
      <c r="G12" s="63">
        <v>-23.62142857142857</v>
      </c>
      <c r="H12" s="51" t="s">
        <v>194</v>
      </c>
      <c r="I12" s="63">
        <v>-13.972222222222223</v>
      </c>
      <c r="J12" s="51" t="s">
        <v>194</v>
      </c>
      <c r="K12" s="52">
        <v>2.5714285714285716</v>
      </c>
      <c r="L12" s="51" t="s">
        <v>196</v>
      </c>
      <c r="M12" s="53">
        <v>0</v>
      </c>
      <c r="N12" s="51" t="s">
        <v>205</v>
      </c>
      <c r="O12" s="53">
        <v>0.75</v>
      </c>
      <c r="P12" s="51" t="s">
        <v>194</v>
      </c>
      <c r="Q12" s="54">
        <v>0.17241379310344829</v>
      </c>
      <c r="R12" s="51" t="s">
        <v>205</v>
      </c>
      <c r="S12" s="54">
        <v>0.2711864406779661</v>
      </c>
      <c r="T12" s="51" t="s">
        <v>196</v>
      </c>
      <c r="U12" s="55">
        <v>4566.666666666667</v>
      </c>
      <c r="V12" s="51" t="s">
        <v>205</v>
      </c>
      <c r="W12" s="55">
        <v>-11700</v>
      </c>
      <c r="X12" s="51" t="s">
        <v>205</v>
      </c>
      <c r="Y12" s="53">
        <v>0.375</v>
      </c>
      <c r="Z12" s="51" t="s">
        <v>205</v>
      </c>
      <c r="AA12" s="54">
        <v>0.15254237288135594</v>
      </c>
      <c r="AB12" s="51" t="s">
        <v>189</v>
      </c>
      <c r="AC12" s="54">
        <v>9.2592592592592587E-2</v>
      </c>
      <c r="AD12" s="51" t="s">
        <v>194</v>
      </c>
      <c r="AE12" s="54">
        <v>0.34615384615384615</v>
      </c>
      <c r="AF12" s="51" t="s">
        <v>196</v>
      </c>
      <c r="AG12" s="54">
        <v>0.16666666666666666</v>
      </c>
      <c r="AH12" s="51" t="s">
        <v>196</v>
      </c>
      <c r="AI12" s="54">
        <v>0.33333333333333331</v>
      </c>
      <c r="AJ12" s="51" t="s">
        <v>196</v>
      </c>
      <c r="AK12" s="58">
        <v>36900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14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141</v>
      </c>
      <c r="C2" s="132"/>
      <c r="E2" s="28" t="s">
        <v>66</v>
      </c>
      <c r="F2" s="25" t="s">
        <v>22</v>
      </c>
      <c r="G2" s="13">
        <v>213</v>
      </c>
      <c r="H2" s="91">
        <f>IF(B$19=0,0,G2/B$19)</f>
        <v>0.70529801324503316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-7.2463768115942031</v>
      </c>
      <c r="P2" s="80">
        <v>138</v>
      </c>
      <c r="Q2" s="67">
        <v>-1000</v>
      </c>
    </row>
    <row r="3" spans="1:17" x14ac:dyDescent="0.45">
      <c r="A3" s="21" t="s">
        <v>8</v>
      </c>
      <c r="B3" s="133">
        <v>1035</v>
      </c>
      <c r="C3" s="134"/>
      <c r="E3" s="29" t="s">
        <v>72</v>
      </c>
      <c r="F3" s="26" t="s">
        <v>27</v>
      </c>
      <c r="G3" s="14">
        <v>168</v>
      </c>
      <c r="H3" s="92">
        <f>IF(B$19=0,0,G3/B$19)</f>
        <v>0.55629139072847678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-7.4074074074074074</v>
      </c>
      <c r="P3" s="81">
        <v>135</v>
      </c>
      <c r="Q3" s="68">
        <v>-1000</v>
      </c>
    </row>
    <row r="4" spans="1:17" x14ac:dyDescent="0.45">
      <c r="A4" s="21" t="s">
        <v>6</v>
      </c>
      <c r="B4" s="135">
        <v>0</v>
      </c>
      <c r="C4" s="136"/>
      <c r="E4" s="29" t="s">
        <v>64</v>
      </c>
      <c r="F4" s="26" t="s">
        <v>20</v>
      </c>
      <c r="G4" s="14">
        <v>142</v>
      </c>
      <c r="H4" s="92">
        <f>IF(B$19=0,0,G4/B$19)</f>
        <v>0.47019867549668876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-7.5757575757575761</v>
      </c>
      <c r="P4" s="81">
        <v>132</v>
      </c>
      <c r="Q4" s="68">
        <v>-1000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160</v>
      </c>
      <c r="F5" s="26" t="s">
        <v>161</v>
      </c>
      <c r="G5" s="14">
        <v>124</v>
      </c>
      <c r="H5" s="92">
        <f>IF(B$19=0,0,G5/B$19)</f>
        <v>0.41059602649006621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18.518518518518519</v>
      </c>
      <c r="P5" s="81">
        <v>108</v>
      </c>
      <c r="Q5" s="68">
        <v>2000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95</v>
      </c>
      <c r="H6" s="92">
        <f>IF(B$19=0,0,G6/B$19)</f>
        <v>0.31456953642384106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-62.5</v>
      </c>
      <c r="P6" s="81">
        <v>96</v>
      </c>
      <c r="Q6" s="68">
        <v>-6000</v>
      </c>
    </row>
    <row r="7" spans="1:17" x14ac:dyDescent="0.45">
      <c r="A7" s="21" t="s">
        <v>2</v>
      </c>
      <c r="B7" s="14">
        <v>47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80</v>
      </c>
      <c r="H7" s="92">
        <f>IF(B$19=0,0,G7/B$19)</f>
        <v>0.26490066225165565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83.333333333333329</v>
      </c>
      <c r="P7" s="82">
        <v>84</v>
      </c>
      <c r="Q7" s="69">
        <v>7000</v>
      </c>
    </row>
    <row r="8" spans="1:17" x14ac:dyDescent="0.45">
      <c r="A8" s="21" t="s">
        <v>3</v>
      </c>
      <c r="B8" s="14">
        <v>47</v>
      </c>
      <c r="C8" s="8">
        <f t="shared" si="1"/>
        <v>0.33333333333333331</v>
      </c>
      <c r="E8" s="29" t="s">
        <v>89</v>
      </c>
      <c r="F8" s="26" t="s">
        <v>44</v>
      </c>
      <c r="G8" s="14">
        <v>44</v>
      </c>
      <c r="H8" s="92">
        <f>IF(B$19=0,0,G8/B$19)</f>
        <v>0.14569536423841059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47</v>
      </c>
      <c r="C9" s="9">
        <f t="shared" si="1"/>
        <v>0.33333333333333331</v>
      </c>
      <c r="E9" s="29" t="s">
        <v>69</v>
      </c>
      <c r="F9" s="26" t="s">
        <v>24</v>
      </c>
      <c r="G9" s="14">
        <v>38</v>
      </c>
      <c r="H9" s="92">
        <f>IF(B$19=0,0,G9/B$19)</f>
        <v>0.12582781456953643</v>
      </c>
      <c r="I9" s="60">
        <v>7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42.089361702127654</v>
      </c>
      <c r="C10" s="114">
        <v>1978.1999999999996</v>
      </c>
      <c r="E10" s="29" t="s">
        <v>65</v>
      </c>
      <c r="F10" s="26" t="s">
        <v>21</v>
      </c>
      <c r="G10" s="14">
        <v>35</v>
      </c>
      <c r="H10" s="92">
        <f>IF(B$19=0,0,G10/B$19)</f>
        <v>0.11589403973509933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-6.5255319148936168</v>
      </c>
      <c r="P10" s="80">
        <v>47</v>
      </c>
      <c r="Q10" s="71">
        <v>-306.7</v>
      </c>
    </row>
    <row r="11" spans="1:17" x14ac:dyDescent="0.45">
      <c r="A11" s="22" t="s">
        <v>186</v>
      </c>
      <c r="B11" s="113">
        <f>IF(B8=0,0,C11/B8)</f>
        <v>-4.9297872340425535</v>
      </c>
      <c r="C11" s="114">
        <v>-231.70000000000002</v>
      </c>
      <c r="E11" s="29" t="s">
        <v>70</v>
      </c>
      <c r="F11" s="26" t="s">
        <v>25</v>
      </c>
      <c r="G11" s="14">
        <v>20</v>
      </c>
      <c r="H11" s="92">
        <f>IF(B$19=0,0,G11/B$19)</f>
        <v>6.6225165562913912E-2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-1.7468085106382989</v>
      </c>
      <c r="P11" s="81">
        <v>47</v>
      </c>
      <c r="Q11" s="72">
        <v>-82.100000000000051</v>
      </c>
    </row>
    <row r="12" spans="1:17" x14ac:dyDescent="0.45">
      <c r="A12" s="22" t="s">
        <v>187</v>
      </c>
      <c r="B12" s="113">
        <f>IF(B9=0,0,C12/B9)</f>
        <v>-37.159574468085104</v>
      </c>
      <c r="C12" s="114">
        <v>-1746.4999999999998</v>
      </c>
      <c r="E12" s="29" t="s">
        <v>71</v>
      </c>
      <c r="F12" s="26" t="s">
        <v>26</v>
      </c>
      <c r="G12" s="14">
        <v>18</v>
      </c>
      <c r="H12" s="92">
        <f>IF(B$19=0,0,G12/B$19)</f>
        <v>5.9602649006622516E-2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8.2723404255319135</v>
      </c>
      <c r="P12" s="82">
        <v>47</v>
      </c>
      <c r="Q12" s="73">
        <v>388.7999999999999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16</v>
      </c>
      <c r="H13" s="92">
        <f>IF(B$19=0,0,G13/B$19)</f>
        <v>5.2980132450331126E-2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17</v>
      </c>
      <c r="C14" s="11">
        <f t="shared" si="1"/>
        <v>0.12056737588652482</v>
      </c>
      <c r="E14" s="29" t="s">
        <v>86</v>
      </c>
      <c r="F14" s="26" t="s">
        <v>41</v>
      </c>
      <c r="G14" s="14">
        <v>16</v>
      </c>
      <c r="H14" s="92">
        <f>IF(B$19=0,0,G14/B$19)</f>
        <v>5.2980132450331126E-2</v>
      </c>
      <c r="I14" s="60">
        <v>4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280</v>
      </c>
      <c r="C15" s="12">
        <f>IF(B$3=0,0,B15/B$3)</f>
        <v>0.27053140096618356</v>
      </c>
      <c r="E15" s="29" t="s">
        <v>78</v>
      </c>
      <c r="F15" s="26" t="s">
        <v>33</v>
      </c>
      <c r="G15" s="14">
        <v>10</v>
      </c>
      <c r="H15" s="92">
        <f>IF(B$19=0,0,G15/B$19)</f>
        <v>3.3112582781456956E-2</v>
      </c>
      <c r="I15" s="60">
        <v>5</v>
      </c>
      <c r="K15" s="7">
        <v>13</v>
      </c>
      <c r="L15" s="65">
        <v>14.300000000000002</v>
      </c>
      <c r="N15" s="77" t="s">
        <v>194</v>
      </c>
      <c r="O15" s="86">
        <f>IF(P15=0,0,Q15/P15)</f>
        <v>35.432142857142857</v>
      </c>
      <c r="P15" s="80">
        <v>28</v>
      </c>
      <c r="Q15" s="71">
        <v>992.1</v>
      </c>
    </row>
    <row r="16" spans="1:17" x14ac:dyDescent="0.45">
      <c r="A16" s="21" t="s">
        <v>118</v>
      </c>
      <c r="B16" s="14">
        <v>211</v>
      </c>
      <c r="C16" s="8">
        <f>IF(B$3=0,0,B16/B$3)</f>
        <v>0.2038647342995169</v>
      </c>
      <c r="E16" s="29" t="s">
        <v>79</v>
      </c>
      <c r="F16" s="26" t="s">
        <v>34</v>
      </c>
      <c r="G16" s="14">
        <v>10</v>
      </c>
      <c r="H16" s="92">
        <f>IF(B$19=0,0,G16/B$19)</f>
        <v>3.3112582781456956E-2</v>
      </c>
      <c r="I16" s="60">
        <v>4</v>
      </c>
      <c r="K16" s="7">
        <v>14</v>
      </c>
      <c r="L16" s="65">
        <v>12.800000000000002</v>
      </c>
      <c r="N16" s="78" t="s">
        <v>205</v>
      </c>
      <c r="O16" s="87">
        <f>IF(P16=0,0,Q16/P16)</f>
        <v>24.112500000000001</v>
      </c>
      <c r="P16" s="81">
        <v>16</v>
      </c>
      <c r="Q16" s="72">
        <v>385.8</v>
      </c>
    </row>
    <row r="17" spans="1:17" x14ac:dyDescent="0.45">
      <c r="A17" s="20" t="s">
        <v>123</v>
      </c>
      <c r="B17" s="13">
        <f>B23</f>
        <v>151</v>
      </c>
      <c r="C17" s="6">
        <f>IF(B$15=0,0,B17/B$15)</f>
        <v>0.53928571428571426</v>
      </c>
      <c r="E17" s="29" t="s">
        <v>81</v>
      </c>
      <c r="F17" s="26" t="s">
        <v>36</v>
      </c>
      <c r="G17" s="14">
        <v>7</v>
      </c>
      <c r="H17" s="92">
        <f>IF(B$19=0,0,G17/B$19)</f>
        <v>2.3178807947019868E-2</v>
      </c>
      <c r="I17" s="60">
        <v>4</v>
      </c>
      <c r="K17" s="7">
        <v>15</v>
      </c>
      <c r="L17" s="65">
        <v>1.7763568394002505E-15</v>
      </c>
      <c r="N17" s="78" t="s">
        <v>196</v>
      </c>
      <c r="O17" s="87">
        <f>IF(P17=0,0,Q17/P17)</f>
        <v>19.32</v>
      </c>
      <c r="P17" s="81">
        <v>10</v>
      </c>
      <c r="Q17" s="72">
        <v>193.2</v>
      </c>
    </row>
    <row r="18" spans="1:17" x14ac:dyDescent="0.45">
      <c r="A18" s="20" t="s">
        <v>124</v>
      </c>
      <c r="B18" s="13">
        <f>B24</f>
        <v>83</v>
      </c>
      <c r="C18" s="6">
        <f>IF(B$16=0,0,B18/B$16)</f>
        <v>0.39336492890995262</v>
      </c>
      <c r="E18" s="29" t="s">
        <v>91</v>
      </c>
      <c r="F18" s="26" t="s">
        <v>46</v>
      </c>
      <c r="G18" s="14">
        <v>6</v>
      </c>
      <c r="H18" s="92">
        <f>IF(B$19=0,0,G18/B$19)</f>
        <v>1.9867549668874173E-2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302</v>
      </c>
      <c r="C19" s="6">
        <f>IF(B$3=0,0,B19/B$3)</f>
        <v>0.29178743961352654</v>
      </c>
      <c r="E19" s="29" t="s">
        <v>92</v>
      </c>
      <c r="F19" s="26" t="s">
        <v>47</v>
      </c>
      <c r="G19" s="14">
        <v>6</v>
      </c>
      <c r="H19" s="92">
        <f>IF(B$19=0,0,G19/B$19)</f>
        <v>1.9867549668874173E-2</v>
      </c>
      <c r="I19" s="60">
        <v>3</v>
      </c>
      <c r="K19" s="7">
        <v>17</v>
      </c>
      <c r="L19" s="65">
        <v>-35.800000000000004</v>
      </c>
      <c r="N19" s="78" t="s">
        <v>189</v>
      </c>
      <c r="O19" s="87">
        <f>IF(P19=0,0,Q19/P19)</f>
        <v>5.7642857142857142</v>
      </c>
      <c r="P19" s="81">
        <v>14</v>
      </c>
      <c r="Q19" s="72">
        <v>80.7</v>
      </c>
    </row>
    <row r="20" spans="1:17" x14ac:dyDescent="0.45">
      <c r="A20" s="21" t="s">
        <v>13</v>
      </c>
      <c r="B20" s="14">
        <v>167</v>
      </c>
      <c r="C20" s="8">
        <f>IF(B$3=0,0,B20/B$3)</f>
        <v>0.16135265700483092</v>
      </c>
      <c r="E20" s="29" t="s">
        <v>156</v>
      </c>
      <c r="F20" s="26" t="s">
        <v>157</v>
      </c>
      <c r="G20" s="14">
        <v>5</v>
      </c>
      <c r="H20" s="92">
        <f>IF(B$19=0,0,G20/B$19)</f>
        <v>1.6556291390728478E-2</v>
      </c>
      <c r="I20" s="60">
        <v>4</v>
      </c>
      <c r="K20" s="7">
        <v>18</v>
      </c>
      <c r="L20" s="65">
        <v>-7.1054273576010019E-15</v>
      </c>
      <c r="N20" s="78" t="s">
        <v>192</v>
      </c>
      <c r="O20" s="87">
        <f>IF(P20=0,0,Q20/P20)</f>
        <v>1.4249999999999983</v>
      </c>
      <c r="P20" s="81">
        <v>52</v>
      </c>
      <c r="Q20" s="72">
        <v>74.099999999999909</v>
      </c>
    </row>
    <row r="21" spans="1:17" x14ac:dyDescent="0.45">
      <c r="A21" s="21" t="s">
        <v>12</v>
      </c>
      <c r="B21" s="14">
        <v>134</v>
      </c>
      <c r="C21" s="8">
        <f>IF(B$19=0,0,B21/B$19)</f>
        <v>0.44370860927152317</v>
      </c>
      <c r="E21" s="29" t="s">
        <v>75</v>
      </c>
      <c r="F21" s="26" t="s">
        <v>30</v>
      </c>
      <c r="G21" s="14">
        <v>2</v>
      </c>
      <c r="H21" s="92">
        <f>IF(B$19=0,0,G21/B$19)</f>
        <v>6.6225165562913907E-3</v>
      </c>
      <c r="I21" s="60">
        <v>3</v>
      </c>
      <c r="K21" s="7">
        <v>19</v>
      </c>
      <c r="L21" s="65">
        <v>-27.100000000000009</v>
      </c>
      <c r="N21" s="78" t="s">
        <v>164</v>
      </c>
      <c r="O21" s="87">
        <f>IF(P21=0,0,Q21/P21)</f>
        <v>-0.46249999999999947</v>
      </c>
      <c r="P21" s="81">
        <v>48</v>
      </c>
      <c r="Q21" s="72">
        <v>-22.199999999999974</v>
      </c>
    </row>
    <row r="22" spans="1:17" x14ac:dyDescent="0.45">
      <c r="A22" s="21" t="s">
        <v>11</v>
      </c>
      <c r="B22" s="14">
        <v>168</v>
      </c>
      <c r="C22" s="8">
        <f>IF(B$19=0,0,B22/B$19)</f>
        <v>0.55629139072847678</v>
      </c>
      <c r="E22" s="29" t="s">
        <v>87</v>
      </c>
      <c r="F22" s="26" t="s">
        <v>42</v>
      </c>
      <c r="G22" s="14">
        <v>2</v>
      </c>
      <c r="H22" s="92">
        <f>IF(B$19=0,0,G22/B$19)</f>
        <v>6.6225165562913907E-3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-9.5884615384615408</v>
      </c>
      <c r="P22" s="81">
        <v>26</v>
      </c>
      <c r="Q22" s="72">
        <v>-249.30000000000007</v>
      </c>
    </row>
    <row r="23" spans="1:17" x14ac:dyDescent="0.45">
      <c r="A23" s="21" t="s">
        <v>184</v>
      </c>
      <c r="B23" s="14">
        <v>151</v>
      </c>
      <c r="C23" s="8">
        <f>IF(B$19=0,0,B23/B$19)</f>
        <v>0.5</v>
      </c>
      <c r="E23" s="29" t="s">
        <v>93</v>
      </c>
      <c r="F23" s="26" t="s">
        <v>48</v>
      </c>
      <c r="G23" s="14">
        <v>2</v>
      </c>
      <c r="H23" s="92">
        <f>IF(B$19=0,0,G23/B$19)</f>
        <v>6.6225165562913907E-3</v>
      </c>
      <c r="I23" s="60">
        <v>2</v>
      </c>
      <c r="K23" s="7">
        <v>21</v>
      </c>
      <c r="L23" s="65">
        <v>-7.1054273576010019E-15</v>
      </c>
      <c r="N23" s="78" t="s">
        <v>126</v>
      </c>
      <c r="O23" s="87">
        <f>IF(P23=0,0,Q23/P23)</f>
        <v>-22.559999999999992</v>
      </c>
      <c r="P23" s="81">
        <v>70</v>
      </c>
      <c r="Q23" s="72">
        <v>-1579.1999999999994</v>
      </c>
    </row>
    <row r="24" spans="1:17" x14ac:dyDescent="0.45">
      <c r="A24" s="21" t="s">
        <v>182</v>
      </c>
      <c r="B24" s="14">
        <v>83</v>
      </c>
      <c r="C24" s="8">
        <f>IF(B$19=0,0,B24/B$19)</f>
        <v>0.27483443708609273</v>
      </c>
      <c r="E24" s="29" t="s">
        <v>73</v>
      </c>
      <c r="F24" s="26" t="s">
        <v>28</v>
      </c>
      <c r="G24" s="14">
        <v>1</v>
      </c>
      <c r="H24" s="92">
        <f>IF(B$19=0,0,G24/B$19)</f>
        <v>3.3112582781456954E-3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68</v>
      </c>
      <c r="C25" s="8">
        <f>IF(B$19=0,0,B25/B$19)</f>
        <v>0.2251655629139073</v>
      </c>
      <c r="E25" s="29" t="s">
        <v>77</v>
      </c>
      <c r="F25" s="26" t="s">
        <v>32</v>
      </c>
      <c r="G25" s="14">
        <v>1</v>
      </c>
      <c r="H25" s="92">
        <f>IF(B$19=0,0,G25/B$19)</f>
        <v>3.3112582781456954E-3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9239.7350993377477</v>
      </c>
      <c r="C26" s="10">
        <v>2790400</v>
      </c>
      <c r="E26" s="29" t="s">
        <v>95</v>
      </c>
      <c r="F26" s="26" t="s">
        <v>50</v>
      </c>
      <c r="G26" s="14">
        <v>1</v>
      </c>
      <c r="H26" s="92">
        <f>IF(B$19=0,0,G26/B$19)</f>
        <v>3.3112582781456954E-3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9454.7945205479446</v>
      </c>
      <c r="C27" s="100">
        <v>2070600</v>
      </c>
      <c r="E27" s="29" t="s">
        <v>102</v>
      </c>
      <c r="F27" s="26" t="s">
        <v>57</v>
      </c>
      <c r="G27" s="14">
        <v>1</v>
      </c>
      <c r="H27" s="92">
        <f>IF(B$19=0,0,G27/B$19)</f>
        <v>3.3112582781456954E-3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8672.2891566265062</v>
      </c>
      <c r="C28" s="100">
        <v>719800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-8427.5449101796403</v>
      </c>
      <c r="C29" s="100">
        <v>-1407400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0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84</v>
      </c>
      <c r="F32" s="26" t="s">
        <v>39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112300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2.8985507246376812E-3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22</v>
      </c>
      <c r="C36" s="102">
        <f t="shared" ref="C36:C48" si="2">IF(B$19=0,0,B36/B$19)</f>
        <v>7.2847682119205295E-2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48</v>
      </c>
      <c r="C37" s="8">
        <f t="shared" si="2"/>
        <v>0.15894039735099338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51</v>
      </c>
      <c r="C38" s="8">
        <f t="shared" si="2"/>
        <v>0.16887417218543047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60</v>
      </c>
      <c r="C39" s="8">
        <f t="shared" si="2"/>
        <v>0.19867549668874171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48</v>
      </c>
      <c r="C40" s="8">
        <f t="shared" si="2"/>
        <v>0.15894039735099338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25</v>
      </c>
      <c r="C41" s="8">
        <f t="shared" si="2"/>
        <v>8.2781456953642391E-2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21</v>
      </c>
      <c r="C42" s="8">
        <f t="shared" si="2"/>
        <v>6.9536423841059597E-2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7</v>
      </c>
      <c r="C43" s="8">
        <f t="shared" si="2"/>
        <v>2.3178807947019868E-2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3</v>
      </c>
      <c r="C44" s="8">
        <f t="shared" si="2"/>
        <v>9.9337748344370865E-3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4</v>
      </c>
      <c r="C45" s="8">
        <f t="shared" si="2"/>
        <v>1.3245033112582781E-2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2</v>
      </c>
      <c r="C46" s="8">
        <f t="shared" si="2"/>
        <v>6.6225165562913907E-3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3.3112582781456954E-3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10</v>
      </c>
      <c r="C48" s="11">
        <f t="shared" si="2"/>
        <v>3.3112582781456956E-2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24</v>
      </c>
      <c r="C2" s="132"/>
      <c r="E2" s="28" t="s">
        <v>66</v>
      </c>
      <c r="F2" s="25" t="s">
        <v>22</v>
      </c>
      <c r="G2" s="13">
        <v>48</v>
      </c>
      <c r="H2" s="91">
        <f>IF(B$19=0,0,G2/B$19)</f>
        <v>0.97959183673469385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-2530.4347826086955</v>
      </c>
      <c r="P2" s="80">
        <v>23</v>
      </c>
      <c r="Q2" s="67">
        <v>-58200</v>
      </c>
    </row>
    <row r="3" spans="1:17" x14ac:dyDescent="0.45">
      <c r="A3" s="21" t="s">
        <v>8</v>
      </c>
      <c r="B3" s="133">
        <v>190</v>
      </c>
      <c r="C3" s="134"/>
      <c r="E3" s="29" t="s">
        <v>64</v>
      </c>
      <c r="F3" s="26" t="s">
        <v>20</v>
      </c>
      <c r="G3" s="14">
        <v>26</v>
      </c>
      <c r="H3" s="92">
        <f>IF(B$19=0,0,G3/B$19)</f>
        <v>0.53061224489795922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860.86956521739125</v>
      </c>
      <c r="P3" s="81">
        <v>23</v>
      </c>
      <c r="Q3" s="68">
        <v>19800</v>
      </c>
    </row>
    <row r="4" spans="1:17" x14ac:dyDescent="0.45">
      <c r="A4" s="21" t="s">
        <v>6</v>
      </c>
      <c r="B4" s="135">
        <v>7.3999999999999773</v>
      </c>
      <c r="C4" s="136"/>
      <c r="E4" s="29" t="s">
        <v>160</v>
      </c>
      <c r="F4" s="26" t="s">
        <v>161</v>
      </c>
      <c r="G4" s="14">
        <v>26</v>
      </c>
      <c r="H4" s="92">
        <f>IF(B$19=0,0,G4/B$19)</f>
        <v>0.53061224489795922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-856.52173913043475</v>
      </c>
      <c r="P4" s="81">
        <v>23</v>
      </c>
      <c r="Q4" s="68">
        <v>-19700</v>
      </c>
    </row>
    <row r="5" spans="1:17" x14ac:dyDescent="0.45">
      <c r="A5" s="21" t="s">
        <v>7</v>
      </c>
      <c r="B5" s="123">
        <f>IF(B$2=0,0,B$4/B$2)</f>
        <v>0.3083333333333324</v>
      </c>
      <c r="C5" s="124"/>
      <c r="E5" s="29" t="s">
        <v>72</v>
      </c>
      <c r="F5" s="26" t="s">
        <v>27</v>
      </c>
      <c r="G5" s="14">
        <v>25</v>
      </c>
      <c r="H5" s="92">
        <f>IF(B$19=0,0,G5/B$19)</f>
        <v>0.51020408163265307</v>
      </c>
      <c r="I5" s="60">
        <v>6</v>
      </c>
      <c r="K5" s="7">
        <v>3</v>
      </c>
      <c r="L5" s="65">
        <v>61.5</v>
      </c>
      <c r="N5" s="78" t="s">
        <v>131</v>
      </c>
      <c r="O5" s="84">
        <f t="shared" si="0"/>
        <v>-4805</v>
      </c>
      <c r="P5" s="81">
        <v>20</v>
      </c>
      <c r="Q5" s="68">
        <v>-96100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17</v>
      </c>
      <c r="H6" s="92">
        <f>IF(B$19=0,0,G6/B$19)</f>
        <v>0.34693877551020408</v>
      </c>
      <c r="I6" s="60">
        <v>2</v>
      </c>
      <c r="K6" s="7">
        <v>4</v>
      </c>
      <c r="L6" s="65">
        <v>27.4</v>
      </c>
      <c r="N6" s="78" t="s">
        <v>132</v>
      </c>
      <c r="O6" s="84">
        <f t="shared" si="0"/>
        <v>1170</v>
      </c>
      <c r="P6" s="81">
        <v>20</v>
      </c>
      <c r="Q6" s="68">
        <v>23400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0.41666666666666669</v>
      </c>
      <c r="E7" s="29" t="s">
        <v>68</v>
      </c>
      <c r="F7" s="26" t="s">
        <v>12</v>
      </c>
      <c r="G7" s="14">
        <v>14</v>
      </c>
      <c r="H7" s="92">
        <f>IF(B$19=0,0,G7/B$19)</f>
        <v>0.2857142857142857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5487.5</v>
      </c>
      <c r="P7" s="82">
        <v>16</v>
      </c>
      <c r="Q7" s="69">
        <v>87800</v>
      </c>
    </row>
    <row r="8" spans="1:17" x14ac:dyDescent="0.45">
      <c r="A8" s="21" t="s">
        <v>3</v>
      </c>
      <c r="B8" s="14">
        <v>4</v>
      </c>
      <c r="C8" s="8">
        <f t="shared" si="1"/>
        <v>0.16666666666666666</v>
      </c>
      <c r="E8" s="29" t="s">
        <v>65</v>
      </c>
      <c r="F8" s="26" t="s">
        <v>21</v>
      </c>
      <c r="G8" s="14">
        <v>9</v>
      </c>
      <c r="H8" s="92">
        <f>IF(B$19=0,0,G8/B$19)</f>
        <v>0.18367346938775511</v>
      </c>
      <c r="I8" s="60">
        <v>1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0.41666666666666669</v>
      </c>
      <c r="E9" s="29" t="s">
        <v>89</v>
      </c>
      <c r="F9" s="26" t="s">
        <v>44</v>
      </c>
      <c r="G9" s="14">
        <v>7</v>
      </c>
      <c r="H9" s="92">
        <f>IF(B$19=0,0,G9/B$19)</f>
        <v>0.14285714285714285</v>
      </c>
      <c r="I9" s="60">
        <v>6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37.840000000000003</v>
      </c>
      <c r="C10" s="114">
        <v>378.40000000000003</v>
      </c>
      <c r="E10" s="29" t="s">
        <v>86</v>
      </c>
      <c r="F10" s="26" t="s">
        <v>41</v>
      </c>
      <c r="G10" s="14">
        <v>5</v>
      </c>
      <c r="H10" s="92">
        <f>IF(B$19=0,0,G10/B$19)</f>
        <v>0.10204081632653061</v>
      </c>
      <c r="I10" s="60">
        <v>2</v>
      </c>
      <c r="K10" s="7">
        <v>8</v>
      </c>
      <c r="L10" s="65">
        <v>-9.9999999999999964</v>
      </c>
      <c r="N10" s="77" t="s">
        <v>152</v>
      </c>
      <c r="O10" s="86">
        <f>IF(P10=0,0,Q10/P10)</f>
        <v>-3.6700000000000017</v>
      </c>
      <c r="P10" s="80">
        <v>10</v>
      </c>
      <c r="Q10" s="71">
        <v>-36.700000000000017</v>
      </c>
    </row>
    <row r="11" spans="1:17" x14ac:dyDescent="0.45">
      <c r="A11" s="22" t="s">
        <v>186</v>
      </c>
      <c r="B11" s="113">
        <f>IF(B8=0,0,C11/B8)</f>
        <v>-4.625</v>
      </c>
      <c r="C11" s="114">
        <v>-18.5</v>
      </c>
      <c r="E11" s="29" t="s">
        <v>70</v>
      </c>
      <c r="F11" s="26" t="s">
        <v>25</v>
      </c>
      <c r="G11" s="14">
        <v>4</v>
      </c>
      <c r="H11" s="92">
        <f>IF(B$19=0,0,G11/B$19)</f>
        <v>8.1632653061224483E-2</v>
      </c>
      <c r="I11" s="60">
        <v>3</v>
      </c>
      <c r="K11" s="7">
        <v>9</v>
      </c>
      <c r="L11" s="65">
        <v>33.5</v>
      </c>
      <c r="N11" s="78" t="s">
        <v>153</v>
      </c>
      <c r="O11" s="87">
        <f>IF(P11=0,0,Q11/P11)</f>
        <v>-3.2000000000000015</v>
      </c>
      <c r="P11" s="81">
        <v>6</v>
      </c>
      <c r="Q11" s="72">
        <v>-19.20000000000001</v>
      </c>
    </row>
    <row r="12" spans="1:17" x14ac:dyDescent="0.45">
      <c r="A12" s="22" t="s">
        <v>187</v>
      </c>
      <c r="B12" s="113">
        <f>IF(B9=0,0,C12/B9)</f>
        <v>-35.25</v>
      </c>
      <c r="C12" s="114">
        <v>-352.5</v>
      </c>
      <c r="E12" s="29" t="s">
        <v>69</v>
      </c>
      <c r="F12" s="26" t="s">
        <v>24</v>
      </c>
      <c r="G12" s="14">
        <v>3</v>
      </c>
      <c r="H12" s="92">
        <f>IF(B$19=0,0,G12/B$19)</f>
        <v>6.1224489795918366E-2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7.9124999999999996</v>
      </c>
      <c r="P12" s="82">
        <v>8</v>
      </c>
      <c r="Q12" s="73">
        <v>63.3</v>
      </c>
    </row>
    <row r="13" spans="1:17" x14ac:dyDescent="0.45">
      <c r="A13" s="22" t="s">
        <v>188</v>
      </c>
      <c r="B13" s="123">
        <f>AVERAGE(B10:B12)</f>
        <v>-0.67833333333333223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6.1224489795918366E-2</v>
      </c>
      <c r="I13" s="60">
        <v>5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0.125</v>
      </c>
      <c r="E14" s="29" t="s">
        <v>91</v>
      </c>
      <c r="F14" s="26" t="s">
        <v>46</v>
      </c>
      <c r="G14" s="14">
        <v>3</v>
      </c>
      <c r="H14" s="92">
        <f>IF(B$19=0,0,G14/B$19)</f>
        <v>6.1224489795918366E-2</v>
      </c>
      <c r="I14" s="60">
        <v>2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64</v>
      </c>
      <c r="C15" s="12">
        <f>IF(B$3=0,0,B15/B$3)</f>
        <v>0.33684210526315789</v>
      </c>
      <c r="E15" s="29" t="s">
        <v>79</v>
      </c>
      <c r="F15" s="26" t="s">
        <v>34</v>
      </c>
      <c r="G15" s="14">
        <v>2</v>
      </c>
      <c r="H15" s="92">
        <f>IF(B$19=0,0,G15/B$19)</f>
        <v>4.0816326530612242E-2</v>
      </c>
      <c r="I15" s="60">
        <v>3</v>
      </c>
      <c r="K15" s="7">
        <v>13</v>
      </c>
      <c r="L15" s="65">
        <v>-33.5</v>
      </c>
      <c r="N15" s="77" t="s">
        <v>205</v>
      </c>
      <c r="O15" s="86">
        <f>IF(P15=0,0,Q15/P15)</f>
        <v>98.7</v>
      </c>
      <c r="P15" s="80">
        <v>1</v>
      </c>
      <c r="Q15" s="71">
        <v>98.7</v>
      </c>
    </row>
    <row r="16" spans="1:17" x14ac:dyDescent="0.45">
      <c r="A16" s="21" t="s">
        <v>118</v>
      </c>
      <c r="B16" s="14">
        <v>37</v>
      </c>
      <c r="C16" s="8">
        <f>IF(B$3=0,0,B16/B$3)</f>
        <v>0.19473684210526315</v>
      </c>
      <c r="E16" s="29" t="s">
        <v>81</v>
      </c>
      <c r="F16" s="26" t="s">
        <v>36</v>
      </c>
      <c r="G16" s="14">
        <v>2</v>
      </c>
      <c r="H16" s="92">
        <f>IF(B$19=0,0,G16/B$19)</f>
        <v>4.0816326530612242E-2</v>
      </c>
      <c r="I16" s="60">
        <v>3</v>
      </c>
      <c r="K16" s="7">
        <v>14</v>
      </c>
      <c r="L16" s="65">
        <v>15.100000000000001</v>
      </c>
      <c r="N16" s="78" t="s">
        <v>189</v>
      </c>
      <c r="O16" s="87">
        <f>IF(P16=0,0,Q16/P16)</f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27</v>
      </c>
      <c r="C17" s="6">
        <f>IF(B$15=0,0,B17/B$15)</f>
        <v>0.421875</v>
      </c>
      <c r="E17" s="29" t="s">
        <v>83</v>
      </c>
      <c r="F17" s="26" t="s">
        <v>38</v>
      </c>
      <c r="G17" s="14">
        <v>2</v>
      </c>
      <c r="H17" s="92">
        <f>IF(B$19=0,0,G17/B$19)</f>
        <v>4.0816326530612242E-2</v>
      </c>
      <c r="I17" s="60">
        <v>6</v>
      </c>
      <c r="K17" s="7">
        <v>15</v>
      </c>
      <c r="L17" s="65">
        <v>-33.1</v>
      </c>
      <c r="N17" s="78" t="s">
        <v>213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12</v>
      </c>
      <c r="C18" s="6">
        <f>IF(B$16=0,0,B18/B$16)</f>
        <v>0.32432432432432434</v>
      </c>
      <c r="E18" s="29" t="s">
        <v>92</v>
      </c>
      <c r="F18" s="26" t="s">
        <v>47</v>
      </c>
      <c r="G18" s="14">
        <v>2</v>
      </c>
      <c r="H18" s="92">
        <f>IF(B$19=0,0,G18/B$19)</f>
        <v>4.0816326530612242E-2</v>
      </c>
      <c r="I18" s="60">
        <v>1</v>
      </c>
      <c r="K18" s="7">
        <v>16</v>
      </c>
      <c r="L18" s="65">
        <v>-10.8</v>
      </c>
      <c r="N18" s="78" t="s">
        <v>194</v>
      </c>
      <c r="O18" s="87">
        <f>IF(P18=0,0,Q18/P18)</f>
        <v>5.5333333333333341</v>
      </c>
      <c r="P18" s="81">
        <v>3</v>
      </c>
      <c r="Q18" s="72">
        <v>16.600000000000001</v>
      </c>
    </row>
    <row r="19" spans="1:17" x14ac:dyDescent="0.45">
      <c r="A19" s="20" t="s">
        <v>10</v>
      </c>
      <c r="B19" s="13">
        <f>B22+B21</f>
        <v>49</v>
      </c>
      <c r="C19" s="6">
        <f>IF(B$3=0,0,B19/B$3)</f>
        <v>0.25789473684210529</v>
      </c>
      <c r="E19" s="29" t="s">
        <v>75</v>
      </c>
      <c r="F19" s="26" t="s">
        <v>30</v>
      </c>
      <c r="G19" s="14">
        <v>1</v>
      </c>
      <c r="H19" s="92">
        <f>IF(B$19=0,0,G19/B$19)</f>
        <v>2.0408163265306121E-2</v>
      </c>
      <c r="I19" s="60">
        <v>2</v>
      </c>
      <c r="K19" s="7">
        <v>17</v>
      </c>
      <c r="L19" s="65">
        <v>-32.900000000000006</v>
      </c>
      <c r="N19" s="78" t="s">
        <v>126</v>
      </c>
      <c r="O19" s="87">
        <f>IF(P19=0,0,Q19/P19)</f>
        <v>-5.5149999999999952</v>
      </c>
      <c r="P19" s="81">
        <v>20</v>
      </c>
      <c r="Q19" s="72">
        <v>-110.2999999999999</v>
      </c>
    </row>
    <row r="20" spans="1:17" x14ac:dyDescent="0.45">
      <c r="A20" s="21" t="s">
        <v>13</v>
      </c>
      <c r="B20" s="14">
        <v>43</v>
      </c>
      <c r="C20" s="8">
        <f>IF(B$3=0,0,B20/B$3)</f>
        <v>0.22631578947368422</v>
      </c>
      <c r="E20" s="29" t="s">
        <v>78</v>
      </c>
      <c r="F20" s="26" t="s">
        <v>33</v>
      </c>
      <c r="G20" s="14">
        <v>1</v>
      </c>
      <c r="H20" s="92">
        <f>IF(B$19=0,0,G20/B$19)</f>
        <v>2.0408163265306121E-2</v>
      </c>
      <c r="I20" s="60">
        <v>6</v>
      </c>
      <c r="K20" s="7">
        <v>18</v>
      </c>
      <c r="L20" s="65">
        <v>-69.300000000000011</v>
      </c>
      <c r="N20" s="78" t="s">
        <v>192</v>
      </c>
      <c r="O20" s="87">
        <f>IF(P20=0,0,Q20/P20)</f>
        <v>-12.319999999999999</v>
      </c>
      <c r="P20" s="81">
        <v>10</v>
      </c>
      <c r="Q20" s="72">
        <v>-123.19999999999999</v>
      </c>
    </row>
    <row r="21" spans="1:17" x14ac:dyDescent="0.45">
      <c r="A21" s="21" t="s">
        <v>12</v>
      </c>
      <c r="B21" s="14">
        <v>18</v>
      </c>
      <c r="C21" s="8">
        <f>IF(B$19=0,0,B21/B$19)</f>
        <v>0.36734693877551022</v>
      </c>
      <c r="E21" s="29" t="s">
        <v>156</v>
      </c>
      <c r="F21" s="26" t="s">
        <v>157</v>
      </c>
      <c r="G21" s="14">
        <v>1</v>
      </c>
      <c r="H21" s="92">
        <f>IF(B$19=0,0,G21/B$19)</f>
        <v>2.0408163265306121E-2</v>
      </c>
      <c r="I21" s="60">
        <v>2</v>
      </c>
      <c r="K21" s="7">
        <v>19</v>
      </c>
      <c r="L21" s="65">
        <v>-44.500000000000014</v>
      </c>
      <c r="N21" s="78" t="s">
        <v>193</v>
      </c>
      <c r="O21" s="87">
        <f>IF(P21=0,0,Q21/P21)</f>
        <v>-48.4</v>
      </c>
      <c r="P21" s="81">
        <v>1</v>
      </c>
      <c r="Q21" s="72">
        <v>-48.4</v>
      </c>
    </row>
    <row r="22" spans="1:17" x14ac:dyDescent="0.45">
      <c r="A22" s="21" t="s">
        <v>11</v>
      </c>
      <c r="B22" s="14">
        <v>31</v>
      </c>
      <c r="C22" s="8">
        <f>IF(B$19=0,0,B22/B$19)</f>
        <v>0.63265306122448983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3</v>
      </c>
      <c r="K22" s="7">
        <v>20</v>
      </c>
      <c r="L22" s="65">
        <v>-72.000000000000014</v>
      </c>
    </row>
    <row r="23" spans="1:17" x14ac:dyDescent="0.45">
      <c r="A23" s="21" t="s">
        <v>184</v>
      </c>
      <c r="B23" s="14">
        <v>27</v>
      </c>
      <c r="C23" s="8">
        <f>IF(B$19=0,0,B23/B$19)</f>
        <v>0.55102040816326525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12</v>
      </c>
      <c r="C24" s="8">
        <f>IF(B$19=0,0,B24/B$19)</f>
        <v>0.24489795918367346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10</v>
      </c>
      <c r="C25" s="8">
        <f>IF(B$19=0,0,B25/B$19)</f>
        <v>0.20408163265306123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11500</v>
      </c>
      <c r="C26" s="10">
        <v>563500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12051.351351351352</v>
      </c>
      <c r="C27" s="100">
        <v>445900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9800</v>
      </c>
      <c r="C28" s="100">
        <v>117600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-7279.0697674418607</v>
      </c>
      <c r="C29" s="100">
        <v>-313000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4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20</v>
      </c>
      <c r="C31" s="94">
        <v>4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112300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1</v>
      </c>
      <c r="C34" s="11">
        <f>IF(B$3=0,0,B34/B$3)</f>
        <v>5.263157894736842E-3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2.0408163265306121E-2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8.1632653061224483E-2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2"/>
        <v>4.0816326530612242E-2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16</v>
      </c>
      <c r="C39" s="8">
        <f t="shared" si="2"/>
        <v>0.32653061224489793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10</v>
      </c>
      <c r="C40" s="8">
        <f t="shared" si="2"/>
        <v>0.20408163265306123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6.1224489795918366E-2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6</v>
      </c>
      <c r="C42" s="8">
        <f t="shared" si="2"/>
        <v>0.12244897959183673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3</v>
      </c>
      <c r="C43" s="8">
        <f t="shared" si="2"/>
        <v>6.1224489795918366E-2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2.0408163265306121E-2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1</v>
      </c>
      <c r="C47" s="8">
        <f t="shared" si="2"/>
        <v>2.0408163265306121E-2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2</v>
      </c>
      <c r="C48" s="11">
        <f t="shared" si="2"/>
        <v>4.0816326530612242E-2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7</v>
      </c>
      <c r="C2" s="132"/>
      <c r="E2" s="28" t="s">
        <v>66</v>
      </c>
      <c r="F2" s="25" t="s">
        <v>22</v>
      </c>
      <c r="G2" s="13">
        <v>14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2316.6666666666665</v>
      </c>
      <c r="P2" s="80">
        <v>6</v>
      </c>
      <c r="Q2" s="67">
        <v>13900</v>
      </c>
    </row>
    <row r="3" spans="1:17" x14ac:dyDescent="0.45">
      <c r="A3" s="21" t="s">
        <v>8</v>
      </c>
      <c r="B3" s="133">
        <v>54</v>
      </c>
      <c r="C3" s="134"/>
      <c r="E3" s="29" t="s">
        <v>72</v>
      </c>
      <c r="F3" s="26" t="s">
        <v>27</v>
      </c>
      <c r="G3" s="14">
        <v>11</v>
      </c>
      <c r="H3" s="92">
        <f>IF(B$19=0,0,G3/B$19)</f>
        <v>0.7857142857142857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142.85714285714286</v>
      </c>
      <c r="P3" s="81">
        <v>7</v>
      </c>
      <c r="Q3" s="68">
        <v>1000</v>
      </c>
    </row>
    <row r="4" spans="1:17" x14ac:dyDescent="0.45">
      <c r="A4" s="21" t="s">
        <v>6</v>
      </c>
      <c r="B4" s="135">
        <v>-26.899999999999988</v>
      </c>
      <c r="C4" s="136"/>
      <c r="E4" s="29" t="s">
        <v>64</v>
      </c>
      <c r="F4" s="26" t="s">
        <v>20</v>
      </c>
      <c r="G4" s="14">
        <v>9</v>
      </c>
      <c r="H4" s="92">
        <f>IF(B$19=0,0,G4/B$19)</f>
        <v>0.6428571428571429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-3385.7142857142858</v>
      </c>
      <c r="P4" s="81">
        <v>7</v>
      </c>
      <c r="Q4" s="68">
        <v>-23700</v>
      </c>
    </row>
    <row r="5" spans="1:17" x14ac:dyDescent="0.45">
      <c r="A5" s="21" t="s">
        <v>7</v>
      </c>
      <c r="B5" s="123">
        <f>IF(B$2=0,0,B$4/B$2)</f>
        <v>-3.8428571428571412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0.6428571428571429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2485.7142857142858</v>
      </c>
      <c r="P5" s="81">
        <v>7</v>
      </c>
      <c r="Q5" s="68">
        <v>17400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0.2857142857142857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1000</v>
      </c>
      <c r="P6" s="81">
        <v>6</v>
      </c>
      <c r="Q6" s="68">
        <v>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0.2857142857142857</v>
      </c>
      <c r="E7" s="29" t="s">
        <v>89</v>
      </c>
      <c r="F7" s="26" t="s">
        <v>44</v>
      </c>
      <c r="G7" s="14">
        <v>3</v>
      </c>
      <c r="H7" s="92">
        <f>IF(B$19=0,0,G7/B$19)</f>
        <v>0.21428571428571427</v>
      </c>
      <c r="I7" s="60">
        <v>1</v>
      </c>
      <c r="K7" s="7">
        <v>5</v>
      </c>
      <c r="L7" s="65">
        <v>-57.899999999999991</v>
      </c>
      <c r="N7" s="79" t="s">
        <v>133</v>
      </c>
      <c r="O7" s="85">
        <f t="shared" si="0"/>
        <v>-6916.666666666667</v>
      </c>
      <c r="P7" s="82">
        <v>6</v>
      </c>
      <c r="Q7" s="69">
        <v>-41500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65</v>
      </c>
      <c r="F8" s="26" t="s">
        <v>21</v>
      </c>
      <c r="G8" s="14">
        <v>2</v>
      </c>
      <c r="H8" s="92">
        <f>IF(B$19=0,0,G8/B$19)</f>
        <v>0.14285714285714285</v>
      </c>
      <c r="I8" s="60">
        <v>4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0.2857142857142857</v>
      </c>
      <c r="E9" s="29" t="s">
        <v>67</v>
      </c>
      <c r="F9" s="26" t="s">
        <v>23</v>
      </c>
      <c r="G9" s="14">
        <v>2</v>
      </c>
      <c r="H9" s="92">
        <f>IF(B$19=0,0,G9/B$19)</f>
        <v>0.14285714285714285</v>
      </c>
      <c r="I9" s="60">
        <v>10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0.14285714285714285</v>
      </c>
      <c r="I10" s="60">
        <v>4</v>
      </c>
      <c r="N10" s="77" t="s">
        <v>152</v>
      </c>
      <c r="O10" s="86">
        <f>IF(P10=0,0,Q10/P10)</f>
        <v>1.7250000000000005</v>
      </c>
      <c r="P10" s="80">
        <v>4</v>
      </c>
      <c r="Q10" s="71">
        <v>6.9000000000000021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-11.266666666666666</v>
      </c>
      <c r="P11" s="81">
        <v>3</v>
      </c>
      <c r="Q11" s="72">
        <v>-33.799999999999997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7.1428571428571425E-2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-3.4222222222222221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7.1428571428571425E-2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5</v>
      </c>
      <c r="C16" s="8">
        <f>IF(B$3=0,0,B16/B$3)</f>
        <v>9.2592592592592587E-2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49.75</v>
      </c>
      <c r="P16" s="81">
        <v>2</v>
      </c>
      <c r="Q16" s="72">
        <v>99.5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-15.100000000000001</v>
      </c>
      <c r="P17" s="81">
        <v>4</v>
      </c>
      <c r="Q17" s="72">
        <v>-60.400000000000006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-23.599999999999998</v>
      </c>
      <c r="P18" s="81">
        <v>3</v>
      </c>
      <c r="Q18" s="72">
        <v>-70.8</v>
      </c>
    </row>
    <row r="19" spans="1:17" x14ac:dyDescent="0.45">
      <c r="A19" s="20" t="s">
        <v>10</v>
      </c>
      <c r="B19" s="13">
        <f>B22+B21</f>
        <v>14</v>
      </c>
      <c r="C19" s="6">
        <f>IF(B$3=0,0,B19/B$3)</f>
        <v>0.25925925925925924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8</v>
      </c>
      <c r="N19" s="78" t="s">
        <v>164</v>
      </c>
      <c r="O19" s="87">
        <f>IF(P19=0,0,Q19/P19)</f>
        <v>-26.674999999999997</v>
      </c>
      <c r="P19" s="81">
        <v>4</v>
      </c>
      <c r="Q19" s="72">
        <v>-106.69999999999999</v>
      </c>
    </row>
    <row r="20" spans="1:17" x14ac:dyDescent="0.45">
      <c r="A20" s="21" t="s">
        <v>13</v>
      </c>
      <c r="B20" s="14">
        <v>14</v>
      </c>
      <c r="C20" s="8">
        <f>IF(B$3=0,0,B20/B$3)</f>
        <v>0.25925925925925924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0.6428571428571429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0.35714285714285715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8</v>
      </c>
      <c r="C23" s="8">
        <f>IF(B$19=0,0,B23/B$19)</f>
        <v>0.5714285714285714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0.21428571428571427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0.21428571428571427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9985.7142857142862</v>
      </c>
      <c r="C26" s="10">
        <v>139800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9281.818181818182</v>
      </c>
      <c r="C27" s="100">
        <v>102100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-6628.5714285714284</v>
      </c>
      <c r="C29" s="100">
        <v>-92800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1.8518518518518517E-2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0.21428571428571427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0.21428571428571427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0.35714285714285715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7.1428571428571425E-2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35</v>
      </c>
      <c r="C2" s="132"/>
      <c r="E2" s="28" t="s">
        <v>66</v>
      </c>
      <c r="F2" s="25" t="s">
        <v>22</v>
      </c>
      <c r="G2" s="13">
        <v>65</v>
      </c>
      <c r="H2" s="91">
        <f>IF(B$19=0,0,G2/B$19)</f>
        <v>0.69148936170212771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117.14285714285714</v>
      </c>
      <c r="P2" s="80">
        <v>35</v>
      </c>
      <c r="Q2" s="67">
        <v>4100</v>
      </c>
    </row>
    <row r="3" spans="1:17" x14ac:dyDescent="0.45">
      <c r="A3" s="21" t="s">
        <v>8</v>
      </c>
      <c r="B3" s="133">
        <v>265</v>
      </c>
      <c r="C3" s="134"/>
      <c r="E3" s="29" t="s">
        <v>72</v>
      </c>
      <c r="F3" s="26" t="s">
        <v>27</v>
      </c>
      <c r="G3" s="14">
        <v>43</v>
      </c>
      <c r="H3" s="92">
        <f>IF(B$19=0,0,G3/B$19)</f>
        <v>0.45744680851063829</v>
      </c>
      <c r="I3" s="60">
        <v>9</v>
      </c>
      <c r="K3" s="7">
        <v>1</v>
      </c>
      <c r="L3" s="65">
        <v>39.200000000000003</v>
      </c>
      <c r="N3" s="78" t="s">
        <v>129</v>
      </c>
      <c r="O3" s="84">
        <f t="shared" si="0"/>
        <v>4864.7058823529414</v>
      </c>
      <c r="P3" s="81">
        <v>34</v>
      </c>
      <c r="Q3" s="68">
        <v>165400</v>
      </c>
    </row>
    <row r="4" spans="1:17" x14ac:dyDescent="0.45">
      <c r="A4" s="21" t="s">
        <v>6</v>
      </c>
      <c r="B4" s="135">
        <v>526.40000000000009</v>
      </c>
      <c r="C4" s="136"/>
      <c r="E4" s="29" t="s">
        <v>64</v>
      </c>
      <c r="F4" s="26" t="s">
        <v>20</v>
      </c>
      <c r="G4" s="14">
        <v>36</v>
      </c>
      <c r="H4" s="92">
        <f>IF(B$19=0,0,G4/B$19)</f>
        <v>0.38297872340425532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5969.69696969697</v>
      </c>
      <c r="P4" s="81">
        <v>33</v>
      </c>
      <c r="Q4" s="68">
        <v>197000</v>
      </c>
    </row>
    <row r="5" spans="1:17" x14ac:dyDescent="0.45">
      <c r="A5" s="21" t="s">
        <v>7</v>
      </c>
      <c r="B5" s="123">
        <f>IF(B$2=0,0,B$4/B$2)</f>
        <v>15.040000000000003</v>
      </c>
      <c r="C5" s="124"/>
      <c r="E5" s="29" t="s">
        <v>160</v>
      </c>
      <c r="F5" s="26" t="s">
        <v>161</v>
      </c>
      <c r="G5" s="14">
        <v>36</v>
      </c>
      <c r="H5" s="92">
        <f>IF(B$19=0,0,G5/B$19)</f>
        <v>0.38297872340425532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4585.1851851851852</v>
      </c>
      <c r="P5" s="81">
        <v>27</v>
      </c>
      <c r="Q5" s="68">
        <v>123800</v>
      </c>
    </row>
    <row r="6" spans="1:17" x14ac:dyDescent="0.45">
      <c r="A6" s="21" t="s">
        <v>1</v>
      </c>
      <c r="B6" s="137">
        <f>IF(B$2=0,0,(B$7*1+B$8*2+B$9*3)/B$2)</f>
        <v>1.7142857142857142</v>
      </c>
      <c r="C6" s="138"/>
      <c r="E6" s="29" t="s">
        <v>68</v>
      </c>
      <c r="F6" s="26" t="s">
        <v>12</v>
      </c>
      <c r="G6" s="14">
        <v>31</v>
      </c>
      <c r="H6" s="92">
        <f>IF(B$19=0,0,G6/B$19)</f>
        <v>0.32978723404255317</v>
      </c>
      <c r="I6" s="60">
        <v>4</v>
      </c>
      <c r="K6" s="7">
        <v>4</v>
      </c>
      <c r="L6" s="65">
        <v>101.5</v>
      </c>
      <c r="N6" s="78" t="s">
        <v>132</v>
      </c>
      <c r="O6" s="84">
        <f t="shared" si="0"/>
        <v>-856</v>
      </c>
      <c r="P6" s="81">
        <v>25</v>
      </c>
      <c r="Q6" s="68">
        <v>-21400</v>
      </c>
    </row>
    <row r="7" spans="1:17" x14ac:dyDescent="0.45">
      <c r="A7" s="21" t="s">
        <v>2</v>
      </c>
      <c r="B7" s="14">
        <v>16</v>
      </c>
      <c r="C7" s="8">
        <f t="shared" ref="C7:C14" si="1">IF(B$2=0,0,B7/B$2)</f>
        <v>0.45714285714285713</v>
      </c>
      <c r="E7" s="29" t="s">
        <v>67</v>
      </c>
      <c r="F7" s="26" t="s">
        <v>23</v>
      </c>
      <c r="G7" s="14">
        <v>21</v>
      </c>
      <c r="H7" s="92">
        <f>IF(B$19=0,0,G7/B$19)</f>
        <v>0.22340425531914893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-433.33333333333331</v>
      </c>
      <c r="P7" s="82">
        <v>21</v>
      </c>
      <c r="Q7" s="69">
        <v>-9100</v>
      </c>
    </row>
    <row r="8" spans="1:17" x14ac:dyDescent="0.45">
      <c r="A8" s="21" t="s">
        <v>3</v>
      </c>
      <c r="B8" s="14">
        <v>13</v>
      </c>
      <c r="C8" s="8">
        <f t="shared" si="1"/>
        <v>0.37142857142857144</v>
      </c>
      <c r="E8" s="29" t="s">
        <v>89</v>
      </c>
      <c r="F8" s="26" t="s">
        <v>44</v>
      </c>
      <c r="G8" s="14">
        <v>17</v>
      </c>
      <c r="H8" s="92">
        <f>IF(B$19=0,0,G8/B$19)</f>
        <v>0.18085106382978725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0.17142857142857143</v>
      </c>
      <c r="E9" s="29" t="s">
        <v>69</v>
      </c>
      <c r="F9" s="26" t="s">
        <v>24</v>
      </c>
      <c r="G9" s="14">
        <v>15</v>
      </c>
      <c r="H9" s="92">
        <f>IF(B$19=0,0,G9/B$19)</f>
        <v>0.15957446808510639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47.4375</v>
      </c>
      <c r="C10" s="114">
        <v>759</v>
      </c>
      <c r="E10" s="29" t="s">
        <v>65</v>
      </c>
      <c r="F10" s="26" t="s">
        <v>21</v>
      </c>
      <c r="G10" s="14">
        <v>10</v>
      </c>
      <c r="H10" s="92">
        <f>IF(B$19=0,0,G10/B$19)</f>
        <v>0.10638297872340426</v>
      </c>
      <c r="I10" s="60">
        <v>7</v>
      </c>
      <c r="K10" s="7">
        <v>8</v>
      </c>
      <c r="L10" s="65">
        <v>132.6</v>
      </c>
      <c r="N10" s="77" t="s">
        <v>152</v>
      </c>
      <c r="O10" s="86">
        <f>IF(P10=0,0,Q10/P10)</f>
        <v>3.2625000000000002</v>
      </c>
      <c r="P10" s="80">
        <v>8</v>
      </c>
      <c r="Q10" s="71">
        <v>26.1</v>
      </c>
    </row>
    <row r="11" spans="1:17" x14ac:dyDescent="0.45">
      <c r="A11" s="22" t="s">
        <v>186</v>
      </c>
      <c r="B11" s="113">
        <f>IF(B8=0,0,C11/B8)</f>
        <v>0.16923076923076932</v>
      </c>
      <c r="C11" s="114">
        <v>2.2000000000000011</v>
      </c>
      <c r="E11" s="29" t="s">
        <v>86</v>
      </c>
      <c r="F11" s="26" t="s">
        <v>41</v>
      </c>
      <c r="G11" s="14">
        <v>8</v>
      </c>
      <c r="H11" s="92">
        <f>IF(B$19=0,0,G11/B$19)</f>
        <v>8.5106382978723402E-2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16.330769230769228</v>
      </c>
      <c r="P11" s="81">
        <v>13</v>
      </c>
      <c r="Q11" s="72">
        <v>212.29999999999998</v>
      </c>
    </row>
    <row r="12" spans="1:17" x14ac:dyDescent="0.45">
      <c r="A12" s="22" t="s">
        <v>187</v>
      </c>
      <c r="B12" s="113">
        <f>IF(B9=0,0,C12/B9)</f>
        <v>-39.133333333333333</v>
      </c>
      <c r="C12" s="114">
        <v>-234.8</v>
      </c>
      <c r="E12" s="29" t="s">
        <v>71</v>
      </c>
      <c r="F12" s="26" t="s">
        <v>26</v>
      </c>
      <c r="G12" s="14">
        <v>7</v>
      </c>
      <c r="H12" s="92">
        <f>IF(B$19=0,0,G12/B$19)</f>
        <v>7.4468085106382975E-2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20.571428571428577</v>
      </c>
      <c r="P12" s="82">
        <v>14</v>
      </c>
      <c r="Q12" s="73">
        <v>288.00000000000006</v>
      </c>
    </row>
    <row r="13" spans="1:17" x14ac:dyDescent="0.45">
      <c r="A13" s="22" t="s">
        <v>188</v>
      </c>
      <c r="B13" s="123">
        <f>AVERAGE(B10:B12)</f>
        <v>2.8244658119658133</v>
      </c>
      <c r="C13" s="124"/>
      <c r="E13" s="29" t="s">
        <v>83</v>
      </c>
      <c r="F13" s="26" t="s">
        <v>38</v>
      </c>
      <c r="G13" s="14">
        <v>7</v>
      </c>
      <c r="H13" s="92">
        <f>IF(B$19=0,0,G13/B$19)</f>
        <v>7.4468085106382975E-2</v>
      </c>
      <c r="I13" s="60">
        <v>2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2.8571428571428571E-2</v>
      </c>
      <c r="E14" s="29" t="s">
        <v>70</v>
      </c>
      <c r="F14" s="26" t="s">
        <v>25</v>
      </c>
      <c r="G14" s="14">
        <v>5</v>
      </c>
      <c r="H14" s="92">
        <f>IF(B$19=0,0,G14/B$19)</f>
        <v>5.3191489361702128E-2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67</v>
      </c>
      <c r="C15" s="12">
        <f>IF(B$3=0,0,B15/B$3)</f>
        <v>0.25283018867924528</v>
      </c>
      <c r="E15" s="29" t="s">
        <v>92</v>
      </c>
      <c r="F15" s="26" t="s">
        <v>47</v>
      </c>
      <c r="G15" s="14">
        <v>3</v>
      </c>
      <c r="H15" s="92">
        <f>IF(B$19=0,0,G15/B$19)</f>
        <v>3.1914893617021274E-2</v>
      </c>
      <c r="I15" s="60">
        <v>2</v>
      </c>
      <c r="K15" s="7">
        <v>13</v>
      </c>
      <c r="L15" s="65">
        <v>197</v>
      </c>
      <c r="N15" s="77" t="s">
        <v>194</v>
      </c>
      <c r="O15" s="86">
        <f>IF(P15=0,0,Q15/P15)</f>
        <v>51.2</v>
      </c>
      <c r="P15" s="80">
        <v>8</v>
      </c>
      <c r="Q15" s="71">
        <v>409.6</v>
      </c>
    </row>
    <row r="16" spans="1:17" x14ac:dyDescent="0.45">
      <c r="A16" s="21" t="s">
        <v>118</v>
      </c>
      <c r="B16" s="14">
        <v>50</v>
      </c>
      <c r="C16" s="8">
        <f>IF(B$3=0,0,B16/B$3)</f>
        <v>0.18867924528301888</v>
      </c>
      <c r="E16" s="29" t="s">
        <v>156</v>
      </c>
      <c r="F16" s="26" t="s">
        <v>157</v>
      </c>
      <c r="G16" s="14">
        <v>3</v>
      </c>
      <c r="H16" s="92">
        <f>IF(B$19=0,0,G16/B$19)</f>
        <v>3.1914893617021274E-2</v>
      </c>
      <c r="I16" s="60">
        <v>1</v>
      </c>
      <c r="K16" s="7">
        <v>14</v>
      </c>
      <c r="L16" s="65">
        <v>249.2</v>
      </c>
      <c r="N16" s="78" t="s">
        <v>193</v>
      </c>
      <c r="O16" s="87">
        <f>IF(P16=0,0,Q16/P16)</f>
        <v>40.874999999999993</v>
      </c>
      <c r="P16" s="81">
        <v>4</v>
      </c>
      <c r="Q16" s="72">
        <v>163.49999999999997</v>
      </c>
    </row>
    <row r="17" spans="1:17" x14ac:dyDescent="0.45">
      <c r="A17" s="20" t="s">
        <v>123</v>
      </c>
      <c r="B17" s="13">
        <f>B23</f>
        <v>41</v>
      </c>
      <c r="C17" s="6">
        <f>IF(B$15=0,0,B17/B$15)</f>
        <v>0.61194029850746268</v>
      </c>
      <c r="E17" s="29" t="s">
        <v>79</v>
      </c>
      <c r="F17" s="26" t="s">
        <v>34</v>
      </c>
      <c r="G17" s="14">
        <v>2</v>
      </c>
      <c r="H17" s="92">
        <f>IF(B$19=0,0,G17/B$19)</f>
        <v>2.1276595744680851E-2</v>
      </c>
      <c r="I17" s="60">
        <v>5</v>
      </c>
      <c r="K17" s="7">
        <v>15</v>
      </c>
      <c r="L17" s="65">
        <v>213.5</v>
      </c>
      <c r="N17" s="78" t="s">
        <v>196</v>
      </c>
      <c r="O17" s="87">
        <f>IF(P17=0,0,Q17/P17)</f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29</v>
      </c>
      <c r="C18" s="6">
        <f>IF(B$16=0,0,B18/B$16)</f>
        <v>0.57999999999999996</v>
      </c>
      <c r="E18" s="29" t="s">
        <v>93</v>
      </c>
      <c r="F18" s="26" t="s">
        <v>48</v>
      </c>
      <c r="G18" s="14">
        <v>2</v>
      </c>
      <c r="H18" s="92">
        <f>IF(B$19=0,0,G18/B$19)</f>
        <v>2.1276595744680851E-2</v>
      </c>
      <c r="I18" s="60">
        <v>1</v>
      </c>
      <c r="K18" s="7">
        <v>16</v>
      </c>
      <c r="L18" s="65">
        <v>273.8</v>
      </c>
      <c r="N18" s="78" t="s">
        <v>205</v>
      </c>
      <c r="O18" s="87">
        <f>IF(P18=0,0,Q18/P18)</f>
        <v>32.975000000000001</v>
      </c>
      <c r="P18" s="81">
        <v>8</v>
      </c>
      <c r="Q18" s="72">
        <v>263.8</v>
      </c>
    </row>
    <row r="19" spans="1:17" x14ac:dyDescent="0.45">
      <c r="A19" s="20" t="s">
        <v>10</v>
      </c>
      <c r="B19" s="13">
        <f>B22+B21</f>
        <v>94</v>
      </c>
      <c r="C19" s="6">
        <f>IF(B$3=0,0,B19/B$3)</f>
        <v>0.35471698113207545</v>
      </c>
      <c r="E19" s="29" t="s">
        <v>73</v>
      </c>
      <c r="F19" s="26" t="s">
        <v>28</v>
      </c>
      <c r="G19" s="14">
        <v>1</v>
      </c>
      <c r="H19" s="92">
        <f>IF(B$19=0,0,G19/B$19)</f>
        <v>1.0638297872340425E-2</v>
      </c>
      <c r="I19" s="60">
        <v>1</v>
      </c>
      <c r="K19" s="7">
        <v>17</v>
      </c>
      <c r="L19" s="65">
        <v>242.8</v>
      </c>
      <c r="N19" s="78" t="s">
        <v>192</v>
      </c>
      <c r="O19" s="87">
        <f>IF(P19=0,0,Q19/P19)</f>
        <v>30.606666666666666</v>
      </c>
      <c r="P19" s="81">
        <v>15</v>
      </c>
      <c r="Q19" s="72">
        <v>459.09999999999997</v>
      </c>
    </row>
    <row r="20" spans="1:17" x14ac:dyDescent="0.45">
      <c r="A20" s="21" t="s">
        <v>13</v>
      </c>
      <c r="B20" s="14">
        <v>28</v>
      </c>
      <c r="C20" s="8">
        <f>IF(B$3=0,0,B20/B$3)</f>
        <v>0.10566037735849057</v>
      </c>
      <c r="E20" s="29" t="s">
        <v>78</v>
      </c>
      <c r="F20" s="26" t="s">
        <v>33</v>
      </c>
      <c r="G20" s="14">
        <v>1</v>
      </c>
      <c r="H20" s="92">
        <f>IF(B$19=0,0,G20/B$19)</f>
        <v>1.0638297872340425E-2</v>
      </c>
      <c r="I20" s="60">
        <v>7</v>
      </c>
      <c r="K20" s="7">
        <v>18</v>
      </c>
      <c r="L20" s="65">
        <v>280</v>
      </c>
      <c r="N20" s="78" t="s">
        <v>189</v>
      </c>
      <c r="O20" s="87">
        <f>IF(P20=0,0,Q20/P20)</f>
        <v>15.100000000000001</v>
      </c>
      <c r="P20" s="81">
        <v>4</v>
      </c>
      <c r="Q20" s="72">
        <v>60.400000000000006</v>
      </c>
    </row>
    <row r="21" spans="1:17" x14ac:dyDescent="0.45">
      <c r="A21" s="21" t="s">
        <v>12</v>
      </c>
      <c r="B21" s="14">
        <v>46</v>
      </c>
      <c r="C21" s="8">
        <f>IF(B$19=0,0,B21/B$19)</f>
        <v>0.48936170212765956</v>
      </c>
      <c r="E21" s="29" t="s">
        <v>81</v>
      </c>
      <c r="F21" s="26" t="s">
        <v>36</v>
      </c>
      <c r="G21" s="14">
        <v>1</v>
      </c>
      <c r="H21" s="92">
        <f>IF(B$19=0,0,G21/B$19)</f>
        <v>1.0638297872340425E-2</v>
      </c>
      <c r="I21" s="60">
        <v>6</v>
      </c>
      <c r="K21" s="7">
        <v>19</v>
      </c>
      <c r="L21" s="65">
        <v>281.5</v>
      </c>
      <c r="N21" s="78" t="s">
        <v>164</v>
      </c>
      <c r="O21" s="87">
        <f>IF(P21=0,0,Q21/P21)</f>
        <v>5.5149999999999988</v>
      </c>
      <c r="P21" s="81">
        <v>20</v>
      </c>
      <c r="Q21" s="72">
        <v>110.29999999999997</v>
      </c>
    </row>
    <row r="22" spans="1:17" x14ac:dyDescent="0.45">
      <c r="A22" s="21" t="s">
        <v>11</v>
      </c>
      <c r="B22" s="14">
        <v>48</v>
      </c>
      <c r="C22" s="8">
        <f>IF(B$19=0,0,B22/B$19)</f>
        <v>0.51063829787234039</v>
      </c>
      <c r="E22" s="29" t="s">
        <v>87</v>
      </c>
      <c r="F22" s="26" t="s">
        <v>42</v>
      </c>
      <c r="G22" s="14">
        <v>1</v>
      </c>
      <c r="H22" s="92">
        <f>IF(B$19=0,0,G22/B$19)</f>
        <v>1.0638297872340425E-2</v>
      </c>
      <c r="I22" s="60">
        <v>2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41</v>
      </c>
      <c r="C23" s="8">
        <f>IF(B$19=0,0,B23/B$19)</f>
        <v>0.43617021276595747</v>
      </c>
      <c r="E23" s="29" t="s">
        <v>91</v>
      </c>
      <c r="F23" s="26" t="s">
        <v>46</v>
      </c>
      <c r="G23" s="14">
        <v>1</v>
      </c>
      <c r="H23" s="92">
        <f>IF(B$19=0,0,G23/B$19)</f>
        <v>1.0638297872340425E-2</v>
      </c>
      <c r="I23" s="60">
        <v>5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29</v>
      </c>
      <c r="C24" s="8">
        <f>IF(B$19=0,0,B24/B$19)</f>
        <v>0.30851063829787234</v>
      </c>
      <c r="E24" s="29" t="s">
        <v>95</v>
      </c>
      <c r="F24" s="26" t="s">
        <v>50</v>
      </c>
      <c r="G24" s="14">
        <v>1</v>
      </c>
      <c r="H24" s="92">
        <f>IF(B$19=0,0,G24/B$19)</f>
        <v>1.0638297872340425E-2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24</v>
      </c>
      <c r="C25" s="8">
        <f>IF(B$19=0,0,B25/B$19)</f>
        <v>0.25531914893617019</v>
      </c>
      <c r="E25" s="29" t="s">
        <v>74</v>
      </c>
      <c r="F25" s="26" t="s">
        <v>29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10005.319148936171</v>
      </c>
      <c r="C26" s="10">
        <v>940500</v>
      </c>
      <c r="E26" s="29" t="s">
        <v>75</v>
      </c>
      <c r="F26" s="26" t="s">
        <v>30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10298.461538461539</v>
      </c>
      <c r="C27" s="100">
        <v>669400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9348.2758620689656</v>
      </c>
      <c r="C28" s="100">
        <v>271100</v>
      </c>
      <c r="E28" s="29" t="s">
        <v>77</v>
      </c>
      <c r="F28" s="26" t="s">
        <v>32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-10114.285714285714</v>
      </c>
      <c r="C29" s="100">
        <v>-283200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0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6</v>
      </c>
      <c r="C36" s="102">
        <f t="shared" ref="C36:C48" si="2">IF(B$19=0,0,B36/B$19)</f>
        <v>6.3829787234042548E-2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14</v>
      </c>
      <c r="C37" s="8">
        <f t="shared" si="2"/>
        <v>0.14893617021276595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15</v>
      </c>
      <c r="C38" s="8">
        <f t="shared" si="2"/>
        <v>0.15957446808510639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18</v>
      </c>
      <c r="C39" s="8">
        <f t="shared" si="2"/>
        <v>0.19148936170212766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18</v>
      </c>
      <c r="C40" s="8">
        <f t="shared" si="2"/>
        <v>0.19148936170212766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7</v>
      </c>
      <c r="C41" s="8">
        <f t="shared" si="2"/>
        <v>7.4468085106382975E-2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5</v>
      </c>
      <c r="C42" s="8">
        <f t="shared" si="2"/>
        <v>5.3191489361702128E-2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2"/>
        <v>3.1914893617021274E-2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1.0638297872340425E-2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1.0638297872340425E-2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6</v>
      </c>
      <c r="C48" s="11">
        <f t="shared" si="2"/>
        <v>6.3829787234042548E-2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14</v>
      </c>
      <c r="C2" s="132"/>
      <c r="E2" s="28" t="s">
        <v>64</v>
      </c>
      <c r="F2" s="25" t="s">
        <v>20</v>
      </c>
      <c r="G2" s="13">
        <v>9</v>
      </c>
      <c r="H2" s="91">
        <f>IF(B$19=0,0,G2/B$19)</f>
        <v>0.6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-6392.8571428571431</v>
      </c>
      <c r="P2" s="80">
        <v>14</v>
      </c>
      <c r="Q2" s="67">
        <v>-89500</v>
      </c>
    </row>
    <row r="3" spans="1:17" x14ac:dyDescent="0.45">
      <c r="A3" s="21" t="s">
        <v>8</v>
      </c>
      <c r="B3" s="133">
        <v>87</v>
      </c>
      <c r="C3" s="134"/>
      <c r="E3" s="29" t="s">
        <v>72</v>
      </c>
      <c r="F3" s="26" t="s">
        <v>27</v>
      </c>
      <c r="G3" s="14">
        <v>7</v>
      </c>
      <c r="H3" s="92">
        <f>IF(B$19=0,0,G3/B$19)</f>
        <v>0.46666666666666667</v>
      </c>
      <c r="I3" s="60">
        <v>8</v>
      </c>
      <c r="K3" s="7">
        <v>1</v>
      </c>
      <c r="L3" s="65">
        <v>-55.5</v>
      </c>
      <c r="N3" s="78" t="s">
        <v>129</v>
      </c>
      <c r="O3" s="84">
        <f t="shared" si="0"/>
        <v>-2300</v>
      </c>
      <c r="P3" s="81">
        <v>13</v>
      </c>
      <c r="Q3" s="68">
        <v>-29900</v>
      </c>
    </row>
    <row r="4" spans="1:17" x14ac:dyDescent="0.45">
      <c r="A4" s="21" t="s">
        <v>6</v>
      </c>
      <c r="B4" s="135">
        <v>-330.7</v>
      </c>
      <c r="C4" s="136"/>
      <c r="E4" s="29" t="s">
        <v>160</v>
      </c>
      <c r="F4" s="26" t="s">
        <v>161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-8558.3333333333339</v>
      </c>
      <c r="P4" s="81">
        <v>12</v>
      </c>
      <c r="Q4" s="68">
        <v>-102700</v>
      </c>
    </row>
    <row r="5" spans="1:17" x14ac:dyDescent="0.45">
      <c r="A5" s="21" t="s">
        <v>7</v>
      </c>
      <c r="B5" s="123">
        <f>IF(B$2=0,0,B$4/B$2)</f>
        <v>-23.62142857142857</v>
      </c>
      <c r="C5" s="124"/>
      <c r="E5" s="29" t="s">
        <v>66</v>
      </c>
      <c r="F5" s="26" t="s">
        <v>22</v>
      </c>
      <c r="G5" s="14">
        <v>6</v>
      </c>
      <c r="H5" s="92">
        <f>IF(B$19=0,0,G5/B$19)</f>
        <v>0.4</v>
      </c>
      <c r="I5" s="60">
        <v>9</v>
      </c>
      <c r="K5" s="7">
        <v>3</v>
      </c>
      <c r="L5" s="65">
        <v>-108</v>
      </c>
      <c r="N5" s="78" t="s">
        <v>131</v>
      </c>
      <c r="O5" s="84">
        <f t="shared" si="0"/>
        <v>2325</v>
      </c>
      <c r="P5" s="81">
        <v>8</v>
      </c>
      <c r="Q5" s="68">
        <v>18600</v>
      </c>
    </row>
    <row r="6" spans="1:17" x14ac:dyDescent="0.45">
      <c r="A6" s="21" t="s">
        <v>1</v>
      </c>
      <c r="B6" s="137">
        <f>IF(B$2=0,0,(B$7*1+B$8*2+B$9*3)/B$2)</f>
        <v>2.5714285714285716</v>
      </c>
      <c r="C6" s="138"/>
      <c r="E6" s="29" t="s">
        <v>68</v>
      </c>
      <c r="F6" s="26" t="s">
        <v>12</v>
      </c>
      <c r="G6" s="14">
        <v>5</v>
      </c>
      <c r="H6" s="92">
        <f>IF(B$19=0,0,G6/B$19)</f>
        <v>0.33333333333333331</v>
      </c>
      <c r="I6" s="60">
        <v>2</v>
      </c>
      <c r="K6" s="7">
        <v>4</v>
      </c>
      <c r="L6" s="65">
        <v>-115.5</v>
      </c>
      <c r="N6" s="78" t="s">
        <v>132</v>
      </c>
      <c r="O6" s="84">
        <f t="shared" si="0"/>
        <v>400</v>
      </c>
      <c r="P6" s="81">
        <v>7</v>
      </c>
      <c r="Q6" s="68">
        <v>2800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4</v>
      </c>
      <c r="H7" s="92">
        <f>IF(B$19=0,0,G7/B$19)</f>
        <v>0.26666666666666666</v>
      </c>
      <c r="I7" s="60">
        <v>4</v>
      </c>
      <c r="K7" s="7">
        <v>5</v>
      </c>
      <c r="L7" s="65">
        <v>-116</v>
      </c>
      <c r="N7" s="79" t="s">
        <v>133</v>
      </c>
      <c r="O7" s="85">
        <f t="shared" si="0"/>
        <v>-2850</v>
      </c>
      <c r="P7" s="82">
        <v>6</v>
      </c>
      <c r="Q7" s="69">
        <v>-17100</v>
      </c>
    </row>
    <row r="8" spans="1:17" x14ac:dyDescent="0.45">
      <c r="A8" s="21" t="s">
        <v>3</v>
      </c>
      <c r="B8" s="14">
        <v>6</v>
      </c>
      <c r="C8" s="8">
        <f t="shared" si="1"/>
        <v>0.42857142857142855</v>
      </c>
      <c r="E8" s="29" t="s">
        <v>69</v>
      </c>
      <c r="F8" s="26" t="s">
        <v>24</v>
      </c>
      <c r="G8" s="14">
        <v>3</v>
      </c>
      <c r="H8" s="92">
        <f>IF(B$19=0,0,G8/B$19)</f>
        <v>0.2</v>
      </c>
      <c r="I8" s="60">
        <v>1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0.5714285714285714</v>
      </c>
      <c r="E9" s="29" t="s">
        <v>65</v>
      </c>
      <c r="F9" s="26" t="s">
        <v>21</v>
      </c>
      <c r="G9" s="14">
        <v>1</v>
      </c>
      <c r="H9" s="92">
        <f>IF(B$19=0,0,G9/B$19)</f>
        <v>6.6666666666666666E-2</v>
      </c>
      <c r="I9" s="60">
        <v>9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6.6666666666666666E-2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-2.3166666666666664</v>
      </c>
      <c r="C11" s="114">
        <v>-13.899999999999999</v>
      </c>
      <c r="E11" s="29" t="s">
        <v>81</v>
      </c>
      <c r="F11" s="26" t="s">
        <v>36</v>
      </c>
      <c r="G11" s="14">
        <v>1</v>
      </c>
      <c r="H11" s="92">
        <f>IF(B$19=0,0,G11/B$19)</f>
        <v>6.6666666666666666E-2</v>
      </c>
      <c r="I11" s="60">
        <v>1</v>
      </c>
      <c r="K11" s="7">
        <v>9</v>
      </c>
      <c r="L11" s="65">
        <v>-172.39999999999998</v>
      </c>
      <c r="N11" s="78" t="s">
        <v>153</v>
      </c>
      <c r="O11" s="87">
        <f>IF(P11=0,0,Q11/P11)</f>
        <v>-13.616666666666667</v>
      </c>
      <c r="P11" s="81">
        <v>6</v>
      </c>
      <c r="Q11" s="72">
        <v>-81.7</v>
      </c>
    </row>
    <row r="12" spans="1:17" x14ac:dyDescent="0.45">
      <c r="A12" s="22" t="s">
        <v>187</v>
      </c>
      <c r="B12" s="113">
        <f>IF(B9=0,0,C12/B9)</f>
        <v>-39.6</v>
      </c>
      <c r="C12" s="114">
        <v>-316.8</v>
      </c>
      <c r="E12" s="29" t="s">
        <v>87</v>
      </c>
      <c r="F12" s="26" t="s">
        <v>42</v>
      </c>
      <c r="G12" s="14">
        <v>1</v>
      </c>
      <c r="H12" s="92">
        <f>IF(B$19=0,0,G12/B$19)</f>
        <v>6.6666666666666666E-2</v>
      </c>
      <c r="I12" s="60">
        <v>1</v>
      </c>
      <c r="K12" s="7">
        <v>10</v>
      </c>
      <c r="L12" s="65">
        <v>-217.59999999999997</v>
      </c>
      <c r="N12" s="79" t="s">
        <v>154</v>
      </c>
      <c r="O12" s="88">
        <f>IF(P12=0,0,Q12/P12)</f>
        <v>-30.833333333333332</v>
      </c>
      <c r="P12" s="82">
        <v>3</v>
      </c>
      <c r="Q12" s="73">
        <v>-92.5</v>
      </c>
    </row>
    <row r="13" spans="1:17" x14ac:dyDescent="0.45">
      <c r="A13" s="22" t="s">
        <v>188</v>
      </c>
      <c r="B13" s="123">
        <f>AVERAGE(B10:B12)</f>
        <v>-13.972222222222223</v>
      </c>
      <c r="C13" s="124"/>
      <c r="E13" s="29" t="s">
        <v>91</v>
      </c>
      <c r="F13" s="26" t="s">
        <v>46</v>
      </c>
      <c r="G13" s="14">
        <v>1</v>
      </c>
      <c r="H13" s="92">
        <f>IF(B$19=0,0,G13/B$19)</f>
        <v>6.6666666666666666E-2</v>
      </c>
      <c r="I13" s="60">
        <v>1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0.35714285714285715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26</v>
      </c>
      <c r="C15" s="12">
        <f>IF(B$3=0,0,B15/B$3)</f>
        <v>0.2988505747126437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K15" s="7">
        <v>13</v>
      </c>
      <c r="L15" s="65">
        <v>-280.59999999999997</v>
      </c>
      <c r="N15" s="77" t="s">
        <v>205</v>
      </c>
      <c r="O15" s="86">
        <f>IF(P15=0,0,Q15/P15)</f>
        <v>-3.3666666666666649</v>
      </c>
      <c r="P15" s="80">
        <v>3</v>
      </c>
      <c r="Q15" s="71">
        <v>-10.099999999999994</v>
      </c>
    </row>
    <row r="16" spans="1:17" x14ac:dyDescent="0.45">
      <c r="A16" s="21" t="s">
        <v>118</v>
      </c>
      <c r="B16" s="14">
        <v>10</v>
      </c>
      <c r="C16" s="8">
        <f>IF(B$3=0,0,B16/B$3)</f>
        <v>0.11494252873563218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K16" s="7">
        <v>14</v>
      </c>
      <c r="L16" s="65">
        <v>-330.7</v>
      </c>
      <c r="N16" s="78" t="s">
        <v>164</v>
      </c>
      <c r="O16" s="87">
        <f>IF(P16=0,0,Q16/P16)</f>
        <v>-5.5333333333333341</v>
      </c>
      <c r="P16" s="81">
        <v>3</v>
      </c>
      <c r="Q16" s="72">
        <v>-16.600000000000001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0.34615384615384615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-16.157142857142858</v>
      </c>
      <c r="P17" s="81">
        <v>7</v>
      </c>
      <c r="Q17" s="72">
        <v>-113.10000000000001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0.2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0.17241379310344829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  <c r="N19" s="78" t="s">
        <v>126</v>
      </c>
      <c r="O19" s="87">
        <f>IF(P19=0,0,Q19/P19)</f>
        <v>-51.2</v>
      </c>
      <c r="P19" s="81">
        <v>8</v>
      </c>
      <c r="Q19" s="72">
        <v>-409.6</v>
      </c>
    </row>
    <row r="20" spans="1:17" x14ac:dyDescent="0.45">
      <c r="A20" s="21" t="s">
        <v>13</v>
      </c>
      <c r="B20" s="14">
        <v>13</v>
      </c>
      <c r="C20" s="8">
        <f>IF(B$3=0,0,B20/B$3)</f>
        <v>0.14942528735632185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8</v>
      </c>
      <c r="N20" s="78" t="s">
        <v>193</v>
      </c>
      <c r="O20" s="87">
        <f>IF(P20=0,0,Q20/P20)</f>
        <v>-70.36666666666666</v>
      </c>
      <c r="P20" s="81">
        <v>6</v>
      </c>
      <c r="Q20" s="72">
        <v>-422.2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0.6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2</v>
      </c>
      <c r="C24" s="8">
        <f>IF(B$19=0,0,B24/B$19)</f>
        <v>0.13333333333333333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4</v>
      </c>
      <c r="C25" s="8">
        <f>IF(B$19=0,0,B25/B$19)</f>
        <v>0.26666666666666666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6253.333333333333</v>
      </c>
      <c r="C26" s="10">
        <v>93800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6907.6923076923076</v>
      </c>
      <c r="C27" s="100">
        <v>89800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167</v>
      </c>
      <c r="B28" s="99">
        <f>IF(B$18=0,0,C28/B$18)</f>
        <v>2000</v>
      </c>
      <c r="C28" s="100">
        <v>4000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-9046.1538461538457</v>
      </c>
      <c r="C29" s="100">
        <v>-117600</v>
      </c>
      <c r="E29" s="29" t="s">
        <v>89</v>
      </c>
      <c r="F29" s="26" t="s">
        <v>44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46300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6.6666666666666666E-2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0.26666666666666666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6.6666666666666666E-2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6.6666666666666666E-2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0.13333333333333333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6.6666666666666666E-2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31</v>
      </c>
      <c r="H2" s="91">
        <f>IF(B$19=0,0,G2/B$19)</f>
        <v>0.60784313725490191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1620</v>
      </c>
      <c r="P2" s="80">
        <v>25</v>
      </c>
      <c r="Q2" s="67">
        <v>40500</v>
      </c>
    </row>
    <row r="3" spans="1:17" x14ac:dyDescent="0.45">
      <c r="A3" s="21" t="s">
        <v>8</v>
      </c>
      <c r="B3" s="133">
        <v>186</v>
      </c>
      <c r="C3" s="134"/>
      <c r="E3" s="29" t="s">
        <v>64</v>
      </c>
      <c r="F3" s="26" t="s">
        <v>20</v>
      </c>
      <c r="G3" s="14">
        <v>25</v>
      </c>
      <c r="H3" s="92">
        <f>IF(B$19=0,0,G3/B$19)</f>
        <v>0.49019607843137253</v>
      </c>
      <c r="I3" s="60">
        <v>6</v>
      </c>
      <c r="K3" s="7">
        <v>1</v>
      </c>
      <c r="L3" s="65">
        <v>-0.5</v>
      </c>
      <c r="N3" s="78" t="s">
        <v>129</v>
      </c>
      <c r="O3" s="84">
        <f t="shared" si="0"/>
        <v>-1496</v>
      </c>
      <c r="P3" s="81">
        <v>25</v>
      </c>
      <c r="Q3" s="68">
        <v>-37400</v>
      </c>
    </row>
    <row r="4" spans="1:17" x14ac:dyDescent="0.45">
      <c r="A4" s="21" t="s">
        <v>6</v>
      </c>
      <c r="B4" s="135">
        <v>-24.699999999999989</v>
      </c>
      <c r="C4" s="136"/>
      <c r="E4" s="29" t="s">
        <v>66</v>
      </c>
      <c r="F4" s="26" t="s">
        <v>22</v>
      </c>
      <c r="G4" s="14">
        <v>24</v>
      </c>
      <c r="H4" s="92">
        <f>IF(B$19=0,0,G4/B$19)</f>
        <v>0.47058823529411764</v>
      </c>
      <c r="I4" s="60">
        <v>7</v>
      </c>
      <c r="K4" s="7">
        <v>2</v>
      </c>
      <c r="L4" s="65">
        <v>-62.8</v>
      </c>
      <c r="N4" s="78" t="s">
        <v>130</v>
      </c>
      <c r="O4" s="84">
        <f t="shared" si="0"/>
        <v>-604</v>
      </c>
      <c r="P4" s="81">
        <v>25</v>
      </c>
      <c r="Q4" s="68">
        <v>-15100</v>
      </c>
    </row>
    <row r="5" spans="1:17" x14ac:dyDescent="0.45">
      <c r="A5" s="21" t="s">
        <v>7</v>
      </c>
      <c r="B5" s="123">
        <f>IF(B$2=0,0,B$4/B$2)</f>
        <v>-0.94999999999999951</v>
      </c>
      <c r="C5" s="124"/>
      <c r="E5" s="29" t="s">
        <v>160</v>
      </c>
      <c r="F5" s="26" t="s">
        <v>161</v>
      </c>
      <c r="G5" s="14">
        <v>22</v>
      </c>
      <c r="H5" s="92">
        <f>IF(B$19=0,0,G5/B$19)</f>
        <v>0.43137254901960786</v>
      </c>
      <c r="I5" s="60">
        <v>5</v>
      </c>
      <c r="K5" s="7">
        <v>3</v>
      </c>
      <c r="L5" s="65">
        <v>-48.5</v>
      </c>
      <c r="N5" s="78" t="s">
        <v>131</v>
      </c>
      <c r="O5" s="84">
        <f t="shared" si="0"/>
        <v>-395.45454545454544</v>
      </c>
      <c r="P5" s="81">
        <v>22</v>
      </c>
      <c r="Q5" s="68">
        <v>-8700</v>
      </c>
    </row>
    <row r="6" spans="1:17" x14ac:dyDescent="0.45">
      <c r="A6" s="21" t="s">
        <v>1</v>
      </c>
      <c r="B6" s="137">
        <f>IF(B$2=0,0,(B$7*1+B$8*2+B$9*3)/B$2)</f>
        <v>1.9230769230769231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0.31372549019607843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-1752.6315789473683</v>
      </c>
      <c r="P6" s="81">
        <v>19</v>
      </c>
      <c r="Q6" s="68">
        <v>-33300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0.30769230769230771</v>
      </c>
      <c r="E7" s="29" t="s">
        <v>67</v>
      </c>
      <c r="F7" s="26" t="s">
        <v>23</v>
      </c>
      <c r="G7" s="14">
        <v>14</v>
      </c>
      <c r="H7" s="92">
        <f>IF(B$19=0,0,G7/B$19)</f>
        <v>0.27450980392156865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581.25</v>
      </c>
      <c r="P7" s="82">
        <v>16</v>
      </c>
      <c r="Q7" s="69">
        <v>9300</v>
      </c>
    </row>
    <row r="8" spans="1:17" x14ac:dyDescent="0.45">
      <c r="A8" s="21" t="s">
        <v>3</v>
      </c>
      <c r="B8" s="14">
        <v>12</v>
      </c>
      <c r="C8" s="8">
        <f t="shared" si="1"/>
        <v>0.46153846153846156</v>
      </c>
      <c r="E8" s="29" t="s">
        <v>89</v>
      </c>
      <c r="F8" s="26" t="s">
        <v>44</v>
      </c>
      <c r="G8" s="14">
        <v>8</v>
      </c>
      <c r="H8" s="92">
        <f>IF(B$19=0,0,G8/B$19)</f>
        <v>0.15686274509803921</v>
      </c>
      <c r="I8" s="60">
        <v>4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0.23076923076923078</v>
      </c>
      <c r="E9" s="29" t="s">
        <v>69</v>
      </c>
      <c r="F9" s="26" t="s">
        <v>24</v>
      </c>
      <c r="G9" s="14">
        <v>5</v>
      </c>
      <c r="H9" s="92">
        <f>IF(B$19=0,0,G9/B$19)</f>
        <v>9.8039215686274508E-2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34.65</v>
      </c>
      <c r="C10" s="114">
        <v>277.2</v>
      </c>
      <c r="E10" s="29" t="s">
        <v>65</v>
      </c>
      <c r="F10" s="26" t="s">
        <v>21</v>
      </c>
      <c r="G10" s="14">
        <v>4</v>
      </c>
      <c r="H10" s="92">
        <f>IF(B$19=0,0,G10/B$19)</f>
        <v>7.8431372549019607E-2</v>
      </c>
      <c r="I10" s="60">
        <v>8</v>
      </c>
      <c r="K10" s="7">
        <v>8</v>
      </c>
      <c r="L10" s="65">
        <v>-28.3</v>
      </c>
      <c r="N10" s="77" t="s">
        <v>152</v>
      </c>
      <c r="O10" s="86">
        <f>IF(P10=0,0,Q10/P10)</f>
        <v>-17.55</v>
      </c>
      <c r="P10" s="80">
        <v>8</v>
      </c>
      <c r="Q10" s="71">
        <v>-140.4</v>
      </c>
    </row>
    <row r="11" spans="1:17" x14ac:dyDescent="0.45">
      <c r="A11" s="22" t="s">
        <v>186</v>
      </c>
      <c r="B11" s="113">
        <f>IF(B8=0,0,C11/B8)</f>
        <v>-4.9083333333333323</v>
      </c>
      <c r="C11" s="114">
        <v>-58.899999999999991</v>
      </c>
      <c r="E11" s="29" t="s">
        <v>70</v>
      </c>
      <c r="F11" s="26" t="s">
        <v>25</v>
      </c>
      <c r="G11" s="14">
        <v>4</v>
      </c>
      <c r="H11" s="92">
        <f>IF(B$19=0,0,G11/B$19)</f>
        <v>7.8431372549019607E-2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-2.411111111111111</v>
      </c>
      <c r="P11" s="81">
        <v>9</v>
      </c>
      <c r="Q11" s="72">
        <v>-21.7</v>
      </c>
    </row>
    <row r="12" spans="1:17" x14ac:dyDescent="0.45">
      <c r="A12" s="22" t="s">
        <v>187</v>
      </c>
      <c r="B12" s="113">
        <f>IF(B9=0,0,C12/B9)</f>
        <v>-40.5</v>
      </c>
      <c r="C12" s="114">
        <v>-243</v>
      </c>
      <c r="E12" s="29" t="s">
        <v>79</v>
      </c>
      <c r="F12" s="26" t="s">
        <v>34</v>
      </c>
      <c r="G12" s="14">
        <v>4</v>
      </c>
      <c r="H12" s="92">
        <f>IF(B$19=0,0,G12/B$19)</f>
        <v>7.8431372549019607E-2</v>
      </c>
      <c r="I12" s="60">
        <v>2</v>
      </c>
      <c r="K12" s="7">
        <v>10</v>
      </c>
      <c r="L12" s="65">
        <v>-14.9</v>
      </c>
      <c r="N12" s="79" t="s">
        <v>154</v>
      </c>
      <c r="O12" s="88">
        <f>IF(P12=0,0,Q12/P12)</f>
        <v>15.266666666666667</v>
      </c>
      <c r="P12" s="82">
        <v>9</v>
      </c>
      <c r="Q12" s="73">
        <v>137.4</v>
      </c>
    </row>
    <row r="13" spans="1:17" x14ac:dyDescent="0.45">
      <c r="A13" s="22" t="s">
        <v>188</v>
      </c>
      <c r="B13" s="123">
        <f>AVERAGE(B10:B12)</f>
        <v>-3.5861111111111108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5.8823529411764705E-2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7.6923076923076927E-2</v>
      </c>
      <c r="E14" s="29" t="s">
        <v>78</v>
      </c>
      <c r="F14" s="26" t="s">
        <v>33</v>
      </c>
      <c r="G14" s="14">
        <v>3</v>
      </c>
      <c r="H14" s="92">
        <f>IF(B$19=0,0,G14/B$19)</f>
        <v>5.8823529411764705E-2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51</v>
      </c>
      <c r="C15" s="12">
        <f>IF(B$3=0,0,B15/B$3)</f>
        <v>0.27419354838709675</v>
      </c>
      <c r="E15" s="29" t="s">
        <v>83</v>
      </c>
      <c r="F15" s="26" t="s">
        <v>38</v>
      </c>
      <c r="G15" s="14">
        <v>2</v>
      </c>
      <c r="H15" s="92">
        <f>IF(B$19=0,0,G15/B$19)</f>
        <v>3.9215686274509803E-2</v>
      </c>
      <c r="I15" s="60">
        <v>7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41</v>
      </c>
      <c r="C16" s="8">
        <f>IF(B$3=0,0,B16/B$3)</f>
        <v>0.22043010752688172</v>
      </c>
      <c r="E16" s="29" t="s">
        <v>81</v>
      </c>
      <c r="F16" s="26" t="s">
        <v>36</v>
      </c>
      <c r="G16" s="14">
        <v>1</v>
      </c>
      <c r="H16" s="92">
        <f>IF(B$19=0,0,G16/B$19)</f>
        <v>1.9607843137254902E-2</v>
      </c>
      <c r="I16" s="60">
        <v>5</v>
      </c>
      <c r="K16" s="7">
        <v>14</v>
      </c>
      <c r="L16" s="65">
        <v>-149.39999999999998</v>
      </c>
      <c r="N16" s="78" t="s">
        <v>196</v>
      </c>
      <c r="O16" s="87">
        <f>IF(P16=0,0,Q16/P16)</f>
        <v>19.850000000000001</v>
      </c>
      <c r="P16" s="81">
        <v>4</v>
      </c>
      <c r="Q16" s="72">
        <v>79.400000000000006</v>
      </c>
    </row>
    <row r="17" spans="1:17" x14ac:dyDescent="0.45">
      <c r="A17" s="20" t="s">
        <v>123</v>
      </c>
      <c r="B17" s="13">
        <f>B23</f>
        <v>28</v>
      </c>
      <c r="C17" s="6">
        <f>IF(B$15=0,0,B17/B$15)</f>
        <v>0.5490196078431373</v>
      </c>
      <c r="E17" s="29" t="s">
        <v>86</v>
      </c>
      <c r="F17" s="26" t="s">
        <v>41</v>
      </c>
      <c r="G17" s="14">
        <v>1</v>
      </c>
      <c r="H17" s="92">
        <f>IF(B$19=0,0,G17/B$19)</f>
        <v>1.9607843137254902E-2</v>
      </c>
      <c r="I17" s="60">
        <v>6</v>
      </c>
      <c r="K17" s="7">
        <v>15</v>
      </c>
      <c r="L17" s="65">
        <v>-121.39999999999998</v>
      </c>
      <c r="N17" s="78" t="s">
        <v>194</v>
      </c>
      <c r="O17" s="87">
        <f>IF(P17=0,0,Q17/P17)</f>
        <v>16.157142857142858</v>
      </c>
      <c r="P17" s="81">
        <v>7</v>
      </c>
      <c r="Q17" s="72">
        <v>113.10000000000001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0.31707317073170732</v>
      </c>
      <c r="E18" s="29" t="s">
        <v>91</v>
      </c>
      <c r="F18" s="26" t="s">
        <v>46</v>
      </c>
      <c r="G18" s="14">
        <v>1</v>
      </c>
      <c r="H18" s="92">
        <f>IF(B$19=0,0,G18/B$19)</f>
        <v>1.9607843137254902E-2</v>
      </c>
      <c r="I18" s="60">
        <v>4</v>
      </c>
      <c r="K18" s="7">
        <v>16</v>
      </c>
      <c r="L18" s="65">
        <v>-141.29999999999998</v>
      </c>
      <c r="N18" s="78" t="s">
        <v>164</v>
      </c>
      <c r="O18" s="87">
        <f>IF(P18=0,0,Q18/P18)</f>
        <v>12.32</v>
      </c>
      <c r="P18" s="81">
        <v>10</v>
      </c>
      <c r="Q18" s="72">
        <v>123.2</v>
      </c>
    </row>
    <row r="19" spans="1:17" x14ac:dyDescent="0.45">
      <c r="A19" s="20" t="s">
        <v>10</v>
      </c>
      <c r="B19" s="13">
        <f>B22+B21</f>
        <v>51</v>
      </c>
      <c r="C19" s="6">
        <f>IF(B$3=0,0,B19/B$3)</f>
        <v>0.27419354838709675</v>
      </c>
      <c r="E19" s="29" t="s">
        <v>92</v>
      </c>
      <c r="F19" s="26" t="s">
        <v>47</v>
      </c>
      <c r="G19" s="14">
        <v>1</v>
      </c>
      <c r="H19" s="92">
        <f>IF(B$19=0,0,G19/B$19)</f>
        <v>1.9607843137254902E-2</v>
      </c>
      <c r="I19" s="60">
        <v>4</v>
      </c>
      <c r="K19" s="7">
        <v>17</v>
      </c>
      <c r="L19" s="65">
        <v>-149.1</v>
      </c>
      <c r="N19" s="78" t="s">
        <v>193</v>
      </c>
      <c r="O19" s="87">
        <f>IF(P19=0,0,Q19/P19)</f>
        <v>2.2800000000000038</v>
      </c>
      <c r="P19" s="81">
        <v>10</v>
      </c>
      <c r="Q19" s="72">
        <v>22.80000000000004</v>
      </c>
    </row>
    <row r="20" spans="1:17" x14ac:dyDescent="0.45">
      <c r="A20" s="21" t="s">
        <v>13</v>
      </c>
      <c r="B20" s="14">
        <v>24</v>
      </c>
      <c r="C20" s="8">
        <f>IF(B$3=0,0,B20/B$3)</f>
        <v>0.12903225806451613</v>
      </c>
      <c r="E20" s="29" t="s">
        <v>156</v>
      </c>
      <c r="F20" s="26" t="s">
        <v>157</v>
      </c>
      <c r="G20" s="14">
        <v>1</v>
      </c>
      <c r="H20" s="92">
        <f>IF(B$19=0,0,G20/B$19)</f>
        <v>1.9607843137254902E-2</v>
      </c>
      <c r="I20" s="60">
        <v>3</v>
      </c>
      <c r="K20" s="7">
        <v>18</v>
      </c>
      <c r="L20" s="65">
        <v>-201.89999999999998</v>
      </c>
      <c r="N20" s="78" t="s">
        <v>205</v>
      </c>
      <c r="O20" s="87">
        <f>IF(P20=0,0,Q20/P20)</f>
        <v>-8.1000000000000014</v>
      </c>
      <c r="P20" s="81">
        <v>3</v>
      </c>
      <c r="Q20" s="72">
        <v>-24.300000000000004</v>
      </c>
    </row>
    <row r="21" spans="1:17" x14ac:dyDescent="0.45">
      <c r="A21" s="21" t="s">
        <v>12</v>
      </c>
      <c r="B21" s="14">
        <v>20</v>
      </c>
      <c r="C21" s="8">
        <f>IF(B$19=0,0,B21/B$19)</f>
        <v>0.39215686274509803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  <c r="K21" s="7">
        <v>19</v>
      </c>
      <c r="L21" s="65">
        <v>-152.39999999999998</v>
      </c>
      <c r="N21" s="78" t="s">
        <v>126</v>
      </c>
      <c r="O21" s="87">
        <f>IF(P21=0,0,Q21/P21)</f>
        <v>-30.606666666666669</v>
      </c>
      <c r="P21" s="81">
        <v>15</v>
      </c>
      <c r="Q21" s="72">
        <v>-459.1</v>
      </c>
    </row>
    <row r="22" spans="1:17" x14ac:dyDescent="0.45">
      <c r="A22" s="21" t="s">
        <v>11</v>
      </c>
      <c r="B22" s="14">
        <v>31</v>
      </c>
      <c r="C22" s="8">
        <f>IF(B$19=0,0,B22/B$19)</f>
        <v>0.60784313725490191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28</v>
      </c>
      <c r="C23" s="8">
        <f>IF(B$19=0,0,B23/B$19)</f>
        <v>0.5490196078431373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13</v>
      </c>
      <c r="C24" s="8">
        <f>IF(B$19=0,0,B24/B$19)</f>
        <v>0.25490196078431371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10</v>
      </c>
      <c r="C25" s="8">
        <f>IF(B$19=0,0,B25/B$19)</f>
        <v>0.19607843137254902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8147.0588235294117</v>
      </c>
      <c r="C26" s="10">
        <v>415500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8444.7368421052633</v>
      </c>
      <c r="C27" s="100">
        <v>320900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7276.9230769230771</v>
      </c>
      <c r="C28" s="100">
        <v>94600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-7541.666666666667</v>
      </c>
      <c r="C29" s="100">
        <v>-181000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21</v>
      </c>
      <c r="C31" s="94">
        <v>11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6</v>
      </c>
      <c r="C36" s="102">
        <f t="shared" ref="C36:C48" si="2">IF(B$19=0,0,B36/B$19)</f>
        <v>0.11764705882352941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2"/>
        <v>0.11764705882352941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14</v>
      </c>
      <c r="C38" s="8">
        <f t="shared" si="2"/>
        <v>0.27450980392156865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10</v>
      </c>
      <c r="C39" s="8">
        <f t="shared" si="2"/>
        <v>0.19607843137254902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2"/>
        <v>7.8431372549019607E-2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3.9215686274509803E-2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5</v>
      </c>
      <c r="C42" s="8">
        <f t="shared" si="2"/>
        <v>9.8039215686274508E-2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1.9607843137254902E-2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1.9607843137254902E-2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1</v>
      </c>
      <c r="C46" s="8">
        <f t="shared" si="2"/>
        <v>1.9607843137254902E-2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1.9607843137254902E-2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13</v>
      </c>
      <c r="C2" s="132"/>
      <c r="E2" s="28" t="s">
        <v>66</v>
      </c>
      <c r="F2" s="25" t="s">
        <v>22</v>
      </c>
      <c r="G2" s="13">
        <v>26</v>
      </c>
      <c r="H2" s="91">
        <f>IF(B$19=0,0,G2/B$19)</f>
        <v>0.83870967741935487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-3715.3846153846152</v>
      </c>
      <c r="P2" s="80">
        <v>13</v>
      </c>
      <c r="Q2" s="67">
        <v>-48300</v>
      </c>
    </row>
    <row r="3" spans="1:17" x14ac:dyDescent="0.45">
      <c r="A3" s="21" t="s">
        <v>8</v>
      </c>
      <c r="B3" s="133">
        <v>86</v>
      </c>
      <c r="C3" s="134"/>
      <c r="E3" s="29" t="s">
        <v>72</v>
      </c>
      <c r="F3" s="26" t="s">
        <v>27</v>
      </c>
      <c r="G3" s="14">
        <v>25</v>
      </c>
      <c r="H3" s="92">
        <f>IF(B$19=0,0,G3/B$19)</f>
        <v>0.80645161290322576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-1633.3333333333333</v>
      </c>
      <c r="P3" s="81">
        <v>12</v>
      </c>
      <c r="Q3" s="68">
        <v>-19600</v>
      </c>
    </row>
    <row r="4" spans="1:17" x14ac:dyDescent="0.45">
      <c r="A4" s="21" t="s">
        <v>6</v>
      </c>
      <c r="B4" s="135">
        <v>83.1</v>
      </c>
      <c r="C4" s="136"/>
      <c r="E4" s="29" t="s">
        <v>64</v>
      </c>
      <c r="F4" s="26" t="s">
        <v>20</v>
      </c>
      <c r="G4" s="14">
        <v>10</v>
      </c>
      <c r="H4" s="92">
        <f>IF(B$19=0,0,G4/B$19)</f>
        <v>0.32258064516129031</v>
      </c>
      <c r="I4" s="60">
        <v>9</v>
      </c>
      <c r="K4" s="7">
        <v>2</v>
      </c>
      <c r="L4" s="65">
        <v>137.5</v>
      </c>
      <c r="N4" s="78" t="s">
        <v>130</v>
      </c>
      <c r="O4" s="84">
        <f t="shared" si="0"/>
        <v>6016.666666666667</v>
      </c>
      <c r="P4" s="81">
        <v>12</v>
      </c>
      <c r="Q4" s="68">
        <v>72200</v>
      </c>
    </row>
    <row r="5" spans="1:17" x14ac:dyDescent="0.45">
      <c r="A5" s="21" t="s">
        <v>7</v>
      </c>
      <c r="B5" s="123">
        <f>IF(B$2=0,0,B$4/B$2)</f>
        <v>6.3923076923076918</v>
      </c>
      <c r="C5" s="124"/>
      <c r="E5" s="29" t="s">
        <v>67</v>
      </c>
      <c r="F5" s="26" t="s">
        <v>23</v>
      </c>
      <c r="G5" s="14">
        <v>7</v>
      </c>
      <c r="H5" s="92">
        <f>IF(B$19=0,0,G5/B$19)</f>
        <v>0.22580645161290322</v>
      </c>
      <c r="I5" s="60">
        <v>6</v>
      </c>
      <c r="K5" s="7">
        <v>3</v>
      </c>
      <c r="L5" s="65">
        <v>159</v>
      </c>
      <c r="N5" s="78" t="s">
        <v>131</v>
      </c>
      <c r="O5" s="84">
        <f t="shared" si="0"/>
        <v>-888.88888888888891</v>
      </c>
      <c r="P5" s="81">
        <v>9</v>
      </c>
      <c r="Q5" s="68">
        <v>-8000</v>
      </c>
    </row>
    <row r="6" spans="1:17" x14ac:dyDescent="0.45">
      <c r="A6" s="21" t="s">
        <v>1</v>
      </c>
      <c r="B6" s="137">
        <f>IF(B$2=0,0,(B$7*1+B$8*2+B$9*3)/B$2)</f>
        <v>1.8461538461538463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0.22580645161290322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4683.333333333333</v>
      </c>
      <c r="P6" s="81">
        <v>6</v>
      </c>
      <c r="Q6" s="68">
        <v>28100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0.53846153846153844</v>
      </c>
      <c r="E7" s="29" t="s">
        <v>69</v>
      </c>
      <c r="F7" s="26" t="s">
        <v>24</v>
      </c>
      <c r="G7" s="14">
        <v>4</v>
      </c>
      <c r="H7" s="92">
        <f>IF(B$19=0,0,G7/B$19)</f>
        <v>0.12903225806451613</v>
      </c>
      <c r="I7" s="60">
        <v>6</v>
      </c>
      <c r="K7" s="7">
        <v>5</v>
      </c>
      <c r="L7" s="65">
        <v>140.30000000000001</v>
      </c>
      <c r="N7" s="79" t="s">
        <v>133</v>
      </c>
      <c r="O7" s="85">
        <f t="shared" si="0"/>
        <v>633.33333333333337</v>
      </c>
      <c r="P7" s="82">
        <v>6</v>
      </c>
      <c r="Q7" s="69">
        <v>3800</v>
      </c>
    </row>
    <row r="8" spans="1:17" x14ac:dyDescent="0.45">
      <c r="A8" s="21" t="s">
        <v>3</v>
      </c>
      <c r="B8" s="14">
        <v>1</v>
      </c>
      <c r="C8" s="8">
        <f t="shared" si="1"/>
        <v>7.6923076923076927E-2</v>
      </c>
      <c r="E8" s="29" t="s">
        <v>89</v>
      </c>
      <c r="F8" s="26" t="s">
        <v>44</v>
      </c>
      <c r="G8" s="14">
        <v>4</v>
      </c>
      <c r="H8" s="92">
        <f>IF(B$19=0,0,G8/B$19)</f>
        <v>0.12903225806451613</v>
      </c>
      <c r="I8" s="60">
        <v>7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0.38461538461538464</v>
      </c>
      <c r="E9" s="29" t="s">
        <v>160</v>
      </c>
      <c r="F9" s="26" t="s">
        <v>161</v>
      </c>
      <c r="G9" s="14">
        <v>4</v>
      </c>
      <c r="H9" s="92">
        <f>IF(B$19=0,0,G9/B$19)</f>
        <v>0.12903225806451613</v>
      </c>
      <c r="I9" s="60">
        <v>10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40.18571428571429</v>
      </c>
      <c r="C10" s="114">
        <v>281.3</v>
      </c>
      <c r="E10" s="29" t="s">
        <v>83</v>
      </c>
      <c r="F10" s="26" t="s">
        <v>38</v>
      </c>
      <c r="G10" s="14">
        <v>3</v>
      </c>
      <c r="H10" s="92">
        <f>IF(B$19=0,0,G10/B$19)</f>
        <v>9.6774193548387094E-2</v>
      </c>
      <c r="I10" s="60">
        <v>1</v>
      </c>
      <c r="K10" s="7">
        <v>8</v>
      </c>
      <c r="L10" s="65">
        <v>96.800000000000011</v>
      </c>
      <c r="N10" s="77" t="s">
        <v>152</v>
      </c>
      <c r="O10" s="86">
        <f>IF(P10=0,0,Q10/P10)</f>
        <v>-20.725000000000001</v>
      </c>
      <c r="P10" s="80">
        <v>4</v>
      </c>
      <c r="Q10" s="71">
        <v>-82.9</v>
      </c>
    </row>
    <row r="11" spans="1:17" x14ac:dyDescent="0.45">
      <c r="A11" s="22" t="s">
        <v>186</v>
      </c>
      <c r="B11" s="113">
        <f>IF(B8=0,0,C11/B8)</f>
        <v>-12.6</v>
      </c>
      <c r="C11" s="114">
        <v>-12.6</v>
      </c>
      <c r="E11" s="29" t="s">
        <v>65</v>
      </c>
      <c r="F11" s="26" t="s">
        <v>21</v>
      </c>
      <c r="G11" s="14">
        <v>2</v>
      </c>
      <c r="H11" s="92">
        <f>IF(B$19=0,0,G11/B$19)</f>
        <v>6.4516129032258063E-2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-1.2000000000000011</v>
      </c>
      <c r="P11" s="81">
        <v>4</v>
      </c>
      <c r="Q11" s="72">
        <v>-4.8000000000000043</v>
      </c>
    </row>
    <row r="12" spans="1:17" x14ac:dyDescent="0.45">
      <c r="A12" s="22" t="s">
        <v>187</v>
      </c>
      <c r="B12" s="113">
        <f>IF(B9=0,0,C12/B9)</f>
        <v>-37.120000000000005</v>
      </c>
      <c r="C12" s="114">
        <v>-185.60000000000002</v>
      </c>
      <c r="E12" s="29" t="s">
        <v>78</v>
      </c>
      <c r="F12" s="26" t="s">
        <v>33</v>
      </c>
      <c r="G12" s="14">
        <v>2</v>
      </c>
      <c r="H12" s="92">
        <f>IF(B$19=0,0,G12/B$19)</f>
        <v>6.4516129032258063E-2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34.160000000000004</v>
      </c>
      <c r="P12" s="82">
        <v>5</v>
      </c>
      <c r="Q12" s="73">
        <v>170.8</v>
      </c>
    </row>
    <row r="13" spans="1:17" x14ac:dyDescent="0.45">
      <c r="A13" s="22" t="s">
        <v>188</v>
      </c>
      <c r="B13" s="123">
        <f>AVERAGE(B10:B12)</f>
        <v>-3.1780952380952385</v>
      </c>
      <c r="C13" s="124"/>
      <c r="E13" s="29" t="s">
        <v>81</v>
      </c>
      <c r="F13" s="26" t="s">
        <v>36</v>
      </c>
      <c r="G13" s="14">
        <v>2</v>
      </c>
      <c r="H13" s="92">
        <f>IF(B$19=0,0,G13/B$19)</f>
        <v>6.4516129032258063E-2</v>
      </c>
      <c r="I13" s="60">
        <v>2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0.23076923076923078</v>
      </c>
      <c r="E14" s="29" t="s">
        <v>75</v>
      </c>
      <c r="F14" s="26" t="s">
        <v>30</v>
      </c>
      <c r="G14" s="14">
        <v>1</v>
      </c>
      <c r="H14" s="92">
        <f>IF(B$19=0,0,G14/B$19)</f>
        <v>3.2258064516129031E-2</v>
      </c>
      <c r="I14" s="60">
        <v>1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</v>
      </c>
      <c r="C15" s="12">
        <f>IF(B$3=0,0,B15/B$3)</f>
        <v>0.18604651162790697</v>
      </c>
      <c r="E15" s="29" t="s">
        <v>102</v>
      </c>
      <c r="F15" s="26" t="s">
        <v>57</v>
      </c>
      <c r="G15" s="14">
        <v>1</v>
      </c>
      <c r="H15" s="92">
        <f>IF(B$19=0,0,G15/B$19)</f>
        <v>3.2258064516129031E-2</v>
      </c>
      <c r="I15" s="60">
        <v>1</v>
      </c>
      <c r="K15" s="7">
        <v>13</v>
      </c>
      <c r="L15" s="65">
        <v>83.1</v>
      </c>
      <c r="N15" s="77" t="s">
        <v>194</v>
      </c>
      <c r="O15" s="86">
        <f>IF(P15=0,0,Q15/P15)</f>
        <v>70.36666666666666</v>
      </c>
      <c r="P15" s="80">
        <v>6</v>
      </c>
      <c r="Q15" s="71">
        <v>422.2</v>
      </c>
    </row>
    <row r="16" spans="1:17" x14ac:dyDescent="0.45">
      <c r="A16" s="21" t="s">
        <v>118</v>
      </c>
      <c r="B16" s="14">
        <v>33</v>
      </c>
      <c r="C16" s="8">
        <f>IF(B$3=0,0,B16/B$3)</f>
        <v>0.38372093023255816</v>
      </c>
      <c r="E16" s="29" t="s">
        <v>70</v>
      </c>
      <c r="F16" s="26" t="s">
        <v>25</v>
      </c>
      <c r="G16" s="14">
        <v>0</v>
      </c>
      <c r="H16" s="92">
        <f>IF(B$19=0,0,G16/B$19)</f>
        <v>0</v>
      </c>
      <c r="I16" s="60">
        <v>7</v>
      </c>
      <c r="N16" s="78" t="s">
        <v>164</v>
      </c>
      <c r="O16" s="87">
        <f>IF(P16=0,0,Q16/P16)</f>
        <v>48.4</v>
      </c>
      <c r="P16" s="81">
        <v>1</v>
      </c>
      <c r="Q16" s="72">
        <v>48.4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0.625</v>
      </c>
      <c r="E17" s="29" t="s">
        <v>71</v>
      </c>
      <c r="F17" s="26" t="s">
        <v>26</v>
      </c>
      <c r="G17" s="14">
        <v>0</v>
      </c>
      <c r="H17" s="92">
        <f>IF(B$19=0,0,G17/B$19)</f>
        <v>0</v>
      </c>
      <c r="I17" s="60">
        <v>8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14</v>
      </c>
      <c r="C18" s="6">
        <f>IF(B$16=0,0,B18/B$16)</f>
        <v>0.42424242424242425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3</v>
      </c>
      <c r="N18" s="78" t="s">
        <v>192</v>
      </c>
      <c r="O18" s="87">
        <f>IF(P18=0,0,Q18/P18)</f>
        <v>-2.2800000000000038</v>
      </c>
      <c r="P18" s="81">
        <v>10</v>
      </c>
      <c r="Q18" s="72">
        <v>-22.80000000000004</v>
      </c>
    </row>
    <row r="19" spans="1:17" x14ac:dyDescent="0.45">
      <c r="A19" s="20" t="s">
        <v>10</v>
      </c>
      <c r="B19" s="13">
        <f>B22+B21</f>
        <v>31</v>
      </c>
      <c r="C19" s="6">
        <f>IF(B$3=0,0,B19/B$3)</f>
        <v>0.36046511627906974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>IF(P19=0,0,Q19/P19)</f>
        <v>-40.875</v>
      </c>
      <c r="P19" s="81">
        <v>4</v>
      </c>
      <c r="Q19" s="72">
        <v>-163.5</v>
      </c>
    </row>
    <row r="20" spans="1:17" x14ac:dyDescent="0.45">
      <c r="A20" s="21" t="s">
        <v>13</v>
      </c>
      <c r="B20" s="14">
        <v>11</v>
      </c>
      <c r="C20" s="8">
        <f>IF(B$3=0,0,B20/B$3)</f>
        <v>0.12790697674418605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189</v>
      </c>
      <c r="O20" s="87">
        <f>IF(P20=0,0,Q20/P20)</f>
        <v>-49.75</v>
      </c>
      <c r="P20" s="81">
        <v>2</v>
      </c>
      <c r="Q20" s="72">
        <v>-99.5</v>
      </c>
    </row>
    <row r="21" spans="1:17" x14ac:dyDescent="0.45">
      <c r="A21" s="21" t="s">
        <v>12</v>
      </c>
      <c r="B21" s="14">
        <v>15</v>
      </c>
      <c r="C21" s="8">
        <f>IF(B$19=0,0,B21/B$19)</f>
        <v>0.4838709677419355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16</v>
      </c>
      <c r="C22" s="8">
        <f>IF(B$19=0,0,B22/B$19)</f>
        <v>0.5161290322580645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10</v>
      </c>
      <c r="C23" s="8">
        <f>IF(B$19=0,0,B23/B$19)</f>
        <v>0.32258064516129031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14</v>
      </c>
      <c r="C24" s="8">
        <f>IF(B$19=0,0,B24/B$19)</f>
        <v>0.45161290322580644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7</v>
      </c>
      <c r="C25" s="8">
        <f>IF(B$19=0,0,B25/B$19)</f>
        <v>0.22580645161290322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8300</v>
      </c>
      <c r="C26" s="10">
        <v>257300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9717.6470588235297</v>
      </c>
      <c r="C27" s="100">
        <v>165200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167</v>
      </c>
      <c r="B28" s="99">
        <f>IF(B$18=0,0,C28/B$18)</f>
        <v>6578.5714285714284</v>
      </c>
      <c r="C28" s="100">
        <v>92100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-8509.0909090909099</v>
      </c>
      <c r="C29" s="100">
        <v>-93600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5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22</v>
      </c>
      <c r="C31" s="94">
        <v>22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6.4516129032258063E-2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8</v>
      </c>
      <c r="C37" s="8">
        <f t="shared" si="2"/>
        <v>0.25806451612903225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0.19354838709677419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0.16129032258064516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2"/>
        <v>0.19354838709677419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3.2258064516129031E-2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1</v>
      </c>
      <c r="C42" s="8">
        <f t="shared" si="2"/>
        <v>3.2258064516129031E-2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3.2258064516129031E-2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3.2258064516129031E-2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</v>
      </c>
      <c r="C2" s="132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5</v>
      </c>
      <c r="Q2" s="67">
        <v>0</v>
      </c>
    </row>
    <row r="3" spans="1:17" x14ac:dyDescent="0.45">
      <c r="A3" s="21" t="s">
        <v>8</v>
      </c>
      <c r="B3" s="133">
        <v>34</v>
      </c>
      <c r="C3" s="134"/>
      <c r="E3" s="29" t="s">
        <v>68</v>
      </c>
      <c r="F3" s="26" t="s">
        <v>12</v>
      </c>
      <c r="G3" s="14">
        <v>2</v>
      </c>
      <c r="H3" s="92">
        <f>IF(B$19=0,0,G3/B$19)</f>
        <v>0.33333333333333331</v>
      </c>
      <c r="I3" s="60">
        <v>2</v>
      </c>
      <c r="K3" s="7">
        <v>1</v>
      </c>
      <c r="L3" s="65">
        <v>-30.5</v>
      </c>
      <c r="N3" s="78" t="s">
        <v>129</v>
      </c>
      <c r="O3" s="84">
        <f t="shared" si="0"/>
        <v>0</v>
      </c>
      <c r="P3" s="81">
        <v>5</v>
      </c>
      <c r="Q3" s="68">
        <v>0</v>
      </c>
    </row>
    <row r="4" spans="1:17" x14ac:dyDescent="0.45">
      <c r="A4" s="21" t="s">
        <v>6</v>
      </c>
      <c r="B4" s="135">
        <v>-64.400000000000006</v>
      </c>
      <c r="C4" s="136"/>
      <c r="E4" s="29" t="s">
        <v>72</v>
      </c>
      <c r="F4" s="26" t="s">
        <v>27</v>
      </c>
      <c r="G4" s="14">
        <v>2</v>
      </c>
      <c r="H4" s="92">
        <f>IF(B$19=0,0,G4/B$19)</f>
        <v>0.33333333333333331</v>
      </c>
      <c r="I4" s="60">
        <v>10</v>
      </c>
      <c r="K4" s="7">
        <v>2</v>
      </c>
      <c r="L4" s="65">
        <v>-28.6</v>
      </c>
      <c r="N4" s="78" t="s">
        <v>130</v>
      </c>
      <c r="O4" s="84">
        <f t="shared" si="0"/>
        <v>-8580</v>
      </c>
      <c r="P4" s="81">
        <v>5</v>
      </c>
      <c r="Q4" s="68">
        <v>-42900</v>
      </c>
    </row>
    <row r="5" spans="1:17" x14ac:dyDescent="0.45">
      <c r="A5" s="21" t="s">
        <v>7</v>
      </c>
      <c r="B5" s="123">
        <f>IF(B$2=0,0,B$4/B$2)</f>
        <v>-12.88</v>
      </c>
      <c r="C5" s="124"/>
      <c r="E5" s="29" t="s">
        <v>160</v>
      </c>
      <c r="F5" s="26" t="s">
        <v>161</v>
      </c>
      <c r="G5" s="14">
        <v>2</v>
      </c>
      <c r="H5" s="92">
        <f>IF(B$19=0,0,G5/B$19)</f>
        <v>0.33333333333333331</v>
      </c>
      <c r="I5" s="60">
        <v>9</v>
      </c>
      <c r="K5" s="7">
        <v>3</v>
      </c>
      <c r="L5" s="65">
        <v>-41.400000000000006</v>
      </c>
      <c r="N5" s="78" t="s">
        <v>131</v>
      </c>
      <c r="O5" s="84">
        <f t="shared" si="0"/>
        <v>-4133.333333333333</v>
      </c>
      <c r="P5" s="81">
        <v>3</v>
      </c>
      <c r="Q5" s="68">
        <v>-12400</v>
      </c>
    </row>
    <row r="6" spans="1:17" x14ac:dyDescent="0.45">
      <c r="A6" s="21" t="s">
        <v>1</v>
      </c>
      <c r="B6" s="137">
        <f>IF(B$2=0,0,(B$7*1+B$8*2+B$9*3)/B$2)</f>
        <v>2.2000000000000002</v>
      </c>
      <c r="C6" s="138"/>
      <c r="E6" s="29" t="s">
        <v>65</v>
      </c>
      <c r="F6" s="26" t="s">
        <v>21</v>
      </c>
      <c r="G6" s="14">
        <v>1</v>
      </c>
      <c r="H6" s="92">
        <f>IF(B$19=0,0,G6/B$19)</f>
        <v>0.16666666666666666</v>
      </c>
      <c r="I6" s="60">
        <v>2</v>
      </c>
      <c r="K6" s="7">
        <v>4</v>
      </c>
      <c r="L6" s="65">
        <v>-56.000000000000007</v>
      </c>
      <c r="N6" s="78" t="s">
        <v>132</v>
      </c>
      <c r="O6" s="84">
        <f t="shared" si="0"/>
        <v>4000</v>
      </c>
      <c r="P6" s="81">
        <v>2</v>
      </c>
      <c r="Q6" s="68">
        <v>8000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1</v>
      </c>
      <c r="H7" s="92">
        <f>IF(B$19=0,0,G7/B$19)</f>
        <v>0.16666666666666666</v>
      </c>
      <c r="I7" s="60">
        <v>10</v>
      </c>
      <c r="K7" s="7">
        <v>5</v>
      </c>
      <c r="L7" s="65">
        <v>-64.400000000000006</v>
      </c>
      <c r="N7" s="79" t="s">
        <v>133</v>
      </c>
      <c r="O7" s="85">
        <f t="shared" si="0"/>
        <v>-3550</v>
      </c>
      <c r="P7" s="82">
        <v>2</v>
      </c>
      <c r="Q7" s="69">
        <v>-7100</v>
      </c>
    </row>
    <row r="8" spans="1:17" x14ac:dyDescent="0.45">
      <c r="A8" s="21" t="s">
        <v>3</v>
      </c>
      <c r="B8" s="14">
        <v>4</v>
      </c>
      <c r="C8" s="8">
        <f t="shared" si="1"/>
        <v>0.8</v>
      </c>
      <c r="E8" s="29" t="s">
        <v>67</v>
      </c>
      <c r="F8" s="26" t="s">
        <v>23</v>
      </c>
      <c r="G8" s="14">
        <v>1</v>
      </c>
      <c r="H8" s="92">
        <f>IF(B$19=0,0,G8/B$19)</f>
        <v>0.16666666666666666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</v>
      </c>
      <c r="E9" s="29" t="s">
        <v>86</v>
      </c>
      <c r="F9" s="26" t="s">
        <v>41</v>
      </c>
      <c r="G9" s="14">
        <v>1</v>
      </c>
      <c r="H9" s="92">
        <f>IF(B$19=0,0,G9/B$19)</f>
        <v>0.16666666666666666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10</v>
      </c>
      <c r="N10" s="77" t="s">
        <v>152</v>
      </c>
      <c r="O10" s="86">
        <f>IF(P10=0,0,Q10/P10)</f>
        <v>-14.6</v>
      </c>
      <c r="P10" s="80">
        <v>1</v>
      </c>
      <c r="Q10" s="71">
        <v>-14.6</v>
      </c>
    </row>
    <row r="11" spans="1:17" x14ac:dyDescent="0.45">
      <c r="A11" s="22" t="s">
        <v>186</v>
      </c>
      <c r="B11" s="113">
        <f>IF(B8=0,0,C11/B8)</f>
        <v>-12.9</v>
      </c>
      <c r="C11" s="114">
        <v>-51.6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7</v>
      </c>
      <c r="N11" s="78" t="s">
        <v>153</v>
      </c>
      <c r="O11" s="87">
        <f>IF(P11=0,0,Q11/P11)</f>
        <v>-19.45</v>
      </c>
      <c r="P11" s="81">
        <v>2</v>
      </c>
      <c r="Q11" s="72">
        <v>-38.9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-8.5666666666666682</v>
      </c>
      <c r="C13" s="124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</v>
      </c>
      <c r="C15" s="12">
        <f>IF(B$3=0,0,B15/B$3)</f>
        <v>0.23529411764705882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4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6</v>
      </c>
      <c r="C16" s="8">
        <f>IF(B$3=0,0,B16/B$3)</f>
        <v>0.17647058823529413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-19.849999999999998</v>
      </c>
      <c r="P16" s="81">
        <v>4</v>
      </c>
      <c r="Q16" s="72">
        <v>-79.399999999999991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193</v>
      </c>
      <c r="O17" s="87">
        <f>IF(P17=0,0,Q17/P17)</f>
        <v>-21.5</v>
      </c>
      <c r="P17" s="81">
        <v>3</v>
      </c>
      <c r="Q17" s="72">
        <v>-64.5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0.16666666666666666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8</v>
      </c>
      <c r="N18" s="78" t="s">
        <v>126</v>
      </c>
      <c r="O18" s="87">
        <f>IF(P18=0,0,Q18/P18)</f>
        <v>-34.9</v>
      </c>
      <c r="P18" s="81">
        <v>2</v>
      </c>
      <c r="Q18" s="72">
        <v>-69.8</v>
      </c>
    </row>
    <row r="19" spans="1:17" x14ac:dyDescent="0.45">
      <c r="A19" s="20" t="s">
        <v>10</v>
      </c>
      <c r="B19" s="13">
        <f>B22+B21</f>
        <v>6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4</v>
      </c>
      <c r="C20" s="8">
        <f>IF(B$3=0,0,B20/B$3)</f>
        <v>0.11764705882352941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2</v>
      </c>
      <c r="C21" s="8">
        <f>IF(B$19=0,0,B21/B$19)</f>
        <v>0.33333333333333331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7</v>
      </c>
    </row>
    <row r="22" spans="1:17" x14ac:dyDescent="0.45">
      <c r="A22" s="21" t="s">
        <v>11</v>
      </c>
      <c r="B22" s="14">
        <v>4</v>
      </c>
      <c r="C22" s="8">
        <f>IF(B$19=0,0,B22/B$19)</f>
        <v>0.66666666666666663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8</v>
      </c>
    </row>
    <row r="24" spans="1:17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4566.666666666667</v>
      </c>
      <c r="C26" s="10">
        <v>27400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5280</v>
      </c>
      <c r="C27" s="100">
        <v>26400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9</v>
      </c>
    </row>
    <row r="29" spans="1:17" x14ac:dyDescent="0.45">
      <c r="A29" s="22" t="s">
        <v>165</v>
      </c>
      <c r="B29" s="99">
        <f>IF(B$20=0,0,C29/B$20)</f>
        <v>-4400</v>
      </c>
      <c r="C29" s="100">
        <v>-17600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25">
        <v>2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36900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0.33333333333333331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66</v>
      </c>
      <c r="F2" s="25" t="s">
        <v>22</v>
      </c>
      <c r="G2" s="13">
        <v>19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7137.5</v>
      </c>
      <c r="P2" s="80">
        <v>8</v>
      </c>
      <c r="Q2" s="67">
        <v>57100</v>
      </c>
    </row>
    <row r="3" spans="1:17" x14ac:dyDescent="0.45">
      <c r="A3" s="21" t="s">
        <v>8</v>
      </c>
      <c r="B3" s="133">
        <v>59</v>
      </c>
      <c r="C3" s="134"/>
      <c r="E3" s="29" t="s">
        <v>72</v>
      </c>
      <c r="F3" s="26" t="s">
        <v>27</v>
      </c>
      <c r="G3" s="14">
        <v>13</v>
      </c>
      <c r="H3" s="92">
        <f>IF(B$19=0,0,G3/B$19)</f>
        <v>0.68421052631578949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-12112.5</v>
      </c>
      <c r="P3" s="81">
        <v>8</v>
      </c>
      <c r="Q3" s="68">
        <v>-96900</v>
      </c>
    </row>
    <row r="4" spans="1:17" x14ac:dyDescent="0.45">
      <c r="A4" s="21" t="s">
        <v>6</v>
      </c>
      <c r="B4" s="135">
        <v>-128.6</v>
      </c>
      <c r="C4" s="136"/>
      <c r="E4" s="29" t="s">
        <v>160</v>
      </c>
      <c r="F4" s="26" t="s">
        <v>161</v>
      </c>
      <c r="G4" s="14">
        <v>8</v>
      </c>
      <c r="H4" s="92">
        <f>IF(B$19=0,0,G4/B$19)</f>
        <v>0.42105263157894735</v>
      </c>
      <c r="I4" s="60">
        <v>6</v>
      </c>
      <c r="K4" s="7">
        <v>2</v>
      </c>
      <c r="L4" s="65">
        <v>41.2</v>
      </c>
      <c r="N4" s="78" t="s">
        <v>130</v>
      </c>
      <c r="O4" s="84">
        <f t="shared" si="0"/>
        <v>-3357.1428571428573</v>
      </c>
      <c r="P4" s="81">
        <v>7</v>
      </c>
      <c r="Q4" s="68">
        <v>-23500</v>
      </c>
    </row>
    <row r="5" spans="1:17" x14ac:dyDescent="0.45">
      <c r="A5" s="21" t="s">
        <v>7</v>
      </c>
      <c r="B5" s="123">
        <f>IF(B$2=0,0,B$4/B$2)</f>
        <v>-16.074999999999999</v>
      </c>
      <c r="C5" s="124"/>
      <c r="E5" s="29" t="s">
        <v>64</v>
      </c>
      <c r="F5" s="26" t="s">
        <v>20</v>
      </c>
      <c r="G5" s="14">
        <v>6</v>
      </c>
      <c r="H5" s="92">
        <f>IF(B$19=0,0,G5/B$19)</f>
        <v>0.31578947368421051</v>
      </c>
      <c r="I5" s="60">
        <v>10</v>
      </c>
      <c r="K5" s="7">
        <v>3</v>
      </c>
      <c r="L5" s="65">
        <v>8.9000000000000057</v>
      </c>
      <c r="N5" s="78" t="s">
        <v>131</v>
      </c>
      <c r="O5" s="84">
        <f t="shared" si="0"/>
        <v>-4400</v>
      </c>
      <c r="P5" s="81">
        <v>5</v>
      </c>
      <c r="Q5" s="68">
        <v>-22000</v>
      </c>
    </row>
    <row r="6" spans="1:17" x14ac:dyDescent="0.45">
      <c r="A6" s="21" t="s">
        <v>1</v>
      </c>
      <c r="B6" s="137">
        <f>IF(B$2=0,0,(B$7*1+B$8*2+B$9*3)/B$2)</f>
        <v>2.5</v>
      </c>
      <c r="C6" s="138"/>
      <c r="E6" s="29" t="s">
        <v>68</v>
      </c>
      <c r="F6" s="26" t="s">
        <v>12</v>
      </c>
      <c r="G6" s="14">
        <v>5</v>
      </c>
      <c r="H6" s="92">
        <f>IF(B$19=0,0,G6/B$19)</f>
        <v>0.26315789473684209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2950</v>
      </c>
      <c r="P6" s="81">
        <v>4</v>
      </c>
      <c r="Q6" s="68">
        <v>11800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70</v>
      </c>
      <c r="F7" s="26" t="s">
        <v>25</v>
      </c>
      <c r="G7" s="14">
        <v>4</v>
      </c>
      <c r="H7" s="92">
        <f>IF(B$19=0,0,G7/B$19)</f>
        <v>0.21052631578947367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-3775</v>
      </c>
      <c r="P7" s="82">
        <v>4</v>
      </c>
      <c r="Q7" s="69">
        <v>-15100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89</v>
      </c>
      <c r="F8" s="26" t="s">
        <v>44</v>
      </c>
      <c r="G8" s="14">
        <v>4</v>
      </c>
      <c r="H8" s="92">
        <f>IF(B$19=0,0,G8/B$19)</f>
        <v>0.21052631578947367</v>
      </c>
      <c r="I8" s="60">
        <v>2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0.75</v>
      </c>
      <c r="E9" s="29" t="s">
        <v>65</v>
      </c>
      <c r="F9" s="26" t="s">
        <v>21</v>
      </c>
      <c r="G9" s="14">
        <v>3</v>
      </c>
      <c r="H9" s="92">
        <f>IF(B$19=0,0,G9/B$19)</f>
        <v>0.15789473684210525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61.3</v>
      </c>
      <c r="C10" s="114">
        <v>122.6</v>
      </c>
      <c r="E10" s="29" t="s">
        <v>67</v>
      </c>
      <c r="F10" s="26" t="s">
        <v>23</v>
      </c>
      <c r="G10" s="14">
        <v>3</v>
      </c>
      <c r="H10" s="92">
        <f>IF(B$19=0,0,G10/B$19)</f>
        <v>0.15789473684210525</v>
      </c>
      <c r="I10" s="60">
        <v>9</v>
      </c>
      <c r="K10" s="7">
        <v>8</v>
      </c>
      <c r="L10" s="65">
        <v>-128.6</v>
      </c>
      <c r="N10" s="77" t="s">
        <v>152</v>
      </c>
      <c r="O10" s="86">
        <f>IF(P10=0,0,Q10/P10)</f>
        <v>8.3000000000000007</v>
      </c>
      <c r="P10" s="80">
        <v>4</v>
      </c>
      <c r="Q10" s="71">
        <v>33.200000000000003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3</v>
      </c>
      <c r="H11" s="92">
        <f>IF(B$19=0,0,G11/B$19)</f>
        <v>0.15789473684210525</v>
      </c>
      <c r="I11" s="60">
        <v>3</v>
      </c>
      <c r="N11" s="78" t="s">
        <v>153</v>
      </c>
      <c r="O11" s="87">
        <f>IF(P11=0,0,Q11/P11)</f>
        <v>-31.7</v>
      </c>
      <c r="P11" s="81">
        <v>1</v>
      </c>
      <c r="Q11" s="72">
        <v>-31.7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71</v>
      </c>
      <c r="F12" s="26" t="s">
        <v>26</v>
      </c>
      <c r="G12" s="14">
        <v>2</v>
      </c>
      <c r="H12" s="92">
        <f>IF(B$19=0,0,G12/B$19)</f>
        <v>0.10526315789473684</v>
      </c>
      <c r="I12" s="60">
        <v>2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6.477777777777777</v>
      </c>
      <c r="C13" s="124"/>
      <c r="E13" s="29" t="s">
        <v>78</v>
      </c>
      <c r="F13" s="26" t="s">
        <v>33</v>
      </c>
      <c r="G13" s="14">
        <v>2</v>
      </c>
      <c r="H13" s="92">
        <f>IF(B$19=0,0,G13/B$19)</f>
        <v>0.10526315789473684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0.375</v>
      </c>
      <c r="E14" s="29" t="s">
        <v>83</v>
      </c>
      <c r="F14" s="26" t="s">
        <v>38</v>
      </c>
      <c r="G14" s="14">
        <v>1</v>
      </c>
      <c r="H14" s="92">
        <f>IF(B$19=0,0,G14/B$19)</f>
        <v>5.2631578947368418E-2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0.15254237288135594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192</v>
      </c>
      <c r="O15" s="86">
        <f>IF(P15=0,0,Q15/P15)</f>
        <v>8.1000000000000014</v>
      </c>
      <c r="P15" s="80">
        <v>3</v>
      </c>
      <c r="Q15" s="71">
        <v>24.300000000000004</v>
      </c>
    </row>
    <row r="16" spans="1:17" x14ac:dyDescent="0.45">
      <c r="A16" s="21" t="s">
        <v>118</v>
      </c>
      <c r="B16" s="14">
        <v>22</v>
      </c>
      <c r="C16" s="8">
        <f>IF(B$3=0,0,B16/B$3)</f>
        <v>0.3728813559322034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3.3666666666666649</v>
      </c>
      <c r="P16" s="81">
        <v>3</v>
      </c>
      <c r="Q16" s="72">
        <v>10.099999999999994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0.77777777777777779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-32.975000000000001</v>
      </c>
      <c r="P17" s="81">
        <v>8</v>
      </c>
      <c r="Q17" s="72">
        <v>-263.8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0.22727272727272727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189</v>
      </c>
      <c r="O18" s="87">
        <f>IF(P18=0,0,Q18/P18)</f>
        <v>-57.7</v>
      </c>
      <c r="P18" s="81">
        <v>1</v>
      </c>
      <c r="Q18" s="72">
        <v>-57.7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0.32203389830508472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  <c r="N19" s="78" t="s">
        <v>164</v>
      </c>
      <c r="O19" s="87">
        <f>IF(P19=0,0,Q19/P19)</f>
        <v>-98.7</v>
      </c>
      <c r="P19" s="81">
        <v>1</v>
      </c>
      <c r="Q19" s="72">
        <v>-98.7</v>
      </c>
    </row>
    <row r="20" spans="1:17" x14ac:dyDescent="0.45">
      <c r="A20" s="21" t="s">
        <v>13</v>
      </c>
      <c r="B20" s="14">
        <v>16</v>
      </c>
      <c r="C20" s="8">
        <f>IF(B$3=0,0,B20/B$3)</f>
        <v>0.2711864406779661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7</v>
      </c>
      <c r="C21" s="8">
        <f>IF(B$19=0,0,B21/B$19)</f>
        <v>0.36842105263157893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12</v>
      </c>
      <c r="C22" s="8">
        <f>IF(B$19=0,0,B22/B$19)</f>
        <v>0.63157894736842102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7</v>
      </c>
      <c r="C23" s="8">
        <f>IF(B$19=0,0,B23/B$19)</f>
        <v>0.36842105263157893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5</v>
      </c>
      <c r="C24" s="8">
        <f>IF(B$19=0,0,B24/B$19)</f>
        <v>0.26315789473684209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7</v>
      </c>
      <c r="C25" s="8">
        <f>IF(B$19=0,0,B25/B$19)</f>
        <v>0.36842105263157893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9442.105263157895</v>
      </c>
      <c r="C26" s="10">
        <v>179400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8407.1428571428569</v>
      </c>
      <c r="C27" s="100">
        <v>117700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12340</v>
      </c>
      <c r="C28" s="100">
        <v>61700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-11700</v>
      </c>
      <c r="C29" s="100">
        <v>-187200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5.2631578947368418E-2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0.21052631578947367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0.15789473684210525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0.15789473684210525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5.2631578947368418E-2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5.2631578947368418E-2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5.2631578947368418E-2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1</v>
      </c>
      <c r="C46" s="8">
        <f t="shared" si="2"/>
        <v>5.2631578947368418E-2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8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5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8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1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3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2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5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2020-05-31T07:57:37Z</dcterms:modified>
</cp:coreProperties>
</file>