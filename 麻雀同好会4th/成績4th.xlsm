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92CAD823-EF64-4B6A-809C-A797BED0D1B6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1" i="6180"/>
  <c r="O16" i="6176"/>
  <c r="O18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8" i="6190"/>
  <c r="O16" i="6178"/>
  <c r="O18" i="6186"/>
  <c r="O19" i="6190" l="1"/>
  <c r="O15" i="6178"/>
  <c r="O15" i="6190"/>
  <c r="O19" i="6176"/>
  <c r="O15" i="6184" l="1"/>
  <c r="O17" i="6178"/>
  <c r="O22" i="6180"/>
  <c r="O18" i="6184"/>
  <c r="O20" i="6174"/>
  <c r="O17" i="6190"/>
  <c r="O16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2" i="6190"/>
  <c r="H15" i="6190"/>
  <c r="C24" i="6190"/>
  <c r="H17" i="6190"/>
  <c r="H21" i="6190"/>
  <c r="H42" i="6190"/>
  <c r="H33" i="6190"/>
  <c r="H3" i="6190"/>
  <c r="H27" i="6190"/>
  <c r="C42" i="6190"/>
  <c r="H9" i="6190"/>
  <c r="C19" i="6190"/>
  <c r="C25" i="6190"/>
  <c r="H36" i="6190"/>
  <c r="H16" i="6190"/>
  <c r="C36" i="6190"/>
  <c r="H48" i="6190"/>
  <c r="C46" i="6190"/>
  <c r="H14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7" i="6190"/>
  <c r="H20" i="6190"/>
  <c r="H23" i="6190"/>
  <c r="C21" i="6190"/>
  <c r="H31" i="6190"/>
  <c r="H41" i="6190"/>
  <c r="H49" i="6190"/>
  <c r="C38" i="6190"/>
  <c r="H44" i="6190"/>
  <c r="H8" i="6190"/>
  <c r="H11" i="6190"/>
  <c r="B26" i="6190"/>
  <c r="H34" i="6190"/>
  <c r="H39" i="6190"/>
  <c r="C44" i="6190"/>
  <c r="H51" i="6190"/>
  <c r="H18" i="6190"/>
  <c r="H4" i="6190"/>
  <c r="H10" i="6190"/>
  <c r="H22" i="6190"/>
  <c r="H24" i="6190"/>
  <c r="C22" i="6190"/>
  <c r="B27" i="6190"/>
  <c r="H40" i="6190"/>
  <c r="H45" i="6190"/>
  <c r="H5" i="6190"/>
  <c r="C23" i="6190"/>
  <c r="H6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8" i="6180" l="1"/>
  <c r="O20" i="6186"/>
  <c r="O22" i="6176"/>
  <c r="O16" i="6186"/>
  <c r="O17" i="6180" l="1"/>
  <c r="O19" i="6182"/>
  <c r="O21" i="6176"/>
  <c r="O17" i="6176"/>
  <c r="O15" i="6182"/>
  <c r="O19" i="6184"/>
  <c r="O16" i="6188" l="1"/>
  <c r="O19" i="6188"/>
  <c r="O21" i="6184"/>
  <c r="O20" i="6184"/>
  <c r="O15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9" i="6174"/>
  <c r="O16" i="6180"/>
  <c r="O20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7" i="6174"/>
  <c r="O20" i="6176"/>
  <c r="O15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10" i="6182"/>
  <c r="H23" i="6182"/>
  <c r="B26" i="6182"/>
  <c r="H36" i="6182"/>
  <c r="H45" i="6182"/>
  <c r="H15" i="6182"/>
  <c r="H8" i="6182"/>
  <c r="H39" i="6182"/>
  <c r="C46" i="6182"/>
  <c r="H19" i="6182"/>
  <c r="H16" i="6182"/>
  <c r="H11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2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6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3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0" i="6184"/>
  <c r="H23" i="6184"/>
  <c r="C22" i="6184"/>
  <c r="H46" i="6184"/>
  <c r="H11" i="6184"/>
  <c r="H7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4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3" i="6180"/>
  <c r="H17" i="6180"/>
  <c r="C22" i="6180"/>
  <c r="H42" i="6180"/>
  <c r="H2" i="6180"/>
  <c r="H27" i="6180"/>
  <c r="H5" i="6180"/>
  <c r="C25" i="6180"/>
  <c r="C42" i="6180"/>
  <c r="H46" i="6180"/>
  <c r="H18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4" i="6180"/>
  <c r="H15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9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7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5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8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7" i="6174"/>
  <c r="H35" i="6174"/>
  <c r="H14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<sst xmlns="http://schemas.openxmlformats.org/spreadsheetml/2006/main" count="2676" uniqueCount="227">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</sst>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全体!$K$2:$K$245</c:f>
              <c:numCache>
                <c:formatCode>General</c:formatCode>
                <c:ptCount val="2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</c:numCache>
            </c:numRef>
          </c:xVal>
          <c:yVal>
            <c:numRef>
              <c:f>全体!$L$2:$L$245</c:f>
              <c:numCache>
                <c:formatCode>\+0.0;\-0.0;\±0</c:formatCode>
                <c:ptCount val="244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-12.5</c:v>
                </c:pt>
                <c:pt idx="1">
                  <c:v>-4.2735042735042734</c:v>
                </c:pt>
                <c:pt idx="2">
                  <c:v>0</c:v>
                </c:pt>
                <c:pt idx="3">
                  <c:v>15.384615384615385</c:v>
                </c:pt>
                <c:pt idx="4">
                  <c:v>-52.631578947368418</c:v>
                </c:pt>
                <c:pt idx="5">
                  <c:v>69.767441860465112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43</c:v>
                </c:pt>
                <c:pt idx="1">
                  <c:v>98</c:v>
                </c:pt>
                <c:pt idx="2">
                  <c:v>93</c:v>
                </c:pt>
                <c:pt idx="3">
                  <c:v>100</c:v>
                </c:pt>
                <c:pt idx="4">
                  <c:v>82</c:v>
                </c:pt>
                <c:pt idx="5">
                  <c:v>51</c:v>
                </c:pt>
                <c:pt idx="6">
                  <c:v>34</c:v>
                </c:pt>
                <c:pt idx="7">
                  <c:v>14</c:v>
                </c:pt>
                <c:pt idx="8">
                  <c:v>10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-2561.9047619047619</c:v>
                </c:pt>
                <c:pt idx="1">
                  <c:v>-1636.5853658536585</c:v>
                </c:pt>
                <c:pt idx="2">
                  <c:v>234.21052631578948</c:v>
                </c:pt>
                <c:pt idx="3">
                  <c:v>-2017.6470588235295</c:v>
                </c:pt>
                <c:pt idx="4">
                  <c:v>134.375</c:v>
                </c:pt>
                <c:pt idx="5">
                  <c:v>2995.8333333333335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7</c:v>
                </c:pt>
                <c:pt idx="3">
                  <c:v>24</c:v>
                </c:pt>
                <c:pt idx="4">
                  <c:v>18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170.68965517241378</c:v>
                </c:pt>
                <c:pt idx="1">
                  <c:v>4450</c:v>
                </c:pt>
                <c:pt idx="2">
                  <c:v>3518.867924528302</c:v>
                </c:pt>
                <c:pt idx="3">
                  <c:v>2308.695652173913</c:v>
                </c:pt>
                <c:pt idx="4">
                  <c:v>-1333.3333333333333</c:v>
                </c:pt>
                <c:pt idx="5">
                  <c:v>1836.3636363636363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22</c:v>
                </c:pt>
                <c:pt idx="3">
                  <c:v>29</c:v>
                </c:pt>
                <c:pt idx="4">
                  <c:v>27</c:v>
                </c:pt>
                <c:pt idx="5">
                  <c:v>12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-3892.3076923076924</c:v>
                </c:pt>
                <c:pt idx="1">
                  <c:v>1528</c:v>
                </c:pt>
                <c:pt idx="2">
                  <c:v>-3573.913043478261</c:v>
                </c:pt>
                <c:pt idx="3">
                  <c:v>-457.89473684210526</c:v>
                </c:pt>
                <c:pt idx="4">
                  <c:v>1473.3333333333333</c:v>
                </c:pt>
                <c:pt idx="5">
                  <c:v>-4370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11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まっつん!$L$2:$L$46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744.18604651162786</c:v>
                </c:pt>
                <c:pt idx="1">
                  <c:v>-958.1395348837209</c:v>
                </c:pt>
                <c:pt idx="2">
                  <c:v>-1320.9302325581396</c:v>
                </c:pt>
                <c:pt idx="3">
                  <c:v>1110</c:v>
                </c:pt>
                <c:pt idx="4">
                  <c:v>-1608.8235294117646</c:v>
                </c:pt>
                <c:pt idx="5">
                  <c:v>216.66666666666666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16</c:v>
                </c:pt>
                <c:pt idx="2">
                  <c:v>27</c:v>
                </c:pt>
                <c:pt idx="3">
                  <c:v>14</c:v>
                </c:pt>
                <c:pt idx="4">
                  <c:v>8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3370</c:v>
                </c:pt>
                <c:pt idx="1">
                  <c:v>-6278.9473684210525</c:v>
                </c:pt>
                <c:pt idx="2">
                  <c:v>-650</c:v>
                </c:pt>
                <c:pt idx="3">
                  <c:v>-1340</c:v>
                </c:pt>
                <c:pt idx="4">
                  <c:v>1428.5714285714287</c:v>
                </c:pt>
                <c:pt idx="5">
                  <c:v>-2360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ただ2!$B$3:$B$23</c:f>
              <c:numCache>
                <c:formatCode>\+0.0;\-0.0;\±0</c:formatCode>
                <c:ptCount val="21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ただ2!$C$3:$C$23</c:f>
              <c:numCache>
                <c:formatCode>\+0.0;\-0.0;\±0</c:formatCode>
                <c:ptCount val="21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772132540248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ただ2!$D$3:$D$23</c:f>
              <c:numCache>
                <c:formatCode>0.00\ "位"</c:formatCode>
                <c:ptCount val="21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ただ2!$E$3:$E$23</c:f>
              <c:numCache>
                <c:formatCode>0.0%</c:formatCode>
                <c:ptCount val="2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ただ2!$F$3:$F$23</c:f>
              <c:numCache>
                <c:formatCode>0.0%</c:formatCode>
                <c:ptCount val="2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ただ2!$G$3:$G$23</c:f>
              <c:numCache>
                <c:formatCode>0.0%</c:formatCode>
                <c:ptCount val="21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932059447983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ただ2!$H$3:$H$23</c:f>
              <c:numCache>
                <c:formatCode>0.0%</c:formatCode>
                <c:ptCount val="21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66454352441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ただ2!$I$3:$I$23</c:f>
              <c:numCache>
                <c:formatCode>0</c:formatCode>
                <c:ptCount val="21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34.72727272727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ただ2!$J$3:$J$23</c:f>
              <c:numCache>
                <c:formatCode>0</c:formatCode>
                <c:ptCount val="21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83.05647840531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ただ2!$K$3:$K$23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1687242798353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ただ2!$L$3:$L$23</c:f>
              <c:numCache>
                <c:formatCode>0.0%</c:formatCode>
                <c:ptCount val="21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09978768577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ただ2!$M$3:$M$23</c:f>
              <c:numCache>
                <c:formatCode>0.0%</c:formatCode>
                <c:ptCount val="21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2760084925690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ただ2!$N$3:$N$23</c:f>
              <c:numCache>
                <c:formatCode>0.0%</c:formatCode>
                <c:ptCount val="21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2401746724890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ただ2!$O$3:$O$23</c:f>
              <c:numCache>
                <c:formatCode>0.0%</c:formatCode>
                <c:ptCount val="21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848167539267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ただ2!$P$3:$P$23</c:f>
              <c:numCache>
                <c:formatCode>0.0%</c:formatCode>
                <c:ptCount val="21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90909090909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2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5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  <row r="22" spans="1:5" x14ac:dyDescent="0.45">
      <c r="A22" s="2" t="s">
        <v>226</v>
      </c>
      <c r="B22" s="3">
        <v>44002.934583333335</v>
      </c>
      <c r="C22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243</v>
      </c>
    </row>
    <row r="2" spans="1:2" x14ac:dyDescent="0.45">
      <c r="A2" t="s">
        <v>164</v>
      </c>
      <c r="B2">
        <v>43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58</v>
      </c>
    </row>
    <row r="5" spans="1:2" x14ac:dyDescent="0.45">
      <c r="A5" t="s">
        <v>194</v>
      </c>
      <c r="B5">
        <v>26</v>
      </c>
    </row>
    <row r="6" spans="1:2" x14ac:dyDescent="0.45">
      <c r="A6" t="s">
        <v>192</v>
      </c>
      <c r="B6">
        <v>44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20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0.59266737607073405</v>
      </c>
      <c r="C2" s="142"/>
      <c r="D2" s="145"/>
      <c r="E2" s="146"/>
      <c r="F2" s="145"/>
      <c r="G2" s="146"/>
      <c r="H2" s="141">
        <v>9.3015351536246516E-2</v>
      </c>
      <c r="I2" s="142"/>
      <c r="J2" s="141">
        <v>0.89680637197832402</v>
      </c>
      <c r="K2" s="142"/>
      <c r="L2" s="141">
        <v>0.7710228831206466</v>
      </c>
      <c r="M2" s="142"/>
      <c r="N2" s="141">
        <v>0.87807933246177172</v>
      </c>
      <c r="O2" s="142"/>
      <c r="P2" s="141">
        <v>0.66121646316074401</v>
      </c>
      <c r="Q2" s="142"/>
      <c r="R2" s="141">
        <v>0.40536772470487814</v>
      </c>
      <c r="S2" s="142"/>
      <c r="T2" s="141">
        <v>0.35990223699954627</v>
      </c>
      <c r="U2" s="142"/>
      <c r="V2" s="141">
        <v>-0.1393879431629565</v>
      </c>
      <c r="W2" s="142"/>
      <c r="X2" s="141">
        <v>0.68195323633015659</v>
      </c>
      <c r="Y2" s="142"/>
      <c r="Z2" s="141">
        <v>-8.3707523083785373E-2</v>
      </c>
      <c r="AA2" s="142"/>
      <c r="AB2" s="141">
        <v>-0.1096062098712044</v>
      </c>
      <c r="AC2" s="142"/>
      <c r="AD2" s="141">
        <v>0.69402055076572511</v>
      </c>
      <c r="AE2" s="142"/>
      <c r="AF2" s="141">
        <v>0.1887436961538374</v>
      </c>
      <c r="AG2" s="142"/>
      <c r="AH2" s="141">
        <v>0.73600360849936863</v>
      </c>
      <c r="AI2" s="142"/>
      <c r="AJ2" s="141">
        <v>-0.17664952637847836</v>
      </c>
      <c r="AK2" s="142"/>
    </row>
    <row r="3" spans="1:37" x14ac:dyDescent="0.45">
      <c r="A3" s="40">
        <v>1</v>
      </c>
      <c r="B3" s="43" t="s">
        <v>139</v>
      </c>
      <c r="C3" s="117">
        <v>81</v>
      </c>
      <c r="D3" s="41" t="s">
        <v>126</v>
      </c>
      <c r="E3" s="42">
        <v>636.70000000000016</v>
      </c>
      <c r="F3" s="43" t="s">
        <v>126</v>
      </c>
      <c r="G3" s="62">
        <v>10.977586206896554</v>
      </c>
      <c r="H3" s="43" t="s">
        <v>196</v>
      </c>
      <c r="I3" s="62">
        <v>7.6166666666666663</v>
      </c>
      <c r="J3" s="43" t="s">
        <v>126</v>
      </c>
      <c r="K3" s="44">
        <v>1.7586206896551724</v>
      </c>
      <c r="L3" s="43" t="s">
        <v>126</v>
      </c>
      <c r="M3" s="45">
        <v>0.43103448275862066</v>
      </c>
      <c r="N3" s="43" t="s">
        <v>196</v>
      </c>
      <c r="O3" s="45">
        <v>0.125</v>
      </c>
      <c r="P3" s="43" t="s">
        <v>205</v>
      </c>
      <c r="Q3" s="46">
        <v>0.33774834437086093</v>
      </c>
      <c r="R3" s="43" t="s">
        <v>196</v>
      </c>
      <c r="S3" s="46">
        <v>7.6923076923076927E-2</v>
      </c>
      <c r="T3" s="43" t="s">
        <v>164</v>
      </c>
      <c r="U3" s="47">
        <v>10453.40909090909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0.31413612565445026</v>
      </c>
      <c r="AD3" s="43" t="s">
        <v>213</v>
      </c>
      <c r="AE3" s="46">
        <v>0.70833333333333337</v>
      </c>
      <c r="AF3" s="43" t="s">
        <v>194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58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3.3657692307692293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0.18965517241379309</v>
      </c>
      <c r="P4" s="51" t="s">
        <v>126</v>
      </c>
      <c r="Q4" s="54">
        <v>0.32511210762331838</v>
      </c>
      <c r="R4" s="51" t="s">
        <v>192</v>
      </c>
      <c r="S4" s="54">
        <v>0.11461318051575932</v>
      </c>
      <c r="T4" s="51" t="s">
        <v>126</v>
      </c>
      <c r="U4" s="55">
        <v>10022.068965517241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196</v>
      </c>
      <c r="AA4" s="54">
        <v>0.29230769230769232</v>
      </c>
      <c r="AB4" s="51" t="s">
        <v>205</v>
      </c>
      <c r="AC4" s="54">
        <v>0.31125827814569534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192</v>
      </c>
      <c r="C5" s="118">
        <v>44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205</v>
      </c>
      <c r="M5" s="53">
        <v>0.35</v>
      </c>
      <c r="N5" s="51" t="s">
        <v>192</v>
      </c>
      <c r="O5" s="53">
        <v>0.29545454545454547</v>
      </c>
      <c r="P5" s="51" t="s">
        <v>193</v>
      </c>
      <c r="Q5" s="54">
        <v>0.31413612565445026</v>
      </c>
      <c r="R5" s="51" t="s">
        <v>126</v>
      </c>
      <c r="S5" s="54">
        <v>0.14125560538116591</v>
      </c>
      <c r="T5" s="51" t="s">
        <v>205</v>
      </c>
      <c r="U5" s="55">
        <v>9411.7647058823532</v>
      </c>
      <c r="V5" s="51" t="s">
        <v>193</v>
      </c>
      <c r="W5" s="55">
        <v>-7514.8148148148148</v>
      </c>
      <c r="X5" s="51" t="s">
        <v>126</v>
      </c>
      <c r="Y5" s="53">
        <v>5.1724137931034482E-2</v>
      </c>
      <c r="Z5" s="51" t="s">
        <v>164</v>
      </c>
      <c r="AA5" s="54">
        <v>0.28783382789317508</v>
      </c>
      <c r="AB5" s="51" t="s">
        <v>192</v>
      </c>
      <c r="AC5" s="54">
        <v>0.24355300859598855</v>
      </c>
      <c r="AD5" s="51" t="s">
        <v>193</v>
      </c>
      <c r="AE5" s="54">
        <v>0.62962962962962965</v>
      </c>
      <c r="AF5" s="51" t="s">
        <v>126</v>
      </c>
      <c r="AG5" s="54">
        <v>0.50704225352112675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164</v>
      </c>
      <c r="C6" s="118">
        <v>43</v>
      </c>
      <c r="D6" s="49" t="s">
        <v>139</v>
      </c>
      <c r="E6" s="50">
        <v>-2.1316282072803006E-14</v>
      </c>
      <c r="F6" s="51" t="s">
        <v>139</v>
      </c>
      <c r="G6" s="63">
        <v>-8.77213254024815E-17</v>
      </c>
      <c r="H6" s="51" t="s">
        <v>193</v>
      </c>
      <c r="I6" s="63">
        <v>1.7602645502645515</v>
      </c>
      <c r="J6" s="51" t="s">
        <v>192</v>
      </c>
      <c r="K6" s="52">
        <v>2</v>
      </c>
      <c r="L6" s="51" t="s">
        <v>164</v>
      </c>
      <c r="M6" s="53">
        <v>0.34883720930232559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193</v>
      </c>
      <c r="S6" s="54">
        <v>0.14136125654450263</v>
      </c>
      <c r="T6" s="51" t="s">
        <v>189</v>
      </c>
      <c r="U6" s="55">
        <v>9062.5</v>
      </c>
      <c r="V6" s="51" t="s">
        <v>194</v>
      </c>
      <c r="W6" s="55">
        <v>-7828.5714285714284</v>
      </c>
      <c r="X6" s="51" t="s">
        <v>192</v>
      </c>
      <c r="Y6" s="53">
        <v>9.0909090909090912E-2</v>
      </c>
      <c r="Z6" s="51" t="s">
        <v>189</v>
      </c>
      <c r="AA6" s="54">
        <v>0.28378378378378377</v>
      </c>
      <c r="AB6" s="51" t="s">
        <v>164</v>
      </c>
      <c r="AC6" s="54">
        <v>0.20474777448071216</v>
      </c>
      <c r="AD6" s="51" t="s">
        <v>126</v>
      </c>
      <c r="AE6" s="54">
        <v>0.62727272727272732</v>
      </c>
      <c r="AF6" s="51" t="s">
        <v>189</v>
      </c>
      <c r="AG6" s="54">
        <v>0.5</v>
      </c>
      <c r="AH6" s="51" t="s">
        <v>126</v>
      </c>
      <c r="AI6" s="54">
        <v>0.51724137931034486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26</v>
      </c>
      <c r="D7" s="49" t="s">
        <v>205</v>
      </c>
      <c r="E7" s="50">
        <v>-26.70000000000001</v>
      </c>
      <c r="F7" s="51" t="s">
        <v>205</v>
      </c>
      <c r="G7" s="63">
        <v>-1.3350000000000004</v>
      </c>
      <c r="H7" s="51" t="s">
        <v>126</v>
      </c>
      <c r="I7" s="63">
        <v>0.99109090909090491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213</v>
      </c>
      <c r="O7" s="53">
        <v>0.33333333333333331</v>
      </c>
      <c r="P7" s="51" t="s">
        <v>139</v>
      </c>
      <c r="Q7" s="54">
        <v>0.29193205944798301</v>
      </c>
      <c r="R7" s="51" t="s">
        <v>139</v>
      </c>
      <c r="S7" s="54">
        <v>0.15976645435244161</v>
      </c>
      <c r="T7" s="51" t="s">
        <v>139</v>
      </c>
      <c r="U7" s="55">
        <v>9034.7272727272721</v>
      </c>
      <c r="V7" s="51" t="s">
        <v>192</v>
      </c>
      <c r="W7" s="55">
        <v>-7855</v>
      </c>
      <c r="X7" s="51" t="s">
        <v>189</v>
      </c>
      <c r="Y7" s="53">
        <v>0.1111111111111111</v>
      </c>
      <c r="Z7" s="51" t="s">
        <v>192</v>
      </c>
      <c r="AA7" s="54">
        <v>0.24928366762177651</v>
      </c>
      <c r="AB7" s="51" t="s">
        <v>139</v>
      </c>
      <c r="AC7" s="54">
        <v>0.20276008492569003</v>
      </c>
      <c r="AD7" s="51" t="s">
        <v>205</v>
      </c>
      <c r="AE7" s="54">
        <v>0.62068965517241381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193</v>
      </c>
      <c r="C8" s="118">
        <v>26</v>
      </c>
      <c r="D8" s="49" t="s">
        <v>213</v>
      </c>
      <c r="E8" s="50">
        <v>-41.599999999999994</v>
      </c>
      <c r="F8" s="51" t="s">
        <v>192</v>
      </c>
      <c r="G8" s="63">
        <v>-2.1545454545454539</v>
      </c>
      <c r="H8" s="51" t="s">
        <v>205</v>
      </c>
      <c r="I8" s="63">
        <v>0.42249999999999943</v>
      </c>
      <c r="J8" s="51" t="s">
        <v>205</v>
      </c>
      <c r="K8" s="52">
        <v>2.0499999999999998</v>
      </c>
      <c r="L8" s="51" t="s">
        <v>192</v>
      </c>
      <c r="M8" s="53">
        <v>0.29545454545454547</v>
      </c>
      <c r="N8" s="51" t="s">
        <v>193</v>
      </c>
      <c r="O8" s="53">
        <v>0.34615384615384615</v>
      </c>
      <c r="P8" s="51" t="s">
        <v>192</v>
      </c>
      <c r="Q8" s="54">
        <v>0.27793696275071633</v>
      </c>
      <c r="R8" s="51" t="s">
        <v>194</v>
      </c>
      <c r="S8" s="54">
        <v>0.17766497461928935</v>
      </c>
      <c r="T8" s="51" t="s">
        <v>193</v>
      </c>
      <c r="U8" s="55">
        <v>8308.3333333333339</v>
      </c>
      <c r="V8" s="51" t="s">
        <v>139</v>
      </c>
      <c r="W8" s="55">
        <v>-8183.0564784053158</v>
      </c>
      <c r="X8" s="51" t="s">
        <v>139</v>
      </c>
      <c r="Y8" s="53">
        <v>0.13168724279835392</v>
      </c>
      <c r="Z8" s="51" t="s">
        <v>126</v>
      </c>
      <c r="AA8" s="54">
        <v>0.24663677130044842</v>
      </c>
      <c r="AB8" s="51" t="s">
        <v>126</v>
      </c>
      <c r="AC8" s="54">
        <v>0.15919282511210761</v>
      </c>
      <c r="AD8" s="51" t="s">
        <v>139</v>
      </c>
      <c r="AE8" s="54">
        <v>0.55240174672489084</v>
      </c>
      <c r="AF8" s="51" t="s">
        <v>139</v>
      </c>
      <c r="AG8" s="54">
        <v>0.41884816753926701</v>
      </c>
      <c r="AH8" s="51" t="s">
        <v>139</v>
      </c>
      <c r="AI8" s="54">
        <v>0.45090909090909093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20</v>
      </c>
      <c r="D9" s="49" t="s">
        <v>192</v>
      </c>
      <c r="E9" s="50">
        <v>-94.799999999999969</v>
      </c>
      <c r="F9" s="51" t="s">
        <v>213</v>
      </c>
      <c r="G9" s="63">
        <v>-4.6222222222222218</v>
      </c>
      <c r="H9" s="51" t="s">
        <v>139</v>
      </c>
      <c r="I9" s="63">
        <v>0</v>
      </c>
      <c r="J9" s="51" t="s">
        <v>164</v>
      </c>
      <c r="K9" s="52">
        <v>2.0930232558139537</v>
      </c>
      <c r="L9" s="51" t="s">
        <v>196</v>
      </c>
      <c r="M9" s="53">
        <v>0.25</v>
      </c>
      <c r="N9" s="51" t="s">
        <v>205</v>
      </c>
      <c r="O9" s="53">
        <v>0.4</v>
      </c>
      <c r="P9" s="51" t="s">
        <v>194</v>
      </c>
      <c r="Q9" s="54">
        <v>0.26903553299492383</v>
      </c>
      <c r="R9" s="51" t="s">
        <v>213</v>
      </c>
      <c r="S9" s="54">
        <v>0.1891891891891892</v>
      </c>
      <c r="T9" s="51" t="s">
        <v>194</v>
      </c>
      <c r="U9" s="55">
        <v>8022.6415094339627</v>
      </c>
      <c r="V9" s="51" t="s">
        <v>164</v>
      </c>
      <c r="W9" s="55">
        <v>-8340.579710144928</v>
      </c>
      <c r="X9" s="51" t="s">
        <v>205</v>
      </c>
      <c r="Y9" s="53">
        <v>0.15</v>
      </c>
      <c r="Z9" s="51" t="s">
        <v>139</v>
      </c>
      <c r="AA9" s="54">
        <v>0.24309978768577495</v>
      </c>
      <c r="AB9" s="51" t="s">
        <v>194</v>
      </c>
      <c r="AC9" s="54">
        <v>0.14213197969543148</v>
      </c>
      <c r="AD9" s="51" t="s">
        <v>192</v>
      </c>
      <c r="AE9" s="54">
        <v>0.54022988505747127</v>
      </c>
      <c r="AF9" s="51" t="s">
        <v>164</v>
      </c>
      <c r="AG9" s="54">
        <v>0.39130434782608697</v>
      </c>
      <c r="AH9" s="51" t="s">
        <v>194</v>
      </c>
      <c r="AI9" s="54">
        <v>0.43396226415094341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164</v>
      </c>
      <c r="G10" s="63">
        <v>-4.7000000000000011</v>
      </c>
      <c r="H10" s="51" t="s">
        <v>164</v>
      </c>
      <c r="I10" s="63">
        <v>-1.4541520467836193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164</v>
      </c>
      <c r="O10" s="53">
        <v>0.44186046511627908</v>
      </c>
      <c r="P10" s="51" t="s">
        <v>196</v>
      </c>
      <c r="Q10" s="54">
        <v>0.26153846153846155</v>
      </c>
      <c r="R10" s="51" t="s">
        <v>164</v>
      </c>
      <c r="S10" s="54">
        <v>0.20474777448071216</v>
      </c>
      <c r="T10" s="51" t="s">
        <v>196</v>
      </c>
      <c r="U10" s="55">
        <v>7964.7058823529414</v>
      </c>
      <c r="V10" s="51" t="s">
        <v>126</v>
      </c>
      <c r="W10" s="55">
        <v>-8461.9047619047615</v>
      </c>
      <c r="X10" s="51" t="s">
        <v>164</v>
      </c>
      <c r="Y10" s="53">
        <v>0.20930232558139536</v>
      </c>
      <c r="Z10" s="51" t="s">
        <v>194</v>
      </c>
      <c r="AA10" s="54">
        <v>0.2233502538071066</v>
      </c>
      <c r="AB10" s="51" t="s">
        <v>196</v>
      </c>
      <c r="AC10" s="54">
        <v>0.13846153846153847</v>
      </c>
      <c r="AD10" s="51" t="s">
        <v>194</v>
      </c>
      <c r="AE10" s="54">
        <v>0.47727272727272729</v>
      </c>
      <c r="AF10" s="51" t="s">
        <v>192</v>
      </c>
      <c r="AG10" s="54">
        <v>0.36470588235294116</v>
      </c>
      <c r="AH10" s="51" t="s">
        <v>192</v>
      </c>
      <c r="AI10" s="54">
        <v>0.40206185567010311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-202.10000000000005</v>
      </c>
      <c r="F11" s="51" t="s">
        <v>194</v>
      </c>
      <c r="G11" s="63">
        <v>-10.011538461538461</v>
      </c>
      <c r="H11" s="51" t="s">
        <v>192</v>
      </c>
      <c r="I11" s="63">
        <v>-1.9378917378917369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164</v>
      </c>
      <c r="Q11" s="54">
        <v>0.26112759643916916</v>
      </c>
      <c r="R11" s="51" t="s">
        <v>205</v>
      </c>
      <c r="S11" s="54">
        <v>0.20529801324503311</v>
      </c>
      <c r="T11" s="51" t="s">
        <v>192</v>
      </c>
      <c r="U11" s="55">
        <v>7615.4639175257735</v>
      </c>
      <c r="V11" s="51" t="s">
        <v>213</v>
      </c>
      <c r="W11" s="55">
        <v>-8671.4285714285706</v>
      </c>
      <c r="X11" s="51" t="s">
        <v>194</v>
      </c>
      <c r="Y11" s="53">
        <v>0.23076923076923078</v>
      </c>
      <c r="Z11" s="51" t="s">
        <v>205</v>
      </c>
      <c r="AA11" s="54">
        <v>0.19205298013245034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164</v>
      </c>
      <c r="AI11" s="54">
        <v>0.39772727272727271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-260.29999999999995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2.3076923076923075</v>
      </c>
      <c r="L12" s="51" t="s">
        <v>194</v>
      </c>
      <c r="M12" s="53">
        <v>0.19230769230769232</v>
      </c>
      <c r="N12" s="51" t="s">
        <v>194</v>
      </c>
      <c r="O12" s="53">
        <v>0.5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-9551.6129032258068</v>
      </c>
      <c r="X12" s="51" t="s">
        <v>193</v>
      </c>
      <c r="Y12" s="53">
        <v>0.23076923076923078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0.42268041237113402</v>
      </c>
      <c r="AF12" s="51" t="s">
        <v>205</v>
      </c>
      <c r="AG12" s="54">
        <v>0.2978723404255319</v>
      </c>
      <c r="AH12" s="51" t="s">
        <v>205</v>
      </c>
      <c r="AI12" s="54">
        <v>0.35294117647058826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4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243</v>
      </c>
      <c r="C2" s="132"/>
      <c r="E2" s="28" t="s">
        <v>66</v>
      </c>
      <c r="F2" s="25" t="s">
        <v>22</v>
      </c>
      <c r="G2" s="13">
        <v>396</v>
      </c>
      <c r="H2" s="91">
        <f>IF(B$19=0,0,G2/B$19)</f>
        <v>0.72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-12.5</v>
      </c>
      <c r="P2" s="80">
        <v>240</v>
      </c>
      <c r="Q2" s="67">
        <v>-3000</v>
      </c>
    </row>
    <row r="3" spans="1:17" x14ac:dyDescent="0.45">
      <c r="A3" s="21" t="s">
        <v>8</v>
      </c>
      <c r="B3" s="133">
        <v>1884</v>
      </c>
      <c r="C3" s="134"/>
      <c r="E3" s="29" t="s">
        <v>72</v>
      </c>
      <c r="F3" s="26" t="s">
        <v>27</v>
      </c>
      <c r="G3" s="14">
        <v>315</v>
      </c>
      <c r="H3" s="92">
        <f>IF(B$19=0,0,G3/B$19)</f>
        <v>0.57272727272727275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-4.2735042735042734</v>
      </c>
      <c r="P3" s="81">
        <v>234</v>
      </c>
      <c r="Q3" s="68">
        <v>-1000</v>
      </c>
    </row>
    <row r="4" spans="1:17" x14ac:dyDescent="0.45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246</v>
      </c>
      <c r="H4" s="92">
        <f>IF(B$19=0,0,G4/B$19)</f>
        <v>0.44727272727272727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222</v>
      </c>
      <c r="Q4" s="68">
        <v>0</v>
      </c>
    </row>
    <row r="5" spans="1:17" x14ac:dyDescent="0.45">
      <c r="A5" s="21" t="s">
        <v>7</v>
      </c>
      <c r="B5" s="123">
        <f>IF(B$2=0,0,B$4/B$2)</f>
        <v>-8.77213254024815E-17</v>
      </c>
      <c r="C5" s="124"/>
      <c r="E5" s="29" t="s">
        <v>160</v>
      </c>
      <c r="F5" s="26" t="s">
        <v>161</v>
      </c>
      <c r="G5" s="14">
        <v>231</v>
      </c>
      <c r="H5" s="92">
        <f>IF(B$19=0,0,G5/B$19)</f>
        <v>0.42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15.384615384615385</v>
      </c>
      <c r="P5" s="81">
        <v>195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166</v>
      </c>
      <c r="H6" s="92">
        <f>IF(B$19=0,0,G6/B$19)</f>
        <v>0.30181818181818182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-52.631578947368418</v>
      </c>
      <c r="P6" s="81">
        <v>171</v>
      </c>
      <c r="Q6" s="68">
        <v>-9000</v>
      </c>
    </row>
    <row r="7" spans="1:17" x14ac:dyDescent="0.45">
      <c r="A7" s="21" t="s">
        <v>2</v>
      </c>
      <c r="B7" s="14">
        <v>81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129</v>
      </c>
      <c r="H7" s="92">
        <f>IF(B$19=0,0,G7/B$19)</f>
        <v>0.23454545454545456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69.767441860465112</v>
      </c>
      <c r="P7" s="82">
        <v>129</v>
      </c>
      <c r="Q7" s="69">
        <v>9000</v>
      </c>
    </row>
    <row r="8" spans="1:17" x14ac:dyDescent="0.45">
      <c r="A8" s="21" t="s">
        <v>3</v>
      </c>
      <c r="B8" s="14">
        <v>81</v>
      </c>
      <c r="C8" s="8">
        <f t="shared" si="1"/>
        <v>0.33333333333333331</v>
      </c>
      <c r="E8" s="29" t="s">
        <v>89</v>
      </c>
      <c r="F8" s="26" t="s">
        <v>44</v>
      </c>
      <c r="G8" s="14">
        <v>81</v>
      </c>
      <c r="H8" s="92">
        <f>IF(B$19=0,0,G8/B$19)</f>
        <v>0.14727272727272728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81</v>
      </c>
      <c r="C9" s="9">
        <f t="shared" si="1"/>
        <v>0.33333333333333331</v>
      </c>
      <c r="E9" s="29" t="s">
        <v>69</v>
      </c>
      <c r="F9" s="26" t="s">
        <v>24</v>
      </c>
      <c r="G9" s="14">
        <v>70</v>
      </c>
      <c r="H9" s="92">
        <f>IF(B$19=0,0,G9/B$19)</f>
        <v>0.12727272727272726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42.279012345679007</v>
      </c>
      <c r="C10" s="114">
        <v>3424.5999999999995</v>
      </c>
      <c r="E10" s="29" t="s">
        <v>65</v>
      </c>
      <c r="F10" s="26" t="s">
        <v>21</v>
      </c>
      <c r="G10" s="14">
        <v>52</v>
      </c>
      <c r="H10" s="92">
        <f>IF(B$19=0,0,G10/B$19)</f>
        <v>9.4545454545454544E-2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-6.8049382716049358</v>
      </c>
      <c r="P10" s="80">
        <v>81</v>
      </c>
      <c r="Q10" s="71">
        <v>-551.19999999999982</v>
      </c>
    </row>
    <row r="11" spans="1:17" x14ac:dyDescent="0.45">
      <c r="A11" s="22" t="s">
        <v>186</v>
      </c>
      <c r="B11" s="113">
        <f>IF(B8=0,0,C11/B8)</f>
        <v>-3.7962962962962976</v>
      </c>
      <c r="C11" s="114">
        <v>-307.50000000000011</v>
      </c>
      <c r="E11" s="29" t="s">
        <v>70</v>
      </c>
      <c r="F11" s="26" t="s">
        <v>25</v>
      </c>
      <c r="G11" s="14">
        <v>46</v>
      </c>
      <c r="H11" s="92">
        <f>IF(B$19=0,0,G11/B$19)</f>
        <v>8.3636363636363634E-2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0.54938271604938205</v>
      </c>
      <c r="P11" s="81">
        <v>81</v>
      </c>
      <c r="Q11" s="72">
        <v>44.49999999999995</v>
      </c>
    </row>
    <row r="12" spans="1:17" x14ac:dyDescent="0.45">
      <c r="A12" s="22" t="s">
        <v>187</v>
      </c>
      <c r="B12" s="113">
        <f>IF(B9=0,0,C12/B9)</f>
        <v>-38.482716049382709</v>
      </c>
      <c r="C12" s="114">
        <v>-3117.0999999999995</v>
      </c>
      <c r="E12" s="29" t="s">
        <v>71</v>
      </c>
      <c r="F12" s="26" t="s">
        <v>26</v>
      </c>
      <c r="G12" s="14">
        <v>37</v>
      </c>
      <c r="H12" s="92">
        <f>IF(B$19=0,0,G12/B$19)</f>
        <v>6.7272727272727276E-2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6.2555555555555529</v>
      </c>
      <c r="P12" s="82">
        <v>81</v>
      </c>
      <c r="Q12" s="73">
        <v>506.69999999999982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31</v>
      </c>
      <c r="H13" s="92">
        <f>IF(B$19=0,0,G13/B$19)</f>
        <v>5.6363636363636366E-2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32</v>
      </c>
      <c r="C14" s="11">
        <f t="shared" si="1"/>
        <v>0.13168724279835392</v>
      </c>
      <c r="E14" s="29" t="s">
        <v>86</v>
      </c>
      <c r="F14" s="26" t="s">
        <v>41</v>
      </c>
      <c r="G14" s="14">
        <v>31</v>
      </c>
      <c r="H14" s="92">
        <f>IF(B$19=0,0,G14/B$19)</f>
        <v>5.6363636363636366E-2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458</v>
      </c>
      <c r="C15" s="12">
        <f>IF(B$3=0,0,B15/B$3)</f>
        <v>0.24309978768577495</v>
      </c>
      <c r="E15" s="29" t="s">
        <v>78</v>
      </c>
      <c r="F15" s="26" t="s">
        <v>33</v>
      </c>
      <c r="G15" s="14">
        <v>16</v>
      </c>
      <c r="H15" s="92">
        <f>IF(B$19=0,0,G15/B$19)</f>
        <v>2.9090909090909091E-2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382</v>
      </c>
      <c r="C16" s="8">
        <f>IF(B$3=0,0,B16/B$3)</f>
        <v>0.20276008492569003</v>
      </c>
      <c r="E16" s="29" t="s">
        <v>81</v>
      </c>
      <c r="F16" s="26" t="s">
        <v>36</v>
      </c>
      <c r="G16" s="14">
        <v>16</v>
      </c>
      <c r="H16" s="92">
        <f>IF(B$19=0,0,G16/B$19)</f>
        <v>2.9090909090909091E-2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15.017307692307693</v>
      </c>
      <c r="P16" s="81">
        <v>52</v>
      </c>
      <c r="Q16" s="72">
        <v>780.9</v>
      </c>
    </row>
    <row r="17" spans="1:17" x14ac:dyDescent="0.45">
      <c r="A17" s="20" t="s">
        <v>123</v>
      </c>
      <c r="B17" s="13">
        <f>B23</f>
        <v>253</v>
      </c>
      <c r="C17" s="6">
        <f>IF(B$15=0,0,B17/B$15)</f>
        <v>0.55240174672489084</v>
      </c>
      <c r="E17" s="29" t="s">
        <v>79</v>
      </c>
      <c r="F17" s="26" t="s">
        <v>34</v>
      </c>
      <c r="G17" s="14">
        <v>13</v>
      </c>
      <c r="H17" s="92">
        <f>IF(B$19=0,0,G17/B$19)</f>
        <v>2.3636363636363636E-2</v>
      </c>
      <c r="I17" s="60">
        <v>4</v>
      </c>
      <c r="K17" s="7">
        <v>15</v>
      </c>
      <c r="L17" s="65">
        <v>1.7763568394002505E-15</v>
      </c>
      <c r="N17" s="78" t="s">
        <v>164</v>
      </c>
      <c r="O17" s="87">
        <f>IF(P17=0,0,Q17/P17)</f>
        <v>7.0499999999999972</v>
      </c>
      <c r="P17" s="81">
        <v>86</v>
      </c>
      <c r="Q17" s="72">
        <v>606.29999999999973</v>
      </c>
    </row>
    <row r="18" spans="1:17" x14ac:dyDescent="0.45">
      <c r="A18" s="20" t="s">
        <v>124</v>
      </c>
      <c r="B18" s="13">
        <f>B24</f>
        <v>160</v>
      </c>
      <c r="C18" s="6">
        <f>IF(B$16=0,0,B18/B$16)</f>
        <v>0.41884816753926701</v>
      </c>
      <c r="E18" s="29" t="s">
        <v>91</v>
      </c>
      <c r="F18" s="26" t="s">
        <v>46</v>
      </c>
      <c r="G18" s="14">
        <v>13</v>
      </c>
      <c r="H18" s="92">
        <f>IF(B$19=0,0,G18/B$19)</f>
        <v>2.3636363636363636E-2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550</v>
      </c>
      <c r="C19" s="6">
        <f>IF(B$3=0,0,B19/B$3)</f>
        <v>0.29193205944798301</v>
      </c>
      <c r="E19" s="29" t="s">
        <v>92</v>
      </c>
      <c r="F19" s="26" t="s">
        <v>47</v>
      </c>
      <c r="G19" s="14">
        <v>8</v>
      </c>
      <c r="H19" s="92">
        <f>IF(B$19=0,0,G19/B$19)</f>
        <v>1.4545454545454545E-2</v>
      </c>
      <c r="I19" s="60">
        <v>5</v>
      </c>
      <c r="K19" s="7">
        <v>17</v>
      </c>
      <c r="L19" s="65">
        <v>-35.800000000000004</v>
      </c>
      <c r="N19" s="78" t="s">
        <v>192</v>
      </c>
      <c r="O19" s="87">
        <f>IF(P19=0,0,Q19/P19)</f>
        <v>3.2318181818181868</v>
      </c>
      <c r="P19" s="81">
        <v>88</v>
      </c>
      <c r="Q19" s="72">
        <v>284.40000000000043</v>
      </c>
    </row>
    <row r="20" spans="1:17" x14ac:dyDescent="0.45">
      <c r="A20" s="21" t="s">
        <v>13</v>
      </c>
      <c r="B20" s="14">
        <v>301</v>
      </c>
      <c r="C20" s="8">
        <f>IF(B$3=0,0,B20/B$3)</f>
        <v>0.15976645435244161</v>
      </c>
      <c r="E20" s="29" t="s">
        <v>156</v>
      </c>
      <c r="F20" s="26" t="s">
        <v>157</v>
      </c>
      <c r="G20" s="14">
        <v>7</v>
      </c>
      <c r="H20" s="92">
        <f>IF(B$19=0,0,G20/B$19)</f>
        <v>1.2727272727272728E-2</v>
      </c>
      <c r="I20" s="60">
        <v>3</v>
      </c>
      <c r="K20" s="7">
        <v>18</v>
      </c>
      <c r="L20" s="65">
        <v>-7.1054273576010019E-15</v>
      </c>
      <c r="N20" s="78" t="s">
        <v>205</v>
      </c>
      <c r="O20" s="87">
        <f>IF(P20=0,0,Q20/P20)</f>
        <v>2.0025000000000013</v>
      </c>
      <c r="P20" s="81">
        <v>40</v>
      </c>
      <c r="Q20" s="72">
        <v>80.100000000000051</v>
      </c>
    </row>
    <row r="21" spans="1:17" x14ac:dyDescent="0.45">
      <c r="A21" s="21" t="s">
        <v>12</v>
      </c>
      <c r="B21" s="14">
        <v>248</v>
      </c>
      <c r="C21" s="8">
        <f>IF(B$19=0,0,B21/B$19)</f>
        <v>0.45090909090909093</v>
      </c>
      <c r="E21" s="29" t="s">
        <v>85</v>
      </c>
      <c r="F21" s="26" t="s">
        <v>40</v>
      </c>
      <c r="G21" s="14">
        <v>3</v>
      </c>
      <c r="H21" s="92">
        <f>IF(B$19=0,0,G21/B$19)</f>
        <v>5.454545454545455E-3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302</v>
      </c>
      <c r="C22" s="8">
        <f>IF(B$19=0,0,B22/B$19)</f>
        <v>0.54909090909090907</v>
      </c>
      <c r="E22" s="29" t="s">
        <v>73</v>
      </c>
      <c r="F22" s="26" t="s">
        <v>28</v>
      </c>
      <c r="G22" s="14">
        <v>2</v>
      </c>
      <c r="H22" s="92">
        <f>IF(B$19=0,0,G22/B$19)</f>
        <v>3.6363636363636364E-3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253</v>
      </c>
      <c r="C23" s="8">
        <f>IF(B$19=0,0,B23/B$19)</f>
        <v>0.46</v>
      </c>
      <c r="E23" s="29" t="s">
        <v>75</v>
      </c>
      <c r="F23" s="26" t="s">
        <v>30</v>
      </c>
      <c r="G23" s="14">
        <v>2</v>
      </c>
      <c r="H23" s="92">
        <f>IF(B$19=0,0,G23/B$19)</f>
        <v>3.6363636363636364E-3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-16.466379310344809</v>
      </c>
      <c r="P23" s="81">
        <v>116</v>
      </c>
      <c r="Q23" s="72">
        <v>-1910.0999999999979</v>
      </c>
    </row>
    <row r="24" spans="1:17" x14ac:dyDescent="0.45">
      <c r="A24" s="21" t="s">
        <v>182</v>
      </c>
      <c r="B24" s="14">
        <v>160</v>
      </c>
      <c r="C24" s="8">
        <f>IF(B$19=0,0,B24/B$19)</f>
        <v>0.29090909090909089</v>
      </c>
      <c r="E24" s="29" t="s">
        <v>77</v>
      </c>
      <c r="F24" s="26" t="s">
        <v>32</v>
      </c>
      <c r="G24" s="14">
        <v>2</v>
      </c>
      <c r="H24" s="92">
        <f>IF(B$19=0,0,G24/B$19)</f>
        <v>3.6363636363636364E-3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137</v>
      </c>
      <c r="C25" s="8">
        <f>IF(B$19=0,0,B25/B$19)</f>
        <v>0.24909090909090909</v>
      </c>
      <c r="E25" s="29" t="s">
        <v>87</v>
      </c>
      <c r="F25" s="26" t="s">
        <v>42</v>
      </c>
      <c r="G25" s="14">
        <v>2</v>
      </c>
      <c r="H25" s="92">
        <f>IF(B$19=0,0,G25/B$19)</f>
        <v>3.6363636363636364E-3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9034.7272727272721</v>
      </c>
      <c r="C26" s="10">
        <v>4969100</v>
      </c>
      <c r="E26" s="29" t="s">
        <v>93</v>
      </c>
      <c r="F26" s="26" t="s">
        <v>48</v>
      </c>
      <c r="G26" s="14">
        <v>2</v>
      </c>
      <c r="H26" s="92">
        <f>IF(B$19=0,0,G26/B$19)</f>
        <v>3.6363636363636364E-3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9436.6666666666661</v>
      </c>
      <c r="C27" s="100">
        <v>3680300</v>
      </c>
      <c r="E27" s="29" t="s">
        <v>84</v>
      </c>
      <c r="F27" s="26" t="s">
        <v>39</v>
      </c>
      <c r="G27" s="14">
        <v>1</v>
      </c>
      <c r="H27" s="92">
        <f>IF(B$19=0,0,G27/B$19)</f>
        <v>1.8181818181818182E-3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8055</v>
      </c>
      <c r="C28" s="100">
        <v>1288800</v>
      </c>
      <c r="E28" s="29" t="s">
        <v>88</v>
      </c>
      <c r="F28" s="26" t="s">
        <v>43</v>
      </c>
      <c r="G28" s="14">
        <v>1</v>
      </c>
      <c r="H28" s="92">
        <f>IF(B$19=0,0,G28/B$19)</f>
        <v>1.8181818181818182E-3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-8183.0564784053158</v>
      </c>
      <c r="C29" s="100">
        <v>-2463100</v>
      </c>
      <c r="E29" s="29" t="s">
        <v>95</v>
      </c>
      <c r="F29" s="26" t="s">
        <v>50</v>
      </c>
      <c r="G29" s="14">
        <v>1</v>
      </c>
      <c r="H29" s="92">
        <f>IF(B$19=0,0,G29/B$19)</f>
        <v>1.8181818181818182E-3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3</v>
      </c>
      <c r="E30" s="29" t="s">
        <v>97</v>
      </c>
      <c r="F30" s="26" t="s">
        <v>52</v>
      </c>
      <c r="G30" s="14">
        <v>1</v>
      </c>
      <c r="H30" s="92">
        <f>IF(B$19=0,0,G30/B$19)</f>
        <v>1.8181818181818182E-3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16</v>
      </c>
      <c r="E31" s="29" t="s">
        <v>102</v>
      </c>
      <c r="F31" s="26" t="s">
        <v>57</v>
      </c>
      <c r="G31" s="14">
        <v>1</v>
      </c>
      <c r="H31" s="92">
        <f>IF(B$19=0,0,G31/B$19)</f>
        <v>1.8181818181818182E-3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2.1231422505307855E-3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43</v>
      </c>
      <c r="C36" s="102">
        <f t="shared" ref="C36:C48" si="2">IF(B$19=0,0,B36/B$19)</f>
        <v>7.8181818181818186E-2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98</v>
      </c>
      <c r="C37" s="8">
        <f t="shared" si="2"/>
        <v>0.17818181818181819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93</v>
      </c>
      <c r="C38" s="8">
        <f t="shared" si="2"/>
        <v>0.1690909090909091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100</v>
      </c>
      <c r="C39" s="8">
        <f t="shared" si="2"/>
        <v>0.18181818181818182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82</v>
      </c>
      <c r="C40" s="8">
        <f t="shared" si="2"/>
        <v>0.14909090909090908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51</v>
      </c>
      <c r="C41" s="8">
        <f t="shared" si="2"/>
        <v>9.2727272727272728E-2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34</v>
      </c>
      <c r="C42" s="8">
        <f t="shared" si="2"/>
        <v>6.1818181818181821E-2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14</v>
      </c>
      <c r="C43" s="8">
        <f t="shared" si="2"/>
        <v>2.5454545454545455E-2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1.8181818181818181E-2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7</v>
      </c>
      <c r="C45" s="8">
        <f t="shared" si="2"/>
        <v>1.2727272727272728E-2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7.2727272727272727E-3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1.8181818181818182E-3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2"/>
        <v>2.3636363636363636E-2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43</v>
      </c>
      <c r="C2" s="132"/>
      <c r="E2" s="28" t="s">
        <v>66</v>
      </c>
      <c r="F2" s="25" t="s">
        <v>22</v>
      </c>
      <c r="G2" s="13">
        <v>75</v>
      </c>
      <c r="H2" s="91">
        <f>IF(B$19=0,0,G2/B$19)</f>
        <v>0.85227272727272729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-2561.9047619047619</v>
      </c>
      <c r="P2" s="80">
        <v>42</v>
      </c>
      <c r="Q2" s="67">
        <v>-107600</v>
      </c>
    </row>
    <row r="3" spans="1:17" x14ac:dyDescent="0.45">
      <c r="A3" s="21" t="s">
        <v>8</v>
      </c>
      <c r="B3" s="133">
        <v>337</v>
      </c>
      <c r="C3" s="134"/>
      <c r="E3" s="29" t="s">
        <v>72</v>
      </c>
      <c r="F3" s="26" t="s">
        <v>27</v>
      </c>
      <c r="G3" s="14">
        <v>46</v>
      </c>
      <c r="H3" s="92">
        <f>IF(B$19=0,0,G3/B$19)</f>
        <v>0.52272727272727271</v>
      </c>
      <c r="I3" s="60">
        <v>7</v>
      </c>
      <c r="K3" s="7">
        <v>1</v>
      </c>
      <c r="L3" s="65">
        <v>-2.9</v>
      </c>
      <c r="N3" s="78" t="s">
        <v>129</v>
      </c>
      <c r="O3" s="84">
        <f t="shared" si="0"/>
        <v>-1636.5853658536585</v>
      </c>
      <c r="P3" s="81">
        <v>41</v>
      </c>
      <c r="Q3" s="68">
        <v>-67100</v>
      </c>
    </row>
    <row r="4" spans="1:17" x14ac:dyDescent="0.45">
      <c r="A4" s="21" t="s">
        <v>6</v>
      </c>
      <c r="B4" s="135">
        <v>-202.10000000000005</v>
      </c>
      <c r="C4" s="136"/>
      <c r="E4" s="29" t="s">
        <v>160</v>
      </c>
      <c r="F4" s="26" t="s">
        <v>161</v>
      </c>
      <c r="G4" s="14">
        <v>44</v>
      </c>
      <c r="H4" s="92">
        <f>IF(B$19=0,0,G4/B$19)</f>
        <v>0.5</v>
      </c>
      <c r="I4" s="60">
        <v>3</v>
      </c>
      <c r="K4" s="7">
        <v>2</v>
      </c>
      <c r="L4" s="65">
        <v>32.9</v>
      </c>
      <c r="N4" s="78" t="s">
        <v>130</v>
      </c>
      <c r="O4" s="84">
        <f t="shared" si="0"/>
        <v>234.21052631578948</v>
      </c>
      <c r="P4" s="81">
        <v>38</v>
      </c>
      <c r="Q4" s="68">
        <v>8900</v>
      </c>
    </row>
    <row r="5" spans="1:17" x14ac:dyDescent="0.45">
      <c r="A5" s="21" t="s">
        <v>7</v>
      </c>
      <c r="B5" s="123">
        <f>IF(B$2=0,0,B$4/B$2)</f>
        <v>-4.7000000000000011</v>
      </c>
      <c r="C5" s="124"/>
      <c r="E5" s="29" t="s">
        <v>64</v>
      </c>
      <c r="F5" s="26" t="s">
        <v>20</v>
      </c>
      <c r="G5" s="14">
        <v>42</v>
      </c>
      <c r="H5" s="92">
        <f>IF(B$19=0,0,G5/B$19)</f>
        <v>0.47727272727272729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-2017.6470588235295</v>
      </c>
      <c r="P5" s="81">
        <v>34</v>
      </c>
      <c r="Q5" s="68">
        <v>-68600</v>
      </c>
    </row>
    <row r="6" spans="1:17" x14ac:dyDescent="0.45">
      <c r="A6" s="21" t="s">
        <v>1</v>
      </c>
      <c r="B6" s="137">
        <f>IF(B$2=0,0,(B$7*1+B$8*2+B$9*3)/B$2)</f>
        <v>2.0930232558139537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0.23863636363636365</v>
      </c>
      <c r="I6" s="60">
        <v>9</v>
      </c>
      <c r="K6" s="7">
        <v>4</v>
      </c>
      <c r="L6" s="65">
        <v>27.4</v>
      </c>
      <c r="N6" s="78" t="s">
        <v>132</v>
      </c>
      <c r="O6" s="84">
        <f t="shared" si="0"/>
        <v>134.375</v>
      </c>
      <c r="P6" s="81">
        <v>32</v>
      </c>
      <c r="Q6" s="68">
        <v>4300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0.34883720930232559</v>
      </c>
      <c r="E7" s="29" t="s">
        <v>67</v>
      </c>
      <c r="F7" s="26" t="s">
        <v>23</v>
      </c>
      <c r="G7" s="14">
        <v>19</v>
      </c>
      <c r="H7" s="92">
        <f>IF(B$19=0,0,G7/B$19)</f>
        <v>0.21590909090909091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2995.8333333333335</v>
      </c>
      <c r="P7" s="82">
        <v>24</v>
      </c>
      <c r="Q7" s="69">
        <v>71900</v>
      </c>
    </row>
    <row r="8" spans="1:17" x14ac:dyDescent="0.45">
      <c r="A8" s="21" t="s">
        <v>3</v>
      </c>
      <c r="B8" s="14">
        <v>9</v>
      </c>
      <c r="C8" s="8">
        <f t="shared" si="1"/>
        <v>0.20930232558139536</v>
      </c>
      <c r="E8" s="29" t="s">
        <v>89</v>
      </c>
      <c r="F8" s="26" t="s">
        <v>44</v>
      </c>
      <c r="G8" s="14">
        <v>13</v>
      </c>
      <c r="H8" s="92">
        <f>IF(B$19=0,0,G8/B$19)</f>
        <v>0.14772727272727273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19</v>
      </c>
      <c r="C9" s="9">
        <f t="shared" si="1"/>
        <v>0.44186046511627908</v>
      </c>
      <c r="E9" s="29" t="s">
        <v>70</v>
      </c>
      <c r="F9" s="26" t="s">
        <v>25</v>
      </c>
      <c r="G9" s="14">
        <v>11</v>
      </c>
      <c r="H9" s="92">
        <f>IF(B$19=0,0,G9/B$19)</f>
        <v>0.125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41.053333333333349</v>
      </c>
      <c r="C10" s="114">
        <v>615.80000000000018</v>
      </c>
      <c r="E10" s="29" t="s">
        <v>65</v>
      </c>
      <c r="F10" s="26" t="s">
        <v>21</v>
      </c>
      <c r="G10" s="14">
        <v>10</v>
      </c>
      <c r="H10" s="92">
        <f>IF(B$19=0,0,G10/B$19)</f>
        <v>0.11363636363636363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-11.82666666666667</v>
      </c>
      <c r="P10" s="80">
        <v>15</v>
      </c>
      <c r="Q10" s="71">
        <v>-177.40000000000003</v>
      </c>
    </row>
    <row r="11" spans="1:17" x14ac:dyDescent="0.45">
      <c r="A11" s="22" t="s">
        <v>186</v>
      </c>
      <c r="B11" s="113">
        <f>IF(B8=0,0,C11/B8)</f>
        <v>-4.5</v>
      </c>
      <c r="C11" s="114">
        <v>-40.5</v>
      </c>
      <c r="E11" s="29" t="s">
        <v>69</v>
      </c>
      <c r="F11" s="26" t="s">
        <v>24</v>
      </c>
      <c r="G11" s="14">
        <v>8</v>
      </c>
      <c r="H11" s="92">
        <f>IF(B$19=0,0,G11/B$19)</f>
        <v>9.0909090909090912E-2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-40.915789473684207</v>
      </c>
      <c r="C12" s="114">
        <v>-777.39999999999986</v>
      </c>
      <c r="E12" s="29" t="s">
        <v>86</v>
      </c>
      <c r="F12" s="26" t="s">
        <v>41</v>
      </c>
      <c r="G12" s="14">
        <v>8</v>
      </c>
      <c r="H12" s="92">
        <f>IF(B$19=0,0,G12/B$19)</f>
        <v>9.0909090909090912E-2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-5.56111111111111</v>
      </c>
      <c r="P12" s="82">
        <v>18</v>
      </c>
      <c r="Q12" s="73">
        <v>-100.09999999999998</v>
      </c>
    </row>
    <row r="13" spans="1:17" x14ac:dyDescent="0.45">
      <c r="A13" s="22" t="s">
        <v>188</v>
      </c>
      <c r="B13" s="123">
        <f>AVERAGE(B10:B12)</f>
        <v>-1.4541520467836193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7.9545454545454544E-2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0.20930232558139536</v>
      </c>
      <c r="E14" s="29" t="s">
        <v>71</v>
      </c>
      <c r="F14" s="26" t="s">
        <v>26</v>
      </c>
      <c r="G14" s="14">
        <v>5</v>
      </c>
      <c r="H14" s="92">
        <f>IF(B$19=0,0,G14/B$19)</f>
        <v>5.6818181818181816E-2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97</v>
      </c>
      <c r="C15" s="12">
        <f>IF(B$3=0,0,B15/B$3)</f>
        <v>0.28783382789317508</v>
      </c>
      <c r="E15" s="29" t="s">
        <v>81</v>
      </c>
      <c r="F15" s="26" t="s">
        <v>36</v>
      </c>
      <c r="G15" s="14">
        <v>4</v>
      </c>
      <c r="H15" s="92">
        <f>IF(B$19=0,0,G15/B$19)</f>
        <v>4.5454545454545456E-2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69</v>
      </c>
      <c r="C16" s="8">
        <f>IF(B$3=0,0,B16/B$3)</f>
        <v>0.20474777448071216</v>
      </c>
      <c r="E16" s="29" t="s">
        <v>79</v>
      </c>
      <c r="F16" s="26" t="s">
        <v>34</v>
      </c>
      <c r="G16" s="14">
        <v>3</v>
      </c>
      <c r="H16" s="92">
        <f>IF(B$19=0,0,G16/B$19)</f>
        <v>3.4090909090909088E-2</v>
      </c>
      <c r="I16" s="60">
        <v>3</v>
      </c>
      <c r="K16" s="7">
        <v>14</v>
      </c>
      <c r="L16" s="65">
        <v>15.100000000000001</v>
      </c>
      <c r="N16" s="78" t="s">
        <v>213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41</v>
      </c>
      <c r="C17" s="6">
        <f>IF(B$15=0,0,B17/B$15)</f>
        <v>0.42268041237113402</v>
      </c>
      <c r="E17" s="29" t="s">
        <v>78</v>
      </c>
      <c r="F17" s="26" t="s">
        <v>33</v>
      </c>
      <c r="G17" s="14">
        <v>2</v>
      </c>
      <c r="H17" s="92">
        <f>IF(B$19=0,0,G17/B$19)</f>
        <v>2.2727272727272728E-2</v>
      </c>
      <c r="I17" s="60">
        <v>6</v>
      </c>
      <c r="K17" s="7">
        <v>15</v>
      </c>
      <c r="L17" s="65">
        <v>-33.1</v>
      </c>
      <c r="N17" s="78" t="s">
        <v>192</v>
      </c>
      <c r="O17" s="87">
        <f t="shared" si="2"/>
        <v>6.9411764705882337</v>
      </c>
      <c r="P17" s="81">
        <v>17</v>
      </c>
      <c r="Q17" s="72">
        <v>117.99999999999997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0.39130434782608697</v>
      </c>
      <c r="E18" s="29" t="s">
        <v>83</v>
      </c>
      <c r="F18" s="26" t="s">
        <v>38</v>
      </c>
      <c r="G18" s="14">
        <v>2</v>
      </c>
      <c r="H18" s="92">
        <f>IF(B$19=0,0,G18/B$19)</f>
        <v>2.2727272727272728E-2</v>
      </c>
      <c r="I18" s="60">
        <v>7</v>
      </c>
      <c r="K18" s="7">
        <v>16</v>
      </c>
      <c r="L18" s="65">
        <v>-10.8</v>
      </c>
      <c r="N18" s="78" t="s">
        <v>196</v>
      </c>
      <c r="O18" s="87">
        <f t="shared" si="2"/>
        <v>-0.29999999999999244</v>
      </c>
      <c r="P18" s="81">
        <v>3</v>
      </c>
      <c r="Q18" s="72">
        <v>-0.89999999999997726</v>
      </c>
    </row>
    <row r="19" spans="1:17" x14ac:dyDescent="0.45">
      <c r="A19" s="20" t="s">
        <v>10</v>
      </c>
      <c r="B19" s="13">
        <f>B22+B21</f>
        <v>88</v>
      </c>
      <c r="C19" s="6">
        <f>IF(B$3=0,0,B19/B$3)</f>
        <v>0.26112759643916916</v>
      </c>
      <c r="E19" s="29" t="s">
        <v>92</v>
      </c>
      <c r="F19" s="26" t="s">
        <v>47</v>
      </c>
      <c r="G19" s="14">
        <v>2</v>
      </c>
      <c r="H19" s="92">
        <f>IF(B$19=0,0,G19/B$19)</f>
        <v>2.2727272727272728E-2</v>
      </c>
      <c r="I19" s="60">
        <v>1</v>
      </c>
      <c r="K19" s="7">
        <v>17</v>
      </c>
      <c r="L19" s="65">
        <v>-32.900000000000006</v>
      </c>
      <c r="N19" s="78" t="s">
        <v>205</v>
      </c>
      <c r="O19" s="87">
        <f t="shared" si="2"/>
        <v>-9.1857142857142868</v>
      </c>
      <c r="P19" s="81">
        <v>7</v>
      </c>
      <c r="Q19" s="72">
        <v>-64.300000000000011</v>
      </c>
    </row>
    <row r="20" spans="1:17" x14ac:dyDescent="0.45">
      <c r="A20" s="21" t="s">
        <v>13</v>
      </c>
      <c r="B20" s="14">
        <v>69</v>
      </c>
      <c r="C20" s="8">
        <f>IF(B$3=0,0,B20/B$3)</f>
        <v>0.20474777448071216</v>
      </c>
      <c r="E20" s="29" t="s">
        <v>75</v>
      </c>
      <c r="F20" s="26" t="s">
        <v>30</v>
      </c>
      <c r="G20" s="14">
        <v>1</v>
      </c>
      <c r="H20" s="92">
        <f>IF(B$19=0,0,G20/B$19)</f>
        <v>1.1363636363636364E-2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-12.633333333333326</v>
      </c>
      <c r="P20" s="81">
        <v>33</v>
      </c>
      <c r="Q20" s="72">
        <v>-416.89999999999975</v>
      </c>
    </row>
    <row r="21" spans="1:17" x14ac:dyDescent="0.45">
      <c r="A21" s="21" t="s">
        <v>12</v>
      </c>
      <c r="B21" s="14">
        <v>35</v>
      </c>
      <c r="C21" s="8">
        <f>IF(B$19=0,0,B21/B$19)</f>
        <v>0.39772727272727271</v>
      </c>
      <c r="E21" s="29" t="s">
        <v>97</v>
      </c>
      <c r="F21" s="26" t="s">
        <v>52</v>
      </c>
      <c r="G21" s="14">
        <v>1</v>
      </c>
      <c r="H21" s="92">
        <f>IF(B$19=0,0,G21/B$19)</f>
        <v>1.1363636363636364E-2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 t="shared" si="2"/>
        <v>-32.20000000000001</v>
      </c>
      <c r="P21" s="81">
        <v>6</v>
      </c>
      <c r="Q21" s="72">
        <v>-193.20000000000005</v>
      </c>
    </row>
    <row r="22" spans="1:17" x14ac:dyDescent="0.45">
      <c r="A22" s="21" t="s">
        <v>11</v>
      </c>
      <c r="B22" s="14">
        <v>53</v>
      </c>
      <c r="C22" s="8">
        <f>IF(B$19=0,0,B22/B$19)</f>
        <v>0.60227272727272729</v>
      </c>
      <c r="E22" s="29" t="s">
        <v>156</v>
      </c>
      <c r="F22" s="26" t="s">
        <v>157</v>
      </c>
      <c r="G22" s="14">
        <v>1</v>
      </c>
      <c r="H22" s="92">
        <f>IF(B$19=0,0,G22/B$19)</f>
        <v>1.1363636363636364E-2</v>
      </c>
      <c r="I22" s="60">
        <v>4</v>
      </c>
      <c r="K22" s="7">
        <v>20</v>
      </c>
      <c r="L22" s="65">
        <v>-72.000000000000014</v>
      </c>
      <c r="N22" s="78" t="s">
        <v>193</v>
      </c>
      <c r="O22" s="87">
        <f t="shared" si="2"/>
        <v>-33.971428571428568</v>
      </c>
      <c r="P22" s="81">
        <v>7</v>
      </c>
      <c r="Q22" s="72">
        <v>-237.79999999999998</v>
      </c>
    </row>
    <row r="23" spans="1:17" x14ac:dyDescent="0.45">
      <c r="A23" s="21" t="s">
        <v>184</v>
      </c>
      <c r="B23" s="14">
        <v>41</v>
      </c>
      <c r="C23" s="8">
        <f>IF(B$19=0,0,B23/B$19)</f>
        <v>0.46590909090909088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27</v>
      </c>
      <c r="C24" s="8">
        <f>IF(B$19=0,0,B24/B$19)</f>
        <v>0.30681818181818182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20</v>
      </c>
      <c r="C25" s="8">
        <f>IF(B$19=0,0,B25/B$19)</f>
        <v>0.22727272727272727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10453.40909090909</v>
      </c>
      <c r="C26" s="10">
        <v>919900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11277.049180327869</v>
      </c>
      <c r="C27" s="100">
        <v>687900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8592.5925925925931</v>
      </c>
      <c r="C28" s="100">
        <v>232000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-8340.579710144928</v>
      </c>
      <c r="C29" s="100">
        <v>-575500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0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5.9347181008902079E-3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3">IF(B$19=0,0,B36/B$19)</f>
        <v>2.2727272727272728E-2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3"/>
        <v>0.13636363636363635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7</v>
      </c>
      <c r="C38" s="8">
        <f t="shared" si="3"/>
        <v>7.9545454545454544E-2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24</v>
      </c>
      <c r="C39" s="8">
        <f t="shared" si="3"/>
        <v>0.27272727272727271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18</v>
      </c>
      <c r="C40" s="8">
        <f t="shared" si="3"/>
        <v>0.20454545454545456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8</v>
      </c>
      <c r="C41" s="8">
        <f t="shared" si="3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8</v>
      </c>
      <c r="C42" s="8">
        <f t="shared" si="3"/>
        <v>9.0909090909090912E-2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3"/>
        <v>4.5454545454545456E-2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3"/>
        <v>1.1363636363636364E-2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1.1363636363636364E-2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3.4090909090909088E-2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6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58</v>
      </c>
      <c r="C2" s="132"/>
      <c r="E2" s="28" t="s">
        <v>66</v>
      </c>
      <c r="F2" s="25" t="s">
        <v>22</v>
      </c>
      <c r="G2" s="13">
        <v>101</v>
      </c>
      <c r="H2" s="91">
        <f>IF(B$19=0,0,G2/B$19)</f>
        <v>0.69655172413793098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170.68965517241378</v>
      </c>
      <c r="P2" s="80">
        <v>58</v>
      </c>
      <c r="Q2" s="67">
        <v>9900</v>
      </c>
    </row>
    <row r="3" spans="1:17" x14ac:dyDescent="0.45">
      <c r="A3" s="21" t="s">
        <v>8</v>
      </c>
      <c r="B3" s="133">
        <v>446</v>
      </c>
      <c r="C3" s="134"/>
      <c r="E3" s="29" t="s">
        <v>72</v>
      </c>
      <c r="F3" s="26" t="s">
        <v>27</v>
      </c>
      <c r="G3" s="14">
        <v>70</v>
      </c>
      <c r="H3" s="92">
        <f>IF(B$19=0,0,G3/B$19)</f>
        <v>0.48275862068965519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4450</v>
      </c>
      <c r="P3" s="81">
        <v>56</v>
      </c>
      <c r="Q3" s="68">
        <v>249200</v>
      </c>
    </row>
    <row r="4" spans="1:17" x14ac:dyDescent="0.45">
      <c r="A4" s="21" t="s">
        <v>6</v>
      </c>
      <c r="B4" s="135">
        <v>636.70000000000016</v>
      </c>
      <c r="C4" s="136"/>
      <c r="E4" s="29" t="s">
        <v>160</v>
      </c>
      <c r="F4" s="26" t="s">
        <v>161</v>
      </c>
      <c r="G4" s="14">
        <v>66</v>
      </c>
      <c r="H4" s="92">
        <f>IF(B$19=0,0,G4/B$19)</f>
        <v>0.45517241379310347</v>
      </c>
      <c r="I4" s="60">
        <v>4</v>
      </c>
      <c r="K4" s="7">
        <v>2</v>
      </c>
      <c r="L4" s="65">
        <v>99.6</v>
      </c>
      <c r="N4" s="78" t="s">
        <v>130</v>
      </c>
      <c r="O4" s="84">
        <f t="shared" si="0"/>
        <v>3518.867924528302</v>
      </c>
      <c r="P4" s="81">
        <v>53</v>
      </c>
      <c r="Q4" s="68">
        <v>186500</v>
      </c>
    </row>
    <row r="5" spans="1:17" x14ac:dyDescent="0.45">
      <c r="A5" s="21" t="s">
        <v>7</v>
      </c>
      <c r="B5" s="123">
        <f>IF(B$2=0,0,B$4/B$2)</f>
        <v>10.977586206896554</v>
      </c>
      <c r="C5" s="124"/>
      <c r="E5" s="29" t="s">
        <v>64</v>
      </c>
      <c r="F5" s="26" t="s">
        <v>20</v>
      </c>
      <c r="G5" s="14">
        <v>63</v>
      </c>
      <c r="H5" s="92">
        <f>IF(B$19=0,0,G5/B$19)</f>
        <v>0.43448275862068964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2308.695652173913</v>
      </c>
      <c r="P5" s="81">
        <v>46</v>
      </c>
      <c r="Q5" s="68">
        <v>106200</v>
      </c>
    </row>
    <row r="6" spans="1:17" x14ac:dyDescent="0.45">
      <c r="A6" s="21" t="s">
        <v>1</v>
      </c>
      <c r="B6" s="137">
        <f>IF(B$2=0,0,(B$7*1+B$8*2+B$9*3)/B$2)</f>
        <v>1.7586206896551724</v>
      </c>
      <c r="C6" s="138"/>
      <c r="E6" s="29" t="s">
        <v>68</v>
      </c>
      <c r="F6" s="26" t="s">
        <v>12</v>
      </c>
      <c r="G6" s="14">
        <v>58</v>
      </c>
      <c r="H6" s="92">
        <f>IF(B$19=0,0,G6/B$19)</f>
        <v>0.4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-1333.3333333333333</v>
      </c>
      <c r="P6" s="81">
        <v>42</v>
      </c>
      <c r="Q6" s="68">
        <v>-56000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0.43103448275862066</v>
      </c>
      <c r="E7" s="29" t="s">
        <v>67</v>
      </c>
      <c r="F7" s="26" t="s">
        <v>23</v>
      </c>
      <c r="G7" s="14">
        <v>36</v>
      </c>
      <c r="H7" s="92">
        <f>IF(B$19=0,0,G7/B$19)</f>
        <v>0.24827586206896551</v>
      </c>
      <c r="I7" s="60">
        <v>4</v>
      </c>
      <c r="K7" s="7">
        <v>5</v>
      </c>
      <c r="L7" s="65">
        <v>143.1</v>
      </c>
      <c r="N7" s="79" t="s">
        <v>133</v>
      </c>
      <c r="O7" s="85">
        <f t="shared" si="0"/>
        <v>1836.3636363636363</v>
      </c>
      <c r="P7" s="82">
        <v>33</v>
      </c>
      <c r="Q7" s="69">
        <v>60600</v>
      </c>
    </row>
    <row r="8" spans="1:17" x14ac:dyDescent="0.45">
      <c r="A8" s="21" t="s">
        <v>3</v>
      </c>
      <c r="B8" s="14">
        <v>22</v>
      </c>
      <c r="C8" s="8">
        <f t="shared" si="1"/>
        <v>0.37931034482758619</v>
      </c>
      <c r="E8" s="29" t="s">
        <v>69</v>
      </c>
      <c r="F8" s="26" t="s">
        <v>24</v>
      </c>
      <c r="G8" s="14">
        <v>25</v>
      </c>
      <c r="H8" s="92">
        <f>IF(B$19=0,0,G8/B$19)</f>
        <v>0.17241379310344829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0.18965517241379309</v>
      </c>
      <c r="E9" s="29" t="s">
        <v>89</v>
      </c>
      <c r="F9" s="26" t="s">
        <v>44</v>
      </c>
      <c r="G9" s="14">
        <v>25</v>
      </c>
      <c r="H9" s="92">
        <f>IF(B$19=0,0,G9/B$19)</f>
        <v>0.17241379310344829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43.295999999999992</v>
      </c>
      <c r="C10" s="114">
        <v>1082.3999999999999</v>
      </c>
      <c r="E10" s="29" t="s">
        <v>65</v>
      </c>
      <c r="F10" s="26" t="s">
        <v>21</v>
      </c>
      <c r="G10" s="14">
        <v>15</v>
      </c>
      <c r="H10" s="92">
        <f>IF(B$19=0,0,G10/B$19)</f>
        <v>0.10344827586206896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0.9111111111111112</v>
      </c>
      <c r="P10" s="80">
        <v>18</v>
      </c>
      <c r="Q10" s="71">
        <v>16.400000000000002</v>
      </c>
    </row>
    <row r="11" spans="1:17" x14ac:dyDescent="0.45">
      <c r="A11" s="22" t="s">
        <v>186</v>
      </c>
      <c r="B11" s="113">
        <f>IF(B8=0,0,C11/B8)</f>
        <v>-0.19545454545454541</v>
      </c>
      <c r="C11" s="114">
        <v>-4.2999999999999989</v>
      </c>
      <c r="E11" s="29" t="s">
        <v>71</v>
      </c>
      <c r="F11" s="26" t="s">
        <v>26</v>
      </c>
      <c r="G11" s="14">
        <v>13</v>
      </c>
      <c r="H11" s="92">
        <f>IF(B$19=0,0,G11/B$19)</f>
        <v>8.9655172413793102E-2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10.71428571428571</v>
      </c>
      <c r="P11" s="81">
        <v>21</v>
      </c>
      <c r="Q11" s="72">
        <v>224.99999999999991</v>
      </c>
    </row>
    <row r="12" spans="1:17" x14ac:dyDescent="0.45">
      <c r="A12" s="22" t="s">
        <v>187</v>
      </c>
      <c r="B12" s="113">
        <f>IF(B9=0,0,C12/B9)</f>
        <v>-40.127272727272732</v>
      </c>
      <c r="C12" s="114">
        <v>-441.40000000000003</v>
      </c>
      <c r="E12" s="29" t="s">
        <v>86</v>
      </c>
      <c r="F12" s="26" t="s">
        <v>41</v>
      </c>
      <c r="G12" s="14">
        <v>13</v>
      </c>
      <c r="H12" s="92">
        <f>IF(B$19=0,0,G12/B$19)</f>
        <v>8.9655172413793102E-2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20.805263157894743</v>
      </c>
      <c r="P12" s="82">
        <v>19</v>
      </c>
      <c r="Q12" s="73">
        <v>395.30000000000013</v>
      </c>
    </row>
    <row r="13" spans="1:17" x14ac:dyDescent="0.45">
      <c r="A13" s="22" t="s">
        <v>188</v>
      </c>
      <c r="B13" s="123">
        <f>AVERAGE(B10:B12)</f>
        <v>0.99109090909090491</v>
      </c>
      <c r="C13" s="124"/>
      <c r="E13" s="29" t="s">
        <v>70</v>
      </c>
      <c r="F13" s="26" t="s">
        <v>25</v>
      </c>
      <c r="G13" s="14">
        <v>11</v>
      </c>
      <c r="H13" s="92">
        <f>IF(B$19=0,0,G13/B$19)</f>
        <v>7.586206896551724E-2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5.1724137931034482E-2</v>
      </c>
      <c r="E14" s="29" t="s">
        <v>83</v>
      </c>
      <c r="F14" s="26" t="s">
        <v>38</v>
      </c>
      <c r="G14" s="14">
        <v>7</v>
      </c>
      <c r="H14" s="92">
        <f>IF(B$19=0,0,G14/B$19)</f>
        <v>4.8275862068965517E-2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110</v>
      </c>
      <c r="C15" s="12">
        <f>IF(B$3=0,0,B15/B$3)</f>
        <v>0.24663677130044842</v>
      </c>
      <c r="E15" s="29" t="s">
        <v>81</v>
      </c>
      <c r="F15" s="26" t="s">
        <v>36</v>
      </c>
      <c r="G15" s="14">
        <v>4</v>
      </c>
      <c r="H15" s="92">
        <f>IF(B$19=0,0,G15/B$19)</f>
        <v>2.7586206896551724E-2</v>
      </c>
      <c r="I15" s="60">
        <v>4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71</v>
      </c>
      <c r="C16" s="8">
        <f>IF(B$3=0,0,B16/B$3)</f>
        <v>0.15919282511210761</v>
      </c>
      <c r="E16" s="29" t="s">
        <v>156</v>
      </c>
      <c r="F16" s="26" t="s">
        <v>157</v>
      </c>
      <c r="G16" s="14">
        <v>4</v>
      </c>
      <c r="H16" s="92">
        <f>IF(B$19=0,0,G16/B$19)</f>
        <v>2.7586206896551724E-2</v>
      </c>
      <c r="I16" s="60">
        <v>1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69</v>
      </c>
      <c r="C17" s="6">
        <f>IF(B$15=0,0,B17/B$15)</f>
        <v>0.62727272727272732</v>
      </c>
      <c r="E17" s="29" t="s">
        <v>79</v>
      </c>
      <c r="F17" s="26" t="s">
        <v>34</v>
      </c>
      <c r="G17" s="14">
        <v>3</v>
      </c>
      <c r="H17" s="92">
        <f>IF(B$19=0,0,G17/B$19)</f>
        <v>2.0689655172413793E-2</v>
      </c>
      <c r="I17" s="60">
        <v>5</v>
      </c>
      <c r="K17" s="7">
        <v>15</v>
      </c>
      <c r="L17" s="65">
        <v>213.5</v>
      </c>
      <c r="N17" s="78" t="s">
        <v>194</v>
      </c>
      <c r="O17" s="87">
        <f>IF(P17=0,0,Q17/P17)</f>
        <v>29.900000000000009</v>
      </c>
      <c r="P17" s="81">
        <v>13</v>
      </c>
      <c r="Q17" s="72">
        <v>388.7000000000001</v>
      </c>
    </row>
    <row r="18" spans="1:17" x14ac:dyDescent="0.45">
      <c r="A18" s="20" t="s">
        <v>124</v>
      </c>
      <c r="B18" s="13">
        <f>B24</f>
        <v>36</v>
      </c>
      <c r="C18" s="6">
        <f>IF(B$16=0,0,B18/B$16)</f>
        <v>0.50704225352112675</v>
      </c>
      <c r="E18" s="29" t="s">
        <v>92</v>
      </c>
      <c r="F18" s="26" t="s">
        <v>47</v>
      </c>
      <c r="G18" s="14">
        <v>3</v>
      </c>
      <c r="H18" s="92">
        <f>IF(B$19=0,0,G18/B$19)</f>
        <v>2.0689655172413793E-2</v>
      </c>
      <c r="I18" s="60">
        <v>2</v>
      </c>
      <c r="K18" s="7">
        <v>16</v>
      </c>
      <c r="L18" s="65">
        <v>273.8</v>
      </c>
      <c r="N18" s="78" t="s">
        <v>193</v>
      </c>
      <c r="O18" s="87">
        <f>IF(P18=0,0,Q18/P18)</f>
        <v>21.374999999999996</v>
      </c>
      <c r="P18" s="81">
        <v>12</v>
      </c>
      <c r="Q18" s="72">
        <v>256.49999999999994</v>
      </c>
    </row>
    <row r="19" spans="1:17" x14ac:dyDescent="0.45">
      <c r="A19" s="20" t="s">
        <v>10</v>
      </c>
      <c r="B19" s="13">
        <f>B22+B21</f>
        <v>145</v>
      </c>
      <c r="C19" s="6">
        <f>IF(B$3=0,0,B19/B$3)</f>
        <v>0.32511210762331838</v>
      </c>
      <c r="E19" s="29" t="s">
        <v>78</v>
      </c>
      <c r="F19" s="26" t="s">
        <v>33</v>
      </c>
      <c r="G19" s="14">
        <v>2</v>
      </c>
      <c r="H19" s="92">
        <f>IF(B$19=0,0,G19/B$19)</f>
        <v>1.3793103448275862E-2</v>
      </c>
      <c r="I19" s="60">
        <v>8</v>
      </c>
      <c r="K19" s="7">
        <v>17</v>
      </c>
      <c r="L19" s="65">
        <v>242.8</v>
      </c>
      <c r="N19" s="78" t="s">
        <v>192</v>
      </c>
      <c r="O19" s="87">
        <f>IF(P19=0,0,Q19/P19)</f>
        <v>21.212500000000009</v>
      </c>
      <c r="P19" s="81">
        <v>24</v>
      </c>
      <c r="Q19" s="72">
        <v>509.10000000000019</v>
      </c>
    </row>
    <row r="20" spans="1:17" x14ac:dyDescent="0.45">
      <c r="A20" s="21" t="s">
        <v>13</v>
      </c>
      <c r="B20" s="14">
        <v>63</v>
      </c>
      <c r="C20" s="8">
        <f>IF(B$3=0,0,B20/B$3)</f>
        <v>0.14125560538116591</v>
      </c>
      <c r="E20" s="29" t="s">
        <v>91</v>
      </c>
      <c r="F20" s="26" t="s">
        <v>46</v>
      </c>
      <c r="G20" s="14">
        <v>2</v>
      </c>
      <c r="H20" s="92">
        <f>IF(B$19=0,0,G20/B$19)</f>
        <v>1.3793103448275862E-2</v>
      </c>
      <c r="I20" s="60">
        <v>5</v>
      </c>
      <c r="K20" s="7">
        <v>18</v>
      </c>
      <c r="L20" s="65">
        <v>280</v>
      </c>
      <c r="N20" s="78" t="s">
        <v>164</v>
      </c>
      <c r="O20" s="87">
        <f>IF(P20=0,0,Q20/P20)</f>
        <v>12.633333333333329</v>
      </c>
      <c r="P20" s="81">
        <v>33</v>
      </c>
      <c r="Q20" s="72">
        <v>416.89999999999986</v>
      </c>
    </row>
    <row r="21" spans="1:17" x14ac:dyDescent="0.45">
      <c r="A21" s="21" t="s">
        <v>12</v>
      </c>
      <c r="B21" s="14">
        <v>75</v>
      </c>
      <c r="C21" s="8">
        <f>IF(B$19=0,0,B21/B$19)</f>
        <v>0.51724137931034486</v>
      </c>
      <c r="E21" s="29" t="s">
        <v>93</v>
      </c>
      <c r="F21" s="26" t="s">
        <v>48</v>
      </c>
      <c r="G21" s="14">
        <v>2</v>
      </c>
      <c r="H21" s="92">
        <f>IF(B$19=0,0,G21/B$19)</f>
        <v>1.3793103448275862E-2</v>
      </c>
      <c r="I21" s="60">
        <v>1</v>
      </c>
      <c r="K21" s="7">
        <v>19</v>
      </c>
      <c r="L21" s="65">
        <v>281.5</v>
      </c>
      <c r="N21" s="78" t="s">
        <v>213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70</v>
      </c>
      <c r="C22" s="8">
        <f>IF(B$19=0,0,B22/B$19)</f>
        <v>0.48275862068965519</v>
      </c>
      <c r="E22" s="29" t="s">
        <v>73</v>
      </c>
      <c r="F22" s="26" t="s">
        <v>28</v>
      </c>
      <c r="G22" s="14">
        <v>1</v>
      </c>
      <c r="H22" s="92">
        <f>IF(B$19=0,0,G22/B$19)</f>
        <v>6.8965517241379309E-3</v>
      </c>
      <c r="I22" s="60">
        <v>2</v>
      </c>
      <c r="K22" s="7">
        <v>20</v>
      </c>
      <c r="L22" s="65">
        <v>287.2</v>
      </c>
      <c r="N22" s="78" t="s">
        <v>205</v>
      </c>
      <c r="O22" s="87">
        <f>IF(P22=0,0,Q22/P22)</f>
        <v>2.7352941176470584</v>
      </c>
      <c r="P22" s="81">
        <v>17</v>
      </c>
      <c r="Q22" s="72">
        <v>46.499999999999993</v>
      </c>
    </row>
    <row r="23" spans="1:17" x14ac:dyDescent="0.45">
      <c r="A23" s="21" t="s">
        <v>184</v>
      </c>
      <c r="B23" s="14">
        <v>69</v>
      </c>
      <c r="C23" s="8">
        <f>IF(B$19=0,0,B23/B$19)</f>
        <v>0.47586206896551725</v>
      </c>
      <c r="E23" s="29" t="s">
        <v>84</v>
      </c>
      <c r="F23" s="26" t="s">
        <v>39</v>
      </c>
      <c r="G23" s="14">
        <v>1</v>
      </c>
      <c r="H23" s="92">
        <f>IF(B$19=0,0,G23/B$19)</f>
        <v>6.8965517241379309E-3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36</v>
      </c>
      <c r="C24" s="8">
        <f>IF(B$19=0,0,B24/B$19)</f>
        <v>0.24827586206896551</v>
      </c>
      <c r="E24" s="29" t="s">
        <v>87</v>
      </c>
      <c r="F24" s="26" t="s">
        <v>42</v>
      </c>
      <c r="G24" s="14">
        <v>1</v>
      </c>
      <c r="H24" s="92">
        <f>IF(B$19=0,0,G24/B$19)</f>
        <v>6.8965517241379309E-3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40</v>
      </c>
      <c r="C25" s="8">
        <f>IF(B$19=0,0,B25/B$19)</f>
        <v>0.27586206896551724</v>
      </c>
      <c r="E25" s="29" t="s">
        <v>95</v>
      </c>
      <c r="F25" s="26" t="s">
        <v>50</v>
      </c>
      <c r="G25" s="14">
        <v>1</v>
      </c>
      <c r="H25" s="92">
        <f>IF(B$19=0,0,G25/B$19)</f>
        <v>6.8965517241379309E-3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10022.068965517241</v>
      </c>
      <c r="C26" s="10">
        <v>1453200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10306.422018348623</v>
      </c>
      <c r="C27" s="100">
        <v>1123400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9161.1111111111113</v>
      </c>
      <c r="C28" s="100">
        <v>329800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-8461.9047619047615</v>
      </c>
      <c r="C29" s="100">
        <v>-533100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10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4.8275862068965517E-2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2"/>
        <v>0.15862068965517243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22</v>
      </c>
      <c r="C38" s="8">
        <f t="shared" si="2"/>
        <v>0.15172413793103448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2"/>
        <v>0.2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0.18620689655172415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12</v>
      </c>
      <c r="C41" s="8">
        <f t="shared" si="2"/>
        <v>8.2758620689655171E-2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7</v>
      </c>
      <c r="C42" s="8">
        <f t="shared" si="2"/>
        <v>4.8275862068965517E-2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4</v>
      </c>
      <c r="C43" s="8">
        <f t="shared" si="2"/>
        <v>2.7586206896551724E-2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2.7586206896551724E-2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2.0689655172413793E-2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6.8965517241379309E-3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4.1379310344827586E-2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66</v>
      </c>
      <c r="F2" s="25" t="s">
        <v>22</v>
      </c>
      <c r="G2" s="13">
        <v>40</v>
      </c>
      <c r="H2" s="91">
        <f>IF(B$19=0,0,G2/B$19)</f>
        <v>0.75471698113207553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-3892.3076923076924</v>
      </c>
      <c r="P2" s="80">
        <v>26</v>
      </c>
      <c r="Q2" s="67">
        <v>-101200</v>
      </c>
    </row>
    <row r="3" spans="1:17" x14ac:dyDescent="0.45">
      <c r="A3" s="21" t="s">
        <v>8</v>
      </c>
      <c r="B3" s="133">
        <v>197</v>
      </c>
      <c r="C3" s="134"/>
      <c r="E3" s="29" t="s">
        <v>72</v>
      </c>
      <c r="F3" s="26" t="s">
        <v>27</v>
      </c>
      <c r="G3" s="14">
        <v>30</v>
      </c>
      <c r="H3" s="92">
        <f>IF(B$19=0,0,G3/B$19)</f>
        <v>0.56603773584905659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1528</v>
      </c>
      <c r="P3" s="81">
        <v>25</v>
      </c>
      <c r="Q3" s="68">
        <v>38200</v>
      </c>
    </row>
    <row r="4" spans="1:17" x14ac:dyDescent="0.45">
      <c r="A4" s="21" t="s">
        <v>6</v>
      </c>
      <c r="B4" s="135">
        <v>-260.29999999999995</v>
      </c>
      <c r="C4" s="136"/>
      <c r="E4" s="29" t="s">
        <v>160</v>
      </c>
      <c r="F4" s="26" t="s">
        <v>161</v>
      </c>
      <c r="G4" s="14">
        <v>27</v>
      </c>
      <c r="H4" s="92">
        <f>IF(B$19=0,0,G4/B$19)</f>
        <v>0.50943396226415094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-3573.913043478261</v>
      </c>
      <c r="P4" s="81">
        <v>23</v>
      </c>
      <c r="Q4" s="68">
        <v>-82200</v>
      </c>
    </row>
    <row r="5" spans="1:17" x14ac:dyDescent="0.45">
      <c r="A5" s="21" t="s">
        <v>7</v>
      </c>
      <c r="B5" s="123">
        <f>IF(B$2=0,0,B$4/B$2)</f>
        <v>-10.011538461538461</v>
      </c>
      <c r="C5" s="124"/>
      <c r="E5" s="29" t="s">
        <v>64</v>
      </c>
      <c r="F5" s="26" t="s">
        <v>20</v>
      </c>
      <c r="G5" s="14">
        <v>22</v>
      </c>
      <c r="H5" s="92">
        <f>IF(B$19=0,0,G5/B$19)</f>
        <v>0.41509433962264153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-457.89473684210526</v>
      </c>
      <c r="P5" s="81">
        <v>19</v>
      </c>
      <c r="Q5" s="68">
        <v>-8700</v>
      </c>
    </row>
    <row r="6" spans="1:17" x14ac:dyDescent="0.45">
      <c r="A6" s="21" t="s">
        <v>1</v>
      </c>
      <c r="B6" s="137">
        <f>IF(B$2=0,0,(B$7*1+B$8*2+B$9*3)/B$2)</f>
        <v>2.3076923076923075</v>
      </c>
      <c r="C6" s="138"/>
      <c r="E6" s="29" t="s">
        <v>68</v>
      </c>
      <c r="F6" s="26" t="s">
        <v>12</v>
      </c>
      <c r="G6" s="14">
        <v>15</v>
      </c>
      <c r="H6" s="92">
        <f>IF(B$19=0,0,G6/B$19)</f>
        <v>0.28301886792452829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1473.3333333333333</v>
      </c>
      <c r="P6" s="81">
        <v>15</v>
      </c>
      <c r="Q6" s="68">
        <v>22100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0.19230769230769232</v>
      </c>
      <c r="E7" s="29" t="s">
        <v>67</v>
      </c>
      <c r="F7" s="26" t="s">
        <v>23</v>
      </c>
      <c r="G7" s="14">
        <v>9</v>
      </c>
      <c r="H7" s="92">
        <f>IF(B$19=0,0,G7/B$19)</f>
        <v>0.16981132075471697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-4370</v>
      </c>
      <c r="P7" s="82">
        <v>10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0.30769230769230771</v>
      </c>
      <c r="E8" s="29" t="s">
        <v>89</v>
      </c>
      <c r="F8" s="26" t="s">
        <v>44</v>
      </c>
      <c r="G8" s="14">
        <v>7</v>
      </c>
      <c r="H8" s="92">
        <f>IF(B$19=0,0,G8/B$19)</f>
        <v>0.13207547169811321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0.5</v>
      </c>
      <c r="E9" s="29" t="s">
        <v>69</v>
      </c>
      <c r="F9" s="26" t="s">
        <v>24</v>
      </c>
      <c r="G9" s="14">
        <v>6</v>
      </c>
      <c r="H9" s="92">
        <f>IF(B$19=0,0,G9/B$19)</f>
        <v>0.11320754716981132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51.679999999999993</v>
      </c>
      <c r="C10" s="114">
        <v>258.39999999999998</v>
      </c>
      <c r="E10" s="29" t="s">
        <v>70</v>
      </c>
      <c r="F10" s="26" t="s">
        <v>25</v>
      </c>
      <c r="G10" s="14">
        <v>6</v>
      </c>
      <c r="H10" s="92">
        <f>IF(B$19=0,0,G10/B$19)</f>
        <v>0.11320754716981132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-36.385714285714286</v>
      </c>
      <c r="P10" s="80">
        <v>7</v>
      </c>
      <c r="Q10" s="71">
        <v>-254.7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65</v>
      </c>
      <c r="F11" s="26" t="s">
        <v>21</v>
      </c>
      <c r="G11" s="14">
        <v>4</v>
      </c>
      <c r="H11" s="92">
        <f>IF(B$19=0,0,G11/B$19)</f>
        <v>7.5471698113207544E-2</v>
      </c>
      <c r="I11" s="60">
        <v>9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-37.207692307692305</v>
      </c>
      <c r="C12" s="114">
        <v>-483.7</v>
      </c>
      <c r="E12" s="29" t="s">
        <v>86</v>
      </c>
      <c r="F12" s="26" t="s">
        <v>41</v>
      </c>
      <c r="G12" s="14">
        <v>3</v>
      </c>
      <c r="H12" s="92">
        <f>IF(B$19=0,0,G12/B$19)</f>
        <v>5.6603773584905662E-2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13.262499999999999</v>
      </c>
      <c r="P12" s="82">
        <v>8</v>
      </c>
      <c r="Q12" s="73">
        <v>106.1</v>
      </c>
    </row>
    <row r="13" spans="1:17" x14ac:dyDescent="0.45">
      <c r="A13" s="22" t="s">
        <v>188</v>
      </c>
      <c r="B13" s="123">
        <f>AVERAGE(B10:B12)</f>
        <v>3.3657692307692293</v>
      </c>
      <c r="C13" s="124"/>
      <c r="E13" s="29" t="s">
        <v>71</v>
      </c>
      <c r="F13" s="26" t="s">
        <v>26</v>
      </c>
      <c r="G13" s="14">
        <v>2</v>
      </c>
      <c r="H13" s="92">
        <f>IF(B$19=0,0,G13/B$19)</f>
        <v>3.7735849056603772E-2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1</v>
      </c>
      <c r="H14" s="92">
        <f>IF(B$19=0,0,G14/B$19)</f>
        <v>1.8867924528301886E-2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44</v>
      </c>
      <c r="C15" s="12">
        <f>IF(B$3=0,0,B15/B$3)</f>
        <v>0.2233502538071066</v>
      </c>
      <c r="E15" s="29" t="s">
        <v>81</v>
      </c>
      <c r="F15" s="26" t="s">
        <v>36</v>
      </c>
      <c r="G15" s="14">
        <v>1</v>
      </c>
      <c r="H15" s="92">
        <f>IF(B$19=0,0,G15/B$19)</f>
        <v>1.8867924528301886E-2</v>
      </c>
      <c r="I15" s="60">
        <v>7</v>
      </c>
      <c r="K15" s="7">
        <v>13</v>
      </c>
      <c r="L15" s="65">
        <v>-280.59999999999997</v>
      </c>
      <c r="N15" s="77" t="s">
        <v>164</v>
      </c>
      <c r="O15" s="86">
        <f>IF(P15=0,0,Q15/P15)</f>
        <v>32.20000000000001</v>
      </c>
      <c r="P15" s="80">
        <v>6</v>
      </c>
      <c r="Q15" s="71">
        <v>193.20000000000005</v>
      </c>
    </row>
    <row r="16" spans="1:17" x14ac:dyDescent="0.45">
      <c r="A16" s="21" t="s">
        <v>118</v>
      </c>
      <c r="B16" s="14">
        <v>28</v>
      </c>
      <c r="C16" s="8">
        <f>IF(B$3=0,0,B16/B$3)</f>
        <v>0.14213197969543148</v>
      </c>
      <c r="E16" s="29" t="s">
        <v>87</v>
      </c>
      <c r="F16" s="26" t="s">
        <v>42</v>
      </c>
      <c r="G16" s="14">
        <v>1</v>
      </c>
      <c r="H16" s="92">
        <f>IF(B$19=0,0,G16/B$19)</f>
        <v>1.8867924528301886E-2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5.1285714285714308</v>
      </c>
      <c r="P16" s="81">
        <v>7</v>
      </c>
      <c r="Q16" s="72">
        <v>35.900000000000013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0.47727272727272729</v>
      </c>
      <c r="E17" s="29" t="s">
        <v>91</v>
      </c>
      <c r="F17" s="26" t="s">
        <v>46</v>
      </c>
      <c r="G17" s="14">
        <v>1</v>
      </c>
      <c r="H17" s="92">
        <f>IF(B$19=0,0,G17/B$19)</f>
        <v>1.8867924528301886E-2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16</v>
      </c>
      <c r="C18" s="6">
        <f>IF(B$16=0,0,B18/B$16)</f>
        <v>0.5714285714285714</v>
      </c>
      <c r="E18" s="29" t="s">
        <v>92</v>
      </c>
      <c r="F18" s="26" t="s">
        <v>47</v>
      </c>
      <c r="G18" s="14">
        <v>1</v>
      </c>
      <c r="H18" s="92">
        <f>IF(B$19=0,0,G18/B$19)</f>
        <v>1.8867924528301886E-2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53</v>
      </c>
      <c r="C19" s="6">
        <f>IF(B$3=0,0,B19/B$3)</f>
        <v>0.26903553299492383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-29.900000000000009</v>
      </c>
      <c r="P19" s="81">
        <v>13</v>
      </c>
      <c r="Q19" s="72">
        <v>-388.7000000000001</v>
      </c>
    </row>
    <row r="20" spans="1:17" x14ac:dyDescent="0.45">
      <c r="A20" s="21" t="s">
        <v>13</v>
      </c>
      <c r="B20" s="14">
        <v>35</v>
      </c>
      <c r="C20" s="8">
        <f>IF(B$3=0,0,B20/B$3)</f>
        <v>0.17766497461928935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23</v>
      </c>
      <c r="C21" s="8">
        <f>IF(B$19=0,0,B21/B$19)</f>
        <v>0.43396226415094341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30</v>
      </c>
      <c r="C22" s="8">
        <f>IF(B$19=0,0,B22/B$19)</f>
        <v>0.56603773584905659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21</v>
      </c>
      <c r="C23" s="8">
        <f>IF(B$19=0,0,B23/B$19)</f>
        <v>0.39622641509433965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16</v>
      </c>
      <c r="C24" s="8">
        <f>IF(B$19=0,0,B24/B$19)</f>
        <v>0.30188679245283018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16</v>
      </c>
      <c r="C25" s="8">
        <f>IF(B$19=0,0,B25/B$19)</f>
        <v>0.30188679245283018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8022.6415094339627</v>
      </c>
      <c r="C26" s="10">
        <v>425200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9262.1621621621616</v>
      </c>
      <c r="C27" s="100">
        <v>342700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5156.25</v>
      </c>
      <c r="C28" s="100">
        <v>82500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-7828.5714285714284</v>
      </c>
      <c r="C29" s="100">
        <v>-274000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7</v>
      </c>
      <c r="C36" s="102">
        <f t="shared" ref="C36:C48" si="2">IF(B$19=0,0,B36/B$19)</f>
        <v>0.13207547169811321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10</v>
      </c>
      <c r="C37" s="8">
        <f t="shared" si="2"/>
        <v>0.18867924528301888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2"/>
        <v>0.20754716981132076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2"/>
        <v>0.11320754716981132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9.4339622641509441E-2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2"/>
        <v>0.16981132075471697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3.7735849056603772E-2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1.8867924528301886E-2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1.8867924528301886E-2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1.8867924528301886E-2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44</v>
      </c>
      <c r="C2" s="132"/>
      <c r="E2" s="28" t="s">
        <v>72</v>
      </c>
      <c r="F2" s="25" t="s">
        <v>27</v>
      </c>
      <c r="G2" s="13">
        <v>63</v>
      </c>
      <c r="H2" s="91">
        <f>IF(B$19=0,0,G2/B$19)</f>
        <v>0.64948453608247425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744.18604651162786</v>
      </c>
      <c r="P2" s="80">
        <v>43</v>
      </c>
      <c r="Q2" s="67">
        <v>32000</v>
      </c>
    </row>
    <row r="3" spans="1:17" x14ac:dyDescent="0.45">
      <c r="A3" s="21" t="s">
        <v>8</v>
      </c>
      <c r="B3" s="133">
        <v>349</v>
      </c>
      <c r="C3" s="134"/>
      <c r="E3" s="29" t="s">
        <v>66</v>
      </c>
      <c r="F3" s="26" t="s">
        <v>22</v>
      </c>
      <c r="G3" s="14">
        <v>57</v>
      </c>
      <c r="H3" s="92">
        <f>IF(B$19=0,0,G3/B$19)</f>
        <v>0.58762886597938147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-958.1395348837209</v>
      </c>
      <c r="P3" s="81">
        <v>43</v>
      </c>
      <c r="Q3" s="68">
        <v>-41200</v>
      </c>
    </row>
    <row r="4" spans="1:17" x14ac:dyDescent="0.45">
      <c r="A4" s="21" t="s">
        <v>6</v>
      </c>
      <c r="B4" s="135">
        <v>-94.799999999999969</v>
      </c>
      <c r="C4" s="136"/>
      <c r="E4" s="29" t="s">
        <v>64</v>
      </c>
      <c r="F4" s="26" t="s">
        <v>20</v>
      </c>
      <c r="G4" s="14">
        <v>45</v>
      </c>
      <c r="H4" s="92">
        <f>IF(B$19=0,0,G4/B$19)</f>
        <v>0.46391752577319589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-1320.9302325581396</v>
      </c>
      <c r="P4" s="81">
        <v>43</v>
      </c>
      <c r="Q4" s="68">
        <v>-56800</v>
      </c>
    </row>
    <row r="5" spans="1:17" x14ac:dyDescent="0.45">
      <c r="A5" s="21" t="s">
        <v>7</v>
      </c>
      <c r="B5" s="123">
        <f>IF(B$2=0,0,B$4/B$2)</f>
        <v>-2.1545454545454539</v>
      </c>
      <c r="C5" s="124"/>
      <c r="E5" s="29" t="s">
        <v>160</v>
      </c>
      <c r="F5" s="26" t="s">
        <v>161</v>
      </c>
      <c r="G5" s="14">
        <v>38</v>
      </c>
      <c r="H5" s="92">
        <f>IF(B$19=0,0,G5/B$19)</f>
        <v>0.39175257731958762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1110</v>
      </c>
      <c r="P5" s="81">
        <v>40</v>
      </c>
      <c r="Q5" s="68">
        <v>44400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26</v>
      </c>
      <c r="H6" s="92">
        <f>IF(B$19=0,0,G6/B$19)</f>
        <v>0.26804123711340205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-1608.8235294117646</v>
      </c>
      <c r="P6" s="81">
        <v>34</v>
      </c>
      <c r="Q6" s="68">
        <v>-54700</v>
      </c>
    </row>
    <row r="7" spans="1:17" x14ac:dyDescent="0.45">
      <c r="A7" s="21" t="s">
        <v>2</v>
      </c>
      <c r="B7" s="14">
        <v>13</v>
      </c>
      <c r="C7" s="8">
        <f t="shared" ref="C7:C14" si="1">IF(B$2=0,0,B7/B$2)</f>
        <v>0.29545454545454547</v>
      </c>
      <c r="E7" s="29" t="s">
        <v>68</v>
      </c>
      <c r="F7" s="26" t="s">
        <v>12</v>
      </c>
      <c r="G7" s="14">
        <v>24</v>
      </c>
      <c r="H7" s="92">
        <f>IF(B$19=0,0,G7/B$19)</f>
        <v>0.24742268041237114</v>
      </c>
      <c r="I7" s="60">
        <v>8</v>
      </c>
      <c r="K7" s="7">
        <v>5</v>
      </c>
      <c r="L7" s="65">
        <v>-96.5</v>
      </c>
      <c r="N7" s="79" t="s">
        <v>133</v>
      </c>
      <c r="O7" s="85">
        <f t="shared" si="0"/>
        <v>216.66666666666666</v>
      </c>
      <c r="P7" s="82">
        <v>24</v>
      </c>
      <c r="Q7" s="69">
        <v>5200</v>
      </c>
    </row>
    <row r="8" spans="1:17" x14ac:dyDescent="0.45">
      <c r="A8" s="21" t="s">
        <v>3</v>
      </c>
      <c r="B8" s="14">
        <v>18</v>
      </c>
      <c r="C8" s="8">
        <f t="shared" si="1"/>
        <v>0.40909090909090912</v>
      </c>
      <c r="E8" s="29" t="s">
        <v>89</v>
      </c>
      <c r="F8" s="26" t="s">
        <v>44</v>
      </c>
      <c r="G8" s="14">
        <v>13</v>
      </c>
      <c r="H8" s="92">
        <f>IF(B$19=0,0,G8/B$19)</f>
        <v>0.13402061855670103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0.29545454545454547</v>
      </c>
      <c r="E9" s="29" t="s">
        <v>69</v>
      </c>
      <c r="F9" s="26" t="s">
        <v>24</v>
      </c>
      <c r="G9" s="14">
        <v>10</v>
      </c>
      <c r="H9" s="92">
        <f>IF(B$19=0,0,G9/B$19)</f>
        <v>0.10309278350515463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36.746153846153845</v>
      </c>
      <c r="C10" s="114">
        <v>477.7</v>
      </c>
      <c r="E10" s="29" t="s">
        <v>71</v>
      </c>
      <c r="F10" s="26" t="s">
        <v>26</v>
      </c>
      <c r="G10" s="14">
        <v>8</v>
      </c>
      <c r="H10" s="92">
        <f>IF(B$19=0,0,G10/B$19)</f>
        <v>8.247422680412371E-2</v>
      </c>
      <c r="I10" s="60">
        <v>4</v>
      </c>
      <c r="K10" s="7">
        <v>8</v>
      </c>
      <c r="L10" s="65">
        <v>-28.3</v>
      </c>
      <c r="N10" s="77" t="s">
        <v>152</v>
      </c>
      <c r="O10" s="86">
        <f>IF(P10=0,0,Q10/P10)</f>
        <v>-7.3500000000000005</v>
      </c>
      <c r="P10" s="80">
        <v>14</v>
      </c>
      <c r="Q10" s="71">
        <v>-102.9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65</v>
      </c>
      <c r="F11" s="26" t="s">
        <v>21</v>
      </c>
      <c r="G11" s="14">
        <v>7</v>
      </c>
      <c r="H11" s="92">
        <f>IF(B$19=0,0,G11/B$19)</f>
        <v>7.2164948453608241E-2</v>
      </c>
      <c r="I11" s="60">
        <v>10</v>
      </c>
      <c r="K11" s="7">
        <v>9</v>
      </c>
      <c r="L11" s="65">
        <v>-20.3</v>
      </c>
      <c r="N11" s="78" t="s">
        <v>153</v>
      </c>
      <c r="O11" s="87">
        <f>IF(P11=0,0,Q11/P11)</f>
        <v>-4.40625</v>
      </c>
      <c r="P11" s="81">
        <v>16</v>
      </c>
      <c r="Q11" s="72">
        <v>-70.5</v>
      </c>
    </row>
    <row r="12" spans="1:17" x14ac:dyDescent="0.45">
      <c r="A12" s="22" t="s">
        <v>187</v>
      </c>
      <c r="B12" s="113">
        <f>IF(B9=0,0,C12/B9)</f>
        <v>-38.715384615384615</v>
      </c>
      <c r="C12" s="114">
        <v>-503.3</v>
      </c>
      <c r="E12" s="29" t="s">
        <v>83</v>
      </c>
      <c r="F12" s="26" t="s">
        <v>38</v>
      </c>
      <c r="G12" s="14">
        <v>7</v>
      </c>
      <c r="H12" s="92">
        <f>IF(B$19=0,0,G12/B$19)</f>
        <v>7.2164948453608241E-2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-1.9378917378917369</v>
      </c>
      <c r="C13" s="124"/>
      <c r="E13" s="29" t="s">
        <v>70</v>
      </c>
      <c r="F13" s="26" t="s">
        <v>25</v>
      </c>
      <c r="G13" s="14">
        <v>5</v>
      </c>
      <c r="H13" s="92">
        <f>IF(B$19=0,0,G13/B$19)</f>
        <v>5.1546391752577317E-2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9.0909090909090912E-2</v>
      </c>
      <c r="E14" s="29" t="s">
        <v>79</v>
      </c>
      <c r="F14" s="26" t="s">
        <v>34</v>
      </c>
      <c r="G14" s="14">
        <v>5</v>
      </c>
      <c r="H14" s="92">
        <f>IF(B$19=0,0,G14/B$19)</f>
        <v>5.1546391752577317E-2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87</v>
      </c>
      <c r="C15" s="12">
        <f>IF(B$3=0,0,B15/B$3)</f>
        <v>0.24928366762177651</v>
      </c>
      <c r="E15" s="29" t="s">
        <v>78</v>
      </c>
      <c r="F15" s="26" t="s">
        <v>33</v>
      </c>
      <c r="G15" s="14">
        <v>4</v>
      </c>
      <c r="H15" s="92">
        <f>IF(B$19=0,0,G15/B$19)</f>
        <v>4.1237113402061855E-2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85</v>
      </c>
      <c r="C16" s="8">
        <f>IF(B$3=0,0,B16/B$3)</f>
        <v>0.24355300859598855</v>
      </c>
      <c r="E16" s="29" t="s">
        <v>91</v>
      </c>
      <c r="F16" s="26" t="s">
        <v>46</v>
      </c>
      <c r="G16" s="14">
        <v>3</v>
      </c>
      <c r="H16" s="92">
        <f>IF(B$19=0,0,G16/B$19)</f>
        <v>3.0927835051546393E-2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47</v>
      </c>
      <c r="C17" s="6">
        <f>IF(B$15=0,0,B17/B$15)</f>
        <v>0.54022988505747127</v>
      </c>
      <c r="E17" s="29" t="s">
        <v>81</v>
      </c>
      <c r="F17" s="26" t="s">
        <v>36</v>
      </c>
      <c r="G17" s="14">
        <v>2</v>
      </c>
      <c r="H17" s="92">
        <f>IF(B$19=0,0,G17/B$19)</f>
        <v>2.0618556701030927E-2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 t="shared" si="2"/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31</v>
      </c>
      <c r="C18" s="6">
        <f>IF(B$16=0,0,B18/B$16)</f>
        <v>0.36470588235294116</v>
      </c>
      <c r="E18" s="29" t="s">
        <v>86</v>
      </c>
      <c r="F18" s="26" t="s">
        <v>41</v>
      </c>
      <c r="G18" s="14">
        <v>2</v>
      </c>
      <c r="H18" s="92">
        <f>IF(B$19=0,0,G18/B$19)</f>
        <v>2.0618556701030927E-2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 t="shared" si="2"/>
        <v>0.53750000000000053</v>
      </c>
      <c r="P18" s="81">
        <v>8</v>
      </c>
      <c r="Q18" s="72">
        <v>4.3000000000000043</v>
      </c>
    </row>
    <row r="19" spans="1:17" x14ac:dyDescent="0.45">
      <c r="A19" s="20" t="s">
        <v>10</v>
      </c>
      <c r="B19" s="13">
        <f>B22+B21</f>
        <v>97</v>
      </c>
      <c r="C19" s="6">
        <f>IF(B$3=0,0,B19/B$3)</f>
        <v>0.27793696275071633</v>
      </c>
      <c r="E19" s="29" t="s">
        <v>85</v>
      </c>
      <c r="F19" s="26" t="s">
        <v>40</v>
      </c>
      <c r="G19" s="14">
        <v>1</v>
      </c>
      <c r="H19" s="92">
        <f>IF(B$19=0,0,G19/B$19)</f>
        <v>1.0309278350515464E-2</v>
      </c>
      <c r="I19" s="60">
        <v>2</v>
      </c>
      <c r="K19" s="7">
        <v>17</v>
      </c>
      <c r="L19" s="65">
        <v>-149.1</v>
      </c>
      <c r="N19" s="78" t="s">
        <v>164</v>
      </c>
      <c r="O19" s="87">
        <f t="shared" si="2"/>
        <v>-6.9411764705882337</v>
      </c>
      <c r="P19" s="81">
        <v>17</v>
      </c>
      <c r="Q19" s="72">
        <v>-117.99999999999997</v>
      </c>
    </row>
    <row r="20" spans="1:17" x14ac:dyDescent="0.45">
      <c r="A20" s="21" t="s">
        <v>13</v>
      </c>
      <c r="B20" s="14">
        <v>40</v>
      </c>
      <c r="C20" s="8">
        <f>IF(B$3=0,0,B20/B$3)</f>
        <v>0.11461318051575932</v>
      </c>
      <c r="E20" s="29" t="s">
        <v>92</v>
      </c>
      <c r="F20" s="26" t="s">
        <v>47</v>
      </c>
      <c r="G20" s="14">
        <v>1</v>
      </c>
      <c r="H20" s="92">
        <f>IF(B$19=0,0,G20/B$19)</f>
        <v>1.0309278350515464E-2</v>
      </c>
      <c r="I20" s="60">
        <v>6</v>
      </c>
      <c r="K20" s="7">
        <v>18</v>
      </c>
      <c r="L20" s="65">
        <v>-201.89999999999998</v>
      </c>
      <c r="N20" s="78" t="s">
        <v>196</v>
      </c>
      <c r="O20" s="87">
        <f t="shared" si="2"/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39</v>
      </c>
      <c r="C21" s="8">
        <f>IF(B$19=0,0,B21/B$19)</f>
        <v>0.40206185567010311</v>
      </c>
      <c r="E21" s="29" t="s">
        <v>156</v>
      </c>
      <c r="F21" s="26" t="s">
        <v>157</v>
      </c>
      <c r="G21" s="14">
        <v>1</v>
      </c>
      <c r="H21" s="92">
        <f>IF(B$19=0,0,G21/B$19)</f>
        <v>1.0309278350515464E-2</v>
      </c>
      <c r="I21" s="60">
        <v>5</v>
      </c>
      <c r="K21" s="7">
        <v>19</v>
      </c>
      <c r="L21" s="65">
        <v>-152.39999999999998</v>
      </c>
      <c r="N21" s="78" t="s">
        <v>126</v>
      </c>
      <c r="O21" s="87">
        <f t="shared" si="2"/>
        <v>-21.212500000000009</v>
      </c>
      <c r="P21" s="81">
        <v>24</v>
      </c>
      <c r="Q21" s="72">
        <v>-509.10000000000019</v>
      </c>
    </row>
    <row r="22" spans="1:17" x14ac:dyDescent="0.45">
      <c r="A22" s="21" t="s">
        <v>11</v>
      </c>
      <c r="B22" s="14">
        <v>58</v>
      </c>
      <c r="C22" s="8">
        <f>IF(B$19=0,0,B22/B$19)</f>
        <v>0.59793814432989689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47</v>
      </c>
      <c r="C23" s="8">
        <f>IF(B$19=0,0,B23/B$19)</f>
        <v>0.4845360824742268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31</v>
      </c>
      <c r="C24" s="8">
        <f>IF(B$19=0,0,B24/B$19)</f>
        <v>0.31958762886597936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19</v>
      </c>
      <c r="C25" s="8">
        <f>IF(B$19=0,0,B25/B$19)</f>
        <v>0.19587628865979381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7615.4639175257735</v>
      </c>
      <c r="C26" s="10">
        <v>738700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7871.212121212121</v>
      </c>
      <c r="C27" s="100">
        <v>519500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7070.9677419354839</v>
      </c>
      <c r="C28" s="100">
        <v>219200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-7855</v>
      </c>
      <c r="C29" s="100">
        <v>-314200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9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0.1134020618556701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16</v>
      </c>
      <c r="C37" s="8">
        <f t="shared" si="3"/>
        <v>0.16494845360824742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27</v>
      </c>
      <c r="C38" s="8">
        <f t="shared" si="3"/>
        <v>0.27835051546391754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14</v>
      </c>
      <c r="C39" s="8">
        <f t="shared" si="3"/>
        <v>0.14432989690721648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8</v>
      </c>
      <c r="C40" s="8">
        <f t="shared" si="3"/>
        <v>8.247422680412371E-2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3"/>
        <v>4.1237113402061855E-2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3"/>
        <v>8.247422680412371E-2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3.0927835051546393E-2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2.0618556701030927E-2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3"/>
        <v>2.0618556701030927E-2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1.0309278350515464E-2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1.0309278350515464E-2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6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2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20</v>
      </c>
      <c r="C2" s="132"/>
      <c r="E2" s="28" t="s">
        <v>66</v>
      </c>
      <c r="F2" s="25" t="s">
        <v>22</v>
      </c>
      <c r="G2" s="13">
        <v>48</v>
      </c>
      <c r="H2" s="91">
        <f>IF(B$19=0,0,G2/B$19)</f>
        <v>0.94117647058823528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3370</v>
      </c>
      <c r="P2" s="80">
        <v>20</v>
      </c>
      <c r="Q2" s="67">
        <v>67400</v>
      </c>
    </row>
    <row r="3" spans="1:17" x14ac:dyDescent="0.45">
      <c r="A3" s="21" t="s">
        <v>8</v>
      </c>
      <c r="B3" s="133">
        <v>151</v>
      </c>
      <c r="C3" s="134"/>
      <c r="E3" s="29" t="s">
        <v>72</v>
      </c>
      <c r="F3" s="26" t="s">
        <v>27</v>
      </c>
      <c r="G3" s="14">
        <v>35</v>
      </c>
      <c r="H3" s="92">
        <f>IF(B$19=0,0,G3/B$19)</f>
        <v>0.68627450980392157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-6278.9473684210525</v>
      </c>
      <c r="P3" s="81">
        <v>19</v>
      </c>
      <c r="Q3" s="68">
        <v>-119300</v>
      </c>
    </row>
    <row r="4" spans="1:17" x14ac:dyDescent="0.45">
      <c r="A4" s="21" t="s">
        <v>6</v>
      </c>
      <c r="B4" s="135">
        <v>-26.70000000000001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0.33333333333333331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-650</v>
      </c>
      <c r="P4" s="81">
        <v>18</v>
      </c>
      <c r="Q4" s="68">
        <v>-11700</v>
      </c>
    </row>
    <row r="5" spans="1:17" x14ac:dyDescent="0.45">
      <c r="A5" s="21" t="s">
        <v>7</v>
      </c>
      <c r="B5" s="123">
        <f>IF(B$2=0,0,B$4/B$2)</f>
        <v>-1.3350000000000004</v>
      </c>
      <c r="C5" s="124"/>
      <c r="E5" s="29" t="s">
        <v>160</v>
      </c>
      <c r="F5" s="26" t="s">
        <v>161</v>
      </c>
      <c r="G5" s="14">
        <v>15</v>
      </c>
      <c r="H5" s="92">
        <f>IF(B$19=0,0,G5/B$19)</f>
        <v>0.29411764705882354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-1340</v>
      </c>
      <c r="P5" s="81">
        <v>15</v>
      </c>
      <c r="Q5" s="68">
        <v>-20100</v>
      </c>
    </row>
    <row r="6" spans="1:17" x14ac:dyDescent="0.45">
      <c r="A6" s="21" t="s">
        <v>1</v>
      </c>
      <c r="B6" s="137">
        <f>IF(B$2=0,0,(B$7*1+B$8*2+B$9*3)/B$2)</f>
        <v>2.0499999999999998</v>
      </c>
      <c r="C6" s="138"/>
      <c r="E6" s="29" t="s">
        <v>89</v>
      </c>
      <c r="F6" s="26" t="s">
        <v>44</v>
      </c>
      <c r="G6" s="14">
        <v>12</v>
      </c>
      <c r="H6" s="92">
        <f>IF(B$19=0,0,G6/B$19)</f>
        <v>0.23529411764705882</v>
      </c>
      <c r="I6" s="60">
        <v>1</v>
      </c>
      <c r="K6" s="7">
        <v>4</v>
      </c>
      <c r="L6" s="65">
        <v>-41.199999999999996</v>
      </c>
      <c r="N6" s="78" t="s">
        <v>132</v>
      </c>
      <c r="O6" s="84">
        <f t="shared" si="0"/>
        <v>1428.5714285714287</v>
      </c>
      <c r="P6" s="81">
        <v>14</v>
      </c>
      <c r="Q6" s="68">
        <v>20000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0.35</v>
      </c>
      <c r="E7" s="29" t="s">
        <v>68</v>
      </c>
      <c r="F7" s="26" t="s">
        <v>12</v>
      </c>
      <c r="G7" s="14">
        <v>10</v>
      </c>
      <c r="H7" s="92">
        <f>IF(B$19=0,0,G7/B$19)</f>
        <v>0.19607843137254902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-2360</v>
      </c>
      <c r="P7" s="82">
        <v>10</v>
      </c>
      <c r="Q7" s="69">
        <v>-23600</v>
      </c>
    </row>
    <row r="8" spans="1:17" x14ac:dyDescent="0.45">
      <c r="A8" s="21" t="s">
        <v>3</v>
      </c>
      <c r="B8" s="14">
        <v>5</v>
      </c>
      <c r="C8" s="8">
        <f t="shared" si="1"/>
        <v>0.25</v>
      </c>
      <c r="E8" s="29" t="s">
        <v>67</v>
      </c>
      <c r="F8" s="26" t="s">
        <v>23</v>
      </c>
      <c r="G8" s="14">
        <v>8</v>
      </c>
      <c r="H8" s="92">
        <f>IF(B$19=0,0,G8/B$19)</f>
        <v>0.15686274509803921</v>
      </c>
      <c r="I8" s="60">
        <v>10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0.4</v>
      </c>
      <c r="E9" s="29" t="s">
        <v>69</v>
      </c>
      <c r="F9" s="26" t="s">
        <v>24</v>
      </c>
      <c r="G9" s="14">
        <v>7</v>
      </c>
      <c r="H9" s="92">
        <f>IF(B$19=0,0,G9/B$19)</f>
        <v>0.13725490196078433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</v>
      </c>
      <c r="C10" s="114">
        <v>294</v>
      </c>
      <c r="E10" s="29" t="s">
        <v>70</v>
      </c>
      <c r="F10" s="26" t="s">
        <v>25</v>
      </c>
      <c r="G10" s="14">
        <v>7</v>
      </c>
      <c r="H10" s="92">
        <f>IF(B$19=0,0,G10/B$19)</f>
        <v>0.13725490196078433</v>
      </c>
      <c r="I10" s="60">
        <v>1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-1.72</v>
      </c>
      <c r="C11" s="114">
        <v>-8.6</v>
      </c>
      <c r="E11" s="29" t="s">
        <v>83</v>
      </c>
      <c r="F11" s="26" t="s">
        <v>38</v>
      </c>
      <c r="G11" s="14">
        <v>5</v>
      </c>
      <c r="H11" s="92">
        <f>IF(B$19=0,0,G11/B$19)</f>
        <v>9.8039215686274508E-2</v>
      </c>
      <c r="I11" s="60">
        <v>2</v>
      </c>
      <c r="K11" s="7">
        <v>9</v>
      </c>
      <c r="L11" s="65">
        <v>-120</v>
      </c>
      <c r="N11" s="78" t="s">
        <v>153</v>
      </c>
      <c r="O11" s="87">
        <f>IF(P11=0,0,Q11/P11)</f>
        <v>5.26</v>
      </c>
      <c r="P11" s="81">
        <v>5</v>
      </c>
      <c r="Q11" s="72">
        <v>26.299999999999997</v>
      </c>
    </row>
    <row r="12" spans="1:17" x14ac:dyDescent="0.45">
      <c r="A12" s="22" t="s">
        <v>187</v>
      </c>
      <c r="B12" s="113">
        <f>IF(B9=0,0,C12/B9)</f>
        <v>-39.012500000000003</v>
      </c>
      <c r="C12" s="114">
        <v>-312.10000000000002</v>
      </c>
      <c r="E12" s="29" t="s">
        <v>65</v>
      </c>
      <c r="F12" s="26" t="s">
        <v>21</v>
      </c>
      <c r="G12" s="14">
        <v>4</v>
      </c>
      <c r="H12" s="92">
        <f>IF(B$19=0,0,G12/B$19)</f>
        <v>7.8431372549019607E-2</v>
      </c>
      <c r="I12" s="60">
        <v>8</v>
      </c>
      <c r="K12" s="7">
        <v>10</v>
      </c>
      <c r="L12" s="65">
        <v>-112.8</v>
      </c>
      <c r="N12" s="79" t="s">
        <v>154</v>
      </c>
      <c r="O12" s="88">
        <f>IF(P12=0,0,Q12/P12)</f>
        <v>-6.4142857142857137</v>
      </c>
      <c r="P12" s="82">
        <v>7</v>
      </c>
      <c r="Q12" s="73">
        <v>-44.9</v>
      </c>
    </row>
    <row r="13" spans="1:17" x14ac:dyDescent="0.45">
      <c r="A13" s="22" t="s">
        <v>188</v>
      </c>
      <c r="B13" s="123">
        <f>AVERAGE(B10:B12)</f>
        <v>0.42249999999999943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5.8823529411764705E-2</v>
      </c>
      <c r="I13" s="60">
        <v>6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0.15</v>
      </c>
      <c r="E14" s="29" t="s">
        <v>78</v>
      </c>
      <c r="F14" s="26" t="s">
        <v>33</v>
      </c>
      <c r="G14" s="14">
        <v>3</v>
      </c>
      <c r="H14" s="92">
        <f>IF(B$19=0,0,G14/B$19)</f>
        <v>5.8823529411764705E-2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29</v>
      </c>
      <c r="C15" s="12">
        <f>IF(B$3=0,0,B15/B$3)</f>
        <v>0.19205298013245034</v>
      </c>
      <c r="E15" s="29" t="s">
        <v>86</v>
      </c>
      <c r="F15" s="26" t="s">
        <v>41</v>
      </c>
      <c r="G15" s="14">
        <v>2</v>
      </c>
      <c r="H15" s="92">
        <f>IF(B$19=0,0,G15/B$19)</f>
        <v>3.9215686274509803E-2</v>
      </c>
      <c r="I15" s="60">
        <v>7</v>
      </c>
      <c r="K15" s="7">
        <v>13</v>
      </c>
      <c r="L15" s="65">
        <v>-63.4</v>
      </c>
      <c r="N15" s="77" t="s">
        <v>164</v>
      </c>
      <c r="O15" s="86">
        <f>IF(P15=0,0,Q15/P15)</f>
        <v>9.1857142857142833</v>
      </c>
      <c r="P15" s="80">
        <v>7</v>
      </c>
      <c r="Q15" s="71">
        <v>64.299999999999983</v>
      </c>
    </row>
    <row r="16" spans="1:17" x14ac:dyDescent="0.45">
      <c r="A16" s="21" t="s">
        <v>118</v>
      </c>
      <c r="B16" s="14">
        <v>47</v>
      </c>
      <c r="C16" s="8">
        <f>IF(B$3=0,0,B16/B$3)</f>
        <v>0.31125827814569534</v>
      </c>
      <c r="E16" s="29" t="s">
        <v>81</v>
      </c>
      <c r="F16" s="26" t="s">
        <v>36</v>
      </c>
      <c r="G16" s="14">
        <v>1</v>
      </c>
      <c r="H16" s="92">
        <f>IF(B$19=0,0,G16/B$19)</f>
        <v>1.9607843137254902E-2</v>
      </c>
      <c r="I16" s="60">
        <v>6</v>
      </c>
      <c r="K16" s="7">
        <v>14</v>
      </c>
      <c r="L16" s="65">
        <v>-42.4</v>
      </c>
      <c r="N16" s="78" t="s">
        <v>192</v>
      </c>
      <c r="O16" s="87">
        <f>IF(P16=0,0,Q16/P16)</f>
        <v>-0.53750000000000053</v>
      </c>
      <c r="P16" s="81">
        <v>8</v>
      </c>
      <c r="Q16" s="72">
        <v>-4.3000000000000043</v>
      </c>
    </row>
    <row r="17" spans="1:17" x14ac:dyDescent="0.45">
      <c r="A17" s="20" t="s">
        <v>123</v>
      </c>
      <c r="B17" s="13">
        <f>B23</f>
        <v>18</v>
      </c>
      <c r="C17" s="6">
        <f>IF(B$15=0,0,B17/B$15)</f>
        <v>0.62068965517241381</v>
      </c>
      <c r="E17" s="29" t="s">
        <v>92</v>
      </c>
      <c r="F17" s="26" t="s">
        <v>47</v>
      </c>
      <c r="G17" s="14">
        <v>1</v>
      </c>
      <c r="H17" s="92">
        <f>IF(B$19=0,0,G17/B$19)</f>
        <v>1.9607843137254902E-2</v>
      </c>
      <c r="I17" s="60">
        <v>3</v>
      </c>
      <c r="K17" s="7">
        <v>15</v>
      </c>
      <c r="L17" s="65">
        <v>-65.7</v>
      </c>
      <c r="N17" s="78" t="s">
        <v>126</v>
      </c>
      <c r="O17" s="87">
        <f>IF(P17=0,0,Q17/P17)</f>
        <v>-2.7352941176470615</v>
      </c>
      <c r="P17" s="81">
        <v>17</v>
      </c>
      <c r="Q17" s="72">
        <v>-46.500000000000043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0.2978723404255319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194</v>
      </c>
      <c r="O18" s="87">
        <f>IF(P18=0,0,Q18/P18)</f>
        <v>-5.128571428571429</v>
      </c>
      <c r="P18" s="81">
        <v>7</v>
      </c>
      <c r="Q18" s="72">
        <v>-35.900000000000006</v>
      </c>
    </row>
    <row r="19" spans="1:17" x14ac:dyDescent="0.45">
      <c r="A19" s="20" t="s">
        <v>10</v>
      </c>
      <c r="B19" s="13">
        <f>B22+B21</f>
        <v>51</v>
      </c>
      <c r="C19" s="6">
        <f>IF(B$3=0,0,B19/B$3)</f>
        <v>0.33774834437086093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31</v>
      </c>
      <c r="C20" s="8">
        <f>IF(B$3=0,0,B20/B$3)</f>
        <v>0.20529801324503311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</row>
    <row r="21" spans="1:17" x14ac:dyDescent="0.45">
      <c r="A21" s="21" t="s">
        <v>12</v>
      </c>
      <c r="B21" s="14">
        <v>18</v>
      </c>
      <c r="C21" s="8">
        <f>IF(B$19=0,0,B21/B$19)</f>
        <v>0.35294117647058826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33</v>
      </c>
      <c r="C22" s="8">
        <f>IF(B$19=0,0,B22/B$19)</f>
        <v>0.6470588235294118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18</v>
      </c>
      <c r="C23" s="8">
        <f>IF(B$19=0,0,B23/B$19)</f>
        <v>0.35294117647058826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14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19</v>
      </c>
      <c r="C25" s="8">
        <f>IF(B$19=0,0,B25/B$19)</f>
        <v>0.37254901960784315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9411.7647058823532</v>
      </c>
      <c r="C26" s="10">
        <v>480000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9243.2432432432433</v>
      </c>
      <c r="C27" s="100">
        <v>342000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9857.1428571428569</v>
      </c>
      <c r="C28" s="100">
        <v>138000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-9551.6129032258068</v>
      </c>
      <c r="C29" s="100">
        <v>-296100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3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10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9.8039215686274508E-2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12</v>
      </c>
      <c r="C37" s="8">
        <f t="shared" si="2"/>
        <v>0.23529411764705882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9.8039215686274508E-2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2"/>
        <v>0.19607843137254902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0.11764705882352941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7.8431372549019607E-2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5.8823529411764705E-2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3.9215686274509803E-2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1.9607843137254902E-2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3.9215686274509803E-2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1.9607843137254902E-2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4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6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8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2020-06-20T13:37:42Z</dcterms:modified>
</cp:coreProperties>
</file>