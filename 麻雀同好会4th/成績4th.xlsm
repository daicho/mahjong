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11EEBFB9-C8CA-499E-A36D-46AF31CF8A41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2" i="6180"/>
  <c r="O17" i="6176"/>
  <c r="O19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6" i="6182" l="1"/>
  <c r="O16" i="6190"/>
  <c r="O16" i="6178"/>
  <c r="O18" i="6186"/>
  <c r="O19" i="6190" l="1"/>
  <c r="O15" i="6178"/>
  <c r="O18" i="6190"/>
  <c r="O15" i="6176"/>
  <c r="O15" i="6184" l="1"/>
  <c r="O17" i="6178"/>
  <c r="O19" i="6180"/>
  <c r="O19" i="6184"/>
  <c r="O17" i="6174"/>
  <c r="O17" i="6190"/>
  <c r="O15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0" i="6190"/>
  <c r="H26" i="6190"/>
  <c r="C24" i="6190"/>
  <c r="H31" i="6190"/>
  <c r="H18" i="6190"/>
  <c r="H42" i="6190"/>
  <c r="H33" i="6190"/>
  <c r="H3" i="6190"/>
  <c r="H25" i="6190"/>
  <c r="C42" i="6190"/>
  <c r="H9" i="6190"/>
  <c r="C19" i="6190"/>
  <c r="C25" i="6190"/>
  <c r="H36" i="6190"/>
  <c r="H22" i="6190"/>
  <c r="C36" i="6190"/>
  <c r="H48" i="6190"/>
  <c r="C46" i="6190"/>
  <c r="H12" i="6190"/>
  <c r="H27" i="6190"/>
  <c r="H47" i="6190"/>
  <c r="H16" i="6190"/>
  <c r="H23" i="6190"/>
  <c r="C48" i="6190"/>
  <c r="H2" i="6190"/>
  <c r="H43" i="6190"/>
  <c r="H29" i="6190"/>
  <c r="H37" i="6190"/>
  <c r="H14" i="6190"/>
  <c r="H38" i="6190"/>
  <c r="H6" i="6190"/>
  <c r="H17" i="6190"/>
  <c r="H20" i="6190"/>
  <c r="C21" i="6190"/>
  <c r="H30" i="6190"/>
  <c r="H41" i="6190"/>
  <c r="H49" i="6190"/>
  <c r="C38" i="6190"/>
  <c r="H44" i="6190"/>
  <c r="H11" i="6190"/>
  <c r="H13" i="6190"/>
  <c r="B26" i="6190"/>
  <c r="H34" i="6190"/>
  <c r="H39" i="6190"/>
  <c r="C44" i="6190"/>
  <c r="H51" i="6190"/>
  <c r="H15" i="6190"/>
  <c r="H4" i="6190"/>
  <c r="H8" i="6190"/>
  <c r="H19" i="6190"/>
  <c r="H21" i="6190"/>
  <c r="C22" i="6190"/>
  <c r="B27" i="6190"/>
  <c r="H40" i="6190"/>
  <c r="H45" i="6190"/>
  <c r="H5" i="6190"/>
  <c r="C23" i="6190"/>
  <c r="H7" i="6190"/>
  <c r="H35" i="6190"/>
  <c r="C40" i="6190"/>
  <c r="H46" i="6190"/>
  <c r="H52" i="6190"/>
  <c r="C39" i="6190"/>
  <c r="C43" i="6190"/>
  <c r="C47" i="6190"/>
  <c r="H24" i="6190"/>
  <c r="H28" i="6190"/>
  <c r="H32" i="6190"/>
  <c r="C37" i="6190"/>
  <c r="C41" i="6190"/>
  <c r="C45" i="6190"/>
  <c r="O20" i="6180" l="1"/>
  <c r="O20" i="6186"/>
  <c r="O21" i="6176"/>
  <c r="O16" i="6186"/>
  <c r="O15" i="6180" l="1"/>
  <c r="O20" i="6182"/>
  <c r="O22" i="6176"/>
  <c r="O18" i="6176"/>
  <c r="O15" i="6182"/>
  <c r="O18" i="6184"/>
  <c r="O16" i="6188" l="1"/>
  <c r="O19" i="6188"/>
  <c r="O21" i="6184"/>
  <c r="O20" i="6184"/>
  <c r="O16" i="6180"/>
  <c r="O18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7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6" i="6184"/>
  <c r="O17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5" i="6174"/>
  <c r="O19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18" i="6174"/>
  <c r="O17" i="6180"/>
  <c r="O21" i="6180"/>
  <c r="C34" i="6180"/>
  <c r="B29" i="6180"/>
  <c r="C20" i="6180"/>
  <c r="B19" i="6180"/>
  <c r="H15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20" i="6174"/>
  <c r="O20" i="6176"/>
  <c r="O16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6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5" i="6182"/>
  <c r="H52" i="6182"/>
  <c r="H22" i="6182"/>
  <c r="C21" i="6182"/>
  <c r="H3" i="6182"/>
  <c r="H35" i="6182"/>
  <c r="H4" i="6182"/>
  <c r="H8" i="6182"/>
  <c r="H24" i="6182"/>
  <c r="C22" i="6182"/>
  <c r="H40" i="6182"/>
  <c r="H17" i="6182"/>
  <c r="H34" i="6182"/>
  <c r="C25" i="6182"/>
  <c r="C40" i="6182"/>
  <c r="H27" i="6182"/>
  <c r="H7" i="6182"/>
  <c r="H21" i="6182"/>
  <c r="H41" i="6182"/>
  <c r="H44" i="6182"/>
  <c r="C44" i="6182"/>
  <c r="H2" i="6182"/>
  <c r="H18" i="6182"/>
  <c r="H23" i="6182"/>
  <c r="B26" i="6182"/>
  <c r="H36" i="6182"/>
  <c r="H45" i="6182"/>
  <c r="H13" i="6182"/>
  <c r="H10" i="6182"/>
  <c r="H39" i="6182"/>
  <c r="C46" i="6182"/>
  <c r="H19" i="6182"/>
  <c r="H15" i="6182"/>
  <c r="H9" i="6182"/>
  <c r="H6" i="6182"/>
  <c r="H11" i="6182"/>
  <c r="H20" i="6182"/>
  <c r="H26" i="6182"/>
  <c r="C39" i="6182"/>
  <c r="H47" i="6182"/>
  <c r="H29" i="6182"/>
  <c r="H31" i="6182"/>
  <c r="C36" i="6182"/>
  <c r="C42" i="6182"/>
  <c r="C47" i="6182"/>
  <c r="H12" i="6182"/>
  <c r="C19" i="6182"/>
  <c r="C24" i="6182"/>
  <c r="H37" i="6182"/>
  <c r="H43" i="6182"/>
  <c r="H48" i="6182"/>
  <c r="H14" i="6182"/>
  <c r="H16" i="6182"/>
  <c r="C38" i="6182"/>
  <c r="C43" i="6182"/>
  <c r="C48" i="6182"/>
  <c r="H27" i="6176"/>
  <c r="H33" i="6176"/>
  <c r="H43" i="6176"/>
  <c r="H23" i="6176"/>
  <c r="H12" i="6176"/>
  <c r="C47" i="6176"/>
  <c r="H48" i="6176"/>
  <c r="H21" i="6176"/>
  <c r="H37" i="6176"/>
  <c r="H7" i="6176"/>
  <c r="C22" i="6176"/>
  <c r="C36" i="6176"/>
  <c r="H26" i="6176"/>
  <c r="H18" i="6176"/>
  <c r="H10" i="6176"/>
  <c r="H15" i="6176"/>
  <c r="B27" i="6176"/>
  <c r="B26" i="6176"/>
  <c r="C40" i="6176"/>
  <c r="H2" i="6176"/>
  <c r="C21" i="6176"/>
  <c r="H5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7" i="6184"/>
  <c r="H7" i="6184"/>
  <c r="H12" i="6184"/>
  <c r="H25" i="6184"/>
  <c r="H34" i="6184"/>
  <c r="H21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1" i="6186"/>
  <c r="H34" i="6186"/>
  <c r="H22" i="6186"/>
  <c r="H37" i="6186"/>
  <c r="H8" i="6186"/>
  <c r="H19" i="6186"/>
  <c r="H9" i="6186"/>
  <c r="C40" i="6186"/>
  <c r="H17" i="6186"/>
  <c r="C23" i="6186"/>
  <c r="H42" i="6186"/>
  <c r="H6" i="6186"/>
  <c r="H18" i="6186"/>
  <c r="H23" i="6186"/>
  <c r="H28" i="6186"/>
  <c r="C22" i="6186"/>
  <c r="B27" i="6186"/>
  <c r="H24" i="6186"/>
  <c r="H31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7" i="6186"/>
  <c r="H36" i="6186"/>
  <c r="C43" i="6186"/>
  <c r="C44" i="6186"/>
  <c r="H5" i="6186"/>
  <c r="B26" i="6186"/>
  <c r="H46" i="6186"/>
  <c r="H11" i="6186"/>
  <c r="H14" i="6186"/>
  <c r="H20" i="6186"/>
  <c r="C36" i="6186"/>
  <c r="H25" i="6186"/>
  <c r="H30" i="6186"/>
  <c r="H39" i="6186"/>
  <c r="H47" i="6186"/>
  <c r="H12" i="6186"/>
  <c r="H3" i="6186"/>
  <c r="H2" i="6186"/>
  <c r="H16" i="6186"/>
  <c r="C21" i="6186"/>
  <c r="C39" i="6186"/>
  <c r="C47" i="6186"/>
  <c r="C18" i="6186"/>
  <c r="H38" i="6186"/>
  <c r="H43" i="6186"/>
  <c r="H48" i="6186"/>
  <c r="C48" i="6186"/>
  <c r="C24" i="6186"/>
  <c r="H32" i="6186"/>
  <c r="H40" i="6186"/>
  <c r="H44" i="6186"/>
  <c r="H49" i="6186"/>
  <c r="H51" i="6186"/>
  <c r="C25" i="6186"/>
  <c r="H41" i="6186"/>
  <c r="H45" i="6186"/>
  <c r="H52" i="6186"/>
  <c r="B28" i="6186"/>
  <c r="H26" i="6186"/>
  <c r="H29" i="6186"/>
  <c r="H33" i="6186"/>
  <c r="C37" i="6186"/>
  <c r="C41" i="6186"/>
  <c r="C45" i="6186"/>
  <c r="H50" i="6186"/>
  <c r="H13" i="6186"/>
  <c r="H15" i="6186"/>
  <c r="H10" i="6186"/>
  <c r="H35" i="6186"/>
  <c r="C38" i="6186"/>
  <c r="C42" i="6186"/>
  <c r="C46" i="6186"/>
  <c r="H33" i="6174"/>
  <c r="H43" i="6184"/>
  <c r="H14" i="6184"/>
  <c r="H35" i="6184"/>
  <c r="C44" i="6184"/>
  <c r="H3" i="6184"/>
  <c r="H11" i="6184"/>
  <c r="H22" i="6184"/>
  <c r="C22" i="6184"/>
  <c r="H46" i="6184"/>
  <c r="H10" i="6184"/>
  <c r="H6" i="6184"/>
  <c r="C23" i="6184"/>
  <c r="C36" i="6184"/>
  <c r="H48" i="6184"/>
  <c r="H38" i="6184"/>
  <c r="H4" i="6184"/>
  <c r="H24" i="6184"/>
  <c r="H30" i="6184"/>
  <c r="H40" i="6184"/>
  <c r="H20" i="6184"/>
  <c r="H2" i="6184"/>
  <c r="C25" i="6184"/>
  <c r="H49" i="6184"/>
  <c r="H26" i="6184"/>
  <c r="H8" i="6184"/>
  <c r="H41" i="6184"/>
  <c r="H5" i="6184"/>
  <c r="H23" i="6184"/>
  <c r="C21" i="6184"/>
  <c r="B26" i="6184"/>
  <c r="C40" i="6184"/>
  <c r="H47" i="6184"/>
  <c r="H52" i="6184"/>
  <c r="H9" i="6184"/>
  <c r="H15" i="6184"/>
  <c r="B27" i="6184"/>
  <c r="H37" i="6184"/>
  <c r="H42" i="6184"/>
  <c r="C46" i="6184"/>
  <c r="H29" i="6184"/>
  <c r="H18" i="6184"/>
  <c r="H39" i="6184"/>
  <c r="H44" i="6184"/>
  <c r="C48" i="6184"/>
  <c r="C19" i="6184"/>
  <c r="C24" i="6184"/>
  <c r="H19" i="6184"/>
  <c r="C38" i="6184"/>
  <c r="H45" i="6184"/>
  <c r="H50" i="6184"/>
  <c r="H13" i="6184"/>
  <c r="H27" i="6184"/>
  <c r="H16" i="6184"/>
  <c r="H32" i="6184"/>
  <c r="H36" i="6184"/>
  <c r="C39" i="6184"/>
  <c r="C43" i="6184"/>
  <c r="C47" i="6184"/>
  <c r="H28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8" i="6180"/>
  <c r="H24" i="6180"/>
  <c r="H21" i="6180"/>
  <c r="H8" i="6180"/>
  <c r="C18" i="6180"/>
  <c r="H25" i="6180"/>
  <c r="C21" i="6180"/>
  <c r="H29" i="6180"/>
  <c r="H36" i="6180"/>
  <c r="H14" i="6180"/>
  <c r="C40" i="6180"/>
  <c r="H3" i="6180"/>
  <c r="H17" i="6180"/>
  <c r="C22" i="6180"/>
  <c r="H42" i="6180"/>
  <c r="H2" i="6180"/>
  <c r="H27" i="6180"/>
  <c r="H5" i="6180"/>
  <c r="C25" i="6180"/>
  <c r="C42" i="6180"/>
  <c r="H46" i="6180"/>
  <c r="H16" i="6180"/>
  <c r="C46" i="6180"/>
  <c r="B26" i="6180"/>
  <c r="H37" i="6180"/>
  <c r="H48" i="6180"/>
  <c r="H7" i="6180"/>
  <c r="H13" i="6180"/>
  <c r="H9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6" i="6180"/>
  <c r="C19" i="6180"/>
  <c r="C24" i="6180"/>
  <c r="H38" i="6180"/>
  <c r="H45" i="6180"/>
  <c r="H4" i="6180"/>
  <c r="H18" i="6180"/>
  <c r="H12" i="6180"/>
  <c r="H19" i="6180"/>
  <c r="C38" i="6180"/>
  <c r="C44" i="6180"/>
  <c r="H52" i="6180"/>
  <c r="C39" i="6180"/>
  <c r="C43" i="6180"/>
  <c r="C47" i="6180"/>
  <c r="H23" i="6180"/>
  <c r="H33" i="6180"/>
  <c r="H20" i="6180"/>
  <c r="C37" i="6180"/>
  <c r="C41" i="6180"/>
  <c r="C45" i="6180"/>
  <c r="H51" i="6180"/>
  <c r="H22" i="6180"/>
  <c r="C23" i="6180"/>
  <c r="B27" i="6180"/>
  <c r="H35" i="6180"/>
  <c r="H39" i="6180"/>
  <c r="H43" i="6180"/>
  <c r="H47" i="6180"/>
  <c r="C18" i="6174"/>
  <c r="H7" i="6174"/>
  <c r="C36" i="6174"/>
  <c r="H29" i="6174"/>
  <c r="H30" i="6174"/>
  <c r="H43" i="6174"/>
  <c r="H32" i="6174"/>
  <c r="H21" i="6174"/>
  <c r="C23" i="6174"/>
  <c r="C42" i="6174"/>
  <c r="H13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1" i="6176"/>
  <c r="H19" i="6176"/>
  <c r="H40" i="6176"/>
  <c r="H45" i="6176"/>
  <c r="H50" i="6176"/>
  <c r="H24" i="6176"/>
  <c r="H17" i="6176"/>
  <c r="H9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6" i="6176"/>
  <c r="H30" i="6176"/>
  <c r="H8" i="6176"/>
  <c r="H36" i="6176"/>
  <c r="C38" i="6176"/>
  <c r="C42" i="6176"/>
  <c r="C46" i="6176"/>
  <c r="H49" i="6174"/>
  <c r="C48" i="6174"/>
  <c r="C38" i="6174"/>
  <c r="H11" i="6174"/>
  <c r="H24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1" i="6174"/>
  <c r="H15" i="6174"/>
  <c r="H17" i="6174"/>
  <c r="H37" i="6174"/>
  <c r="C44" i="6174"/>
  <c r="H28" i="6174"/>
  <c r="H42" i="6174"/>
  <c r="H46" i="6174"/>
  <c r="H5" i="6174"/>
  <c r="H39" i="6174"/>
  <c r="H23" i="6174"/>
  <c r="H18" i="6174"/>
  <c r="H44" i="6174"/>
  <c r="H41" i="6174"/>
  <c r="H25" i="6174"/>
  <c r="H2" i="6174"/>
  <c r="H3" i="6174"/>
  <c r="H22" i="6174"/>
  <c r="C21" i="6174"/>
  <c r="B26" i="6174"/>
  <c r="C40" i="6174"/>
  <c r="H47" i="6174"/>
  <c r="H52" i="6174"/>
  <c r="H16" i="6174"/>
  <c r="H34" i="6174"/>
  <c r="H14" i="6174"/>
  <c r="H36" i="6174"/>
  <c r="H38" i="6174"/>
  <c r="C39" i="6174"/>
  <c r="C43" i="6174"/>
  <c r="C47" i="6174"/>
  <c r="H27" i="6174"/>
  <c r="H35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<sst xmlns="http://schemas.openxmlformats.org/spreadsheetml/2006/main" count="2651" uniqueCount="219">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</sst>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全体!$K$2:$K$194</c:f>
              <c:numCache>
                <c:formatCode>General</c:formatCode>
                <c:ptCount val="1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</c:numCache>
            </c:numRef>
          </c:xVal>
          <c:yVal>
            <c:numRef>
              <c:f>全体!$L$2:$L$194</c:f>
              <c:numCache>
                <c:formatCode>\+0.0;\-0.0;\±0</c:formatCode>
                <c:ptCount val="193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-10.582010582010582</c:v>
                </c:pt>
                <c:pt idx="1">
                  <c:v>-10.75268817204301</c:v>
                </c:pt>
                <c:pt idx="2">
                  <c:v>5.7471264367816088</c:v>
                </c:pt>
                <c:pt idx="3">
                  <c:v>13.333333333333334</c:v>
                </c:pt>
                <c:pt idx="4">
                  <c:v>-60.606060606060609</c:v>
                </c:pt>
                <c:pt idx="5">
                  <c:v>76.19047619047619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33</c:v>
                </c:pt>
                <c:pt idx="1">
                  <c:v>77</c:v>
                </c:pt>
                <c:pt idx="2">
                  <c:v>67</c:v>
                </c:pt>
                <c:pt idx="3">
                  <c:v>76</c:v>
                </c:pt>
                <c:pt idx="4">
                  <c:v>67</c:v>
                </c:pt>
                <c:pt idx="5">
                  <c:v>38</c:v>
                </c:pt>
                <c:pt idx="6">
                  <c:v>28</c:v>
                </c:pt>
                <c:pt idx="7">
                  <c:v>9</c:v>
                </c:pt>
                <c:pt idx="8">
                  <c:v>7</c:v>
                </c:pt>
                <c:pt idx="9">
                  <c:v>5</c:v>
                </c:pt>
                <c:pt idx="10">
                  <c:v>3</c:v>
                </c:pt>
                <c:pt idx="11">
                  <c:v>1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れんたろう!$L$2:$L$39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-3169.4444444444443</c:v>
                </c:pt>
                <c:pt idx="1">
                  <c:v>-586.11111111111109</c:v>
                </c:pt>
                <c:pt idx="2">
                  <c:v>-245.45454545454547</c:v>
                </c:pt>
                <c:pt idx="3">
                  <c:v>-2680</c:v>
                </c:pt>
                <c:pt idx="4">
                  <c:v>1660.7142857142858</c:v>
                </c:pt>
                <c:pt idx="5">
                  <c:v>3923.8095238095239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4</c:v>
                </c:pt>
                <c:pt idx="3">
                  <c:v>20</c:v>
                </c:pt>
                <c:pt idx="4">
                  <c:v>16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だいち!$L$2:$L$48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221.7391304347826</c:v>
                </c:pt>
                <c:pt idx="1">
                  <c:v>4855.5555555555557</c:v>
                </c:pt>
                <c:pt idx="2">
                  <c:v>5547.6190476190477</c:v>
                </c:pt>
                <c:pt idx="3">
                  <c:v>4016.6666666666665</c:v>
                </c:pt>
                <c:pt idx="4">
                  <c:v>-1863.6363636363637</c:v>
                </c:pt>
                <c:pt idx="5">
                  <c:v>173.07692307692307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18</c:v>
                </c:pt>
                <c:pt idx="3">
                  <c:v>25</c:v>
                </c:pt>
                <c:pt idx="4">
                  <c:v>24</c:v>
                </c:pt>
                <c:pt idx="5">
                  <c:v>10</c:v>
                </c:pt>
                <c:pt idx="6">
                  <c:v>6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-4875</c:v>
                </c:pt>
                <c:pt idx="1">
                  <c:v>-1060</c:v>
                </c:pt>
                <c:pt idx="2">
                  <c:v>-7700</c:v>
                </c:pt>
                <c:pt idx="3">
                  <c:v>2066.6666666666665</c:v>
                </c:pt>
                <c:pt idx="4">
                  <c:v>400</c:v>
                </c:pt>
                <c:pt idx="5">
                  <c:v>-2850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706.06060606060601</c:v>
                </c:pt>
                <c:pt idx="1">
                  <c:v>-1096.969696969697</c:v>
                </c:pt>
                <c:pt idx="2">
                  <c:v>-1178.7878787878788</c:v>
                </c:pt>
                <c:pt idx="3">
                  <c:v>-863.33333333333337</c:v>
                </c:pt>
                <c:pt idx="4">
                  <c:v>-3096.1538461538462</c:v>
                </c:pt>
                <c:pt idx="5">
                  <c:v>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10</c:v>
                </c:pt>
                <c:pt idx="4">
                  <c:v>7</c:v>
                </c:pt>
                <c:pt idx="5">
                  <c:v>2</c:v>
                </c:pt>
                <c:pt idx="6">
                  <c:v>6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-477.27272727272725</c:v>
                </c:pt>
                <c:pt idx="1">
                  <c:v>-1314.2857142857142</c:v>
                </c:pt>
                <c:pt idx="2">
                  <c:v>2544.4444444444443</c:v>
                </c:pt>
                <c:pt idx="3">
                  <c:v>373.33333333333331</c:v>
                </c:pt>
                <c:pt idx="4">
                  <c:v>4945.454545454545</c:v>
                </c:pt>
                <c:pt idx="5">
                  <c:v>-1188.8888888888889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12</c:v>
                </c:pt>
                <c:pt idx="2">
                  <c:v>9</c:v>
                </c:pt>
                <c:pt idx="3">
                  <c:v>8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ただ!$L$2:$L$13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4290.909090909091</c:v>
                </c:pt>
                <c:pt idx="1">
                  <c:v>-9672.7272727272721</c:v>
                </c:pt>
                <c:pt idx="2">
                  <c:v>-2110</c:v>
                </c:pt>
                <c:pt idx="3">
                  <c:v>-4312.5</c:v>
                </c:pt>
                <c:pt idx="4">
                  <c:v>5828.5714285714284</c:v>
                </c:pt>
                <c:pt idx="5">
                  <c:v>-1166.6666666666667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まっつん2!$B$3:$B$37</c:f>
              <c:numCache>
                <c:formatCode>\+0.0;\-0.0;\±0</c:formatCode>
                <c:ptCount val="35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まっつん2!$C$3:$C$37</c:f>
              <c:numCache>
                <c:formatCode>\+0.0;\-0.0;\±0</c:formatCode>
                <c:ptCount val="35"/>
                <c:pt idx="1">
                  <c:v>-0.5</c:v>
                </c:pt>
                <c:pt idx="2">
                  <c:v>-31.4</c:v>
                </c:pt>
                <c:pt idx="3">
                  <c:v>-16.166666666666668</c:v>
                </c:pt>
                <c:pt idx="4">
                  <c:v>-18.899999999999999</c:v>
                </c:pt>
                <c:pt idx="5">
                  <c:v>-19.3</c:v>
                </c:pt>
                <c:pt idx="6">
                  <c:v>-11.75</c:v>
                </c:pt>
                <c:pt idx="7">
                  <c:v>-5.5142857142857142</c:v>
                </c:pt>
                <c:pt idx="8">
                  <c:v>-3.5375000000000001</c:v>
                </c:pt>
                <c:pt idx="9">
                  <c:v>-2.2555555555555555</c:v>
                </c:pt>
                <c:pt idx="10">
                  <c:v>-1.49</c:v>
                </c:pt>
                <c:pt idx="11">
                  <c:v>-4.1818181818181817</c:v>
                </c:pt>
                <c:pt idx="12">
                  <c:v>-7.3</c:v>
                </c:pt>
                <c:pt idx="13">
                  <c:v>-9.684615384615384</c:v>
                </c:pt>
                <c:pt idx="14">
                  <c:v>-10.671428571428569</c:v>
                </c:pt>
                <c:pt idx="15">
                  <c:v>-8.0933333333333319</c:v>
                </c:pt>
                <c:pt idx="16">
                  <c:v>-8.8312499999999989</c:v>
                </c:pt>
                <c:pt idx="17">
                  <c:v>-8.7705882352941167</c:v>
                </c:pt>
                <c:pt idx="18">
                  <c:v>-11.216666666666665</c:v>
                </c:pt>
                <c:pt idx="19">
                  <c:v>-8.0210526315789465</c:v>
                </c:pt>
                <c:pt idx="20">
                  <c:v>-7.01</c:v>
                </c:pt>
                <c:pt idx="21">
                  <c:v>-3.6523809523809518</c:v>
                </c:pt>
                <c:pt idx="22">
                  <c:v>-2.1227272727272721</c:v>
                </c:pt>
                <c:pt idx="23">
                  <c:v>-1.878260869565217</c:v>
                </c:pt>
                <c:pt idx="24">
                  <c:v>-0.38333333333333286</c:v>
                </c:pt>
                <c:pt idx="25">
                  <c:v>-0.52799999999999958</c:v>
                </c:pt>
                <c:pt idx="26">
                  <c:v>-0.94999999999999951</c:v>
                </c:pt>
                <c:pt idx="27">
                  <c:v>-2.1518518518518515</c:v>
                </c:pt>
                <c:pt idx="28">
                  <c:v>-4.1321428571428571</c:v>
                </c:pt>
                <c:pt idx="29">
                  <c:v>-5.6482758620689646</c:v>
                </c:pt>
                <c:pt idx="30">
                  <c:v>-6.7</c:v>
                </c:pt>
                <c:pt idx="31">
                  <c:v>-5.8677419354838714</c:v>
                </c:pt>
                <c:pt idx="32">
                  <c:v>-4.296875</c:v>
                </c:pt>
                <c:pt idx="33">
                  <c:v>-4.3090909090909086</c:v>
                </c:pt>
                <c:pt idx="34">
                  <c:v>-4.670588235294117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700743415417188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まっつん2!$D$3:$D$37</c:f>
              <c:numCache>
                <c:formatCode>0.00\ "位"</c:formatCode>
                <c:ptCount val="35"/>
                <c:pt idx="1">
                  <c:v>2</c:v>
                </c:pt>
                <c:pt idx="2">
                  <c:v>2.5</c:v>
                </c:pt>
                <c:pt idx="3">
                  <c:v>2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2.0833333333333335</c:v>
                </c:pt>
                <c:pt idx="13">
                  <c:v>2.1538461538461537</c:v>
                </c:pt>
                <c:pt idx="14">
                  <c:v>2.1428571428571428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2.0526315789473686</c:v>
                </c:pt>
                <c:pt idx="20">
                  <c:v>2.0499999999999998</c:v>
                </c:pt>
                <c:pt idx="21">
                  <c:v>2</c:v>
                </c:pt>
                <c:pt idx="22">
                  <c:v>1.9545454545454546</c:v>
                </c:pt>
                <c:pt idx="23">
                  <c:v>1.9565217391304348</c:v>
                </c:pt>
                <c:pt idx="24">
                  <c:v>1.9166666666666667</c:v>
                </c:pt>
                <c:pt idx="25">
                  <c:v>1.92</c:v>
                </c:pt>
                <c:pt idx="26">
                  <c:v>1.9230769230769231</c:v>
                </c:pt>
                <c:pt idx="27">
                  <c:v>1.962962962962963</c:v>
                </c:pt>
                <c:pt idx="28">
                  <c:v>2</c:v>
                </c:pt>
                <c:pt idx="29">
                  <c:v>2.0344827586206895</c:v>
                </c:pt>
                <c:pt idx="30">
                  <c:v>2.0666666666666669</c:v>
                </c:pt>
                <c:pt idx="31">
                  <c:v>2.032258064516129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まっつん2!$E$3:$E$37</c:f>
              <c:numCache>
                <c:formatCode>0.0%</c:formatCode>
                <c:ptCount val="35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0.29032258064516131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まっつん2!$F$3:$F$37</c:f>
              <c:numCache>
                <c:formatCode>0.0%</c:formatCode>
                <c:ptCount val="35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0.24</c:v>
                </c:pt>
                <c:pt idx="26">
                  <c:v>0.23076923076923078</c:v>
                </c:pt>
                <c:pt idx="27">
                  <c:v>0.25925925925925924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まっつん2!$G$3:$G$37</c:f>
              <c:numCache>
                <c:formatCode>0.0%</c:formatCode>
                <c:ptCount val="35"/>
                <c:pt idx="1">
                  <c:v>0.5</c:v>
                </c:pt>
                <c:pt idx="2">
                  <c:v>0.2</c:v>
                </c:pt>
                <c:pt idx="3">
                  <c:v>0.25</c:v>
                </c:pt>
                <c:pt idx="4">
                  <c:v>0.22727272727272727</c:v>
                </c:pt>
                <c:pt idx="5">
                  <c:v>0.20689655172413793</c:v>
                </c:pt>
                <c:pt idx="6">
                  <c:v>0.25</c:v>
                </c:pt>
                <c:pt idx="7">
                  <c:v>0.28888888888888886</c:v>
                </c:pt>
                <c:pt idx="8">
                  <c:v>0.2857142857142857</c:v>
                </c:pt>
                <c:pt idx="9">
                  <c:v>0.27692307692307694</c:v>
                </c:pt>
                <c:pt idx="10">
                  <c:v>0.30263157894736842</c:v>
                </c:pt>
                <c:pt idx="11">
                  <c:v>0.28915662650602408</c:v>
                </c:pt>
                <c:pt idx="12">
                  <c:v>0.26881720430107525</c:v>
                </c:pt>
                <c:pt idx="13">
                  <c:v>0.25252525252525254</c:v>
                </c:pt>
                <c:pt idx="14">
                  <c:v>0.24299065420560748</c:v>
                </c:pt>
                <c:pt idx="15">
                  <c:v>0.25663716814159293</c:v>
                </c:pt>
                <c:pt idx="16">
                  <c:v>0.24193548387096775</c:v>
                </c:pt>
                <c:pt idx="17">
                  <c:v>0.23846153846153847</c:v>
                </c:pt>
                <c:pt idx="18">
                  <c:v>0.22794117647058823</c:v>
                </c:pt>
                <c:pt idx="19">
                  <c:v>0.23943661971830985</c:v>
                </c:pt>
                <c:pt idx="20">
                  <c:v>0.23841059602649006</c:v>
                </c:pt>
                <c:pt idx="21">
                  <c:v>0.26114649681528662</c:v>
                </c:pt>
                <c:pt idx="22">
                  <c:v>0.27272727272727271</c:v>
                </c:pt>
                <c:pt idx="23">
                  <c:v>0.27218934911242604</c:v>
                </c:pt>
                <c:pt idx="24">
                  <c:v>0.2824858757062147</c:v>
                </c:pt>
                <c:pt idx="25">
                  <c:v>0.27624309392265195</c:v>
                </c:pt>
                <c:pt idx="26">
                  <c:v>0.27419354838709675</c:v>
                </c:pt>
                <c:pt idx="27">
                  <c:v>0.27179487179487177</c:v>
                </c:pt>
                <c:pt idx="28">
                  <c:v>0.26829268292682928</c:v>
                </c:pt>
                <c:pt idx="29">
                  <c:v>0.26511627906976742</c:v>
                </c:pt>
                <c:pt idx="30">
                  <c:v>0.26106194690265488</c:v>
                </c:pt>
                <c:pt idx="31">
                  <c:v>0.26495726495726496</c:v>
                </c:pt>
                <c:pt idx="32">
                  <c:v>0.27459016393442626</c:v>
                </c:pt>
                <c:pt idx="33">
                  <c:v>0.26984126984126983</c:v>
                </c:pt>
                <c:pt idx="34">
                  <c:v>0.26848249027237353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925465838509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まっつん2!$H$3:$H$37</c:f>
              <c:numCache>
                <c:formatCode>0.0%</c:formatCode>
                <c:ptCount val="35"/>
                <c:pt idx="1">
                  <c:v>0</c:v>
                </c:pt>
                <c:pt idx="2">
                  <c:v>0.2</c:v>
                </c:pt>
                <c:pt idx="3">
                  <c:v>0.25</c:v>
                </c:pt>
                <c:pt idx="4">
                  <c:v>0.22727272727272727</c:v>
                </c:pt>
                <c:pt idx="5">
                  <c:v>0.20689655172413793</c:v>
                </c:pt>
                <c:pt idx="6">
                  <c:v>0.19444444444444445</c:v>
                </c:pt>
                <c:pt idx="7">
                  <c:v>0.15555555555555556</c:v>
                </c:pt>
                <c:pt idx="8">
                  <c:v>0.14285714285714285</c:v>
                </c:pt>
                <c:pt idx="9">
                  <c:v>0.12307692307692308</c:v>
                </c:pt>
                <c:pt idx="10">
                  <c:v>0.11842105263157894</c:v>
                </c:pt>
                <c:pt idx="11">
                  <c:v>0.10843373493975904</c:v>
                </c:pt>
                <c:pt idx="12">
                  <c:v>0.13978494623655913</c:v>
                </c:pt>
                <c:pt idx="13">
                  <c:v>0.15151515151515152</c:v>
                </c:pt>
                <c:pt idx="14">
                  <c:v>0.14953271028037382</c:v>
                </c:pt>
                <c:pt idx="15">
                  <c:v>0.1415929203539823</c:v>
                </c:pt>
                <c:pt idx="16">
                  <c:v>0.15322580645161291</c:v>
                </c:pt>
                <c:pt idx="17">
                  <c:v>0.14615384615384616</c:v>
                </c:pt>
                <c:pt idx="18">
                  <c:v>0.15441176470588236</c:v>
                </c:pt>
                <c:pt idx="19">
                  <c:v>0.14788732394366197</c:v>
                </c:pt>
                <c:pt idx="20">
                  <c:v>0.13907284768211919</c:v>
                </c:pt>
                <c:pt idx="21">
                  <c:v>0.14012738853503184</c:v>
                </c:pt>
                <c:pt idx="22">
                  <c:v>0.1393939393939394</c:v>
                </c:pt>
                <c:pt idx="23">
                  <c:v>0.13609467455621302</c:v>
                </c:pt>
                <c:pt idx="24">
                  <c:v>0.13559322033898305</c:v>
                </c:pt>
                <c:pt idx="25">
                  <c:v>0.13259668508287292</c:v>
                </c:pt>
                <c:pt idx="26">
                  <c:v>0.12903225806451613</c:v>
                </c:pt>
                <c:pt idx="27">
                  <c:v>0.13333333333333333</c:v>
                </c:pt>
                <c:pt idx="28">
                  <c:v>0.13658536585365855</c:v>
                </c:pt>
                <c:pt idx="29">
                  <c:v>0.13488372093023257</c:v>
                </c:pt>
                <c:pt idx="30">
                  <c:v>0.13716814159292035</c:v>
                </c:pt>
                <c:pt idx="31">
                  <c:v>0.13247863247863248</c:v>
                </c:pt>
                <c:pt idx="32">
                  <c:v>0.12704918032786885</c:v>
                </c:pt>
                <c:pt idx="33">
                  <c:v>0.12301587301587301</c:v>
                </c:pt>
                <c:pt idx="34">
                  <c:v>0.12062256809338522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5279503105590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まっつん2!$I$3:$I$37</c:f>
              <c:numCache>
                <c:formatCode>0</c:formatCode>
                <c:ptCount val="35"/>
                <c:pt idx="1">
                  <c:v>14000</c:v>
                </c:pt>
                <c:pt idx="2">
                  <c:v>14000</c:v>
                </c:pt>
                <c:pt idx="3">
                  <c:v>12000</c:v>
                </c:pt>
                <c:pt idx="4">
                  <c:v>10160</c:v>
                </c:pt>
                <c:pt idx="5">
                  <c:v>8900</c:v>
                </c:pt>
                <c:pt idx="6">
                  <c:v>8566.6666666666661</c:v>
                </c:pt>
                <c:pt idx="7">
                  <c:v>8769.2307692307695</c:v>
                </c:pt>
                <c:pt idx="8">
                  <c:v>9431.25</c:v>
                </c:pt>
                <c:pt idx="9">
                  <c:v>9316.6666666666661</c:v>
                </c:pt>
                <c:pt idx="10">
                  <c:v>8526.0869565217399</c:v>
                </c:pt>
                <c:pt idx="11">
                  <c:v>8225</c:v>
                </c:pt>
                <c:pt idx="12">
                  <c:v>7960</c:v>
                </c:pt>
                <c:pt idx="13">
                  <c:v>7960</c:v>
                </c:pt>
                <c:pt idx="14">
                  <c:v>7753.8461538461543</c:v>
                </c:pt>
                <c:pt idx="15">
                  <c:v>7813.7931034482763</c:v>
                </c:pt>
                <c:pt idx="16">
                  <c:v>7683.333333333333</c:v>
                </c:pt>
                <c:pt idx="17">
                  <c:v>7564.5161290322585</c:v>
                </c:pt>
                <c:pt idx="18">
                  <c:v>7564.5161290322585</c:v>
                </c:pt>
                <c:pt idx="19">
                  <c:v>7994.1176470588234</c:v>
                </c:pt>
                <c:pt idx="20">
                  <c:v>7994.4444444444443</c:v>
                </c:pt>
                <c:pt idx="21">
                  <c:v>8363.414634146342</c:v>
                </c:pt>
                <c:pt idx="22">
                  <c:v>8211.1111111111113</c:v>
                </c:pt>
                <c:pt idx="23">
                  <c:v>8206.5217391304341</c:v>
                </c:pt>
                <c:pt idx="24">
                  <c:v>8070</c:v>
                </c:pt>
                <c:pt idx="25">
                  <c:v>8070</c:v>
                </c:pt>
                <c:pt idx="26">
                  <c:v>8147.0588235294117</c:v>
                </c:pt>
                <c:pt idx="27">
                  <c:v>8015.0943396226412</c:v>
                </c:pt>
                <c:pt idx="28">
                  <c:v>7890.909090909091</c:v>
                </c:pt>
                <c:pt idx="29">
                  <c:v>7773.6842105263158</c:v>
                </c:pt>
                <c:pt idx="30">
                  <c:v>7681.3559322033898</c:v>
                </c:pt>
                <c:pt idx="31">
                  <c:v>7474.1935483870966</c:v>
                </c:pt>
                <c:pt idx="32">
                  <c:v>7502.9850746268658</c:v>
                </c:pt>
                <c:pt idx="33">
                  <c:v>7411.7647058823532</c:v>
                </c:pt>
                <c:pt idx="34">
                  <c:v>7360.869565217391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123.40425531914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まっつん2!$J$3:$J$37</c:f>
              <c:numCache>
                <c:formatCode>0</c:formatCode>
                <c:ptCount val="35"/>
                <c:pt idx="1">
                  <c:v>0</c:v>
                </c:pt>
                <c:pt idx="2">
                  <c:v>-17950</c:v>
                </c:pt>
                <c:pt idx="3">
                  <c:v>-11775</c:v>
                </c:pt>
                <c:pt idx="4">
                  <c:v>-9940</c:v>
                </c:pt>
                <c:pt idx="5">
                  <c:v>-9150</c:v>
                </c:pt>
                <c:pt idx="6">
                  <c:v>-8585.7142857142862</c:v>
                </c:pt>
                <c:pt idx="7">
                  <c:v>-8585.7142857142862</c:v>
                </c:pt>
                <c:pt idx="8">
                  <c:v>-8475</c:v>
                </c:pt>
                <c:pt idx="9">
                  <c:v>-8475</c:v>
                </c:pt>
                <c:pt idx="10">
                  <c:v>-11088.888888888889</c:v>
                </c:pt>
                <c:pt idx="11">
                  <c:v>-11088.888888888889</c:v>
                </c:pt>
                <c:pt idx="12">
                  <c:v>-9323.0769230769238</c:v>
                </c:pt>
                <c:pt idx="13">
                  <c:v>-8700</c:v>
                </c:pt>
                <c:pt idx="14">
                  <c:v>-8881.25</c:v>
                </c:pt>
                <c:pt idx="15">
                  <c:v>-8881.25</c:v>
                </c:pt>
                <c:pt idx="16">
                  <c:v>-8157.894736842105</c:v>
                </c:pt>
                <c:pt idx="17">
                  <c:v>-8157.894736842105</c:v>
                </c:pt>
                <c:pt idx="18">
                  <c:v>-8300</c:v>
                </c:pt>
                <c:pt idx="19">
                  <c:v>-8300</c:v>
                </c:pt>
                <c:pt idx="20">
                  <c:v>-8300</c:v>
                </c:pt>
                <c:pt idx="21">
                  <c:v>-8040.909090909091</c:v>
                </c:pt>
                <c:pt idx="22">
                  <c:v>-7804.347826086957</c:v>
                </c:pt>
                <c:pt idx="23">
                  <c:v>-7804.347826086957</c:v>
                </c:pt>
                <c:pt idx="24">
                  <c:v>-7541.666666666667</c:v>
                </c:pt>
                <c:pt idx="25">
                  <c:v>-7541.666666666667</c:v>
                </c:pt>
                <c:pt idx="26">
                  <c:v>-7541.666666666667</c:v>
                </c:pt>
                <c:pt idx="27">
                  <c:v>-7623.0769230769229</c:v>
                </c:pt>
                <c:pt idx="28">
                  <c:v>-7782.1428571428569</c:v>
                </c:pt>
                <c:pt idx="29">
                  <c:v>-7779.3103448275861</c:v>
                </c:pt>
                <c:pt idx="30">
                  <c:v>-7790.322580645161</c:v>
                </c:pt>
                <c:pt idx="31">
                  <c:v>-7790.322580645161</c:v>
                </c:pt>
                <c:pt idx="32">
                  <c:v>-7790.322580645161</c:v>
                </c:pt>
                <c:pt idx="33">
                  <c:v>-7790.322580645161</c:v>
                </c:pt>
                <c:pt idx="34">
                  <c:v>-7790.322580645161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78.22222222222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まっつん2!$K$3:$K$37</c:f>
              <c:numCache>
                <c:formatCode>0.0%</c:formatCode>
                <c:ptCount val="35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06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まっつん2!$L$3:$L$37</c:f>
              <c:numCache>
                <c:formatCode>0.0%</c:formatCode>
                <c:ptCount val="35"/>
                <c:pt idx="1">
                  <c:v>0.5</c:v>
                </c:pt>
                <c:pt idx="2">
                  <c:v>0.5</c:v>
                </c:pt>
                <c:pt idx="3">
                  <c:v>0.375</c:v>
                </c:pt>
                <c:pt idx="4">
                  <c:v>0.40909090909090912</c:v>
                </c:pt>
                <c:pt idx="5">
                  <c:v>0.34482758620689657</c:v>
                </c:pt>
                <c:pt idx="6">
                  <c:v>0.3888888888888889</c:v>
                </c:pt>
                <c:pt idx="7">
                  <c:v>0.35555555555555557</c:v>
                </c:pt>
                <c:pt idx="8">
                  <c:v>0.32142857142857145</c:v>
                </c:pt>
                <c:pt idx="9">
                  <c:v>0.30769230769230771</c:v>
                </c:pt>
                <c:pt idx="10">
                  <c:v>0.31578947368421051</c:v>
                </c:pt>
                <c:pt idx="11">
                  <c:v>0.3253012048192771</c:v>
                </c:pt>
                <c:pt idx="12">
                  <c:v>0.30107526881720431</c:v>
                </c:pt>
                <c:pt idx="13">
                  <c:v>0.30303030303030304</c:v>
                </c:pt>
                <c:pt idx="14">
                  <c:v>0.29906542056074764</c:v>
                </c:pt>
                <c:pt idx="15">
                  <c:v>0.29203539823008851</c:v>
                </c:pt>
                <c:pt idx="16">
                  <c:v>0.2661290322580645</c:v>
                </c:pt>
                <c:pt idx="17">
                  <c:v>0.26923076923076922</c:v>
                </c:pt>
                <c:pt idx="18">
                  <c:v>0.26470588235294118</c:v>
                </c:pt>
                <c:pt idx="19">
                  <c:v>0.26760563380281688</c:v>
                </c:pt>
                <c:pt idx="20">
                  <c:v>0.27152317880794702</c:v>
                </c:pt>
                <c:pt idx="21">
                  <c:v>0.28662420382165604</c:v>
                </c:pt>
                <c:pt idx="22">
                  <c:v>0.28484848484848485</c:v>
                </c:pt>
                <c:pt idx="23">
                  <c:v>0.28402366863905326</c:v>
                </c:pt>
                <c:pt idx="24">
                  <c:v>0.2768361581920904</c:v>
                </c:pt>
                <c:pt idx="25">
                  <c:v>0.27071823204419887</c:v>
                </c:pt>
                <c:pt idx="26">
                  <c:v>0.27419354838709675</c:v>
                </c:pt>
                <c:pt idx="27">
                  <c:v>0.28205128205128205</c:v>
                </c:pt>
                <c:pt idx="28">
                  <c:v>0.27317073170731709</c:v>
                </c:pt>
                <c:pt idx="29">
                  <c:v>0.26511627906976742</c:v>
                </c:pt>
                <c:pt idx="30">
                  <c:v>0.26991150442477874</c:v>
                </c:pt>
                <c:pt idx="31">
                  <c:v>0.26923076923076922</c:v>
                </c:pt>
                <c:pt idx="32">
                  <c:v>0.27049180327868855</c:v>
                </c:pt>
                <c:pt idx="33">
                  <c:v>0.26190476190476192</c:v>
                </c:pt>
                <c:pt idx="34">
                  <c:v>0.26070038910505838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6728778467908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まっつん2!$M$3:$M$37</c:f>
              <c:numCache>
                <c:formatCode>0.0%</c:formatCode>
                <c:ptCount val="35"/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4.5454545454545456E-2</c:v>
                </c:pt>
                <c:pt idx="5">
                  <c:v>3.4482758620689655E-2</c:v>
                </c:pt>
                <c:pt idx="6">
                  <c:v>2.7777777777777776E-2</c:v>
                </c:pt>
                <c:pt idx="7">
                  <c:v>8.8888888888888892E-2</c:v>
                </c:pt>
                <c:pt idx="8">
                  <c:v>0.14285714285714285</c:v>
                </c:pt>
                <c:pt idx="9">
                  <c:v>0.15384615384615385</c:v>
                </c:pt>
                <c:pt idx="10">
                  <c:v>0.17105263157894737</c:v>
                </c:pt>
                <c:pt idx="11">
                  <c:v>0.18072289156626506</c:v>
                </c:pt>
                <c:pt idx="12">
                  <c:v>0.19354838709677419</c:v>
                </c:pt>
                <c:pt idx="13">
                  <c:v>0.19191919191919191</c:v>
                </c:pt>
                <c:pt idx="14">
                  <c:v>0.18691588785046728</c:v>
                </c:pt>
                <c:pt idx="15">
                  <c:v>0.21238938053097345</c:v>
                </c:pt>
                <c:pt idx="16">
                  <c:v>0.22580645161290322</c:v>
                </c:pt>
                <c:pt idx="17">
                  <c:v>0.23076923076923078</c:v>
                </c:pt>
                <c:pt idx="18">
                  <c:v>0.22794117647058823</c:v>
                </c:pt>
                <c:pt idx="19">
                  <c:v>0.23239436619718309</c:v>
                </c:pt>
                <c:pt idx="20">
                  <c:v>0.23178807947019867</c:v>
                </c:pt>
                <c:pt idx="21">
                  <c:v>0.22929936305732485</c:v>
                </c:pt>
                <c:pt idx="22">
                  <c:v>0.21818181818181817</c:v>
                </c:pt>
                <c:pt idx="23">
                  <c:v>0.21301775147928995</c:v>
                </c:pt>
                <c:pt idx="24">
                  <c:v>0.22033898305084745</c:v>
                </c:pt>
                <c:pt idx="25">
                  <c:v>0.22099447513812154</c:v>
                </c:pt>
                <c:pt idx="26">
                  <c:v>0.22043010752688172</c:v>
                </c:pt>
                <c:pt idx="27">
                  <c:v>0.22051282051282051</c:v>
                </c:pt>
                <c:pt idx="28">
                  <c:v>0.22439024390243903</c:v>
                </c:pt>
                <c:pt idx="29">
                  <c:v>0.22790697674418606</c:v>
                </c:pt>
                <c:pt idx="30">
                  <c:v>0.22566371681415928</c:v>
                </c:pt>
                <c:pt idx="31">
                  <c:v>0.22222222222222221</c:v>
                </c:pt>
                <c:pt idx="32">
                  <c:v>0.22540983606557377</c:v>
                </c:pt>
                <c:pt idx="33">
                  <c:v>0.23015873015873015</c:v>
                </c:pt>
                <c:pt idx="34">
                  <c:v>0.22957198443579765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5659075224292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まっつん2!$N$3:$N$37</c:f>
              <c:numCache>
                <c:formatCode>0.0%</c:formatCode>
                <c:ptCount val="35"/>
                <c:pt idx="1">
                  <c:v>1</c:v>
                </c:pt>
                <c:pt idx="2">
                  <c:v>0.4</c:v>
                </c:pt>
                <c:pt idx="3">
                  <c:v>0.5</c:v>
                </c:pt>
                <c:pt idx="4">
                  <c:v>0.44444444444444442</c:v>
                </c:pt>
                <c:pt idx="5">
                  <c:v>0.4</c:v>
                </c:pt>
                <c:pt idx="6">
                  <c:v>0.5</c:v>
                </c:pt>
                <c:pt idx="7">
                  <c:v>0.5625</c:v>
                </c:pt>
                <c:pt idx="8">
                  <c:v>0.55555555555555558</c:v>
                </c:pt>
                <c:pt idx="9">
                  <c:v>0.55000000000000004</c:v>
                </c:pt>
                <c:pt idx="10">
                  <c:v>0.54166666666666663</c:v>
                </c:pt>
                <c:pt idx="11">
                  <c:v>0.51851851851851849</c:v>
                </c:pt>
                <c:pt idx="12">
                  <c:v>0.5</c:v>
                </c:pt>
                <c:pt idx="13">
                  <c:v>0.46666666666666667</c:v>
                </c:pt>
                <c:pt idx="14">
                  <c:v>0.46875</c:v>
                </c:pt>
                <c:pt idx="15">
                  <c:v>0.48484848484848486</c:v>
                </c:pt>
                <c:pt idx="16">
                  <c:v>0.48484848484848486</c:v>
                </c:pt>
                <c:pt idx="17">
                  <c:v>0.48571428571428571</c:v>
                </c:pt>
                <c:pt idx="18">
                  <c:v>0.47222222222222221</c:v>
                </c:pt>
                <c:pt idx="19">
                  <c:v>0.5</c:v>
                </c:pt>
                <c:pt idx="20">
                  <c:v>0.48780487804878048</c:v>
                </c:pt>
                <c:pt idx="21">
                  <c:v>0.53333333333333333</c:v>
                </c:pt>
                <c:pt idx="22">
                  <c:v>0.53191489361702127</c:v>
                </c:pt>
                <c:pt idx="23">
                  <c:v>0.54166666666666663</c:v>
                </c:pt>
                <c:pt idx="24">
                  <c:v>0.55102040816326525</c:v>
                </c:pt>
                <c:pt idx="25">
                  <c:v>0.55102040816326525</c:v>
                </c:pt>
                <c:pt idx="26">
                  <c:v>0.5490196078431373</c:v>
                </c:pt>
                <c:pt idx="27">
                  <c:v>0.54545454545454541</c:v>
                </c:pt>
                <c:pt idx="28">
                  <c:v>0.5357142857142857</c:v>
                </c:pt>
                <c:pt idx="29">
                  <c:v>0.54385964912280704</c:v>
                </c:pt>
                <c:pt idx="30">
                  <c:v>0.52459016393442626</c:v>
                </c:pt>
                <c:pt idx="31">
                  <c:v>0.53968253968253965</c:v>
                </c:pt>
                <c:pt idx="32">
                  <c:v>0.56060606060606055</c:v>
                </c:pt>
                <c:pt idx="33">
                  <c:v>0.56060606060606055</c:v>
                </c:pt>
                <c:pt idx="34">
                  <c:v>0.55223880597014929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569892473118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まっつん2!$O$3:$O$37</c:f>
              <c:numCache>
                <c:formatCode>0.0%</c:formatCode>
                <c:ptCount val="3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0.25</c:v>
                </c:pt>
                <c:pt idx="8">
                  <c:v>0.375</c:v>
                </c:pt>
                <c:pt idx="9">
                  <c:v>0.4</c:v>
                </c:pt>
                <c:pt idx="10">
                  <c:v>0.53846153846153844</c:v>
                </c:pt>
                <c:pt idx="11">
                  <c:v>0.46666666666666667</c:v>
                </c:pt>
                <c:pt idx="12">
                  <c:v>0.3888888888888889</c:v>
                </c:pt>
                <c:pt idx="13">
                  <c:v>0.36842105263157893</c:v>
                </c:pt>
                <c:pt idx="14">
                  <c:v>0.35</c:v>
                </c:pt>
                <c:pt idx="15">
                  <c:v>0.375</c:v>
                </c:pt>
                <c:pt idx="16">
                  <c:v>0.35714285714285715</c:v>
                </c:pt>
                <c:pt idx="17">
                  <c:v>0.33333333333333331</c:v>
                </c:pt>
                <c:pt idx="18">
                  <c:v>0.32258064516129031</c:v>
                </c:pt>
                <c:pt idx="19">
                  <c:v>0.33333333333333331</c:v>
                </c:pt>
                <c:pt idx="20">
                  <c:v>0.34285714285714286</c:v>
                </c:pt>
                <c:pt idx="21">
                  <c:v>0.33333333333333331</c:v>
                </c:pt>
                <c:pt idx="22">
                  <c:v>0.33333333333333331</c:v>
                </c:pt>
                <c:pt idx="23">
                  <c:v>0.33333333333333331</c:v>
                </c:pt>
                <c:pt idx="24">
                  <c:v>0.33333333333333331</c:v>
                </c:pt>
                <c:pt idx="25">
                  <c:v>0.32500000000000001</c:v>
                </c:pt>
                <c:pt idx="26">
                  <c:v>0.31707317073170732</c:v>
                </c:pt>
                <c:pt idx="27">
                  <c:v>0.30232558139534882</c:v>
                </c:pt>
                <c:pt idx="28">
                  <c:v>0.30434782608695654</c:v>
                </c:pt>
                <c:pt idx="29">
                  <c:v>0.30612244897959184</c:v>
                </c:pt>
                <c:pt idx="30">
                  <c:v>0.29411764705882354</c:v>
                </c:pt>
                <c:pt idx="31">
                  <c:v>0.30769230769230771</c:v>
                </c:pt>
                <c:pt idx="32">
                  <c:v>0.30909090909090908</c:v>
                </c:pt>
                <c:pt idx="33">
                  <c:v>0.29310344827586204</c:v>
                </c:pt>
                <c:pt idx="34">
                  <c:v>0.30508474576271188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6040268456375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まっつん2!$P$3:$P$37</c:f>
              <c:numCache>
                <c:formatCode>0.0%</c:formatCode>
                <c:ptCount val="35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0.3888888888888889</c:v>
                </c:pt>
                <c:pt idx="10">
                  <c:v>0.30434782608695654</c:v>
                </c:pt>
                <c:pt idx="11">
                  <c:v>0.29166666666666669</c:v>
                </c:pt>
                <c:pt idx="12">
                  <c:v>0.32</c:v>
                </c:pt>
                <c:pt idx="13">
                  <c:v>0.32</c:v>
                </c:pt>
                <c:pt idx="14">
                  <c:v>0.30769230769230771</c:v>
                </c:pt>
                <c:pt idx="15">
                  <c:v>0.31034482758620691</c:v>
                </c:pt>
                <c:pt idx="16">
                  <c:v>0.3</c:v>
                </c:pt>
                <c:pt idx="17">
                  <c:v>0.32258064516129031</c:v>
                </c:pt>
                <c:pt idx="18">
                  <c:v>0.32258064516129031</c:v>
                </c:pt>
                <c:pt idx="19">
                  <c:v>0.35294117647058826</c:v>
                </c:pt>
                <c:pt idx="20">
                  <c:v>0.3611111111111111</c:v>
                </c:pt>
                <c:pt idx="21">
                  <c:v>0.34146341463414637</c:v>
                </c:pt>
                <c:pt idx="22">
                  <c:v>0.4</c:v>
                </c:pt>
                <c:pt idx="23">
                  <c:v>0.39130434782608697</c:v>
                </c:pt>
                <c:pt idx="24">
                  <c:v>0.4</c:v>
                </c:pt>
                <c:pt idx="25">
                  <c:v>0.4</c:v>
                </c:pt>
                <c:pt idx="26">
                  <c:v>0.39215686274509803</c:v>
                </c:pt>
                <c:pt idx="27">
                  <c:v>0.37735849056603776</c:v>
                </c:pt>
                <c:pt idx="28">
                  <c:v>0.4</c:v>
                </c:pt>
                <c:pt idx="29">
                  <c:v>0.38596491228070173</c:v>
                </c:pt>
                <c:pt idx="30">
                  <c:v>0.38983050847457629</c:v>
                </c:pt>
                <c:pt idx="31">
                  <c:v>0.38709677419354838</c:v>
                </c:pt>
                <c:pt idx="32">
                  <c:v>0.38805970149253732</c:v>
                </c:pt>
                <c:pt idx="33">
                  <c:v>0.38235294117647056</c:v>
                </c:pt>
                <c:pt idx="34">
                  <c:v>0.37681159420289856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572104018912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4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43991.753148148149</v>
      </c>
      <c r="C14" s="2" t="s">
        <v>127</v>
      </c>
      <c r="D14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192</v>
      </c>
    </row>
    <row r="2" spans="1:2" x14ac:dyDescent="0.45">
      <c r="A2" t="s">
        <v>164</v>
      </c>
      <c r="B2">
        <v>37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46</v>
      </c>
    </row>
    <row r="5" spans="1:2" x14ac:dyDescent="0.45">
      <c r="A5" t="s">
        <v>194</v>
      </c>
      <c r="B5">
        <v>16</v>
      </c>
    </row>
    <row r="6" spans="1:2" x14ac:dyDescent="0.45">
      <c r="A6" t="s">
        <v>192</v>
      </c>
      <c r="B6">
        <v>34</v>
      </c>
    </row>
    <row r="7" spans="1:2" x14ac:dyDescent="0.45">
      <c r="A7" t="s">
        <v>193</v>
      </c>
      <c r="B7">
        <v>22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11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39" t="s">
        <v>6</v>
      </c>
      <c r="E1" s="140"/>
      <c r="F1" s="139" t="s">
        <v>7</v>
      </c>
      <c r="G1" s="140"/>
      <c r="H1" s="143" t="s">
        <v>188</v>
      </c>
      <c r="I1" s="144"/>
      <c r="J1" s="139" t="s">
        <v>15</v>
      </c>
      <c r="K1" s="140"/>
      <c r="L1" s="139" t="s">
        <v>14</v>
      </c>
      <c r="M1" s="140"/>
      <c r="N1" s="139" t="s">
        <v>150</v>
      </c>
      <c r="O1" s="140"/>
      <c r="P1" s="139" t="s">
        <v>143</v>
      </c>
      <c r="Q1" s="140"/>
      <c r="R1" s="139" t="s">
        <v>144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145</v>
      </c>
      <c r="AG1" s="140"/>
      <c r="AH1" s="139" t="s">
        <v>138</v>
      </c>
      <c r="AI1" s="140"/>
      <c r="AJ1" s="139" t="s">
        <v>181</v>
      </c>
      <c r="AK1" s="140"/>
    </row>
    <row r="2" spans="1:37" x14ac:dyDescent="0.45">
      <c r="A2" s="38" t="s">
        <v>149</v>
      </c>
      <c r="B2" s="141">
        <v>0.6348157667155766</v>
      </c>
      <c r="C2" s="142"/>
      <c r="D2" s="145"/>
      <c r="E2" s="146"/>
      <c r="F2" s="145"/>
      <c r="G2" s="146"/>
      <c r="H2" s="141">
        <v>0.25055676824491102</v>
      </c>
      <c r="I2" s="142"/>
      <c r="J2" s="141">
        <v>0.79981334583261421</v>
      </c>
      <c r="K2" s="142"/>
      <c r="L2" s="141">
        <v>0.72121437867008853</v>
      </c>
      <c r="M2" s="142"/>
      <c r="N2" s="141">
        <v>0.78445945478381796</v>
      </c>
      <c r="O2" s="142"/>
      <c r="P2" s="141">
        <v>0.77172637365056418</v>
      </c>
      <c r="Q2" s="142"/>
      <c r="R2" s="141">
        <v>0.43200490427196375</v>
      </c>
      <c r="S2" s="142"/>
      <c r="T2" s="141">
        <v>0.34485640638495996</v>
      </c>
      <c r="U2" s="142"/>
      <c r="V2" s="141">
        <v>-1.6280497997271409E-2</v>
      </c>
      <c r="W2" s="142"/>
      <c r="X2" s="141">
        <v>0.78141189280452927</v>
      </c>
      <c r="Y2" s="142"/>
      <c r="Z2" s="141">
        <v>-6.8239203848041857E-2</v>
      </c>
      <c r="AA2" s="142"/>
      <c r="AB2" s="141">
        <v>-9.6918267677787051E-2</v>
      </c>
      <c r="AC2" s="142"/>
      <c r="AD2" s="141">
        <v>0.42086581657099759</v>
      </c>
      <c r="AE2" s="142"/>
      <c r="AF2" s="141">
        <v>0.83223261910657143</v>
      </c>
      <c r="AG2" s="142"/>
      <c r="AH2" s="141">
        <v>0.84666360355866377</v>
      </c>
      <c r="AI2" s="142"/>
      <c r="AJ2" s="141">
        <v>0.37817306349006219</v>
      </c>
      <c r="AK2" s="142"/>
    </row>
    <row r="3" spans="1:37" x14ac:dyDescent="0.45">
      <c r="A3" s="40">
        <v>1</v>
      </c>
      <c r="B3" s="43" t="s">
        <v>139</v>
      </c>
      <c r="C3" s="117">
        <v>64</v>
      </c>
      <c r="D3" s="41" t="s">
        <v>126</v>
      </c>
      <c r="E3" s="42">
        <v>687.90000000000009</v>
      </c>
      <c r="F3" s="43" t="s">
        <v>126</v>
      </c>
      <c r="G3" s="62">
        <v>14.954347826086959</v>
      </c>
      <c r="H3" s="43" t="s">
        <v>196</v>
      </c>
      <c r="I3" s="62">
        <v>7.6166666666666663</v>
      </c>
      <c r="J3" s="43" t="s">
        <v>126</v>
      </c>
      <c r="K3" s="44">
        <v>1.7173913043478262</v>
      </c>
      <c r="L3" s="43" t="s">
        <v>126</v>
      </c>
      <c r="M3" s="45">
        <v>0.45652173913043476</v>
      </c>
      <c r="N3" s="43" t="s">
        <v>196</v>
      </c>
      <c r="O3" s="45">
        <v>0.125</v>
      </c>
      <c r="P3" s="43" t="s">
        <v>126</v>
      </c>
      <c r="Q3" s="46">
        <v>0.35057471264367818</v>
      </c>
      <c r="R3" s="43" t="s">
        <v>196</v>
      </c>
      <c r="S3" s="46">
        <v>7.6923076923076927E-2</v>
      </c>
      <c r="T3" s="43" t="s">
        <v>164</v>
      </c>
      <c r="U3" s="47">
        <v>10564.935064935065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0.33121019108280253</v>
      </c>
      <c r="AD3" s="43" t="s">
        <v>213</v>
      </c>
      <c r="AE3" s="46">
        <v>0.70833333333333337</v>
      </c>
      <c r="AF3" s="43" t="s">
        <v>213</v>
      </c>
      <c r="AG3" s="46">
        <v>0.5714285714285714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46</v>
      </c>
      <c r="D4" s="49" t="s">
        <v>193</v>
      </c>
      <c r="E4" s="50">
        <v>90.5</v>
      </c>
      <c r="F4" s="51" t="s">
        <v>193</v>
      </c>
      <c r="G4" s="63">
        <v>4.1136363636363633</v>
      </c>
      <c r="H4" s="51" t="s">
        <v>205</v>
      </c>
      <c r="I4" s="63">
        <v>7.3222222222222202</v>
      </c>
      <c r="J4" s="51" t="s">
        <v>196</v>
      </c>
      <c r="K4" s="52">
        <v>1.875</v>
      </c>
      <c r="L4" s="51" t="s">
        <v>193</v>
      </c>
      <c r="M4" s="53">
        <v>0.40909090909090912</v>
      </c>
      <c r="N4" s="51" t="s">
        <v>126</v>
      </c>
      <c r="O4" s="53">
        <v>0.17391304347826086</v>
      </c>
      <c r="P4" s="51" t="s">
        <v>193</v>
      </c>
      <c r="Q4" s="54">
        <v>0.32484076433121017</v>
      </c>
      <c r="R4" s="51" t="s">
        <v>126</v>
      </c>
      <c r="S4" s="54">
        <v>0.11781609195402298</v>
      </c>
      <c r="T4" s="51" t="s">
        <v>126</v>
      </c>
      <c r="U4" s="55">
        <v>10115.573770491803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194</v>
      </c>
      <c r="AA4" s="54">
        <v>0.29411764705882354</v>
      </c>
      <c r="AB4" s="51" t="s">
        <v>205</v>
      </c>
      <c r="AC4" s="54">
        <v>0.32926829268292684</v>
      </c>
      <c r="AD4" s="51" t="s">
        <v>205</v>
      </c>
      <c r="AE4" s="54">
        <v>0.69230769230769229</v>
      </c>
      <c r="AF4" s="51" t="s">
        <v>126</v>
      </c>
      <c r="AG4" s="54">
        <v>0.54838709677419351</v>
      </c>
      <c r="AH4" s="51" t="s">
        <v>126</v>
      </c>
      <c r="AI4" s="54">
        <v>0.53278688524590168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37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126</v>
      </c>
      <c r="I5" s="63">
        <v>3.1661297852474299</v>
      </c>
      <c r="J5" s="51" t="s">
        <v>193</v>
      </c>
      <c r="K5" s="52">
        <v>1.9545454545454546</v>
      </c>
      <c r="L5" s="51" t="s">
        <v>164</v>
      </c>
      <c r="M5" s="53">
        <v>0.3783783783783784</v>
      </c>
      <c r="N5" s="51" t="s">
        <v>192</v>
      </c>
      <c r="O5" s="53">
        <v>0.29411764705882354</v>
      </c>
      <c r="P5" s="51" t="s">
        <v>205</v>
      </c>
      <c r="Q5" s="54">
        <v>0.31707317073170732</v>
      </c>
      <c r="R5" s="51" t="s">
        <v>192</v>
      </c>
      <c r="S5" s="54">
        <v>0.12062256809338522</v>
      </c>
      <c r="T5" s="51" t="s">
        <v>205</v>
      </c>
      <c r="U5" s="55">
        <v>9503.8461538461543</v>
      </c>
      <c r="V5" s="51" t="s">
        <v>193</v>
      </c>
      <c r="W5" s="55">
        <v>-7785.7142857142853</v>
      </c>
      <c r="X5" s="51" t="s">
        <v>126</v>
      </c>
      <c r="Y5" s="53">
        <v>2.1739130434782608E-2</v>
      </c>
      <c r="Z5" s="51" t="s">
        <v>164</v>
      </c>
      <c r="AA5" s="54">
        <v>0.29310344827586204</v>
      </c>
      <c r="AB5" s="51" t="s">
        <v>192</v>
      </c>
      <c r="AC5" s="54">
        <v>0.22957198443579765</v>
      </c>
      <c r="AD5" s="51" t="s">
        <v>196</v>
      </c>
      <c r="AE5" s="54">
        <v>0.68421052631578949</v>
      </c>
      <c r="AF5" s="51" t="s">
        <v>189</v>
      </c>
      <c r="AG5" s="54">
        <v>0.5</v>
      </c>
      <c r="AH5" s="51" t="s">
        <v>196</v>
      </c>
      <c r="AI5" s="54">
        <v>0.52941176470588236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34</v>
      </c>
      <c r="D6" s="49" t="s">
        <v>139</v>
      </c>
      <c r="E6" s="50">
        <v>-7.1054273576010019E-15</v>
      </c>
      <c r="F6" s="51" t="s">
        <v>139</v>
      </c>
      <c r="G6" s="63">
        <v>-3.7007434154171883E-17</v>
      </c>
      <c r="H6" s="51" t="s">
        <v>193</v>
      </c>
      <c r="I6" s="63">
        <v>2.2811111111111111</v>
      </c>
      <c r="J6" s="51" t="s">
        <v>192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213</v>
      </c>
      <c r="Q6" s="54">
        <v>0.3108108108108108</v>
      </c>
      <c r="R6" s="51" t="s">
        <v>193</v>
      </c>
      <c r="S6" s="54">
        <v>0.13375796178343949</v>
      </c>
      <c r="T6" s="51" t="s">
        <v>139</v>
      </c>
      <c r="U6" s="55">
        <v>9123.4042553191484</v>
      </c>
      <c r="V6" s="51" t="s">
        <v>192</v>
      </c>
      <c r="W6" s="55">
        <v>-7790.322580645161</v>
      </c>
      <c r="X6" s="51" t="s">
        <v>189</v>
      </c>
      <c r="Y6" s="53">
        <v>0.1111111111111111</v>
      </c>
      <c r="Z6" s="51" t="s">
        <v>196</v>
      </c>
      <c r="AA6" s="54">
        <v>0.29230769230769232</v>
      </c>
      <c r="AB6" s="51" t="s">
        <v>164</v>
      </c>
      <c r="AC6" s="54">
        <v>0.21724137931034482</v>
      </c>
      <c r="AD6" s="51" t="s">
        <v>126</v>
      </c>
      <c r="AE6" s="54">
        <v>0.61111111111111116</v>
      </c>
      <c r="AF6" s="51" t="s">
        <v>193</v>
      </c>
      <c r="AG6" s="54">
        <v>0.44230769230769229</v>
      </c>
      <c r="AH6" s="51" t="s">
        <v>213</v>
      </c>
      <c r="AI6" s="54">
        <v>0.52173913043478259</v>
      </c>
      <c r="AJ6" s="51" t="s">
        <v>126</v>
      </c>
      <c r="AK6" s="58">
        <v>102700</v>
      </c>
    </row>
    <row r="7" spans="1:37" x14ac:dyDescent="0.45">
      <c r="A7" s="48">
        <v>5</v>
      </c>
      <c r="B7" s="51" t="s">
        <v>193</v>
      </c>
      <c r="C7" s="118">
        <v>22</v>
      </c>
      <c r="D7" s="49" t="s">
        <v>213</v>
      </c>
      <c r="E7" s="50">
        <v>-41.599999999999994</v>
      </c>
      <c r="F7" s="51" t="s">
        <v>164</v>
      </c>
      <c r="G7" s="63">
        <v>-3.3621621621621629</v>
      </c>
      <c r="H7" s="51" t="s">
        <v>213</v>
      </c>
      <c r="I7" s="63">
        <v>2.1361111111111115</v>
      </c>
      <c r="J7" s="51" t="s">
        <v>139</v>
      </c>
      <c r="K7" s="52">
        <v>2</v>
      </c>
      <c r="L7" s="51" t="s">
        <v>192</v>
      </c>
      <c r="M7" s="53">
        <v>0.29411764705882354</v>
      </c>
      <c r="N7" s="51" t="s">
        <v>213</v>
      </c>
      <c r="O7" s="53">
        <v>0.33333333333333331</v>
      </c>
      <c r="P7" s="51" t="s">
        <v>139</v>
      </c>
      <c r="Q7" s="54">
        <v>0.29192546583850931</v>
      </c>
      <c r="R7" s="51" t="s">
        <v>194</v>
      </c>
      <c r="S7" s="54">
        <v>0.14705882352941177</v>
      </c>
      <c r="T7" s="51" t="s">
        <v>189</v>
      </c>
      <c r="U7" s="55">
        <v>9062.5</v>
      </c>
      <c r="V7" s="51" t="s">
        <v>164</v>
      </c>
      <c r="W7" s="55">
        <v>-8347.5409836065573</v>
      </c>
      <c r="X7" s="51" t="s">
        <v>192</v>
      </c>
      <c r="Y7" s="53">
        <v>0.11764705882352941</v>
      </c>
      <c r="Z7" s="51" t="s">
        <v>189</v>
      </c>
      <c r="AA7" s="54">
        <v>0.28378378378378377</v>
      </c>
      <c r="AB7" s="51" t="s">
        <v>139</v>
      </c>
      <c r="AC7" s="54">
        <v>0.20565907522429261</v>
      </c>
      <c r="AD7" s="51" t="s">
        <v>193</v>
      </c>
      <c r="AE7" s="54">
        <v>0.60869565217391308</v>
      </c>
      <c r="AF7" s="51" t="s">
        <v>139</v>
      </c>
      <c r="AG7" s="54">
        <v>0.40604026845637586</v>
      </c>
      <c r="AH7" s="51" t="s">
        <v>193</v>
      </c>
      <c r="AI7" s="54">
        <v>0.49019607843137253</v>
      </c>
      <c r="AJ7" s="51" t="s">
        <v>213</v>
      </c>
      <c r="AK7" s="58">
        <v>95000</v>
      </c>
    </row>
    <row r="8" spans="1:37" x14ac:dyDescent="0.45">
      <c r="A8" s="48">
        <v>6</v>
      </c>
      <c r="B8" s="51" t="s">
        <v>194</v>
      </c>
      <c r="C8" s="118">
        <v>16</v>
      </c>
      <c r="D8" s="49" t="s">
        <v>189</v>
      </c>
      <c r="E8" s="50">
        <v>-105.5</v>
      </c>
      <c r="F8" s="51" t="s">
        <v>213</v>
      </c>
      <c r="G8" s="63">
        <v>-4.6222222222222218</v>
      </c>
      <c r="H8" s="51" t="s">
        <v>194</v>
      </c>
      <c r="I8" s="63">
        <v>2.0444444444444443</v>
      </c>
      <c r="J8" s="51" t="s">
        <v>164</v>
      </c>
      <c r="K8" s="52">
        <v>2.0540540540540539</v>
      </c>
      <c r="L8" s="51" t="s">
        <v>196</v>
      </c>
      <c r="M8" s="53">
        <v>0.25</v>
      </c>
      <c r="N8" s="51" t="s">
        <v>193</v>
      </c>
      <c r="O8" s="53">
        <v>0.36363636363636365</v>
      </c>
      <c r="P8" s="51" t="s">
        <v>192</v>
      </c>
      <c r="Q8" s="54">
        <v>0.26848249027237353</v>
      </c>
      <c r="R8" s="51" t="s">
        <v>139</v>
      </c>
      <c r="S8" s="54">
        <v>0.15527950310559005</v>
      </c>
      <c r="T8" s="51" t="s">
        <v>194</v>
      </c>
      <c r="U8" s="55">
        <v>8777.2727272727279</v>
      </c>
      <c r="V8" s="51" t="s">
        <v>139</v>
      </c>
      <c r="W8" s="55">
        <v>-8378.2222222222226</v>
      </c>
      <c r="X8" s="51" t="s">
        <v>139</v>
      </c>
      <c r="Y8" s="53">
        <v>0.140625</v>
      </c>
      <c r="Z8" s="51" t="s">
        <v>192</v>
      </c>
      <c r="AA8" s="54">
        <v>0.26070038910505838</v>
      </c>
      <c r="AB8" s="51" t="s">
        <v>126</v>
      </c>
      <c r="AC8" s="54">
        <v>0.17816091954022989</v>
      </c>
      <c r="AD8" s="51" t="s">
        <v>192</v>
      </c>
      <c r="AE8" s="54">
        <v>0.55223880597014929</v>
      </c>
      <c r="AF8" s="51" t="s">
        <v>194</v>
      </c>
      <c r="AG8" s="54">
        <v>0.38461538461538464</v>
      </c>
      <c r="AH8" s="51" t="s">
        <v>139</v>
      </c>
      <c r="AI8" s="54">
        <v>0.4657210401891253</v>
      </c>
      <c r="AJ8" s="51" t="s">
        <v>205</v>
      </c>
      <c r="AK8" s="58">
        <v>93200</v>
      </c>
    </row>
    <row r="9" spans="1:37" x14ac:dyDescent="0.45">
      <c r="A9" s="48">
        <v>7</v>
      </c>
      <c r="B9" s="51" t="s">
        <v>205</v>
      </c>
      <c r="C9" s="118">
        <v>11</v>
      </c>
      <c r="D9" s="49" t="s">
        <v>205</v>
      </c>
      <c r="E9" s="50">
        <v>-121</v>
      </c>
      <c r="F9" s="51" t="s">
        <v>192</v>
      </c>
      <c r="G9" s="63">
        <v>-4.670588235294117</v>
      </c>
      <c r="H9" s="51" t="s">
        <v>139</v>
      </c>
      <c r="I9" s="63">
        <v>0</v>
      </c>
      <c r="J9" s="51" t="s">
        <v>213</v>
      </c>
      <c r="K9" s="52">
        <v>2.1111111111111112</v>
      </c>
      <c r="L9" s="51" t="s">
        <v>189</v>
      </c>
      <c r="M9" s="53">
        <v>0.22222222222222221</v>
      </c>
      <c r="N9" s="51" t="s">
        <v>164</v>
      </c>
      <c r="O9" s="53">
        <v>0.43243243243243246</v>
      </c>
      <c r="P9" s="51" t="s">
        <v>164</v>
      </c>
      <c r="Q9" s="54">
        <v>0.26551724137931032</v>
      </c>
      <c r="R9" s="51" t="s">
        <v>213</v>
      </c>
      <c r="S9" s="54">
        <v>0.1891891891891892</v>
      </c>
      <c r="T9" s="51" t="s">
        <v>193</v>
      </c>
      <c r="U9" s="55">
        <v>8037.2549019607841</v>
      </c>
      <c r="V9" s="51" t="s">
        <v>213</v>
      </c>
      <c r="W9" s="55">
        <v>-8671.4285714285706</v>
      </c>
      <c r="X9" s="51" t="s">
        <v>164</v>
      </c>
      <c r="Y9" s="53">
        <v>0.21621621621621623</v>
      </c>
      <c r="Z9" s="51" t="s">
        <v>126</v>
      </c>
      <c r="AA9" s="54">
        <v>0.25862068965517243</v>
      </c>
      <c r="AB9" s="51" t="s">
        <v>196</v>
      </c>
      <c r="AC9" s="54">
        <v>0.13846153846153847</v>
      </c>
      <c r="AD9" s="51" t="s">
        <v>139</v>
      </c>
      <c r="AE9" s="54">
        <v>0.54569892473118276</v>
      </c>
      <c r="AF9" s="51" t="s">
        <v>164</v>
      </c>
      <c r="AG9" s="54">
        <v>0.38095238095238093</v>
      </c>
      <c r="AH9" s="51" t="s">
        <v>164</v>
      </c>
      <c r="AI9" s="54">
        <v>0.44155844155844154</v>
      </c>
      <c r="AJ9" s="51" t="s">
        <v>196</v>
      </c>
      <c r="AK9" s="58">
        <v>89000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164</v>
      </c>
      <c r="E10" s="50">
        <v>-124.40000000000003</v>
      </c>
      <c r="F10" s="51" t="s">
        <v>205</v>
      </c>
      <c r="G10" s="63">
        <v>-11</v>
      </c>
      <c r="H10" s="51" t="s">
        <v>164</v>
      </c>
      <c r="I10" s="63">
        <v>-1.8654761904761845</v>
      </c>
      <c r="J10" s="51" t="s">
        <v>189</v>
      </c>
      <c r="K10" s="52">
        <v>2.2222222222222223</v>
      </c>
      <c r="L10" s="51" t="s">
        <v>213</v>
      </c>
      <c r="M10" s="53">
        <v>0.22222222222222221</v>
      </c>
      <c r="N10" s="51" t="s">
        <v>189</v>
      </c>
      <c r="O10" s="53">
        <v>0.44444444444444442</v>
      </c>
      <c r="P10" s="51" t="s">
        <v>196</v>
      </c>
      <c r="Q10" s="54">
        <v>0.26153846153846155</v>
      </c>
      <c r="R10" s="51" t="s">
        <v>164</v>
      </c>
      <c r="S10" s="54">
        <v>0.2103448275862069</v>
      </c>
      <c r="T10" s="51" t="s">
        <v>196</v>
      </c>
      <c r="U10" s="55">
        <v>7964.7058823529414</v>
      </c>
      <c r="V10" s="51" t="s">
        <v>194</v>
      </c>
      <c r="W10" s="55">
        <v>-8773.3333333333339</v>
      </c>
      <c r="X10" s="51" t="s">
        <v>193</v>
      </c>
      <c r="Y10" s="53">
        <v>0.22727272727272727</v>
      </c>
      <c r="Z10" s="51" t="s">
        <v>139</v>
      </c>
      <c r="AA10" s="54">
        <v>0.25672877846790892</v>
      </c>
      <c r="AB10" s="51" t="s">
        <v>194</v>
      </c>
      <c r="AC10" s="54">
        <v>0.12745098039215685</v>
      </c>
      <c r="AD10" s="51" t="s">
        <v>189</v>
      </c>
      <c r="AE10" s="54">
        <v>0.47619047619047616</v>
      </c>
      <c r="AF10" s="51" t="s">
        <v>196</v>
      </c>
      <c r="AG10" s="54">
        <v>0.33333333333333331</v>
      </c>
      <c r="AH10" s="51" t="s">
        <v>192</v>
      </c>
      <c r="AI10" s="54">
        <v>0.37681159420289856</v>
      </c>
      <c r="AJ10" s="51" t="s">
        <v>192</v>
      </c>
      <c r="AK10" s="58">
        <v>88500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192</v>
      </c>
      <c r="E11" s="50">
        <v>-158.79999999999998</v>
      </c>
      <c r="F11" s="51" t="s">
        <v>189</v>
      </c>
      <c r="G11" s="63">
        <v>-11.722222222222221</v>
      </c>
      <c r="H11" s="51" t="s">
        <v>189</v>
      </c>
      <c r="I11" s="63">
        <v>-3.6805555555555549</v>
      </c>
      <c r="J11" s="51" t="s">
        <v>205</v>
      </c>
      <c r="K11" s="52">
        <v>2.3636363636363638</v>
      </c>
      <c r="L11" s="51" t="s">
        <v>205</v>
      </c>
      <c r="M11" s="53">
        <v>0.18181818181818182</v>
      </c>
      <c r="N11" s="51" t="s">
        <v>194</v>
      </c>
      <c r="O11" s="53">
        <v>0.5</v>
      </c>
      <c r="P11" s="51" t="s">
        <v>189</v>
      </c>
      <c r="Q11" s="54">
        <v>0.21621621621621623</v>
      </c>
      <c r="R11" s="51" t="s">
        <v>189</v>
      </c>
      <c r="S11" s="54">
        <v>0.22972972972972974</v>
      </c>
      <c r="T11" s="51" t="s">
        <v>213</v>
      </c>
      <c r="U11" s="55">
        <v>7530.434782608696</v>
      </c>
      <c r="V11" s="51" t="s">
        <v>126</v>
      </c>
      <c r="W11" s="55">
        <v>-8895.121951219513</v>
      </c>
      <c r="X11" s="51" t="s">
        <v>205</v>
      </c>
      <c r="Y11" s="53">
        <v>0.27272727272727271</v>
      </c>
      <c r="Z11" s="51" t="s">
        <v>205</v>
      </c>
      <c r="AA11" s="54">
        <v>0.15853658536585366</v>
      </c>
      <c r="AB11" s="51" t="s">
        <v>213</v>
      </c>
      <c r="AC11" s="54">
        <v>9.45945945945946E-2</v>
      </c>
      <c r="AD11" s="51" t="s">
        <v>164</v>
      </c>
      <c r="AE11" s="54">
        <v>0.43529411764705883</v>
      </c>
      <c r="AF11" s="51" t="s">
        <v>192</v>
      </c>
      <c r="AG11" s="54">
        <v>0.30508474576271188</v>
      </c>
      <c r="AH11" s="51" t="s">
        <v>194</v>
      </c>
      <c r="AI11" s="54">
        <v>0.36363636363636365</v>
      </c>
      <c r="AJ11" s="51" t="s">
        <v>194</v>
      </c>
      <c r="AK11" s="58">
        <v>74500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-234.59999999999997</v>
      </c>
      <c r="F12" s="51" t="s">
        <v>194</v>
      </c>
      <c r="G12" s="63">
        <v>-14.662499999999998</v>
      </c>
      <c r="H12" s="51" t="s">
        <v>192</v>
      </c>
      <c r="I12" s="63">
        <v>-4.5295238095238091</v>
      </c>
      <c r="J12" s="51" t="s">
        <v>194</v>
      </c>
      <c r="K12" s="52">
        <v>2.375</v>
      </c>
      <c r="L12" s="51" t="s">
        <v>194</v>
      </c>
      <c r="M12" s="53">
        <v>0.125</v>
      </c>
      <c r="N12" s="51" t="s">
        <v>205</v>
      </c>
      <c r="O12" s="53">
        <v>0.54545454545454541</v>
      </c>
      <c r="P12" s="51" t="s">
        <v>194</v>
      </c>
      <c r="Q12" s="54">
        <v>0.21568627450980393</v>
      </c>
      <c r="R12" s="51" t="s">
        <v>205</v>
      </c>
      <c r="S12" s="54">
        <v>0.24390243902439024</v>
      </c>
      <c r="T12" s="51" t="s">
        <v>192</v>
      </c>
      <c r="U12" s="55">
        <v>7360.869565217391</v>
      </c>
      <c r="V12" s="51" t="s">
        <v>205</v>
      </c>
      <c r="W12" s="55">
        <v>-10365</v>
      </c>
      <c r="X12" s="51" t="s">
        <v>194</v>
      </c>
      <c r="Y12" s="53">
        <v>0.3125</v>
      </c>
      <c r="Z12" s="51" t="s">
        <v>193</v>
      </c>
      <c r="AA12" s="54">
        <v>0.1464968152866242</v>
      </c>
      <c r="AB12" s="51" t="s">
        <v>189</v>
      </c>
      <c r="AC12" s="54">
        <v>8.1081081081081086E-2</v>
      </c>
      <c r="AD12" s="51" t="s">
        <v>194</v>
      </c>
      <c r="AE12" s="54">
        <v>0.36666666666666664</v>
      </c>
      <c r="AF12" s="51" t="s">
        <v>205</v>
      </c>
      <c r="AG12" s="54">
        <v>0.25925925925925924</v>
      </c>
      <c r="AH12" s="51" t="s">
        <v>205</v>
      </c>
      <c r="AI12" s="54">
        <v>0.34615384615384615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19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192</v>
      </c>
      <c r="C2" s="132"/>
      <c r="E2" s="28" t="s">
        <v>66</v>
      </c>
      <c r="F2" s="25" t="s">
        <v>22</v>
      </c>
      <c r="G2" s="13">
        <v>297</v>
      </c>
      <c r="H2" s="91">
        <f>IF(B$19=0,0,G2/B$19)</f>
        <v>0.7021276595744681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-10.582010582010582</v>
      </c>
      <c r="P2" s="80">
        <v>189</v>
      </c>
      <c r="Q2" s="67">
        <v>-2000</v>
      </c>
    </row>
    <row r="3" spans="1:17" x14ac:dyDescent="0.45">
      <c r="A3" s="21" t="s">
        <v>8</v>
      </c>
      <c r="B3" s="133">
        <v>1449</v>
      </c>
      <c r="C3" s="134"/>
      <c r="E3" s="29" t="s">
        <v>72</v>
      </c>
      <c r="F3" s="26" t="s">
        <v>27</v>
      </c>
      <c r="G3" s="14">
        <v>232</v>
      </c>
      <c r="H3" s="92">
        <f>IF(B$19=0,0,G3/B$19)</f>
        <v>0.54846335697399529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-10.75268817204301</v>
      </c>
      <c r="P3" s="81">
        <v>186</v>
      </c>
      <c r="Q3" s="68">
        <v>-2000</v>
      </c>
    </row>
    <row r="4" spans="1:17" x14ac:dyDescent="0.45">
      <c r="A4" s="21" t="s">
        <v>6</v>
      </c>
      <c r="B4" s="135">
        <v>-7.1054273576010019E-15</v>
      </c>
      <c r="C4" s="136"/>
      <c r="E4" s="29" t="s">
        <v>64</v>
      </c>
      <c r="F4" s="26" t="s">
        <v>20</v>
      </c>
      <c r="G4" s="14">
        <v>194</v>
      </c>
      <c r="H4" s="92">
        <f>IF(B$19=0,0,G4/B$19)</f>
        <v>0.45862884160756501</v>
      </c>
      <c r="I4" s="60">
        <v>7</v>
      </c>
      <c r="K4" s="7">
        <v>2</v>
      </c>
      <c r="L4" s="65">
        <v>-39.199999999999996</v>
      </c>
      <c r="N4" s="78" t="s">
        <v>130</v>
      </c>
      <c r="O4" s="84">
        <f t="shared" si="0"/>
        <v>5.7471264367816088</v>
      </c>
      <c r="P4" s="81">
        <v>174</v>
      </c>
      <c r="Q4" s="68">
        <v>1000</v>
      </c>
    </row>
    <row r="5" spans="1:17" x14ac:dyDescent="0.45">
      <c r="A5" s="21" t="s">
        <v>7</v>
      </c>
      <c r="B5" s="123">
        <f>IF(B$2=0,0,B$4/B$2)</f>
        <v>-3.7007434154171883E-17</v>
      </c>
      <c r="C5" s="124"/>
      <c r="E5" s="29" t="s">
        <v>160</v>
      </c>
      <c r="F5" s="26" t="s">
        <v>161</v>
      </c>
      <c r="G5" s="14">
        <v>178</v>
      </c>
      <c r="H5" s="92">
        <f>IF(B$19=0,0,G5/B$19)</f>
        <v>0.42080378250591016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13.333333333333334</v>
      </c>
      <c r="P5" s="81">
        <v>150</v>
      </c>
      <c r="Q5" s="68">
        <v>2000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138</v>
      </c>
      <c r="H6" s="92">
        <f>IF(B$19=0,0,G6/B$19)</f>
        <v>0.32624113475177308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-60.606060606060609</v>
      </c>
      <c r="P6" s="81">
        <v>132</v>
      </c>
      <c r="Q6" s="68">
        <v>-8000</v>
      </c>
    </row>
    <row r="7" spans="1:17" x14ac:dyDescent="0.45">
      <c r="A7" s="21" t="s">
        <v>2</v>
      </c>
      <c r="B7" s="14">
        <v>64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102</v>
      </c>
      <c r="H7" s="92">
        <f>IF(B$19=0,0,G7/B$19)</f>
        <v>0.24113475177304963</v>
      </c>
      <c r="I7" s="60">
        <v>4</v>
      </c>
      <c r="K7" s="7">
        <v>5</v>
      </c>
      <c r="L7" s="65">
        <v>-55.999999999999993</v>
      </c>
      <c r="N7" s="79" t="s">
        <v>133</v>
      </c>
      <c r="O7" s="85">
        <f t="shared" si="0"/>
        <v>76.19047619047619</v>
      </c>
      <c r="P7" s="82">
        <v>105</v>
      </c>
      <c r="Q7" s="69">
        <v>8000</v>
      </c>
    </row>
    <row r="8" spans="1:17" x14ac:dyDescent="0.45">
      <c r="A8" s="21" t="s">
        <v>3</v>
      </c>
      <c r="B8" s="14">
        <v>64</v>
      </c>
      <c r="C8" s="8">
        <f t="shared" si="1"/>
        <v>0.33333333333333331</v>
      </c>
      <c r="E8" s="29" t="s">
        <v>89</v>
      </c>
      <c r="F8" s="26" t="s">
        <v>44</v>
      </c>
      <c r="G8" s="14">
        <v>61</v>
      </c>
      <c r="H8" s="92">
        <f>IF(B$19=0,0,G8/B$19)</f>
        <v>0.14420803782505912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64</v>
      </c>
      <c r="C9" s="9">
        <f t="shared" si="1"/>
        <v>0.33333333333333331</v>
      </c>
      <c r="E9" s="29" t="s">
        <v>69</v>
      </c>
      <c r="F9" s="26" t="s">
        <v>24</v>
      </c>
      <c r="G9" s="14">
        <v>54</v>
      </c>
      <c r="H9" s="92">
        <f>IF(B$19=0,0,G9/B$19)</f>
        <v>0.1276595744680851</v>
      </c>
      <c r="I9" s="60">
        <v>6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43.387499999999989</v>
      </c>
      <c r="C10" s="114">
        <v>2776.7999999999993</v>
      </c>
      <c r="E10" s="29" t="s">
        <v>65</v>
      </c>
      <c r="F10" s="26" t="s">
        <v>21</v>
      </c>
      <c r="G10" s="14">
        <v>43</v>
      </c>
      <c r="H10" s="92">
        <f>IF(B$19=0,0,G10/B$19)</f>
        <v>0.10165484633569739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-7.0843749999999988</v>
      </c>
      <c r="P10" s="80">
        <v>64</v>
      </c>
      <c r="Q10" s="71">
        <v>-453.39999999999992</v>
      </c>
    </row>
    <row r="11" spans="1:17" x14ac:dyDescent="0.45">
      <c r="A11" s="22" t="s">
        <v>186</v>
      </c>
      <c r="B11" s="113">
        <f>IF(B8=0,0,C11/B8)</f>
        <v>-4.2203125000000012</v>
      </c>
      <c r="C11" s="114">
        <v>-270.10000000000008</v>
      </c>
      <c r="E11" s="29" t="s">
        <v>70</v>
      </c>
      <c r="F11" s="26" t="s">
        <v>25</v>
      </c>
      <c r="G11" s="14">
        <v>29</v>
      </c>
      <c r="H11" s="92">
        <f>IF(B$19=0,0,G11/B$19)</f>
        <v>6.8557919621749411E-2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3.0749999999999993</v>
      </c>
      <c r="P11" s="81">
        <v>64</v>
      </c>
      <c r="Q11" s="72">
        <v>196.79999999999995</v>
      </c>
    </row>
    <row r="12" spans="1:17" x14ac:dyDescent="0.45">
      <c r="A12" s="22" t="s">
        <v>187</v>
      </c>
      <c r="B12" s="113">
        <f>IF(B9=0,0,C12/B9)</f>
        <v>-39.167187500000004</v>
      </c>
      <c r="C12" s="114">
        <v>-2506.7000000000003</v>
      </c>
      <c r="E12" s="29" t="s">
        <v>71</v>
      </c>
      <c r="F12" s="26" t="s">
        <v>26</v>
      </c>
      <c r="G12" s="14">
        <v>29</v>
      </c>
      <c r="H12" s="92">
        <f>IF(B$19=0,0,G12/B$19)</f>
        <v>6.8557919621749411E-2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4.0093749999999977</v>
      </c>
      <c r="P12" s="82">
        <v>64</v>
      </c>
      <c r="Q12" s="73">
        <v>256.59999999999985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23</v>
      </c>
      <c r="H13" s="92">
        <f>IF(B$19=0,0,G13/B$19)</f>
        <v>5.4373522458628844E-2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27</v>
      </c>
      <c r="C14" s="11">
        <f t="shared" si="1"/>
        <v>0.140625</v>
      </c>
      <c r="E14" s="29" t="s">
        <v>86</v>
      </c>
      <c r="F14" s="26" t="s">
        <v>41</v>
      </c>
      <c r="G14" s="14">
        <v>23</v>
      </c>
      <c r="H14" s="92">
        <f>IF(B$19=0,0,G14/B$19)</f>
        <v>5.4373522458628844E-2</v>
      </c>
      <c r="I14" s="60">
        <v>4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372</v>
      </c>
      <c r="C15" s="12">
        <f>IF(B$3=0,0,B15/B$3)</f>
        <v>0.25672877846790892</v>
      </c>
      <c r="E15" s="29" t="s">
        <v>78</v>
      </c>
      <c r="F15" s="26" t="s">
        <v>33</v>
      </c>
      <c r="G15" s="14">
        <v>14</v>
      </c>
      <c r="H15" s="92">
        <f>IF(B$19=0,0,G15/B$19)</f>
        <v>3.309692671394799E-2</v>
      </c>
      <c r="I15" s="60">
        <v>6</v>
      </c>
      <c r="K15" s="7">
        <v>13</v>
      </c>
      <c r="L15" s="65">
        <v>14.300000000000002</v>
      </c>
      <c r="N15" s="77" t="s">
        <v>194</v>
      </c>
      <c r="O15" s="86">
        <f>IF(P15=0,0,Q15/P15)</f>
        <v>21.993749999999999</v>
      </c>
      <c r="P15" s="80">
        <v>32</v>
      </c>
      <c r="Q15" s="71">
        <v>703.8</v>
      </c>
    </row>
    <row r="16" spans="1:17" x14ac:dyDescent="0.45">
      <c r="A16" s="21" t="s">
        <v>118</v>
      </c>
      <c r="B16" s="14">
        <v>298</v>
      </c>
      <c r="C16" s="8">
        <f>IF(B$3=0,0,B16/B$3)</f>
        <v>0.20565907522429261</v>
      </c>
      <c r="E16" s="29" t="s">
        <v>79</v>
      </c>
      <c r="F16" s="26" t="s">
        <v>34</v>
      </c>
      <c r="G16" s="14">
        <v>11</v>
      </c>
      <c r="H16" s="92">
        <f>IF(B$19=0,0,G16/B$19)</f>
        <v>2.6004728132387706E-2</v>
      </c>
      <c r="I16" s="60">
        <v>4</v>
      </c>
      <c r="K16" s="7">
        <v>14</v>
      </c>
      <c r="L16" s="65">
        <v>12.800000000000002</v>
      </c>
      <c r="N16" s="78" t="s">
        <v>189</v>
      </c>
      <c r="O16" s="87">
        <f>IF(P16=0,0,Q16/P16)</f>
        <v>17.583333333333336</v>
      </c>
      <c r="P16" s="81">
        <v>18</v>
      </c>
      <c r="Q16" s="72">
        <v>316.50000000000006</v>
      </c>
    </row>
    <row r="17" spans="1:17" x14ac:dyDescent="0.45">
      <c r="A17" s="20" t="s">
        <v>123</v>
      </c>
      <c r="B17" s="13">
        <f>B23</f>
        <v>203</v>
      </c>
      <c r="C17" s="6">
        <f>IF(B$15=0,0,B17/B$15)</f>
        <v>0.54569892473118276</v>
      </c>
      <c r="E17" s="29" t="s">
        <v>81</v>
      </c>
      <c r="F17" s="26" t="s">
        <v>36</v>
      </c>
      <c r="G17" s="14">
        <v>10</v>
      </c>
      <c r="H17" s="92">
        <f>IF(B$19=0,0,G17/B$19)</f>
        <v>2.3640661938534278E-2</v>
      </c>
      <c r="I17" s="60">
        <v>4</v>
      </c>
      <c r="K17" s="7">
        <v>15</v>
      </c>
      <c r="L17" s="65">
        <v>1.7763568394002505E-15</v>
      </c>
      <c r="N17" s="78" t="s">
        <v>205</v>
      </c>
      <c r="O17" s="87">
        <f>IF(P17=0,0,Q17/P17)</f>
        <v>16.5</v>
      </c>
      <c r="P17" s="81">
        <v>22</v>
      </c>
      <c r="Q17" s="72">
        <v>363</v>
      </c>
    </row>
    <row r="18" spans="1:17" x14ac:dyDescent="0.45">
      <c r="A18" s="20" t="s">
        <v>124</v>
      </c>
      <c r="B18" s="13">
        <f>B24</f>
        <v>121</v>
      </c>
      <c r="C18" s="6">
        <f>IF(B$16=0,0,B18/B$16)</f>
        <v>0.40604026845637586</v>
      </c>
      <c r="E18" s="29" t="s">
        <v>91</v>
      </c>
      <c r="F18" s="26" t="s">
        <v>46</v>
      </c>
      <c r="G18" s="14">
        <v>9</v>
      </c>
      <c r="H18" s="92">
        <f>IF(B$19=0,0,G18/B$19)</f>
        <v>2.1276595744680851E-2</v>
      </c>
      <c r="I18" s="60">
        <v>3</v>
      </c>
      <c r="K18" s="7">
        <v>16</v>
      </c>
      <c r="L18" s="65">
        <v>3.4000000000000017</v>
      </c>
      <c r="N18" s="78" t="s">
        <v>192</v>
      </c>
      <c r="O18" s="87">
        <f>IF(P18=0,0,Q18/P18)</f>
        <v>7.00588235294118</v>
      </c>
      <c r="P18" s="81">
        <v>68</v>
      </c>
      <c r="Q18" s="72">
        <v>476.40000000000026</v>
      </c>
    </row>
    <row r="19" spans="1:17" x14ac:dyDescent="0.45">
      <c r="A19" s="20" t="s">
        <v>10</v>
      </c>
      <c r="B19" s="13">
        <f>B22+B21</f>
        <v>423</v>
      </c>
      <c r="C19" s="6">
        <f>IF(B$3=0,0,B19/B$3)</f>
        <v>0.29192546583850931</v>
      </c>
      <c r="E19" s="29" t="s">
        <v>92</v>
      </c>
      <c r="F19" s="26" t="s">
        <v>47</v>
      </c>
      <c r="G19" s="14">
        <v>7</v>
      </c>
      <c r="H19" s="92">
        <f>IF(B$19=0,0,G19/B$19)</f>
        <v>1.6548463356973995E-2</v>
      </c>
      <c r="I19" s="60">
        <v>4</v>
      </c>
      <c r="K19" s="7">
        <v>17</v>
      </c>
      <c r="L19" s="65">
        <v>-35.800000000000004</v>
      </c>
      <c r="N19" s="78" t="s">
        <v>213</v>
      </c>
      <c r="O19" s="87">
        <f>IF(P19=0,0,Q19/P19)</f>
        <v>6.9333333333333345</v>
      </c>
      <c r="P19" s="81">
        <v>18</v>
      </c>
      <c r="Q19" s="72">
        <v>124.80000000000003</v>
      </c>
    </row>
    <row r="20" spans="1:17" x14ac:dyDescent="0.45">
      <c r="A20" s="21" t="s">
        <v>13</v>
      </c>
      <c r="B20" s="14">
        <v>225</v>
      </c>
      <c r="C20" s="8">
        <f>IF(B$3=0,0,B20/B$3)</f>
        <v>0.15527950310559005</v>
      </c>
      <c r="E20" s="29" t="s">
        <v>156</v>
      </c>
      <c r="F20" s="26" t="s">
        <v>157</v>
      </c>
      <c r="G20" s="14">
        <v>6</v>
      </c>
      <c r="H20" s="92">
        <f>IF(B$19=0,0,G20/B$19)</f>
        <v>1.4184397163120567E-2</v>
      </c>
      <c r="I20" s="60">
        <v>3</v>
      </c>
      <c r="K20" s="7">
        <v>18</v>
      </c>
      <c r="L20" s="65">
        <v>-7.1054273576010019E-15</v>
      </c>
      <c r="N20" s="78" t="s">
        <v>164</v>
      </c>
      <c r="O20" s="87">
        <f>IF(P20=0,0,Q20/P20)</f>
        <v>5.0432432432432419</v>
      </c>
      <c r="P20" s="81">
        <v>74</v>
      </c>
      <c r="Q20" s="72">
        <v>373.19999999999987</v>
      </c>
    </row>
    <row r="21" spans="1:17" x14ac:dyDescent="0.45">
      <c r="A21" s="21" t="s">
        <v>12</v>
      </c>
      <c r="B21" s="14">
        <v>197</v>
      </c>
      <c r="C21" s="8">
        <f>IF(B$19=0,0,B21/B$19)</f>
        <v>0.4657210401891253</v>
      </c>
      <c r="E21" s="29" t="s">
        <v>73</v>
      </c>
      <c r="F21" s="26" t="s">
        <v>28</v>
      </c>
      <c r="G21" s="14">
        <v>2</v>
      </c>
      <c r="H21" s="92">
        <f>IF(B$19=0,0,G21/B$19)</f>
        <v>4.7281323877068557E-3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226</v>
      </c>
      <c r="C22" s="8">
        <f>IF(B$19=0,0,B22/B$19)</f>
        <v>0.5342789598108747</v>
      </c>
      <c r="E22" s="29" t="s">
        <v>75</v>
      </c>
      <c r="F22" s="26" t="s">
        <v>30</v>
      </c>
      <c r="G22" s="14">
        <v>2</v>
      </c>
      <c r="H22" s="92">
        <f>IF(B$19=0,0,G22/B$19)</f>
        <v>4.7281323877068557E-3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-6.1704545454545459</v>
      </c>
      <c r="P22" s="81">
        <v>44</v>
      </c>
      <c r="Q22" s="72">
        <v>-271.5</v>
      </c>
    </row>
    <row r="23" spans="1:17" x14ac:dyDescent="0.45">
      <c r="A23" s="21" t="s">
        <v>184</v>
      </c>
      <c r="B23" s="14">
        <v>203</v>
      </c>
      <c r="C23" s="8">
        <f>IF(B$19=0,0,B23/B$19)</f>
        <v>0.47990543735224589</v>
      </c>
      <c r="E23" s="29" t="s">
        <v>77</v>
      </c>
      <c r="F23" s="26" t="s">
        <v>32</v>
      </c>
      <c r="G23" s="14">
        <v>2</v>
      </c>
      <c r="H23" s="92">
        <f>IF(B$19=0,0,G23/B$19)</f>
        <v>4.7281323877068557E-3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-22.431521739130417</v>
      </c>
      <c r="P23" s="81">
        <v>92</v>
      </c>
      <c r="Q23" s="72">
        <v>-2063.6999999999985</v>
      </c>
    </row>
    <row r="24" spans="1:17" x14ac:dyDescent="0.45">
      <c r="A24" s="21" t="s">
        <v>182</v>
      </c>
      <c r="B24" s="14">
        <v>121</v>
      </c>
      <c r="C24" s="8">
        <f>IF(B$19=0,0,B24/B$19)</f>
        <v>0.2860520094562648</v>
      </c>
      <c r="E24" s="29" t="s">
        <v>85</v>
      </c>
      <c r="F24" s="26" t="s">
        <v>40</v>
      </c>
      <c r="G24" s="14">
        <v>2</v>
      </c>
      <c r="H24" s="92">
        <f>IF(B$19=0,0,G24/B$19)</f>
        <v>4.7281323877068557E-3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99</v>
      </c>
      <c r="C25" s="8">
        <f>IF(B$19=0,0,B25/B$19)</f>
        <v>0.23404255319148937</v>
      </c>
      <c r="E25" s="29" t="s">
        <v>87</v>
      </c>
      <c r="F25" s="26" t="s">
        <v>42</v>
      </c>
      <c r="G25" s="14">
        <v>2</v>
      </c>
      <c r="H25" s="92">
        <f>IF(B$19=0,0,G25/B$19)</f>
        <v>4.7281323877068557E-3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9123.4042553191484</v>
      </c>
      <c r="C26" s="10">
        <v>3859200</v>
      </c>
      <c r="E26" s="29" t="s">
        <v>93</v>
      </c>
      <c r="F26" s="26" t="s">
        <v>48</v>
      </c>
      <c r="G26" s="14">
        <v>2</v>
      </c>
      <c r="H26" s="92">
        <f>IF(B$19=0,0,G26/B$19)</f>
        <v>4.7281323877068557E-3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9476.4900662251657</v>
      </c>
      <c r="C27" s="100">
        <v>2861900</v>
      </c>
      <c r="E27" s="29" t="s">
        <v>84</v>
      </c>
      <c r="F27" s="26" t="s">
        <v>39</v>
      </c>
      <c r="G27" s="14">
        <v>1</v>
      </c>
      <c r="H27" s="92">
        <f>IF(B$19=0,0,G27/B$19)</f>
        <v>2.3640661938534278E-3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8242.1487603305777</v>
      </c>
      <c r="C28" s="100">
        <v>997300</v>
      </c>
      <c r="E28" s="29" t="s">
        <v>95</v>
      </c>
      <c r="F28" s="26" t="s">
        <v>50</v>
      </c>
      <c r="G28" s="14">
        <v>1</v>
      </c>
      <c r="H28" s="92">
        <f>IF(B$19=0,0,G28/B$19)</f>
        <v>2.3640661938534278E-3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-8378.2222222222226</v>
      </c>
      <c r="C29" s="100">
        <v>-1885100</v>
      </c>
      <c r="E29" s="29" t="s">
        <v>97</v>
      </c>
      <c r="F29" s="26" t="s">
        <v>52</v>
      </c>
      <c r="G29" s="14">
        <v>1</v>
      </c>
      <c r="H29" s="92">
        <f>IF(B$19=0,0,G29/B$19)</f>
        <v>2.3640661938534278E-3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102</v>
      </c>
      <c r="F30" s="26" t="s">
        <v>57</v>
      </c>
      <c r="G30" s="14">
        <v>1</v>
      </c>
      <c r="H30" s="92">
        <f>IF(B$19=0,0,G30/B$19)</f>
        <v>2.3640661938534278E-3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12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3</v>
      </c>
      <c r="C34" s="11">
        <f>IF(B$3=0,0,B34/B$3)</f>
        <v>2.070393374741201E-3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88</v>
      </c>
      <c r="F35" s="26" t="s">
        <v>43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33</v>
      </c>
      <c r="C36" s="102">
        <f t="shared" ref="C36:C48" si="2">IF(B$19=0,0,B36/B$19)</f>
        <v>7.8014184397163122E-2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77</v>
      </c>
      <c r="C37" s="8">
        <f t="shared" si="2"/>
        <v>0.18203309692671396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67</v>
      </c>
      <c r="C38" s="8">
        <f t="shared" si="2"/>
        <v>0.15839243498817968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76</v>
      </c>
      <c r="C39" s="8">
        <f t="shared" si="2"/>
        <v>0.17966903073286053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67</v>
      </c>
      <c r="C40" s="8">
        <f t="shared" si="2"/>
        <v>0.15839243498817968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38</v>
      </c>
      <c r="C41" s="8">
        <f t="shared" si="2"/>
        <v>8.9834515366430265E-2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28</v>
      </c>
      <c r="C42" s="8">
        <f t="shared" si="2"/>
        <v>6.6193853427895979E-2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9</v>
      </c>
      <c r="C43" s="8">
        <f t="shared" si="2"/>
        <v>2.1276595744680851E-2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7</v>
      </c>
      <c r="C44" s="8">
        <f t="shared" si="2"/>
        <v>1.6548463356973995E-2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5</v>
      </c>
      <c r="C45" s="8">
        <f t="shared" si="2"/>
        <v>1.1820330969267139E-2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3</v>
      </c>
      <c r="C46" s="8">
        <f t="shared" si="2"/>
        <v>7.0921985815602835E-3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2.3640661938534278E-3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12</v>
      </c>
      <c r="C48" s="11">
        <f t="shared" si="2"/>
        <v>2.8368794326241134E-2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37</v>
      </c>
      <c r="C2" s="132"/>
      <c r="E2" s="28" t="s">
        <v>66</v>
      </c>
      <c r="F2" s="25" t="s">
        <v>22</v>
      </c>
      <c r="G2" s="13">
        <v>69</v>
      </c>
      <c r="H2" s="91">
        <f>IF(B$19=0,0,G2/B$19)</f>
        <v>0.89610389610389607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-3169.4444444444443</v>
      </c>
      <c r="P2" s="80">
        <v>36</v>
      </c>
      <c r="Q2" s="67">
        <v>-114100</v>
      </c>
    </row>
    <row r="3" spans="1:17" x14ac:dyDescent="0.45">
      <c r="A3" s="21" t="s">
        <v>8</v>
      </c>
      <c r="B3" s="133">
        <v>290</v>
      </c>
      <c r="C3" s="134"/>
      <c r="E3" s="29" t="s">
        <v>72</v>
      </c>
      <c r="F3" s="26" t="s">
        <v>27</v>
      </c>
      <c r="G3" s="14">
        <v>40</v>
      </c>
      <c r="H3" s="92">
        <f>IF(B$19=0,0,G3/B$19)</f>
        <v>0.51948051948051943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-586.11111111111109</v>
      </c>
      <c r="P3" s="81">
        <v>36</v>
      </c>
      <c r="Q3" s="68">
        <v>-21100</v>
      </c>
    </row>
    <row r="4" spans="1:17" x14ac:dyDescent="0.45">
      <c r="A4" s="21" t="s">
        <v>6</v>
      </c>
      <c r="B4" s="135">
        <v>-124.40000000000003</v>
      </c>
      <c r="C4" s="136"/>
      <c r="E4" s="29" t="s">
        <v>160</v>
      </c>
      <c r="F4" s="26" t="s">
        <v>161</v>
      </c>
      <c r="G4" s="14">
        <v>40</v>
      </c>
      <c r="H4" s="92">
        <f>IF(B$19=0,0,G4/B$19)</f>
        <v>0.51948051948051943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-245.45454545454547</v>
      </c>
      <c r="P4" s="81">
        <v>33</v>
      </c>
      <c r="Q4" s="68">
        <v>-8100</v>
      </c>
    </row>
    <row r="5" spans="1:17" x14ac:dyDescent="0.45">
      <c r="A5" s="21" t="s">
        <v>7</v>
      </c>
      <c r="B5" s="123">
        <f>IF(B$2=0,0,B$4/B$2)</f>
        <v>-3.3621621621621629</v>
      </c>
      <c r="C5" s="124"/>
      <c r="E5" s="29" t="s">
        <v>64</v>
      </c>
      <c r="F5" s="26" t="s">
        <v>20</v>
      </c>
      <c r="G5" s="14">
        <v>38</v>
      </c>
      <c r="H5" s="92">
        <f>IF(B$19=0,0,G5/B$19)</f>
        <v>0.4935064935064935</v>
      </c>
      <c r="I5" s="60">
        <v>5</v>
      </c>
      <c r="K5" s="7">
        <v>3</v>
      </c>
      <c r="L5" s="65">
        <v>61.5</v>
      </c>
      <c r="N5" s="78" t="s">
        <v>131</v>
      </c>
      <c r="O5" s="84">
        <f t="shared" si="0"/>
        <v>-2680</v>
      </c>
      <c r="P5" s="81">
        <v>30</v>
      </c>
      <c r="Q5" s="68">
        <v>-80400</v>
      </c>
    </row>
    <row r="6" spans="1:17" x14ac:dyDescent="0.45">
      <c r="A6" s="21" t="s">
        <v>1</v>
      </c>
      <c r="B6" s="137">
        <f>IF(B$2=0,0,(B$7*1+B$8*2+B$9*3)/B$2)</f>
        <v>2.0540540540540539</v>
      </c>
      <c r="C6" s="138"/>
      <c r="E6" s="29" t="s">
        <v>68</v>
      </c>
      <c r="F6" s="26" t="s">
        <v>12</v>
      </c>
      <c r="G6" s="14">
        <v>21</v>
      </c>
      <c r="H6" s="92">
        <f>IF(B$19=0,0,G6/B$19)</f>
        <v>0.27272727272727271</v>
      </c>
      <c r="I6" s="60">
        <v>6</v>
      </c>
      <c r="K6" s="7">
        <v>4</v>
      </c>
      <c r="L6" s="65">
        <v>27.4</v>
      </c>
      <c r="N6" s="78" t="s">
        <v>132</v>
      </c>
      <c r="O6" s="84">
        <f t="shared" si="0"/>
        <v>1660.7142857142858</v>
      </c>
      <c r="P6" s="81">
        <v>28</v>
      </c>
      <c r="Q6" s="68">
        <v>46500</v>
      </c>
    </row>
    <row r="7" spans="1:17" x14ac:dyDescent="0.45">
      <c r="A7" s="21" t="s">
        <v>2</v>
      </c>
      <c r="B7" s="14">
        <v>14</v>
      </c>
      <c r="C7" s="8">
        <f t="shared" ref="C7:C14" si="1">IF(B$2=0,0,B7/B$2)</f>
        <v>0.3783783783783784</v>
      </c>
      <c r="E7" s="29" t="s">
        <v>67</v>
      </c>
      <c r="F7" s="26" t="s">
        <v>23</v>
      </c>
      <c r="G7" s="14">
        <v>18</v>
      </c>
      <c r="H7" s="92">
        <f>IF(B$19=0,0,G7/B$19)</f>
        <v>0.23376623376623376</v>
      </c>
      <c r="I7" s="60">
        <v>5</v>
      </c>
      <c r="K7" s="7">
        <v>5</v>
      </c>
      <c r="L7" s="65">
        <v>18</v>
      </c>
      <c r="N7" s="79" t="s">
        <v>133</v>
      </c>
      <c r="O7" s="85">
        <f t="shared" si="0"/>
        <v>3923.8095238095239</v>
      </c>
      <c r="P7" s="82">
        <v>21</v>
      </c>
      <c r="Q7" s="69">
        <v>82400</v>
      </c>
    </row>
    <row r="8" spans="1:17" x14ac:dyDescent="0.45">
      <c r="A8" s="21" t="s">
        <v>3</v>
      </c>
      <c r="B8" s="14">
        <v>7</v>
      </c>
      <c r="C8" s="8">
        <f t="shared" si="1"/>
        <v>0.1891891891891892</v>
      </c>
      <c r="E8" s="29" t="s">
        <v>89</v>
      </c>
      <c r="F8" s="26" t="s">
        <v>44</v>
      </c>
      <c r="G8" s="14">
        <v>11</v>
      </c>
      <c r="H8" s="92">
        <f>IF(B$19=0,0,G8/B$19)</f>
        <v>0.14285714285714285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0.43243243243243246</v>
      </c>
      <c r="E9" s="29" t="s">
        <v>65</v>
      </c>
      <c r="F9" s="26" t="s">
        <v>21</v>
      </c>
      <c r="G9" s="14">
        <v>9</v>
      </c>
      <c r="H9" s="92">
        <f>IF(B$19=0,0,G9/B$19)</f>
        <v>0.11688311688311688</v>
      </c>
      <c r="I9" s="60">
        <v>4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41.664285714285725</v>
      </c>
      <c r="C10" s="114">
        <v>583.30000000000018</v>
      </c>
      <c r="E10" s="29" t="s">
        <v>70</v>
      </c>
      <c r="F10" s="26" t="s">
        <v>25</v>
      </c>
      <c r="G10" s="14">
        <v>8</v>
      </c>
      <c r="H10" s="92">
        <f>IF(B$19=0,0,G10/B$19)</f>
        <v>0.1038961038961039</v>
      </c>
      <c r="I10" s="60">
        <v>3</v>
      </c>
      <c r="K10" s="7">
        <v>8</v>
      </c>
      <c r="L10" s="65">
        <v>-9.9999999999999964</v>
      </c>
      <c r="N10" s="77" t="s">
        <v>152</v>
      </c>
      <c r="O10" s="86">
        <f>IF(P10=0,0,Q10/P10)</f>
        <v>-12.076923076923078</v>
      </c>
      <c r="P10" s="80">
        <v>13</v>
      </c>
      <c r="Q10" s="71">
        <v>-157.00000000000003</v>
      </c>
    </row>
    <row r="11" spans="1:17" x14ac:dyDescent="0.45">
      <c r="A11" s="22" t="s">
        <v>186</v>
      </c>
      <c r="B11" s="113">
        <f>IF(B8=0,0,C11/B8)</f>
        <v>-5.3857142857142861</v>
      </c>
      <c r="C11" s="114">
        <v>-37.700000000000003</v>
      </c>
      <c r="E11" s="29" t="s">
        <v>86</v>
      </c>
      <c r="F11" s="26" t="s">
        <v>41</v>
      </c>
      <c r="G11" s="14">
        <v>7</v>
      </c>
      <c r="H11" s="92">
        <f>IF(B$19=0,0,G11/B$19)</f>
        <v>9.0909090909090912E-2</v>
      </c>
      <c r="I11" s="60">
        <v>2</v>
      </c>
      <c r="K11" s="7">
        <v>9</v>
      </c>
      <c r="L11" s="65">
        <v>33.5</v>
      </c>
      <c r="N11" s="78" t="s">
        <v>153</v>
      </c>
      <c r="O11" s="87">
        <f>IF(P11=0,0,Q11/P11)</f>
        <v>12.366666666666665</v>
      </c>
      <c r="P11" s="81">
        <v>9</v>
      </c>
      <c r="Q11" s="72">
        <v>111.29999999999998</v>
      </c>
    </row>
    <row r="12" spans="1:17" x14ac:dyDescent="0.45">
      <c r="A12" s="22" t="s">
        <v>187</v>
      </c>
      <c r="B12" s="113">
        <f>IF(B9=0,0,C12/B9)</f>
        <v>-41.874999999999993</v>
      </c>
      <c r="C12" s="114">
        <v>-669.99999999999989</v>
      </c>
      <c r="E12" s="29" t="s">
        <v>69</v>
      </c>
      <c r="F12" s="26" t="s">
        <v>24</v>
      </c>
      <c r="G12" s="14">
        <v>5</v>
      </c>
      <c r="H12" s="92">
        <f>IF(B$19=0,0,G12/B$19)</f>
        <v>6.4935064935064929E-2</v>
      </c>
      <c r="I12" s="60">
        <v>9</v>
      </c>
      <c r="K12" s="7">
        <v>10</v>
      </c>
      <c r="L12" s="65">
        <v>26</v>
      </c>
      <c r="N12" s="79" t="s">
        <v>154</v>
      </c>
      <c r="O12" s="88">
        <f>IF(P12=0,0,Q12/P12)</f>
        <v>-5.2466666666666661</v>
      </c>
      <c r="P12" s="82">
        <v>15</v>
      </c>
      <c r="Q12" s="73">
        <v>-78.699999999999989</v>
      </c>
    </row>
    <row r="13" spans="1:17" x14ac:dyDescent="0.45">
      <c r="A13" s="22" t="s">
        <v>188</v>
      </c>
      <c r="B13" s="123">
        <f>AVERAGE(B10:B12)</f>
        <v>-1.8654761904761845</v>
      </c>
      <c r="C13" s="124"/>
      <c r="E13" s="29" t="s">
        <v>91</v>
      </c>
      <c r="F13" s="26" t="s">
        <v>46</v>
      </c>
      <c r="G13" s="14">
        <v>5</v>
      </c>
      <c r="H13" s="92">
        <f>IF(B$19=0,0,G13/B$19)</f>
        <v>6.4935064935064929E-2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0.21621621621621623</v>
      </c>
      <c r="E14" s="29" t="s">
        <v>71</v>
      </c>
      <c r="F14" s="26" t="s">
        <v>26</v>
      </c>
      <c r="G14" s="14">
        <v>4</v>
      </c>
      <c r="H14" s="92">
        <f>IF(B$19=0,0,G14/B$19)</f>
        <v>5.1948051948051951E-2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85</v>
      </c>
      <c r="C15" s="12">
        <f>IF(B$3=0,0,B15/B$3)</f>
        <v>0.29310344827586204</v>
      </c>
      <c r="E15" s="29" t="s">
        <v>79</v>
      </c>
      <c r="F15" s="26" t="s">
        <v>34</v>
      </c>
      <c r="G15" s="14">
        <v>3</v>
      </c>
      <c r="H15" s="92">
        <f>IF(B$19=0,0,G15/B$19)</f>
        <v>3.896103896103896E-2</v>
      </c>
      <c r="I15" s="60">
        <v>3</v>
      </c>
      <c r="K15" s="7">
        <v>13</v>
      </c>
      <c r="L15" s="65">
        <v>-33.5</v>
      </c>
      <c r="N15" s="77" t="s">
        <v>205</v>
      </c>
      <c r="O15" s="86">
        <f>IF(P15=0,0,Q15/P15)</f>
        <v>29.925000000000001</v>
      </c>
      <c r="P15" s="80">
        <v>4</v>
      </c>
      <c r="Q15" s="71">
        <v>119.7</v>
      </c>
    </row>
    <row r="16" spans="1:17" x14ac:dyDescent="0.45">
      <c r="A16" s="21" t="s">
        <v>118</v>
      </c>
      <c r="B16" s="14">
        <v>63</v>
      </c>
      <c r="C16" s="8">
        <f>IF(B$3=0,0,B16/B$3)</f>
        <v>0.21724137931034482</v>
      </c>
      <c r="E16" s="29" t="s">
        <v>81</v>
      </c>
      <c r="F16" s="26" t="s">
        <v>36</v>
      </c>
      <c r="G16" s="14">
        <v>3</v>
      </c>
      <c r="H16" s="92">
        <f>IF(B$19=0,0,G16/B$19)</f>
        <v>3.896103896103896E-2</v>
      </c>
      <c r="I16" s="60">
        <v>3</v>
      </c>
      <c r="K16" s="7">
        <v>14</v>
      </c>
      <c r="L16" s="65">
        <v>15.100000000000001</v>
      </c>
      <c r="N16" s="78" t="s">
        <v>189</v>
      </c>
      <c r="O16" s="87">
        <f>IF(P16=0,0,Q16/P16)</f>
        <v>26.674999999999997</v>
      </c>
      <c r="P16" s="81">
        <v>4</v>
      </c>
      <c r="Q16" s="72">
        <v>106.69999999999999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0.43529411764705883</v>
      </c>
      <c r="E17" s="29" t="s">
        <v>78</v>
      </c>
      <c r="F17" s="26" t="s">
        <v>33</v>
      </c>
      <c r="G17" s="14">
        <v>2</v>
      </c>
      <c r="H17" s="92">
        <f>IF(B$19=0,0,G17/B$19)</f>
        <v>2.5974025974025976E-2</v>
      </c>
      <c r="I17" s="60">
        <v>7</v>
      </c>
      <c r="K17" s="7">
        <v>15</v>
      </c>
      <c r="L17" s="65">
        <v>-33.1</v>
      </c>
      <c r="N17" s="78" t="s">
        <v>213</v>
      </c>
      <c r="O17" s="87">
        <f>IF(P17=0,0,Q17/P17)</f>
        <v>9.1222222222222218</v>
      </c>
      <c r="P17" s="81">
        <v>9</v>
      </c>
      <c r="Q17" s="72">
        <v>82.1</v>
      </c>
    </row>
    <row r="18" spans="1:17" x14ac:dyDescent="0.45">
      <c r="A18" s="20" t="s">
        <v>124</v>
      </c>
      <c r="B18" s="13">
        <f>B24</f>
        <v>24</v>
      </c>
      <c r="C18" s="6">
        <f>IF(B$16=0,0,B18/B$16)</f>
        <v>0.38095238095238093</v>
      </c>
      <c r="E18" s="29" t="s">
        <v>83</v>
      </c>
      <c r="F18" s="26" t="s">
        <v>38</v>
      </c>
      <c r="G18" s="14">
        <v>2</v>
      </c>
      <c r="H18" s="92">
        <f>IF(B$19=0,0,G18/B$19)</f>
        <v>2.5974025974025976E-2</v>
      </c>
      <c r="I18" s="60">
        <v>7</v>
      </c>
      <c r="K18" s="7">
        <v>16</v>
      </c>
      <c r="L18" s="65">
        <v>-10.8</v>
      </c>
      <c r="N18" s="78" t="s">
        <v>192</v>
      </c>
      <c r="O18" s="87">
        <f>IF(P18=0,0,Q18/P18)</f>
        <v>5.7499999999999982</v>
      </c>
      <c r="P18" s="81">
        <v>16</v>
      </c>
      <c r="Q18" s="72">
        <v>91.999999999999972</v>
      </c>
    </row>
    <row r="19" spans="1:17" x14ac:dyDescent="0.45">
      <c r="A19" s="20" t="s">
        <v>10</v>
      </c>
      <c r="B19" s="13">
        <f>B22+B21</f>
        <v>77</v>
      </c>
      <c r="C19" s="6">
        <f>IF(B$3=0,0,B19/B$3)</f>
        <v>0.26551724137931032</v>
      </c>
      <c r="E19" s="29" t="s">
        <v>92</v>
      </c>
      <c r="F19" s="26" t="s">
        <v>47</v>
      </c>
      <c r="G19" s="14">
        <v>2</v>
      </c>
      <c r="H19" s="92">
        <f>IF(B$19=0,0,G19/B$19)</f>
        <v>2.5974025974025976E-2</v>
      </c>
      <c r="I19" s="60">
        <v>2</v>
      </c>
      <c r="K19" s="7">
        <v>17</v>
      </c>
      <c r="L19" s="65">
        <v>-32.900000000000006</v>
      </c>
      <c r="N19" s="78" t="s">
        <v>196</v>
      </c>
      <c r="O19" s="87">
        <f>IF(P19=0,0,Q19/P19)</f>
        <v>-0.29999999999999244</v>
      </c>
      <c r="P19" s="81">
        <v>3</v>
      </c>
      <c r="Q19" s="72">
        <v>-0.89999999999997726</v>
      </c>
    </row>
    <row r="20" spans="1:17" x14ac:dyDescent="0.45">
      <c r="A20" s="21" t="s">
        <v>13</v>
      </c>
      <c r="B20" s="14">
        <v>61</v>
      </c>
      <c r="C20" s="8">
        <f>IF(B$3=0,0,B20/B$3)</f>
        <v>0.2103448275862069</v>
      </c>
      <c r="E20" s="29" t="s">
        <v>75</v>
      </c>
      <c r="F20" s="26" t="s">
        <v>30</v>
      </c>
      <c r="G20" s="14">
        <v>1</v>
      </c>
      <c r="H20" s="92">
        <f>IF(B$19=0,0,G20/B$19)</f>
        <v>1.2987012987012988E-2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>IF(P20=0,0,Q20/P20)</f>
        <v>-13.788888888888883</v>
      </c>
      <c r="P20" s="81">
        <v>27</v>
      </c>
      <c r="Q20" s="72">
        <v>-372.29999999999984</v>
      </c>
    </row>
    <row r="21" spans="1:17" x14ac:dyDescent="0.45">
      <c r="A21" s="21" t="s">
        <v>12</v>
      </c>
      <c r="B21" s="14">
        <v>34</v>
      </c>
      <c r="C21" s="8">
        <f>IF(B$19=0,0,B21/B$19)</f>
        <v>0.44155844155844154</v>
      </c>
      <c r="E21" s="29" t="s">
        <v>97</v>
      </c>
      <c r="F21" s="26" t="s">
        <v>52</v>
      </c>
      <c r="G21" s="14">
        <v>1</v>
      </c>
      <c r="H21" s="92">
        <f>IF(B$19=0,0,G21/B$19)</f>
        <v>1.2987012987012988E-2</v>
      </c>
      <c r="I21" s="60">
        <v>1</v>
      </c>
      <c r="K21" s="7">
        <v>19</v>
      </c>
      <c r="L21" s="65">
        <v>-44.500000000000014</v>
      </c>
      <c r="N21" s="78" t="s">
        <v>193</v>
      </c>
      <c r="O21" s="87">
        <f>IF(P21=0,0,Q21/P21)</f>
        <v>-32.566666666666663</v>
      </c>
      <c r="P21" s="81">
        <v>6</v>
      </c>
      <c r="Q21" s="72">
        <v>-195.39999999999998</v>
      </c>
    </row>
    <row r="22" spans="1:17" x14ac:dyDescent="0.45">
      <c r="A22" s="21" t="s">
        <v>11</v>
      </c>
      <c r="B22" s="14">
        <v>43</v>
      </c>
      <c r="C22" s="8">
        <f>IF(B$19=0,0,B22/B$19)</f>
        <v>0.55844155844155841</v>
      </c>
      <c r="E22" s="29" t="s">
        <v>156</v>
      </c>
      <c r="F22" s="26" t="s">
        <v>157</v>
      </c>
      <c r="G22" s="14">
        <v>1</v>
      </c>
      <c r="H22" s="92">
        <f>IF(B$19=0,0,G22/B$19)</f>
        <v>1.2987012987012988E-2</v>
      </c>
      <c r="I22" s="60">
        <v>4</v>
      </c>
      <c r="K22" s="7">
        <v>20</v>
      </c>
      <c r="L22" s="65">
        <v>-72.000000000000014</v>
      </c>
      <c r="N22" s="78" t="s">
        <v>194</v>
      </c>
      <c r="O22" s="87">
        <f>IF(P22=0,0,Q22/P22)</f>
        <v>-41.02</v>
      </c>
      <c r="P22" s="81">
        <v>5</v>
      </c>
      <c r="Q22" s="72">
        <v>-205.10000000000002</v>
      </c>
    </row>
    <row r="23" spans="1:17" x14ac:dyDescent="0.45">
      <c r="A23" s="21" t="s">
        <v>184</v>
      </c>
      <c r="B23" s="14">
        <v>37</v>
      </c>
      <c r="C23" s="8">
        <f>IF(B$19=0,0,B23/B$19)</f>
        <v>0.48051948051948051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24</v>
      </c>
      <c r="C24" s="8">
        <f>IF(B$19=0,0,B24/B$19)</f>
        <v>0.31168831168831168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16</v>
      </c>
      <c r="C25" s="8">
        <f>IF(B$19=0,0,B25/B$19)</f>
        <v>0.20779220779220781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10564.935064935065</v>
      </c>
      <c r="C26" s="10">
        <v>813500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11422.641509433963</v>
      </c>
      <c r="C27" s="100">
        <v>605400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8670.8333333333339</v>
      </c>
      <c r="C28" s="100">
        <v>208100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-8347.5409836065573</v>
      </c>
      <c r="C29" s="100">
        <v>-509200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20</v>
      </c>
      <c r="C31" s="94">
        <v>2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1</v>
      </c>
      <c r="C34" s="11">
        <f>IF(B$3=0,0,B34/B$3)</f>
        <v>3.4482758620689655E-3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2</v>
      </c>
      <c r="C36" s="102">
        <f t="shared" ref="C36:C48" si="2">IF(B$19=0,0,B36/B$19)</f>
        <v>2.5974025974025976E-2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12</v>
      </c>
      <c r="C37" s="8">
        <f t="shared" si="2"/>
        <v>0.15584415584415584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4</v>
      </c>
      <c r="C38" s="8">
        <f t="shared" si="2"/>
        <v>5.1948051948051951E-2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20</v>
      </c>
      <c r="C39" s="8">
        <f t="shared" si="2"/>
        <v>0.25974025974025972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16</v>
      </c>
      <c r="C40" s="8">
        <f t="shared" si="2"/>
        <v>0.20779220779220781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7</v>
      </c>
      <c r="C41" s="8">
        <f t="shared" si="2"/>
        <v>9.0909090909090912E-2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8</v>
      </c>
      <c r="C42" s="8">
        <f t="shared" si="2"/>
        <v>0.1038961038961039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3</v>
      </c>
      <c r="C43" s="8">
        <f t="shared" si="2"/>
        <v>3.896103896103896E-2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1.2987012987012988E-2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2"/>
        <v>1.2987012987012988E-2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3</v>
      </c>
      <c r="C48" s="11">
        <f t="shared" si="2"/>
        <v>3.896103896103896E-2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10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9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7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46</v>
      </c>
      <c r="C2" s="132"/>
      <c r="E2" s="28" t="s">
        <v>66</v>
      </c>
      <c r="F2" s="25" t="s">
        <v>22</v>
      </c>
      <c r="G2" s="13">
        <v>88</v>
      </c>
      <c r="H2" s="91">
        <f>IF(B$19=0,0,G2/B$19)</f>
        <v>0.72131147540983609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221.7391304347826</v>
      </c>
      <c r="P2" s="80">
        <v>46</v>
      </c>
      <c r="Q2" s="67">
        <v>10200</v>
      </c>
    </row>
    <row r="3" spans="1:17" x14ac:dyDescent="0.45">
      <c r="A3" s="21" t="s">
        <v>8</v>
      </c>
      <c r="B3" s="133">
        <v>348</v>
      </c>
      <c r="C3" s="134"/>
      <c r="E3" s="29" t="s">
        <v>72</v>
      </c>
      <c r="F3" s="26" t="s">
        <v>27</v>
      </c>
      <c r="G3" s="14">
        <v>58</v>
      </c>
      <c r="H3" s="92">
        <f>IF(B$19=0,0,G3/B$19)</f>
        <v>0.47540983606557374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4855.5555555555557</v>
      </c>
      <c r="P3" s="81">
        <v>45</v>
      </c>
      <c r="Q3" s="68">
        <v>218500</v>
      </c>
    </row>
    <row r="4" spans="1:17" x14ac:dyDescent="0.45">
      <c r="A4" s="21" t="s">
        <v>6</v>
      </c>
      <c r="B4" s="135">
        <v>687.90000000000009</v>
      </c>
      <c r="C4" s="136"/>
      <c r="E4" s="29" t="s">
        <v>160</v>
      </c>
      <c r="F4" s="26" t="s">
        <v>161</v>
      </c>
      <c r="G4" s="14">
        <v>54</v>
      </c>
      <c r="H4" s="92">
        <f>IF(B$19=0,0,G4/B$19)</f>
        <v>0.44262295081967212</v>
      </c>
      <c r="I4" s="60">
        <v>4</v>
      </c>
      <c r="K4" s="7">
        <v>2</v>
      </c>
      <c r="L4" s="65">
        <v>99.6</v>
      </c>
      <c r="N4" s="78" t="s">
        <v>130</v>
      </c>
      <c r="O4" s="84">
        <f t="shared" si="0"/>
        <v>5547.6190476190477</v>
      </c>
      <c r="P4" s="81">
        <v>42</v>
      </c>
      <c r="Q4" s="68">
        <v>233000</v>
      </c>
    </row>
    <row r="5" spans="1:17" x14ac:dyDescent="0.45">
      <c r="A5" s="21" t="s">
        <v>7</v>
      </c>
      <c r="B5" s="123">
        <f>IF(B$2=0,0,B$4/B$2)</f>
        <v>14.954347826086959</v>
      </c>
      <c r="C5" s="124"/>
      <c r="E5" s="29" t="s">
        <v>64</v>
      </c>
      <c r="F5" s="26" t="s">
        <v>20</v>
      </c>
      <c r="G5" s="14">
        <v>49</v>
      </c>
      <c r="H5" s="92">
        <f>IF(B$19=0,0,G5/B$19)</f>
        <v>0.40163934426229508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4016.6666666666665</v>
      </c>
      <c r="P5" s="81">
        <v>36</v>
      </c>
      <c r="Q5" s="68">
        <v>144600</v>
      </c>
    </row>
    <row r="6" spans="1:17" x14ac:dyDescent="0.45">
      <c r="A6" s="21" t="s">
        <v>1</v>
      </c>
      <c r="B6" s="137">
        <f>IF(B$2=0,0,(B$7*1+B$8*2+B$9*3)/B$2)</f>
        <v>1.7173913043478262</v>
      </c>
      <c r="C6" s="138"/>
      <c r="E6" s="29" t="s">
        <v>68</v>
      </c>
      <c r="F6" s="26" t="s">
        <v>12</v>
      </c>
      <c r="G6" s="14">
        <v>48</v>
      </c>
      <c r="H6" s="92">
        <f>IF(B$19=0,0,G6/B$19)</f>
        <v>0.39344262295081966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-1863.6363636363637</v>
      </c>
      <c r="P6" s="81">
        <v>33</v>
      </c>
      <c r="Q6" s="68">
        <v>-61500</v>
      </c>
    </row>
    <row r="7" spans="1:17" x14ac:dyDescent="0.45">
      <c r="A7" s="21" t="s">
        <v>2</v>
      </c>
      <c r="B7" s="14">
        <v>21</v>
      </c>
      <c r="C7" s="8">
        <f t="shared" ref="C7:C14" si="1">IF(B$2=0,0,B7/B$2)</f>
        <v>0.45652173913043476</v>
      </c>
      <c r="E7" s="29" t="s">
        <v>67</v>
      </c>
      <c r="F7" s="26" t="s">
        <v>23</v>
      </c>
      <c r="G7" s="14">
        <v>27</v>
      </c>
      <c r="H7" s="92">
        <f>IF(B$19=0,0,G7/B$19)</f>
        <v>0.22131147540983606</v>
      </c>
      <c r="I7" s="60">
        <v>7</v>
      </c>
      <c r="K7" s="7">
        <v>5</v>
      </c>
      <c r="L7" s="65">
        <v>143.1</v>
      </c>
      <c r="N7" s="79" t="s">
        <v>133</v>
      </c>
      <c r="O7" s="85">
        <f t="shared" si="0"/>
        <v>173.07692307692307</v>
      </c>
      <c r="P7" s="82">
        <v>26</v>
      </c>
      <c r="Q7" s="69">
        <v>4500</v>
      </c>
    </row>
    <row r="8" spans="1:17" x14ac:dyDescent="0.45">
      <c r="A8" s="21" t="s">
        <v>3</v>
      </c>
      <c r="B8" s="14">
        <v>17</v>
      </c>
      <c r="C8" s="8">
        <f t="shared" si="1"/>
        <v>0.36956521739130432</v>
      </c>
      <c r="E8" s="29" t="s">
        <v>69</v>
      </c>
      <c r="F8" s="26" t="s">
        <v>24</v>
      </c>
      <c r="G8" s="14">
        <v>22</v>
      </c>
      <c r="H8" s="92">
        <f>IF(B$19=0,0,G8/B$19)</f>
        <v>0.18032786885245902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0.17391304347826086</v>
      </c>
      <c r="E9" s="29" t="s">
        <v>89</v>
      </c>
      <c r="F9" s="26" t="s">
        <v>44</v>
      </c>
      <c r="G9" s="14">
        <v>22</v>
      </c>
      <c r="H9" s="92">
        <f>IF(B$19=0,0,G9/B$19)</f>
        <v>0.18032786885245902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46.838095238095235</v>
      </c>
      <c r="C10" s="114">
        <v>983.59999999999991</v>
      </c>
      <c r="E10" s="29" t="s">
        <v>65</v>
      </c>
      <c r="F10" s="26" t="s">
        <v>21</v>
      </c>
      <c r="G10" s="14">
        <v>12</v>
      </c>
      <c r="H10" s="92">
        <f>IF(B$19=0,0,G10/B$19)</f>
        <v>9.8360655737704916E-2</v>
      </c>
      <c r="I10" s="60">
        <v>7</v>
      </c>
      <c r="K10" s="7">
        <v>8</v>
      </c>
      <c r="L10" s="65">
        <v>132.6</v>
      </c>
      <c r="N10" s="77" t="s">
        <v>152</v>
      </c>
      <c r="O10" s="86">
        <f>IF(P10=0,0,Q10/P10)</f>
        <v>1.276923076923077</v>
      </c>
      <c r="P10" s="80">
        <v>13</v>
      </c>
      <c r="Q10" s="71">
        <v>16.600000000000001</v>
      </c>
    </row>
    <row r="11" spans="1:17" x14ac:dyDescent="0.45">
      <c r="A11" s="22" t="s">
        <v>186</v>
      </c>
      <c r="B11" s="113">
        <f>IF(B8=0,0,C11/B8)</f>
        <v>0.33529411764705891</v>
      </c>
      <c r="C11" s="114">
        <v>5.7000000000000011</v>
      </c>
      <c r="E11" s="29" t="s">
        <v>71</v>
      </c>
      <c r="F11" s="26" t="s">
        <v>26</v>
      </c>
      <c r="G11" s="14">
        <v>10</v>
      </c>
      <c r="H11" s="92">
        <f>IF(B$19=0,0,G11/B$19)</f>
        <v>8.1967213114754092E-2</v>
      </c>
      <c r="I11" s="60">
        <v>4</v>
      </c>
      <c r="K11" s="7">
        <v>9</v>
      </c>
      <c r="L11" s="65">
        <v>151.29999999999998</v>
      </c>
      <c r="N11" s="78" t="s">
        <v>153</v>
      </c>
      <c r="O11" s="87">
        <f>IF(P11=0,0,Q11/P11)</f>
        <v>19.806249999999999</v>
      </c>
      <c r="P11" s="81">
        <v>16</v>
      </c>
      <c r="Q11" s="72">
        <v>316.89999999999998</v>
      </c>
    </row>
    <row r="12" spans="1:17" x14ac:dyDescent="0.45">
      <c r="A12" s="22" t="s">
        <v>187</v>
      </c>
      <c r="B12" s="113">
        <f>IF(B9=0,0,C12/B9)</f>
        <v>-37.675000000000004</v>
      </c>
      <c r="C12" s="114">
        <v>-301.40000000000003</v>
      </c>
      <c r="E12" s="29" t="s">
        <v>86</v>
      </c>
      <c r="F12" s="26" t="s">
        <v>41</v>
      </c>
      <c r="G12" s="14">
        <v>10</v>
      </c>
      <c r="H12" s="92">
        <f>IF(B$19=0,0,G12/B$19)</f>
        <v>8.1967213114754092E-2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20.847058823529416</v>
      </c>
      <c r="P12" s="82">
        <v>17</v>
      </c>
      <c r="Q12" s="73">
        <v>354.40000000000009</v>
      </c>
    </row>
    <row r="13" spans="1:17" x14ac:dyDescent="0.45">
      <c r="A13" s="22" t="s">
        <v>188</v>
      </c>
      <c r="B13" s="123">
        <f>AVERAGE(B10:B12)</f>
        <v>3.1661297852474299</v>
      </c>
      <c r="C13" s="124"/>
      <c r="E13" s="29" t="s">
        <v>70</v>
      </c>
      <c r="F13" s="26" t="s">
        <v>25</v>
      </c>
      <c r="G13" s="14">
        <v>9</v>
      </c>
      <c r="H13" s="92">
        <f>IF(B$19=0,0,G13/B$19)</f>
        <v>7.3770491803278687E-2</v>
      </c>
      <c r="I13" s="60">
        <v>4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2.1739130434782608E-2</v>
      </c>
      <c r="E14" s="29" t="s">
        <v>83</v>
      </c>
      <c r="F14" s="26" t="s">
        <v>38</v>
      </c>
      <c r="G14" s="14">
        <v>7</v>
      </c>
      <c r="H14" s="92">
        <f>IF(B$19=0,0,G14/B$19)</f>
        <v>5.737704918032787E-2</v>
      </c>
      <c r="I14" s="60">
        <v>4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90</v>
      </c>
      <c r="C15" s="12">
        <f>IF(B$3=0,0,B15/B$3)</f>
        <v>0.25862068965517243</v>
      </c>
      <c r="E15" s="29" t="s">
        <v>156</v>
      </c>
      <c r="F15" s="26" t="s">
        <v>157</v>
      </c>
      <c r="G15" s="14">
        <v>4</v>
      </c>
      <c r="H15" s="92">
        <f>IF(B$19=0,0,G15/B$19)</f>
        <v>3.2786885245901641E-2</v>
      </c>
      <c r="I15" s="60">
        <v>1</v>
      </c>
      <c r="K15" s="7">
        <v>13</v>
      </c>
      <c r="L15" s="65">
        <v>197</v>
      </c>
      <c r="N15" s="77" t="s">
        <v>194</v>
      </c>
      <c r="O15" s="86">
        <f>IF(P15=0,0,Q15/P15)</f>
        <v>51.2</v>
      </c>
      <c r="P15" s="80">
        <v>8</v>
      </c>
      <c r="Q15" s="71">
        <v>409.6</v>
      </c>
    </row>
    <row r="16" spans="1:17" x14ac:dyDescent="0.45">
      <c r="A16" s="21" t="s">
        <v>118</v>
      </c>
      <c r="B16" s="14">
        <v>62</v>
      </c>
      <c r="C16" s="8">
        <f>IF(B$3=0,0,B16/B$3)</f>
        <v>0.17816091954022989</v>
      </c>
      <c r="E16" s="29" t="s">
        <v>92</v>
      </c>
      <c r="F16" s="26" t="s">
        <v>47</v>
      </c>
      <c r="G16" s="14">
        <v>3</v>
      </c>
      <c r="H16" s="92">
        <f>IF(B$19=0,0,G16/B$19)</f>
        <v>2.4590163934426229E-2</v>
      </c>
      <c r="I16" s="60">
        <v>3</v>
      </c>
      <c r="K16" s="7">
        <v>14</v>
      </c>
      <c r="L16" s="65">
        <v>249.2</v>
      </c>
      <c r="N16" s="78" t="s">
        <v>196</v>
      </c>
      <c r="O16" s="87">
        <f>IF(P16=0,0,Q16/P16)</f>
        <v>34.9</v>
      </c>
      <c r="P16" s="81">
        <v>2</v>
      </c>
      <c r="Q16" s="72">
        <v>69.8</v>
      </c>
    </row>
    <row r="17" spans="1:17" x14ac:dyDescent="0.45">
      <c r="A17" s="20" t="s">
        <v>123</v>
      </c>
      <c r="B17" s="13">
        <f>B23</f>
        <v>55</v>
      </c>
      <c r="C17" s="6">
        <f>IF(B$15=0,0,B17/B$15)</f>
        <v>0.61111111111111116</v>
      </c>
      <c r="E17" s="29" t="s">
        <v>79</v>
      </c>
      <c r="F17" s="26" t="s">
        <v>34</v>
      </c>
      <c r="G17" s="14">
        <v>2</v>
      </c>
      <c r="H17" s="92">
        <f>IF(B$19=0,0,G17/B$19)</f>
        <v>1.6393442622950821E-2</v>
      </c>
      <c r="I17" s="60">
        <v>5</v>
      </c>
      <c r="K17" s="7">
        <v>15</v>
      </c>
      <c r="L17" s="65">
        <v>213.5</v>
      </c>
      <c r="N17" s="78" t="s">
        <v>189</v>
      </c>
      <c r="O17" s="87">
        <f>IF(P17=0,0,Q17/P17)</f>
        <v>29.983333333333331</v>
      </c>
      <c r="P17" s="81">
        <v>6</v>
      </c>
      <c r="Q17" s="72">
        <v>179.89999999999998</v>
      </c>
    </row>
    <row r="18" spans="1:17" x14ac:dyDescent="0.45">
      <c r="A18" s="20" t="s">
        <v>124</v>
      </c>
      <c r="B18" s="13">
        <f>B24</f>
        <v>34</v>
      </c>
      <c r="C18" s="6">
        <f>IF(B$16=0,0,B18/B$16)</f>
        <v>0.54838709677419351</v>
      </c>
      <c r="E18" s="29" t="s">
        <v>81</v>
      </c>
      <c r="F18" s="26" t="s">
        <v>36</v>
      </c>
      <c r="G18" s="14">
        <v>2</v>
      </c>
      <c r="H18" s="92">
        <f>IF(B$19=0,0,G18/B$19)</f>
        <v>1.6393442622950821E-2</v>
      </c>
      <c r="I18" s="60">
        <v>5</v>
      </c>
      <c r="K18" s="7">
        <v>16</v>
      </c>
      <c r="L18" s="65">
        <v>273.8</v>
      </c>
      <c r="N18" s="78" t="s">
        <v>192</v>
      </c>
      <c r="O18" s="87">
        <f>IF(P18=0,0,Q18/P18)</f>
        <v>26.873684210526314</v>
      </c>
      <c r="P18" s="81">
        <v>19</v>
      </c>
      <c r="Q18" s="72">
        <v>510.59999999999997</v>
      </c>
    </row>
    <row r="19" spans="1:17" x14ac:dyDescent="0.45">
      <c r="A19" s="20" t="s">
        <v>10</v>
      </c>
      <c r="B19" s="13">
        <f>B22+B21</f>
        <v>122</v>
      </c>
      <c r="C19" s="6">
        <f>IF(B$3=0,0,B19/B$3)</f>
        <v>0.35057471264367818</v>
      </c>
      <c r="E19" s="29" t="s">
        <v>91</v>
      </c>
      <c r="F19" s="26" t="s">
        <v>46</v>
      </c>
      <c r="G19" s="14">
        <v>2</v>
      </c>
      <c r="H19" s="92">
        <f>IF(B$19=0,0,G19/B$19)</f>
        <v>1.6393442622950821E-2</v>
      </c>
      <c r="I19" s="60">
        <v>4</v>
      </c>
      <c r="K19" s="7">
        <v>17</v>
      </c>
      <c r="L19" s="65">
        <v>242.8</v>
      </c>
      <c r="N19" s="78" t="s">
        <v>205</v>
      </c>
      <c r="O19" s="87">
        <f>IF(P19=0,0,Q19/P19)</f>
        <v>24.52</v>
      </c>
      <c r="P19" s="81">
        <v>10</v>
      </c>
      <c r="Q19" s="72">
        <v>245.2</v>
      </c>
    </row>
    <row r="20" spans="1:17" x14ac:dyDescent="0.45">
      <c r="A20" s="21" t="s">
        <v>13</v>
      </c>
      <c r="B20" s="14">
        <v>41</v>
      </c>
      <c r="C20" s="8">
        <f>IF(B$3=0,0,B20/B$3)</f>
        <v>0.11781609195402298</v>
      </c>
      <c r="E20" s="29" t="s">
        <v>93</v>
      </c>
      <c r="F20" s="26" t="s">
        <v>48</v>
      </c>
      <c r="G20" s="14">
        <v>2</v>
      </c>
      <c r="H20" s="92">
        <f>IF(B$19=0,0,G20/B$19)</f>
        <v>1.6393442622950821E-2</v>
      </c>
      <c r="I20" s="60">
        <v>1</v>
      </c>
      <c r="K20" s="7">
        <v>18</v>
      </c>
      <c r="L20" s="65">
        <v>280</v>
      </c>
      <c r="N20" s="78" t="s">
        <v>193</v>
      </c>
      <c r="O20" s="87">
        <f>IF(P20=0,0,Q20/P20)</f>
        <v>21.236363636363635</v>
      </c>
      <c r="P20" s="81">
        <v>11</v>
      </c>
      <c r="Q20" s="72">
        <v>233.59999999999997</v>
      </c>
    </row>
    <row r="21" spans="1:17" x14ac:dyDescent="0.45">
      <c r="A21" s="21" t="s">
        <v>12</v>
      </c>
      <c r="B21" s="14">
        <v>65</v>
      </c>
      <c r="C21" s="8">
        <f>IF(B$19=0,0,B21/B$19)</f>
        <v>0.53278688524590168</v>
      </c>
      <c r="E21" s="29" t="s">
        <v>73</v>
      </c>
      <c r="F21" s="26" t="s">
        <v>28</v>
      </c>
      <c r="G21" s="14">
        <v>1</v>
      </c>
      <c r="H21" s="92">
        <f>IF(B$19=0,0,G21/B$19)</f>
        <v>8.1967213114754103E-3</v>
      </c>
      <c r="I21" s="60">
        <v>2</v>
      </c>
      <c r="K21" s="7">
        <v>19</v>
      </c>
      <c r="L21" s="65">
        <v>281.5</v>
      </c>
      <c r="N21" s="78" t="s">
        <v>164</v>
      </c>
      <c r="O21" s="87">
        <f>IF(P21=0,0,Q21/P21)</f>
        <v>13.788888888888888</v>
      </c>
      <c r="P21" s="81">
        <v>27</v>
      </c>
      <c r="Q21" s="72">
        <v>372.29999999999995</v>
      </c>
    </row>
    <row r="22" spans="1:17" x14ac:dyDescent="0.45">
      <c r="A22" s="21" t="s">
        <v>11</v>
      </c>
      <c r="B22" s="14">
        <v>57</v>
      </c>
      <c r="C22" s="8">
        <f>IF(B$19=0,0,B22/B$19)</f>
        <v>0.46721311475409838</v>
      </c>
      <c r="E22" s="29" t="s">
        <v>78</v>
      </c>
      <c r="F22" s="26" t="s">
        <v>33</v>
      </c>
      <c r="G22" s="14">
        <v>1</v>
      </c>
      <c r="H22" s="92">
        <f>IF(B$19=0,0,G22/B$19)</f>
        <v>8.1967213114754103E-3</v>
      </c>
      <c r="I22" s="60">
        <v>8</v>
      </c>
      <c r="K22" s="7">
        <v>20</v>
      </c>
      <c r="L22" s="65">
        <v>287.2</v>
      </c>
      <c r="N22" s="78" t="s">
        <v>213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55</v>
      </c>
      <c r="C23" s="8">
        <f>IF(B$19=0,0,B23/B$19)</f>
        <v>0.45081967213114754</v>
      </c>
      <c r="E23" s="29" t="s">
        <v>84</v>
      </c>
      <c r="F23" s="26" t="s">
        <v>39</v>
      </c>
      <c r="G23" s="14">
        <v>1</v>
      </c>
      <c r="H23" s="92">
        <f>IF(B$19=0,0,G23/B$19)</f>
        <v>8.1967213114754103E-3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34</v>
      </c>
      <c r="C24" s="8">
        <f>IF(B$19=0,0,B24/B$19)</f>
        <v>0.27868852459016391</v>
      </c>
      <c r="E24" s="29" t="s">
        <v>87</v>
      </c>
      <c r="F24" s="26" t="s">
        <v>42</v>
      </c>
      <c r="G24" s="14">
        <v>1</v>
      </c>
      <c r="H24" s="92">
        <f>IF(B$19=0,0,G24/B$19)</f>
        <v>8.1967213114754103E-3</v>
      </c>
      <c r="I24" s="60">
        <v>2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33</v>
      </c>
      <c r="C25" s="8">
        <f>IF(B$19=0,0,B25/B$19)</f>
        <v>0.27049180327868855</v>
      </c>
      <c r="E25" s="29" t="s">
        <v>95</v>
      </c>
      <c r="F25" s="26" t="s">
        <v>50</v>
      </c>
      <c r="G25" s="14">
        <v>1</v>
      </c>
      <c r="H25" s="92">
        <f>IF(B$19=0,0,G25/B$19)</f>
        <v>8.1967213114754103E-3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10115.573770491803</v>
      </c>
      <c r="C26" s="10">
        <v>1234100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10456.818181818182</v>
      </c>
      <c r="C27" s="100">
        <v>920200</v>
      </c>
      <c r="E27" s="29" t="s">
        <v>75</v>
      </c>
      <c r="F27" s="26" t="s">
        <v>30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9232.3529411764703</v>
      </c>
      <c r="C28" s="100">
        <v>313900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-8895.121951219513</v>
      </c>
      <c r="C29" s="100">
        <v>-364700</v>
      </c>
      <c r="E29" s="29" t="s">
        <v>77</v>
      </c>
      <c r="F29" s="26" t="s">
        <v>32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3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7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6</v>
      </c>
      <c r="C36" s="102">
        <f t="shared" ref="C36:C48" si="2">IF(B$19=0,0,B36/B$19)</f>
        <v>4.9180327868852458E-2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18</v>
      </c>
      <c r="C37" s="8">
        <f t="shared" si="2"/>
        <v>0.14754098360655737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18</v>
      </c>
      <c r="C38" s="8">
        <f t="shared" si="2"/>
        <v>0.14754098360655737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25</v>
      </c>
      <c r="C39" s="8">
        <f t="shared" si="2"/>
        <v>0.20491803278688525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24</v>
      </c>
      <c r="C40" s="8">
        <f t="shared" si="2"/>
        <v>0.19672131147540983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10</v>
      </c>
      <c r="C41" s="8">
        <f t="shared" si="2"/>
        <v>8.1967213114754092E-2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6</v>
      </c>
      <c r="C42" s="8">
        <f t="shared" si="2"/>
        <v>4.9180327868852458E-2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3</v>
      </c>
      <c r="C43" s="8">
        <f t="shared" si="2"/>
        <v>2.4590163934426229E-2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2"/>
        <v>3.2786885245901641E-2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2</v>
      </c>
      <c r="C45" s="8">
        <f t="shared" si="2"/>
        <v>1.6393442622950821E-2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2"/>
        <v>4.9180327868852458E-2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16</v>
      </c>
      <c r="C2" s="132"/>
      <c r="E2" s="28" t="s">
        <v>64</v>
      </c>
      <c r="F2" s="25" t="s">
        <v>20</v>
      </c>
      <c r="G2" s="13">
        <v>11</v>
      </c>
      <c r="H2" s="91">
        <f>IF(B$19=0,0,G2/B$19)</f>
        <v>0.5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-4875</v>
      </c>
      <c r="P2" s="80">
        <v>16</v>
      </c>
      <c r="Q2" s="67">
        <v>-78000</v>
      </c>
    </row>
    <row r="3" spans="1:17" x14ac:dyDescent="0.45">
      <c r="A3" s="21" t="s">
        <v>8</v>
      </c>
      <c r="B3" s="133">
        <v>102</v>
      </c>
      <c r="C3" s="134"/>
      <c r="E3" s="29" t="s">
        <v>160</v>
      </c>
      <c r="F3" s="26" t="s">
        <v>161</v>
      </c>
      <c r="G3" s="14">
        <v>11</v>
      </c>
      <c r="H3" s="92">
        <f>IF(B$19=0,0,G3/B$19)</f>
        <v>0.5</v>
      </c>
      <c r="I3" s="60">
        <v>3</v>
      </c>
      <c r="K3" s="7">
        <v>1</v>
      </c>
      <c r="L3" s="65">
        <v>-55.5</v>
      </c>
      <c r="N3" s="78" t="s">
        <v>129</v>
      </c>
      <c r="O3" s="84">
        <f t="shared" si="0"/>
        <v>-1060</v>
      </c>
      <c r="P3" s="81">
        <v>15</v>
      </c>
      <c r="Q3" s="68">
        <v>-15900</v>
      </c>
    </row>
    <row r="4" spans="1:17" x14ac:dyDescent="0.45">
      <c r="A4" s="21" t="s">
        <v>6</v>
      </c>
      <c r="B4" s="135">
        <v>-234.59999999999997</v>
      </c>
      <c r="C4" s="136"/>
      <c r="E4" s="29" t="s">
        <v>66</v>
      </c>
      <c r="F4" s="26" t="s">
        <v>22</v>
      </c>
      <c r="G4" s="14">
        <v>10</v>
      </c>
      <c r="H4" s="92">
        <f>IF(B$19=0,0,G4/B$19)</f>
        <v>0.45454545454545453</v>
      </c>
      <c r="I4" s="60">
        <v>9</v>
      </c>
      <c r="K4" s="7">
        <v>2</v>
      </c>
      <c r="L4" s="65">
        <v>-106.5</v>
      </c>
      <c r="N4" s="78" t="s">
        <v>130</v>
      </c>
      <c r="O4" s="84">
        <f t="shared" si="0"/>
        <v>-7700</v>
      </c>
      <c r="P4" s="81">
        <v>13</v>
      </c>
      <c r="Q4" s="68">
        <v>-100100</v>
      </c>
    </row>
    <row r="5" spans="1:17" x14ac:dyDescent="0.45">
      <c r="A5" s="21" t="s">
        <v>7</v>
      </c>
      <c r="B5" s="123">
        <f>IF(B$2=0,0,B$4/B$2)</f>
        <v>-14.662499999999998</v>
      </c>
      <c r="C5" s="124"/>
      <c r="E5" s="29" t="s">
        <v>72</v>
      </c>
      <c r="F5" s="26" t="s">
        <v>27</v>
      </c>
      <c r="G5" s="14">
        <v>10</v>
      </c>
      <c r="H5" s="92">
        <f>IF(B$19=0,0,G5/B$19)</f>
        <v>0.45454545454545453</v>
      </c>
      <c r="I5" s="60">
        <v>9</v>
      </c>
      <c r="K5" s="7">
        <v>3</v>
      </c>
      <c r="L5" s="65">
        <v>-108</v>
      </c>
      <c r="N5" s="78" t="s">
        <v>131</v>
      </c>
      <c r="O5" s="84">
        <f t="shared" si="0"/>
        <v>2066.6666666666665</v>
      </c>
      <c r="P5" s="81">
        <v>9</v>
      </c>
      <c r="Q5" s="68">
        <v>18600</v>
      </c>
    </row>
    <row r="6" spans="1:17" x14ac:dyDescent="0.45">
      <c r="A6" s="21" t="s">
        <v>1</v>
      </c>
      <c r="B6" s="137">
        <f>IF(B$2=0,0,(B$7*1+B$8*2+B$9*3)/B$2)</f>
        <v>2.375</v>
      </c>
      <c r="C6" s="138"/>
      <c r="E6" s="29" t="s">
        <v>68</v>
      </c>
      <c r="F6" s="26" t="s">
        <v>12</v>
      </c>
      <c r="G6" s="14">
        <v>6</v>
      </c>
      <c r="H6" s="92">
        <f>IF(B$19=0,0,G6/B$19)</f>
        <v>0.27272727272727271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400</v>
      </c>
      <c r="P6" s="81">
        <v>7</v>
      </c>
      <c r="Q6" s="68">
        <v>2800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0.125</v>
      </c>
      <c r="E7" s="29" t="s">
        <v>67</v>
      </c>
      <c r="F7" s="26" t="s">
        <v>23</v>
      </c>
      <c r="G7" s="14">
        <v>5</v>
      </c>
      <c r="H7" s="92">
        <f>IF(B$19=0,0,G7/B$19)</f>
        <v>0.22727272727272727</v>
      </c>
      <c r="I7" s="60">
        <v>6</v>
      </c>
      <c r="K7" s="7">
        <v>5</v>
      </c>
      <c r="L7" s="65">
        <v>-116</v>
      </c>
      <c r="N7" s="79" t="s">
        <v>133</v>
      </c>
      <c r="O7" s="85">
        <f t="shared" si="0"/>
        <v>-2850</v>
      </c>
      <c r="P7" s="82">
        <v>6</v>
      </c>
      <c r="Q7" s="69">
        <v>-17100</v>
      </c>
    </row>
    <row r="8" spans="1:17" x14ac:dyDescent="0.45">
      <c r="A8" s="21" t="s">
        <v>3</v>
      </c>
      <c r="B8" s="14">
        <v>6</v>
      </c>
      <c r="C8" s="8">
        <f t="shared" si="1"/>
        <v>0.375</v>
      </c>
      <c r="E8" s="29" t="s">
        <v>69</v>
      </c>
      <c r="F8" s="26" t="s">
        <v>24</v>
      </c>
      <c r="G8" s="14">
        <v>3</v>
      </c>
      <c r="H8" s="92">
        <f>IF(B$19=0,0,G8/B$19)</f>
        <v>0.13636363636363635</v>
      </c>
      <c r="I8" s="60">
        <v>4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0.5</v>
      </c>
      <c r="E9" s="29" t="s">
        <v>65</v>
      </c>
      <c r="F9" s="26" t="s">
        <v>21</v>
      </c>
      <c r="G9" s="14">
        <v>2</v>
      </c>
      <c r="H9" s="92">
        <f>IF(B$19=0,0,G9/B$19)</f>
        <v>9.0909090909090912E-2</v>
      </c>
      <c r="I9" s="60">
        <v>8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48.05</v>
      </c>
      <c r="C10" s="114">
        <v>96.1</v>
      </c>
      <c r="E10" s="29" t="s">
        <v>89</v>
      </c>
      <c r="F10" s="26" t="s">
        <v>44</v>
      </c>
      <c r="G10" s="14">
        <v>2</v>
      </c>
      <c r="H10" s="92">
        <f>IF(B$19=0,0,G10/B$19)</f>
        <v>9.0909090909090912E-2</v>
      </c>
      <c r="I10" s="60">
        <v>8</v>
      </c>
      <c r="K10" s="7">
        <v>8</v>
      </c>
      <c r="L10" s="65">
        <v>-157.19999999999999</v>
      </c>
      <c r="N10" s="77" t="s">
        <v>152</v>
      </c>
      <c r="O10" s="86">
        <f>IF(P10=0,0,Q10/P10)</f>
        <v>-31.3</v>
      </c>
      <c r="P10" s="80">
        <v>5</v>
      </c>
      <c r="Q10" s="71">
        <v>-156.5</v>
      </c>
    </row>
    <row r="11" spans="1:17" x14ac:dyDescent="0.45">
      <c r="A11" s="22" t="s">
        <v>186</v>
      </c>
      <c r="B11" s="113">
        <f>IF(B8=0,0,C11/B8)</f>
        <v>-2.3166666666666664</v>
      </c>
      <c r="C11" s="114">
        <v>-13.899999999999999</v>
      </c>
      <c r="E11" s="29" t="s">
        <v>71</v>
      </c>
      <c r="F11" s="26" t="s">
        <v>26</v>
      </c>
      <c r="G11" s="14">
        <v>1</v>
      </c>
      <c r="H11" s="92">
        <f>IF(B$19=0,0,G11/B$19)</f>
        <v>4.5454545454545456E-2</v>
      </c>
      <c r="I11" s="60">
        <v>8</v>
      </c>
      <c r="K11" s="7">
        <v>9</v>
      </c>
      <c r="L11" s="65">
        <v>-172.39999999999998</v>
      </c>
      <c r="N11" s="78" t="s">
        <v>153</v>
      </c>
      <c r="O11" s="87">
        <f>IF(P11=0,0,Q11/P11)</f>
        <v>-5.0142857142857142</v>
      </c>
      <c r="P11" s="81">
        <v>7</v>
      </c>
      <c r="Q11" s="72">
        <v>-35.1</v>
      </c>
    </row>
    <row r="12" spans="1:17" x14ac:dyDescent="0.45">
      <c r="A12" s="22" t="s">
        <v>187</v>
      </c>
      <c r="B12" s="113">
        <f>IF(B9=0,0,C12/B9)</f>
        <v>-39.6</v>
      </c>
      <c r="C12" s="114">
        <v>-316.8</v>
      </c>
      <c r="E12" s="29" t="s">
        <v>78</v>
      </c>
      <c r="F12" s="26" t="s">
        <v>33</v>
      </c>
      <c r="G12" s="14">
        <v>1</v>
      </c>
      <c r="H12" s="92">
        <f>IF(B$19=0,0,G12/B$19)</f>
        <v>4.5454545454545456E-2</v>
      </c>
      <c r="I12" s="60">
        <v>3</v>
      </c>
      <c r="K12" s="7">
        <v>10</v>
      </c>
      <c r="L12" s="65">
        <v>-217.59999999999997</v>
      </c>
      <c r="N12" s="79" t="s">
        <v>154</v>
      </c>
      <c r="O12" s="88">
        <f>IF(P12=0,0,Q12/P12)</f>
        <v>-10.75</v>
      </c>
      <c r="P12" s="82">
        <v>4</v>
      </c>
      <c r="Q12" s="73">
        <v>-43</v>
      </c>
    </row>
    <row r="13" spans="1:17" x14ac:dyDescent="0.45">
      <c r="A13" s="22" t="s">
        <v>188</v>
      </c>
      <c r="B13" s="123">
        <f>AVERAGE(B10:B12)</f>
        <v>2.0444444444444443</v>
      </c>
      <c r="C13" s="124"/>
      <c r="E13" s="29" t="s">
        <v>81</v>
      </c>
      <c r="F13" s="26" t="s">
        <v>36</v>
      </c>
      <c r="G13" s="14">
        <v>1</v>
      </c>
      <c r="H13" s="92">
        <f>IF(B$19=0,0,G13/B$19)</f>
        <v>4.5454545454545456E-2</v>
      </c>
      <c r="I13" s="60">
        <v>2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0.3125</v>
      </c>
      <c r="E14" s="29" t="s">
        <v>86</v>
      </c>
      <c r="F14" s="26" t="s">
        <v>41</v>
      </c>
      <c r="G14" s="14">
        <v>1</v>
      </c>
      <c r="H14" s="92">
        <f>IF(B$19=0,0,G14/B$19)</f>
        <v>4.5454545454545456E-2</v>
      </c>
      <c r="I14" s="60">
        <v>5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30</v>
      </c>
      <c r="C15" s="12">
        <f>IF(B$3=0,0,B15/B$3)</f>
        <v>0.29411764705882354</v>
      </c>
      <c r="E15" s="29" t="s">
        <v>87</v>
      </c>
      <c r="F15" s="26" t="s">
        <v>42</v>
      </c>
      <c r="G15" s="14">
        <v>1</v>
      </c>
      <c r="H15" s="92">
        <f>IF(B$19=0,0,G15/B$19)</f>
        <v>4.5454545454545456E-2</v>
      </c>
      <c r="I15" s="60">
        <v>1</v>
      </c>
      <c r="K15" s="7">
        <v>13</v>
      </c>
      <c r="L15" s="65">
        <v>-280.59999999999997</v>
      </c>
      <c r="N15" s="77" t="s">
        <v>164</v>
      </c>
      <c r="O15" s="86">
        <f t="shared" ref="O15:O20" si="2">IF(P15=0,0,Q15/P15)</f>
        <v>41.02</v>
      </c>
      <c r="P15" s="80">
        <v>5</v>
      </c>
      <c r="Q15" s="71">
        <v>205.10000000000002</v>
      </c>
    </row>
    <row r="16" spans="1:17" x14ac:dyDescent="0.45">
      <c r="A16" s="21" t="s">
        <v>118</v>
      </c>
      <c r="B16" s="14">
        <v>13</v>
      </c>
      <c r="C16" s="8">
        <f>IF(B$3=0,0,B16/B$3)</f>
        <v>0.12745098039215685</v>
      </c>
      <c r="E16" s="29" t="s">
        <v>91</v>
      </c>
      <c r="F16" s="26" t="s">
        <v>46</v>
      </c>
      <c r="G16" s="14">
        <v>1</v>
      </c>
      <c r="H16" s="92">
        <f>IF(B$19=0,0,G16/B$19)</f>
        <v>4.5454545454545456E-2</v>
      </c>
      <c r="I16" s="60">
        <v>2</v>
      </c>
      <c r="K16" s="7">
        <v>14</v>
      </c>
      <c r="L16" s="65">
        <v>-330.7</v>
      </c>
      <c r="N16" s="78" t="s">
        <v>205</v>
      </c>
      <c r="O16" s="87">
        <f t="shared" si="2"/>
        <v>-3.3666666666666649</v>
      </c>
      <c r="P16" s="81">
        <v>3</v>
      </c>
      <c r="Q16" s="72">
        <v>-10.099999999999994</v>
      </c>
    </row>
    <row r="17" spans="1:17" x14ac:dyDescent="0.45">
      <c r="A17" s="20" t="s">
        <v>123</v>
      </c>
      <c r="B17" s="13">
        <f>B23</f>
        <v>11</v>
      </c>
      <c r="C17" s="6">
        <f>IF(B$15=0,0,B17/B$15)</f>
        <v>0.36666666666666664</v>
      </c>
      <c r="E17" s="29" t="s">
        <v>92</v>
      </c>
      <c r="F17" s="26" t="s">
        <v>47</v>
      </c>
      <c r="G17" s="14">
        <v>1</v>
      </c>
      <c r="H17" s="92">
        <f>IF(B$19=0,0,G17/B$19)</f>
        <v>4.5454545454545456E-2</v>
      </c>
      <c r="I17" s="60">
        <v>1</v>
      </c>
      <c r="K17" s="7">
        <v>15</v>
      </c>
      <c r="L17" s="65">
        <v>-284.09999999999997</v>
      </c>
      <c r="N17" s="78" t="s">
        <v>192</v>
      </c>
      <c r="O17" s="87">
        <f t="shared" si="2"/>
        <v>-16.157142857142858</v>
      </c>
      <c r="P17" s="81">
        <v>7</v>
      </c>
      <c r="Q17" s="72">
        <v>-113.10000000000001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70</v>
      </c>
      <c r="F18" s="26" t="s">
        <v>25</v>
      </c>
      <c r="G18" s="14">
        <v>0</v>
      </c>
      <c r="H18" s="92">
        <f>IF(B$19=0,0,G18/B$19)</f>
        <v>0</v>
      </c>
      <c r="I18" s="60">
        <v>7</v>
      </c>
      <c r="K18" s="7">
        <v>16</v>
      </c>
      <c r="L18" s="65">
        <v>-234.59999999999997</v>
      </c>
      <c r="N18" s="78" t="s">
        <v>196</v>
      </c>
      <c r="O18" s="87">
        <f t="shared" si="2"/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22</v>
      </c>
      <c r="C19" s="6">
        <f>IF(B$3=0,0,B19/B$3)</f>
        <v>0.21568627450980393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N19" s="78" t="s">
        <v>193</v>
      </c>
      <c r="O19" s="87">
        <f t="shared" si="2"/>
        <v>-44.449999999999996</v>
      </c>
      <c r="P19" s="81">
        <v>8</v>
      </c>
      <c r="Q19" s="72">
        <v>-355.59999999999997</v>
      </c>
    </row>
    <row r="20" spans="1:17" x14ac:dyDescent="0.45">
      <c r="A20" s="21" t="s">
        <v>13</v>
      </c>
      <c r="B20" s="14">
        <v>15</v>
      </c>
      <c r="C20" s="8">
        <f>IF(B$3=0,0,B20/B$3)</f>
        <v>0.14705882352941177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N20" s="78" t="s">
        <v>126</v>
      </c>
      <c r="O20" s="87">
        <f t="shared" si="2"/>
        <v>-51.2</v>
      </c>
      <c r="P20" s="81">
        <v>8</v>
      </c>
      <c r="Q20" s="72">
        <v>-409.6</v>
      </c>
    </row>
    <row r="21" spans="1:17" x14ac:dyDescent="0.45">
      <c r="A21" s="21" t="s">
        <v>12</v>
      </c>
      <c r="B21" s="14">
        <v>8</v>
      </c>
      <c r="C21" s="8">
        <f>IF(B$19=0,0,B21/B$19)</f>
        <v>0.36363636363636365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</row>
    <row r="22" spans="1:17" x14ac:dyDescent="0.45">
      <c r="A22" s="21" t="s">
        <v>11</v>
      </c>
      <c r="B22" s="14">
        <v>14</v>
      </c>
      <c r="C22" s="8">
        <f>IF(B$19=0,0,B22/B$19)</f>
        <v>0.63636363636363635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11</v>
      </c>
      <c r="C23" s="8">
        <f>IF(B$19=0,0,B23/B$19)</f>
        <v>0.5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</row>
    <row r="24" spans="1:17" x14ac:dyDescent="0.45">
      <c r="A24" s="21" t="s">
        <v>182</v>
      </c>
      <c r="B24" s="14">
        <v>5</v>
      </c>
      <c r="C24" s="8">
        <f>IF(B$19=0,0,B24/B$19)</f>
        <v>0.22727272727272727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183</v>
      </c>
      <c r="B25" s="14">
        <v>6</v>
      </c>
      <c r="C25" s="8">
        <f>IF(B$19=0,0,B25/B$19)</f>
        <v>0.27272727272727271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8777.2727272727279</v>
      </c>
      <c r="C26" s="10">
        <v>193100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10223.529411764706</v>
      </c>
      <c r="C27" s="100">
        <v>173800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3860</v>
      </c>
      <c r="C28" s="100">
        <v>19300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-8773.3333333333339</v>
      </c>
      <c r="C29" s="100">
        <v>-131600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3</v>
      </c>
      <c r="C30" s="94">
        <v>2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25</v>
      </c>
      <c r="C31" s="94">
        <v>6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3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74500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3">IF(B$19=0,0,B36/B$19)</f>
        <v>9.0909090909090912E-2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6</v>
      </c>
      <c r="C37" s="8">
        <f t="shared" si="3"/>
        <v>0.27272727272727271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3"/>
        <v>0.22727272727272727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</v>
      </c>
      <c r="C39" s="8">
        <f t="shared" si="3"/>
        <v>4.5454545454545456E-2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3"/>
        <v>4.5454545454545456E-2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3"/>
        <v>0.18181818181818182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3"/>
        <v>4.5454545454545456E-2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4.5454545454545456E-2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4.5454545454545456E-2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34</v>
      </c>
      <c r="C2" s="132"/>
      <c r="E2" s="28" t="s">
        <v>72</v>
      </c>
      <c r="F2" s="25" t="s">
        <v>27</v>
      </c>
      <c r="G2" s="13">
        <v>42</v>
      </c>
      <c r="H2" s="91">
        <f>IF(B$19=0,0,G2/B$19)</f>
        <v>0.60869565217391308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706.06060606060601</v>
      </c>
      <c r="P2" s="80">
        <v>33</v>
      </c>
      <c r="Q2" s="67">
        <v>23300</v>
      </c>
    </row>
    <row r="3" spans="1:17" x14ac:dyDescent="0.45">
      <c r="A3" s="21" t="s">
        <v>8</v>
      </c>
      <c r="B3" s="133">
        <v>257</v>
      </c>
      <c r="C3" s="134"/>
      <c r="E3" s="29" t="s">
        <v>64</v>
      </c>
      <c r="F3" s="26" t="s">
        <v>20</v>
      </c>
      <c r="G3" s="14">
        <v>34</v>
      </c>
      <c r="H3" s="92">
        <f>IF(B$19=0,0,G3/B$19)</f>
        <v>0.49275362318840582</v>
      </c>
      <c r="I3" s="60">
        <v>6</v>
      </c>
      <c r="K3" s="7">
        <v>1</v>
      </c>
      <c r="L3" s="65">
        <v>-0.5</v>
      </c>
      <c r="N3" s="78" t="s">
        <v>129</v>
      </c>
      <c r="O3" s="84">
        <f t="shared" si="0"/>
        <v>-1096.969696969697</v>
      </c>
      <c r="P3" s="81">
        <v>33</v>
      </c>
      <c r="Q3" s="68">
        <v>-36200</v>
      </c>
    </row>
    <row r="4" spans="1:17" x14ac:dyDescent="0.45">
      <c r="A4" s="21" t="s">
        <v>6</v>
      </c>
      <c r="B4" s="135">
        <v>-158.79999999999998</v>
      </c>
      <c r="C4" s="136"/>
      <c r="E4" s="29" t="s">
        <v>66</v>
      </c>
      <c r="F4" s="26" t="s">
        <v>22</v>
      </c>
      <c r="G4" s="14">
        <v>33</v>
      </c>
      <c r="H4" s="92">
        <f>IF(B$19=0,0,G4/B$19)</f>
        <v>0.47826086956521741</v>
      </c>
      <c r="I4" s="60">
        <v>8</v>
      </c>
      <c r="K4" s="7">
        <v>2</v>
      </c>
      <c r="L4" s="65">
        <v>-62.8</v>
      </c>
      <c r="N4" s="78" t="s">
        <v>130</v>
      </c>
      <c r="O4" s="84">
        <f t="shared" si="0"/>
        <v>-1178.7878787878788</v>
      </c>
      <c r="P4" s="81">
        <v>33</v>
      </c>
      <c r="Q4" s="68">
        <v>-38900</v>
      </c>
    </row>
    <row r="5" spans="1:17" x14ac:dyDescent="0.45">
      <c r="A5" s="21" t="s">
        <v>7</v>
      </c>
      <c r="B5" s="123">
        <f>IF(B$2=0,0,B$4/B$2)</f>
        <v>-4.670588235294117</v>
      </c>
      <c r="C5" s="124"/>
      <c r="E5" s="29" t="s">
        <v>160</v>
      </c>
      <c r="F5" s="26" t="s">
        <v>161</v>
      </c>
      <c r="G5" s="14">
        <v>28</v>
      </c>
      <c r="H5" s="92">
        <f>IF(B$19=0,0,G5/B$19)</f>
        <v>0.40579710144927539</v>
      </c>
      <c r="I5" s="60">
        <v>8</v>
      </c>
      <c r="K5" s="7">
        <v>3</v>
      </c>
      <c r="L5" s="65">
        <v>-48.5</v>
      </c>
      <c r="N5" s="78" t="s">
        <v>131</v>
      </c>
      <c r="O5" s="84">
        <f t="shared" si="0"/>
        <v>-863.33333333333337</v>
      </c>
      <c r="P5" s="81">
        <v>30</v>
      </c>
      <c r="Q5" s="68">
        <v>-25900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20</v>
      </c>
      <c r="H6" s="92">
        <f>IF(B$19=0,0,G6/B$19)</f>
        <v>0.28985507246376813</v>
      </c>
      <c r="I6" s="60">
        <v>5</v>
      </c>
      <c r="K6" s="7">
        <v>4</v>
      </c>
      <c r="L6" s="65">
        <v>-75.599999999999994</v>
      </c>
      <c r="N6" s="78" t="s">
        <v>132</v>
      </c>
      <c r="O6" s="84">
        <f t="shared" si="0"/>
        <v>-3096.1538461538462</v>
      </c>
      <c r="P6" s="81">
        <v>26</v>
      </c>
      <c r="Q6" s="68">
        <v>-80500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0.29411764705882354</v>
      </c>
      <c r="E7" s="29" t="s">
        <v>67</v>
      </c>
      <c r="F7" s="26" t="s">
        <v>23</v>
      </c>
      <c r="G7" s="14">
        <v>19</v>
      </c>
      <c r="H7" s="92">
        <f>IF(B$19=0,0,G7/B$19)</f>
        <v>0.27536231884057971</v>
      </c>
      <c r="I7" s="60">
        <v>3</v>
      </c>
      <c r="K7" s="7">
        <v>5</v>
      </c>
      <c r="L7" s="65">
        <v>-96.5</v>
      </c>
      <c r="N7" s="79" t="s">
        <v>133</v>
      </c>
      <c r="O7" s="85">
        <f t="shared" si="0"/>
        <v>425</v>
      </c>
      <c r="P7" s="82">
        <v>20</v>
      </c>
      <c r="Q7" s="69">
        <v>8500</v>
      </c>
    </row>
    <row r="8" spans="1:17" x14ac:dyDescent="0.45">
      <c r="A8" s="21" t="s">
        <v>3</v>
      </c>
      <c r="B8" s="14">
        <v>14</v>
      </c>
      <c r="C8" s="8">
        <f t="shared" si="1"/>
        <v>0.41176470588235292</v>
      </c>
      <c r="E8" s="29" t="s">
        <v>89</v>
      </c>
      <c r="F8" s="26" t="s">
        <v>44</v>
      </c>
      <c r="G8" s="14">
        <v>9</v>
      </c>
      <c r="H8" s="92">
        <f>IF(B$19=0,0,G8/B$19)</f>
        <v>0.13043478260869565</v>
      </c>
      <c r="I8" s="60">
        <v>6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0.29411764705882354</v>
      </c>
      <c r="E9" s="29" t="s">
        <v>69</v>
      </c>
      <c r="F9" s="26" t="s">
        <v>24</v>
      </c>
      <c r="G9" s="14">
        <v>8</v>
      </c>
      <c r="H9" s="92">
        <f>IF(B$19=0,0,G9/B$19)</f>
        <v>0.11594202898550725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34.07</v>
      </c>
      <c r="C10" s="114">
        <v>340.7</v>
      </c>
      <c r="E10" s="29" t="s">
        <v>65</v>
      </c>
      <c r="F10" s="26" t="s">
        <v>21</v>
      </c>
      <c r="G10" s="14">
        <v>6</v>
      </c>
      <c r="H10" s="92">
        <f>IF(B$19=0,0,G10/B$19)</f>
        <v>8.6956521739130432E-2</v>
      </c>
      <c r="I10" s="60">
        <v>9</v>
      </c>
      <c r="K10" s="7">
        <v>8</v>
      </c>
      <c r="L10" s="65">
        <v>-28.3</v>
      </c>
      <c r="N10" s="77" t="s">
        <v>152</v>
      </c>
      <c r="O10" s="86">
        <f>IF(P10=0,0,Q10/P10)</f>
        <v>-19.311111111111114</v>
      </c>
      <c r="P10" s="80">
        <v>9</v>
      </c>
      <c r="Q10" s="71">
        <v>-173.8</v>
      </c>
    </row>
    <row r="11" spans="1:17" x14ac:dyDescent="0.45">
      <c r="A11" s="22" t="s">
        <v>186</v>
      </c>
      <c r="B11" s="113">
        <f>IF(B8=0,0,C11/B8)</f>
        <v>-5.7285714285714278</v>
      </c>
      <c r="C11" s="114">
        <v>-80.199999999999989</v>
      </c>
      <c r="E11" s="29" t="s">
        <v>71</v>
      </c>
      <c r="F11" s="26" t="s">
        <v>26</v>
      </c>
      <c r="G11" s="14">
        <v>6</v>
      </c>
      <c r="H11" s="92">
        <f>IF(B$19=0,0,G11/B$19)</f>
        <v>8.6956521739130432E-2</v>
      </c>
      <c r="I11" s="60">
        <v>3</v>
      </c>
      <c r="K11" s="7">
        <v>9</v>
      </c>
      <c r="L11" s="65">
        <v>-20.3</v>
      </c>
      <c r="N11" s="78" t="s">
        <v>153</v>
      </c>
      <c r="O11" s="87">
        <f>IF(P11=0,0,Q11/P11)</f>
        <v>-5.7818181818181822</v>
      </c>
      <c r="P11" s="81">
        <v>11</v>
      </c>
      <c r="Q11" s="72">
        <v>-63.600000000000009</v>
      </c>
    </row>
    <row r="12" spans="1:17" x14ac:dyDescent="0.45">
      <c r="A12" s="22" t="s">
        <v>187</v>
      </c>
      <c r="B12" s="113">
        <f>IF(B9=0,0,C12/B9)</f>
        <v>-41.93</v>
      </c>
      <c r="C12" s="114">
        <v>-419.3</v>
      </c>
      <c r="E12" s="29" t="s">
        <v>70</v>
      </c>
      <c r="F12" s="26" t="s">
        <v>25</v>
      </c>
      <c r="G12" s="14">
        <v>4</v>
      </c>
      <c r="H12" s="92">
        <f>IF(B$19=0,0,G12/B$19)</f>
        <v>5.7971014492753624E-2</v>
      </c>
      <c r="I12" s="60">
        <v>6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-4.5295238095238091</v>
      </c>
      <c r="C13" s="124"/>
      <c r="E13" s="29" t="s">
        <v>79</v>
      </c>
      <c r="F13" s="26" t="s">
        <v>34</v>
      </c>
      <c r="G13" s="14">
        <v>4</v>
      </c>
      <c r="H13" s="92">
        <f>IF(B$19=0,0,G13/B$19)</f>
        <v>5.7971014492753624E-2</v>
      </c>
      <c r="I13" s="60">
        <v>2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0.11764705882352941</v>
      </c>
      <c r="E14" s="29" t="s">
        <v>78</v>
      </c>
      <c r="F14" s="26" t="s">
        <v>33</v>
      </c>
      <c r="G14" s="14">
        <v>3</v>
      </c>
      <c r="H14" s="92">
        <f>IF(B$19=0,0,G14/B$19)</f>
        <v>4.3478260869565216E-2</v>
      </c>
      <c r="I14" s="60">
        <v>4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67</v>
      </c>
      <c r="C15" s="12">
        <f>IF(B$3=0,0,B15/B$3)</f>
        <v>0.26070038910505838</v>
      </c>
      <c r="E15" s="29" t="s">
        <v>83</v>
      </c>
      <c r="F15" s="26" t="s">
        <v>38</v>
      </c>
      <c r="G15" s="14">
        <v>3</v>
      </c>
      <c r="H15" s="92">
        <f>IF(B$19=0,0,G15/B$19)</f>
        <v>4.3478260869565216E-2</v>
      </c>
      <c r="I15" s="60">
        <v>6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59</v>
      </c>
      <c r="C16" s="8">
        <f>IF(B$3=0,0,B16/B$3)</f>
        <v>0.22957198443579765</v>
      </c>
      <c r="E16" s="29" t="s">
        <v>86</v>
      </c>
      <c r="F16" s="26" t="s">
        <v>41</v>
      </c>
      <c r="G16" s="14">
        <v>2</v>
      </c>
      <c r="H16" s="92">
        <f>IF(B$19=0,0,G16/B$19)</f>
        <v>2.8985507246376812E-2</v>
      </c>
      <c r="I16" s="60">
        <v>7</v>
      </c>
      <c r="K16" s="7">
        <v>14</v>
      </c>
      <c r="L16" s="65">
        <v>-149.39999999999998</v>
      </c>
      <c r="N16" s="78" t="s">
        <v>194</v>
      </c>
      <c r="O16" s="87">
        <f>IF(P16=0,0,Q16/P16)</f>
        <v>16.157142857142858</v>
      </c>
      <c r="P16" s="81">
        <v>7</v>
      </c>
      <c r="Q16" s="72">
        <v>113.10000000000001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0.55223880597014929</v>
      </c>
      <c r="E17" s="29" t="s">
        <v>81</v>
      </c>
      <c r="F17" s="26" t="s">
        <v>36</v>
      </c>
      <c r="G17" s="14">
        <v>1</v>
      </c>
      <c r="H17" s="92">
        <f>IF(B$19=0,0,G17/B$19)</f>
        <v>1.4492753623188406E-2</v>
      </c>
      <c r="I17" s="60">
        <v>6</v>
      </c>
      <c r="K17" s="7">
        <v>15</v>
      </c>
      <c r="L17" s="65">
        <v>-121.39999999999998</v>
      </c>
      <c r="N17" s="78" t="s">
        <v>193</v>
      </c>
      <c r="O17" s="87">
        <f>IF(P17=0,0,Q17/P17)</f>
        <v>10.600000000000003</v>
      </c>
      <c r="P17" s="81">
        <v>12</v>
      </c>
      <c r="Q17" s="72">
        <v>127.20000000000005</v>
      </c>
    </row>
    <row r="18" spans="1:17" x14ac:dyDescent="0.45">
      <c r="A18" s="20" t="s">
        <v>124</v>
      </c>
      <c r="B18" s="13">
        <f>B24</f>
        <v>18</v>
      </c>
      <c r="C18" s="6">
        <f>IF(B$16=0,0,B18/B$16)</f>
        <v>0.30508474576271188</v>
      </c>
      <c r="E18" s="29" t="s">
        <v>91</v>
      </c>
      <c r="F18" s="26" t="s">
        <v>46</v>
      </c>
      <c r="G18" s="14">
        <v>1</v>
      </c>
      <c r="H18" s="92">
        <f>IF(B$19=0,0,G18/B$19)</f>
        <v>1.4492753623188406E-2</v>
      </c>
      <c r="I18" s="60">
        <v>5</v>
      </c>
      <c r="K18" s="7">
        <v>16</v>
      </c>
      <c r="L18" s="65">
        <v>-141.29999999999998</v>
      </c>
      <c r="N18" s="78" t="s">
        <v>164</v>
      </c>
      <c r="O18" s="87">
        <f>IF(P18=0,0,Q18/P18)</f>
        <v>-5.7499999999999982</v>
      </c>
      <c r="P18" s="81">
        <v>16</v>
      </c>
      <c r="Q18" s="72">
        <v>-91.999999999999972</v>
      </c>
    </row>
    <row r="19" spans="1:17" x14ac:dyDescent="0.45">
      <c r="A19" s="20" t="s">
        <v>10</v>
      </c>
      <c r="B19" s="13">
        <f>B22+B21</f>
        <v>69</v>
      </c>
      <c r="C19" s="6">
        <f>IF(B$3=0,0,B19/B$3)</f>
        <v>0.26848249027237353</v>
      </c>
      <c r="E19" s="29" t="s">
        <v>92</v>
      </c>
      <c r="F19" s="26" t="s">
        <v>47</v>
      </c>
      <c r="G19" s="14">
        <v>1</v>
      </c>
      <c r="H19" s="92">
        <f>IF(B$19=0,0,G19/B$19)</f>
        <v>1.4492753623188406E-2</v>
      </c>
      <c r="I19" s="60">
        <v>5</v>
      </c>
      <c r="K19" s="7">
        <v>17</v>
      </c>
      <c r="L19" s="65">
        <v>-149.1</v>
      </c>
      <c r="N19" s="78" t="s">
        <v>205</v>
      </c>
      <c r="O19" s="87">
        <f>IF(P19=0,0,Q19/P19)</f>
        <v>-12.375</v>
      </c>
      <c r="P19" s="81">
        <v>4</v>
      </c>
      <c r="Q19" s="72">
        <v>-49.5</v>
      </c>
    </row>
    <row r="20" spans="1:17" x14ac:dyDescent="0.45">
      <c r="A20" s="21" t="s">
        <v>13</v>
      </c>
      <c r="B20" s="14">
        <v>31</v>
      </c>
      <c r="C20" s="8">
        <f>IF(B$3=0,0,B20/B$3)</f>
        <v>0.12062256809338522</v>
      </c>
      <c r="E20" s="29" t="s">
        <v>156</v>
      </c>
      <c r="F20" s="26" t="s">
        <v>157</v>
      </c>
      <c r="G20" s="14">
        <v>1</v>
      </c>
      <c r="H20" s="92">
        <f>IF(B$19=0,0,G20/B$19)</f>
        <v>1.4492753623188406E-2</v>
      </c>
      <c r="I20" s="60">
        <v>2</v>
      </c>
      <c r="K20" s="7">
        <v>18</v>
      </c>
      <c r="L20" s="65">
        <v>-201.89999999999998</v>
      </c>
      <c r="N20" s="78" t="s">
        <v>196</v>
      </c>
      <c r="O20" s="87">
        <f>IF(P20=0,0,Q20/P20)</f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26</v>
      </c>
      <c r="C21" s="8">
        <f>IF(B$19=0,0,B21/B$19)</f>
        <v>0.37681159420289856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-152.39999999999998</v>
      </c>
      <c r="N21" s="78" t="s">
        <v>126</v>
      </c>
      <c r="O21" s="87">
        <f>IF(P21=0,0,Q21/P21)</f>
        <v>-26.873684210526317</v>
      </c>
      <c r="P21" s="81">
        <v>19</v>
      </c>
      <c r="Q21" s="72">
        <v>-510.6</v>
      </c>
    </row>
    <row r="22" spans="1:17" x14ac:dyDescent="0.45">
      <c r="A22" s="21" t="s">
        <v>11</v>
      </c>
      <c r="B22" s="14">
        <v>43</v>
      </c>
      <c r="C22" s="8">
        <f>IF(B$19=0,0,B22/B$19)</f>
        <v>0.62318840579710144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37</v>
      </c>
      <c r="C23" s="8">
        <f>IF(B$19=0,0,B23/B$19)</f>
        <v>0.53623188405797106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18</v>
      </c>
      <c r="C24" s="8">
        <f>IF(B$19=0,0,B24/B$19)</f>
        <v>0.2608695652173913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14</v>
      </c>
      <c r="C25" s="8">
        <f>IF(B$19=0,0,B25/B$19)</f>
        <v>0.20289855072463769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4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7360.869565217391</v>
      </c>
      <c r="C26" s="10">
        <v>507900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7678.4313725490192</v>
      </c>
      <c r="C27" s="100">
        <v>391600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6461.1111111111113</v>
      </c>
      <c r="C28" s="100">
        <v>116300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-7790.322580645161</v>
      </c>
      <c r="C29" s="100">
        <v>-241500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39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88500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9</v>
      </c>
      <c r="C36" s="102">
        <f t="shared" ref="C36:C48" si="2">IF(B$19=0,0,B36/B$19)</f>
        <v>0.13043478260869565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11</v>
      </c>
      <c r="C37" s="8">
        <f t="shared" si="2"/>
        <v>0.15942028985507245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169</v>
      </c>
      <c r="B38" s="122">
        <v>19</v>
      </c>
      <c r="C38" s="8">
        <f t="shared" si="2"/>
        <v>0.27536231884057971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10</v>
      </c>
      <c r="C39" s="8">
        <f t="shared" si="2"/>
        <v>0.14492753623188406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7</v>
      </c>
      <c r="C40" s="8">
        <f t="shared" si="2"/>
        <v>0.10144927536231885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2</v>
      </c>
      <c r="C41" s="8">
        <f t="shared" si="2"/>
        <v>2.8985507246376812E-2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6</v>
      </c>
      <c r="C42" s="8">
        <f t="shared" si="2"/>
        <v>8.6956521739130432E-2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1</v>
      </c>
      <c r="C43" s="8">
        <f t="shared" si="2"/>
        <v>1.4492753623188406E-2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1.4492753623188406E-2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1.4492753623188406E-2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1</v>
      </c>
      <c r="C46" s="8">
        <f t="shared" si="2"/>
        <v>1.4492753623188406E-2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1.4492753623188406E-2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22</v>
      </c>
      <c r="C2" s="132"/>
      <c r="E2" s="28" t="s">
        <v>72</v>
      </c>
      <c r="F2" s="25" t="s">
        <v>27</v>
      </c>
      <c r="G2" s="13">
        <v>37</v>
      </c>
      <c r="H2" s="91">
        <f>IF(B$19=0,0,G2/B$19)</f>
        <v>0.72549019607843135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-477.27272727272725</v>
      </c>
      <c r="P2" s="80">
        <v>22</v>
      </c>
      <c r="Q2" s="67">
        <v>-10500</v>
      </c>
    </row>
    <row r="3" spans="1:17" x14ac:dyDescent="0.45">
      <c r="A3" s="21" t="s">
        <v>8</v>
      </c>
      <c r="B3" s="133">
        <v>157</v>
      </c>
      <c r="C3" s="134"/>
      <c r="E3" s="29" t="s">
        <v>66</v>
      </c>
      <c r="F3" s="26" t="s">
        <v>22</v>
      </c>
      <c r="G3" s="14">
        <v>34</v>
      </c>
      <c r="H3" s="92">
        <f>IF(B$19=0,0,G3/B$19)</f>
        <v>0.66666666666666663</v>
      </c>
      <c r="I3" s="60">
        <v>6</v>
      </c>
      <c r="K3" s="7">
        <v>1</v>
      </c>
      <c r="L3" s="65">
        <v>56</v>
      </c>
      <c r="N3" s="78" t="s">
        <v>129</v>
      </c>
      <c r="O3" s="84">
        <f t="shared" si="0"/>
        <v>-1314.2857142857142</v>
      </c>
      <c r="P3" s="81">
        <v>21</v>
      </c>
      <c r="Q3" s="68">
        <v>-27600</v>
      </c>
    </row>
    <row r="4" spans="1:17" x14ac:dyDescent="0.45">
      <c r="A4" s="21" t="s">
        <v>6</v>
      </c>
      <c r="B4" s="135">
        <v>90.5</v>
      </c>
      <c r="C4" s="136"/>
      <c r="E4" s="29" t="s">
        <v>64</v>
      </c>
      <c r="F4" s="26" t="s">
        <v>20</v>
      </c>
      <c r="G4" s="14">
        <v>14</v>
      </c>
      <c r="H4" s="92">
        <f>IF(B$19=0,0,G4/B$19)</f>
        <v>0.27450980392156865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2544.4444444444443</v>
      </c>
      <c r="P4" s="81">
        <v>18</v>
      </c>
      <c r="Q4" s="68">
        <v>45800</v>
      </c>
    </row>
    <row r="5" spans="1:17" x14ac:dyDescent="0.45">
      <c r="A5" s="21" t="s">
        <v>7</v>
      </c>
      <c r="B5" s="123">
        <f>IF(B$2=0,0,B$4/B$2)</f>
        <v>4.1136363636363633</v>
      </c>
      <c r="C5" s="124"/>
      <c r="E5" s="29" t="s">
        <v>68</v>
      </c>
      <c r="F5" s="26" t="s">
        <v>12</v>
      </c>
      <c r="G5" s="14">
        <v>13</v>
      </c>
      <c r="H5" s="92">
        <f>IF(B$19=0,0,G5/B$19)</f>
        <v>0.25490196078431371</v>
      </c>
      <c r="I5" s="60">
        <v>9</v>
      </c>
      <c r="K5" s="7">
        <v>3</v>
      </c>
      <c r="L5" s="65">
        <v>159</v>
      </c>
      <c r="N5" s="78" t="s">
        <v>131</v>
      </c>
      <c r="O5" s="84">
        <f t="shared" si="0"/>
        <v>373.33333333333331</v>
      </c>
      <c r="P5" s="81">
        <v>15</v>
      </c>
      <c r="Q5" s="68">
        <v>5600</v>
      </c>
    </row>
    <row r="6" spans="1:17" x14ac:dyDescent="0.45">
      <c r="A6" s="21" t="s">
        <v>1</v>
      </c>
      <c r="B6" s="137">
        <f>IF(B$2=0,0,(B$7*1+B$8*2+B$9*3)/B$2)</f>
        <v>1.9545454545454546</v>
      </c>
      <c r="C6" s="138"/>
      <c r="E6" s="29" t="s">
        <v>67</v>
      </c>
      <c r="F6" s="26" t="s">
        <v>23</v>
      </c>
      <c r="G6" s="14">
        <v>11</v>
      </c>
      <c r="H6" s="92">
        <f>IF(B$19=0,0,G6/B$19)</f>
        <v>0.21568627450980393</v>
      </c>
      <c r="I6" s="60">
        <v>8</v>
      </c>
      <c r="K6" s="7">
        <v>4</v>
      </c>
      <c r="L6" s="65">
        <v>112.4</v>
      </c>
      <c r="N6" s="78" t="s">
        <v>132</v>
      </c>
      <c r="O6" s="84">
        <f t="shared" si="0"/>
        <v>4945.454545454545</v>
      </c>
      <c r="P6" s="81">
        <v>11</v>
      </c>
      <c r="Q6" s="68">
        <v>54400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0.40909090909090912</v>
      </c>
      <c r="E7" s="29" t="s">
        <v>160</v>
      </c>
      <c r="F7" s="26" t="s">
        <v>161</v>
      </c>
      <c r="G7" s="14">
        <v>11</v>
      </c>
      <c r="H7" s="92">
        <f>IF(B$19=0,0,G7/B$19)</f>
        <v>0.21568627450980393</v>
      </c>
      <c r="I7" s="60">
        <v>10</v>
      </c>
      <c r="K7" s="7">
        <v>5</v>
      </c>
      <c r="L7" s="65">
        <v>140.30000000000001</v>
      </c>
      <c r="N7" s="79" t="s">
        <v>133</v>
      </c>
      <c r="O7" s="85">
        <f t="shared" si="0"/>
        <v>-1188.8888888888889</v>
      </c>
      <c r="P7" s="82">
        <v>9</v>
      </c>
      <c r="Q7" s="69">
        <v>-10700</v>
      </c>
    </row>
    <row r="8" spans="1:17" x14ac:dyDescent="0.45">
      <c r="A8" s="21" t="s">
        <v>3</v>
      </c>
      <c r="B8" s="14">
        <v>5</v>
      </c>
      <c r="C8" s="8">
        <f t="shared" si="1"/>
        <v>0.22727272727272727</v>
      </c>
      <c r="E8" s="29" t="s">
        <v>69</v>
      </c>
      <c r="F8" s="26" t="s">
        <v>24</v>
      </c>
      <c r="G8" s="14">
        <v>7</v>
      </c>
      <c r="H8" s="92">
        <f>IF(B$19=0,0,G8/B$19)</f>
        <v>0.13725490196078433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0.36363636363636365</v>
      </c>
      <c r="E9" s="29" t="s">
        <v>83</v>
      </c>
      <c r="F9" s="26" t="s">
        <v>38</v>
      </c>
      <c r="G9" s="14">
        <v>7</v>
      </c>
      <c r="H9" s="92">
        <f>IF(B$19=0,0,G9/B$19)</f>
        <v>0.13725490196078433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42.833333333333336</v>
      </c>
      <c r="C10" s="114">
        <v>385.5</v>
      </c>
      <c r="E10" s="29" t="s">
        <v>89</v>
      </c>
      <c r="F10" s="26" t="s">
        <v>44</v>
      </c>
      <c r="G10" s="14">
        <v>6</v>
      </c>
      <c r="H10" s="92">
        <f>IF(B$19=0,0,G10/B$19)</f>
        <v>0.11764705882352941</v>
      </c>
      <c r="I10" s="60">
        <v>7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2.3599999999999994</v>
      </c>
      <c r="C11" s="114">
        <v>11.799999999999997</v>
      </c>
      <c r="E11" s="29" t="s">
        <v>65</v>
      </c>
      <c r="F11" s="26" t="s">
        <v>21</v>
      </c>
      <c r="G11" s="14">
        <v>4</v>
      </c>
      <c r="H11" s="92">
        <f>IF(B$19=0,0,G11/B$19)</f>
        <v>7.8431372549019607E-2</v>
      </c>
      <c r="I11" s="60">
        <v>10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-38.35</v>
      </c>
      <c r="C12" s="114">
        <v>-306.8</v>
      </c>
      <c r="E12" s="29" t="s">
        <v>78</v>
      </c>
      <c r="F12" s="26" t="s">
        <v>33</v>
      </c>
      <c r="G12" s="14">
        <v>3</v>
      </c>
      <c r="H12" s="92">
        <f>IF(B$19=0,0,G12/B$19)</f>
        <v>5.8823529411764705E-2</v>
      </c>
      <c r="I12" s="60">
        <v>2</v>
      </c>
      <c r="K12" s="7">
        <v>10</v>
      </c>
      <c r="L12" s="65">
        <v>28.300000000000008</v>
      </c>
      <c r="N12" s="79" t="s">
        <v>154</v>
      </c>
      <c r="O12" s="88">
        <f>IF(P12=0,0,Q12/P12)</f>
        <v>20.583333333333336</v>
      </c>
      <c r="P12" s="82">
        <v>6</v>
      </c>
      <c r="Q12" s="73">
        <v>123.50000000000001</v>
      </c>
    </row>
    <row r="13" spans="1:17" x14ac:dyDescent="0.45">
      <c r="A13" s="22" t="s">
        <v>188</v>
      </c>
      <c r="B13" s="123">
        <f>AVERAGE(B10:B12)</f>
        <v>2.2811111111111111</v>
      </c>
      <c r="C13" s="124"/>
      <c r="E13" s="29" t="s">
        <v>81</v>
      </c>
      <c r="F13" s="26" t="s">
        <v>36</v>
      </c>
      <c r="G13" s="14">
        <v>3</v>
      </c>
      <c r="H13" s="92">
        <f>IF(B$19=0,0,G13/B$19)</f>
        <v>5.8823529411764705E-2</v>
      </c>
      <c r="I13" s="60">
        <v>1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0.22727272727272727</v>
      </c>
      <c r="E14" s="29" t="s">
        <v>71</v>
      </c>
      <c r="F14" s="26" t="s">
        <v>26</v>
      </c>
      <c r="G14" s="14">
        <v>2</v>
      </c>
      <c r="H14" s="92">
        <f>IF(B$19=0,0,G14/B$19)</f>
        <v>3.9215686274509803E-2</v>
      </c>
      <c r="I14" s="60">
        <v>9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23</v>
      </c>
      <c r="C15" s="12">
        <f>IF(B$3=0,0,B15/B$3)</f>
        <v>0.1464968152866242</v>
      </c>
      <c r="E15" s="29" t="s">
        <v>85</v>
      </c>
      <c r="F15" s="26" t="s">
        <v>40</v>
      </c>
      <c r="G15" s="14">
        <v>2</v>
      </c>
      <c r="H15" s="92">
        <f>IF(B$19=0,0,G15/B$19)</f>
        <v>3.9215686274509803E-2</v>
      </c>
      <c r="I15" s="60">
        <v>1</v>
      </c>
      <c r="K15" s="7">
        <v>13</v>
      </c>
      <c r="L15" s="65">
        <v>83.1</v>
      </c>
      <c r="N15" s="77" t="s">
        <v>194</v>
      </c>
      <c r="O15" s="86">
        <f t="shared" ref="O15:O20" si="2">IF(P15=0,0,Q15/P15)</f>
        <v>44.449999999999996</v>
      </c>
      <c r="P15" s="80">
        <v>8</v>
      </c>
      <c r="Q15" s="71">
        <v>355.59999999999997</v>
      </c>
    </row>
    <row r="16" spans="1:17" x14ac:dyDescent="0.45">
      <c r="A16" s="21" t="s">
        <v>118</v>
      </c>
      <c r="B16" s="14">
        <v>52</v>
      </c>
      <c r="C16" s="8">
        <f>IF(B$3=0,0,B16/B$3)</f>
        <v>0.33121019108280253</v>
      </c>
      <c r="E16" s="29" t="s">
        <v>75</v>
      </c>
      <c r="F16" s="26" t="s">
        <v>30</v>
      </c>
      <c r="G16" s="14">
        <v>1</v>
      </c>
      <c r="H16" s="92">
        <f>IF(B$19=0,0,G16/B$19)</f>
        <v>1.9607843137254902E-2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 t="shared" si="2"/>
        <v>32.566666666666663</v>
      </c>
      <c r="P16" s="81">
        <v>6</v>
      </c>
      <c r="Q16" s="72">
        <v>195.39999999999998</v>
      </c>
    </row>
    <row r="17" spans="1:17" x14ac:dyDescent="0.45">
      <c r="A17" s="20" t="s">
        <v>123</v>
      </c>
      <c r="B17" s="13">
        <f>B23</f>
        <v>14</v>
      </c>
      <c r="C17" s="6">
        <f>IF(B$15=0,0,B17/B$15)</f>
        <v>0.60869565217391308</v>
      </c>
      <c r="E17" s="29" t="s">
        <v>102</v>
      </c>
      <c r="F17" s="26" t="s">
        <v>57</v>
      </c>
      <c r="G17" s="14">
        <v>1</v>
      </c>
      <c r="H17" s="92">
        <f>IF(B$19=0,0,G17/B$19)</f>
        <v>1.9607843137254902E-2</v>
      </c>
      <c r="I17" s="60">
        <v>1</v>
      </c>
      <c r="K17" s="7">
        <v>15</v>
      </c>
      <c r="L17" s="65">
        <v>112.6</v>
      </c>
      <c r="N17" s="78" t="s">
        <v>196</v>
      </c>
      <c r="O17" s="87">
        <f t="shared" si="2"/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23</v>
      </c>
      <c r="C18" s="6">
        <f>IF(B$16=0,0,B18/B$16)</f>
        <v>0.44230769230769229</v>
      </c>
      <c r="E18" s="29" t="s">
        <v>70</v>
      </c>
      <c r="F18" s="26" t="s">
        <v>25</v>
      </c>
      <c r="G18" s="14">
        <v>0</v>
      </c>
      <c r="H18" s="92">
        <f>IF(B$19=0,0,G18/B$19)</f>
        <v>0</v>
      </c>
      <c r="I18" s="60">
        <v>7</v>
      </c>
      <c r="K18" s="7">
        <v>16</v>
      </c>
      <c r="L18" s="65">
        <v>119.3</v>
      </c>
      <c r="N18" s="78" t="s">
        <v>189</v>
      </c>
      <c r="O18" s="87">
        <f t="shared" si="2"/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51</v>
      </c>
      <c r="C19" s="6">
        <f>IF(B$3=0,0,B19/B$3)</f>
        <v>0.32484076433121017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71.699999999999989</v>
      </c>
      <c r="N19" s="78" t="s">
        <v>192</v>
      </c>
      <c r="O19" s="87">
        <f t="shared" si="2"/>
        <v>-10.600000000000003</v>
      </c>
      <c r="P19" s="81">
        <v>12</v>
      </c>
      <c r="Q19" s="72">
        <v>-127.20000000000005</v>
      </c>
    </row>
    <row r="20" spans="1:17" x14ac:dyDescent="0.45">
      <c r="A20" s="21" t="s">
        <v>13</v>
      </c>
      <c r="B20" s="14">
        <v>21</v>
      </c>
      <c r="C20" s="8">
        <f>IF(B$3=0,0,B20/B$3)</f>
        <v>0.13375796178343949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45.399999999999991</v>
      </c>
      <c r="N20" s="78" t="s">
        <v>126</v>
      </c>
      <c r="O20" s="87">
        <f t="shared" si="2"/>
        <v>-21.236363636363631</v>
      </c>
      <c r="P20" s="81">
        <v>11</v>
      </c>
      <c r="Q20" s="72">
        <v>-233.59999999999994</v>
      </c>
    </row>
    <row r="21" spans="1:17" x14ac:dyDescent="0.45">
      <c r="A21" s="21" t="s">
        <v>12</v>
      </c>
      <c r="B21" s="14">
        <v>25</v>
      </c>
      <c r="C21" s="8">
        <f>IF(B$19=0,0,B21/B$19)</f>
        <v>0.49019607843137253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26</v>
      </c>
      <c r="C22" s="8">
        <f>IF(B$19=0,0,B22/B$19)</f>
        <v>0.50980392156862742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14</v>
      </c>
      <c r="C23" s="8">
        <f>IF(B$19=0,0,B23/B$19)</f>
        <v>0.27450980392156865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23</v>
      </c>
      <c r="C24" s="8">
        <f>IF(B$19=0,0,B24/B$19)</f>
        <v>0.45098039215686275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14</v>
      </c>
      <c r="C25" s="8">
        <f>IF(B$19=0,0,B25/B$19)</f>
        <v>0.27450980392156865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8037.2549019607841</v>
      </c>
      <c r="C26" s="10">
        <v>409900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8732.1428571428569</v>
      </c>
      <c r="C27" s="100">
        <v>244500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7191.304347826087</v>
      </c>
      <c r="C28" s="100">
        <v>165400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-7785.7142857142853</v>
      </c>
      <c r="C29" s="100">
        <v>-163500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27</v>
      </c>
      <c r="C31" s="94">
        <v>13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6</v>
      </c>
      <c r="C36" s="102">
        <f t="shared" ref="C36:C48" si="3">IF(B$19=0,0,B36/B$19)</f>
        <v>0.11764705882352941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12</v>
      </c>
      <c r="C37" s="8">
        <f t="shared" si="3"/>
        <v>0.23529411764705882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9" x14ac:dyDescent="0.45">
      <c r="A38" s="21" t="s">
        <v>169</v>
      </c>
      <c r="B38" s="122">
        <v>9</v>
      </c>
      <c r="C38" s="8">
        <f t="shared" si="3"/>
        <v>0.17647058823529413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8</v>
      </c>
      <c r="C39" s="8">
        <f t="shared" si="3"/>
        <v>0.15686274509803921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9</v>
      </c>
      <c r="C40" s="8">
        <f t="shared" si="3"/>
        <v>0.17647058823529413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3"/>
        <v>3.9215686274509803E-2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5.8823529411764705E-2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1.9607843137254902E-2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1.9607843137254902E-2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7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7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11</v>
      </c>
      <c r="C2" s="132"/>
      <c r="E2" s="28" t="s">
        <v>66</v>
      </c>
      <c r="F2" s="25" t="s">
        <v>22</v>
      </c>
      <c r="G2" s="13">
        <v>28</v>
      </c>
      <c r="H2" s="91">
        <f>IF(B$19=0,0,G2/B$19)</f>
        <v>1.0769230769230769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4290.909090909091</v>
      </c>
      <c r="P2" s="80">
        <v>11</v>
      </c>
      <c r="Q2" s="67">
        <v>47200</v>
      </c>
    </row>
    <row r="3" spans="1:17" x14ac:dyDescent="0.45">
      <c r="A3" s="21" t="s">
        <v>8</v>
      </c>
      <c r="B3" s="133">
        <v>82</v>
      </c>
      <c r="C3" s="134"/>
      <c r="E3" s="29" t="s">
        <v>72</v>
      </c>
      <c r="F3" s="26" t="s">
        <v>27</v>
      </c>
      <c r="G3" s="14">
        <v>17</v>
      </c>
      <c r="H3" s="92">
        <f>IF(B$19=0,0,G3/B$19)</f>
        <v>0.65384615384615385</v>
      </c>
      <c r="I3" s="60">
        <v>3</v>
      </c>
      <c r="K3" s="7">
        <v>1</v>
      </c>
      <c r="L3" s="65">
        <v>68.2</v>
      </c>
      <c r="N3" s="78" t="s">
        <v>129</v>
      </c>
      <c r="O3" s="84">
        <f t="shared" si="0"/>
        <v>-9672.7272727272721</v>
      </c>
      <c r="P3" s="81">
        <v>11</v>
      </c>
      <c r="Q3" s="68">
        <v>-106400</v>
      </c>
    </row>
    <row r="4" spans="1:17" x14ac:dyDescent="0.45">
      <c r="A4" s="21" t="s">
        <v>6</v>
      </c>
      <c r="B4" s="135">
        <v>-121</v>
      </c>
      <c r="C4" s="136"/>
      <c r="E4" s="29" t="s">
        <v>64</v>
      </c>
      <c r="F4" s="26" t="s">
        <v>20</v>
      </c>
      <c r="G4" s="14">
        <v>8</v>
      </c>
      <c r="H4" s="92">
        <f>IF(B$19=0,0,G4/B$19)</f>
        <v>0.30769230769230771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-2110</v>
      </c>
      <c r="P4" s="81">
        <v>10</v>
      </c>
      <c r="Q4" s="68">
        <v>-21100</v>
      </c>
    </row>
    <row r="5" spans="1:17" x14ac:dyDescent="0.45">
      <c r="A5" s="21" t="s">
        <v>7</v>
      </c>
      <c r="B5" s="123">
        <f>IF(B$2=0,0,B$4/B$2)</f>
        <v>-11</v>
      </c>
      <c r="C5" s="124"/>
      <c r="E5" s="29" t="s">
        <v>160</v>
      </c>
      <c r="F5" s="26" t="s">
        <v>161</v>
      </c>
      <c r="G5" s="14">
        <v>8</v>
      </c>
      <c r="H5" s="92">
        <f>IF(B$19=0,0,G5/B$19)</f>
        <v>0.30769230769230771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-4312.5</v>
      </c>
      <c r="P5" s="81">
        <v>8</v>
      </c>
      <c r="Q5" s="68">
        <v>-34500</v>
      </c>
    </row>
    <row r="6" spans="1:17" x14ac:dyDescent="0.45">
      <c r="A6" s="21" t="s">
        <v>1</v>
      </c>
      <c r="B6" s="137">
        <f>IF(B$2=0,0,(B$7*1+B$8*2+B$9*3)/B$2)</f>
        <v>2.3636363636363638</v>
      </c>
      <c r="C6" s="138"/>
      <c r="E6" s="29" t="s">
        <v>68</v>
      </c>
      <c r="F6" s="26" t="s">
        <v>12</v>
      </c>
      <c r="G6" s="14">
        <v>7</v>
      </c>
      <c r="H6" s="92">
        <f>IF(B$19=0,0,G6/B$19)</f>
        <v>0.26923076923076922</v>
      </c>
      <c r="I6" s="60">
        <v>8</v>
      </c>
      <c r="K6" s="7">
        <v>4</v>
      </c>
      <c r="L6" s="65">
        <v>-41.199999999999996</v>
      </c>
      <c r="N6" s="78" t="s">
        <v>132</v>
      </c>
      <c r="O6" s="84">
        <f t="shared" si="0"/>
        <v>5828.5714285714284</v>
      </c>
      <c r="P6" s="81">
        <v>7</v>
      </c>
      <c r="Q6" s="68">
        <v>40800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0.18181818181818182</v>
      </c>
      <c r="E7" s="29" t="s">
        <v>89</v>
      </c>
      <c r="F7" s="26" t="s">
        <v>44</v>
      </c>
      <c r="G7" s="14">
        <v>6</v>
      </c>
      <c r="H7" s="92">
        <f>IF(B$19=0,0,G7/B$19)</f>
        <v>0.23076923076923078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-1166.6666666666667</v>
      </c>
      <c r="P7" s="82">
        <v>6</v>
      </c>
      <c r="Q7" s="69">
        <v>-7000</v>
      </c>
    </row>
    <row r="8" spans="1:17" x14ac:dyDescent="0.45">
      <c r="A8" s="21" t="s">
        <v>3</v>
      </c>
      <c r="B8" s="14">
        <v>3</v>
      </c>
      <c r="C8" s="8">
        <f t="shared" si="1"/>
        <v>0.27272727272727271</v>
      </c>
      <c r="E8" s="29" t="s">
        <v>70</v>
      </c>
      <c r="F8" s="26" t="s">
        <v>25</v>
      </c>
      <c r="G8" s="14">
        <v>5</v>
      </c>
      <c r="H8" s="92">
        <f>IF(B$19=0,0,G8/B$19)</f>
        <v>0.19230769230769232</v>
      </c>
      <c r="I8" s="60">
        <v>1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0.54545454545454541</v>
      </c>
      <c r="E9" s="29" t="s">
        <v>69</v>
      </c>
      <c r="F9" s="26" t="s">
        <v>24</v>
      </c>
      <c r="G9" s="14">
        <v>4</v>
      </c>
      <c r="H9" s="92">
        <f>IF(B$19=0,0,G9/B$19)</f>
        <v>0.15384615384615385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61.3</v>
      </c>
      <c r="C10" s="114">
        <v>122.6</v>
      </c>
      <c r="E10" s="29" t="s">
        <v>65</v>
      </c>
      <c r="F10" s="26" t="s">
        <v>21</v>
      </c>
      <c r="G10" s="14">
        <v>3</v>
      </c>
      <c r="H10" s="92">
        <f>IF(B$19=0,0,G10/B$19)</f>
        <v>0.11538461538461539</v>
      </c>
      <c r="I10" s="60">
        <v>5</v>
      </c>
      <c r="K10" s="7">
        <v>8</v>
      </c>
      <c r="L10" s="65">
        <v>-128.6</v>
      </c>
      <c r="N10" s="77" t="s">
        <v>152</v>
      </c>
      <c r="O10" s="86">
        <f>IF(P10=0,0,Q10/P10)</f>
        <v>8.3600000000000012</v>
      </c>
      <c r="P10" s="80">
        <v>5</v>
      </c>
      <c r="Q10" s="71">
        <v>41.800000000000004</v>
      </c>
    </row>
    <row r="11" spans="1:17" x14ac:dyDescent="0.45">
      <c r="A11" s="22" t="s">
        <v>186</v>
      </c>
      <c r="B11" s="113">
        <f>IF(B8=0,0,C11/B8)</f>
        <v>2.5333333333333337</v>
      </c>
      <c r="C11" s="114">
        <v>7.6000000000000014</v>
      </c>
      <c r="E11" s="29" t="s">
        <v>67</v>
      </c>
      <c r="F11" s="26" t="s">
        <v>23</v>
      </c>
      <c r="G11" s="14">
        <v>3</v>
      </c>
      <c r="H11" s="92">
        <f>IF(B$19=0,0,G11/B$19)</f>
        <v>0.11538461538461539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-10.9</v>
      </c>
      <c r="P11" s="81">
        <v>3</v>
      </c>
      <c r="Q11" s="72">
        <v>-32.700000000000003</v>
      </c>
    </row>
    <row r="12" spans="1:17" x14ac:dyDescent="0.45">
      <c r="A12" s="22" t="s">
        <v>187</v>
      </c>
      <c r="B12" s="113">
        <f>IF(B9=0,0,C12/B9)</f>
        <v>-41.866666666666667</v>
      </c>
      <c r="C12" s="114">
        <v>-251.2</v>
      </c>
      <c r="E12" s="29" t="s">
        <v>78</v>
      </c>
      <c r="F12" s="26" t="s">
        <v>33</v>
      </c>
      <c r="G12" s="14">
        <v>3</v>
      </c>
      <c r="H12" s="92">
        <f>IF(B$19=0,0,G12/B$19)</f>
        <v>0.11538461538461539</v>
      </c>
      <c r="I12" s="60">
        <v>1</v>
      </c>
      <c r="K12" s="7">
        <v>10</v>
      </c>
      <c r="L12" s="65">
        <v>-112.8</v>
      </c>
      <c r="N12" s="79" t="s">
        <v>154</v>
      </c>
      <c r="O12" s="88">
        <f>IF(P12=0,0,Q12/P12)</f>
        <v>-43.366666666666667</v>
      </c>
      <c r="P12" s="82">
        <v>3</v>
      </c>
      <c r="Q12" s="73">
        <v>-130.1</v>
      </c>
    </row>
    <row r="13" spans="1:17" x14ac:dyDescent="0.45">
      <c r="A13" s="22" t="s">
        <v>188</v>
      </c>
      <c r="B13" s="123">
        <f>AVERAGE(B10:B12)</f>
        <v>7.3222222222222202</v>
      </c>
      <c r="C13" s="124"/>
      <c r="E13" s="29" t="s">
        <v>83</v>
      </c>
      <c r="F13" s="26" t="s">
        <v>38</v>
      </c>
      <c r="G13" s="14">
        <v>3</v>
      </c>
      <c r="H13" s="92">
        <f>IF(B$19=0,0,G13/B$19)</f>
        <v>0.11538461538461539</v>
      </c>
      <c r="I13" s="60">
        <v>2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0.27272727272727271</v>
      </c>
      <c r="E14" s="29" t="s">
        <v>71</v>
      </c>
      <c r="F14" s="26" t="s">
        <v>26</v>
      </c>
      <c r="G14" s="14">
        <v>2</v>
      </c>
      <c r="H14" s="92">
        <f>IF(B$19=0,0,G14/B$19)</f>
        <v>7.6923076923076927E-2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</v>
      </c>
      <c r="C15" s="12">
        <f>IF(B$3=0,0,B15/B$3)</f>
        <v>0.15853658536585366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192</v>
      </c>
      <c r="O15" s="86">
        <f>IF(P15=0,0,Q15/P15)</f>
        <v>12.375</v>
      </c>
      <c r="P15" s="80">
        <v>4</v>
      </c>
      <c r="Q15" s="71">
        <v>49.5</v>
      </c>
    </row>
    <row r="16" spans="1:17" x14ac:dyDescent="0.45">
      <c r="A16" s="21" t="s">
        <v>118</v>
      </c>
      <c r="B16" s="14">
        <v>27</v>
      </c>
      <c r="C16" s="8">
        <f>IF(B$3=0,0,B16/B$3)</f>
        <v>0.32926829268292684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3.3666666666666649</v>
      </c>
      <c r="P16" s="81">
        <v>3</v>
      </c>
      <c r="Q16" s="72">
        <v>10.099999999999994</v>
      </c>
    </row>
    <row r="17" spans="1:17" x14ac:dyDescent="0.45">
      <c r="A17" s="20" t="s">
        <v>123</v>
      </c>
      <c r="B17" s="13">
        <f>B23</f>
        <v>9</v>
      </c>
      <c r="C17" s="6">
        <f>IF(B$15=0,0,B17/B$15)</f>
        <v>0.69230769230769229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126</v>
      </c>
      <c r="O17" s="87">
        <f>IF(P17=0,0,Q17/P17)</f>
        <v>-24.520000000000003</v>
      </c>
      <c r="P17" s="81">
        <v>10</v>
      </c>
      <c r="Q17" s="72">
        <v>-245.20000000000005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0.25925925925925924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-29.925000000000004</v>
      </c>
      <c r="P18" s="81">
        <v>4</v>
      </c>
      <c r="Q18" s="72">
        <v>-119.70000000000002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0.31707317073170732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4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20</v>
      </c>
      <c r="C20" s="8">
        <f>IF(B$3=0,0,B20/B$3)</f>
        <v>0.24390243902439024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0.34615384615384615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17</v>
      </c>
      <c r="C22" s="8">
        <f>IF(B$19=0,0,B22/B$19)</f>
        <v>0.65384615384615385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9</v>
      </c>
      <c r="C23" s="8">
        <f>IF(B$19=0,0,B23/B$19)</f>
        <v>0.34615384615384615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7</v>
      </c>
      <c r="C24" s="8">
        <f>IF(B$19=0,0,B24/B$19)</f>
        <v>0.26923076923076922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10</v>
      </c>
      <c r="C25" s="8">
        <f>IF(B$19=0,0,B25/B$19)</f>
        <v>0.38461538461538464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9503.8461538461543</v>
      </c>
      <c r="C26" s="10">
        <v>247100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166</v>
      </c>
      <c r="B27" s="99">
        <f>IF($B$19-B$18=0,0,C27/($B$19-B$18))</f>
        <v>8989.4736842105267</v>
      </c>
      <c r="C27" s="100">
        <v>170800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10900</v>
      </c>
      <c r="C28" s="100">
        <v>76300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-10365</v>
      </c>
      <c r="C29" s="100">
        <v>-207300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10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0.11538461538461539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6</v>
      </c>
      <c r="C37" s="8">
        <f t="shared" si="2"/>
        <v>0.23076923076923078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0.11538461538461539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0.15384615384615385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0.11538461538461539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7.6923076923076927E-2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3.8461538461538464E-2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7.6923076923076927E-2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7.6923076923076927E-2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7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4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1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3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1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4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4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6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2020-06-09T09:05:06Z</dcterms:modified>
</cp:coreProperties>
</file>