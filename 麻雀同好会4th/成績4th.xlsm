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8E1130B0-DFFF-44E9-A62E-B92EEDA69CA4}" xr6:coauthVersionLast="44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ぱぱ2" sheetId="6265" state="hidden" r:id="rId16"/>
    <sheet name="ただ2" sheetId="6263" state="hidden" r:id="rId17"/>
    <sheet name="のり2" sheetId="6261" state="hidden" r:id="rId18"/>
    <sheet name="たかの2" sheetId="6259" state="hidden" r:id="rId19"/>
    <sheet name="まっつん2" sheetId="6257" state="hidden" r:id="rId20"/>
    <sheet name="りくと2" sheetId="6255" state="hidden" r:id="rId21"/>
    <sheet name="だいち2" sheetId="6253" state="hidden" r:id="rId22"/>
    <sheet name="ともき2" sheetId="6251" state="hidden" r:id="rId23"/>
    <sheet name="れんたろう2" sheetId="6249" state="hidden" r:id="rId24"/>
    <sheet name="全体2" sheetId="624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258" l="1"/>
  <c r="O19" i="6262"/>
  <c r="O20" i="6248" l="1"/>
  <c r="O16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1" i="6252"/>
  <c r="O16" i="6248"/>
  <c r="O17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6" i="6254" l="1"/>
  <c r="O16" i="6262"/>
  <c r="O16" i="6250"/>
  <c r="O19" i="6258"/>
  <c r="O20" i="6262" l="1"/>
  <c r="O15" i="6250"/>
  <c r="O17" i="6262"/>
  <c r="O17" i="6248"/>
  <c r="O15" i="6256" l="1"/>
  <c r="O17" i="6250"/>
  <c r="O20" i="6252"/>
  <c r="O19" i="6256"/>
  <c r="O18" i="6246"/>
  <c r="O18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3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5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4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7" i="6252" l="1"/>
  <c r="O21" i="6258"/>
  <c r="O22" i="6248"/>
  <c r="O17" i="6258"/>
  <c r="O19" i="6252" l="1"/>
  <c r="O18" i="6254"/>
  <c r="O21" i="6248"/>
  <c r="O19" i="6248"/>
  <c r="O15" i="6254"/>
  <c r="O17" i="6256"/>
  <c r="O17" i="6260" l="1"/>
  <c r="O19" i="6260"/>
  <c r="O21" i="6256"/>
  <c r="O20" i="6256"/>
  <c r="O15" i="6252"/>
  <c r="O18" i="6252"/>
  <c r="O18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19" i="6254"/>
  <c r="O21" i="6246"/>
  <c r="O20" i="6258"/>
  <c r="O15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8" i="6256"/>
  <c r="O16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6" i="6246"/>
  <c r="O20" i="6254"/>
  <c r="O17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2" i="6246"/>
  <c r="O19" i="6246"/>
  <c r="O16" i="6252"/>
  <c r="O22" i="6252"/>
  <c r="C34" i="6252"/>
  <c r="B29" i="6252"/>
  <c r="C20" i="6252"/>
  <c r="B19" i="6252"/>
  <c r="H4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0" i="6246"/>
  <c r="O18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3" i="6246"/>
  <c r="O15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9" i="6254"/>
  <c r="C18" i="6254"/>
  <c r="H3" i="6254"/>
  <c r="H23" i="6254"/>
  <c r="H2" i="6254"/>
  <c r="H8" i="6254"/>
  <c r="H21" i="6254"/>
  <c r="B13" i="6254"/>
  <c r="C25" i="6254"/>
  <c r="H24" i="6254"/>
  <c r="C19" i="6254"/>
  <c r="H11" i="6254"/>
  <c r="H6" i="6254"/>
  <c r="H12" i="6254"/>
  <c r="H20" i="6254"/>
  <c r="H22" i="6254"/>
  <c r="H13" i="6254"/>
  <c r="C21" i="6254"/>
  <c r="C23" i="6254"/>
  <c r="H17" i="6248"/>
  <c r="H11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5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8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20" i="6258"/>
  <c r="H11" i="6258"/>
  <c r="H19" i="6258"/>
  <c r="H26" i="6258"/>
  <c r="C18" i="6258"/>
  <c r="H15" i="6258"/>
  <c r="H18" i="6258"/>
  <c r="H16" i="6258"/>
  <c r="H7" i="6258"/>
  <c r="H24" i="6258"/>
  <c r="H25" i="6258"/>
  <c r="H14" i="6258"/>
  <c r="C19" i="6258"/>
  <c r="H5" i="6258"/>
  <c r="H3" i="6258"/>
  <c r="H13" i="6258"/>
  <c r="H2" i="6258"/>
  <c r="H27" i="6258"/>
  <c r="H28" i="6258"/>
  <c r="H21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7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2" i="6256"/>
  <c r="H24" i="6256"/>
  <c r="H6" i="6256"/>
  <c r="H23" i="6256"/>
  <c r="H14" i="6256"/>
  <c r="C19" i="6256"/>
  <c r="H4" i="6256"/>
  <c r="H3" i="6256"/>
  <c r="H11" i="6256"/>
  <c r="H2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6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2" i="6256"/>
  <c r="H17" i="6256"/>
  <c r="H13" i="6256"/>
  <c r="H21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0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4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6" i="6254"/>
  <c r="H9" i="6254"/>
  <c r="H17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8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8" i="6252"/>
  <c r="H30" i="6252"/>
  <c r="H16" i="6252"/>
  <c r="B27" i="6252"/>
  <c r="C19" i="6252"/>
  <c r="C23" i="6252"/>
  <c r="H38" i="6252"/>
  <c r="H42" i="6252"/>
  <c r="H46" i="6252"/>
  <c r="H49" i="6252"/>
  <c r="H7" i="6252"/>
  <c r="H22" i="6252"/>
  <c r="C24" i="6252"/>
  <c r="H19" i="6252"/>
  <c r="H39" i="6252"/>
  <c r="H43" i="6252"/>
  <c r="H27" i="6252"/>
  <c r="H50" i="6252"/>
  <c r="H5" i="6252"/>
  <c r="H2" i="6252"/>
  <c r="H11" i="6252"/>
  <c r="H3" i="6252"/>
  <c r="H29" i="6252"/>
  <c r="H23" i="6252"/>
  <c r="H31" i="6252"/>
  <c r="C21" i="6252"/>
  <c r="C25" i="6252"/>
  <c r="H36" i="6252"/>
  <c r="H40" i="6252"/>
  <c r="H44" i="6252"/>
  <c r="H47" i="6252"/>
  <c r="H15" i="6252"/>
  <c r="B28" i="6252"/>
  <c r="H32" i="6252"/>
  <c r="H24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7" i="6252"/>
  <c r="H14" i="6252"/>
  <c r="H33" i="6252"/>
  <c r="H25" i="6252"/>
  <c r="H9" i="6252"/>
  <c r="H20" i="6252"/>
  <c r="H26" i="6252"/>
  <c r="C36" i="6252"/>
  <c r="C38" i="6252"/>
  <c r="C40" i="6252"/>
  <c r="C42" i="6252"/>
  <c r="C44" i="6252"/>
  <c r="C46" i="6252"/>
  <c r="C48" i="6252"/>
  <c r="H11" i="6246"/>
  <c r="H22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9" i="6248"/>
  <c r="H6" i="6248"/>
  <c r="H14" i="6248"/>
  <c r="H24" i="6248"/>
  <c r="H25" i="6248"/>
  <c r="H16" i="6248"/>
  <c r="B27" i="6248"/>
  <c r="C19" i="6248"/>
  <c r="C23" i="6248"/>
  <c r="H22" i="6248"/>
  <c r="H41" i="6248"/>
  <c r="H45" i="6248"/>
  <c r="H49" i="6248"/>
  <c r="H7" i="6248"/>
  <c r="H23" i="6248"/>
  <c r="C24" i="6248"/>
  <c r="H19" i="6248"/>
  <c r="H38" i="6248"/>
  <c r="H42" i="6248"/>
  <c r="H46" i="6248"/>
  <c r="H50" i="6248"/>
  <c r="H4" i="6248"/>
  <c r="H2" i="6248"/>
  <c r="H10" i="6248"/>
  <c r="H3" i="6248"/>
  <c r="H21" i="6248"/>
  <c r="H26" i="6248"/>
  <c r="H27" i="6248"/>
  <c r="C21" i="6248"/>
  <c r="C25" i="6248"/>
  <c r="H35" i="6248"/>
  <c r="H39" i="6248"/>
  <c r="H43" i="6248"/>
  <c r="H47" i="6248"/>
  <c r="H20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8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7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4" i="6246"/>
  <c r="C24" i="6246"/>
  <c r="H20" i="6246"/>
  <c r="H40" i="6246"/>
  <c r="H32" i="6246"/>
  <c r="H33" i="6246"/>
  <c r="H50" i="6246"/>
  <c r="B28" i="6246"/>
  <c r="H36" i="6246"/>
  <c r="H28" i="6246"/>
  <c r="H13" i="6246"/>
  <c r="H29" i="6246"/>
  <c r="H37" i="6246"/>
  <c r="H26" i="6246"/>
  <c r="H39" i="6246"/>
  <c r="C37" i="6246"/>
  <c r="C39" i="6246"/>
  <c r="C41" i="6246"/>
  <c r="C43" i="6246"/>
  <c r="C45" i="6246"/>
  <c r="C47" i="6246"/>
  <c r="H51" i="6246"/>
  <c r="H16" i="6246"/>
  <c r="H14" i="6246"/>
  <c r="H23" i="6246"/>
  <c r="H25" i="6246"/>
  <c r="H8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<sst xmlns="http://schemas.openxmlformats.org/spreadsheetml/2006/main" count="2722" uniqueCount="239">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</sst>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全体!$K$2:$K$341</c:f>
              <c:numCache>
                <c:formatCode>General</c:formatCode>
                <c:ptCount val="3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</c:numCache>
            </c:numRef>
          </c:xVal>
          <c:yVal>
            <c:numRef>
              <c:f>全体!$L$2:$L$341</c:f>
              <c:numCache>
                <c:formatCode>\+0.0;\-0.0;\±0</c:formatCode>
                <c:ptCount val="340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-9.0909090909090917</c:v>
                </c:pt>
                <c:pt idx="1">
                  <c:v>-3.0030030030030028</c:v>
                </c:pt>
                <c:pt idx="2">
                  <c:v>-15.723270440251572</c:v>
                </c:pt>
                <c:pt idx="3">
                  <c:v>24.305555555555557</c:v>
                </c:pt>
                <c:pt idx="4">
                  <c:v>-52.434456928838948</c:v>
                </c:pt>
                <c:pt idx="5">
                  <c:v>71.428571428571431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57</c:v>
                </c:pt>
                <c:pt idx="1">
                  <c:v>139</c:v>
                </c:pt>
                <c:pt idx="2">
                  <c:v>136</c:v>
                </c:pt>
                <c:pt idx="3">
                  <c:v>141</c:v>
                </c:pt>
                <c:pt idx="4">
                  <c:v>111</c:v>
                </c:pt>
                <c:pt idx="5">
                  <c:v>78</c:v>
                </c:pt>
                <c:pt idx="6">
                  <c:v>48</c:v>
                </c:pt>
                <c:pt idx="7">
                  <c:v>20</c:v>
                </c:pt>
                <c:pt idx="8">
                  <c:v>14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れんたろう!$L$2:$L$63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-765.51724137931035</c:v>
                </c:pt>
                <c:pt idx="1">
                  <c:v>-2243.3333333333335</c:v>
                </c:pt>
                <c:pt idx="2">
                  <c:v>226.78571428571428</c:v>
                </c:pt>
                <c:pt idx="3">
                  <c:v>-1500</c:v>
                </c:pt>
                <c:pt idx="4">
                  <c:v>336</c:v>
                </c:pt>
                <c:pt idx="5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34</c:v>
                </c:pt>
                <c:pt idx="4">
                  <c:v>24</c:v>
                </c:pt>
                <c:pt idx="5">
                  <c:v>16</c:v>
                </c:pt>
                <c:pt idx="6">
                  <c:v>10</c:v>
                </c:pt>
                <c:pt idx="7">
                  <c:v>5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だいち!$L$2:$L$87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936.90476190476193</c:v>
                </c:pt>
                <c:pt idx="1">
                  <c:v>2630.9523809523807</c:v>
                </c:pt>
                <c:pt idx="2">
                  <c:v>1680</c:v>
                </c:pt>
                <c:pt idx="3">
                  <c:v>1065.2777777777778</c:v>
                </c:pt>
                <c:pt idx="4">
                  <c:v>-928.98550724637676</c:v>
                </c:pt>
                <c:pt idx="5">
                  <c:v>2233.3333333333335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</c:v>
                </c:pt>
                <c:pt idx="1">
                  <c:v>30</c:v>
                </c:pt>
                <c:pt idx="2">
                  <c:v>36</c:v>
                </c:pt>
                <c:pt idx="3">
                  <c:v>39</c:v>
                </c:pt>
                <c:pt idx="4">
                  <c:v>33</c:v>
                </c:pt>
                <c:pt idx="5">
                  <c:v>18</c:v>
                </c:pt>
                <c:pt idx="6">
                  <c:v>13</c:v>
                </c:pt>
                <c:pt idx="7">
                  <c:v>7</c:v>
                </c:pt>
                <c:pt idx="8">
                  <c:v>6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りくと!$L$2:$L$38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-3900</c:v>
                </c:pt>
                <c:pt idx="1">
                  <c:v>1757.1428571428571</c:v>
                </c:pt>
                <c:pt idx="2">
                  <c:v>-1621.2121212121212</c:v>
                </c:pt>
                <c:pt idx="3">
                  <c:v>-1296.4285714285713</c:v>
                </c:pt>
                <c:pt idx="4">
                  <c:v>3508.3333333333335</c:v>
                </c:pt>
                <c:pt idx="5">
                  <c:v>-4070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9</c:v>
                </c:pt>
                <c:pt idx="4">
                  <c:v>6</c:v>
                </c:pt>
                <c:pt idx="5">
                  <c:v>12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-341.07142857142856</c:v>
                </c:pt>
                <c:pt idx="1">
                  <c:v>-689.28571428571433</c:v>
                </c:pt>
                <c:pt idx="2">
                  <c:v>-616.07142857142856</c:v>
                </c:pt>
                <c:pt idx="3">
                  <c:v>1511.3207547169811</c:v>
                </c:pt>
                <c:pt idx="4">
                  <c:v>-945.83333333333337</c:v>
                </c:pt>
                <c:pt idx="5">
                  <c:v>-1168.421052631579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24</c:v>
                </c:pt>
                <c:pt idx="2">
                  <c:v>32</c:v>
                </c:pt>
                <c:pt idx="3">
                  <c:v>21</c:v>
                </c:pt>
                <c:pt idx="4">
                  <c:v>13</c:v>
                </c:pt>
                <c:pt idx="5">
                  <c:v>8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-1715.1515151515152</c:v>
                </c:pt>
                <c:pt idx="1">
                  <c:v>-468.75</c:v>
                </c:pt>
                <c:pt idx="2">
                  <c:v>2675.8620689655172</c:v>
                </c:pt>
                <c:pt idx="3">
                  <c:v>-1565.3846153846155</c:v>
                </c:pt>
                <c:pt idx="4">
                  <c:v>2733.3333333333335</c:v>
                </c:pt>
                <c:pt idx="5">
                  <c:v>1489.4736842105262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15</c:v>
                </c:pt>
                <c:pt idx="3">
                  <c:v>10</c:v>
                </c:pt>
                <c:pt idx="4">
                  <c:v>15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1447.3684210526317</c:v>
                </c:pt>
                <c:pt idx="1">
                  <c:v>-1975</c:v>
                </c:pt>
                <c:pt idx="2">
                  <c:v>-947.36842105263156</c:v>
                </c:pt>
                <c:pt idx="3">
                  <c:v>848.57142857142856</c:v>
                </c:pt>
                <c:pt idx="4">
                  <c:v>-1752.9411764705883</c:v>
                </c:pt>
                <c:pt idx="5">
                  <c:v>-2442.3076923076924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24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ただ2!$B$3:$B$43</c:f>
              <c:numCache>
                <c:formatCode>\+0.0;\-0.0;\±0</c:formatCode>
                <c:ptCount val="41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ただ2!$C$3:$C$43</c:f>
              <c:numCache>
                <c:formatCode>\+0.0;\-0.0;\±0</c:formatCode>
                <c:ptCount val="41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  <c:pt idx="20">
                  <c:v>-1.3350000000000004</c:v>
                </c:pt>
                <c:pt idx="21">
                  <c:v>-1.9619047619047625</c:v>
                </c:pt>
                <c:pt idx="22">
                  <c:v>-1.745454545454546</c:v>
                </c:pt>
                <c:pt idx="23">
                  <c:v>-3.6478260869565218</c:v>
                </c:pt>
                <c:pt idx="24">
                  <c:v>-2.8583333333333338</c:v>
                </c:pt>
                <c:pt idx="25">
                  <c:v>-1.9640000000000004</c:v>
                </c:pt>
                <c:pt idx="26">
                  <c:v>-2.2307692307692308</c:v>
                </c:pt>
                <c:pt idx="27">
                  <c:v>-2.3222222222222224</c:v>
                </c:pt>
                <c:pt idx="28">
                  <c:v>-3.7250000000000005</c:v>
                </c:pt>
                <c:pt idx="29">
                  <c:v>-4.8448275862068968</c:v>
                </c:pt>
                <c:pt idx="30">
                  <c:v>-6.0433333333333339</c:v>
                </c:pt>
                <c:pt idx="31">
                  <c:v>-5.8161290322580648</c:v>
                </c:pt>
                <c:pt idx="32">
                  <c:v>-6.2375000000000007</c:v>
                </c:pt>
                <c:pt idx="33">
                  <c:v>-7.3363636363636369</c:v>
                </c:pt>
                <c:pt idx="34">
                  <c:v>-7.0000000000000009</c:v>
                </c:pt>
                <c:pt idx="35">
                  <c:v>-5.9857142857142867</c:v>
                </c:pt>
                <c:pt idx="36">
                  <c:v>-5.9972222222222236</c:v>
                </c:pt>
                <c:pt idx="37">
                  <c:v>-6.0162162162162165</c:v>
                </c:pt>
                <c:pt idx="38">
                  <c:v>-5.215789473684211</c:v>
                </c:pt>
                <c:pt idx="39">
                  <c:v>-3.930769230769231</c:v>
                </c:pt>
                <c:pt idx="40">
                  <c:v>-3.8374999999999999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287988812036284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ただ2!$D$3:$D$43</c:f>
              <c:numCache>
                <c:formatCode>0.00\ "位"</c:formatCode>
                <c:ptCount val="41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  <c:pt idx="20">
                  <c:v>2.0499999999999998</c:v>
                </c:pt>
                <c:pt idx="21">
                  <c:v>2.0952380952380953</c:v>
                </c:pt>
                <c:pt idx="22">
                  <c:v>2.0909090909090908</c:v>
                </c:pt>
                <c:pt idx="23">
                  <c:v>2.1304347826086958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2.129032258064516</c:v>
                </c:pt>
                <c:pt idx="32">
                  <c:v>2.15625</c:v>
                </c:pt>
                <c:pt idx="33">
                  <c:v>2.1818181818181817</c:v>
                </c:pt>
                <c:pt idx="34">
                  <c:v>2.1764705882352939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2.1052631578947367</c:v>
                </c:pt>
                <c:pt idx="39">
                  <c:v>2.0769230769230771</c:v>
                </c:pt>
                <c:pt idx="40">
                  <c:v>2.0750000000000002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ただ2!$E$3:$E$43</c:f>
              <c:numCache>
                <c:formatCode>0.0%</c:formatCode>
                <c:ptCount val="4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0.2857142857142857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ただ2!$F$3:$F$43</c:f>
              <c:numCache>
                <c:formatCode>0.0%</c:formatCode>
                <c:ptCount val="4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ただ2!$G$3:$G$43</c:f>
              <c:numCache>
                <c:formatCode>0.0%</c:formatCode>
                <c:ptCount val="41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  <c:pt idx="20">
                  <c:v>0.33774834437086093</c:v>
                </c:pt>
                <c:pt idx="21">
                  <c:v>0.34375</c:v>
                </c:pt>
                <c:pt idx="22">
                  <c:v>0.33720930232558138</c:v>
                </c:pt>
                <c:pt idx="23">
                  <c:v>0.32240437158469948</c:v>
                </c:pt>
                <c:pt idx="24">
                  <c:v>0.3193717277486911</c:v>
                </c:pt>
                <c:pt idx="25">
                  <c:v>0.32663316582914576</c:v>
                </c:pt>
                <c:pt idx="26">
                  <c:v>0.32038834951456313</c:v>
                </c:pt>
                <c:pt idx="27">
                  <c:v>0.31627906976744186</c:v>
                </c:pt>
                <c:pt idx="28">
                  <c:v>0.3108108108108108</c:v>
                </c:pt>
                <c:pt idx="29">
                  <c:v>0.30735930735930733</c:v>
                </c:pt>
                <c:pt idx="30">
                  <c:v>0.29957805907172996</c:v>
                </c:pt>
                <c:pt idx="31">
                  <c:v>0.29629629629629628</c:v>
                </c:pt>
                <c:pt idx="32">
                  <c:v>0.3</c:v>
                </c:pt>
                <c:pt idx="33">
                  <c:v>0.29615384615384616</c:v>
                </c:pt>
                <c:pt idx="34">
                  <c:v>0.29699248120300753</c:v>
                </c:pt>
                <c:pt idx="35">
                  <c:v>0.3014705882352941</c:v>
                </c:pt>
                <c:pt idx="36">
                  <c:v>0.30107526881720431</c:v>
                </c:pt>
                <c:pt idx="37">
                  <c:v>0.30313588850174217</c:v>
                </c:pt>
                <c:pt idx="38">
                  <c:v>0.30952380952380953</c:v>
                </c:pt>
                <c:pt idx="39">
                  <c:v>0.32</c:v>
                </c:pt>
                <c:pt idx="40">
                  <c:v>0.32142857142857145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636704119850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ただ2!$H$3:$H$43</c:f>
              <c:numCache>
                <c:formatCode>0.0%</c:formatCode>
                <c:ptCount val="41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  <c:pt idx="20">
                  <c:v>0.20529801324503311</c:v>
                </c:pt>
                <c:pt idx="21">
                  <c:v>0.2</c:v>
                </c:pt>
                <c:pt idx="22">
                  <c:v>0.19767441860465115</c:v>
                </c:pt>
                <c:pt idx="23">
                  <c:v>0.19672131147540983</c:v>
                </c:pt>
                <c:pt idx="24">
                  <c:v>0.19895287958115182</c:v>
                </c:pt>
                <c:pt idx="25">
                  <c:v>0.19597989949748743</c:v>
                </c:pt>
                <c:pt idx="26">
                  <c:v>0.1941747572815534</c:v>
                </c:pt>
                <c:pt idx="27">
                  <c:v>0.18604651162790697</c:v>
                </c:pt>
                <c:pt idx="28">
                  <c:v>0.18468468468468469</c:v>
                </c:pt>
                <c:pt idx="29">
                  <c:v>0.18181818181818182</c:v>
                </c:pt>
                <c:pt idx="30">
                  <c:v>0.18143459915611815</c:v>
                </c:pt>
                <c:pt idx="31">
                  <c:v>0.17695473251028807</c:v>
                </c:pt>
                <c:pt idx="32">
                  <c:v>0.17599999999999999</c:v>
                </c:pt>
                <c:pt idx="33">
                  <c:v>0.18461538461538463</c:v>
                </c:pt>
                <c:pt idx="34">
                  <c:v>0.18045112781954886</c:v>
                </c:pt>
                <c:pt idx="35">
                  <c:v>0.17647058823529413</c:v>
                </c:pt>
                <c:pt idx="36">
                  <c:v>0.17921146953405018</c:v>
                </c:pt>
                <c:pt idx="37">
                  <c:v>0.17770034843205576</c:v>
                </c:pt>
                <c:pt idx="38">
                  <c:v>0.17687074829931973</c:v>
                </c:pt>
                <c:pt idx="39">
                  <c:v>0.17333333333333334</c:v>
                </c:pt>
                <c:pt idx="40">
                  <c:v>0.16883116883116883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2434456928838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ただ2!$I$3:$I$43</c:f>
              <c:numCache>
                <c:formatCode>0</c:formatCode>
                <c:ptCount val="41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  <c:pt idx="20">
                  <c:v>9411.7647058823532</c:v>
                </c:pt>
                <c:pt idx="21">
                  <c:v>9172.7272727272721</c:v>
                </c:pt>
                <c:pt idx="22">
                  <c:v>9141.3793103448279</c:v>
                </c:pt>
                <c:pt idx="23">
                  <c:v>9116.9491525423728</c:v>
                </c:pt>
                <c:pt idx="24">
                  <c:v>9042.622950819672</c:v>
                </c:pt>
                <c:pt idx="25">
                  <c:v>8783.0769230769238</c:v>
                </c:pt>
                <c:pt idx="26">
                  <c:v>8681.818181818182</c:v>
                </c:pt>
                <c:pt idx="27">
                  <c:v>8617.6470588235297</c:v>
                </c:pt>
                <c:pt idx="28">
                  <c:v>8523.188405797102</c:v>
                </c:pt>
                <c:pt idx="29">
                  <c:v>8347.8873239436616</c:v>
                </c:pt>
                <c:pt idx="30">
                  <c:v>8347.8873239436616</c:v>
                </c:pt>
                <c:pt idx="31">
                  <c:v>8343.0555555555547</c:v>
                </c:pt>
                <c:pt idx="32">
                  <c:v>8145.333333333333</c:v>
                </c:pt>
                <c:pt idx="33">
                  <c:v>8141.5584415584417</c:v>
                </c:pt>
                <c:pt idx="34">
                  <c:v>8153.164556962025</c:v>
                </c:pt>
                <c:pt idx="35">
                  <c:v>8186.5853658536589</c:v>
                </c:pt>
                <c:pt idx="36">
                  <c:v>8229.7619047619046</c:v>
                </c:pt>
                <c:pt idx="37">
                  <c:v>8110.3448275862065</c:v>
                </c:pt>
                <c:pt idx="38">
                  <c:v>8087.9120879120883</c:v>
                </c:pt>
                <c:pt idx="39">
                  <c:v>7946.875</c:v>
                </c:pt>
                <c:pt idx="40">
                  <c:v>7921.212121212121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00.64432989690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ただ2!$J$3:$J$43</c:f>
              <c:numCache>
                <c:formatCode>0</c:formatCode>
                <c:ptCount val="41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  <c:pt idx="20">
                  <c:v>-9551.6129032258068</c:v>
                </c:pt>
                <c:pt idx="21">
                  <c:v>-9753.125</c:v>
                </c:pt>
                <c:pt idx="22">
                  <c:v>-9464.7058823529405</c:v>
                </c:pt>
                <c:pt idx="23">
                  <c:v>-9605.5555555555547</c:v>
                </c:pt>
                <c:pt idx="24">
                  <c:v>-9378.9473684210534</c:v>
                </c:pt>
                <c:pt idx="25">
                  <c:v>-9212.8205128205136</c:v>
                </c:pt>
                <c:pt idx="26">
                  <c:v>-9007.5</c:v>
                </c:pt>
                <c:pt idx="27">
                  <c:v>-9007.5</c:v>
                </c:pt>
                <c:pt idx="28">
                  <c:v>-8975.6097560975613</c:v>
                </c:pt>
                <c:pt idx="29">
                  <c:v>-9142.8571428571431</c:v>
                </c:pt>
                <c:pt idx="30">
                  <c:v>-9116.2790697674427</c:v>
                </c:pt>
                <c:pt idx="31">
                  <c:v>-9116.2790697674427</c:v>
                </c:pt>
                <c:pt idx="32">
                  <c:v>-9090.9090909090901</c:v>
                </c:pt>
                <c:pt idx="33">
                  <c:v>-9333.3333333333339</c:v>
                </c:pt>
                <c:pt idx="34">
                  <c:v>-9333.3333333333339</c:v>
                </c:pt>
                <c:pt idx="35">
                  <c:v>-9333.3333333333339</c:v>
                </c:pt>
                <c:pt idx="36">
                  <c:v>-9328</c:v>
                </c:pt>
                <c:pt idx="37">
                  <c:v>-9301.9607843137255</c:v>
                </c:pt>
                <c:pt idx="38">
                  <c:v>-9161.538461538461</c:v>
                </c:pt>
                <c:pt idx="39">
                  <c:v>-9161.538461538461</c:v>
                </c:pt>
                <c:pt idx="40">
                  <c:v>-9161.538461538461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56.51105651105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ただ2!$K$3:$K$43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094395280235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ただ2!$L$3:$L$43</c:f>
              <c:numCache>
                <c:formatCode>0.0%</c:formatCode>
                <c:ptCount val="41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  <c:pt idx="20">
                  <c:v>0.19205298013245034</c:v>
                </c:pt>
                <c:pt idx="21">
                  <c:v>0.20624999999999999</c:v>
                </c:pt>
                <c:pt idx="22">
                  <c:v>0.19186046511627908</c:v>
                </c:pt>
                <c:pt idx="23">
                  <c:v>0.18579234972677597</c:v>
                </c:pt>
                <c:pt idx="24">
                  <c:v>0.18324607329842932</c:v>
                </c:pt>
                <c:pt idx="25">
                  <c:v>0.17587939698492464</c:v>
                </c:pt>
                <c:pt idx="26">
                  <c:v>0.17475728155339806</c:v>
                </c:pt>
                <c:pt idx="27">
                  <c:v>0.16744186046511628</c:v>
                </c:pt>
                <c:pt idx="28">
                  <c:v>0.16216216216216217</c:v>
                </c:pt>
                <c:pt idx="29">
                  <c:v>0.16883116883116883</c:v>
                </c:pt>
                <c:pt idx="30">
                  <c:v>0.16877637130801687</c:v>
                </c:pt>
                <c:pt idx="31">
                  <c:v>0.16460905349794239</c:v>
                </c:pt>
                <c:pt idx="32">
                  <c:v>0.16400000000000001</c:v>
                </c:pt>
                <c:pt idx="33">
                  <c:v>0.16923076923076924</c:v>
                </c:pt>
                <c:pt idx="34">
                  <c:v>0.16917293233082706</c:v>
                </c:pt>
                <c:pt idx="35">
                  <c:v>0.17279411764705882</c:v>
                </c:pt>
                <c:pt idx="36">
                  <c:v>0.17562724014336917</c:v>
                </c:pt>
                <c:pt idx="37">
                  <c:v>0.18118466898954705</c:v>
                </c:pt>
                <c:pt idx="38">
                  <c:v>0.17687074829931973</c:v>
                </c:pt>
                <c:pt idx="39">
                  <c:v>0.17333333333333334</c:v>
                </c:pt>
                <c:pt idx="40">
                  <c:v>0.17207792207792208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827715355805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ただ2!$M$3:$M$43</c:f>
              <c:numCache>
                <c:formatCode>0.0%</c:formatCode>
                <c:ptCount val="41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  <c:pt idx="20">
                  <c:v>0.31125827814569534</c:v>
                </c:pt>
                <c:pt idx="21">
                  <c:v>0.30625000000000002</c:v>
                </c:pt>
                <c:pt idx="22">
                  <c:v>0.31395348837209303</c:v>
                </c:pt>
                <c:pt idx="23">
                  <c:v>0.31693989071038253</c:v>
                </c:pt>
                <c:pt idx="24">
                  <c:v>0.31413612565445026</c:v>
                </c:pt>
                <c:pt idx="25">
                  <c:v>0.30150753768844218</c:v>
                </c:pt>
                <c:pt idx="26">
                  <c:v>0.30582524271844658</c:v>
                </c:pt>
                <c:pt idx="27">
                  <c:v>0.30232558139534882</c:v>
                </c:pt>
                <c:pt idx="28">
                  <c:v>0.30180180180180183</c:v>
                </c:pt>
                <c:pt idx="29">
                  <c:v>0.29870129870129869</c:v>
                </c:pt>
                <c:pt idx="30">
                  <c:v>0.29535864978902954</c:v>
                </c:pt>
                <c:pt idx="31">
                  <c:v>0.29218106995884774</c:v>
                </c:pt>
                <c:pt idx="32">
                  <c:v>0.29599999999999999</c:v>
                </c:pt>
                <c:pt idx="33">
                  <c:v>0.28846153846153844</c:v>
                </c:pt>
                <c:pt idx="34">
                  <c:v>0.28195488721804512</c:v>
                </c:pt>
                <c:pt idx="35">
                  <c:v>0.28308823529411764</c:v>
                </c:pt>
                <c:pt idx="36">
                  <c:v>0.28673835125448027</c:v>
                </c:pt>
                <c:pt idx="37">
                  <c:v>0.28222996515679444</c:v>
                </c:pt>
                <c:pt idx="38">
                  <c:v>0.27551020408163263</c:v>
                </c:pt>
                <c:pt idx="39">
                  <c:v>0.27333333333333332</c:v>
                </c:pt>
                <c:pt idx="40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11235955056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ただ2!$N$3:$N$43</c:f>
              <c:numCache>
                <c:formatCode>0.0%</c:formatCode>
                <c:ptCount val="41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  <c:pt idx="20">
                  <c:v>0.62068965517241381</c:v>
                </c:pt>
                <c:pt idx="21">
                  <c:v>0.63636363636363635</c:v>
                </c:pt>
                <c:pt idx="22">
                  <c:v>0.63636363636363635</c:v>
                </c:pt>
                <c:pt idx="23">
                  <c:v>0.61764705882352944</c:v>
                </c:pt>
                <c:pt idx="24">
                  <c:v>0.62857142857142856</c:v>
                </c:pt>
                <c:pt idx="25">
                  <c:v>0.62857142857142856</c:v>
                </c:pt>
                <c:pt idx="26">
                  <c:v>0.61111111111111116</c:v>
                </c:pt>
                <c:pt idx="27">
                  <c:v>0.61111111111111116</c:v>
                </c:pt>
                <c:pt idx="28">
                  <c:v>0.61111111111111116</c:v>
                </c:pt>
                <c:pt idx="29">
                  <c:v>0.61538461538461542</c:v>
                </c:pt>
                <c:pt idx="30">
                  <c:v>0.6</c:v>
                </c:pt>
                <c:pt idx="31">
                  <c:v>0.6</c:v>
                </c:pt>
                <c:pt idx="32">
                  <c:v>0.6097560975609756</c:v>
                </c:pt>
                <c:pt idx="33">
                  <c:v>0.61363636363636365</c:v>
                </c:pt>
                <c:pt idx="34">
                  <c:v>0.62222222222222223</c:v>
                </c:pt>
                <c:pt idx="35">
                  <c:v>0.63829787234042556</c:v>
                </c:pt>
                <c:pt idx="36">
                  <c:v>0.63265306122448983</c:v>
                </c:pt>
                <c:pt idx="37">
                  <c:v>0.63461538461538458</c:v>
                </c:pt>
                <c:pt idx="38">
                  <c:v>0.63461538461538458</c:v>
                </c:pt>
                <c:pt idx="39">
                  <c:v>0.63461538461538458</c:v>
                </c:pt>
                <c:pt idx="40">
                  <c:v>0.64150943396226412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181102362204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ただ2!$O$3:$O$43</c:f>
              <c:numCache>
                <c:formatCode>0.0%</c:formatCode>
                <c:ptCount val="41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  <c:pt idx="20">
                  <c:v>0.2978723404255319</c:v>
                </c:pt>
                <c:pt idx="21">
                  <c:v>0.2857142857142857</c:v>
                </c:pt>
                <c:pt idx="22">
                  <c:v>0.29629629629629628</c:v>
                </c:pt>
                <c:pt idx="23">
                  <c:v>0.29310344827586204</c:v>
                </c:pt>
                <c:pt idx="24">
                  <c:v>0.28333333333333333</c:v>
                </c:pt>
                <c:pt idx="25">
                  <c:v>0.28333333333333333</c:v>
                </c:pt>
                <c:pt idx="26">
                  <c:v>0.2857142857142857</c:v>
                </c:pt>
                <c:pt idx="27">
                  <c:v>0.29230769230769232</c:v>
                </c:pt>
                <c:pt idx="28">
                  <c:v>0.29850746268656714</c:v>
                </c:pt>
                <c:pt idx="29">
                  <c:v>0.28985507246376813</c:v>
                </c:pt>
                <c:pt idx="30">
                  <c:v>0.2857142857142857</c:v>
                </c:pt>
                <c:pt idx="31">
                  <c:v>0.29577464788732394</c:v>
                </c:pt>
                <c:pt idx="32">
                  <c:v>0.3108108108108108</c:v>
                </c:pt>
                <c:pt idx="33">
                  <c:v>0.30666666666666664</c:v>
                </c:pt>
                <c:pt idx="34">
                  <c:v>0.30666666666666664</c:v>
                </c:pt>
                <c:pt idx="35">
                  <c:v>0.31168831168831168</c:v>
                </c:pt>
                <c:pt idx="36">
                  <c:v>0.3125</c:v>
                </c:pt>
                <c:pt idx="37">
                  <c:v>0.32098765432098764</c:v>
                </c:pt>
                <c:pt idx="38">
                  <c:v>0.32098765432098764</c:v>
                </c:pt>
                <c:pt idx="39">
                  <c:v>0.32926829268292684</c:v>
                </c:pt>
                <c:pt idx="4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32976827094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ただ2!$P$3:$P$43</c:f>
              <c:numCache>
                <c:formatCode>0.0%</c:formatCode>
                <c:ptCount val="41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  <c:pt idx="20">
                  <c:v>0.35294117647058826</c:v>
                </c:pt>
                <c:pt idx="21">
                  <c:v>0.36363636363636365</c:v>
                </c:pt>
                <c:pt idx="22">
                  <c:v>0.37931034482758619</c:v>
                </c:pt>
                <c:pt idx="23">
                  <c:v>0.3728813559322034</c:v>
                </c:pt>
                <c:pt idx="24">
                  <c:v>0.39344262295081966</c:v>
                </c:pt>
                <c:pt idx="25">
                  <c:v>0.36923076923076925</c:v>
                </c:pt>
                <c:pt idx="26">
                  <c:v>0.37878787878787878</c:v>
                </c:pt>
                <c:pt idx="27">
                  <c:v>0.39705882352941174</c:v>
                </c:pt>
                <c:pt idx="28">
                  <c:v>0.40579710144927539</c:v>
                </c:pt>
                <c:pt idx="29">
                  <c:v>0.39436619718309857</c:v>
                </c:pt>
                <c:pt idx="30">
                  <c:v>0.39436619718309857</c:v>
                </c:pt>
                <c:pt idx="31">
                  <c:v>0.3888888888888889</c:v>
                </c:pt>
                <c:pt idx="32">
                  <c:v>0.38666666666666666</c:v>
                </c:pt>
                <c:pt idx="33">
                  <c:v>0.38961038961038963</c:v>
                </c:pt>
                <c:pt idx="34">
                  <c:v>0.379746835443038</c:v>
                </c:pt>
                <c:pt idx="35">
                  <c:v>0.3902439024390244</c:v>
                </c:pt>
                <c:pt idx="36">
                  <c:v>0.40476190476190477</c:v>
                </c:pt>
                <c:pt idx="37">
                  <c:v>0.41379310344827586</c:v>
                </c:pt>
                <c:pt idx="38">
                  <c:v>0.43956043956043955</c:v>
                </c:pt>
                <c:pt idx="39">
                  <c:v>0.44791666666666669</c:v>
                </c:pt>
                <c:pt idx="40">
                  <c:v>0.46464646464646464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2938144329896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4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6" x14ac:dyDescent="0.45">
      <c r="A33" s="2" t="s">
        <v>237</v>
      </c>
      <c r="B33" s="3">
        <v>44026.760995370372</v>
      </c>
      <c r="C33" s="2" t="s">
        <v>127</v>
      </c>
    </row>
    <row r="34" spans="1:6" x14ac:dyDescent="0.45">
      <c r="A34" s="2" t="s">
        <v>238</v>
      </c>
      <c r="B34" s="3">
        <v>44030.014479166668</v>
      </c>
      <c r="C34" s="2" t="s">
        <v>127</v>
      </c>
      <c r="D34" s="2" t="s">
        <v>191</v>
      </c>
      <c r="E34" s="2" t="s">
        <v>195</v>
      </c>
      <c r="F34" s="2" t="s">
        <v>197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339</v>
      </c>
    </row>
    <row r="2" spans="1:2" x14ac:dyDescent="0.45">
      <c r="A2" t="s">
        <v>164</v>
      </c>
      <c r="B2">
        <v>61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85</v>
      </c>
    </row>
    <row r="5" spans="1:2" x14ac:dyDescent="0.45">
      <c r="A5" t="s">
        <v>194</v>
      </c>
      <c r="B5">
        <v>36</v>
      </c>
    </row>
    <row r="6" spans="1:2" x14ac:dyDescent="0.45">
      <c r="A6" t="s">
        <v>192</v>
      </c>
      <c r="B6">
        <v>57</v>
      </c>
    </row>
    <row r="7" spans="1:2" x14ac:dyDescent="0.45">
      <c r="A7" t="s">
        <v>193</v>
      </c>
      <c r="B7">
        <v>33</v>
      </c>
    </row>
    <row r="8" spans="1:2" x14ac:dyDescent="0.45">
      <c r="A8" t="s">
        <v>196</v>
      </c>
      <c r="B8">
        <v>9</v>
      </c>
    </row>
    <row r="9" spans="1:2" x14ac:dyDescent="0.45">
      <c r="A9" t="s">
        <v>205</v>
      </c>
      <c r="B9">
        <v>40</v>
      </c>
    </row>
    <row r="10" spans="1:2" x14ac:dyDescent="0.45">
      <c r="A10" t="s">
        <v>212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0.74519563315458071</v>
      </c>
      <c r="C2" s="140"/>
      <c r="D2" s="145"/>
      <c r="E2" s="146"/>
      <c r="F2" s="145"/>
      <c r="G2" s="146"/>
      <c r="H2" s="139">
        <v>-0.15664199023091682</v>
      </c>
      <c r="I2" s="140"/>
      <c r="J2" s="139">
        <v>0.89031317378169761</v>
      </c>
      <c r="K2" s="140"/>
      <c r="L2" s="139">
        <v>0.81561275600547478</v>
      </c>
      <c r="M2" s="140"/>
      <c r="N2" s="139">
        <v>0.90785650642650062</v>
      </c>
      <c r="O2" s="140"/>
      <c r="P2" s="139">
        <v>0.41239233905446315</v>
      </c>
      <c r="Q2" s="140"/>
      <c r="R2" s="139">
        <v>0.32727112123630026</v>
      </c>
      <c r="S2" s="140"/>
      <c r="T2" s="139">
        <v>0.43525475985994122</v>
      </c>
      <c r="U2" s="140"/>
      <c r="V2" s="139">
        <v>0.12234968533525555</v>
      </c>
      <c r="W2" s="140"/>
      <c r="X2" s="139">
        <v>0.54802158957704061</v>
      </c>
      <c r="Y2" s="140"/>
      <c r="Z2" s="139">
        <v>0.11588999153358097</v>
      </c>
      <c r="AA2" s="140"/>
      <c r="AB2" s="139">
        <v>-0.20582669718817562</v>
      </c>
      <c r="AC2" s="140"/>
      <c r="AD2" s="139">
        <v>0.27890304052411424</v>
      </c>
      <c r="AE2" s="140"/>
      <c r="AF2" s="139">
        <v>0.17799477038909459</v>
      </c>
      <c r="AG2" s="140"/>
      <c r="AH2" s="139">
        <v>0.55199235276851222</v>
      </c>
      <c r="AI2" s="140"/>
      <c r="AJ2" s="139">
        <v>1.3134236028156302E-2</v>
      </c>
      <c r="AK2" s="140"/>
    </row>
    <row r="3" spans="1:37" x14ac:dyDescent="0.45">
      <c r="A3" s="40">
        <v>1</v>
      </c>
      <c r="B3" s="43" t="s">
        <v>139</v>
      </c>
      <c r="C3" s="117">
        <v>113</v>
      </c>
      <c r="D3" s="41" t="s">
        <v>126</v>
      </c>
      <c r="E3" s="42">
        <v>685.90000000000009</v>
      </c>
      <c r="F3" s="43" t="s">
        <v>126</v>
      </c>
      <c r="G3" s="62">
        <v>8.0694117647058832</v>
      </c>
      <c r="H3" s="43" t="s">
        <v>196</v>
      </c>
      <c r="I3" s="62">
        <v>9.3444444444444432</v>
      </c>
      <c r="J3" s="43" t="s">
        <v>126</v>
      </c>
      <c r="K3" s="44">
        <v>1.7882352941176471</v>
      </c>
      <c r="L3" s="43" t="s">
        <v>126</v>
      </c>
      <c r="M3" s="45">
        <v>0.43529411764705883</v>
      </c>
      <c r="N3" s="43" t="s">
        <v>196</v>
      </c>
      <c r="O3" s="45">
        <v>0.1111111111111111</v>
      </c>
      <c r="P3" s="43" t="s">
        <v>205</v>
      </c>
      <c r="Q3" s="46">
        <v>0.32142857142857145</v>
      </c>
      <c r="R3" s="43" t="s">
        <v>196</v>
      </c>
      <c r="S3" s="46">
        <v>6.8493150684931503E-2</v>
      </c>
      <c r="T3" s="43" t="s">
        <v>164</v>
      </c>
      <c r="U3" s="47">
        <v>10376.744186046511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0.36254980079681276</v>
      </c>
      <c r="AD3" s="43" t="s">
        <v>212</v>
      </c>
      <c r="AE3" s="46">
        <v>0.70833333333333337</v>
      </c>
      <c r="AF3" s="43" t="s">
        <v>194</v>
      </c>
      <c r="AG3" s="46">
        <v>0.57777777777777772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85</v>
      </c>
      <c r="D4" s="49" t="s">
        <v>193</v>
      </c>
      <c r="E4" s="50">
        <v>84.500000000000014</v>
      </c>
      <c r="F4" s="51" t="s">
        <v>193</v>
      </c>
      <c r="G4" s="63">
        <v>2.560606060606061</v>
      </c>
      <c r="H4" s="51" t="s">
        <v>194</v>
      </c>
      <c r="I4" s="63">
        <v>3.8353874883286636</v>
      </c>
      <c r="J4" s="51" t="s">
        <v>196</v>
      </c>
      <c r="K4" s="52">
        <v>1.8888888888888888</v>
      </c>
      <c r="L4" s="51" t="s">
        <v>164</v>
      </c>
      <c r="M4" s="53">
        <v>0.36065573770491804</v>
      </c>
      <c r="N4" s="51" t="s">
        <v>126</v>
      </c>
      <c r="O4" s="53">
        <v>0.22352941176470589</v>
      </c>
      <c r="P4" s="51" t="s">
        <v>193</v>
      </c>
      <c r="Q4" s="54">
        <v>0.3147410358565737</v>
      </c>
      <c r="R4" s="51" t="s">
        <v>192</v>
      </c>
      <c r="S4" s="54">
        <v>0.11496746203904555</v>
      </c>
      <c r="T4" s="51" t="s">
        <v>126</v>
      </c>
      <c r="U4" s="55">
        <v>9776.213592233009</v>
      </c>
      <c r="V4" s="51" t="s">
        <v>193</v>
      </c>
      <c r="W4" s="55">
        <v>-7008.5714285714284</v>
      </c>
      <c r="X4" s="51" t="s">
        <v>212</v>
      </c>
      <c r="Y4" s="53">
        <v>0</v>
      </c>
      <c r="Z4" s="51" t="s">
        <v>164</v>
      </c>
      <c r="AA4" s="54">
        <v>0.29729729729729731</v>
      </c>
      <c r="AB4" s="51" t="s">
        <v>205</v>
      </c>
      <c r="AC4" s="54">
        <v>0.27272727272727271</v>
      </c>
      <c r="AD4" s="51" t="s">
        <v>196</v>
      </c>
      <c r="AE4" s="54">
        <v>0.65</v>
      </c>
      <c r="AF4" s="51" t="s">
        <v>212</v>
      </c>
      <c r="AG4" s="54">
        <v>0.5714285714285714</v>
      </c>
      <c r="AH4" s="51" t="s">
        <v>212</v>
      </c>
      <c r="AI4" s="54">
        <v>0.52173913043478259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61</v>
      </c>
      <c r="D5" s="49" t="s">
        <v>196</v>
      </c>
      <c r="E5" s="50">
        <v>21.599999999999987</v>
      </c>
      <c r="F5" s="51" t="s">
        <v>196</v>
      </c>
      <c r="G5" s="63">
        <v>2.3999999999999986</v>
      </c>
      <c r="H5" s="51" t="s">
        <v>212</v>
      </c>
      <c r="I5" s="63">
        <v>2.1361111111111115</v>
      </c>
      <c r="J5" s="51" t="s">
        <v>193</v>
      </c>
      <c r="K5" s="52">
        <v>1.9696969696969697</v>
      </c>
      <c r="L5" s="51" t="s">
        <v>193</v>
      </c>
      <c r="M5" s="53">
        <v>0.33333333333333331</v>
      </c>
      <c r="N5" s="51" t="s">
        <v>193</v>
      </c>
      <c r="O5" s="53">
        <v>0.30303030303030304</v>
      </c>
      <c r="P5" s="51" t="s">
        <v>212</v>
      </c>
      <c r="Q5" s="54">
        <v>0.3108108108108108</v>
      </c>
      <c r="R5" s="51" t="s">
        <v>193</v>
      </c>
      <c r="S5" s="54">
        <v>0.1394422310756972</v>
      </c>
      <c r="T5" s="51" t="s">
        <v>189</v>
      </c>
      <c r="U5" s="55">
        <v>9062.5</v>
      </c>
      <c r="V5" s="51" t="s">
        <v>189</v>
      </c>
      <c r="W5" s="55">
        <v>-7317.6470588235297</v>
      </c>
      <c r="X5" s="51" t="s">
        <v>126</v>
      </c>
      <c r="Y5" s="53">
        <v>5.8823529411764705E-2</v>
      </c>
      <c r="Z5" s="51" t="s">
        <v>189</v>
      </c>
      <c r="AA5" s="54">
        <v>0.28378378378378377</v>
      </c>
      <c r="AB5" s="51" t="s">
        <v>192</v>
      </c>
      <c r="AC5" s="54">
        <v>0.24945770065075923</v>
      </c>
      <c r="AD5" s="51" t="s">
        <v>205</v>
      </c>
      <c r="AE5" s="54">
        <v>0.64150943396226412</v>
      </c>
      <c r="AF5" s="51" t="s">
        <v>189</v>
      </c>
      <c r="AG5" s="54">
        <v>0.5</v>
      </c>
      <c r="AH5" s="51" t="s">
        <v>126</v>
      </c>
      <c r="AI5" s="54">
        <v>0.50970873786407767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57</v>
      </c>
      <c r="D6" s="49" t="s">
        <v>139</v>
      </c>
      <c r="E6" s="50">
        <v>-2.1316282072803006E-14</v>
      </c>
      <c r="F6" s="51" t="s">
        <v>139</v>
      </c>
      <c r="G6" s="63">
        <v>-6.2879888120362847E-17</v>
      </c>
      <c r="H6" s="51" t="s">
        <v>193</v>
      </c>
      <c r="I6" s="63">
        <v>1.3157575757575752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0.30700447093889716</v>
      </c>
      <c r="R6" s="51" t="s">
        <v>126</v>
      </c>
      <c r="S6" s="54">
        <v>0.14157973174366617</v>
      </c>
      <c r="T6" s="51" t="s">
        <v>139</v>
      </c>
      <c r="U6" s="55">
        <v>8800.6443298969079</v>
      </c>
      <c r="V6" s="51" t="s">
        <v>194</v>
      </c>
      <c r="W6" s="55">
        <v>-7428.260869565217</v>
      </c>
      <c r="X6" s="51" t="s">
        <v>192</v>
      </c>
      <c r="Y6" s="53">
        <v>8.771929824561403E-2</v>
      </c>
      <c r="Z6" s="51" t="s">
        <v>196</v>
      </c>
      <c r="AA6" s="54">
        <v>0.27397260273972601</v>
      </c>
      <c r="AB6" s="51" t="s">
        <v>139</v>
      </c>
      <c r="AC6" s="54">
        <v>0.21011235955056179</v>
      </c>
      <c r="AD6" s="51" t="s">
        <v>193</v>
      </c>
      <c r="AE6" s="54">
        <v>0.6</v>
      </c>
      <c r="AF6" s="51" t="s">
        <v>126</v>
      </c>
      <c r="AG6" s="54">
        <v>0.48571428571428571</v>
      </c>
      <c r="AH6" s="51" t="s">
        <v>194</v>
      </c>
      <c r="AI6" s="54">
        <v>0.48684210526315791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205</v>
      </c>
      <c r="C7" s="118">
        <v>40</v>
      </c>
      <c r="D7" s="49" t="s">
        <v>212</v>
      </c>
      <c r="E7" s="50">
        <v>-41.599999999999994</v>
      </c>
      <c r="F7" s="51" t="s">
        <v>164</v>
      </c>
      <c r="G7" s="63">
        <v>-1.960655737704919</v>
      </c>
      <c r="H7" s="51" t="s">
        <v>126</v>
      </c>
      <c r="I7" s="63">
        <v>0.10281224963620161</v>
      </c>
      <c r="J7" s="51" t="s">
        <v>164</v>
      </c>
      <c r="K7" s="52">
        <v>2.0327868852459017</v>
      </c>
      <c r="L7" s="51" t="s">
        <v>192</v>
      </c>
      <c r="M7" s="53">
        <v>0.31578947368421051</v>
      </c>
      <c r="N7" s="51" t="s">
        <v>212</v>
      </c>
      <c r="O7" s="53">
        <v>0.33333333333333331</v>
      </c>
      <c r="P7" s="51" t="s">
        <v>139</v>
      </c>
      <c r="Q7" s="54">
        <v>0.29063670411985021</v>
      </c>
      <c r="R7" s="51" t="s">
        <v>139</v>
      </c>
      <c r="S7" s="54">
        <v>0.15243445692883895</v>
      </c>
      <c r="T7" s="51" t="s">
        <v>194</v>
      </c>
      <c r="U7" s="55">
        <v>8010.5263157894733</v>
      </c>
      <c r="V7" s="51" t="s">
        <v>139</v>
      </c>
      <c r="W7" s="55">
        <v>-7956.5110565110563</v>
      </c>
      <c r="X7" s="51" t="s">
        <v>205</v>
      </c>
      <c r="Y7" s="53">
        <v>0.1</v>
      </c>
      <c r="Z7" s="51" t="s">
        <v>126</v>
      </c>
      <c r="AA7" s="54">
        <v>0.25186289120715349</v>
      </c>
      <c r="AB7" s="51" t="s">
        <v>164</v>
      </c>
      <c r="AC7" s="54">
        <v>0.20166320166320167</v>
      </c>
      <c r="AD7" s="51" t="s">
        <v>126</v>
      </c>
      <c r="AE7" s="54">
        <v>0.57988165680473369</v>
      </c>
      <c r="AF7" s="51" t="s">
        <v>193</v>
      </c>
      <c r="AG7" s="54">
        <v>0.4175824175824176</v>
      </c>
      <c r="AH7" s="51" t="s">
        <v>196</v>
      </c>
      <c r="AI7" s="54">
        <v>0.47368421052631576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36</v>
      </c>
      <c r="D8" s="49" t="s">
        <v>189</v>
      </c>
      <c r="E8" s="50">
        <v>-105.5</v>
      </c>
      <c r="F8" s="51" t="s">
        <v>192</v>
      </c>
      <c r="G8" s="63">
        <v>-1.9824561403508767</v>
      </c>
      <c r="H8" s="51" t="s">
        <v>139</v>
      </c>
      <c r="I8" s="63">
        <v>0</v>
      </c>
      <c r="J8" s="51" t="s">
        <v>192</v>
      </c>
      <c r="K8" s="52">
        <v>2.0350877192982457</v>
      </c>
      <c r="L8" s="51" t="s">
        <v>205</v>
      </c>
      <c r="M8" s="53">
        <v>0.3</v>
      </c>
      <c r="N8" s="51" t="s">
        <v>192</v>
      </c>
      <c r="O8" s="53">
        <v>0.35087719298245612</v>
      </c>
      <c r="P8" s="51" t="s">
        <v>192</v>
      </c>
      <c r="Q8" s="54">
        <v>0.27982646420824298</v>
      </c>
      <c r="R8" s="51" t="s">
        <v>194</v>
      </c>
      <c r="S8" s="54">
        <v>0.16606498194945848</v>
      </c>
      <c r="T8" s="51" t="s">
        <v>205</v>
      </c>
      <c r="U8" s="55">
        <v>7921.212121212121</v>
      </c>
      <c r="V8" s="51" t="s">
        <v>126</v>
      </c>
      <c r="W8" s="55">
        <v>-7958.9473684210525</v>
      </c>
      <c r="X8" s="51" t="s">
        <v>189</v>
      </c>
      <c r="Y8" s="53">
        <v>0.1111111111111111</v>
      </c>
      <c r="Z8" s="51" t="s">
        <v>139</v>
      </c>
      <c r="AA8" s="54">
        <v>0.23782771535580524</v>
      </c>
      <c r="AB8" s="51" t="s">
        <v>194</v>
      </c>
      <c r="AC8" s="54">
        <v>0.16245487364620939</v>
      </c>
      <c r="AD8" s="51" t="s">
        <v>139</v>
      </c>
      <c r="AE8" s="54">
        <v>0.55118110236220474</v>
      </c>
      <c r="AF8" s="51" t="s">
        <v>139</v>
      </c>
      <c r="AG8" s="54">
        <v>0.41532976827094475</v>
      </c>
      <c r="AH8" s="51" t="s">
        <v>139</v>
      </c>
      <c r="AI8" s="54">
        <v>0.47293814432989689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193</v>
      </c>
      <c r="C9" s="118">
        <v>33</v>
      </c>
      <c r="D9" s="49" t="s">
        <v>192</v>
      </c>
      <c r="E9" s="50">
        <v>-112.99999999999997</v>
      </c>
      <c r="F9" s="51" t="s">
        <v>205</v>
      </c>
      <c r="G9" s="63">
        <v>-3.8374999999999999</v>
      </c>
      <c r="H9" s="51" t="s">
        <v>192</v>
      </c>
      <c r="I9" s="63">
        <v>-0.73026315789473273</v>
      </c>
      <c r="J9" s="51" t="s">
        <v>205</v>
      </c>
      <c r="K9" s="52">
        <v>2.0750000000000002</v>
      </c>
      <c r="L9" s="51" t="s">
        <v>189</v>
      </c>
      <c r="M9" s="53">
        <v>0.22222222222222221</v>
      </c>
      <c r="N9" s="51" t="s">
        <v>205</v>
      </c>
      <c r="O9" s="53">
        <v>0.375</v>
      </c>
      <c r="P9" s="51" t="s">
        <v>194</v>
      </c>
      <c r="Q9" s="54">
        <v>0.27436823104693142</v>
      </c>
      <c r="R9" s="51" t="s">
        <v>205</v>
      </c>
      <c r="S9" s="54">
        <v>0.16883116883116883</v>
      </c>
      <c r="T9" s="51" t="s">
        <v>192</v>
      </c>
      <c r="U9" s="55">
        <v>7803.8759689922481</v>
      </c>
      <c r="V9" s="51" t="s">
        <v>164</v>
      </c>
      <c r="W9" s="55">
        <v>-7973.333333333333</v>
      </c>
      <c r="X9" s="51" t="s">
        <v>139</v>
      </c>
      <c r="Y9" s="53">
        <v>0.11209439528023599</v>
      </c>
      <c r="Z9" s="51" t="s">
        <v>192</v>
      </c>
      <c r="AA9" s="54">
        <v>0.23644251626898047</v>
      </c>
      <c r="AB9" s="51" t="s">
        <v>126</v>
      </c>
      <c r="AC9" s="54">
        <v>0.15648286140089418</v>
      </c>
      <c r="AD9" s="51" t="s">
        <v>192</v>
      </c>
      <c r="AE9" s="54">
        <v>0.55045871559633031</v>
      </c>
      <c r="AF9" s="51" t="s">
        <v>192</v>
      </c>
      <c r="AG9" s="54">
        <v>0.39130434782608697</v>
      </c>
      <c r="AH9" s="51" t="s">
        <v>205</v>
      </c>
      <c r="AI9" s="54">
        <v>0.46464646464646464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164</v>
      </c>
      <c r="E10" s="50">
        <v>-119.60000000000005</v>
      </c>
      <c r="F10" s="51" t="s">
        <v>212</v>
      </c>
      <c r="G10" s="63">
        <v>-4.6222222222222218</v>
      </c>
      <c r="H10" s="51" t="s">
        <v>164</v>
      </c>
      <c r="I10" s="63">
        <v>-0.82176767676767071</v>
      </c>
      <c r="J10" s="51" t="s">
        <v>212</v>
      </c>
      <c r="K10" s="52">
        <v>2.1111111111111112</v>
      </c>
      <c r="L10" s="51" t="s">
        <v>196</v>
      </c>
      <c r="M10" s="53">
        <v>0.22222222222222221</v>
      </c>
      <c r="N10" s="51" t="s">
        <v>164</v>
      </c>
      <c r="O10" s="53">
        <v>0.39344262295081966</v>
      </c>
      <c r="P10" s="51" t="s">
        <v>164</v>
      </c>
      <c r="Q10" s="54">
        <v>0.26819126819126821</v>
      </c>
      <c r="R10" s="51" t="s">
        <v>164</v>
      </c>
      <c r="S10" s="54">
        <v>0.18711018711018712</v>
      </c>
      <c r="T10" s="51" t="s">
        <v>193</v>
      </c>
      <c r="U10" s="55">
        <v>7745.5696202531644</v>
      </c>
      <c r="V10" s="51" t="s">
        <v>192</v>
      </c>
      <c r="W10" s="55">
        <v>-8186.7924528301883</v>
      </c>
      <c r="X10" s="51" t="s">
        <v>194</v>
      </c>
      <c r="Y10" s="53">
        <v>0.16666666666666666</v>
      </c>
      <c r="Z10" s="51" t="s">
        <v>194</v>
      </c>
      <c r="AA10" s="54">
        <v>0.22021660649819494</v>
      </c>
      <c r="AB10" s="51" t="s">
        <v>196</v>
      </c>
      <c r="AC10" s="54">
        <v>0.15068493150684931</v>
      </c>
      <c r="AD10" s="51" t="s">
        <v>194</v>
      </c>
      <c r="AE10" s="54">
        <v>0.50819672131147542</v>
      </c>
      <c r="AF10" s="51" t="s">
        <v>196</v>
      </c>
      <c r="AG10" s="54">
        <v>0.36363636363636365</v>
      </c>
      <c r="AH10" s="51" t="s">
        <v>164</v>
      </c>
      <c r="AI10" s="54">
        <v>0.4573643410852713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196</v>
      </c>
      <c r="C11" s="118">
        <v>9</v>
      </c>
      <c r="D11" s="49" t="s">
        <v>205</v>
      </c>
      <c r="E11" s="50">
        <v>-153.5</v>
      </c>
      <c r="F11" s="51" t="s">
        <v>194</v>
      </c>
      <c r="G11" s="63">
        <v>-7.1888888888888864</v>
      </c>
      <c r="H11" s="51" t="s">
        <v>205</v>
      </c>
      <c r="I11" s="63">
        <v>-1.135470085470087</v>
      </c>
      <c r="J11" s="51" t="s">
        <v>189</v>
      </c>
      <c r="K11" s="52">
        <v>2.2222222222222223</v>
      </c>
      <c r="L11" s="51" t="s">
        <v>212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0.26027397260273971</v>
      </c>
      <c r="R11" s="51" t="s">
        <v>212</v>
      </c>
      <c r="S11" s="54">
        <v>0.1891891891891892</v>
      </c>
      <c r="T11" s="51" t="s">
        <v>196</v>
      </c>
      <c r="U11" s="55">
        <v>7736.8421052631575</v>
      </c>
      <c r="V11" s="51" t="s">
        <v>212</v>
      </c>
      <c r="W11" s="55">
        <v>-8671.4285714285706</v>
      </c>
      <c r="X11" s="51" t="s">
        <v>164</v>
      </c>
      <c r="Y11" s="53">
        <v>0.18032786885245902</v>
      </c>
      <c r="Z11" s="51" t="s">
        <v>205</v>
      </c>
      <c r="AA11" s="54">
        <v>0.17207792207792208</v>
      </c>
      <c r="AB11" s="51" t="s">
        <v>212</v>
      </c>
      <c r="AC11" s="54">
        <v>9.45945945945946E-2</v>
      </c>
      <c r="AD11" s="51" t="s">
        <v>189</v>
      </c>
      <c r="AE11" s="54">
        <v>0.47619047619047616</v>
      </c>
      <c r="AF11" s="51" t="s">
        <v>164</v>
      </c>
      <c r="AG11" s="54">
        <v>0.35051546391752575</v>
      </c>
      <c r="AH11" s="51" t="s">
        <v>193</v>
      </c>
      <c r="AI11" s="54">
        <v>0.44303797468354428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194</v>
      </c>
      <c r="E12" s="50">
        <v>-258.7999999999999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2.2777777777777777</v>
      </c>
      <c r="L12" s="51" t="s">
        <v>194</v>
      </c>
      <c r="M12" s="53">
        <v>0.19444444444444445</v>
      </c>
      <c r="N12" s="51" t="s">
        <v>194</v>
      </c>
      <c r="O12" s="53">
        <v>0.47222222222222221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212</v>
      </c>
      <c r="U12" s="55">
        <v>7530.434782608696</v>
      </c>
      <c r="V12" s="51" t="s">
        <v>205</v>
      </c>
      <c r="W12" s="55">
        <v>-9161.538461538461</v>
      </c>
      <c r="X12" s="51" t="s">
        <v>193</v>
      </c>
      <c r="Y12" s="53">
        <v>0.18181818181818182</v>
      </c>
      <c r="Z12" s="51" t="s">
        <v>193</v>
      </c>
      <c r="AA12" s="54">
        <v>0.1394422310756972</v>
      </c>
      <c r="AB12" s="51" t="s">
        <v>189</v>
      </c>
      <c r="AC12" s="54">
        <v>8.1081081081081086E-2</v>
      </c>
      <c r="AD12" s="51" t="s">
        <v>164</v>
      </c>
      <c r="AE12" s="54">
        <v>0.46153846153846156</v>
      </c>
      <c r="AF12" s="51" t="s">
        <v>205</v>
      </c>
      <c r="AG12" s="54">
        <v>0.33333333333333331</v>
      </c>
      <c r="AH12" s="51" t="s">
        <v>192</v>
      </c>
      <c r="AI12" s="54">
        <v>0.4263565891472868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4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339</v>
      </c>
      <c r="C2" s="132"/>
      <c r="E2" s="28" t="s">
        <v>66</v>
      </c>
      <c r="F2" s="25" t="s">
        <v>22</v>
      </c>
      <c r="G2" s="13">
        <v>567</v>
      </c>
      <c r="H2" s="91">
        <f>IF(B$19=0,0,G2/B$19)</f>
        <v>0.73067010309278346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-9.0909090909090917</v>
      </c>
      <c r="P2" s="80">
        <v>330</v>
      </c>
      <c r="Q2" s="67">
        <v>-3000</v>
      </c>
    </row>
    <row r="3" spans="1:17" x14ac:dyDescent="0.45">
      <c r="A3" s="21" t="s">
        <v>8</v>
      </c>
      <c r="B3" s="133">
        <v>2670</v>
      </c>
      <c r="C3" s="134"/>
      <c r="E3" s="29" t="s">
        <v>72</v>
      </c>
      <c r="F3" s="26" t="s">
        <v>27</v>
      </c>
      <c r="G3" s="14">
        <v>441</v>
      </c>
      <c r="H3" s="92">
        <f>IF(B$19=0,0,G3/B$19)</f>
        <v>0.56829896907216493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-3.0030030030030028</v>
      </c>
      <c r="P3" s="81">
        <v>333</v>
      </c>
      <c r="Q3" s="68">
        <v>-1000</v>
      </c>
    </row>
    <row r="4" spans="1:17" x14ac:dyDescent="0.45">
      <c r="A4" s="21" t="s">
        <v>6</v>
      </c>
      <c r="B4" s="135">
        <v>-2.1316282072803006E-14</v>
      </c>
      <c r="C4" s="136"/>
      <c r="E4" s="29" t="s">
        <v>64</v>
      </c>
      <c r="F4" s="26" t="s">
        <v>20</v>
      </c>
      <c r="G4" s="14">
        <v>340</v>
      </c>
      <c r="H4" s="92">
        <f>IF(B$19=0,0,G4/B$19)</f>
        <v>0.43814432989690721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-15.723270440251572</v>
      </c>
      <c r="P4" s="81">
        <v>318</v>
      </c>
      <c r="Q4" s="68">
        <v>-5000</v>
      </c>
    </row>
    <row r="5" spans="1:17" x14ac:dyDescent="0.45">
      <c r="A5" s="21" t="s">
        <v>7</v>
      </c>
      <c r="B5" s="123">
        <f>IF(B$2=0,0,B$4/B$2)</f>
        <v>-6.2879888120362847E-17</v>
      </c>
      <c r="C5" s="124"/>
      <c r="E5" s="29" t="s">
        <v>160</v>
      </c>
      <c r="F5" s="26" t="s">
        <v>161</v>
      </c>
      <c r="G5" s="14">
        <v>337</v>
      </c>
      <c r="H5" s="92">
        <f>IF(B$19=0,0,G5/B$19)</f>
        <v>0.43427835051546393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24.305555555555557</v>
      </c>
      <c r="P5" s="81">
        <v>288</v>
      </c>
      <c r="Q5" s="68">
        <v>7000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244</v>
      </c>
      <c r="H6" s="92">
        <f>IF(B$19=0,0,G6/B$19)</f>
        <v>0.31443298969072164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-52.434456928838948</v>
      </c>
      <c r="P6" s="81">
        <v>267</v>
      </c>
      <c r="Q6" s="68">
        <v>-14000</v>
      </c>
    </row>
    <row r="7" spans="1:17" x14ac:dyDescent="0.45">
      <c r="A7" s="21" t="s">
        <v>2</v>
      </c>
      <c r="B7" s="14">
        <v>113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194</v>
      </c>
      <c r="H7" s="92">
        <f>IF(B$19=0,0,G7/B$19)</f>
        <v>0.25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71.428571428571431</v>
      </c>
      <c r="P7" s="82">
        <v>210</v>
      </c>
      <c r="Q7" s="69">
        <v>15000</v>
      </c>
    </row>
    <row r="8" spans="1:17" x14ac:dyDescent="0.45">
      <c r="A8" s="21" t="s">
        <v>3</v>
      </c>
      <c r="B8" s="14">
        <v>113</v>
      </c>
      <c r="C8" s="8">
        <f t="shared" si="1"/>
        <v>0.33333333333333331</v>
      </c>
      <c r="E8" s="29" t="s">
        <v>89</v>
      </c>
      <c r="F8" s="26" t="s">
        <v>44</v>
      </c>
      <c r="G8" s="14">
        <v>112</v>
      </c>
      <c r="H8" s="92">
        <f>IF(B$19=0,0,G8/B$19)</f>
        <v>0.14432989690721648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113</v>
      </c>
      <c r="C9" s="9">
        <f t="shared" si="1"/>
        <v>0.33333333333333331</v>
      </c>
      <c r="E9" s="29" t="s">
        <v>69</v>
      </c>
      <c r="F9" s="26" t="s">
        <v>24</v>
      </c>
      <c r="G9" s="14">
        <v>107</v>
      </c>
      <c r="H9" s="92">
        <f>IF(B$19=0,0,G9/B$19)</f>
        <v>0.13788659793814434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38.842477876106194</v>
      </c>
      <c r="C10" s="114">
        <v>4389.2</v>
      </c>
      <c r="E10" s="29" t="s">
        <v>65</v>
      </c>
      <c r="F10" s="26" t="s">
        <v>21</v>
      </c>
      <c r="G10" s="14">
        <v>72</v>
      </c>
      <c r="H10" s="92">
        <f>IF(B$19=0,0,G10/B$19)</f>
        <v>9.2783505154639179E-2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-5.8150442477876076</v>
      </c>
      <c r="P10" s="80">
        <v>113</v>
      </c>
      <c r="Q10" s="71">
        <v>-657.09999999999968</v>
      </c>
    </row>
    <row r="11" spans="1:17" x14ac:dyDescent="0.45">
      <c r="A11" s="22" t="s">
        <v>186</v>
      </c>
      <c r="B11" s="113">
        <f>IF(B8=0,0,C11/B8)</f>
        <v>-2.5256637168141607</v>
      </c>
      <c r="C11" s="114">
        <v>-285.40000000000015</v>
      </c>
      <c r="E11" s="29" t="s">
        <v>70</v>
      </c>
      <c r="F11" s="26" t="s">
        <v>25</v>
      </c>
      <c r="G11" s="14">
        <v>66</v>
      </c>
      <c r="H11" s="92">
        <f>IF(B$19=0,0,G11/B$19)</f>
        <v>8.505154639175258E-2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2.1168141592920349</v>
      </c>
      <c r="P11" s="81">
        <v>113</v>
      </c>
      <c r="Q11" s="72">
        <v>239.19999999999993</v>
      </c>
    </row>
    <row r="12" spans="1:17" x14ac:dyDescent="0.45">
      <c r="A12" s="22" t="s">
        <v>187</v>
      </c>
      <c r="B12" s="113">
        <f>IF(B9=0,0,C12/B9)</f>
        <v>-36.316814159292036</v>
      </c>
      <c r="C12" s="114">
        <v>-4103.8</v>
      </c>
      <c r="E12" s="29" t="s">
        <v>71</v>
      </c>
      <c r="F12" s="26" t="s">
        <v>26</v>
      </c>
      <c r="G12" s="14">
        <v>47</v>
      </c>
      <c r="H12" s="92">
        <f>IF(B$19=0,0,G12/B$19)</f>
        <v>6.056701030927835E-2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3.6982300884955714</v>
      </c>
      <c r="P12" s="82">
        <v>113</v>
      </c>
      <c r="Q12" s="73">
        <v>417.89999999999958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44</v>
      </c>
      <c r="H13" s="92">
        <f>IF(B$19=0,0,G13/B$19)</f>
        <v>5.6701030927835051E-2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38</v>
      </c>
      <c r="C14" s="11">
        <f t="shared" si="1"/>
        <v>0.11209439528023599</v>
      </c>
      <c r="E14" s="29" t="s">
        <v>83</v>
      </c>
      <c r="F14" s="26" t="s">
        <v>38</v>
      </c>
      <c r="G14" s="14">
        <v>38</v>
      </c>
      <c r="H14" s="92">
        <f>IF(B$19=0,0,G14/B$19)</f>
        <v>4.8969072164948453E-2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635</v>
      </c>
      <c r="C15" s="12">
        <f>IF(B$3=0,0,B15/B$3)</f>
        <v>0.23782771535580524</v>
      </c>
      <c r="E15" s="29" t="s">
        <v>78</v>
      </c>
      <c r="F15" s="26" t="s">
        <v>33</v>
      </c>
      <c r="G15" s="14">
        <v>30</v>
      </c>
      <c r="H15" s="92">
        <f>IF(B$19=0,0,G15/B$19)</f>
        <v>3.8659793814432991E-2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561</v>
      </c>
      <c r="C16" s="8">
        <f>IF(B$3=0,0,B16/B$3)</f>
        <v>0.21011235955056179</v>
      </c>
      <c r="E16" s="29" t="s">
        <v>81</v>
      </c>
      <c r="F16" s="26" t="s">
        <v>36</v>
      </c>
      <c r="G16" s="14">
        <v>25</v>
      </c>
      <c r="H16" s="92">
        <f>IF(B$19=0,0,G16/B$19)</f>
        <v>3.2216494845360821E-2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10.783333333333339</v>
      </c>
      <c r="P16" s="81">
        <v>72</v>
      </c>
      <c r="Q16" s="72">
        <v>776.40000000000032</v>
      </c>
    </row>
    <row r="17" spans="1:17" x14ac:dyDescent="0.45">
      <c r="A17" s="20" t="s">
        <v>123</v>
      </c>
      <c r="B17" s="13">
        <f>B23</f>
        <v>350</v>
      </c>
      <c r="C17" s="6">
        <f>IF(B$15=0,0,B17/B$15)</f>
        <v>0.55118110236220474</v>
      </c>
      <c r="E17" s="29" t="s">
        <v>79</v>
      </c>
      <c r="F17" s="26" t="s">
        <v>34</v>
      </c>
      <c r="G17" s="14">
        <v>19</v>
      </c>
      <c r="H17" s="92">
        <f>IF(B$19=0,0,G17/B$19)</f>
        <v>2.4484536082474227E-2</v>
      </c>
      <c r="I17" s="60">
        <v>5</v>
      </c>
      <c r="K17" s="7">
        <v>15</v>
      </c>
      <c r="L17" s="65">
        <v>1.7763568394002505E-15</v>
      </c>
      <c r="N17" s="78" t="s">
        <v>212</v>
      </c>
      <c r="O17" s="87">
        <f>IF(P17=0,0,Q17/P17)</f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233</v>
      </c>
      <c r="C18" s="6">
        <f>IF(B$16=0,0,B18/B$16)</f>
        <v>0.41532976827094475</v>
      </c>
      <c r="E18" s="29" t="s">
        <v>91</v>
      </c>
      <c r="F18" s="26" t="s">
        <v>46</v>
      </c>
      <c r="G18" s="14">
        <v>17</v>
      </c>
      <c r="H18" s="92">
        <f>IF(B$19=0,0,G18/B$19)</f>
        <v>2.1907216494845359E-2</v>
      </c>
      <c r="I18" s="60">
        <v>3</v>
      </c>
      <c r="K18" s="7">
        <v>16</v>
      </c>
      <c r="L18" s="65">
        <v>3.4000000000000017</v>
      </c>
      <c r="N18" s="78" t="s">
        <v>205</v>
      </c>
      <c r="O18" s="87">
        <f>IF(P18=0,0,Q18/P18)</f>
        <v>5.7562500000000005</v>
      </c>
      <c r="P18" s="81">
        <v>80</v>
      </c>
      <c r="Q18" s="72">
        <v>460.50000000000006</v>
      </c>
    </row>
    <row r="19" spans="1:17" x14ac:dyDescent="0.45">
      <c r="A19" s="20" t="s">
        <v>10</v>
      </c>
      <c r="B19" s="13">
        <f>B22+B21</f>
        <v>776</v>
      </c>
      <c r="C19" s="6">
        <f>IF(B$3=0,0,B19/B$3)</f>
        <v>0.29063670411985021</v>
      </c>
      <c r="E19" s="29" t="s">
        <v>156</v>
      </c>
      <c r="F19" s="26" t="s">
        <v>157</v>
      </c>
      <c r="G19" s="14">
        <v>12</v>
      </c>
      <c r="H19" s="92">
        <f>IF(B$19=0,0,G19/B$19)</f>
        <v>1.5463917525773196E-2</v>
      </c>
      <c r="I19" s="60">
        <v>3</v>
      </c>
      <c r="K19" s="7">
        <v>17</v>
      </c>
      <c r="L19" s="65">
        <v>-35.800000000000004</v>
      </c>
      <c r="N19" s="78" t="s">
        <v>192</v>
      </c>
      <c r="O19" s="87">
        <f>IF(P19=0,0,Q19/P19)</f>
        <v>2.9736842105263199</v>
      </c>
      <c r="P19" s="81">
        <v>114</v>
      </c>
      <c r="Q19" s="72">
        <v>339.00000000000045</v>
      </c>
    </row>
    <row r="20" spans="1:17" x14ac:dyDescent="0.45">
      <c r="A20" s="21" t="s">
        <v>13</v>
      </c>
      <c r="B20" s="14">
        <v>407</v>
      </c>
      <c r="C20" s="8">
        <f>IF(B$3=0,0,B20/B$3)</f>
        <v>0.15243445692883895</v>
      </c>
      <c r="E20" s="29" t="s">
        <v>92</v>
      </c>
      <c r="F20" s="26" t="s">
        <v>47</v>
      </c>
      <c r="G20" s="14">
        <v>9</v>
      </c>
      <c r="H20" s="92">
        <f>IF(B$19=0,0,G20/B$19)</f>
        <v>1.1597938144329897E-2</v>
      </c>
      <c r="I20" s="60">
        <v>5</v>
      </c>
      <c r="K20" s="7">
        <v>18</v>
      </c>
      <c r="L20" s="65">
        <v>-7.1054273576010019E-15</v>
      </c>
      <c r="N20" s="78" t="s">
        <v>164</v>
      </c>
      <c r="O20" s="87">
        <f>IF(P20=0,0,Q20/P20)</f>
        <v>2.9409836065573738</v>
      </c>
      <c r="P20" s="81">
        <v>122</v>
      </c>
      <c r="Q20" s="72">
        <v>358.79999999999961</v>
      </c>
    </row>
    <row r="21" spans="1:17" x14ac:dyDescent="0.45">
      <c r="A21" s="21" t="s">
        <v>12</v>
      </c>
      <c r="B21" s="14">
        <v>367</v>
      </c>
      <c r="C21" s="8">
        <f>IF(B$19=0,0,B21/B$19)</f>
        <v>0.47293814432989689</v>
      </c>
      <c r="E21" s="29" t="s">
        <v>77</v>
      </c>
      <c r="F21" s="26" t="s">
        <v>32</v>
      </c>
      <c r="G21" s="14">
        <v>5</v>
      </c>
      <c r="H21" s="92">
        <f>IF(B$19=0,0,G21/B$19)</f>
        <v>6.4432989690721646E-3</v>
      </c>
      <c r="I21" s="60">
        <v>5</v>
      </c>
      <c r="K21" s="7">
        <v>19</v>
      </c>
      <c r="L21" s="65">
        <v>-27.100000000000009</v>
      </c>
      <c r="N21" s="78" t="s">
        <v>196</v>
      </c>
      <c r="O21" s="87">
        <f>IF(P21=0,0,Q21/P21)</f>
        <v>-3.6000000000000023</v>
      </c>
      <c r="P21" s="81">
        <v>18</v>
      </c>
      <c r="Q21" s="72">
        <v>-64.80000000000004</v>
      </c>
    </row>
    <row r="22" spans="1:17" x14ac:dyDescent="0.45">
      <c r="A22" s="21" t="s">
        <v>11</v>
      </c>
      <c r="B22" s="14">
        <v>409</v>
      </c>
      <c r="C22" s="8">
        <f>IF(B$19=0,0,B22/B$19)</f>
        <v>0.52706185567010311</v>
      </c>
      <c r="E22" s="29" t="s">
        <v>75</v>
      </c>
      <c r="F22" s="26" t="s">
        <v>30</v>
      </c>
      <c r="G22" s="14">
        <v>3</v>
      </c>
      <c r="H22" s="92">
        <f>IF(B$19=0,0,G22/B$19)</f>
        <v>3.8659793814432991E-3</v>
      </c>
      <c r="I22" s="60">
        <v>4</v>
      </c>
      <c r="K22" s="7">
        <v>20</v>
      </c>
      <c r="L22" s="65">
        <v>-28.600000000000009</v>
      </c>
      <c r="N22" s="78" t="s">
        <v>193</v>
      </c>
      <c r="O22" s="87">
        <f>IF(P22=0,0,Q22/P22)</f>
        <v>-3.8409090909090895</v>
      </c>
      <c r="P22" s="81">
        <v>66</v>
      </c>
      <c r="Q22" s="72">
        <v>-253.49999999999991</v>
      </c>
    </row>
    <row r="23" spans="1:17" x14ac:dyDescent="0.45">
      <c r="A23" s="21" t="s">
        <v>184</v>
      </c>
      <c r="B23" s="14">
        <v>350</v>
      </c>
      <c r="C23" s="8">
        <f>IF(B$19=0,0,B23/B$19)</f>
        <v>0.45103092783505155</v>
      </c>
      <c r="E23" s="29" t="s">
        <v>85</v>
      </c>
      <c r="F23" s="26" t="s">
        <v>40</v>
      </c>
      <c r="G23" s="14">
        <v>3</v>
      </c>
      <c r="H23" s="92">
        <f>IF(B$19=0,0,G23/B$19)</f>
        <v>3.8659793814432991E-3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-12.104117647058819</v>
      </c>
      <c r="P23" s="81">
        <v>170</v>
      </c>
      <c r="Q23" s="72">
        <v>-2057.6999999999994</v>
      </c>
    </row>
    <row r="24" spans="1:17" x14ac:dyDescent="0.45">
      <c r="A24" s="21" t="s">
        <v>182</v>
      </c>
      <c r="B24" s="14">
        <v>233</v>
      </c>
      <c r="C24" s="8">
        <f>IF(B$19=0,0,B24/B$19)</f>
        <v>0.30025773195876287</v>
      </c>
      <c r="E24" s="29" t="s">
        <v>73</v>
      </c>
      <c r="F24" s="26" t="s">
        <v>28</v>
      </c>
      <c r="G24" s="14">
        <v>2</v>
      </c>
      <c r="H24" s="92">
        <f>IF(B$19=0,0,G24/B$19)</f>
        <v>2.5773195876288659E-3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193</v>
      </c>
      <c r="C25" s="8">
        <f>IF(B$19=0,0,B25/B$19)</f>
        <v>0.24871134020618557</v>
      </c>
      <c r="E25" s="29" t="s">
        <v>87</v>
      </c>
      <c r="F25" s="26" t="s">
        <v>42</v>
      </c>
      <c r="G25" s="14">
        <v>2</v>
      </c>
      <c r="H25" s="92">
        <f>IF(B$19=0,0,G25/B$19)</f>
        <v>2.5773195876288659E-3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8800.6443298969079</v>
      </c>
      <c r="C26" s="10">
        <v>6829300</v>
      </c>
      <c r="E26" s="29" t="s">
        <v>93</v>
      </c>
      <c r="F26" s="26" t="s">
        <v>48</v>
      </c>
      <c r="G26" s="14">
        <v>2</v>
      </c>
      <c r="H26" s="92">
        <f>IF(B$19=0,0,G26/B$19)</f>
        <v>2.5773195876288659E-3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9401.6574585635353</v>
      </c>
      <c r="C27" s="100">
        <v>5105100</v>
      </c>
      <c r="E27" s="29" t="s">
        <v>74</v>
      </c>
      <c r="F27" s="26" t="s">
        <v>29</v>
      </c>
      <c r="G27" s="14">
        <v>1</v>
      </c>
      <c r="H27" s="92">
        <f>IF(B$19=0,0,G27/B$19)</f>
        <v>1.288659793814433E-3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7400</v>
      </c>
      <c r="C28" s="100">
        <v>1724200</v>
      </c>
      <c r="E28" s="29" t="s">
        <v>84</v>
      </c>
      <c r="F28" s="26" t="s">
        <v>39</v>
      </c>
      <c r="G28" s="14">
        <v>1</v>
      </c>
      <c r="H28" s="92">
        <f>IF(B$19=0,0,G28/B$19)</f>
        <v>1.288659793814433E-3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-7956.5110565110563</v>
      </c>
      <c r="C29" s="100">
        <v>-3238300</v>
      </c>
      <c r="E29" s="29" t="s">
        <v>88</v>
      </c>
      <c r="F29" s="26" t="s">
        <v>43</v>
      </c>
      <c r="G29" s="14">
        <v>1</v>
      </c>
      <c r="H29" s="92">
        <f>IF(B$19=0,0,G29/B$19)</f>
        <v>1.288659793814433E-3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95</v>
      </c>
      <c r="F30" s="26" t="s">
        <v>50</v>
      </c>
      <c r="G30" s="14">
        <v>1</v>
      </c>
      <c r="H30" s="92">
        <f>IF(B$19=0,0,G30/B$19)</f>
        <v>1.288659793814433E-3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4</v>
      </c>
      <c r="E31" s="29" t="s">
        <v>97</v>
      </c>
      <c r="F31" s="26" t="s">
        <v>52</v>
      </c>
      <c r="G31" s="14">
        <v>1</v>
      </c>
      <c r="H31" s="92">
        <f>IF(B$19=0,0,G31/B$19)</f>
        <v>1.288659793814433E-3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102</v>
      </c>
      <c r="F32" s="26" t="s">
        <v>57</v>
      </c>
      <c r="G32" s="14">
        <v>1</v>
      </c>
      <c r="H32" s="92">
        <f>IF(B$19=0,0,G32/B$19)</f>
        <v>1.288659793814433E-3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106</v>
      </c>
      <c r="F33" s="26" t="s">
        <v>113</v>
      </c>
      <c r="G33" s="14">
        <v>1</v>
      </c>
      <c r="H33" s="92">
        <f>IF(B$19=0,0,G33/B$19)</f>
        <v>1.288659793814433E-3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7</v>
      </c>
      <c r="C34" s="11">
        <f>IF(B$3=0,0,B34/B$3)</f>
        <v>2.6217228464419477E-3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57</v>
      </c>
      <c r="C36" s="102">
        <f t="shared" ref="C36:C48" si="2">IF(B$19=0,0,B36/B$19)</f>
        <v>7.3453608247422683E-2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139</v>
      </c>
      <c r="C37" s="8">
        <f t="shared" si="2"/>
        <v>0.17912371134020619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136</v>
      </c>
      <c r="C38" s="8">
        <f t="shared" si="2"/>
        <v>0.17525773195876287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141</v>
      </c>
      <c r="C39" s="8">
        <f t="shared" si="2"/>
        <v>0.18170103092783504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111</v>
      </c>
      <c r="C40" s="8">
        <f t="shared" si="2"/>
        <v>0.14304123711340205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78</v>
      </c>
      <c r="C41" s="8">
        <f t="shared" si="2"/>
        <v>0.10051546391752578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48</v>
      </c>
      <c r="C42" s="8">
        <f t="shared" si="2"/>
        <v>6.1855670103092786E-2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20</v>
      </c>
      <c r="C43" s="8">
        <f t="shared" si="2"/>
        <v>2.5773195876288658E-2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14</v>
      </c>
      <c r="C44" s="8">
        <f t="shared" si="2"/>
        <v>1.804123711340206E-2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9</v>
      </c>
      <c r="C45" s="8">
        <f t="shared" si="2"/>
        <v>1.1597938144329897E-2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5.1546391752577319E-3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4</v>
      </c>
      <c r="C47" s="8">
        <f t="shared" si="2"/>
        <v>5.1546391752577319E-3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15</v>
      </c>
      <c r="C48" s="11">
        <f t="shared" si="2"/>
        <v>1.9329896907216496E-2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  <row r="336" spans="11:12" x14ac:dyDescent="0.45">
      <c r="K336" s="7">
        <v>334</v>
      </c>
      <c r="L336" s="65">
        <v>-46.800000000000011</v>
      </c>
    </row>
    <row r="337" spans="11:12" x14ac:dyDescent="0.45">
      <c r="K337" s="7">
        <v>335</v>
      </c>
      <c r="L337" s="65">
        <v>-44.900000000000013</v>
      </c>
    </row>
    <row r="338" spans="11:12" x14ac:dyDescent="0.45">
      <c r="K338" s="7">
        <v>336</v>
      </c>
      <c r="L338" s="65">
        <v>-1.4210854715202004E-14</v>
      </c>
    </row>
    <row r="339" spans="11:12" x14ac:dyDescent="0.45">
      <c r="K339" s="7">
        <v>337</v>
      </c>
      <c r="L339" s="65">
        <v>32.399999999999984</v>
      </c>
    </row>
    <row r="340" spans="11:12" x14ac:dyDescent="0.45">
      <c r="K340" s="7">
        <v>338</v>
      </c>
      <c r="L340" s="65">
        <v>32.199999999999982</v>
      </c>
    </row>
    <row r="341" spans="11:12" x14ac:dyDescent="0.45">
      <c r="K341" s="7">
        <v>339</v>
      </c>
      <c r="L341" s="65">
        <v>-2.1316282072803006E-14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6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61</v>
      </c>
      <c r="C2" s="132"/>
      <c r="E2" s="28" t="s">
        <v>66</v>
      </c>
      <c r="F2" s="25" t="s">
        <v>22</v>
      </c>
      <c r="G2" s="13">
        <v>115</v>
      </c>
      <c r="H2" s="91">
        <f>IF(B$19=0,0,G2/B$19)</f>
        <v>0.89147286821705429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-765.51724137931035</v>
      </c>
      <c r="P2" s="80">
        <v>58</v>
      </c>
      <c r="Q2" s="67">
        <v>-44400</v>
      </c>
    </row>
    <row r="3" spans="1:17" x14ac:dyDescent="0.45">
      <c r="A3" s="21" t="s">
        <v>8</v>
      </c>
      <c r="B3" s="133">
        <v>481</v>
      </c>
      <c r="C3" s="134"/>
      <c r="E3" s="29" t="s">
        <v>72</v>
      </c>
      <c r="F3" s="26" t="s">
        <v>27</v>
      </c>
      <c r="G3" s="14">
        <v>67</v>
      </c>
      <c r="H3" s="92">
        <f>IF(B$19=0,0,G3/B$19)</f>
        <v>0.51937984496124034</v>
      </c>
      <c r="I3" s="60">
        <v>7</v>
      </c>
      <c r="K3" s="7">
        <v>1</v>
      </c>
      <c r="L3" s="65">
        <v>-2.9</v>
      </c>
      <c r="N3" s="78" t="s">
        <v>129</v>
      </c>
      <c r="O3" s="84">
        <f t="shared" si="0"/>
        <v>-2243.3333333333335</v>
      </c>
      <c r="P3" s="81">
        <v>60</v>
      </c>
      <c r="Q3" s="68">
        <v>-134600</v>
      </c>
    </row>
    <row r="4" spans="1:17" x14ac:dyDescent="0.45">
      <c r="A4" s="21" t="s">
        <v>6</v>
      </c>
      <c r="B4" s="135">
        <v>-119.60000000000005</v>
      </c>
      <c r="C4" s="136"/>
      <c r="E4" s="29" t="s">
        <v>64</v>
      </c>
      <c r="F4" s="26" t="s">
        <v>20</v>
      </c>
      <c r="G4" s="14">
        <v>66</v>
      </c>
      <c r="H4" s="92">
        <f>IF(B$19=0,0,G4/B$19)</f>
        <v>0.51162790697674421</v>
      </c>
      <c r="I4" s="60">
        <v>4</v>
      </c>
      <c r="K4" s="7">
        <v>2</v>
      </c>
      <c r="L4" s="65">
        <v>32.9</v>
      </c>
      <c r="N4" s="78" t="s">
        <v>130</v>
      </c>
      <c r="O4" s="84">
        <f t="shared" si="0"/>
        <v>226.78571428571428</v>
      </c>
      <c r="P4" s="81">
        <v>56</v>
      </c>
      <c r="Q4" s="68">
        <v>12700</v>
      </c>
    </row>
    <row r="5" spans="1:17" x14ac:dyDescent="0.45">
      <c r="A5" s="21" t="s">
        <v>7</v>
      </c>
      <c r="B5" s="123">
        <f>IF(B$2=0,0,B$4/B$2)</f>
        <v>-1.960655737704919</v>
      </c>
      <c r="C5" s="124"/>
      <c r="E5" s="29" t="s">
        <v>160</v>
      </c>
      <c r="F5" s="26" t="s">
        <v>161</v>
      </c>
      <c r="G5" s="14">
        <v>62</v>
      </c>
      <c r="H5" s="92">
        <f>IF(B$19=0,0,G5/B$19)</f>
        <v>0.48062015503875971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-1500</v>
      </c>
      <c r="P5" s="81">
        <v>51</v>
      </c>
      <c r="Q5" s="68">
        <v>-76500</v>
      </c>
    </row>
    <row r="6" spans="1:17" x14ac:dyDescent="0.45">
      <c r="A6" s="21" t="s">
        <v>1</v>
      </c>
      <c r="B6" s="137">
        <f>IF(B$2=0,0,(B$7*1+B$8*2+B$9*3)/B$2)</f>
        <v>2.0327868852459017</v>
      </c>
      <c r="C6" s="138"/>
      <c r="E6" s="29" t="s">
        <v>68</v>
      </c>
      <c r="F6" s="26" t="s">
        <v>12</v>
      </c>
      <c r="G6" s="14">
        <v>41</v>
      </c>
      <c r="H6" s="92">
        <f>IF(B$19=0,0,G6/B$19)</f>
        <v>0.31782945736434109</v>
      </c>
      <c r="I6" s="60">
        <v>4</v>
      </c>
      <c r="K6" s="7">
        <v>4</v>
      </c>
      <c r="L6" s="65">
        <v>27.4</v>
      </c>
      <c r="N6" s="78" t="s">
        <v>132</v>
      </c>
      <c r="O6" s="84">
        <f t="shared" si="0"/>
        <v>336</v>
      </c>
      <c r="P6" s="81">
        <v>50</v>
      </c>
      <c r="Q6" s="68">
        <v>16800</v>
      </c>
    </row>
    <row r="7" spans="1:17" x14ac:dyDescent="0.45">
      <c r="A7" s="21" t="s">
        <v>2</v>
      </c>
      <c r="B7" s="14">
        <v>22</v>
      </c>
      <c r="C7" s="8">
        <f t="shared" ref="C7:C14" si="1">IF(B$2=0,0,B7/B$2)</f>
        <v>0.36065573770491804</v>
      </c>
      <c r="E7" s="29" t="s">
        <v>67</v>
      </c>
      <c r="F7" s="26" t="s">
        <v>23</v>
      </c>
      <c r="G7" s="14">
        <v>32</v>
      </c>
      <c r="H7" s="92">
        <f>IF(B$19=0,0,G7/B$19)</f>
        <v>0.24806201550387597</v>
      </c>
      <c r="I7" s="60">
        <v>6</v>
      </c>
      <c r="K7" s="7">
        <v>5</v>
      </c>
      <c r="L7" s="65">
        <v>18</v>
      </c>
      <c r="N7" s="79" t="s">
        <v>133</v>
      </c>
      <c r="O7" s="85">
        <f t="shared" si="0"/>
        <v>3000</v>
      </c>
      <c r="P7" s="82">
        <v>36</v>
      </c>
      <c r="Q7" s="69">
        <v>108000</v>
      </c>
    </row>
    <row r="8" spans="1:17" x14ac:dyDescent="0.45">
      <c r="A8" s="21" t="s">
        <v>3</v>
      </c>
      <c r="B8" s="14">
        <v>15</v>
      </c>
      <c r="C8" s="8">
        <f t="shared" si="1"/>
        <v>0.24590163934426229</v>
      </c>
      <c r="E8" s="29" t="s">
        <v>89</v>
      </c>
      <c r="F8" s="26" t="s">
        <v>44</v>
      </c>
      <c r="G8" s="14">
        <v>18</v>
      </c>
      <c r="H8" s="92">
        <f>IF(B$19=0,0,G8/B$19)</f>
        <v>0.13953488372093023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24</v>
      </c>
      <c r="C9" s="9">
        <f t="shared" si="1"/>
        <v>0.39344262295081966</v>
      </c>
      <c r="E9" s="29" t="s">
        <v>65</v>
      </c>
      <c r="F9" s="26" t="s">
        <v>21</v>
      </c>
      <c r="G9" s="14">
        <v>15</v>
      </c>
      <c r="H9" s="92">
        <f>IF(B$19=0,0,G9/B$19)</f>
        <v>0.11627906976744186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38.736363636363642</v>
      </c>
      <c r="C10" s="114">
        <v>852.20000000000016</v>
      </c>
      <c r="E10" s="29" t="s">
        <v>70</v>
      </c>
      <c r="F10" s="26" t="s">
        <v>25</v>
      </c>
      <c r="G10" s="14">
        <v>15</v>
      </c>
      <c r="H10" s="92">
        <f>IF(B$19=0,0,G10/B$19)</f>
        <v>0.11627906976744186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-10.652380952380954</v>
      </c>
      <c r="P10" s="80">
        <v>21</v>
      </c>
      <c r="Q10" s="71">
        <v>-223.70000000000002</v>
      </c>
    </row>
    <row r="11" spans="1:17" x14ac:dyDescent="0.45">
      <c r="A11" s="22" t="s">
        <v>186</v>
      </c>
      <c r="B11" s="113">
        <f>IF(B8=0,0,C11/B8)</f>
        <v>-1.8933333333333335</v>
      </c>
      <c r="C11" s="114">
        <v>-28.400000000000002</v>
      </c>
      <c r="E11" s="29" t="s">
        <v>69</v>
      </c>
      <c r="F11" s="26" t="s">
        <v>24</v>
      </c>
      <c r="G11" s="14">
        <v>14</v>
      </c>
      <c r="H11" s="92">
        <f>IF(B$19=0,0,G11/B$19)</f>
        <v>0.10852713178294573</v>
      </c>
      <c r="I11" s="60">
        <v>8</v>
      </c>
      <c r="K11" s="7">
        <v>9</v>
      </c>
      <c r="L11" s="65">
        <v>33.5</v>
      </c>
      <c r="N11" s="78" t="s">
        <v>153</v>
      </c>
      <c r="O11" s="87">
        <f>IF(P11=0,0,Q11/P11)</f>
        <v>9.6263157894736846</v>
      </c>
      <c r="P11" s="81">
        <v>19</v>
      </c>
      <c r="Q11" s="72">
        <v>182.9</v>
      </c>
    </row>
    <row r="12" spans="1:17" x14ac:dyDescent="0.45">
      <c r="A12" s="22" t="s">
        <v>187</v>
      </c>
      <c r="B12" s="113">
        <f>IF(B9=0,0,C12/B9)</f>
        <v>-39.308333333333323</v>
      </c>
      <c r="C12" s="114">
        <v>-943.39999999999975</v>
      </c>
      <c r="E12" s="29" t="s">
        <v>86</v>
      </c>
      <c r="F12" s="26" t="s">
        <v>41</v>
      </c>
      <c r="G12" s="14">
        <v>12</v>
      </c>
      <c r="H12" s="92">
        <f>IF(B$19=0,0,G12/B$19)</f>
        <v>9.3023255813953487E-2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5">
      <c r="A13" s="22" t="s">
        <v>188</v>
      </c>
      <c r="B13" s="123">
        <f>AVERAGE(B10:B12)</f>
        <v>-0.82176767676767071</v>
      </c>
      <c r="C13" s="124"/>
      <c r="E13" s="29" t="s">
        <v>91</v>
      </c>
      <c r="F13" s="26" t="s">
        <v>46</v>
      </c>
      <c r="G13" s="14">
        <v>10</v>
      </c>
      <c r="H13" s="92">
        <f>IF(B$19=0,0,G13/B$19)</f>
        <v>7.7519379844961239E-2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0.18032786885245902</v>
      </c>
      <c r="E14" s="29" t="s">
        <v>71</v>
      </c>
      <c r="F14" s="26" t="s">
        <v>26</v>
      </c>
      <c r="G14" s="14">
        <v>7</v>
      </c>
      <c r="H14" s="92">
        <f>IF(B$19=0,0,G14/B$19)</f>
        <v>5.4263565891472867E-2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143</v>
      </c>
      <c r="C15" s="12">
        <f>IF(B$3=0,0,B15/B$3)</f>
        <v>0.29729729729729731</v>
      </c>
      <c r="E15" s="29" t="s">
        <v>81</v>
      </c>
      <c r="F15" s="26" t="s">
        <v>36</v>
      </c>
      <c r="G15" s="14">
        <v>6</v>
      </c>
      <c r="H15" s="92">
        <f>IF(B$19=0,0,G15/B$19)</f>
        <v>4.6511627906976744E-2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97</v>
      </c>
      <c r="C16" s="8">
        <f>IF(B$3=0,0,B16/B$3)</f>
        <v>0.20166320166320167</v>
      </c>
      <c r="E16" s="29" t="s">
        <v>78</v>
      </c>
      <c r="F16" s="26" t="s">
        <v>33</v>
      </c>
      <c r="G16" s="14">
        <v>4</v>
      </c>
      <c r="H16" s="92">
        <f>IF(B$19=0,0,G16/B$19)</f>
        <v>3.1007751937984496E-2</v>
      </c>
      <c r="I16" s="60">
        <v>8</v>
      </c>
      <c r="K16" s="7">
        <v>14</v>
      </c>
      <c r="L16" s="65">
        <v>15.100000000000001</v>
      </c>
      <c r="N16" s="78" t="s">
        <v>212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0.46153846153846156</v>
      </c>
      <c r="E17" s="29" t="s">
        <v>79</v>
      </c>
      <c r="F17" s="26" t="s">
        <v>34</v>
      </c>
      <c r="G17" s="14">
        <v>4</v>
      </c>
      <c r="H17" s="92">
        <f>IF(B$19=0,0,G17/B$19)</f>
        <v>3.1007751937984496E-2</v>
      </c>
      <c r="I17" s="60">
        <v>3</v>
      </c>
      <c r="K17" s="7">
        <v>15</v>
      </c>
      <c r="L17" s="65">
        <v>-33.1</v>
      </c>
      <c r="N17" s="78" t="s">
        <v>205</v>
      </c>
      <c r="O17" s="87">
        <f>IF(P17=0,0,Q17/P17)</f>
        <v>5.4470588235294111</v>
      </c>
      <c r="P17" s="81">
        <v>17</v>
      </c>
      <c r="Q17" s="72">
        <v>92.6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0.35051546391752575</v>
      </c>
      <c r="E18" s="29" t="s">
        <v>83</v>
      </c>
      <c r="F18" s="26" t="s">
        <v>38</v>
      </c>
      <c r="G18" s="14">
        <v>4</v>
      </c>
      <c r="H18" s="92">
        <f>IF(B$19=0,0,G18/B$19)</f>
        <v>3.1007751937984496E-2</v>
      </c>
      <c r="I18" s="60">
        <v>7</v>
      </c>
      <c r="K18" s="7">
        <v>16</v>
      </c>
      <c r="L18" s="65">
        <v>-10.8</v>
      </c>
      <c r="N18" s="78" t="s">
        <v>126</v>
      </c>
      <c r="O18" s="87">
        <f>IF(P18=0,0,Q18/P18)</f>
        <v>-1.1854166666666617</v>
      </c>
      <c r="P18" s="81">
        <v>48</v>
      </c>
      <c r="Q18" s="72">
        <v>-56.899999999999764</v>
      </c>
    </row>
    <row r="19" spans="1:17" x14ac:dyDescent="0.45">
      <c r="A19" s="20" t="s">
        <v>10</v>
      </c>
      <c r="B19" s="13">
        <f>B22+B21</f>
        <v>129</v>
      </c>
      <c r="C19" s="6">
        <f>IF(B$3=0,0,B19/B$3)</f>
        <v>0.26819126819126821</v>
      </c>
      <c r="E19" s="29" t="s">
        <v>92</v>
      </c>
      <c r="F19" s="26" t="s">
        <v>47</v>
      </c>
      <c r="G19" s="14">
        <v>2</v>
      </c>
      <c r="H19" s="92">
        <f>IF(B$19=0,0,G19/B$19)</f>
        <v>1.5503875968992248E-2</v>
      </c>
      <c r="I19" s="60">
        <v>1</v>
      </c>
      <c r="K19" s="7">
        <v>17</v>
      </c>
      <c r="L19" s="65">
        <v>-32.900000000000006</v>
      </c>
      <c r="N19" s="78" t="s">
        <v>192</v>
      </c>
      <c r="O19" s="87">
        <f>IF(P19=0,0,Q19/P19)</f>
        <v>-4.5136363636363646</v>
      </c>
      <c r="P19" s="81">
        <v>22</v>
      </c>
      <c r="Q19" s="72">
        <v>-99.300000000000011</v>
      </c>
    </row>
    <row r="20" spans="1:17" x14ac:dyDescent="0.45">
      <c r="A20" s="21" t="s">
        <v>13</v>
      </c>
      <c r="B20" s="14">
        <v>90</v>
      </c>
      <c r="C20" s="8">
        <f>IF(B$3=0,0,B20/B$3)</f>
        <v>0.18711018711018712</v>
      </c>
      <c r="E20" s="29" t="s">
        <v>156</v>
      </c>
      <c r="F20" s="26" t="s">
        <v>157</v>
      </c>
      <c r="G20" s="14">
        <v>2</v>
      </c>
      <c r="H20" s="92">
        <f>IF(B$19=0,0,G20/B$19)</f>
        <v>1.5503875968992248E-2</v>
      </c>
      <c r="I20" s="60">
        <v>2</v>
      </c>
      <c r="K20" s="7">
        <v>18</v>
      </c>
      <c r="L20" s="65">
        <v>-69.300000000000011</v>
      </c>
      <c r="N20" s="78" t="s">
        <v>196</v>
      </c>
      <c r="O20" s="87">
        <f>IF(P20=0,0,Q20/P20)</f>
        <v>-16.324999999999992</v>
      </c>
      <c r="P20" s="81">
        <v>4</v>
      </c>
      <c r="Q20" s="72">
        <v>-65.299999999999969</v>
      </c>
    </row>
    <row r="21" spans="1:17" x14ac:dyDescent="0.45">
      <c r="A21" s="21" t="s">
        <v>12</v>
      </c>
      <c r="B21" s="14">
        <v>59</v>
      </c>
      <c r="C21" s="8">
        <f>IF(B$19=0,0,B21/B$19)</f>
        <v>0.4573643410852713</v>
      </c>
      <c r="E21" s="29" t="s">
        <v>75</v>
      </c>
      <c r="F21" s="26" t="s">
        <v>30</v>
      </c>
      <c r="G21" s="14">
        <v>1</v>
      </c>
      <c r="H21" s="92">
        <f>IF(B$19=0,0,G21/B$19)</f>
        <v>7.7519379844961239E-3</v>
      </c>
      <c r="I21" s="60">
        <v>3</v>
      </c>
      <c r="K21" s="7">
        <v>19</v>
      </c>
      <c r="L21" s="65">
        <v>-44.500000000000014</v>
      </c>
      <c r="N21" s="78" t="s">
        <v>194</v>
      </c>
      <c r="O21" s="87">
        <f>IF(P21=0,0,Q21/P21)</f>
        <v>-19.970000000000006</v>
      </c>
      <c r="P21" s="81">
        <v>10</v>
      </c>
      <c r="Q21" s="72">
        <v>-199.70000000000005</v>
      </c>
    </row>
    <row r="22" spans="1:17" x14ac:dyDescent="0.45">
      <c r="A22" s="21" t="s">
        <v>11</v>
      </c>
      <c r="B22" s="14">
        <v>70</v>
      </c>
      <c r="C22" s="8">
        <f>IF(B$19=0,0,B22/B$19)</f>
        <v>0.54263565891472865</v>
      </c>
      <c r="E22" s="29" t="s">
        <v>97</v>
      </c>
      <c r="F22" s="26" t="s">
        <v>52</v>
      </c>
      <c r="G22" s="14">
        <v>1</v>
      </c>
      <c r="H22" s="92">
        <f>IF(B$19=0,0,G22/B$19)</f>
        <v>7.7519379844961239E-3</v>
      </c>
      <c r="I22" s="60">
        <v>1</v>
      </c>
      <c r="K22" s="7">
        <v>20</v>
      </c>
      <c r="L22" s="65">
        <v>-72.000000000000014</v>
      </c>
      <c r="N22" s="78" t="s">
        <v>193</v>
      </c>
      <c r="O22" s="87">
        <f>IF(P22=0,0,Q22/P22)</f>
        <v>-27.375</v>
      </c>
      <c r="P22" s="81">
        <v>8</v>
      </c>
      <c r="Q22" s="72">
        <v>-219</v>
      </c>
    </row>
    <row r="23" spans="1:17" x14ac:dyDescent="0.45">
      <c r="A23" s="21" t="s">
        <v>184</v>
      </c>
      <c r="B23" s="14">
        <v>66</v>
      </c>
      <c r="C23" s="8">
        <f>IF(B$19=0,0,B23/B$19)</f>
        <v>0.51162790697674421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34</v>
      </c>
      <c r="C24" s="8">
        <f>IF(B$19=0,0,B24/B$19)</f>
        <v>0.26356589147286824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29</v>
      </c>
      <c r="C25" s="8">
        <f>IF(B$19=0,0,B25/B$19)</f>
        <v>0.22480620155038761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10376.744186046511</v>
      </c>
      <c r="C26" s="10">
        <v>1338600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11014.736842105263</v>
      </c>
      <c r="C27" s="100">
        <v>1046400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8594.1176470588234</v>
      </c>
      <c r="C28" s="100">
        <v>292200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-7973.333333333333</v>
      </c>
      <c r="C29" s="100">
        <v>-717600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8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4</v>
      </c>
      <c r="C34" s="11">
        <f>IF(B$3=0,0,B34/B$3)</f>
        <v>8.3160083160083165E-3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2">IF(B$19=0,0,B36/B$19)</f>
        <v>3.1007751937984496E-2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14</v>
      </c>
      <c r="C37" s="8">
        <f t="shared" si="2"/>
        <v>0.10852713178294573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13</v>
      </c>
      <c r="C38" s="8">
        <f t="shared" si="2"/>
        <v>0.10077519379844961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34</v>
      </c>
      <c r="C39" s="8">
        <f t="shared" si="2"/>
        <v>0.26356589147286824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24</v>
      </c>
      <c r="C40" s="8">
        <f t="shared" si="2"/>
        <v>0.18604651162790697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16</v>
      </c>
      <c r="C41" s="8">
        <f t="shared" si="2"/>
        <v>0.12403100775193798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10</v>
      </c>
      <c r="C42" s="8">
        <f t="shared" si="2"/>
        <v>7.7519379844961239E-2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5</v>
      </c>
      <c r="C43" s="8">
        <f t="shared" si="2"/>
        <v>3.875968992248062E-2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3</v>
      </c>
      <c r="C44" s="8">
        <f t="shared" si="2"/>
        <v>2.3255813953488372E-2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2"/>
        <v>2.3255813953488372E-2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2.3255813953488372E-2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  <row r="62" spans="5:12" x14ac:dyDescent="0.45">
      <c r="K62" s="7">
        <v>60</v>
      </c>
      <c r="L62" s="65">
        <v>-152.00000000000006</v>
      </c>
    </row>
    <row r="63" spans="5:12" x14ac:dyDescent="0.45">
      <c r="K63" s="7">
        <v>61</v>
      </c>
      <c r="L63" s="65">
        <v>-119.60000000000005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8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5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8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85</v>
      </c>
      <c r="C2" s="132"/>
      <c r="E2" s="28" t="s">
        <v>66</v>
      </c>
      <c r="F2" s="25" t="s">
        <v>22</v>
      </c>
      <c r="G2" s="13">
        <v>141</v>
      </c>
      <c r="H2" s="91">
        <f>IF(B$19=0,0,G2/B$19)</f>
        <v>0.68446601941747576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936.90476190476193</v>
      </c>
      <c r="P2" s="80">
        <v>84</v>
      </c>
      <c r="Q2" s="67">
        <v>78700</v>
      </c>
    </row>
    <row r="3" spans="1:17" x14ac:dyDescent="0.45">
      <c r="A3" s="21" t="s">
        <v>8</v>
      </c>
      <c r="B3" s="133">
        <v>671</v>
      </c>
      <c r="C3" s="134"/>
      <c r="E3" s="29" t="s">
        <v>72</v>
      </c>
      <c r="F3" s="26" t="s">
        <v>27</v>
      </c>
      <c r="G3" s="14">
        <v>104</v>
      </c>
      <c r="H3" s="92">
        <f>IF(B$19=0,0,G3/B$19)</f>
        <v>0.50485436893203883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2630.9523809523807</v>
      </c>
      <c r="P3" s="81">
        <v>84</v>
      </c>
      <c r="Q3" s="68">
        <v>221000</v>
      </c>
    </row>
    <row r="4" spans="1:17" x14ac:dyDescent="0.45">
      <c r="A4" s="21" t="s">
        <v>6</v>
      </c>
      <c r="B4" s="135">
        <v>685.90000000000009</v>
      </c>
      <c r="C4" s="136"/>
      <c r="E4" s="29" t="s">
        <v>160</v>
      </c>
      <c r="F4" s="26" t="s">
        <v>161</v>
      </c>
      <c r="G4" s="14">
        <v>89</v>
      </c>
      <c r="H4" s="92">
        <f>IF(B$19=0,0,G4/B$19)</f>
        <v>0.43203883495145629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1680</v>
      </c>
      <c r="P4" s="81">
        <v>80</v>
      </c>
      <c r="Q4" s="68">
        <v>134400</v>
      </c>
    </row>
    <row r="5" spans="1:17" x14ac:dyDescent="0.45">
      <c r="A5" s="21" t="s">
        <v>7</v>
      </c>
      <c r="B5" s="123">
        <f>IF(B$2=0,0,B$4/B$2)</f>
        <v>8.0694117647058832</v>
      </c>
      <c r="C5" s="124"/>
      <c r="E5" s="29" t="s">
        <v>64</v>
      </c>
      <c r="F5" s="26" t="s">
        <v>20</v>
      </c>
      <c r="G5" s="14">
        <v>88</v>
      </c>
      <c r="H5" s="92">
        <f>IF(B$19=0,0,G5/B$19)</f>
        <v>0.42718446601941745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1065.2777777777778</v>
      </c>
      <c r="P5" s="81">
        <v>72</v>
      </c>
      <c r="Q5" s="68">
        <v>76700</v>
      </c>
    </row>
    <row r="6" spans="1:17" x14ac:dyDescent="0.45">
      <c r="A6" s="21" t="s">
        <v>1</v>
      </c>
      <c r="B6" s="137">
        <f>IF(B$2=0,0,(B$7*1+B$8*2+B$9*3)/B$2)</f>
        <v>1.7882352941176471</v>
      </c>
      <c r="C6" s="138"/>
      <c r="E6" s="29" t="s">
        <v>68</v>
      </c>
      <c r="F6" s="26" t="s">
        <v>12</v>
      </c>
      <c r="G6" s="14">
        <v>81</v>
      </c>
      <c r="H6" s="92">
        <f>IF(B$19=0,0,G6/B$19)</f>
        <v>0.39320388349514562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-928.98550724637676</v>
      </c>
      <c r="P6" s="81">
        <v>69</v>
      </c>
      <c r="Q6" s="68">
        <v>-64100</v>
      </c>
    </row>
    <row r="7" spans="1:17" x14ac:dyDescent="0.45">
      <c r="A7" s="21" t="s">
        <v>2</v>
      </c>
      <c r="B7" s="14">
        <v>37</v>
      </c>
      <c r="C7" s="8">
        <f t="shared" ref="C7:C14" si="1">IF(B$2=0,0,B7/B$2)</f>
        <v>0.43529411764705883</v>
      </c>
      <c r="E7" s="29" t="s">
        <v>67</v>
      </c>
      <c r="F7" s="26" t="s">
        <v>23</v>
      </c>
      <c r="G7" s="14">
        <v>56</v>
      </c>
      <c r="H7" s="92">
        <f>IF(B$19=0,0,G7/B$19)</f>
        <v>0.27184466019417475</v>
      </c>
      <c r="I7" s="60">
        <v>2</v>
      </c>
      <c r="K7" s="7">
        <v>5</v>
      </c>
      <c r="L7" s="65">
        <v>143.1</v>
      </c>
      <c r="N7" s="79" t="s">
        <v>133</v>
      </c>
      <c r="O7" s="85">
        <f t="shared" si="0"/>
        <v>2233.3333333333335</v>
      </c>
      <c r="P7" s="82">
        <v>54</v>
      </c>
      <c r="Q7" s="69">
        <v>120600</v>
      </c>
    </row>
    <row r="8" spans="1:17" x14ac:dyDescent="0.45">
      <c r="A8" s="21" t="s">
        <v>3</v>
      </c>
      <c r="B8" s="14">
        <v>29</v>
      </c>
      <c r="C8" s="8">
        <f t="shared" si="1"/>
        <v>0.3411764705882353</v>
      </c>
      <c r="E8" s="29" t="s">
        <v>69</v>
      </c>
      <c r="F8" s="26" t="s">
        <v>24</v>
      </c>
      <c r="G8" s="14">
        <v>37</v>
      </c>
      <c r="H8" s="92">
        <f>IF(B$19=0,0,G8/B$19)</f>
        <v>0.1796116504854369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19</v>
      </c>
      <c r="C9" s="9">
        <f t="shared" si="1"/>
        <v>0.22352941176470589</v>
      </c>
      <c r="E9" s="29" t="s">
        <v>89</v>
      </c>
      <c r="F9" s="26" t="s">
        <v>44</v>
      </c>
      <c r="G9" s="14">
        <v>37</v>
      </c>
      <c r="H9" s="92">
        <f>IF(B$19=0,0,G9/B$19)</f>
        <v>0.1796116504854369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38.23783783783783</v>
      </c>
      <c r="C10" s="114">
        <v>1414.7999999999997</v>
      </c>
      <c r="E10" s="29" t="s">
        <v>65</v>
      </c>
      <c r="F10" s="26" t="s">
        <v>21</v>
      </c>
      <c r="G10" s="14">
        <v>21</v>
      </c>
      <c r="H10" s="92">
        <f>IF(B$19=0,0,G10/B$19)</f>
        <v>0.10194174757281553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3.1280000000000001</v>
      </c>
      <c r="P10" s="80">
        <v>25</v>
      </c>
      <c r="Q10" s="71">
        <v>78.2</v>
      </c>
    </row>
    <row r="11" spans="1:17" x14ac:dyDescent="0.45">
      <c r="A11" s="22" t="s">
        <v>186</v>
      </c>
      <c r="B11" s="113">
        <f>IF(B8=0,0,C11/B8)</f>
        <v>-0.82413793103448274</v>
      </c>
      <c r="C11" s="114">
        <v>-23.9</v>
      </c>
      <c r="E11" s="29" t="s">
        <v>70</v>
      </c>
      <c r="F11" s="26" t="s">
        <v>25</v>
      </c>
      <c r="G11" s="14">
        <v>17</v>
      </c>
      <c r="H11" s="92">
        <f>IF(B$19=0,0,G11/B$19)</f>
        <v>8.2524271844660199E-2</v>
      </c>
      <c r="I11" s="60">
        <v>6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5">
      <c r="A12" s="22" t="s">
        <v>187</v>
      </c>
      <c r="B12" s="113">
        <f>IF(B9=0,0,C12/B9)</f>
        <v>-37.10526315789474</v>
      </c>
      <c r="C12" s="114">
        <v>-705.00000000000011</v>
      </c>
      <c r="E12" s="29" t="s">
        <v>86</v>
      </c>
      <c r="F12" s="26" t="s">
        <v>41</v>
      </c>
      <c r="G12" s="14">
        <v>16</v>
      </c>
      <c r="H12" s="92">
        <f>IF(B$19=0,0,G12/B$19)</f>
        <v>7.7669902912621352E-2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12.296551724137936</v>
      </c>
      <c r="P12" s="82">
        <v>29</v>
      </c>
      <c r="Q12" s="73">
        <v>356.60000000000014</v>
      </c>
    </row>
    <row r="13" spans="1:17" x14ac:dyDescent="0.45">
      <c r="A13" s="22" t="s">
        <v>188</v>
      </c>
      <c r="B13" s="123">
        <f>AVERAGE(B10:B12)</f>
        <v>0.10281224963620161</v>
      </c>
      <c r="C13" s="124"/>
      <c r="E13" s="29" t="s">
        <v>71</v>
      </c>
      <c r="F13" s="26" t="s">
        <v>26</v>
      </c>
      <c r="G13" s="14">
        <v>15</v>
      </c>
      <c r="H13" s="92">
        <f>IF(B$19=0,0,G13/B$19)</f>
        <v>7.281553398058252E-2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5.8823529411764705E-2</v>
      </c>
      <c r="E14" s="29" t="s">
        <v>83</v>
      </c>
      <c r="F14" s="26" t="s">
        <v>38</v>
      </c>
      <c r="G14" s="14">
        <v>9</v>
      </c>
      <c r="H14" s="92">
        <f>IF(B$19=0,0,G14/B$19)</f>
        <v>4.3689320388349516E-2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169</v>
      </c>
      <c r="C15" s="12">
        <f>IF(B$3=0,0,B15/B$3)</f>
        <v>0.25186289120715349</v>
      </c>
      <c r="E15" s="29" t="s">
        <v>156</v>
      </c>
      <c r="F15" s="26" t="s">
        <v>157</v>
      </c>
      <c r="G15" s="14">
        <v>9</v>
      </c>
      <c r="H15" s="92">
        <f>IF(B$19=0,0,G15/B$19)</f>
        <v>4.3689320388349516E-2</v>
      </c>
      <c r="I15" s="60">
        <v>1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105</v>
      </c>
      <c r="C16" s="8">
        <f>IF(B$3=0,0,B16/B$3)</f>
        <v>0.15648286140089418</v>
      </c>
      <c r="E16" s="29" t="s">
        <v>78</v>
      </c>
      <c r="F16" s="26" t="s">
        <v>33</v>
      </c>
      <c r="G16" s="14">
        <v>8</v>
      </c>
      <c r="H16" s="92">
        <f>IF(B$19=0,0,G16/B$19)</f>
        <v>3.8834951456310676E-2</v>
      </c>
      <c r="I16" s="60">
        <v>4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98</v>
      </c>
      <c r="C17" s="6">
        <f>IF(B$15=0,0,B17/B$15)</f>
        <v>0.57988165680473369</v>
      </c>
      <c r="E17" s="29" t="s">
        <v>81</v>
      </c>
      <c r="F17" s="26" t="s">
        <v>36</v>
      </c>
      <c r="G17" s="14">
        <v>6</v>
      </c>
      <c r="H17" s="92">
        <f>IF(B$19=0,0,G17/B$19)</f>
        <v>2.9126213592233011E-2</v>
      </c>
      <c r="I17" s="60">
        <v>5</v>
      </c>
      <c r="K17" s="7">
        <v>15</v>
      </c>
      <c r="L17" s="65">
        <v>213.5</v>
      </c>
      <c r="N17" s="78" t="s">
        <v>193</v>
      </c>
      <c r="O17" s="87">
        <f>IF(P17=0,0,Q17/P17)</f>
        <v>24.1875</v>
      </c>
      <c r="P17" s="81">
        <v>16</v>
      </c>
      <c r="Q17" s="72">
        <v>387</v>
      </c>
    </row>
    <row r="18" spans="1:17" x14ac:dyDescent="0.45">
      <c r="A18" s="20" t="s">
        <v>124</v>
      </c>
      <c r="B18" s="13">
        <f>B24</f>
        <v>51</v>
      </c>
      <c r="C18" s="6">
        <f>IF(B$16=0,0,B18/B$16)</f>
        <v>0.48571428571428571</v>
      </c>
      <c r="E18" s="29" t="s">
        <v>79</v>
      </c>
      <c r="F18" s="26" t="s">
        <v>34</v>
      </c>
      <c r="G18" s="14">
        <v>5</v>
      </c>
      <c r="H18" s="92">
        <f>IF(B$19=0,0,G18/B$19)</f>
        <v>2.4271844660194174E-2</v>
      </c>
      <c r="I18" s="60">
        <v>6</v>
      </c>
      <c r="K18" s="7">
        <v>16</v>
      </c>
      <c r="L18" s="65">
        <v>273.8</v>
      </c>
      <c r="N18" s="78" t="s">
        <v>192</v>
      </c>
      <c r="O18" s="87">
        <f>IF(P18=0,0,Q18/P18)</f>
        <v>21.809090909090912</v>
      </c>
      <c r="P18" s="81">
        <v>33</v>
      </c>
      <c r="Q18" s="72">
        <v>719.7</v>
      </c>
    </row>
    <row r="19" spans="1:17" x14ac:dyDescent="0.45">
      <c r="A19" s="20" t="s">
        <v>10</v>
      </c>
      <c r="B19" s="13">
        <f>B22+B21</f>
        <v>206</v>
      </c>
      <c r="C19" s="6">
        <f>IF(B$3=0,0,B19/B$3)</f>
        <v>0.30700447093889716</v>
      </c>
      <c r="E19" s="29" t="s">
        <v>92</v>
      </c>
      <c r="F19" s="26" t="s">
        <v>47</v>
      </c>
      <c r="G19" s="14">
        <v>3</v>
      </c>
      <c r="H19" s="92">
        <f>IF(B$19=0,0,G19/B$19)</f>
        <v>1.4563106796116505E-2</v>
      </c>
      <c r="I19" s="60">
        <v>3</v>
      </c>
      <c r="K19" s="7">
        <v>17</v>
      </c>
      <c r="L19" s="65">
        <v>242.8</v>
      </c>
      <c r="N19" s="78" t="s">
        <v>194</v>
      </c>
      <c r="O19" s="87">
        <f>IF(P19=0,0,Q19/P19)</f>
        <v>18.786363636363639</v>
      </c>
      <c r="P19" s="81">
        <v>22</v>
      </c>
      <c r="Q19" s="72">
        <v>413.30000000000007</v>
      </c>
    </row>
    <row r="20" spans="1:17" x14ac:dyDescent="0.45">
      <c r="A20" s="21" t="s">
        <v>13</v>
      </c>
      <c r="B20" s="14">
        <v>95</v>
      </c>
      <c r="C20" s="8">
        <f>IF(B$3=0,0,B20/B$3)</f>
        <v>0.14157973174366617</v>
      </c>
      <c r="E20" s="29" t="s">
        <v>91</v>
      </c>
      <c r="F20" s="26" t="s">
        <v>46</v>
      </c>
      <c r="G20" s="14">
        <v>2</v>
      </c>
      <c r="H20" s="92">
        <f>IF(B$19=0,0,G20/B$19)</f>
        <v>9.7087378640776691E-3</v>
      </c>
      <c r="I20" s="60">
        <v>5</v>
      </c>
      <c r="K20" s="7">
        <v>18</v>
      </c>
      <c r="L20" s="65">
        <v>280</v>
      </c>
      <c r="N20" s="78" t="s">
        <v>205</v>
      </c>
      <c r="O20" s="87">
        <f>IF(P20=0,0,Q20/P20)</f>
        <v>5.5411764705882343</v>
      </c>
      <c r="P20" s="81">
        <v>34</v>
      </c>
      <c r="Q20" s="72">
        <v>188.39999999999998</v>
      </c>
    </row>
    <row r="21" spans="1:17" x14ac:dyDescent="0.45">
      <c r="A21" s="21" t="s">
        <v>12</v>
      </c>
      <c r="B21" s="14">
        <v>105</v>
      </c>
      <c r="C21" s="8">
        <f>IF(B$19=0,0,B21/B$19)</f>
        <v>0.50970873786407767</v>
      </c>
      <c r="E21" s="29" t="s">
        <v>93</v>
      </c>
      <c r="F21" s="26" t="s">
        <v>48</v>
      </c>
      <c r="G21" s="14">
        <v>2</v>
      </c>
      <c r="H21" s="92">
        <f>IF(B$19=0,0,G21/B$19)</f>
        <v>9.7087378640776691E-3</v>
      </c>
      <c r="I21" s="60">
        <v>1</v>
      </c>
      <c r="K21" s="7">
        <v>19</v>
      </c>
      <c r="L21" s="65">
        <v>281.5</v>
      </c>
      <c r="N21" s="78" t="s">
        <v>212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101</v>
      </c>
      <c r="C22" s="8">
        <f>IF(B$19=0,0,B22/B$19)</f>
        <v>0.49029126213592233</v>
      </c>
      <c r="E22" s="29" t="s">
        <v>73</v>
      </c>
      <c r="F22" s="26" t="s">
        <v>28</v>
      </c>
      <c r="G22" s="14">
        <v>1</v>
      </c>
      <c r="H22" s="92">
        <f>IF(B$19=0,0,G22/B$19)</f>
        <v>4.8543689320388345E-3</v>
      </c>
      <c r="I22" s="60">
        <v>2</v>
      </c>
      <c r="K22" s="7">
        <v>20</v>
      </c>
      <c r="L22" s="65">
        <v>287.2</v>
      </c>
      <c r="N22" s="78" t="s">
        <v>164</v>
      </c>
      <c r="O22" s="87">
        <f>IF(P22=0,0,Q22/P22)</f>
        <v>1.1854166666666635</v>
      </c>
      <c r="P22" s="81">
        <v>48</v>
      </c>
      <c r="Q22" s="72">
        <v>56.899999999999842</v>
      </c>
    </row>
    <row r="23" spans="1:17" x14ac:dyDescent="0.45">
      <c r="A23" s="21" t="s">
        <v>184</v>
      </c>
      <c r="B23" s="14">
        <v>98</v>
      </c>
      <c r="C23" s="8">
        <f>IF(B$19=0,0,B23/B$19)</f>
        <v>0.47572815533980584</v>
      </c>
      <c r="E23" s="29" t="s">
        <v>77</v>
      </c>
      <c r="F23" s="26" t="s">
        <v>32</v>
      </c>
      <c r="G23" s="14">
        <v>1</v>
      </c>
      <c r="H23" s="92">
        <f>IF(B$19=0,0,G23/B$19)</f>
        <v>4.8543689320388345E-3</v>
      </c>
      <c r="I23" s="60">
        <v>6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51</v>
      </c>
      <c r="C24" s="8">
        <f>IF(B$19=0,0,B24/B$19)</f>
        <v>0.24757281553398058</v>
      </c>
      <c r="E24" s="29" t="s">
        <v>84</v>
      </c>
      <c r="F24" s="26" t="s">
        <v>39</v>
      </c>
      <c r="G24" s="14">
        <v>1</v>
      </c>
      <c r="H24" s="92">
        <f>IF(B$19=0,0,G24/B$19)</f>
        <v>4.8543689320388345E-3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57</v>
      </c>
      <c r="C25" s="8">
        <f>IF(B$19=0,0,B25/B$19)</f>
        <v>0.27669902912621358</v>
      </c>
      <c r="E25" s="29" t="s">
        <v>87</v>
      </c>
      <c r="F25" s="26" t="s">
        <v>42</v>
      </c>
      <c r="G25" s="14">
        <v>1</v>
      </c>
      <c r="H25" s="92">
        <f>IF(B$19=0,0,G25/B$19)</f>
        <v>4.8543689320388345E-3</v>
      </c>
      <c r="I25" s="60">
        <v>2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9776.213592233009</v>
      </c>
      <c r="C26" s="10">
        <v>2013900</v>
      </c>
      <c r="E26" s="29" t="s">
        <v>95</v>
      </c>
      <c r="F26" s="26" t="s">
        <v>50</v>
      </c>
      <c r="G26" s="14">
        <v>1</v>
      </c>
      <c r="H26" s="92">
        <f>IF(B$19=0,0,G26/B$19)</f>
        <v>4.8543689320388345E-3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10209.677419354839</v>
      </c>
      <c r="C27" s="100">
        <v>1582500</v>
      </c>
      <c r="E27" s="29" t="s">
        <v>106</v>
      </c>
      <c r="F27" s="26" t="s">
        <v>113</v>
      </c>
      <c r="G27" s="14">
        <v>1</v>
      </c>
      <c r="H27" s="92">
        <f>IF(B$19=0,0,G27/B$19)</f>
        <v>4.8543689320388345E-3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8458.823529411764</v>
      </c>
      <c r="C28" s="100">
        <v>431400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-7958.9473684210525</v>
      </c>
      <c r="C29" s="100">
        <v>-756100</v>
      </c>
      <c r="E29" s="29" t="s">
        <v>75</v>
      </c>
      <c r="F29" s="26" t="s">
        <v>30</v>
      </c>
      <c r="G29" s="14">
        <v>0</v>
      </c>
      <c r="H29" s="92">
        <f>IF(B$19=0,0,G29/B$19)</f>
        <v>0</v>
      </c>
      <c r="I29" s="60">
        <v>5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4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12</v>
      </c>
      <c r="C36" s="102">
        <f t="shared" ref="C36:C48" si="2">IF(B$19=0,0,B36/B$19)</f>
        <v>5.8252427184466021E-2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30</v>
      </c>
      <c r="C37" s="8">
        <f t="shared" si="2"/>
        <v>0.14563106796116504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36</v>
      </c>
      <c r="C38" s="8">
        <f t="shared" si="2"/>
        <v>0.17475728155339806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39</v>
      </c>
      <c r="C39" s="8">
        <f t="shared" si="2"/>
        <v>0.18932038834951456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33</v>
      </c>
      <c r="C40" s="8">
        <f t="shared" si="2"/>
        <v>0.16019417475728157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18</v>
      </c>
      <c r="C41" s="8">
        <f t="shared" si="2"/>
        <v>8.7378640776699032E-2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13</v>
      </c>
      <c r="C42" s="8">
        <f t="shared" si="2"/>
        <v>6.3106796116504854E-2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7</v>
      </c>
      <c r="C43" s="8">
        <f t="shared" si="2"/>
        <v>3.3980582524271843E-2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6</v>
      </c>
      <c r="C44" s="8">
        <f t="shared" si="2"/>
        <v>2.9126213592233011E-2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1.4563106796116505E-2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4.8543689320388345E-3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4.8543689320388345E-3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3.3980582524271843E-2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  <row r="86" spans="11:12" x14ac:dyDescent="0.45">
      <c r="K86" s="7">
        <v>84</v>
      </c>
      <c r="L86" s="65">
        <v>718.10000000000014</v>
      </c>
    </row>
    <row r="87" spans="11:12" x14ac:dyDescent="0.45">
      <c r="K87" s="7">
        <v>85</v>
      </c>
      <c r="L87" s="65">
        <v>685.90000000000009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36</v>
      </c>
      <c r="C2" s="132"/>
      <c r="E2" s="28" t="s">
        <v>66</v>
      </c>
      <c r="F2" s="25" t="s">
        <v>22</v>
      </c>
      <c r="G2" s="13">
        <v>55</v>
      </c>
      <c r="H2" s="91">
        <f>IF(B$19=0,0,G2/B$19)</f>
        <v>0.72368421052631582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-3900</v>
      </c>
      <c r="P2" s="80">
        <v>35</v>
      </c>
      <c r="Q2" s="67">
        <v>-136500</v>
      </c>
    </row>
    <row r="3" spans="1:17" x14ac:dyDescent="0.45">
      <c r="A3" s="21" t="s">
        <v>8</v>
      </c>
      <c r="B3" s="133">
        <v>277</v>
      </c>
      <c r="C3" s="134"/>
      <c r="E3" s="29" t="s">
        <v>72</v>
      </c>
      <c r="F3" s="26" t="s">
        <v>27</v>
      </c>
      <c r="G3" s="14">
        <v>42</v>
      </c>
      <c r="H3" s="92">
        <f>IF(B$19=0,0,G3/B$19)</f>
        <v>0.55263157894736847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1757.1428571428571</v>
      </c>
      <c r="P3" s="81">
        <v>35</v>
      </c>
      <c r="Q3" s="68">
        <v>61500</v>
      </c>
    </row>
    <row r="4" spans="1:17" x14ac:dyDescent="0.45">
      <c r="A4" s="21" t="s">
        <v>6</v>
      </c>
      <c r="B4" s="135">
        <v>-258.7999999999999</v>
      </c>
      <c r="C4" s="136"/>
      <c r="E4" s="29" t="s">
        <v>160</v>
      </c>
      <c r="F4" s="26" t="s">
        <v>161</v>
      </c>
      <c r="G4" s="14">
        <v>37</v>
      </c>
      <c r="H4" s="92">
        <f>IF(B$19=0,0,G4/B$19)</f>
        <v>0.48684210526315791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-1621.2121212121212</v>
      </c>
      <c r="P4" s="81">
        <v>33</v>
      </c>
      <c r="Q4" s="68">
        <v>-53500</v>
      </c>
    </row>
    <row r="5" spans="1:17" x14ac:dyDescent="0.45">
      <c r="A5" s="21" t="s">
        <v>7</v>
      </c>
      <c r="B5" s="123">
        <f>IF(B$2=0,0,B$4/B$2)</f>
        <v>-7.1888888888888864</v>
      </c>
      <c r="C5" s="124"/>
      <c r="E5" s="29" t="s">
        <v>64</v>
      </c>
      <c r="F5" s="26" t="s">
        <v>20</v>
      </c>
      <c r="G5" s="14">
        <v>33</v>
      </c>
      <c r="H5" s="92">
        <f>IF(B$19=0,0,G5/B$19)</f>
        <v>0.43421052631578949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-1296.4285714285713</v>
      </c>
      <c r="P5" s="81">
        <v>28</v>
      </c>
      <c r="Q5" s="68">
        <v>-36300</v>
      </c>
    </row>
    <row r="6" spans="1:17" x14ac:dyDescent="0.45">
      <c r="A6" s="21" t="s">
        <v>1</v>
      </c>
      <c r="B6" s="137">
        <f>IF(B$2=0,0,(B$7*1+B$8*2+B$9*3)/B$2)</f>
        <v>2.2777777777777777</v>
      </c>
      <c r="C6" s="138"/>
      <c r="E6" s="29" t="s">
        <v>68</v>
      </c>
      <c r="F6" s="26" t="s">
        <v>12</v>
      </c>
      <c r="G6" s="14">
        <v>22</v>
      </c>
      <c r="H6" s="92">
        <f>IF(B$19=0,0,G6/B$19)</f>
        <v>0.28947368421052633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3508.3333333333335</v>
      </c>
      <c r="P6" s="81">
        <v>24</v>
      </c>
      <c r="Q6" s="68">
        <v>84200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0.19444444444444445</v>
      </c>
      <c r="E7" s="29" t="s">
        <v>67</v>
      </c>
      <c r="F7" s="26" t="s">
        <v>23</v>
      </c>
      <c r="G7" s="14">
        <v>19</v>
      </c>
      <c r="H7" s="92">
        <f>IF(B$19=0,0,G7/B$19)</f>
        <v>0.25</v>
      </c>
      <c r="I7" s="60">
        <v>4</v>
      </c>
      <c r="K7" s="7">
        <v>5</v>
      </c>
      <c r="L7" s="65">
        <v>-116</v>
      </c>
      <c r="N7" s="79" t="s">
        <v>133</v>
      </c>
      <c r="O7" s="85">
        <f t="shared" si="0"/>
        <v>-4070</v>
      </c>
      <c r="P7" s="82">
        <v>20</v>
      </c>
      <c r="Q7" s="69">
        <v>-81400</v>
      </c>
    </row>
    <row r="8" spans="1:17" x14ac:dyDescent="0.45">
      <c r="A8" s="21" t="s">
        <v>3</v>
      </c>
      <c r="B8" s="14">
        <v>12</v>
      </c>
      <c r="C8" s="8">
        <f t="shared" si="1"/>
        <v>0.33333333333333331</v>
      </c>
      <c r="E8" s="29" t="s">
        <v>69</v>
      </c>
      <c r="F8" s="26" t="s">
        <v>24</v>
      </c>
      <c r="G8" s="14">
        <v>9</v>
      </c>
      <c r="H8" s="92">
        <f>IF(B$19=0,0,G8/B$19)</f>
        <v>0.11842105263157894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17</v>
      </c>
      <c r="C9" s="9">
        <f t="shared" si="1"/>
        <v>0.47222222222222221</v>
      </c>
      <c r="E9" s="29" t="s">
        <v>89</v>
      </c>
      <c r="F9" s="26" t="s">
        <v>44</v>
      </c>
      <c r="G9" s="14">
        <v>9</v>
      </c>
      <c r="H9" s="92">
        <f>IF(B$19=0,0,G9/B$19)</f>
        <v>0.11842105263157894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46.057142857142857</v>
      </c>
      <c r="C10" s="114">
        <v>322.39999999999998</v>
      </c>
      <c r="E10" s="29" t="s">
        <v>70</v>
      </c>
      <c r="F10" s="26" t="s">
        <v>25</v>
      </c>
      <c r="G10" s="14">
        <v>8</v>
      </c>
      <c r="H10" s="92">
        <f>IF(B$19=0,0,G10/B$19)</f>
        <v>0.10526315789473684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-20.792307692307688</v>
      </c>
      <c r="P10" s="80">
        <v>13</v>
      </c>
      <c r="Q10" s="71">
        <v>-270.29999999999995</v>
      </c>
    </row>
    <row r="11" spans="1:17" x14ac:dyDescent="0.45">
      <c r="A11" s="22" t="s">
        <v>186</v>
      </c>
      <c r="B11" s="113">
        <f>IF(B8=0,0,C11/B8)</f>
        <v>-1.2333333333333336</v>
      </c>
      <c r="C11" s="114">
        <v>-14.800000000000002</v>
      </c>
      <c r="E11" s="29" t="s">
        <v>65</v>
      </c>
      <c r="F11" s="26" t="s">
        <v>21</v>
      </c>
      <c r="G11" s="14">
        <v>6</v>
      </c>
      <c r="H11" s="92">
        <f>IF(B$19=0,0,G11/B$19)</f>
        <v>7.8947368421052627E-2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-7.8461538461538458</v>
      </c>
      <c r="P11" s="81">
        <v>13</v>
      </c>
      <c r="Q11" s="72">
        <v>-102</v>
      </c>
    </row>
    <row r="12" spans="1:17" x14ac:dyDescent="0.45">
      <c r="A12" s="22" t="s">
        <v>187</v>
      </c>
      <c r="B12" s="113">
        <f>IF(B9=0,0,C12/B9)</f>
        <v>-33.317647058823532</v>
      </c>
      <c r="C12" s="114">
        <v>-566.40000000000009</v>
      </c>
      <c r="E12" s="29" t="s">
        <v>71</v>
      </c>
      <c r="F12" s="26" t="s">
        <v>26</v>
      </c>
      <c r="G12" s="14">
        <v>4</v>
      </c>
      <c r="H12" s="92">
        <f>IF(B$19=0,0,G12/B$19)</f>
        <v>5.2631578947368418E-2</v>
      </c>
      <c r="I12" s="60">
        <v>8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3">
        <f>AVERAGE(B10:B12)</f>
        <v>3.8353874883286636</v>
      </c>
      <c r="C13" s="124"/>
      <c r="E13" s="29" t="s">
        <v>78</v>
      </c>
      <c r="F13" s="26" t="s">
        <v>33</v>
      </c>
      <c r="G13" s="14">
        <v>4</v>
      </c>
      <c r="H13" s="92">
        <f>IF(B$19=0,0,G13/B$19)</f>
        <v>5.2631578947368418E-2</v>
      </c>
      <c r="I13" s="60">
        <v>1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0.16666666666666666</v>
      </c>
      <c r="E14" s="29" t="s">
        <v>86</v>
      </c>
      <c r="F14" s="26" t="s">
        <v>41</v>
      </c>
      <c r="G14" s="14">
        <v>4</v>
      </c>
      <c r="H14" s="92">
        <f>IF(B$19=0,0,G14/B$19)</f>
        <v>5.2631578947368418E-2</v>
      </c>
      <c r="I14" s="60">
        <v>5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61</v>
      </c>
      <c r="C15" s="12">
        <f>IF(B$3=0,0,B15/B$3)</f>
        <v>0.22021660649819494</v>
      </c>
      <c r="E15" s="29" t="s">
        <v>81</v>
      </c>
      <c r="F15" s="26" t="s">
        <v>36</v>
      </c>
      <c r="G15" s="14">
        <v>3</v>
      </c>
      <c r="H15" s="92">
        <f>IF(B$19=0,0,G15/B$19)</f>
        <v>3.9473684210526314E-2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19.970000000000006</v>
      </c>
      <c r="P15" s="80">
        <v>10</v>
      </c>
      <c r="Q15" s="71">
        <v>199.70000000000005</v>
      </c>
    </row>
    <row r="16" spans="1:17" x14ac:dyDescent="0.45">
      <c r="A16" s="21" t="s">
        <v>118</v>
      </c>
      <c r="B16" s="14">
        <v>45</v>
      </c>
      <c r="C16" s="8">
        <f>IF(B$3=0,0,B16/B$3)</f>
        <v>0.16245487364620939</v>
      </c>
      <c r="E16" s="29" t="s">
        <v>87</v>
      </c>
      <c r="F16" s="26" t="s">
        <v>42</v>
      </c>
      <c r="G16" s="14">
        <v>1</v>
      </c>
      <c r="H16" s="92">
        <f>IF(B$19=0,0,G16/B$19)</f>
        <v>1.3157894736842105E-2</v>
      </c>
      <c r="I16" s="60">
        <v>1</v>
      </c>
      <c r="K16" s="7">
        <v>14</v>
      </c>
      <c r="L16" s="65">
        <v>-330.7</v>
      </c>
      <c r="N16" s="78" t="s">
        <v>205</v>
      </c>
      <c r="O16" s="87">
        <f t="shared" si="2"/>
        <v>-0.79166666666666596</v>
      </c>
      <c r="P16" s="81">
        <v>12</v>
      </c>
      <c r="Q16" s="72">
        <v>-9.4999999999999911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0.50819672131147542</v>
      </c>
      <c r="E17" s="29" t="s">
        <v>91</v>
      </c>
      <c r="F17" s="26" t="s">
        <v>46</v>
      </c>
      <c r="G17" s="14">
        <v>1</v>
      </c>
      <c r="H17" s="92">
        <f>IF(B$19=0,0,G17/B$19)</f>
        <v>1.3157894736842105E-2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 t="shared" si="2"/>
        <v>-4.0250000000000004</v>
      </c>
      <c r="P17" s="81">
        <v>16</v>
      </c>
      <c r="Q17" s="72">
        <v>-64.400000000000006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0.57777777777777772</v>
      </c>
      <c r="E18" s="29" t="s">
        <v>92</v>
      </c>
      <c r="F18" s="26" t="s">
        <v>47</v>
      </c>
      <c r="G18" s="14">
        <v>1</v>
      </c>
      <c r="H18" s="92">
        <f>IF(B$19=0,0,G18/B$19)</f>
        <v>1.3157894736842105E-2</v>
      </c>
      <c r="I18" s="60">
        <v>4</v>
      </c>
      <c r="K18" s="7">
        <v>16</v>
      </c>
      <c r="L18" s="65">
        <v>-234.59999999999997</v>
      </c>
      <c r="N18" s="78" t="s">
        <v>126</v>
      </c>
      <c r="O18" s="87">
        <f t="shared" si="2"/>
        <v>-18.786363636363639</v>
      </c>
      <c r="P18" s="81">
        <v>22</v>
      </c>
      <c r="Q18" s="72">
        <v>-413.30000000000007</v>
      </c>
    </row>
    <row r="19" spans="1:17" x14ac:dyDescent="0.45">
      <c r="A19" s="20" t="s">
        <v>10</v>
      </c>
      <c r="B19" s="13">
        <f>B22+B21</f>
        <v>76</v>
      </c>
      <c r="C19" s="6">
        <f>IF(B$3=0,0,B19/B$3)</f>
        <v>0.27436823104693142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196</v>
      </c>
      <c r="O19" s="87">
        <f t="shared" si="2"/>
        <v>-20.5</v>
      </c>
      <c r="P19" s="81">
        <v>1</v>
      </c>
      <c r="Q19" s="72">
        <v>-20.5</v>
      </c>
    </row>
    <row r="20" spans="1:17" x14ac:dyDescent="0.45">
      <c r="A20" s="21" t="s">
        <v>13</v>
      </c>
      <c r="B20" s="14">
        <v>46</v>
      </c>
      <c r="C20" s="8">
        <f>IF(B$3=0,0,B20/B$3)</f>
        <v>0.16606498194945848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-154.09999999999997</v>
      </c>
      <c r="N20" s="78" t="s">
        <v>193</v>
      </c>
      <c r="O20" s="87">
        <f t="shared" si="2"/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37</v>
      </c>
      <c r="C21" s="8">
        <f>IF(B$19=0,0,B21/B$19)</f>
        <v>0.48684210526315791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5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39</v>
      </c>
      <c r="C22" s="8">
        <f>IF(B$19=0,0,B22/B$19)</f>
        <v>0.51315789473684215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31</v>
      </c>
      <c r="C23" s="8">
        <f>IF(B$19=0,0,B23/B$19)</f>
        <v>0.40789473684210525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26</v>
      </c>
      <c r="C24" s="8">
        <f>IF(B$19=0,0,B24/B$19)</f>
        <v>0.34210526315789475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19</v>
      </c>
      <c r="C25" s="8">
        <f>IF(B$19=0,0,B25/B$19)</f>
        <v>0.25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8010.5263157894733</v>
      </c>
      <c r="C26" s="10">
        <v>608800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9550</v>
      </c>
      <c r="C27" s="100">
        <v>477500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5050</v>
      </c>
      <c r="C28" s="100">
        <v>131300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-7428.260869565217</v>
      </c>
      <c r="C29" s="100">
        <v>-341700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14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3.6101083032490976E-3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3">IF(B$19=0,0,B36/B$19)</f>
        <v>0.13157894736842105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15</v>
      </c>
      <c r="C37" s="8">
        <f t="shared" si="3"/>
        <v>0.19736842105263158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15</v>
      </c>
      <c r="C38" s="8">
        <f t="shared" si="3"/>
        <v>0.19736842105263158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9</v>
      </c>
      <c r="C39" s="8">
        <f t="shared" si="3"/>
        <v>0.11842105263157894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6</v>
      </c>
      <c r="C40" s="8">
        <f t="shared" si="3"/>
        <v>7.8947368421052627E-2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12</v>
      </c>
      <c r="C41" s="8">
        <f t="shared" si="3"/>
        <v>0.15789473684210525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4</v>
      </c>
      <c r="C42" s="8">
        <f t="shared" si="3"/>
        <v>5.2631578947368418E-2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2</v>
      </c>
      <c r="C43" s="8">
        <f t="shared" si="3"/>
        <v>2.6315789473684209E-2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1.3157894736842105E-2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1.3157894736842105E-2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1.3157894736842105E-2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5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57</v>
      </c>
      <c r="C2" s="132"/>
      <c r="E2" s="28" t="s">
        <v>72</v>
      </c>
      <c r="F2" s="25" t="s">
        <v>27</v>
      </c>
      <c r="G2" s="13">
        <v>88</v>
      </c>
      <c r="H2" s="91">
        <f>IF(B$19=0,0,G2/B$19)</f>
        <v>0.68217054263565891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-341.07142857142856</v>
      </c>
      <c r="P2" s="80">
        <v>56</v>
      </c>
      <c r="Q2" s="67">
        <v>-19100</v>
      </c>
    </row>
    <row r="3" spans="1:17" x14ac:dyDescent="0.45">
      <c r="A3" s="21" t="s">
        <v>8</v>
      </c>
      <c r="B3" s="133">
        <v>461</v>
      </c>
      <c r="C3" s="134"/>
      <c r="E3" s="29" t="s">
        <v>66</v>
      </c>
      <c r="F3" s="26" t="s">
        <v>22</v>
      </c>
      <c r="G3" s="14">
        <v>87</v>
      </c>
      <c r="H3" s="92">
        <f>IF(B$19=0,0,G3/B$19)</f>
        <v>0.67441860465116277</v>
      </c>
      <c r="I3" s="60">
        <v>7</v>
      </c>
      <c r="K3" s="7">
        <v>1</v>
      </c>
      <c r="L3" s="65">
        <v>-0.5</v>
      </c>
      <c r="N3" s="78" t="s">
        <v>129</v>
      </c>
      <c r="O3" s="84">
        <f t="shared" si="0"/>
        <v>-689.28571428571433</v>
      </c>
      <c r="P3" s="81">
        <v>56</v>
      </c>
      <c r="Q3" s="68">
        <v>-38600</v>
      </c>
    </row>
    <row r="4" spans="1:17" x14ac:dyDescent="0.45">
      <c r="A4" s="21" t="s">
        <v>6</v>
      </c>
      <c r="B4" s="135">
        <v>-112.99999999999997</v>
      </c>
      <c r="C4" s="136"/>
      <c r="E4" s="29" t="s">
        <v>64</v>
      </c>
      <c r="F4" s="26" t="s">
        <v>20</v>
      </c>
      <c r="G4" s="14">
        <v>57</v>
      </c>
      <c r="H4" s="92">
        <f>IF(B$19=0,0,G4/B$19)</f>
        <v>0.44186046511627908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-616.07142857142856</v>
      </c>
      <c r="P4" s="81">
        <v>56</v>
      </c>
      <c r="Q4" s="68">
        <v>-34500</v>
      </c>
    </row>
    <row r="5" spans="1:17" x14ac:dyDescent="0.45">
      <c r="A5" s="21" t="s">
        <v>7</v>
      </c>
      <c r="B5" s="123">
        <f>IF(B$2=0,0,B$4/B$2)</f>
        <v>-1.9824561403508767</v>
      </c>
      <c r="C5" s="124"/>
      <c r="E5" s="29" t="s">
        <v>160</v>
      </c>
      <c r="F5" s="26" t="s">
        <v>161</v>
      </c>
      <c r="G5" s="14">
        <v>51</v>
      </c>
      <c r="H5" s="92">
        <f>IF(B$19=0,0,G5/B$19)</f>
        <v>0.39534883720930231</v>
      </c>
      <c r="I5" s="60">
        <v>9</v>
      </c>
      <c r="K5" s="7">
        <v>3</v>
      </c>
      <c r="L5" s="65">
        <v>-48.5</v>
      </c>
      <c r="N5" s="78" t="s">
        <v>131</v>
      </c>
      <c r="O5" s="84">
        <f t="shared" si="0"/>
        <v>1511.3207547169811</v>
      </c>
      <c r="P5" s="81">
        <v>53</v>
      </c>
      <c r="Q5" s="68">
        <v>80100</v>
      </c>
    </row>
    <row r="6" spans="1:17" x14ac:dyDescent="0.45">
      <c r="A6" s="21" t="s">
        <v>1</v>
      </c>
      <c r="B6" s="137">
        <f>IF(B$2=0,0,(B$7*1+B$8*2+B$9*3)/B$2)</f>
        <v>2.0350877192982457</v>
      </c>
      <c r="C6" s="138"/>
      <c r="E6" s="29" t="s">
        <v>67</v>
      </c>
      <c r="F6" s="26" t="s">
        <v>23</v>
      </c>
      <c r="G6" s="14">
        <v>32</v>
      </c>
      <c r="H6" s="92">
        <f>IF(B$19=0,0,G6/B$19)</f>
        <v>0.24806201550387597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-945.83333333333337</v>
      </c>
      <c r="P6" s="81">
        <v>48</v>
      </c>
      <c r="Q6" s="68">
        <v>-45400</v>
      </c>
    </row>
    <row r="7" spans="1:17" x14ac:dyDescent="0.45">
      <c r="A7" s="21" t="s">
        <v>2</v>
      </c>
      <c r="B7" s="14">
        <v>18</v>
      </c>
      <c r="C7" s="8">
        <f t="shared" ref="C7:C14" si="1">IF(B$2=0,0,B7/B$2)</f>
        <v>0.31578947368421051</v>
      </c>
      <c r="E7" s="29" t="s">
        <v>68</v>
      </c>
      <c r="F7" s="26" t="s">
        <v>12</v>
      </c>
      <c r="G7" s="14">
        <v>32</v>
      </c>
      <c r="H7" s="92">
        <f>IF(B$19=0,0,G7/B$19)</f>
        <v>0.24806201550387597</v>
      </c>
      <c r="I7" s="60">
        <v>9</v>
      </c>
      <c r="K7" s="7">
        <v>5</v>
      </c>
      <c r="L7" s="65">
        <v>-96.5</v>
      </c>
      <c r="N7" s="79" t="s">
        <v>133</v>
      </c>
      <c r="O7" s="85">
        <f t="shared" si="0"/>
        <v>-1168.421052631579</v>
      </c>
      <c r="P7" s="82">
        <v>38</v>
      </c>
      <c r="Q7" s="69">
        <v>-44400</v>
      </c>
    </row>
    <row r="8" spans="1:17" x14ac:dyDescent="0.45">
      <c r="A8" s="21" t="s">
        <v>3</v>
      </c>
      <c r="B8" s="14">
        <v>19</v>
      </c>
      <c r="C8" s="8">
        <f t="shared" si="1"/>
        <v>0.33333333333333331</v>
      </c>
      <c r="E8" s="29" t="s">
        <v>89</v>
      </c>
      <c r="F8" s="26" t="s">
        <v>44</v>
      </c>
      <c r="G8" s="14">
        <v>15</v>
      </c>
      <c r="H8" s="92">
        <f>IF(B$19=0,0,G8/B$19)</f>
        <v>0.11627906976744186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20</v>
      </c>
      <c r="C9" s="9">
        <f t="shared" si="1"/>
        <v>0.35087719298245612</v>
      </c>
      <c r="E9" s="29" t="s">
        <v>69</v>
      </c>
      <c r="F9" s="26" t="s">
        <v>24</v>
      </c>
      <c r="G9" s="14">
        <v>14</v>
      </c>
      <c r="H9" s="92">
        <f>IF(B$19=0,0,G9/B$19)</f>
        <v>0.10852713178294573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36.250000000000007</v>
      </c>
      <c r="C10" s="114">
        <v>652.50000000000011</v>
      </c>
      <c r="E10" s="29" t="s">
        <v>65</v>
      </c>
      <c r="F10" s="26" t="s">
        <v>21</v>
      </c>
      <c r="G10" s="14">
        <v>9</v>
      </c>
      <c r="H10" s="92">
        <f>IF(B$19=0,0,G10/B$19)</f>
        <v>6.9767441860465115E-2</v>
      </c>
      <c r="I10" s="60">
        <v>10</v>
      </c>
      <c r="K10" s="7">
        <v>8</v>
      </c>
      <c r="L10" s="65">
        <v>-28.3</v>
      </c>
      <c r="N10" s="77" t="s">
        <v>152</v>
      </c>
      <c r="O10" s="86">
        <f>IF(P10=0,0,Q10/P10)</f>
        <v>-7.4157894736842112</v>
      </c>
      <c r="P10" s="80">
        <v>19</v>
      </c>
      <c r="Q10" s="71">
        <v>-140.9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6.2015503875968991E-2</v>
      </c>
      <c r="I11" s="60">
        <v>7</v>
      </c>
      <c r="K11" s="7">
        <v>9</v>
      </c>
      <c r="L11" s="65">
        <v>-20.3</v>
      </c>
      <c r="N11" s="78" t="s">
        <v>153</v>
      </c>
      <c r="O11" s="87">
        <f>IF(P11=0,0,Q11/P11)</f>
        <v>-1.357894736842105</v>
      </c>
      <c r="P11" s="81">
        <v>19</v>
      </c>
      <c r="Q11" s="72">
        <v>-25.799999999999997</v>
      </c>
    </row>
    <row r="12" spans="1:17" x14ac:dyDescent="0.45">
      <c r="A12" s="22" t="s">
        <v>187</v>
      </c>
      <c r="B12" s="113">
        <f>IF(B9=0,0,C12/B9)</f>
        <v>-35.124999999999993</v>
      </c>
      <c r="C12" s="114">
        <v>-702.49999999999989</v>
      </c>
      <c r="E12" s="29" t="s">
        <v>71</v>
      </c>
      <c r="F12" s="26" t="s">
        <v>26</v>
      </c>
      <c r="G12" s="14">
        <v>8</v>
      </c>
      <c r="H12" s="92">
        <f>IF(B$19=0,0,G12/B$19)</f>
        <v>6.2015503875968991E-2</v>
      </c>
      <c r="I12" s="60">
        <v>4</v>
      </c>
      <c r="K12" s="7">
        <v>10</v>
      </c>
      <c r="L12" s="65">
        <v>-14.9</v>
      </c>
      <c r="N12" s="79" t="s">
        <v>154</v>
      </c>
      <c r="O12" s="88">
        <f>IF(P12=0,0,Q12/P12)</f>
        <v>2.8263157894736857</v>
      </c>
      <c r="P12" s="82">
        <v>19</v>
      </c>
      <c r="Q12" s="73">
        <v>53.700000000000024</v>
      </c>
    </row>
    <row r="13" spans="1:17" x14ac:dyDescent="0.45">
      <c r="A13" s="22" t="s">
        <v>188</v>
      </c>
      <c r="B13" s="123">
        <f>AVERAGE(B10:B12)</f>
        <v>-0.73026315789473273</v>
      </c>
      <c r="C13" s="124"/>
      <c r="E13" s="29" t="s">
        <v>83</v>
      </c>
      <c r="F13" s="26" t="s">
        <v>38</v>
      </c>
      <c r="G13" s="14">
        <v>8</v>
      </c>
      <c r="H13" s="92">
        <f>IF(B$19=0,0,G13/B$19)</f>
        <v>6.2015503875968991E-2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8.771929824561403E-2</v>
      </c>
      <c r="E14" s="29" t="s">
        <v>79</v>
      </c>
      <c r="F14" s="26" t="s">
        <v>34</v>
      </c>
      <c r="G14" s="14">
        <v>6</v>
      </c>
      <c r="H14" s="92">
        <f>IF(B$19=0,0,G14/B$19)</f>
        <v>4.6511627906976744E-2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109</v>
      </c>
      <c r="C15" s="12">
        <f>IF(B$3=0,0,B15/B$3)</f>
        <v>0.23644251626898047</v>
      </c>
      <c r="E15" s="29" t="s">
        <v>78</v>
      </c>
      <c r="F15" s="26" t="s">
        <v>33</v>
      </c>
      <c r="G15" s="14">
        <v>5</v>
      </c>
      <c r="H15" s="92">
        <f>IF(B$19=0,0,G15/B$19)</f>
        <v>3.875968992248062E-2</v>
      </c>
      <c r="I15" s="60">
        <v>5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115</v>
      </c>
      <c r="C16" s="8">
        <f>IF(B$3=0,0,B16/B$3)</f>
        <v>0.24945770065075923</v>
      </c>
      <c r="E16" s="29" t="s">
        <v>91</v>
      </c>
      <c r="F16" s="26" t="s">
        <v>46</v>
      </c>
      <c r="G16" s="14">
        <v>4</v>
      </c>
      <c r="H16" s="92">
        <f>IF(B$19=0,0,G16/B$19)</f>
        <v>3.1007751937984496E-2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13.480000000000004</v>
      </c>
      <c r="P16" s="81">
        <v>20</v>
      </c>
      <c r="Q16" s="72">
        <v>269.60000000000008</v>
      </c>
    </row>
    <row r="17" spans="1:17" x14ac:dyDescent="0.45">
      <c r="A17" s="20" t="s">
        <v>123</v>
      </c>
      <c r="B17" s="13">
        <f>B23</f>
        <v>60</v>
      </c>
      <c r="C17" s="6">
        <f>IF(B$15=0,0,B17/B$15)</f>
        <v>0.55045871559633031</v>
      </c>
      <c r="E17" s="29" t="s">
        <v>81</v>
      </c>
      <c r="F17" s="26" t="s">
        <v>36</v>
      </c>
      <c r="G17" s="14">
        <v>3</v>
      </c>
      <c r="H17" s="92">
        <f>IF(B$19=0,0,G17/B$19)</f>
        <v>2.3255813953488372E-2</v>
      </c>
      <c r="I17" s="60">
        <v>6</v>
      </c>
      <c r="K17" s="7">
        <v>15</v>
      </c>
      <c r="L17" s="65">
        <v>-121.39999999999998</v>
      </c>
      <c r="N17" s="78" t="s">
        <v>164</v>
      </c>
      <c r="O17" s="87">
        <f t="shared" si="2"/>
        <v>4.5136363636363646</v>
      </c>
      <c r="P17" s="81">
        <v>22</v>
      </c>
      <c r="Q17" s="72">
        <v>99.300000000000026</v>
      </c>
    </row>
    <row r="18" spans="1:17" x14ac:dyDescent="0.45">
      <c r="A18" s="20" t="s">
        <v>124</v>
      </c>
      <c r="B18" s="13">
        <f>B24</f>
        <v>45</v>
      </c>
      <c r="C18" s="6">
        <f>IF(B$16=0,0,B18/B$16)</f>
        <v>0.39130434782608697</v>
      </c>
      <c r="E18" s="29" t="s">
        <v>86</v>
      </c>
      <c r="F18" s="26" t="s">
        <v>41</v>
      </c>
      <c r="G18" s="14">
        <v>3</v>
      </c>
      <c r="H18" s="92">
        <f>IF(B$19=0,0,G18/B$19)</f>
        <v>2.3255813953488372E-2</v>
      </c>
      <c r="I18" s="60">
        <v>8</v>
      </c>
      <c r="K18" s="7">
        <v>16</v>
      </c>
      <c r="L18" s="65">
        <v>-141.29999999999998</v>
      </c>
      <c r="N18" s="78" t="s">
        <v>194</v>
      </c>
      <c r="O18" s="87">
        <f t="shared" si="2"/>
        <v>4.0250000000000021</v>
      </c>
      <c r="P18" s="81">
        <v>16</v>
      </c>
      <c r="Q18" s="72">
        <v>64.400000000000034</v>
      </c>
    </row>
    <row r="19" spans="1:17" x14ac:dyDescent="0.45">
      <c r="A19" s="20" t="s">
        <v>10</v>
      </c>
      <c r="B19" s="13">
        <f>B22+B21</f>
        <v>129</v>
      </c>
      <c r="C19" s="6">
        <f>IF(B$3=0,0,B19/B$3)</f>
        <v>0.27982646420824298</v>
      </c>
      <c r="E19" s="29" t="s">
        <v>92</v>
      </c>
      <c r="F19" s="26" t="s">
        <v>47</v>
      </c>
      <c r="G19" s="14">
        <v>2</v>
      </c>
      <c r="H19" s="92">
        <f>IF(B$19=0,0,G19/B$19)</f>
        <v>1.5503875968992248E-2</v>
      </c>
      <c r="I19" s="60">
        <v>1</v>
      </c>
      <c r="K19" s="7">
        <v>17</v>
      </c>
      <c r="L19" s="65">
        <v>-149.1</v>
      </c>
      <c r="N19" s="78" t="s">
        <v>205</v>
      </c>
      <c r="O19" s="87">
        <f t="shared" si="2"/>
        <v>-0.84166666666666501</v>
      </c>
      <c r="P19" s="81">
        <v>12</v>
      </c>
      <c r="Q19" s="72">
        <v>-10.09999999999998</v>
      </c>
    </row>
    <row r="20" spans="1:17" x14ac:dyDescent="0.45">
      <c r="A20" s="21" t="s">
        <v>13</v>
      </c>
      <c r="B20" s="14">
        <v>53</v>
      </c>
      <c r="C20" s="8">
        <f>IF(B$3=0,0,B20/B$3)</f>
        <v>0.11496746203904555</v>
      </c>
      <c r="E20" s="29" t="s">
        <v>77</v>
      </c>
      <c r="F20" s="26" t="s">
        <v>32</v>
      </c>
      <c r="G20" s="14">
        <v>1</v>
      </c>
      <c r="H20" s="92">
        <f>IF(B$19=0,0,G20/B$19)</f>
        <v>7.7519379844961239E-3</v>
      </c>
      <c r="I20" s="60">
        <v>4</v>
      </c>
      <c r="K20" s="7">
        <v>18</v>
      </c>
      <c r="L20" s="65">
        <v>-201.89999999999998</v>
      </c>
      <c r="N20" s="78" t="s">
        <v>196</v>
      </c>
      <c r="O20" s="87">
        <f t="shared" si="2"/>
        <v>-14.1625</v>
      </c>
      <c r="P20" s="81">
        <v>8</v>
      </c>
      <c r="Q20" s="72">
        <v>-113.3</v>
      </c>
    </row>
    <row r="21" spans="1:17" x14ac:dyDescent="0.45">
      <c r="A21" s="21" t="s">
        <v>12</v>
      </c>
      <c r="B21" s="14">
        <v>55</v>
      </c>
      <c r="C21" s="8">
        <f>IF(B$19=0,0,B21/B$19)</f>
        <v>0.4263565891472868</v>
      </c>
      <c r="E21" s="29" t="s">
        <v>85</v>
      </c>
      <c r="F21" s="26" t="s">
        <v>40</v>
      </c>
      <c r="G21" s="14">
        <v>1</v>
      </c>
      <c r="H21" s="92">
        <f>IF(B$19=0,0,G21/B$19)</f>
        <v>7.7519379844961239E-3</v>
      </c>
      <c r="I21" s="60">
        <v>2</v>
      </c>
      <c r="K21" s="7">
        <v>19</v>
      </c>
      <c r="L21" s="65">
        <v>-152.39999999999998</v>
      </c>
      <c r="N21" s="78" t="s">
        <v>126</v>
      </c>
      <c r="O21" s="87">
        <f t="shared" si="2"/>
        <v>-21.809090909090912</v>
      </c>
      <c r="P21" s="81">
        <v>33</v>
      </c>
      <c r="Q21" s="72">
        <v>-719.7</v>
      </c>
    </row>
    <row r="22" spans="1:17" x14ac:dyDescent="0.45">
      <c r="A22" s="21" t="s">
        <v>11</v>
      </c>
      <c r="B22" s="14">
        <v>74</v>
      </c>
      <c r="C22" s="8">
        <f>IF(B$19=0,0,B22/B$19)</f>
        <v>0.5736434108527132</v>
      </c>
      <c r="E22" s="29" t="s">
        <v>156</v>
      </c>
      <c r="F22" s="26" t="s">
        <v>157</v>
      </c>
      <c r="G22" s="14">
        <v>1</v>
      </c>
      <c r="H22" s="92">
        <f>IF(B$19=0,0,G22/B$19)</f>
        <v>7.7519379844961239E-3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60</v>
      </c>
      <c r="C23" s="8">
        <f>IF(B$19=0,0,B23/B$19)</f>
        <v>0.46511627906976744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45</v>
      </c>
      <c r="C24" s="8">
        <f>IF(B$19=0,0,B24/B$19)</f>
        <v>0.34883720930232559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24</v>
      </c>
      <c r="C25" s="8">
        <f>IF(B$19=0,0,B25/B$19)</f>
        <v>0.18604651162790697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7803.8759689922481</v>
      </c>
      <c r="C26" s="10">
        <v>1006700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8311.9047619047615</v>
      </c>
      <c r="C27" s="100">
        <v>698200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6855.5555555555557</v>
      </c>
      <c r="C28" s="100">
        <v>308500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-8186.7924528301883</v>
      </c>
      <c r="C29" s="100">
        <v>-433900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13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8.5271317829457363E-2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24</v>
      </c>
      <c r="C37" s="8">
        <f t="shared" si="3"/>
        <v>0.18604651162790697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32</v>
      </c>
      <c r="C38" s="8">
        <f t="shared" si="3"/>
        <v>0.24806201550387597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21</v>
      </c>
      <c r="C39" s="8">
        <f t="shared" si="3"/>
        <v>0.16279069767441862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13</v>
      </c>
      <c r="C40" s="8">
        <f t="shared" si="3"/>
        <v>0.10077519379844961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8</v>
      </c>
      <c r="C41" s="8">
        <f t="shared" si="3"/>
        <v>6.2015503875968991E-2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9</v>
      </c>
      <c r="C42" s="8">
        <f t="shared" si="3"/>
        <v>6.9767441860465115E-2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2.3255813953488372E-2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1.5503875968992248E-2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3"/>
        <v>2.3255813953488372E-2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3"/>
        <v>7.7519379844961239E-3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2</v>
      </c>
      <c r="C48" s="11">
        <f t="shared" si="3"/>
        <v>1.5503875968992248E-2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</sheetData>
  <sortState xmlns:xlrd2="http://schemas.microsoft.com/office/spreadsheetml/2017/richdata2" ref="E2:I60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33</v>
      </c>
      <c r="C2" s="132"/>
      <c r="E2" s="28" t="s">
        <v>72</v>
      </c>
      <c r="F2" s="25" t="s">
        <v>27</v>
      </c>
      <c r="G2" s="13">
        <v>56</v>
      </c>
      <c r="H2" s="91">
        <f>IF(B$19=0,0,G2/B$19)</f>
        <v>0.70886075949367089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-1715.1515151515152</v>
      </c>
      <c r="P2" s="80">
        <v>33</v>
      </c>
      <c r="Q2" s="67">
        <v>-56600</v>
      </c>
    </row>
    <row r="3" spans="1:17" x14ac:dyDescent="0.45">
      <c r="A3" s="21" t="s">
        <v>8</v>
      </c>
      <c r="B3" s="133">
        <v>251</v>
      </c>
      <c r="C3" s="134"/>
      <c r="E3" s="29" t="s">
        <v>66</v>
      </c>
      <c r="F3" s="26" t="s">
        <v>22</v>
      </c>
      <c r="G3" s="14">
        <v>51</v>
      </c>
      <c r="H3" s="92">
        <f>IF(B$19=0,0,G3/B$19)</f>
        <v>0.64556962025316456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-468.75</v>
      </c>
      <c r="P3" s="81">
        <v>32</v>
      </c>
      <c r="Q3" s="68">
        <v>-15000</v>
      </c>
    </row>
    <row r="4" spans="1:17" x14ac:dyDescent="0.45">
      <c r="A4" s="21" t="s">
        <v>6</v>
      </c>
      <c r="B4" s="135">
        <v>84.500000000000014</v>
      </c>
      <c r="C4" s="136"/>
      <c r="E4" s="29" t="s">
        <v>160</v>
      </c>
      <c r="F4" s="26" t="s">
        <v>161</v>
      </c>
      <c r="G4" s="14">
        <v>25</v>
      </c>
      <c r="H4" s="92">
        <f>IF(B$19=0,0,G4/B$19)</f>
        <v>0.31645569620253167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2675.8620689655172</v>
      </c>
      <c r="P4" s="81">
        <v>29</v>
      </c>
      <c r="Q4" s="68">
        <v>77600</v>
      </c>
    </row>
    <row r="5" spans="1:17" x14ac:dyDescent="0.45">
      <c r="A5" s="21" t="s">
        <v>7</v>
      </c>
      <c r="B5" s="123">
        <f>IF(B$2=0,0,B$4/B$2)</f>
        <v>2.560606060606061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0.26582278481012656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-1565.3846153846155</v>
      </c>
      <c r="P5" s="81">
        <v>26</v>
      </c>
      <c r="Q5" s="68">
        <v>-40700</v>
      </c>
    </row>
    <row r="6" spans="1:17" x14ac:dyDescent="0.45">
      <c r="A6" s="21" t="s">
        <v>1</v>
      </c>
      <c r="B6" s="137">
        <f>IF(B$2=0,0,(B$7*1+B$8*2+B$9*3)/B$2)</f>
        <v>1.9696969696969697</v>
      </c>
      <c r="C6" s="138"/>
      <c r="E6" s="29" t="s">
        <v>68</v>
      </c>
      <c r="F6" s="26" t="s">
        <v>12</v>
      </c>
      <c r="G6" s="14">
        <v>18</v>
      </c>
      <c r="H6" s="92">
        <f>IF(B$19=0,0,G6/B$19)</f>
        <v>0.22784810126582278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2733.3333333333335</v>
      </c>
      <c r="P6" s="81">
        <v>21</v>
      </c>
      <c r="Q6" s="68">
        <v>57400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16</v>
      </c>
      <c r="H7" s="92">
        <f>IF(B$19=0,0,G7/B$19)</f>
        <v>0.20253164556962025</v>
      </c>
      <c r="I7" s="60">
        <v>8</v>
      </c>
      <c r="K7" s="7">
        <v>5</v>
      </c>
      <c r="L7" s="65">
        <v>140.30000000000001</v>
      </c>
      <c r="N7" s="79" t="s">
        <v>133</v>
      </c>
      <c r="O7" s="85">
        <f t="shared" si="0"/>
        <v>1489.4736842105262</v>
      </c>
      <c r="P7" s="82">
        <v>19</v>
      </c>
      <c r="Q7" s="69">
        <v>28300</v>
      </c>
    </row>
    <row r="8" spans="1:17" x14ac:dyDescent="0.45">
      <c r="A8" s="21" t="s">
        <v>3</v>
      </c>
      <c r="B8" s="14">
        <v>12</v>
      </c>
      <c r="C8" s="8">
        <f t="shared" si="1"/>
        <v>0.36363636363636365</v>
      </c>
      <c r="E8" s="29" t="s">
        <v>69</v>
      </c>
      <c r="F8" s="26" t="s">
        <v>24</v>
      </c>
      <c r="G8" s="14">
        <v>11</v>
      </c>
      <c r="H8" s="92">
        <f>IF(B$19=0,0,G8/B$19)</f>
        <v>0.13924050632911392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0.30303030303030304</v>
      </c>
      <c r="E9" s="29" t="s">
        <v>83</v>
      </c>
      <c r="F9" s="26" t="s">
        <v>38</v>
      </c>
      <c r="G9" s="14">
        <v>11</v>
      </c>
      <c r="H9" s="92">
        <f>IF(B$19=0,0,G9/B$19)</f>
        <v>0.13924050632911392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41.427272727272729</v>
      </c>
      <c r="C10" s="114">
        <v>455.7</v>
      </c>
      <c r="E10" s="29" t="s">
        <v>89</v>
      </c>
      <c r="F10" s="26" t="s">
        <v>44</v>
      </c>
      <c r="G10" s="14">
        <v>10</v>
      </c>
      <c r="H10" s="92">
        <f>IF(B$19=0,0,G10/B$19)</f>
        <v>0.12658227848101267</v>
      </c>
      <c r="I10" s="60">
        <v>6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5">
      <c r="A11" s="22" t="s">
        <v>186</v>
      </c>
      <c r="B11" s="113">
        <f>IF(B8=0,0,C11/B8)</f>
        <v>1.7999999999999996</v>
      </c>
      <c r="C11" s="114">
        <v>21.599999999999994</v>
      </c>
      <c r="E11" s="29" t="s">
        <v>65</v>
      </c>
      <c r="F11" s="26" t="s">
        <v>21</v>
      </c>
      <c r="G11" s="14">
        <v>6</v>
      </c>
      <c r="H11" s="92">
        <f>IF(B$19=0,0,G11/B$19)</f>
        <v>7.5949367088607597E-2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2.8299999999999992</v>
      </c>
      <c r="P11" s="81">
        <v>10</v>
      </c>
      <c r="Q11" s="72">
        <v>28.299999999999994</v>
      </c>
    </row>
    <row r="12" spans="1:17" x14ac:dyDescent="0.45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5</v>
      </c>
      <c r="H12" s="92">
        <f>IF(B$19=0,0,G12/B$19)</f>
        <v>6.3291139240506333E-2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11.891666666666666</v>
      </c>
      <c r="P12" s="82">
        <v>12</v>
      </c>
      <c r="Q12" s="73">
        <v>142.69999999999999</v>
      </c>
    </row>
    <row r="13" spans="1:17" x14ac:dyDescent="0.45">
      <c r="A13" s="22" t="s">
        <v>188</v>
      </c>
      <c r="B13" s="123">
        <f>AVERAGE(B10:B12)</f>
        <v>1.3157575757575752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3.7974683544303799E-2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0.18181818181818182</v>
      </c>
      <c r="E14" s="29" t="s">
        <v>78</v>
      </c>
      <c r="F14" s="26" t="s">
        <v>33</v>
      </c>
      <c r="G14" s="14">
        <v>3</v>
      </c>
      <c r="H14" s="92">
        <f>IF(B$19=0,0,G14/B$19)</f>
        <v>3.7974683544303799E-2</v>
      </c>
      <c r="I14" s="60">
        <v>7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35</v>
      </c>
      <c r="C15" s="12">
        <f>IF(B$3=0,0,B15/B$3)</f>
        <v>0.1394422310756972</v>
      </c>
      <c r="E15" s="29" t="s">
        <v>71</v>
      </c>
      <c r="F15" s="26" t="s">
        <v>26</v>
      </c>
      <c r="G15" s="14">
        <v>2</v>
      </c>
      <c r="H15" s="92">
        <f>IF(B$19=0,0,G15/B$19)</f>
        <v>2.5316455696202531E-2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1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91</v>
      </c>
      <c r="C16" s="8">
        <f>IF(B$3=0,0,B16/B$3)</f>
        <v>0.36254980079681276</v>
      </c>
      <c r="E16" s="29" t="s">
        <v>79</v>
      </c>
      <c r="F16" s="26" t="s">
        <v>34</v>
      </c>
      <c r="G16" s="14">
        <v>2</v>
      </c>
      <c r="H16" s="92">
        <f>IF(B$19=0,0,G16/B$19)</f>
        <v>2.5316455696202531E-2</v>
      </c>
      <c r="I16" s="60">
        <v>4</v>
      </c>
      <c r="K16" s="7">
        <v>14</v>
      </c>
      <c r="L16" s="65">
        <v>89.399999999999991</v>
      </c>
      <c r="N16" s="78" t="s">
        <v>205</v>
      </c>
      <c r="O16" s="87">
        <f t="shared" si="2"/>
        <v>35.35</v>
      </c>
      <c r="P16" s="81">
        <v>4</v>
      </c>
      <c r="Q16" s="72">
        <v>141.4</v>
      </c>
    </row>
    <row r="17" spans="1:17" x14ac:dyDescent="0.45">
      <c r="A17" s="20" t="s">
        <v>123</v>
      </c>
      <c r="B17" s="13">
        <f>B23</f>
        <v>21</v>
      </c>
      <c r="C17" s="6">
        <f>IF(B$15=0,0,B17/B$15)</f>
        <v>0.6</v>
      </c>
      <c r="E17" s="29" t="s">
        <v>85</v>
      </c>
      <c r="F17" s="26" t="s">
        <v>40</v>
      </c>
      <c r="G17" s="14">
        <v>2</v>
      </c>
      <c r="H17" s="92">
        <f>IF(B$19=0,0,G17/B$19)</f>
        <v>2.5316455696202531E-2</v>
      </c>
      <c r="I17" s="60">
        <v>1</v>
      </c>
      <c r="K17" s="7">
        <v>15</v>
      </c>
      <c r="L17" s="65">
        <v>112.6</v>
      </c>
      <c r="N17" s="78" t="s">
        <v>164</v>
      </c>
      <c r="O17" s="87">
        <f t="shared" si="2"/>
        <v>27.375</v>
      </c>
      <c r="P17" s="81">
        <v>8</v>
      </c>
      <c r="Q17" s="72">
        <v>219</v>
      </c>
    </row>
    <row r="18" spans="1:17" x14ac:dyDescent="0.45">
      <c r="A18" s="20" t="s">
        <v>124</v>
      </c>
      <c r="B18" s="13">
        <f>B24</f>
        <v>38</v>
      </c>
      <c r="C18" s="6">
        <f>IF(B$16=0,0,B18/B$16)</f>
        <v>0.4175824175824176</v>
      </c>
      <c r="E18" s="29" t="s">
        <v>74</v>
      </c>
      <c r="F18" s="26" t="s">
        <v>29</v>
      </c>
      <c r="G18" s="14">
        <v>1</v>
      </c>
      <c r="H18" s="92">
        <f>IF(B$19=0,0,G18/B$19)</f>
        <v>1.2658227848101266E-2</v>
      </c>
      <c r="I18" s="60">
        <v>1</v>
      </c>
      <c r="K18" s="7">
        <v>16</v>
      </c>
      <c r="L18" s="65">
        <v>119.3</v>
      </c>
      <c r="N18" s="78" t="s">
        <v>196</v>
      </c>
      <c r="O18" s="87">
        <f t="shared" si="2"/>
        <v>21.5</v>
      </c>
      <c r="P18" s="81">
        <v>3</v>
      </c>
      <c r="Q18" s="72">
        <v>64.5</v>
      </c>
    </row>
    <row r="19" spans="1:17" x14ac:dyDescent="0.45">
      <c r="A19" s="20" t="s">
        <v>10</v>
      </c>
      <c r="B19" s="13">
        <f>B22+B21</f>
        <v>79</v>
      </c>
      <c r="C19" s="6">
        <f>IF(B$3=0,0,B19/B$3)</f>
        <v>0.3147410358565737</v>
      </c>
      <c r="E19" s="29" t="s">
        <v>75</v>
      </c>
      <c r="F19" s="26" t="s">
        <v>30</v>
      </c>
      <c r="G19" s="14">
        <v>1</v>
      </c>
      <c r="H19" s="92">
        <f>IF(B$19=0,0,G19/B$19)</f>
        <v>1.2658227848101266E-2</v>
      </c>
      <c r="I19" s="60">
        <v>1</v>
      </c>
      <c r="K19" s="7">
        <v>17</v>
      </c>
      <c r="L19" s="65">
        <v>71.699999999999989</v>
      </c>
      <c r="N19" s="78" t="s">
        <v>189</v>
      </c>
      <c r="O19" s="87">
        <f t="shared" si="2"/>
        <v>4.2000000000000011</v>
      </c>
      <c r="P19" s="81">
        <v>4</v>
      </c>
      <c r="Q19" s="72">
        <v>16.800000000000004</v>
      </c>
    </row>
    <row r="20" spans="1:17" x14ac:dyDescent="0.45">
      <c r="A20" s="21" t="s">
        <v>13</v>
      </c>
      <c r="B20" s="14">
        <v>35</v>
      </c>
      <c r="C20" s="8">
        <f>IF(B$3=0,0,B20/B$3)</f>
        <v>0.1394422310756972</v>
      </c>
      <c r="E20" s="29" t="s">
        <v>77</v>
      </c>
      <c r="F20" s="26" t="s">
        <v>32</v>
      </c>
      <c r="G20" s="14">
        <v>1</v>
      </c>
      <c r="H20" s="92">
        <f>IF(B$19=0,0,G20/B$19)</f>
        <v>1.2658227848101266E-2</v>
      </c>
      <c r="I20" s="60">
        <v>3</v>
      </c>
      <c r="K20" s="7">
        <v>18</v>
      </c>
      <c r="L20" s="65">
        <v>45.399999999999991</v>
      </c>
      <c r="N20" s="78" t="s">
        <v>192</v>
      </c>
      <c r="O20" s="87">
        <f t="shared" si="2"/>
        <v>-13.480000000000004</v>
      </c>
      <c r="P20" s="81">
        <v>20</v>
      </c>
      <c r="Q20" s="72">
        <v>-269.60000000000008</v>
      </c>
    </row>
    <row r="21" spans="1:17" x14ac:dyDescent="0.45">
      <c r="A21" s="21" t="s">
        <v>12</v>
      </c>
      <c r="B21" s="14">
        <v>35</v>
      </c>
      <c r="C21" s="8">
        <f>IF(B$19=0,0,B21/B$19)</f>
        <v>0.44303797468354428</v>
      </c>
      <c r="E21" s="29" t="s">
        <v>86</v>
      </c>
      <c r="F21" s="26" t="s">
        <v>41</v>
      </c>
      <c r="G21" s="14">
        <v>1</v>
      </c>
      <c r="H21" s="92">
        <f>IF(B$19=0,0,G21/B$19)</f>
        <v>1.2658227848101266E-2</v>
      </c>
      <c r="I21" s="60">
        <v>9</v>
      </c>
      <c r="K21" s="7">
        <v>19</v>
      </c>
      <c r="L21" s="65">
        <v>100.1</v>
      </c>
      <c r="N21" s="78" t="s">
        <v>126</v>
      </c>
      <c r="O21" s="87">
        <f t="shared" si="2"/>
        <v>-24.1875</v>
      </c>
      <c r="P21" s="81">
        <v>16</v>
      </c>
      <c r="Q21" s="72">
        <v>-387</v>
      </c>
    </row>
    <row r="22" spans="1:17" x14ac:dyDescent="0.45">
      <c r="A22" s="21" t="s">
        <v>11</v>
      </c>
      <c r="B22" s="14">
        <v>44</v>
      </c>
      <c r="C22" s="8">
        <f>IF(B$19=0,0,B22/B$19)</f>
        <v>0.55696202531645567</v>
      </c>
      <c r="E22" s="29" t="s">
        <v>88</v>
      </c>
      <c r="F22" s="26" t="s">
        <v>43</v>
      </c>
      <c r="G22" s="14">
        <v>1</v>
      </c>
      <c r="H22" s="92">
        <f>IF(B$19=0,0,G22/B$19)</f>
        <v>1.2658227848101266E-2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21</v>
      </c>
      <c r="C23" s="8">
        <f>IF(B$19=0,0,B23/B$19)</f>
        <v>0.26582278481012656</v>
      </c>
      <c r="E23" s="29" t="s">
        <v>102</v>
      </c>
      <c r="F23" s="26" t="s">
        <v>57</v>
      </c>
      <c r="G23" s="14">
        <v>1</v>
      </c>
      <c r="H23" s="92">
        <f>IF(B$19=0,0,G23/B$19)</f>
        <v>1.2658227848101266E-2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38</v>
      </c>
      <c r="C24" s="8">
        <f>IF(B$19=0,0,B24/B$19)</f>
        <v>0.48101265822784811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20</v>
      </c>
      <c r="C25" s="8">
        <f>IF(B$19=0,0,B25/B$19)</f>
        <v>0.25316455696202533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7745.5696202531644</v>
      </c>
      <c r="C26" s="10">
        <v>611900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8848.7804878048773</v>
      </c>
      <c r="C27" s="100">
        <v>362800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6555.2631578947367</v>
      </c>
      <c r="C28" s="100">
        <v>249100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-7008.5714285714284</v>
      </c>
      <c r="C29" s="100">
        <v>-245300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7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7</v>
      </c>
      <c r="C36" s="102">
        <f t="shared" ref="C36:C48" si="3">IF(B$19=0,0,B36/B$19)</f>
        <v>8.8607594936708861E-2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168</v>
      </c>
      <c r="B37" s="14">
        <v>20</v>
      </c>
      <c r="C37" s="8">
        <f t="shared" si="3"/>
        <v>0.25316455696202533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15</v>
      </c>
      <c r="C38" s="8">
        <f t="shared" si="3"/>
        <v>0.189873417721519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10</v>
      </c>
      <c r="C39" s="8">
        <f t="shared" si="3"/>
        <v>0.12658227848101267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15</v>
      </c>
      <c r="C40" s="8">
        <f t="shared" si="3"/>
        <v>0.189873417721519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4</v>
      </c>
      <c r="C41" s="8">
        <f t="shared" si="3"/>
        <v>5.0632911392405063E-2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5</v>
      </c>
      <c r="C42" s="8">
        <f t="shared" si="3"/>
        <v>6.3291139240506333E-2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3"/>
        <v>1.2658227848101266E-2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1.2658227848101266E-2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1.2658227848101266E-2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5">
      <c r="A3" s="21" t="s">
        <v>8</v>
      </c>
      <c r="B3" s="133">
        <v>73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5">
      <c r="A4" s="21" t="s">
        <v>6</v>
      </c>
      <c r="B4" s="135">
        <v>21.599999999999987</v>
      </c>
      <c r="C4" s="136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5">
      <c r="A5" s="21" t="s">
        <v>7</v>
      </c>
      <c r="B5" s="123">
        <f>IF(B$2=0,0,B$4/B$2)</f>
        <v>2.3999999999999986</v>
      </c>
      <c r="C5" s="124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2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1.8888888888888888</v>
      </c>
      <c r="C6" s="138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3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4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10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9.3444444444444432</v>
      </c>
      <c r="C13" s="124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5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40</v>
      </c>
      <c r="C2" s="132"/>
      <c r="E2" s="28" t="s">
        <v>66</v>
      </c>
      <c r="F2" s="25" t="s">
        <v>22</v>
      </c>
      <c r="G2" s="13">
        <v>83</v>
      </c>
      <c r="H2" s="91">
        <f>IF(B$19=0,0,G2/B$19)</f>
        <v>0.83838383838383834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1447.3684210526317</v>
      </c>
      <c r="P2" s="80">
        <v>38</v>
      </c>
      <c r="Q2" s="67">
        <v>55000</v>
      </c>
    </row>
    <row r="3" spans="1:17" x14ac:dyDescent="0.45">
      <c r="A3" s="21" t="s">
        <v>8</v>
      </c>
      <c r="B3" s="133">
        <v>308</v>
      </c>
      <c r="C3" s="134"/>
      <c r="E3" s="29" t="s">
        <v>72</v>
      </c>
      <c r="F3" s="26" t="s">
        <v>27</v>
      </c>
      <c r="G3" s="14">
        <v>55</v>
      </c>
      <c r="H3" s="92">
        <f>IF(B$19=0,0,G3/B$19)</f>
        <v>0.55555555555555558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-1975</v>
      </c>
      <c r="P3" s="81">
        <v>40</v>
      </c>
      <c r="Q3" s="68">
        <v>-79000</v>
      </c>
    </row>
    <row r="4" spans="1:17" x14ac:dyDescent="0.45">
      <c r="A4" s="21" t="s">
        <v>6</v>
      </c>
      <c r="B4" s="135">
        <v>-153.5</v>
      </c>
      <c r="C4" s="136"/>
      <c r="E4" s="29" t="s">
        <v>160</v>
      </c>
      <c r="F4" s="26" t="s">
        <v>161</v>
      </c>
      <c r="G4" s="14">
        <v>45</v>
      </c>
      <c r="H4" s="92">
        <f>IF(B$19=0,0,G4/B$19)</f>
        <v>0.45454545454545453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-947.36842105263156</v>
      </c>
      <c r="P4" s="81">
        <v>38</v>
      </c>
      <c r="Q4" s="68">
        <v>-36000</v>
      </c>
    </row>
    <row r="5" spans="1:17" x14ac:dyDescent="0.45">
      <c r="A5" s="21" t="s">
        <v>7</v>
      </c>
      <c r="B5" s="123">
        <f>IF(B$2=0,0,B$4/B$2)</f>
        <v>-3.8374999999999999</v>
      </c>
      <c r="C5" s="124"/>
      <c r="E5" s="29" t="s">
        <v>64</v>
      </c>
      <c r="F5" s="26" t="s">
        <v>20</v>
      </c>
      <c r="G5" s="14">
        <v>35</v>
      </c>
      <c r="H5" s="92">
        <f>IF(B$19=0,0,G5/B$19)</f>
        <v>0.35353535353535354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848.57142857142856</v>
      </c>
      <c r="P5" s="81">
        <v>35</v>
      </c>
      <c r="Q5" s="68">
        <v>29700</v>
      </c>
    </row>
    <row r="6" spans="1:17" x14ac:dyDescent="0.45">
      <c r="A6" s="21" t="s">
        <v>1</v>
      </c>
      <c r="B6" s="137">
        <f>IF(B$2=0,0,(B$7*1+B$8*2+B$9*3)/B$2)</f>
        <v>2.0750000000000002</v>
      </c>
      <c r="C6" s="138"/>
      <c r="E6" s="29" t="s">
        <v>68</v>
      </c>
      <c r="F6" s="26" t="s">
        <v>12</v>
      </c>
      <c r="G6" s="14">
        <v>27</v>
      </c>
      <c r="H6" s="92">
        <f>IF(B$19=0,0,G6/B$19)</f>
        <v>0.27272727272727271</v>
      </c>
      <c r="I6" s="60">
        <v>7</v>
      </c>
      <c r="K6" s="7">
        <v>4</v>
      </c>
      <c r="L6" s="65">
        <v>-41.199999999999996</v>
      </c>
      <c r="N6" s="78" t="s">
        <v>132</v>
      </c>
      <c r="O6" s="84">
        <f t="shared" si="0"/>
        <v>-1752.9411764705883</v>
      </c>
      <c r="P6" s="81">
        <v>34</v>
      </c>
      <c r="Q6" s="68">
        <v>-59600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</v>
      </c>
      <c r="E7" s="29" t="s">
        <v>67</v>
      </c>
      <c r="F7" s="26" t="s">
        <v>23</v>
      </c>
      <c r="G7" s="14">
        <v>20</v>
      </c>
      <c r="H7" s="92">
        <f>IF(B$19=0,0,G7/B$19)</f>
        <v>0.20202020202020202</v>
      </c>
      <c r="I7" s="60">
        <v>9</v>
      </c>
      <c r="K7" s="7">
        <v>5</v>
      </c>
      <c r="L7" s="65">
        <v>-72.899999999999991</v>
      </c>
      <c r="N7" s="79" t="s">
        <v>133</v>
      </c>
      <c r="O7" s="85">
        <f t="shared" si="0"/>
        <v>-2442.3076923076924</v>
      </c>
      <c r="P7" s="82">
        <v>26</v>
      </c>
      <c r="Q7" s="69">
        <v>-63500</v>
      </c>
    </row>
    <row r="8" spans="1:17" x14ac:dyDescent="0.45">
      <c r="A8" s="21" t="s">
        <v>3</v>
      </c>
      <c r="B8" s="14">
        <v>13</v>
      </c>
      <c r="C8" s="8">
        <f t="shared" si="1"/>
        <v>0.32500000000000001</v>
      </c>
      <c r="E8" s="29" t="s">
        <v>89</v>
      </c>
      <c r="F8" s="26" t="s">
        <v>44</v>
      </c>
      <c r="G8" s="14">
        <v>17</v>
      </c>
      <c r="H8" s="92">
        <f>IF(B$19=0,0,G8/B$19)</f>
        <v>0.17171717171717171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0.375</v>
      </c>
      <c r="E9" s="29" t="s">
        <v>69</v>
      </c>
      <c r="F9" s="26" t="s">
        <v>24</v>
      </c>
      <c r="G9" s="14">
        <v>16</v>
      </c>
      <c r="H9" s="92">
        <f>IF(B$19=0,0,G9/B$19)</f>
        <v>0.16161616161616163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0.12121212121212122</v>
      </c>
      <c r="I10" s="60">
        <v>2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-2.1230769230769231</v>
      </c>
      <c r="C11" s="114">
        <v>-27.599999999999998</v>
      </c>
      <c r="E11" s="29" t="s">
        <v>65</v>
      </c>
      <c r="F11" s="26" t="s">
        <v>21</v>
      </c>
      <c r="G11" s="14">
        <v>8</v>
      </c>
      <c r="H11" s="92">
        <f>IF(B$19=0,0,G11/B$19)</f>
        <v>8.0808080808080815E-2</v>
      </c>
      <c r="I11" s="60">
        <v>7</v>
      </c>
      <c r="K11" s="7">
        <v>9</v>
      </c>
      <c r="L11" s="65">
        <v>-120</v>
      </c>
      <c r="N11" s="78" t="s">
        <v>153</v>
      </c>
      <c r="O11" s="87">
        <f>IF(P11=0,0,Q11/P11)</f>
        <v>2.8818181818181814</v>
      </c>
      <c r="P11" s="81">
        <v>11</v>
      </c>
      <c r="Q11" s="72">
        <v>31.699999999999996</v>
      </c>
    </row>
    <row r="12" spans="1:17" x14ac:dyDescent="0.45">
      <c r="A12" s="22" t="s">
        <v>187</v>
      </c>
      <c r="B12" s="113">
        <f>IF(B9=0,0,C12/B9)</f>
        <v>-36.833333333333336</v>
      </c>
      <c r="C12" s="114">
        <v>-552.5</v>
      </c>
      <c r="E12" s="29" t="s">
        <v>71</v>
      </c>
      <c r="F12" s="26" t="s">
        <v>26</v>
      </c>
      <c r="G12" s="14">
        <v>6</v>
      </c>
      <c r="H12" s="92">
        <f>IF(B$19=0,0,G12/B$19)</f>
        <v>6.0606060606060608E-2</v>
      </c>
      <c r="I12" s="60">
        <v>5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5">
      <c r="A13" s="22" t="s">
        <v>188</v>
      </c>
      <c r="B13" s="123">
        <f>AVERAGE(B10:B12)</f>
        <v>-1.135470085470087</v>
      </c>
      <c r="C13" s="124"/>
      <c r="E13" s="29" t="s">
        <v>78</v>
      </c>
      <c r="F13" s="26" t="s">
        <v>33</v>
      </c>
      <c r="G13" s="14">
        <v>5</v>
      </c>
      <c r="H13" s="92">
        <f>IF(B$19=0,0,G13/B$19)</f>
        <v>5.0505050505050504E-2</v>
      </c>
      <c r="I13" s="60">
        <v>2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</v>
      </c>
      <c r="E14" s="29" t="s">
        <v>83</v>
      </c>
      <c r="F14" s="26" t="s">
        <v>38</v>
      </c>
      <c r="G14" s="14">
        <v>5</v>
      </c>
      <c r="H14" s="92">
        <f>IF(B$19=0,0,G14/B$19)</f>
        <v>5.0505050505050504E-2</v>
      </c>
      <c r="I14" s="60">
        <v>4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53</v>
      </c>
      <c r="C15" s="12">
        <f>IF(B$3=0,0,B15/B$3)</f>
        <v>0.17207792207792208</v>
      </c>
      <c r="E15" s="29" t="s">
        <v>86</v>
      </c>
      <c r="F15" s="26" t="s">
        <v>41</v>
      </c>
      <c r="G15" s="14">
        <v>5</v>
      </c>
      <c r="H15" s="92">
        <f>IF(B$19=0,0,G15/B$19)</f>
        <v>5.0505050505050504E-2</v>
      </c>
      <c r="I15" s="60">
        <v>6</v>
      </c>
      <c r="K15" s="7">
        <v>13</v>
      </c>
      <c r="L15" s="65">
        <v>-63.4</v>
      </c>
      <c r="N15" s="77" t="s">
        <v>192</v>
      </c>
      <c r="O15" s="86">
        <f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84</v>
      </c>
      <c r="C16" s="8">
        <f>IF(B$3=0,0,B16/B$3)</f>
        <v>0.27272727272727271</v>
      </c>
      <c r="E16" s="29" t="s">
        <v>81</v>
      </c>
      <c r="F16" s="26" t="s">
        <v>36</v>
      </c>
      <c r="G16" s="14">
        <v>2</v>
      </c>
      <c r="H16" s="92">
        <f>IF(B$19=0,0,G16/B$19)</f>
        <v>2.0202020202020204E-2</v>
      </c>
      <c r="I16" s="60">
        <v>7</v>
      </c>
      <c r="K16" s="7">
        <v>14</v>
      </c>
      <c r="L16" s="65">
        <v>-42.4</v>
      </c>
      <c r="N16" s="78" t="s">
        <v>194</v>
      </c>
      <c r="O16" s="87">
        <f>IF(P16=0,0,Q16/P16)</f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34</v>
      </c>
      <c r="C17" s="6">
        <f>IF(B$15=0,0,B17/B$15)</f>
        <v>0.64150943396226412</v>
      </c>
      <c r="E17" s="29" t="s">
        <v>75</v>
      </c>
      <c r="F17" s="26" t="s">
        <v>30</v>
      </c>
      <c r="G17" s="14">
        <v>1</v>
      </c>
      <c r="H17" s="92">
        <f>IF(B$19=0,0,G17/B$19)</f>
        <v>1.0101010101010102E-2</v>
      </c>
      <c r="I17" s="60">
        <v>2</v>
      </c>
      <c r="K17" s="7">
        <v>15</v>
      </c>
      <c r="L17" s="65">
        <v>-65.7</v>
      </c>
      <c r="N17" s="78" t="s">
        <v>164</v>
      </c>
      <c r="O17" s="87">
        <f>IF(P17=0,0,Q17/P17)</f>
        <v>-5.4470588235294146</v>
      </c>
      <c r="P17" s="81">
        <v>17</v>
      </c>
      <c r="Q17" s="72">
        <v>-92.600000000000051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0.33333333333333331</v>
      </c>
      <c r="E18" s="29" t="s">
        <v>92</v>
      </c>
      <c r="F18" s="26" t="s">
        <v>47</v>
      </c>
      <c r="G18" s="14">
        <v>1</v>
      </c>
      <c r="H18" s="92">
        <f>IF(B$19=0,0,G18/B$19)</f>
        <v>1.0101010101010102E-2</v>
      </c>
      <c r="I18" s="60">
        <v>6</v>
      </c>
      <c r="K18" s="7">
        <v>16</v>
      </c>
      <c r="L18" s="65">
        <v>-104.80000000000001</v>
      </c>
      <c r="N18" s="78" t="s">
        <v>126</v>
      </c>
      <c r="O18" s="87">
        <f>IF(P18=0,0,Q18/P18)</f>
        <v>-5.5411764705882378</v>
      </c>
      <c r="P18" s="81">
        <v>34</v>
      </c>
      <c r="Q18" s="72">
        <v>-188.40000000000009</v>
      </c>
    </row>
    <row r="19" spans="1:17" x14ac:dyDescent="0.45">
      <c r="A19" s="20" t="s">
        <v>10</v>
      </c>
      <c r="B19" s="13">
        <f>B22+B21</f>
        <v>99</v>
      </c>
      <c r="C19" s="6">
        <f>IF(B$3=0,0,B19/B$3)</f>
        <v>0.32142857142857145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-52.900000000000013</v>
      </c>
      <c r="N19" s="78" t="s">
        <v>193</v>
      </c>
      <c r="O19" s="87">
        <f>IF(P19=0,0,Q19/P19)</f>
        <v>-35.35</v>
      </c>
      <c r="P19" s="81">
        <v>4</v>
      </c>
      <c r="Q19" s="72">
        <v>-141.4</v>
      </c>
    </row>
    <row r="20" spans="1:17" x14ac:dyDescent="0.45">
      <c r="A20" s="21" t="s">
        <v>13</v>
      </c>
      <c r="B20" s="14">
        <v>52</v>
      </c>
      <c r="C20" s="8">
        <f>IF(B$3=0,0,B20/B$3)</f>
        <v>0.16883116883116883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-45.800000000000011</v>
      </c>
      <c r="N20" s="78" t="s">
        <v>189</v>
      </c>
      <c r="O20" s="87">
        <f>IF(P20=0,0,Q20/P20)</f>
        <v>-57.7</v>
      </c>
      <c r="P20" s="81">
        <v>1</v>
      </c>
      <c r="Q20" s="72">
        <v>-57.7</v>
      </c>
    </row>
    <row r="21" spans="1:17" x14ac:dyDescent="0.45">
      <c r="A21" s="21" t="s">
        <v>12</v>
      </c>
      <c r="B21" s="14">
        <v>46</v>
      </c>
      <c r="C21" s="8">
        <f>IF(B$19=0,0,B21/B$19)</f>
        <v>0.46464646464646464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53</v>
      </c>
      <c r="C22" s="8">
        <f>IF(B$19=0,0,B22/B$19)</f>
        <v>0.53535353535353536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34</v>
      </c>
      <c r="C23" s="8">
        <f>IF(B$19=0,0,B23/B$19)</f>
        <v>0.34343434343434343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28</v>
      </c>
      <c r="C24" s="8">
        <f>IF(B$19=0,0,B24/B$19)</f>
        <v>0.28282828282828282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37</v>
      </c>
      <c r="C25" s="8">
        <f>IF(B$19=0,0,B25/B$19)</f>
        <v>0.37373737373737376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7921.212121212121</v>
      </c>
      <c r="C26" s="10">
        <v>784200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8090.140845070423</v>
      </c>
      <c r="C27" s="100">
        <v>574400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-9161.538461538461</v>
      </c>
      <c r="C29" s="100">
        <v>-476400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16</v>
      </c>
      <c r="C31" s="94">
        <v>15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8</v>
      </c>
      <c r="C36" s="102">
        <f t="shared" ref="C36:C48" si="2">IF(B$19=0,0,B36/B$19)</f>
        <v>8.0808080808080815E-2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24</v>
      </c>
      <c r="C37" s="8">
        <f t="shared" si="2"/>
        <v>0.24242424242424243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15</v>
      </c>
      <c r="C38" s="8">
        <f t="shared" si="2"/>
        <v>0.15151515151515152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19</v>
      </c>
      <c r="C39" s="8">
        <f t="shared" si="2"/>
        <v>0.19191919191919191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13</v>
      </c>
      <c r="C40" s="8">
        <f t="shared" si="2"/>
        <v>0.13131313131313133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9</v>
      </c>
      <c r="C41" s="8">
        <f t="shared" si="2"/>
        <v>9.0909090909090912E-2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5">
      <c r="A42" s="21" t="s">
        <v>174</v>
      </c>
      <c r="B42" s="122">
        <v>4</v>
      </c>
      <c r="C42" s="8">
        <f t="shared" si="2"/>
        <v>4.0404040404040407E-2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5">
      <c r="A43" s="21" t="s">
        <v>175</v>
      </c>
      <c r="B43" s="122">
        <v>2</v>
      </c>
      <c r="C43" s="8">
        <f t="shared" si="2"/>
        <v>2.0202020202020204E-2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1.0101010101010102E-2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1.0101010101010102E-2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2"/>
        <v>2.0202020202020204E-2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1.0101010101010102E-2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6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1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5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5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5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3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3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8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5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5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6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5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5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1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5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5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2020-07-17T16:29:46Z</dcterms:modified>
</cp:coreProperties>
</file>