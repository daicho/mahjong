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9BE6D2BD-1A74-4400-B9B6-E3844EA15EA7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1" i="6180"/>
  <c r="O16" i="6176"/>
  <c r="O18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8" i="6190"/>
  <c r="O16" i="6178"/>
  <c r="O18" i="6186"/>
  <c r="O19" i="6190" l="1"/>
  <c r="O15" i="6178"/>
  <c r="O15" i="6190"/>
  <c r="O19" i="6176"/>
  <c r="O15" i="6184" l="1"/>
  <c r="O17" i="6178"/>
  <c r="O22" i="6180"/>
  <c r="O18" i="6184"/>
  <c r="O19" i="6174"/>
  <c r="O17" i="6190"/>
  <c r="O16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2" i="6190"/>
  <c r="H16" i="6190"/>
  <c r="C24" i="6190"/>
  <c r="H17" i="6190"/>
  <c r="H21" i="6190"/>
  <c r="H42" i="6190"/>
  <c r="H33" i="6190"/>
  <c r="H3" i="6190"/>
  <c r="H27" i="6190"/>
  <c r="C42" i="6190"/>
  <c r="H10" i="6190"/>
  <c r="C19" i="6190"/>
  <c r="C25" i="6190"/>
  <c r="H36" i="6190"/>
  <c r="H15" i="6190"/>
  <c r="C36" i="6190"/>
  <c r="H48" i="6190"/>
  <c r="C46" i="6190"/>
  <c r="H14" i="6190"/>
  <c r="H28" i="6190"/>
  <c r="H47" i="6190"/>
  <c r="H19" i="6190"/>
  <c r="H25" i="6190"/>
  <c r="C48" i="6190"/>
  <c r="H2" i="6190"/>
  <c r="H43" i="6190"/>
  <c r="H30" i="6190"/>
  <c r="H37" i="6190"/>
  <c r="H13" i="6190"/>
  <c r="H38" i="6190"/>
  <c r="H6" i="6190"/>
  <c r="H20" i="6190"/>
  <c r="H23" i="6190"/>
  <c r="C21" i="6190"/>
  <c r="H31" i="6190"/>
  <c r="H41" i="6190"/>
  <c r="H49" i="6190"/>
  <c r="C38" i="6190"/>
  <c r="H44" i="6190"/>
  <c r="H8" i="6190"/>
  <c r="H11" i="6190"/>
  <c r="B26" i="6190"/>
  <c r="H34" i="6190"/>
  <c r="H39" i="6190"/>
  <c r="C44" i="6190"/>
  <c r="H51" i="6190"/>
  <c r="H18" i="6190"/>
  <c r="H4" i="6190"/>
  <c r="H9" i="6190"/>
  <c r="H22" i="6190"/>
  <c r="H24" i="6190"/>
  <c r="C22" i="6190"/>
  <c r="B27" i="6190"/>
  <c r="H40" i="6190"/>
  <c r="H45" i="6190"/>
  <c r="H5" i="6190"/>
  <c r="C23" i="6190"/>
  <c r="H7" i="6190"/>
  <c r="H35" i="6190"/>
  <c r="C40" i="6190"/>
  <c r="H46" i="6190"/>
  <c r="H52" i="6190"/>
  <c r="C39" i="6190"/>
  <c r="C43" i="6190"/>
  <c r="C47" i="6190"/>
  <c r="H26" i="6190"/>
  <c r="H29" i="6190"/>
  <c r="H32" i="6190"/>
  <c r="C37" i="6190"/>
  <c r="C41" i="6190"/>
  <c r="C45" i="6190"/>
  <c r="O19" i="6180" l="1"/>
  <c r="O20" i="6186"/>
  <c r="O22" i="6176"/>
  <c r="O16" i="6186"/>
  <c r="O16" i="6180" l="1"/>
  <c r="O19" i="6182"/>
  <c r="O21" i="6176"/>
  <c r="O17" i="6176"/>
  <c r="O15" i="6182"/>
  <c r="O19" i="6184"/>
  <c r="O16" i="6188" l="1"/>
  <c r="O19" i="6188"/>
  <c r="O21" i="6184"/>
  <c r="O20" i="6184"/>
  <c r="O15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7" i="6180"/>
  <c r="O20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7" i="6174"/>
  <c r="O20" i="6176"/>
  <c r="O15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9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10" i="6182"/>
  <c r="H23" i="6182"/>
  <c r="B26" i="6182"/>
  <c r="H36" i="6182"/>
  <c r="H45" i="6182"/>
  <c r="H15" i="6182"/>
  <c r="H8" i="6182"/>
  <c r="H39" i="6182"/>
  <c r="C46" i="6182"/>
  <c r="H19" i="6182"/>
  <c r="H16" i="6182"/>
  <c r="H11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2" i="6182"/>
  <c r="H17" i="6182"/>
  <c r="C38" i="6182"/>
  <c r="C43" i="6182"/>
  <c r="C48" i="6182"/>
  <c r="H27" i="6176"/>
  <c r="H33" i="6176"/>
  <c r="H43" i="6176"/>
  <c r="H23" i="6176"/>
  <c r="H11" i="6176"/>
  <c r="C47" i="6176"/>
  <c r="H48" i="6176"/>
  <c r="H21" i="6176"/>
  <c r="H37" i="6176"/>
  <c r="H7" i="6176"/>
  <c r="C22" i="6176"/>
  <c r="C36" i="6176"/>
  <c r="H26" i="6176"/>
  <c r="H18" i="6176"/>
  <c r="H9" i="6176"/>
  <c r="H16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7" i="6184"/>
  <c r="H14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1" i="6184"/>
  <c r="H23" i="6184"/>
  <c r="C22" i="6184"/>
  <c r="H46" i="6184"/>
  <c r="H10" i="6184"/>
  <c r="H6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3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3" i="6180"/>
  <c r="H17" i="6180"/>
  <c r="C22" i="6180"/>
  <c r="H42" i="6180"/>
  <c r="H2" i="6180"/>
  <c r="H27" i="6180"/>
  <c r="H5" i="6180"/>
  <c r="C25" i="6180"/>
  <c r="C42" i="6180"/>
  <c r="H46" i="6180"/>
  <c r="H18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4" i="6180"/>
  <c r="H15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9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2" i="6176"/>
  <c r="H19" i="6176"/>
  <c r="H40" i="6176"/>
  <c r="H45" i="6176"/>
  <c r="H50" i="6176"/>
  <c r="H24" i="6176"/>
  <c r="H17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5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6" i="6174"/>
  <c r="H15" i="6174"/>
  <c r="H37" i="6174"/>
  <c r="C44" i="6174"/>
  <c r="H29" i="6174"/>
  <c r="H42" i="6174"/>
  <c r="H46" i="6174"/>
  <c r="H5" i="6174"/>
  <c r="H39" i="6174"/>
  <c r="H24" i="6174"/>
  <c r="H18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7" i="6174"/>
  <c r="H35" i="6174"/>
  <c r="H14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<sst xmlns="http://schemas.openxmlformats.org/spreadsheetml/2006/main" count="2671" uniqueCount="225">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</sst>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全体!$L$2:$L$236</c:f>
              <c:numCache>
                <c:formatCode>\+0.0;\-0.0;\±0</c:formatCode>
                <c:ptCount val="235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-8.6580086580086579</c:v>
                </c:pt>
                <c:pt idx="1">
                  <c:v>-8.8888888888888893</c:v>
                </c:pt>
                <c:pt idx="2">
                  <c:v>0</c:v>
                </c:pt>
                <c:pt idx="3">
                  <c:v>16.129032258064516</c:v>
                </c:pt>
                <c:pt idx="4">
                  <c:v>-55.555555555555557</c:v>
                </c:pt>
                <c:pt idx="5">
                  <c:v>73.170731707317074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43</c:v>
                </c:pt>
                <c:pt idx="1">
                  <c:v>95</c:v>
                </c:pt>
                <c:pt idx="2">
                  <c:v>88</c:v>
                </c:pt>
                <c:pt idx="3">
                  <c:v>97</c:v>
                </c:pt>
                <c:pt idx="4">
                  <c:v>79</c:v>
                </c:pt>
                <c:pt idx="5">
                  <c:v>49</c:v>
                </c:pt>
                <c:pt idx="6">
                  <c:v>33</c:v>
                </c:pt>
                <c:pt idx="7">
                  <c:v>13</c:v>
                </c:pt>
                <c:pt idx="8">
                  <c:v>10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-2561.9047619047619</c:v>
                </c:pt>
                <c:pt idx="1">
                  <c:v>-1636.5853658536585</c:v>
                </c:pt>
                <c:pt idx="2">
                  <c:v>234.21052631578948</c:v>
                </c:pt>
                <c:pt idx="3">
                  <c:v>-2017.6470588235295</c:v>
                </c:pt>
                <c:pt idx="4">
                  <c:v>134.375</c:v>
                </c:pt>
                <c:pt idx="5">
                  <c:v>2995.8333333333335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7</c:v>
                </c:pt>
                <c:pt idx="3">
                  <c:v>24</c:v>
                </c:pt>
                <c:pt idx="4">
                  <c:v>18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だいち!$L$2:$L$57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316.36363636363637</c:v>
                </c:pt>
                <c:pt idx="1">
                  <c:v>4616.9811320754716</c:v>
                </c:pt>
                <c:pt idx="2">
                  <c:v>3870</c:v>
                </c:pt>
                <c:pt idx="3">
                  <c:v>2467.4418604651164</c:v>
                </c:pt>
                <c:pt idx="4">
                  <c:v>-1274.3589743589744</c:v>
                </c:pt>
                <c:pt idx="5">
                  <c:v>1454.8387096774193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20</c:v>
                </c:pt>
                <c:pt idx="3">
                  <c:v>29</c:v>
                </c:pt>
                <c:pt idx="4">
                  <c:v>27</c:v>
                </c:pt>
                <c:pt idx="5">
                  <c:v>11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-3880</c:v>
                </c:pt>
                <c:pt idx="1">
                  <c:v>1716.6666666666667</c:v>
                </c:pt>
                <c:pt idx="2">
                  <c:v>-4145.454545454545</c:v>
                </c:pt>
                <c:pt idx="3">
                  <c:v>-216.66666666666666</c:v>
                </c:pt>
                <c:pt idx="4">
                  <c:v>2150</c:v>
                </c:pt>
                <c:pt idx="5">
                  <c:v>-4370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11</c:v>
                </c:pt>
                <c:pt idx="3">
                  <c:v>6</c:v>
                </c:pt>
                <c:pt idx="4">
                  <c:v>4</c:v>
                </c:pt>
                <c:pt idx="5">
                  <c:v>9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914.63414634146341</c:v>
                </c:pt>
                <c:pt idx="1">
                  <c:v>-1029.2682926829268</c:v>
                </c:pt>
                <c:pt idx="2">
                  <c:v>-1580.4878048780488</c:v>
                </c:pt>
                <c:pt idx="3">
                  <c:v>1247.3684210526317</c:v>
                </c:pt>
                <c:pt idx="4">
                  <c:v>-1662.5</c:v>
                </c:pt>
                <c:pt idx="5">
                  <c:v>304.54545454545456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16</c:v>
                </c:pt>
                <c:pt idx="2">
                  <c:v>25</c:v>
                </c:pt>
                <c:pt idx="3">
                  <c:v>14</c:v>
                </c:pt>
                <c:pt idx="4">
                  <c:v>7</c:v>
                </c:pt>
                <c:pt idx="5">
                  <c:v>4</c:v>
                </c:pt>
                <c:pt idx="6">
                  <c:v>7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3011.7647058823532</c:v>
                </c:pt>
                <c:pt idx="1">
                  <c:v>-7362.5</c:v>
                </c:pt>
                <c:pt idx="2">
                  <c:v>-113.33333333333333</c:v>
                </c:pt>
                <c:pt idx="3">
                  <c:v>-2316.6666666666665</c:v>
                </c:pt>
                <c:pt idx="4">
                  <c:v>381.81818181818181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りくと2!$C$3:$C$28</c:f>
              <c:numCache>
                <c:formatCode>\+0.0;\-0.0;\±0</c:formatCode>
                <c:ptCount val="26"/>
                <c:pt idx="1">
                  <c:v>-55.5</c:v>
                </c:pt>
                <c:pt idx="2">
                  <c:v>-53.25</c:v>
                </c:pt>
                <c:pt idx="3">
                  <c:v>-36</c:v>
                </c:pt>
                <c:pt idx="4">
                  <c:v>-28.875</c:v>
                </c:pt>
                <c:pt idx="5">
                  <c:v>-23.2</c:v>
                </c:pt>
                <c:pt idx="6">
                  <c:v>-24.333333333333332</c:v>
                </c:pt>
                <c:pt idx="7">
                  <c:v>-24.071428571428573</c:v>
                </c:pt>
                <c:pt idx="8">
                  <c:v>-19.649999999999999</c:v>
                </c:pt>
                <c:pt idx="9">
                  <c:v>-19.155555555555551</c:v>
                </c:pt>
                <c:pt idx="10">
                  <c:v>-21.759999999999998</c:v>
                </c:pt>
                <c:pt idx="11">
                  <c:v>-24.081818181818178</c:v>
                </c:pt>
                <c:pt idx="12">
                  <c:v>-21.716666666666665</c:v>
                </c:pt>
                <c:pt idx="13">
                  <c:v>-21.584615384615383</c:v>
                </c:pt>
                <c:pt idx="14">
                  <c:v>-23.62142857142857</c:v>
                </c:pt>
                <c:pt idx="15">
                  <c:v>-18.939999999999998</c:v>
                </c:pt>
                <c:pt idx="16">
                  <c:v>-14.662499999999998</c:v>
                </c:pt>
                <c:pt idx="17">
                  <c:v>-13.717647058823527</c:v>
                </c:pt>
                <c:pt idx="18">
                  <c:v>-8.56111111111111</c:v>
                </c:pt>
                <c:pt idx="19">
                  <c:v>-8.8052631578947338</c:v>
                </c:pt>
                <c:pt idx="20">
                  <c:v>-10.129999999999999</c:v>
                </c:pt>
                <c:pt idx="21">
                  <c:v>-10.719047619047618</c:v>
                </c:pt>
                <c:pt idx="22">
                  <c:v>-13.195454545454544</c:v>
                </c:pt>
                <c:pt idx="23">
                  <c:v>-10.104347826086954</c:v>
                </c:pt>
                <c:pt idx="24">
                  <c:v>-8.6291666666666647</c:v>
                </c:pt>
                <c:pt idx="25">
                  <c:v>-9.091999999999997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10952225333461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りくと2!$D$3:$D$28</c:f>
              <c:numCache>
                <c:formatCode>0.00\ "位"</c:formatCode>
                <c:ptCount val="26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2.6363636363636362</c:v>
                </c:pt>
                <c:pt idx="12">
                  <c:v>2.5833333333333335</c:v>
                </c:pt>
                <c:pt idx="13">
                  <c:v>2.5384615384615383</c:v>
                </c:pt>
                <c:pt idx="14">
                  <c:v>2.5714285714285716</c:v>
                </c:pt>
                <c:pt idx="15">
                  <c:v>2.4666666666666668</c:v>
                </c:pt>
                <c:pt idx="16">
                  <c:v>2.375</c:v>
                </c:pt>
                <c:pt idx="17">
                  <c:v>2.3529411764705883</c:v>
                </c:pt>
                <c:pt idx="18">
                  <c:v>2.2777777777777777</c:v>
                </c:pt>
                <c:pt idx="19">
                  <c:v>2.3157894736842106</c:v>
                </c:pt>
                <c:pt idx="20">
                  <c:v>2.35</c:v>
                </c:pt>
                <c:pt idx="21">
                  <c:v>2.3333333333333335</c:v>
                </c:pt>
                <c:pt idx="22">
                  <c:v>2.3636363636363638</c:v>
                </c:pt>
                <c:pt idx="23">
                  <c:v>2.3043478260869565</c:v>
                </c:pt>
                <c:pt idx="24">
                  <c:v>2.25</c:v>
                </c:pt>
                <c:pt idx="25">
                  <c:v>2.2799999999999998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6.6666666666666666E-2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りくと2!$F$3:$F$28</c:f>
              <c:numCache>
                <c:formatCode>0.0%</c:formatCode>
                <c:ptCount val="2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0.63636363636363635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0.47058823529411764</c:v>
                </c:pt>
                <c:pt idx="18">
                  <c:v>0.44444444444444442</c:v>
                </c:pt>
                <c:pt idx="19">
                  <c:v>0.47368421052631576</c:v>
                </c:pt>
                <c:pt idx="20">
                  <c:v>0.5</c:v>
                </c:pt>
                <c:pt idx="21">
                  <c:v>0.47619047619047616</c:v>
                </c:pt>
                <c:pt idx="22">
                  <c:v>0.5</c:v>
                </c:pt>
                <c:pt idx="23">
                  <c:v>0.47826086956521741</c:v>
                </c:pt>
                <c:pt idx="24">
                  <c:v>0.45833333333333331</c:v>
                </c:pt>
                <c:pt idx="25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りくと2!$G$3:$G$28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0.16666666666666666</c:v>
                </c:pt>
                <c:pt idx="4">
                  <c:v>0.13043478260869565</c:v>
                </c:pt>
                <c:pt idx="5">
                  <c:v>0.2</c:v>
                </c:pt>
                <c:pt idx="6">
                  <c:v>0.16216216216216217</c:v>
                </c:pt>
                <c:pt idx="7">
                  <c:v>0.17391304347826086</c:v>
                </c:pt>
                <c:pt idx="8">
                  <c:v>0.21153846153846154</c:v>
                </c:pt>
                <c:pt idx="9">
                  <c:v>0.22413793103448276</c:v>
                </c:pt>
                <c:pt idx="10">
                  <c:v>0.20967741935483872</c:v>
                </c:pt>
                <c:pt idx="11">
                  <c:v>0.19696969696969696</c:v>
                </c:pt>
                <c:pt idx="12">
                  <c:v>0.2</c:v>
                </c:pt>
                <c:pt idx="13">
                  <c:v>0.189873417721519</c:v>
                </c:pt>
                <c:pt idx="14">
                  <c:v>0.17241379310344829</c:v>
                </c:pt>
                <c:pt idx="15">
                  <c:v>0.20618556701030927</c:v>
                </c:pt>
                <c:pt idx="16">
                  <c:v>0.21568627450980393</c:v>
                </c:pt>
                <c:pt idx="17">
                  <c:v>0.23008849557522124</c:v>
                </c:pt>
                <c:pt idx="18">
                  <c:v>0.25409836065573771</c:v>
                </c:pt>
                <c:pt idx="19">
                  <c:v>0.26153846153846155</c:v>
                </c:pt>
                <c:pt idx="20">
                  <c:v>0.25714285714285712</c:v>
                </c:pt>
                <c:pt idx="21">
                  <c:v>0.25675675675675674</c:v>
                </c:pt>
                <c:pt idx="22">
                  <c:v>0.25316455696202533</c:v>
                </c:pt>
                <c:pt idx="23">
                  <c:v>0.26785714285714285</c:v>
                </c:pt>
                <c:pt idx="24">
                  <c:v>0.2768361581920904</c:v>
                </c:pt>
                <c:pt idx="25">
                  <c:v>0.27513227513227512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11294765840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りくと2!$H$3:$H$28</c:f>
              <c:numCache>
                <c:formatCode>0.0%</c:formatCode>
                <c:ptCount val="26"/>
                <c:pt idx="1">
                  <c:v>0.25</c:v>
                </c:pt>
                <c:pt idx="2">
                  <c:v>0.33333333333333331</c:v>
                </c:pt>
                <c:pt idx="3">
                  <c:v>0.22222222222222221</c:v>
                </c:pt>
                <c:pt idx="4">
                  <c:v>0.17391304347826086</c:v>
                </c:pt>
                <c:pt idx="5">
                  <c:v>0.2</c:v>
                </c:pt>
                <c:pt idx="6">
                  <c:v>0.1891891891891892</c:v>
                </c:pt>
                <c:pt idx="7">
                  <c:v>0.17391304347826086</c:v>
                </c:pt>
                <c:pt idx="8">
                  <c:v>0.15384615384615385</c:v>
                </c:pt>
                <c:pt idx="9">
                  <c:v>0.13793103448275862</c:v>
                </c:pt>
                <c:pt idx="10">
                  <c:v>0.12903225806451613</c:v>
                </c:pt>
                <c:pt idx="11">
                  <c:v>0.16666666666666666</c:v>
                </c:pt>
                <c:pt idx="12">
                  <c:v>0.14666666666666667</c:v>
                </c:pt>
                <c:pt idx="13">
                  <c:v>0.13924050632911392</c:v>
                </c:pt>
                <c:pt idx="14">
                  <c:v>0.14942528735632185</c:v>
                </c:pt>
                <c:pt idx="15">
                  <c:v>0.15463917525773196</c:v>
                </c:pt>
                <c:pt idx="16">
                  <c:v>0.14705882352941177</c:v>
                </c:pt>
                <c:pt idx="17">
                  <c:v>0.13274336283185842</c:v>
                </c:pt>
                <c:pt idx="18">
                  <c:v>0.12295081967213115</c:v>
                </c:pt>
                <c:pt idx="19">
                  <c:v>0.13846153846153847</c:v>
                </c:pt>
                <c:pt idx="20">
                  <c:v>0.15714285714285714</c:v>
                </c:pt>
                <c:pt idx="21">
                  <c:v>0.16216216216216217</c:v>
                </c:pt>
                <c:pt idx="22">
                  <c:v>0.16455696202531644</c:v>
                </c:pt>
                <c:pt idx="23">
                  <c:v>0.16071428571428573</c:v>
                </c:pt>
                <c:pt idx="24">
                  <c:v>0.15819209039548024</c:v>
                </c:pt>
                <c:pt idx="25">
                  <c:v>0.16402116402116401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7961432506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りくと2!$I$3:$I$28</c:f>
              <c:numCache>
                <c:formatCode>0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2900</c:v>
                </c:pt>
                <c:pt idx="4">
                  <c:v>2900</c:v>
                </c:pt>
                <c:pt idx="5">
                  <c:v>4516.666666666667</c:v>
                </c:pt>
                <c:pt idx="6">
                  <c:v>4516.666666666667</c:v>
                </c:pt>
                <c:pt idx="7">
                  <c:v>5137.5</c:v>
                </c:pt>
                <c:pt idx="8">
                  <c:v>5672.727272727273</c:v>
                </c:pt>
                <c:pt idx="9">
                  <c:v>5169.2307692307695</c:v>
                </c:pt>
                <c:pt idx="10">
                  <c:v>5169.2307692307695</c:v>
                </c:pt>
                <c:pt idx="11">
                  <c:v>5169.2307692307695</c:v>
                </c:pt>
                <c:pt idx="12">
                  <c:v>6253.333333333333</c:v>
                </c:pt>
                <c:pt idx="13">
                  <c:v>6253.333333333333</c:v>
                </c:pt>
                <c:pt idx="14">
                  <c:v>6253.333333333333</c:v>
                </c:pt>
                <c:pt idx="15">
                  <c:v>7195</c:v>
                </c:pt>
                <c:pt idx="16">
                  <c:v>8777.2727272727279</c:v>
                </c:pt>
                <c:pt idx="17">
                  <c:v>8492.3076923076915</c:v>
                </c:pt>
                <c:pt idx="18">
                  <c:v>8835.4838709677424</c:v>
                </c:pt>
                <c:pt idx="19">
                  <c:v>8441.176470588236</c:v>
                </c:pt>
                <c:pt idx="20">
                  <c:v>8522.2222222222226</c:v>
                </c:pt>
                <c:pt idx="21">
                  <c:v>8255.2631578947367</c:v>
                </c:pt>
                <c:pt idx="22">
                  <c:v>8085</c:v>
                </c:pt>
                <c:pt idx="23">
                  <c:v>8466.6666666666661</c:v>
                </c:pt>
                <c:pt idx="24">
                  <c:v>8167.3469387755104</c:v>
                </c:pt>
                <c:pt idx="25">
                  <c:v>8023.0769230769229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84.58646616541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りくと2!$J$3:$J$28</c:f>
              <c:numCache>
                <c:formatCode>0</c:formatCode>
                <c:ptCount val="26"/>
                <c:pt idx="1">
                  <c:v>-16000</c:v>
                </c:pt>
                <c:pt idx="2">
                  <c:v>-7725</c:v>
                </c:pt>
                <c:pt idx="3">
                  <c:v>-7725</c:v>
                </c:pt>
                <c:pt idx="4">
                  <c:v>-7725</c:v>
                </c:pt>
                <c:pt idx="5">
                  <c:v>-7583.333333333333</c:v>
                </c:pt>
                <c:pt idx="6">
                  <c:v>-8214.2857142857138</c:v>
                </c:pt>
                <c:pt idx="7">
                  <c:v>-9187.5</c:v>
                </c:pt>
                <c:pt idx="8">
                  <c:v>-9187.5</c:v>
                </c:pt>
                <c:pt idx="9">
                  <c:v>-9187.5</c:v>
                </c:pt>
                <c:pt idx="10">
                  <c:v>-9187.5</c:v>
                </c:pt>
                <c:pt idx="11">
                  <c:v>-9490.9090909090901</c:v>
                </c:pt>
                <c:pt idx="12">
                  <c:v>-9490.9090909090901</c:v>
                </c:pt>
                <c:pt idx="13">
                  <c:v>-9490.9090909090901</c:v>
                </c:pt>
                <c:pt idx="14">
                  <c:v>-9046.1538461538457</c:v>
                </c:pt>
                <c:pt idx="15">
                  <c:v>-8773.3333333333339</c:v>
                </c:pt>
                <c:pt idx="16">
                  <c:v>-8773.3333333333339</c:v>
                </c:pt>
                <c:pt idx="17">
                  <c:v>-8773.3333333333339</c:v>
                </c:pt>
                <c:pt idx="18">
                  <c:v>-8773.3333333333339</c:v>
                </c:pt>
                <c:pt idx="19">
                  <c:v>-8133.333333333333</c:v>
                </c:pt>
                <c:pt idx="20">
                  <c:v>-7845.454545454545</c:v>
                </c:pt>
                <c:pt idx="21">
                  <c:v>-7475</c:v>
                </c:pt>
                <c:pt idx="22">
                  <c:v>-8438.461538461539</c:v>
                </c:pt>
                <c:pt idx="23">
                  <c:v>-8318.5185185185182</c:v>
                </c:pt>
                <c:pt idx="24">
                  <c:v>-8075</c:v>
                </c:pt>
                <c:pt idx="25">
                  <c:v>-7961.2903225806449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94.48275862069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りくと2!$K$3:$K$28</c:f>
              <c:numCache>
                <c:formatCode>0.0%</c:formatCode>
                <c:ptCount val="2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6752136752136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りくと2!$L$3:$L$28</c:f>
              <c:numCache>
                <c:formatCode>0.0%</c:formatCode>
                <c:ptCount val="26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0.30434782608695654</c:v>
                </c:pt>
                <c:pt idx="5">
                  <c:v>0.3</c:v>
                </c:pt>
                <c:pt idx="6">
                  <c:v>0.32432432432432434</c:v>
                </c:pt>
                <c:pt idx="7">
                  <c:v>0.30434782608695654</c:v>
                </c:pt>
                <c:pt idx="8">
                  <c:v>0.34615384615384615</c:v>
                </c:pt>
                <c:pt idx="9">
                  <c:v>0.36206896551724138</c:v>
                </c:pt>
                <c:pt idx="10">
                  <c:v>0.33870967741935482</c:v>
                </c:pt>
                <c:pt idx="11">
                  <c:v>0.33333333333333331</c:v>
                </c:pt>
                <c:pt idx="12">
                  <c:v>0.30666666666666664</c:v>
                </c:pt>
                <c:pt idx="13">
                  <c:v>0.29113924050632911</c:v>
                </c:pt>
                <c:pt idx="14">
                  <c:v>0.2988505747126437</c:v>
                </c:pt>
                <c:pt idx="15">
                  <c:v>0.30927835051546393</c:v>
                </c:pt>
                <c:pt idx="16">
                  <c:v>0.29411764705882354</c:v>
                </c:pt>
                <c:pt idx="17">
                  <c:v>0.27433628318584069</c:v>
                </c:pt>
                <c:pt idx="18">
                  <c:v>0.27868852459016391</c:v>
                </c:pt>
                <c:pt idx="19">
                  <c:v>0.26923076923076922</c:v>
                </c:pt>
                <c:pt idx="20">
                  <c:v>0.26428571428571429</c:v>
                </c:pt>
                <c:pt idx="21">
                  <c:v>0.25675675675675674</c:v>
                </c:pt>
                <c:pt idx="22">
                  <c:v>0.24683544303797469</c:v>
                </c:pt>
                <c:pt idx="23">
                  <c:v>0.23809523809523808</c:v>
                </c:pt>
                <c:pt idx="24">
                  <c:v>0.22598870056497175</c:v>
                </c:pt>
                <c:pt idx="25">
                  <c:v>0.21693121693121692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077134986225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りくと2!$M$3:$M$28</c:f>
              <c:numCache>
                <c:formatCode>0.0%</c:formatCode>
                <c:ptCount val="26"/>
                <c:pt idx="1">
                  <c:v>0</c:v>
                </c:pt>
                <c:pt idx="2">
                  <c:v>8.3333333333333329E-2</c:v>
                </c:pt>
                <c:pt idx="3">
                  <c:v>5.5555555555555552E-2</c:v>
                </c:pt>
                <c:pt idx="4">
                  <c:v>4.3478260869565216E-2</c:v>
                </c:pt>
                <c:pt idx="5">
                  <c:v>3.3333333333333333E-2</c:v>
                </c:pt>
                <c:pt idx="6">
                  <c:v>5.4054054054054057E-2</c:v>
                </c:pt>
                <c:pt idx="7">
                  <c:v>8.6956521739130432E-2</c:v>
                </c:pt>
                <c:pt idx="8">
                  <c:v>7.6923076923076927E-2</c:v>
                </c:pt>
                <c:pt idx="9">
                  <c:v>8.6206896551724144E-2</c:v>
                </c:pt>
                <c:pt idx="10">
                  <c:v>0.11290322580645161</c:v>
                </c:pt>
                <c:pt idx="11">
                  <c:v>0.12121212121212122</c:v>
                </c:pt>
                <c:pt idx="12">
                  <c:v>0.12</c:v>
                </c:pt>
                <c:pt idx="13">
                  <c:v>0.12658227848101267</c:v>
                </c:pt>
                <c:pt idx="14">
                  <c:v>0.11494252873563218</c:v>
                </c:pt>
                <c:pt idx="15">
                  <c:v>0.12371134020618557</c:v>
                </c:pt>
                <c:pt idx="16">
                  <c:v>0.12745098039215685</c:v>
                </c:pt>
                <c:pt idx="17">
                  <c:v>0.12389380530973451</c:v>
                </c:pt>
                <c:pt idx="18">
                  <c:v>0.13114754098360656</c:v>
                </c:pt>
                <c:pt idx="19">
                  <c:v>0.13076923076923078</c:v>
                </c:pt>
                <c:pt idx="20">
                  <c:v>0.12142857142857143</c:v>
                </c:pt>
                <c:pt idx="21">
                  <c:v>0.12837837837837837</c:v>
                </c:pt>
                <c:pt idx="22">
                  <c:v>0.12025316455696203</c:v>
                </c:pt>
                <c:pt idx="23">
                  <c:v>0.13690476190476192</c:v>
                </c:pt>
                <c:pt idx="24">
                  <c:v>0.14124293785310735</c:v>
                </c:pt>
                <c:pt idx="25">
                  <c:v>0.14814814814814814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4407713498622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りくと2!$N$3:$N$28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0.25</c:v>
                </c:pt>
                <c:pt idx="7">
                  <c:v>0.2857142857142857</c:v>
                </c:pt>
                <c:pt idx="8">
                  <c:v>0.3888888888888889</c:v>
                </c:pt>
                <c:pt idx="9">
                  <c:v>0.38095238095238093</c:v>
                </c:pt>
                <c:pt idx="10">
                  <c:v>0.38095238095238093</c:v>
                </c:pt>
                <c:pt idx="11">
                  <c:v>0.36363636363636365</c:v>
                </c:pt>
                <c:pt idx="12">
                  <c:v>0.39130434782608697</c:v>
                </c:pt>
                <c:pt idx="13">
                  <c:v>0.39130434782608697</c:v>
                </c:pt>
                <c:pt idx="14">
                  <c:v>0.34615384615384615</c:v>
                </c:pt>
                <c:pt idx="15">
                  <c:v>0.36666666666666664</c:v>
                </c:pt>
                <c:pt idx="16">
                  <c:v>0.36666666666666664</c:v>
                </c:pt>
                <c:pt idx="17">
                  <c:v>0.38709677419354838</c:v>
                </c:pt>
                <c:pt idx="18">
                  <c:v>0.41176470588235292</c:v>
                </c:pt>
                <c:pt idx="19">
                  <c:v>0.42857142857142855</c:v>
                </c:pt>
                <c:pt idx="20">
                  <c:v>0.45945945945945948</c:v>
                </c:pt>
                <c:pt idx="21">
                  <c:v>0.47368421052631576</c:v>
                </c:pt>
                <c:pt idx="22">
                  <c:v>0.48717948717948717</c:v>
                </c:pt>
                <c:pt idx="23">
                  <c:v>0.5</c:v>
                </c:pt>
                <c:pt idx="24">
                  <c:v>0.5</c:v>
                </c:pt>
                <c:pt idx="25">
                  <c:v>0.48780487804878048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047404063205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0.25</c:v>
                </c:pt>
                <c:pt idx="9">
                  <c:v>0.4</c:v>
                </c:pt>
                <c:pt idx="10">
                  <c:v>0.2857142857142857</c:v>
                </c:pt>
                <c:pt idx="11">
                  <c:v>0.25</c:v>
                </c:pt>
                <c:pt idx="12">
                  <c:v>0.22222222222222221</c:v>
                </c:pt>
                <c:pt idx="13">
                  <c:v>0.2</c:v>
                </c:pt>
                <c:pt idx="14">
                  <c:v>0.2</c:v>
                </c:pt>
                <c:pt idx="15">
                  <c:v>0.33333333333333331</c:v>
                </c:pt>
                <c:pt idx="16">
                  <c:v>0.38461538461538464</c:v>
                </c:pt>
                <c:pt idx="17">
                  <c:v>0.42857142857142855</c:v>
                </c:pt>
                <c:pt idx="18">
                  <c:v>0.4375</c:v>
                </c:pt>
                <c:pt idx="19">
                  <c:v>0.47058823529411764</c:v>
                </c:pt>
                <c:pt idx="20">
                  <c:v>0.47058823529411764</c:v>
                </c:pt>
                <c:pt idx="21">
                  <c:v>0.47368421052631576</c:v>
                </c:pt>
                <c:pt idx="22">
                  <c:v>0.47368421052631576</c:v>
                </c:pt>
                <c:pt idx="23">
                  <c:v>0.52173913043478259</c:v>
                </c:pt>
                <c:pt idx="24">
                  <c:v>0.52</c:v>
                </c:pt>
                <c:pt idx="25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180592991913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りくと2!$P$3:$P$28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0.375</c:v>
                </c:pt>
                <c:pt idx="8">
                  <c:v>0.36363636363636365</c:v>
                </c:pt>
                <c:pt idx="9">
                  <c:v>0.38461538461538464</c:v>
                </c:pt>
                <c:pt idx="10">
                  <c:v>0.38461538461538464</c:v>
                </c:pt>
                <c:pt idx="11">
                  <c:v>0.38461538461538464</c:v>
                </c:pt>
                <c:pt idx="12">
                  <c:v>0.33333333333333331</c:v>
                </c:pt>
                <c:pt idx="13">
                  <c:v>0.33333333333333331</c:v>
                </c:pt>
                <c:pt idx="14">
                  <c:v>0.33333333333333331</c:v>
                </c:pt>
                <c:pt idx="15">
                  <c:v>0.35</c:v>
                </c:pt>
                <c:pt idx="16">
                  <c:v>0.36363636363636365</c:v>
                </c:pt>
                <c:pt idx="17">
                  <c:v>0.38461538461538464</c:v>
                </c:pt>
                <c:pt idx="18">
                  <c:v>0.38709677419354838</c:v>
                </c:pt>
                <c:pt idx="19">
                  <c:v>0.38235294117647056</c:v>
                </c:pt>
                <c:pt idx="20">
                  <c:v>0.41666666666666669</c:v>
                </c:pt>
                <c:pt idx="21">
                  <c:v>0.42105263157894735</c:v>
                </c:pt>
                <c:pt idx="22">
                  <c:v>0.4</c:v>
                </c:pt>
                <c:pt idx="23">
                  <c:v>0.42222222222222222</c:v>
                </c:pt>
                <c:pt idx="24">
                  <c:v>0.40816326530612246</c:v>
                </c:pt>
                <c:pt idx="25">
                  <c:v>0.42307692307692307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3007518796992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0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5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234</v>
      </c>
    </row>
    <row r="2" spans="1:2" x14ac:dyDescent="0.45">
      <c r="A2" t="s">
        <v>164</v>
      </c>
      <c r="B2">
        <v>43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55</v>
      </c>
    </row>
    <row r="5" spans="1:2" x14ac:dyDescent="0.45">
      <c r="A5" t="s">
        <v>194</v>
      </c>
      <c r="B5">
        <v>25</v>
      </c>
    </row>
    <row r="6" spans="1:2" x14ac:dyDescent="0.45">
      <c r="A6" t="s">
        <v>192</v>
      </c>
      <c r="B6">
        <v>42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17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0.56546996999896004</v>
      </c>
      <c r="C2" s="142"/>
      <c r="D2" s="145"/>
      <c r="E2" s="146"/>
      <c r="F2" s="145"/>
      <c r="G2" s="146"/>
      <c r="H2" s="141">
        <v>0.24765901760037223</v>
      </c>
      <c r="I2" s="142"/>
      <c r="J2" s="141">
        <v>0.89677881847948127</v>
      </c>
      <c r="K2" s="142"/>
      <c r="L2" s="141">
        <v>0.76232588925270917</v>
      </c>
      <c r="M2" s="142"/>
      <c r="N2" s="141">
        <v>0.85062048882939534</v>
      </c>
      <c r="O2" s="142"/>
      <c r="P2" s="141">
        <v>0.7506490916526285</v>
      </c>
      <c r="Q2" s="142"/>
      <c r="R2" s="141">
        <v>0.34017808363019608</v>
      </c>
      <c r="S2" s="142"/>
      <c r="T2" s="141">
        <v>0.30232960132422193</v>
      </c>
      <c r="U2" s="142"/>
      <c r="V2" s="141">
        <v>-0.10633303011747491</v>
      </c>
      <c r="W2" s="142"/>
      <c r="X2" s="141">
        <v>0.69671210619702195</v>
      </c>
      <c r="Y2" s="142"/>
      <c r="Z2" s="141">
        <v>-8.3101599167446603E-3</v>
      </c>
      <c r="AA2" s="142"/>
      <c r="AB2" s="141">
        <v>-0.13762709522482128</v>
      </c>
      <c r="AC2" s="142"/>
      <c r="AD2" s="141">
        <v>0.69500654223304292</v>
      </c>
      <c r="AE2" s="142"/>
      <c r="AF2" s="141">
        <v>0.25726271235455256</v>
      </c>
      <c r="AG2" s="142"/>
      <c r="AH2" s="141">
        <v>0.81057908099257125</v>
      </c>
      <c r="AI2" s="142"/>
      <c r="AJ2" s="141">
        <v>-0.15778886483079299</v>
      </c>
      <c r="AK2" s="142"/>
    </row>
    <row r="3" spans="1:37" x14ac:dyDescent="0.45">
      <c r="A3" s="40">
        <v>1</v>
      </c>
      <c r="B3" s="43" t="s">
        <v>139</v>
      </c>
      <c r="C3" s="117">
        <v>78</v>
      </c>
      <c r="D3" s="41" t="s">
        <v>126</v>
      </c>
      <c r="E3" s="42">
        <v>627.40000000000009</v>
      </c>
      <c r="F3" s="43" t="s">
        <v>126</v>
      </c>
      <c r="G3" s="62">
        <v>11.407272727272728</v>
      </c>
      <c r="H3" s="43" t="s">
        <v>196</v>
      </c>
      <c r="I3" s="62">
        <v>7.6166666666666663</v>
      </c>
      <c r="J3" s="43" t="s">
        <v>126</v>
      </c>
      <c r="K3" s="44">
        <v>1.7636363636363637</v>
      </c>
      <c r="L3" s="43" t="s">
        <v>126</v>
      </c>
      <c r="M3" s="45">
        <v>0.43636363636363634</v>
      </c>
      <c r="N3" s="43" t="s">
        <v>196</v>
      </c>
      <c r="O3" s="45">
        <v>0.125</v>
      </c>
      <c r="P3" s="43" t="s">
        <v>126</v>
      </c>
      <c r="Q3" s="46">
        <v>0.33333333333333331</v>
      </c>
      <c r="R3" s="43" t="s">
        <v>196</v>
      </c>
      <c r="S3" s="46">
        <v>7.6923076923076927E-2</v>
      </c>
      <c r="T3" s="43" t="s">
        <v>164</v>
      </c>
      <c r="U3" s="47">
        <v>10453.40909090909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0.31413612565445026</v>
      </c>
      <c r="AD3" s="43" t="s">
        <v>213</v>
      </c>
      <c r="AE3" s="46">
        <v>0.70833333333333337</v>
      </c>
      <c r="AF3" s="43" t="s">
        <v>194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55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3.2488888888888874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0.2</v>
      </c>
      <c r="P4" s="51" t="s">
        <v>205</v>
      </c>
      <c r="Q4" s="54">
        <v>0.328125</v>
      </c>
      <c r="R4" s="51" t="s">
        <v>192</v>
      </c>
      <c r="S4" s="54">
        <v>0.11377245508982035</v>
      </c>
      <c r="T4" s="51" t="s">
        <v>126</v>
      </c>
      <c r="U4" s="55">
        <v>10036.879432624113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196</v>
      </c>
      <c r="AA4" s="54">
        <v>0.29230769230769232</v>
      </c>
      <c r="AB4" s="51" t="s">
        <v>205</v>
      </c>
      <c r="AC4" s="54">
        <v>0.3046875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43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205</v>
      </c>
      <c r="M5" s="53">
        <v>0.35294117647058826</v>
      </c>
      <c r="N5" s="51" t="s">
        <v>192</v>
      </c>
      <c r="O5" s="53">
        <v>0.2857142857142857</v>
      </c>
      <c r="P5" s="51" t="s">
        <v>193</v>
      </c>
      <c r="Q5" s="54">
        <v>0.31413612565445026</v>
      </c>
      <c r="R5" s="51" t="s">
        <v>193</v>
      </c>
      <c r="S5" s="54">
        <v>0.14136125654450263</v>
      </c>
      <c r="T5" s="51" t="s">
        <v>205</v>
      </c>
      <c r="U5" s="55">
        <v>9978.5714285714294</v>
      </c>
      <c r="V5" s="51" t="s">
        <v>193</v>
      </c>
      <c r="W5" s="55">
        <v>-7514.8148148148148</v>
      </c>
      <c r="X5" s="51" t="s">
        <v>126</v>
      </c>
      <c r="Y5" s="53">
        <v>5.4545454545454543E-2</v>
      </c>
      <c r="Z5" s="51" t="s">
        <v>164</v>
      </c>
      <c r="AA5" s="54">
        <v>0.28783382789317508</v>
      </c>
      <c r="AB5" s="51" t="s">
        <v>192</v>
      </c>
      <c r="AC5" s="54">
        <v>0.24850299401197604</v>
      </c>
      <c r="AD5" s="51" t="s">
        <v>193</v>
      </c>
      <c r="AE5" s="54">
        <v>0.62962962962962965</v>
      </c>
      <c r="AF5" s="51" t="s">
        <v>126</v>
      </c>
      <c r="AG5" s="54">
        <v>0.51428571428571423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42</v>
      </c>
      <c r="D6" s="49" t="s">
        <v>139</v>
      </c>
      <c r="E6" s="50">
        <v>-2.1316282072803006E-14</v>
      </c>
      <c r="F6" s="51" t="s">
        <v>139</v>
      </c>
      <c r="G6" s="63">
        <v>-9.1095222533346175E-17</v>
      </c>
      <c r="H6" s="51" t="s">
        <v>193</v>
      </c>
      <c r="I6" s="63">
        <v>1.7602645502645515</v>
      </c>
      <c r="J6" s="51" t="s">
        <v>192</v>
      </c>
      <c r="K6" s="52">
        <v>2</v>
      </c>
      <c r="L6" s="51" t="s">
        <v>164</v>
      </c>
      <c r="M6" s="53">
        <v>0.34883720930232559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126</v>
      </c>
      <c r="S6" s="54">
        <v>0.14184397163120568</v>
      </c>
      <c r="T6" s="51" t="s">
        <v>139</v>
      </c>
      <c r="U6" s="55">
        <v>9084.5864661654141</v>
      </c>
      <c r="V6" s="51" t="s">
        <v>192</v>
      </c>
      <c r="W6" s="55">
        <v>-7850</v>
      </c>
      <c r="X6" s="51" t="s">
        <v>192</v>
      </c>
      <c r="Y6" s="53">
        <v>9.5238095238095233E-2</v>
      </c>
      <c r="Z6" s="51" t="s">
        <v>189</v>
      </c>
      <c r="AA6" s="54">
        <v>0.28378378378378377</v>
      </c>
      <c r="AB6" s="51" t="s">
        <v>164</v>
      </c>
      <c r="AC6" s="54">
        <v>0.20474777448071216</v>
      </c>
      <c r="AD6" s="51" t="s">
        <v>126</v>
      </c>
      <c r="AE6" s="54">
        <v>0.62616822429906538</v>
      </c>
      <c r="AF6" s="51" t="s">
        <v>189</v>
      </c>
      <c r="AG6" s="54">
        <v>0.5</v>
      </c>
      <c r="AH6" s="51" t="s">
        <v>126</v>
      </c>
      <c r="AI6" s="54">
        <v>0.51773049645390068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26</v>
      </c>
      <c r="D7" s="49" t="s">
        <v>213</v>
      </c>
      <c r="E7" s="50">
        <v>-41.599999999999994</v>
      </c>
      <c r="F7" s="51" t="s">
        <v>192</v>
      </c>
      <c r="G7" s="63">
        <v>-2.1976190476190469</v>
      </c>
      <c r="H7" s="51" t="s">
        <v>126</v>
      </c>
      <c r="I7" s="63">
        <v>1.4825757575757545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213</v>
      </c>
      <c r="O7" s="53">
        <v>0.33333333333333331</v>
      </c>
      <c r="P7" s="51" t="s">
        <v>139</v>
      </c>
      <c r="Q7" s="54">
        <v>0.29311294765840218</v>
      </c>
      <c r="R7" s="51" t="s">
        <v>139</v>
      </c>
      <c r="S7" s="54">
        <v>0.15977961432506887</v>
      </c>
      <c r="T7" s="51" t="s">
        <v>189</v>
      </c>
      <c r="U7" s="55">
        <v>9062.5</v>
      </c>
      <c r="V7" s="51" t="s">
        <v>194</v>
      </c>
      <c r="W7" s="55">
        <v>-7961.2903225806449</v>
      </c>
      <c r="X7" s="51" t="s">
        <v>189</v>
      </c>
      <c r="Y7" s="53">
        <v>0.1111111111111111</v>
      </c>
      <c r="Z7" s="51" t="s">
        <v>126</v>
      </c>
      <c r="AA7" s="54">
        <v>0.25295508274231676</v>
      </c>
      <c r="AB7" s="51" t="s">
        <v>139</v>
      </c>
      <c r="AC7" s="54">
        <v>0.20440771349862258</v>
      </c>
      <c r="AD7" s="51" t="s">
        <v>205</v>
      </c>
      <c r="AE7" s="54">
        <v>0.6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25</v>
      </c>
      <c r="D8" s="49" t="s">
        <v>205</v>
      </c>
      <c r="E8" s="50">
        <v>-52.900000000000013</v>
      </c>
      <c r="F8" s="51" t="s">
        <v>205</v>
      </c>
      <c r="G8" s="63">
        <v>-3.1117647058823539</v>
      </c>
      <c r="H8" s="51" t="s">
        <v>139</v>
      </c>
      <c r="I8" s="63">
        <v>0</v>
      </c>
      <c r="J8" s="51" t="s">
        <v>205</v>
      </c>
      <c r="K8" s="52">
        <v>2.0588235294117645</v>
      </c>
      <c r="L8" s="51" t="s">
        <v>192</v>
      </c>
      <c r="M8" s="53">
        <v>0.2857142857142857</v>
      </c>
      <c r="N8" s="51" t="s">
        <v>193</v>
      </c>
      <c r="O8" s="53">
        <v>0.34615384615384615</v>
      </c>
      <c r="P8" s="51" t="s">
        <v>192</v>
      </c>
      <c r="Q8" s="54">
        <v>0.27844311377245506</v>
      </c>
      <c r="R8" s="51" t="s">
        <v>194</v>
      </c>
      <c r="S8" s="54">
        <v>0.16402116402116401</v>
      </c>
      <c r="T8" s="51" t="s">
        <v>193</v>
      </c>
      <c r="U8" s="55">
        <v>8308.3333333333339</v>
      </c>
      <c r="V8" s="51" t="s">
        <v>139</v>
      </c>
      <c r="W8" s="55">
        <v>-8194.4827586206902</v>
      </c>
      <c r="X8" s="51" t="s">
        <v>139</v>
      </c>
      <c r="Y8" s="53">
        <v>0.13675213675213677</v>
      </c>
      <c r="Z8" s="51" t="s">
        <v>192</v>
      </c>
      <c r="AA8" s="54">
        <v>0.24550898203592814</v>
      </c>
      <c r="AB8" s="51" t="s">
        <v>126</v>
      </c>
      <c r="AC8" s="54">
        <v>0.16548463356973994</v>
      </c>
      <c r="AD8" s="51" t="s">
        <v>139</v>
      </c>
      <c r="AE8" s="54">
        <v>0.55304740406320541</v>
      </c>
      <c r="AF8" s="51" t="s">
        <v>139</v>
      </c>
      <c r="AG8" s="54">
        <v>0.42318059299191374</v>
      </c>
      <c r="AH8" s="51" t="s">
        <v>139</v>
      </c>
      <c r="AI8" s="54">
        <v>0.45300751879699247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17</v>
      </c>
      <c r="D9" s="49" t="s">
        <v>192</v>
      </c>
      <c r="E9" s="50">
        <v>-92.299999999999969</v>
      </c>
      <c r="F9" s="51" t="s">
        <v>213</v>
      </c>
      <c r="G9" s="63">
        <v>-4.6222222222222218</v>
      </c>
      <c r="H9" s="51" t="s">
        <v>205</v>
      </c>
      <c r="I9" s="63">
        <v>-1.0710317460317473</v>
      </c>
      <c r="J9" s="51" t="s">
        <v>164</v>
      </c>
      <c r="K9" s="52">
        <v>2.0930232558139537</v>
      </c>
      <c r="L9" s="51" t="s">
        <v>196</v>
      </c>
      <c r="M9" s="53">
        <v>0.25</v>
      </c>
      <c r="N9" s="51" t="s">
        <v>205</v>
      </c>
      <c r="O9" s="53">
        <v>0.41176470588235292</v>
      </c>
      <c r="P9" s="51" t="s">
        <v>194</v>
      </c>
      <c r="Q9" s="54">
        <v>0.27513227513227512</v>
      </c>
      <c r="R9" s="51" t="s">
        <v>213</v>
      </c>
      <c r="S9" s="54">
        <v>0.1891891891891892</v>
      </c>
      <c r="T9" s="51" t="s">
        <v>194</v>
      </c>
      <c r="U9" s="55">
        <v>8023.0769230769229</v>
      </c>
      <c r="V9" s="51" t="s">
        <v>164</v>
      </c>
      <c r="W9" s="55">
        <v>-8340.579710144928</v>
      </c>
      <c r="X9" s="51" t="s">
        <v>205</v>
      </c>
      <c r="Y9" s="53">
        <v>0.17647058823529413</v>
      </c>
      <c r="Z9" s="51" t="s">
        <v>139</v>
      </c>
      <c r="AA9" s="54">
        <v>0.24407713498622591</v>
      </c>
      <c r="AB9" s="51" t="s">
        <v>194</v>
      </c>
      <c r="AC9" s="54">
        <v>0.14814814814814814</v>
      </c>
      <c r="AD9" s="51" t="s">
        <v>192</v>
      </c>
      <c r="AE9" s="54">
        <v>0.54878048780487809</v>
      </c>
      <c r="AF9" s="51" t="s">
        <v>164</v>
      </c>
      <c r="AG9" s="54">
        <v>0.39130434782608697</v>
      </c>
      <c r="AH9" s="51" t="s">
        <v>194</v>
      </c>
      <c r="AI9" s="54">
        <v>0.42307692307692307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164</v>
      </c>
      <c r="G10" s="63">
        <v>-4.7000000000000011</v>
      </c>
      <c r="H10" s="51" t="s">
        <v>164</v>
      </c>
      <c r="I10" s="63">
        <v>-1.4541520467836193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164</v>
      </c>
      <c r="O10" s="53">
        <v>0.44186046511627908</v>
      </c>
      <c r="P10" s="51" t="s">
        <v>196</v>
      </c>
      <c r="Q10" s="54">
        <v>0.26153846153846155</v>
      </c>
      <c r="R10" s="51" t="s">
        <v>164</v>
      </c>
      <c r="S10" s="54">
        <v>0.20474777448071216</v>
      </c>
      <c r="T10" s="51" t="s">
        <v>196</v>
      </c>
      <c r="U10" s="55">
        <v>7964.7058823529414</v>
      </c>
      <c r="V10" s="51" t="s">
        <v>126</v>
      </c>
      <c r="W10" s="55">
        <v>-8511.6666666666661</v>
      </c>
      <c r="X10" s="51" t="s">
        <v>164</v>
      </c>
      <c r="Y10" s="53">
        <v>0.20930232558139536</v>
      </c>
      <c r="Z10" s="51" t="s">
        <v>194</v>
      </c>
      <c r="AA10" s="54">
        <v>0.21693121693121692</v>
      </c>
      <c r="AB10" s="51" t="s">
        <v>196</v>
      </c>
      <c r="AC10" s="54">
        <v>0.13846153846153847</v>
      </c>
      <c r="AD10" s="51" t="s">
        <v>194</v>
      </c>
      <c r="AE10" s="54">
        <v>0.48780487804878048</v>
      </c>
      <c r="AF10" s="51" t="s">
        <v>192</v>
      </c>
      <c r="AG10" s="54">
        <v>0.37349397590361444</v>
      </c>
      <c r="AH10" s="51" t="s">
        <v>192</v>
      </c>
      <c r="AI10" s="54">
        <v>0.40860215053763443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-202.10000000000005</v>
      </c>
      <c r="F11" s="51" t="s">
        <v>194</v>
      </c>
      <c r="G11" s="63">
        <v>-9.091999999999997</v>
      </c>
      <c r="H11" s="51" t="s">
        <v>192</v>
      </c>
      <c r="I11" s="63">
        <v>-1.9231481481481485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164</v>
      </c>
      <c r="Q11" s="54">
        <v>0.26112759643916916</v>
      </c>
      <c r="R11" s="51" t="s">
        <v>205</v>
      </c>
      <c r="S11" s="54">
        <v>0.2265625</v>
      </c>
      <c r="T11" s="51" t="s">
        <v>192</v>
      </c>
      <c r="U11" s="55">
        <v>7629.0322580645161</v>
      </c>
      <c r="V11" s="51" t="s">
        <v>213</v>
      </c>
      <c r="W11" s="55">
        <v>-8671.4285714285706</v>
      </c>
      <c r="X11" s="51" t="s">
        <v>193</v>
      </c>
      <c r="Y11" s="53">
        <v>0.23076923076923078</v>
      </c>
      <c r="Z11" s="51" t="s">
        <v>205</v>
      </c>
      <c r="AA11" s="54">
        <v>0.1953125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164</v>
      </c>
      <c r="AI11" s="54">
        <v>0.39772727272727271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-227.29999999999993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2.2799999999999998</v>
      </c>
      <c r="L12" s="51" t="s">
        <v>194</v>
      </c>
      <c r="M12" s="53">
        <v>0.2</v>
      </c>
      <c r="N12" s="51" t="s">
        <v>194</v>
      </c>
      <c r="O12" s="53">
        <v>0.48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-9479.310344827587</v>
      </c>
      <c r="X12" s="51" t="s">
        <v>194</v>
      </c>
      <c r="Y12" s="53">
        <v>0.24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0.42268041237113402</v>
      </c>
      <c r="AF12" s="51" t="s">
        <v>205</v>
      </c>
      <c r="AG12" s="54">
        <v>0.28205128205128205</v>
      </c>
      <c r="AH12" s="51" t="s">
        <v>205</v>
      </c>
      <c r="AI12" s="54">
        <v>0.35714285714285715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3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234</v>
      </c>
      <c r="C2" s="132"/>
      <c r="E2" s="28" t="s">
        <v>66</v>
      </c>
      <c r="F2" s="25" t="s">
        <v>22</v>
      </c>
      <c r="G2" s="13">
        <v>384</v>
      </c>
      <c r="H2" s="91">
        <f>IF(B$19=0,0,G2/B$19)</f>
        <v>0.72180451127819545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-8.6580086580086579</v>
      </c>
      <c r="P2" s="80">
        <v>231</v>
      </c>
      <c r="Q2" s="67">
        <v>-2000</v>
      </c>
    </row>
    <row r="3" spans="1:17" x14ac:dyDescent="0.45">
      <c r="A3" s="21" t="s">
        <v>8</v>
      </c>
      <c r="B3" s="133">
        <v>1815</v>
      </c>
      <c r="C3" s="134"/>
      <c r="E3" s="29" t="s">
        <v>72</v>
      </c>
      <c r="F3" s="26" t="s">
        <v>27</v>
      </c>
      <c r="G3" s="14">
        <v>305</v>
      </c>
      <c r="H3" s="92">
        <f>IF(B$19=0,0,G3/B$19)</f>
        <v>0.57330827067669177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-8.8888888888888893</v>
      </c>
      <c r="P3" s="81">
        <v>225</v>
      </c>
      <c r="Q3" s="68">
        <v>-2000</v>
      </c>
    </row>
    <row r="4" spans="1:17" x14ac:dyDescent="0.45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237</v>
      </c>
      <c r="H4" s="92">
        <f>IF(B$19=0,0,G4/B$19)</f>
        <v>0.44548872180451127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213</v>
      </c>
      <c r="Q4" s="68">
        <v>0</v>
      </c>
    </row>
    <row r="5" spans="1:17" x14ac:dyDescent="0.45">
      <c r="A5" s="21" t="s">
        <v>7</v>
      </c>
      <c r="B5" s="123">
        <f>IF(B$2=0,0,B$4/B$2)</f>
        <v>-9.1095222533346175E-17</v>
      </c>
      <c r="C5" s="124"/>
      <c r="E5" s="29" t="s">
        <v>160</v>
      </c>
      <c r="F5" s="26" t="s">
        <v>161</v>
      </c>
      <c r="G5" s="14">
        <v>219</v>
      </c>
      <c r="H5" s="92">
        <f>IF(B$19=0,0,G5/B$19)</f>
        <v>0.41165413533834588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16.129032258064516</v>
      </c>
      <c r="P5" s="81">
        <v>186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161</v>
      </c>
      <c r="H6" s="92">
        <f>IF(B$19=0,0,G6/B$19)</f>
        <v>0.30263157894736842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-55.555555555555557</v>
      </c>
      <c r="P6" s="81">
        <v>162</v>
      </c>
      <c r="Q6" s="68">
        <v>-9000</v>
      </c>
    </row>
    <row r="7" spans="1:17" x14ac:dyDescent="0.45">
      <c r="A7" s="21" t="s">
        <v>2</v>
      </c>
      <c r="B7" s="14">
        <v>78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123</v>
      </c>
      <c r="H7" s="92">
        <f>IF(B$19=0,0,G7/B$19)</f>
        <v>0.23120300751879699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73.170731707317074</v>
      </c>
      <c r="P7" s="82">
        <v>123</v>
      </c>
      <c r="Q7" s="69">
        <v>9000</v>
      </c>
    </row>
    <row r="8" spans="1:17" x14ac:dyDescent="0.45">
      <c r="A8" s="21" t="s">
        <v>3</v>
      </c>
      <c r="B8" s="14">
        <v>78</v>
      </c>
      <c r="C8" s="8">
        <f t="shared" si="1"/>
        <v>0.33333333333333331</v>
      </c>
      <c r="E8" s="29" t="s">
        <v>89</v>
      </c>
      <c r="F8" s="26" t="s">
        <v>44</v>
      </c>
      <c r="G8" s="14">
        <v>77</v>
      </c>
      <c r="H8" s="92">
        <f>IF(B$19=0,0,G8/B$19)</f>
        <v>0.14473684210526316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78</v>
      </c>
      <c r="C9" s="9">
        <f t="shared" si="1"/>
        <v>0.33333333333333331</v>
      </c>
      <c r="E9" s="29" t="s">
        <v>69</v>
      </c>
      <c r="F9" s="26" t="s">
        <v>24</v>
      </c>
      <c r="G9" s="14">
        <v>69</v>
      </c>
      <c r="H9" s="92">
        <f>IF(B$19=0,0,G9/B$19)</f>
        <v>0.12969924812030076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42.844871794871793</v>
      </c>
      <c r="C10" s="114">
        <v>3341.8999999999996</v>
      </c>
      <c r="E10" s="29" t="s">
        <v>65</v>
      </c>
      <c r="F10" s="26" t="s">
        <v>21</v>
      </c>
      <c r="G10" s="14">
        <v>50</v>
      </c>
      <c r="H10" s="92">
        <f>IF(B$19=0,0,G10/B$19)</f>
        <v>9.3984962406015032E-2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-6.2961538461538433</v>
      </c>
      <c r="P10" s="80">
        <v>78</v>
      </c>
      <c r="Q10" s="71">
        <v>-491.0999999999998</v>
      </c>
    </row>
    <row r="11" spans="1:17" x14ac:dyDescent="0.45">
      <c r="A11" s="22" t="s">
        <v>186</v>
      </c>
      <c r="B11" s="113">
        <f>IF(B8=0,0,C11/B8)</f>
        <v>-3.9141025641025666</v>
      </c>
      <c r="C11" s="114">
        <v>-305.30000000000018</v>
      </c>
      <c r="E11" s="29" t="s">
        <v>70</v>
      </c>
      <c r="F11" s="26" t="s">
        <v>25</v>
      </c>
      <c r="G11" s="14">
        <v>45</v>
      </c>
      <c r="H11" s="92">
        <f>IF(B$19=0,0,G11/B$19)</f>
        <v>8.4586466165413529E-2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0.28333333333333277</v>
      </c>
      <c r="P11" s="81">
        <v>78</v>
      </c>
      <c r="Q11" s="72">
        <v>22.099999999999955</v>
      </c>
    </row>
    <row r="12" spans="1:17" x14ac:dyDescent="0.45">
      <c r="A12" s="22" t="s">
        <v>187</v>
      </c>
      <c r="B12" s="113">
        <f>IF(B9=0,0,C12/B9)</f>
        <v>-38.930769230769222</v>
      </c>
      <c r="C12" s="114">
        <v>-3036.5999999999995</v>
      </c>
      <c r="E12" s="29" t="s">
        <v>71</v>
      </c>
      <c r="F12" s="26" t="s">
        <v>26</v>
      </c>
      <c r="G12" s="14">
        <v>36</v>
      </c>
      <c r="H12" s="92">
        <f>IF(B$19=0,0,G12/B$19)</f>
        <v>6.7669172932330823E-2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6.012820512820511</v>
      </c>
      <c r="P12" s="82">
        <v>78</v>
      </c>
      <c r="Q12" s="73">
        <v>468.99999999999983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31</v>
      </c>
      <c r="H13" s="92">
        <f>IF(B$19=0,0,G13/B$19)</f>
        <v>5.827067669172932E-2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32</v>
      </c>
      <c r="C14" s="11">
        <f t="shared" si="1"/>
        <v>0.13675213675213677</v>
      </c>
      <c r="E14" s="29" t="s">
        <v>86</v>
      </c>
      <c r="F14" s="26" t="s">
        <v>41</v>
      </c>
      <c r="G14" s="14">
        <v>29</v>
      </c>
      <c r="H14" s="92">
        <f>IF(B$19=0,0,G14/B$19)</f>
        <v>5.4511278195488719E-2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443</v>
      </c>
      <c r="C15" s="12">
        <f>IF(B$3=0,0,B15/B$3)</f>
        <v>0.24407713498622591</v>
      </c>
      <c r="E15" s="29" t="s">
        <v>81</v>
      </c>
      <c r="F15" s="26" t="s">
        <v>36</v>
      </c>
      <c r="G15" s="14">
        <v>16</v>
      </c>
      <c r="H15" s="92">
        <f>IF(B$19=0,0,G15/B$19)</f>
        <v>3.007518796992481E-2</v>
      </c>
      <c r="I15" s="60">
        <v>3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371</v>
      </c>
      <c r="C16" s="8">
        <f>IF(B$3=0,0,B16/B$3)</f>
        <v>0.20440771349862258</v>
      </c>
      <c r="E16" s="29" t="s">
        <v>78</v>
      </c>
      <c r="F16" s="26" t="s">
        <v>33</v>
      </c>
      <c r="G16" s="14">
        <v>15</v>
      </c>
      <c r="H16" s="92">
        <f>IF(B$19=0,0,G16/B$19)</f>
        <v>2.819548872180451E-2</v>
      </c>
      <c r="I16" s="60">
        <v>5</v>
      </c>
      <c r="K16" s="7">
        <v>14</v>
      </c>
      <c r="L16" s="65">
        <v>12.800000000000002</v>
      </c>
      <c r="N16" s="78" t="s">
        <v>194</v>
      </c>
      <c r="O16" s="87">
        <f>IF(P16=0,0,Q16/P16)</f>
        <v>13.638</v>
      </c>
      <c r="P16" s="81">
        <v>50</v>
      </c>
      <c r="Q16" s="72">
        <v>681.9</v>
      </c>
    </row>
    <row r="17" spans="1:17" x14ac:dyDescent="0.45">
      <c r="A17" s="20" t="s">
        <v>123</v>
      </c>
      <c r="B17" s="13">
        <f>B23</f>
        <v>245</v>
      </c>
      <c r="C17" s="6">
        <f>IF(B$15=0,0,B17/B$15)</f>
        <v>0.55304740406320541</v>
      </c>
      <c r="E17" s="29" t="s">
        <v>79</v>
      </c>
      <c r="F17" s="26" t="s">
        <v>34</v>
      </c>
      <c r="G17" s="14">
        <v>13</v>
      </c>
      <c r="H17" s="92">
        <f>IF(B$19=0,0,G17/B$19)</f>
        <v>2.4436090225563908E-2</v>
      </c>
      <c r="I17" s="60">
        <v>4</v>
      </c>
      <c r="K17" s="7">
        <v>15</v>
      </c>
      <c r="L17" s="65">
        <v>1.7763568394002505E-15</v>
      </c>
      <c r="N17" s="78" t="s">
        <v>164</v>
      </c>
      <c r="O17" s="87">
        <f>IF(P17=0,0,Q17/P17)</f>
        <v>7.0499999999999972</v>
      </c>
      <c r="P17" s="81">
        <v>86</v>
      </c>
      <c r="Q17" s="72">
        <v>606.29999999999973</v>
      </c>
    </row>
    <row r="18" spans="1:17" x14ac:dyDescent="0.45">
      <c r="A18" s="20" t="s">
        <v>124</v>
      </c>
      <c r="B18" s="13">
        <f>B24</f>
        <v>157</v>
      </c>
      <c r="C18" s="6">
        <f>IF(B$16=0,0,B18/B$16)</f>
        <v>0.42318059299191374</v>
      </c>
      <c r="E18" s="29" t="s">
        <v>91</v>
      </c>
      <c r="F18" s="26" t="s">
        <v>46</v>
      </c>
      <c r="G18" s="14">
        <v>13</v>
      </c>
      <c r="H18" s="92">
        <f>IF(B$19=0,0,G18/B$19)</f>
        <v>2.4436090225563908E-2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532</v>
      </c>
      <c r="C19" s="6">
        <f>IF(B$3=0,0,B19/B$3)</f>
        <v>0.29311294765840218</v>
      </c>
      <c r="E19" s="29" t="s">
        <v>92</v>
      </c>
      <c r="F19" s="26" t="s">
        <v>47</v>
      </c>
      <c r="G19" s="14">
        <v>8</v>
      </c>
      <c r="H19" s="92">
        <f>IF(B$19=0,0,G19/B$19)</f>
        <v>1.5037593984962405E-2</v>
      </c>
      <c r="I19" s="60">
        <v>5</v>
      </c>
      <c r="K19" s="7">
        <v>17</v>
      </c>
      <c r="L19" s="65">
        <v>-35.800000000000004</v>
      </c>
      <c r="N19" s="78" t="s">
        <v>205</v>
      </c>
      <c r="O19" s="87">
        <f>IF(P19=0,0,Q19/P19)</f>
        <v>4.6676470588235306</v>
      </c>
      <c r="P19" s="81">
        <v>34</v>
      </c>
      <c r="Q19" s="72">
        <v>158.70000000000005</v>
      </c>
    </row>
    <row r="20" spans="1:17" x14ac:dyDescent="0.45">
      <c r="A20" s="21" t="s">
        <v>13</v>
      </c>
      <c r="B20" s="14">
        <v>290</v>
      </c>
      <c r="C20" s="8">
        <f>IF(B$3=0,0,B20/B$3)</f>
        <v>0.15977961432506887</v>
      </c>
      <c r="E20" s="29" t="s">
        <v>156</v>
      </c>
      <c r="F20" s="26" t="s">
        <v>157</v>
      </c>
      <c r="G20" s="14">
        <v>7</v>
      </c>
      <c r="H20" s="92">
        <f>IF(B$19=0,0,G20/B$19)</f>
        <v>1.3157894736842105E-2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>IF(P20=0,0,Q20/P20)</f>
        <v>3.2964285714285757</v>
      </c>
      <c r="P20" s="81">
        <v>84</v>
      </c>
      <c r="Q20" s="72">
        <v>276.90000000000038</v>
      </c>
    </row>
    <row r="21" spans="1:17" x14ac:dyDescent="0.45">
      <c r="A21" s="21" t="s">
        <v>12</v>
      </c>
      <c r="B21" s="14">
        <v>241</v>
      </c>
      <c r="C21" s="8">
        <f>IF(B$19=0,0,B21/B$19)</f>
        <v>0.45300751879699247</v>
      </c>
      <c r="E21" s="29" t="s">
        <v>85</v>
      </c>
      <c r="F21" s="26" t="s">
        <v>40</v>
      </c>
      <c r="G21" s="14">
        <v>3</v>
      </c>
      <c r="H21" s="92">
        <f>IF(B$19=0,0,G21/B$19)</f>
        <v>5.6390977443609019E-3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291</v>
      </c>
      <c r="C22" s="8">
        <f>IF(B$19=0,0,B22/B$19)</f>
        <v>0.54699248120300747</v>
      </c>
      <c r="E22" s="29" t="s">
        <v>73</v>
      </c>
      <c r="F22" s="26" t="s">
        <v>28</v>
      </c>
      <c r="G22" s="14">
        <v>2</v>
      </c>
      <c r="H22" s="92">
        <f>IF(B$19=0,0,G22/B$19)</f>
        <v>3.7593984962406013E-3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245</v>
      </c>
      <c r="C23" s="8">
        <f>IF(B$19=0,0,B23/B$19)</f>
        <v>0.46052631578947367</v>
      </c>
      <c r="E23" s="29" t="s">
        <v>75</v>
      </c>
      <c r="F23" s="26" t="s">
        <v>30</v>
      </c>
      <c r="G23" s="14">
        <v>2</v>
      </c>
      <c r="H23" s="92">
        <f>IF(B$19=0,0,G23/B$19)</f>
        <v>3.7593984962406013E-3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-17.110909090909075</v>
      </c>
      <c r="P23" s="81">
        <v>110</v>
      </c>
      <c r="Q23" s="72">
        <v>-1882.1999999999985</v>
      </c>
    </row>
    <row r="24" spans="1:17" x14ac:dyDescent="0.45">
      <c r="A24" s="21" t="s">
        <v>182</v>
      </c>
      <c r="B24" s="14">
        <v>157</v>
      </c>
      <c r="C24" s="8">
        <f>IF(B$19=0,0,B24/B$19)</f>
        <v>0.29511278195488722</v>
      </c>
      <c r="E24" s="29" t="s">
        <v>77</v>
      </c>
      <c r="F24" s="26" t="s">
        <v>32</v>
      </c>
      <c r="G24" s="14">
        <v>2</v>
      </c>
      <c r="H24" s="92">
        <f>IF(B$19=0,0,G24/B$19)</f>
        <v>3.7593984962406013E-3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130</v>
      </c>
      <c r="C25" s="8">
        <f>IF(B$19=0,0,B25/B$19)</f>
        <v>0.24436090225563908</v>
      </c>
      <c r="E25" s="29" t="s">
        <v>87</v>
      </c>
      <c r="F25" s="26" t="s">
        <v>42</v>
      </c>
      <c r="G25" s="14">
        <v>2</v>
      </c>
      <c r="H25" s="92">
        <f>IF(B$19=0,0,G25/B$19)</f>
        <v>3.7593984962406013E-3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9084.5864661654141</v>
      </c>
      <c r="C26" s="10">
        <v>4833000</v>
      </c>
      <c r="E26" s="29" t="s">
        <v>93</v>
      </c>
      <c r="F26" s="26" t="s">
        <v>48</v>
      </c>
      <c r="G26" s="14">
        <v>2</v>
      </c>
      <c r="H26" s="92">
        <f>IF(B$19=0,0,G26/B$19)</f>
        <v>3.7593984962406013E-3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9525.0666666666675</v>
      </c>
      <c r="C27" s="100">
        <v>3571900</v>
      </c>
      <c r="E27" s="29" t="s">
        <v>84</v>
      </c>
      <c r="F27" s="26" t="s">
        <v>39</v>
      </c>
      <c r="G27" s="14">
        <v>1</v>
      </c>
      <c r="H27" s="92">
        <f>IF(B$19=0,0,G27/B$19)</f>
        <v>1.8796992481203006E-3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8032.4840764331211</v>
      </c>
      <c r="C28" s="100">
        <v>1261100</v>
      </c>
      <c r="E28" s="29" t="s">
        <v>88</v>
      </c>
      <c r="F28" s="26" t="s">
        <v>43</v>
      </c>
      <c r="G28" s="14">
        <v>1</v>
      </c>
      <c r="H28" s="92">
        <f>IF(B$19=0,0,G28/B$19)</f>
        <v>1.8796992481203006E-3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-8194.4827586206902</v>
      </c>
      <c r="C29" s="100">
        <v>-2376400</v>
      </c>
      <c r="E29" s="29" t="s">
        <v>95</v>
      </c>
      <c r="F29" s="26" t="s">
        <v>50</v>
      </c>
      <c r="G29" s="14">
        <v>1</v>
      </c>
      <c r="H29" s="92">
        <f>IF(B$19=0,0,G29/B$19)</f>
        <v>1.8796992481203006E-3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1.8796992481203006E-3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0</v>
      </c>
      <c r="E31" s="29" t="s">
        <v>102</v>
      </c>
      <c r="F31" s="26" t="s">
        <v>57</v>
      </c>
      <c r="G31" s="14">
        <v>1</v>
      </c>
      <c r="H31" s="92">
        <f>IF(B$19=0,0,G31/B$19)</f>
        <v>1.8796992481203006E-3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4</v>
      </c>
      <c r="C34" s="11">
        <f>IF(B$3=0,0,B34/B$3)</f>
        <v>2.2038567493112946E-3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43</v>
      </c>
      <c r="C36" s="102">
        <f t="shared" ref="C36:C48" si="2">IF(B$19=0,0,B36/B$19)</f>
        <v>8.0827067669172928E-2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95</v>
      </c>
      <c r="C37" s="8">
        <f t="shared" si="2"/>
        <v>0.17857142857142858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88</v>
      </c>
      <c r="C38" s="8">
        <f t="shared" si="2"/>
        <v>0.16541353383458646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97</v>
      </c>
      <c r="C39" s="8">
        <f t="shared" si="2"/>
        <v>0.18233082706766918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79</v>
      </c>
      <c r="C40" s="8">
        <f t="shared" si="2"/>
        <v>0.14849624060150377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49</v>
      </c>
      <c r="C41" s="8">
        <f t="shared" si="2"/>
        <v>9.2105263157894732E-2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33</v>
      </c>
      <c r="C42" s="8">
        <f t="shared" si="2"/>
        <v>6.2030075187969921E-2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13</v>
      </c>
      <c r="C43" s="8">
        <f t="shared" si="2"/>
        <v>2.4436090225563908E-2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1.8796992481203006E-2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7</v>
      </c>
      <c r="C45" s="8">
        <f t="shared" si="2"/>
        <v>1.3157894736842105E-2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7.5187969924812026E-3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1.8796992481203006E-3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13</v>
      </c>
      <c r="C48" s="11">
        <f t="shared" si="2"/>
        <v>2.4436090225563908E-2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43</v>
      </c>
      <c r="C2" s="132"/>
      <c r="E2" s="28" t="s">
        <v>66</v>
      </c>
      <c r="F2" s="25" t="s">
        <v>22</v>
      </c>
      <c r="G2" s="13">
        <v>75</v>
      </c>
      <c r="H2" s="91">
        <f>IF(B$19=0,0,G2/B$19)</f>
        <v>0.85227272727272729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-2561.9047619047619</v>
      </c>
      <c r="P2" s="80">
        <v>42</v>
      </c>
      <c r="Q2" s="67">
        <v>-107600</v>
      </c>
    </row>
    <row r="3" spans="1:17" x14ac:dyDescent="0.45">
      <c r="A3" s="21" t="s">
        <v>8</v>
      </c>
      <c r="B3" s="133">
        <v>337</v>
      </c>
      <c r="C3" s="134"/>
      <c r="E3" s="29" t="s">
        <v>72</v>
      </c>
      <c r="F3" s="26" t="s">
        <v>27</v>
      </c>
      <c r="G3" s="14">
        <v>46</v>
      </c>
      <c r="H3" s="92">
        <f>IF(B$19=0,0,G3/B$19)</f>
        <v>0.52272727272727271</v>
      </c>
      <c r="I3" s="60">
        <v>7</v>
      </c>
      <c r="K3" s="7">
        <v>1</v>
      </c>
      <c r="L3" s="65">
        <v>-2.9</v>
      </c>
      <c r="N3" s="78" t="s">
        <v>129</v>
      </c>
      <c r="O3" s="84">
        <f t="shared" si="0"/>
        <v>-1636.5853658536585</v>
      </c>
      <c r="P3" s="81">
        <v>41</v>
      </c>
      <c r="Q3" s="68">
        <v>-67100</v>
      </c>
    </row>
    <row r="4" spans="1:17" x14ac:dyDescent="0.45">
      <c r="A4" s="21" t="s">
        <v>6</v>
      </c>
      <c r="B4" s="135">
        <v>-202.10000000000005</v>
      </c>
      <c r="C4" s="136"/>
      <c r="E4" s="29" t="s">
        <v>160</v>
      </c>
      <c r="F4" s="26" t="s">
        <v>161</v>
      </c>
      <c r="G4" s="14">
        <v>44</v>
      </c>
      <c r="H4" s="92">
        <f>IF(B$19=0,0,G4/B$19)</f>
        <v>0.5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234.21052631578948</v>
      </c>
      <c r="P4" s="81">
        <v>38</v>
      </c>
      <c r="Q4" s="68">
        <v>8900</v>
      </c>
    </row>
    <row r="5" spans="1:17" x14ac:dyDescent="0.45">
      <c r="A5" s="21" t="s">
        <v>7</v>
      </c>
      <c r="B5" s="123">
        <f>IF(B$2=0,0,B$4/B$2)</f>
        <v>-4.7000000000000011</v>
      </c>
      <c r="C5" s="124"/>
      <c r="E5" s="29" t="s">
        <v>64</v>
      </c>
      <c r="F5" s="26" t="s">
        <v>20</v>
      </c>
      <c r="G5" s="14">
        <v>42</v>
      </c>
      <c r="H5" s="92">
        <f>IF(B$19=0,0,G5/B$19)</f>
        <v>0.47727272727272729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-2017.6470588235295</v>
      </c>
      <c r="P5" s="81">
        <v>34</v>
      </c>
      <c r="Q5" s="68">
        <v>-68600</v>
      </c>
    </row>
    <row r="6" spans="1:17" x14ac:dyDescent="0.45">
      <c r="A6" s="21" t="s">
        <v>1</v>
      </c>
      <c r="B6" s="137">
        <f>IF(B$2=0,0,(B$7*1+B$8*2+B$9*3)/B$2)</f>
        <v>2.0930232558139537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0.23863636363636365</v>
      </c>
      <c r="I6" s="60">
        <v>9</v>
      </c>
      <c r="K6" s="7">
        <v>4</v>
      </c>
      <c r="L6" s="65">
        <v>27.4</v>
      </c>
      <c r="N6" s="78" t="s">
        <v>132</v>
      </c>
      <c r="O6" s="84">
        <f t="shared" si="0"/>
        <v>134.375</v>
      </c>
      <c r="P6" s="81">
        <v>32</v>
      </c>
      <c r="Q6" s="68">
        <v>4300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0.34883720930232559</v>
      </c>
      <c r="E7" s="29" t="s">
        <v>67</v>
      </c>
      <c r="F7" s="26" t="s">
        <v>23</v>
      </c>
      <c r="G7" s="14">
        <v>19</v>
      </c>
      <c r="H7" s="92">
        <f>IF(B$19=0,0,G7/B$19)</f>
        <v>0.21590909090909091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0"/>
        <v>2995.8333333333335</v>
      </c>
      <c r="P7" s="82">
        <v>24</v>
      </c>
      <c r="Q7" s="69">
        <v>71900</v>
      </c>
    </row>
    <row r="8" spans="1:17" x14ac:dyDescent="0.45">
      <c r="A8" s="21" t="s">
        <v>3</v>
      </c>
      <c r="B8" s="14">
        <v>9</v>
      </c>
      <c r="C8" s="8">
        <f t="shared" si="1"/>
        <v>0.20930232558139536</v>
      </c>
      <c r="E8" s="29" t="s">
        <v>89</v>
      </c>
      <c r="F8" s="26" t="s">
        <v>44</v>
      </c>
      <c r="G8" s="14">
        <v>13</v>
      </c>
      <c r="H8" s="92">
        <f>IF(B$19=0,0,G8/B$19)</f>
        <v>0.14772727272727273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19</v>
      </c>
      <c r="C9" s="9">
        <f t="shared" si="1"/>
        <v>0.44186046511627908</v>
      </c>
      <c r="E9" s="29" t="s">
        <v>70</v>
      </c>
      <c r="F9" s="26" t="s">
        <v>25</v>
      </c>
      <c r="G9" s="14">
        <v>11</v>
      </c>
      <c r="H9" s="92">
        <f>IF(B$19=0,0,G9/B$19)</f>
        <v>0.125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41.053333333333349</v>
      </c>
      <c r="C10" s="114">
        <v>615.80000000000018</v>
      </c>
      <c r="E10" s="29" t="s">
        <v>65</v>
      </c>
      <c r="F10" s="26" t="s">
        <v>21</v>
      </c>
      <c r="G10" s="14">
        <v>10</v>
      </c>
      <c r="H10" s="92">
        <f>IF(B$19=0,0,G10/B$19)</f>
        <v>0.11363636363636363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-11.82666666666667</v>
      </c>
      <c r="P10" s="80">
        <v>15</v>
      </c>
      <c r="Q10" s="71">
        <v>-177.40000000000003</v>
      </c>
    </row>
    <row r="11" spans="1:17" x14ac:dyDescent="0.45">
      <c r="A11" s="22" t="s">
        <v>186</v>
      </c>
      <c r="B11" s="113">
        <f>IF(B8=0,0,C11/B8)</f>
        <v>-4.5</v>
      </c>
      <c r="C11" s="114">
        <v>-40.5</v>
      </c>
      <c r="E11" s="29" t="s">
        <v>69</v>
      </c>
      <c r="F11" s="26" t="s">
        <v>24</v>
      </c>
      <c r="G11" s="14">
        <v>8</v>
      </c>
      <c r="H11" s="92">
        <f>IF(B$19=0,0,G11/B$19)</f>
        <v>9.0909090909090912E-2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-40.915789473684207</v>
      </c>
      <c r="C12" s="114">
        <v>-777.39999999999986</v>
      </c>
      <c r="E12" s="29" t="s">
        <v>86</v>
      </c>
      <c r="F12" s="26" t="s">
        <v>41</v>
      </c>
      <c r="G12" s="14">
        <v>8</v>
      </c>
      <c r="H12" s="92">
        <f>IF(B$19=0,0,G12/B$19)</f>
        <v>9.0909090909090912E-2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-5.56111111111111</v>
      </c>
      <c r="P12" s="82">
        <v>18</v>
      </c>
      <c r="Q12" s="73">
        <v>-100.09999999999998</v>
      </c>
    </row>
    <row r="13" spans="1:17" x14ac:dyDescent="0.45">
      <c r="A13" s="22" t="s">
        <v>188</v>
      </c>
      <c r="B13" s="123">
        <f>AVERAGE(B10:B12)</f>
        <v>-1.4541520467836193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7.9545454545454544E-2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0.20930232558139536</v>
      </c>
      <c r="E14" s="29" t="s">
        <v>71</v>
      </c>
      <c r="F14" s="26" t="s">
        <v>26</v>
      </c>
      <c r="G14" s="14">
        <v>5</v>
      </c>
      <c r="H14" s="92">
        <f>IF(B$19=0,0,G14/B$19)</f>
        <v>5.6818181818181816E-2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97</v>
      </c>
      <c r="C15" s="12">
        <f>IF(B$3=0,0,B15/B$3)</f>
        <v>0.28783382789317508</v>
      </c>
      <c r="E15" s="29" t="s">
        <v>81</v>
      </c>
      <c r="F15" s="26" t="s">
        <v>36</v>
      </c>
      <c r="G15" s="14">
        <v>4</v>
      </c>
      <c r="H15" s="92">
        <f>IF(B$19=0,0,G15/B$19)</f>
        <v>4.5454545454545456E-2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69</v>
      </c>
      <c r="C16" s="8">
        <f>IF(B$3=0,0,B16/B$3)</f>
        <v>0.20474777448071216</v>
      </c>
      <c r="E16" s="29" t="s">
        <v>79</v>
      </c>
      <c r="F16" s="26" t="s">
        <v>34</v>
      </c>
      <c r="G16" s="14">
        <v>3</v>
      </c>
      <c r="H16" s="92">
        <f>IF(B$19=0,0,G16/B$19)</f>
        <v>3.4090909090909088E-2</v>
      </c>
      <c r="I16" s="60">
        <v>3</v>
      </c>
      <c r="K16" s="7">
        <v>14</v>
      </c>
      <c r="L16" s="65">
        <v>15.100000000000001</v>
      </c>
      <c r="N16" s="78" t="s">
        <v>213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41</v>
      </c>
      <c r="C17" s="6">
        <f>IF(B$15=0,0,B17/B$15)</f>
        <v>0.42268041237113402</v>
      </c>
      <c r="E17" s="29" t="s">
        <v>78</v>
      </c>
      <c r="F17" s="26" t="s">
        <v>33</v>
      </c>
      <c r="G17" s="14">
        <v>2</v>
      </c>
      <c r="H17" s="92">
        <f>IF(B$19=0,0,G17/B$19)</f>
        <v>2.2727272727272728E-2</v>
      </c>
      <c r="I17" s="60">
        <v>6</v>
      </c>
      <c r="K17" s="7">
        <v>15</v>
      </c>
      <c r="L17" s="65">
        <v>-33.1</v>
      </c>
      <c r="N17" s="78" t="s">
        <v>192</v>
      </c>
      <c r="O17" s="87">
        <f>IF(P17=0,0,Q17/P17)</f>
        <v>6.9411764705882337</v>
      </c>
      <c r="P17" s="81">
        <v>17</v>
      </c>
      <c r="Q17" s="72">
        <v>117.99999999999997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0.39130434782608697</v>
      </c>
      <c r="E18" s="29" t="s">
        <v>83</v>
      </c>
      <c r="F18" s="26" t="s">
        <v>38</v>
      </c>
      <c r="G18" s="14">
        <v>2</v>
      </c>
      <c r="H18" s="92">
        <f>IF(B$19=0,0,G18/B$19)</f>
        <v>2.2727272727272728E-2</v>
      </c>
      <c r="I18" s="60">
        <v>7</v>
      </c>
      <c r="K18" s="7">
        <v>16</v>
      </c>
      <c r="L18" s="65">
        <v>-10.8</v>
      </c>
      <c r="N18" s="78" t="s">
        <v>196</v>
      </c>
      <c r="O18" s="87">
        <f>IF(P18=0,0,Q18/P18)</f>
        <v>-0.29999999999999244</v>
      </c>
      <c r="P18" s="81">
        <v>3</v>
      </c>
      <c r="Q18" s="72">
        <v>-0.89999999999997726</v>
      </c>
    </row>
    <row r="19" spans="1:17" x14ac:dyDescent="0.45">
      <c r="A19" s="20" t="s">
        <v>10</v>
      </c>
      <c r="B19" s="13">
        <f>B22+B21</f>
        <v>88</v>
      </c>
      <c r="C19" s="6">
        <f>IF(B$3=0,0,B19/B$3)</f>
        <v>0.26112759643916916</v>
      </c>
      <c r="E19" s="29" t="s">
        <v>92</v>
      </c>
      <c r="F19" s="26" t="s">
        <v>47</v>
      </c>
      <c r="G19" s="14">
        <v>2</v>
      </c>
      <c r="H19" s="92">
        <f>IF(B$19=0,0,G19/B$19)</f>
        <v>2.2727272727272728E-2</v>
      </c>
      <c r="I19" s="60">
        <v>2</v>
      </c>
      <c r="K19" s="7">
        <v>17</v>
      </c>
      <c r="L19" s="65">
        <v>-32.900000000000006</v>
      </c>
      <c r="N19" s="78" t="s">
        <v>205</v>
      </c>
      <c r="O19" s="87">
        <f>IF(P19=0,0,Q19/P19)</f>
        <v>-9.1857142857142868</v>
      </c>
      <c r="P19" s="81">
        <v>7</v>
      </c>
      <c r="Q19" s="72">
        <v>-64.300000000000011</v>
      </c>
    </row>
    <row r="20" spans="1:17" x14ac:dyDescent="0.45">
      <c r="A20" s="21" t="s">
        <v>13</v>
      </c>
      <c r="B20" s="14">
        <v>69</v>
      </c>
      <c r="C20" s="8">
        <f>IF(B$3=0,0,B20/B$3)</f>
        <v>0.20474777448071216</v>
      </c>
      <c r="E20" s="29" t="s">
        <v>75</v>
      </c>
      <c r="F20" s="26" t="s">
        <v>30</v>
      </c>
      <c r="G20" s="14">
        <v>1</v>
      </c>
      <c r="H20" s="92">
        <f>IF(B$19=0,0,G20/B$19)</f>
        <v>1.1363636363636364E-2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-12.633333333333326</v>
      </c>
      <c r="P20" s="81">
        <v>33</v>
      </c>
      <c r="Q20" s="72">
        <v>-416.89999999999975</v>
      </c>
    </row>
    <row r="21" spans="1:17" x14ac:dyDescent="0.45">
      <c r="A21" s="21" t="s">
        <v>12</v>
      </c>
      <c r="B21" s="14">
        <v>35</v>
      </c>
      <c r="C21" s="8">
        <f>IF(B$19=0,0,B21/B$19)</f>
        <v>0.39772727272727271</v>
      </c>
      <c r="E21" s="29" t="s">
        <v>97</v>
      </c>
      <c r="F21" s="26" t="s">
        <v>52</v>
      </c>
      <c r="G21" s="14">
        <v>1</v>
      </c>
      <c r="H21" s="92">
        <f>IF(B$19=0,0,G21/B$19)</f>
        <v>1.1363636363636364E-2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>IF(P21=0,0,Q21/P21)</f>
        <v>-32.20000000000001</v>
      </c>
      <c r="P21" s="81">
        <v>6</v>
      </c>
      <c r="Q21" s="72">
        <v>-193.20000000000005</v>
      </c>
    </row>
    <row r="22" spans="1:17" x14ac:dyDescent="0.45">
      <c r="A22" s="21" t="s">
        <v>11</v>
      </c>
      <c r="B22" s="14">
        <v>53</v>
      </c>
      <c r="C22" s="8">
        <f>IF(B$19=0,0,B22/B$19)</f>
        <v>0.60227272727272729</v>
      </c>
      <c r="E22" s="29" t="s">
        <v>156</v>
      </c>
      <c r="F22" s="26" t="s">
        <v>157</v>
      </c>
      <c r="G22" s="14">
        <v>1</v>
      </c>
      <c r="H22" s="92">
        <f>IF(B$19=0,0,G22/B$19)</f>
        <v>1.1363636363636364E-2</v>
      </c>
      <c r="I22" s="60">
        <v>4</v>
      </c>
      <c r="K22" s="7">
        <v>20</v>
      </c>
      <c r="L22" s="65">
        <v>-72.000000000000014</v>
      </c>
      <c r="N22" s="78" t="s">
        <v>193</v>
      </c>
      <c r="O22" s="87">
        <f>IF(P22=0,0,Q22/P22)</f>
        <v>-33.971428571428568</v>
      </c>
      <c r="P22" s="81">
        <v>7</v>
      </c>
      <c r="Q22" s="72">
        <v>-237.79999999999998</v>
      </c>
    </row>
    <row r="23" spans="1:17" x14ac:dyDescent="0.45">
      <c r="A23" s="21" t="s">
        <v>184</v>
      </c>
      <c r="B23" s="14">
        <v>41</v>
      </c>
      <c r="C23" s="8">
        <f>IF(B$19=0,0,B23/B$19)</f>
        <v>0.46590909090909088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27</v>
      </c>
      <c r="C24" s="8">
        <f>IF(B$19=0,0,B24/B$19)</f>
        <v>0.30681818181818182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20</v>
      </c>
      <c r="C25" s="8">
        <f>IF(B$19=0,0,B25/B$19)</f>
        <v>0.22727272727272727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10453.40909090909</v>
      </c>
      <c r="C26" s="10">
        <v>919900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11277.049180327869</v>
      </c>
      <c r="C27" s="100">
        <v>687900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8592.5925925925931</v>
      </c>
      <c r="C28" s="100">
        <v>232000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-8340.579710144928</v>
      </c>
      <c r="C29" s="100">
        <v>-575500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0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5.9347181008902079E-3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2">IF(B$19=0,0,B36/B$19)</f>
        <v>2.2727272727272728E-2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2"/>
        <v>0.13636363636363635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7</v>
      </c>
      <c r="C38" s="8">
        <f t="shared" si="2"/>
        <v>7.9545454545454544E-2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24</v>
      </c>
      <c r="C39" s="8">
        <f t="shared" si="2"/>
        <v>0.27272727272727271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18</v>
      </c>
      <c r="C40" s="8">
        <f t="shared" si="2"/>
        <v>0.20454545454545456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8</v>
      </c>
      <c r="C41" s="8">
        <f t="shared" si="2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8</v>
      </c>
      <c r="C42" s="8">
        <f t="shared" si="2"/>
        <v>9.0909090909090912E-2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2"/>
        <v>4.5454545454545456E-2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2"/>
        <v>1.1363636363636364E-2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2"/>
        <v>1.1363636363636364E-2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2"/>
        <v>3.4090909090909088E-2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55</v>
      </c>
      <c r="C2" s="132"/>
      <c r="E2" s="28" t="s">
        <v>66</v>
      </c>
      <c r="F2" s="25" t="s">
        <v>22</v>
      </c>
      <c r="G2" s="13">
        <v>98</v>
      </c>
      <c r="H2" s="91">
        <f>IF(B$19=0,0,G2/B$19)</f>
        <v>0.69503546099290781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316.36363636363637</v>
      </c>
      <c r="P2" s="80">
        <v>55</v>
      </c>
      <c r="Q2" s="67">
        <v>17400</v>
      </c>
    </row>
    <row r="3" spans="1:17" x14ac:dyDescent="0.45">
      <c r="A3" s="21" t="s">
        <v>8</v>
      </c>
      <c r="B3" s="133">
        <v>423</v>
      </c>
      <c r="C3" s="134"/>
      <c r="E3" s="29" t="s">
        <v>72</v>
      </c>
      <c r="F3" s="26" t="s">
        <v>27</v>
      </c>
      <c r="G3" s="14">
        <v>69</v>
      </c>
      <c r="H3" s="92">
        <f>IF(B$19=0,0,G3/B$19)</f>
        <v>0.48936170212765956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4616.9811320754716</v>
      </c>
      <c r="P3" s="81">
        <v>53</v>
      </c>
      <c r="Q3" s="68">
        <v>244700</v>
      </c>
    </row>
    <row r="4" spans="1:17" x14ac:dyDescent="0.45">
      <c r="A4" s="21" t="s">
        <v>6</v>
      </c>
      <c r="B4" s="135">
        <v>627.40000000000009</v>
      </c>
      <c r="C4" s="136"/>
      <c r="E4" s="29" t="s">
        <v>160</v>
      </c>
      <c r="F4" s="26" t="s">
        <v>161</v>
      </c>
      <c r="G4" s="14">
        <v>62</v>
      </c>
      <c r="H4" s="92">
        <f>IF(B$19=0,0,G4/B$19)</f>
        <v>0.43971631205673761</v>
      </c>
      <c r="I4" s="60">
        <v>4</v>
      </c>
      <c r="K4" s="7">
        <v>2</v>
      </c>
      <c r="L4" s="65">
        <v>99.6</v>
      </c>
      <c r="N4" s="78" t="s">
        <v>130</v>
      </c>
      <c r="O4" s="84">
        <f t="shared" si="0"/>
        <v>3870</v>
      </c>
      <c r="P4" s="81">
        <v>50</v>
      </c>
      <c r="Q4" s="68">
        <v>193500</v>
      </c>
    </row>
    <row r="5" spans="1:17" x14ac:dyDescent="0.45">
      <c r="A5" s="21" t="s">
        <v>7</v>
      </c>
      <c r="B5" s="123">
        <f>IF(B$2=0,0,B$4/B$2)</f>
        <v>11.407272727272728</v>
      </c>
      <c r="C5" s="124"/>
      <c r="E5" s="29" t="s">
        <v>64</v>
      </c>
      <c r="F5" s="26" t="s">
        <v>20</v>
      </c>
      <c r="G5" s="14">
        <v>61</v>
      </c>
      <c r="H5" s="92">
        <f>IF(B$19=0,0,G5/B$19)</f>
        <v>0.43262411347517732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2467.4418604651164</v>
      </c>
      <c r="P5" s="81">
        <v>43</v>
      </c>
      <c r="Q5" s="68">
        <v>106100</v>
      </c>
    </row>
    <row r="6" spans="1:17" x14ac:dyDescent="0.45">
      <c r="A6" s="21" t="s">
        <v>1</v>
      </c>
      <c r="B6" s="137">
        <f>IF(B$2=0,0,(B$7*1+B$8*2+B$9*3)/B$2)</f>
        <v>1.7636363636363637</v>
      </c>
      <c r="C6" s="138"/>
      <c r="E6" s="29" t="s">
        <v>68</v>
      </c>
      <c r="F6" s="26" t="s">
        <v>12</v>
      </c>
      <c r="G6" s="14">
        <v>55</v>
      </c>
      <c r="H6" s="92">
        <f>IF(B$19=0,0,G6/B$19)</f>
        <v>0.39007092198581561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-1274.3589743589744</v>
      </c>
      <c r="P6" s="81">
        <v>39</v>
      </c>
      <c r="Q6" s="68">
        <v>-49700</v>
      </c>
    </row>
    <row r="7" spans="1:17" x14ac:dyDescent="0.45">
      <c r="A7" s="21" t="s">
        <v>2</v>
      </c>
      <c r="B7" s="14">
        <v>24</v>
      </c>
      <c r="C7" s="8">
        <f t="shared" ref="C7:C14" si="1">IF(B$2=0,0,B7/B$2)</f>
        <v>0.43636363636363634</v>
      </c>
      <c r="E7" s="29" t="s">
        <v>67</v>
      </c>
      <c r="F7" s="26" t="s">
        <v>23</v>
      </c>
      <c r="G7" s="14">
        <v>35</v>
      </c>
      <c r="H7" s="92">
        <f>IF(B$19=0,0,G7/B$19)</f>
        <v>0.24822695035460993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1454.8387096774193</v>
      </c>
      <c r="P7" s="82">
        <v>31</v>
      </c>
      <c r="Q7" s="69">
        <v>45100</v>
      </c>
    </row>
    <row r="8" spans="1:17" x14ac:dyDescent="0.45">
      <c r="A8" s="21" t="s">
        <v>3</v>
      </c>
      <c r="B8" s="14">
        <v>20</v>
      </c>
      <c r="C8" s="8">
        <f t="shared" si="1"/>
        <v>0.36363636363636365</v>
      </c>
      <c r="E8" s="29" t="s">
        <v>69</v>
      </c>
      <c r="F8" s="26" t="s">
        <v>24</v>
      </c>
      <c r="G8" s="14">
        <v>25</v>
      </c>
      <c r="H8" s="92">
        <f>IF(B$19=0,0,G8/B$19)</f>
        <v>0.1773049645390071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0.2</v>
      </c>
      <c r="E9" s="29" t="s">
        <v>89</v>
      </c>
      <c r="F9" s="26" t="s">
        <v>44</v>
      </c>
      <c r="G9" s="14">
        <v>24</v>
      </c>
      <c r="H9" s="92">
        <f>IF(B$19=0,0,G9/B$19)</f>
        <v>0.1702127659574468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44.324999999999996</v>
      </c>
      <c r="C10" s="114">
        <v>1063.8</v>
      </c>
      <c r="E10" s="29" t="s">
        <v>65</v>
      </c>
      <c r="F10" s="26" t="s">
        <v>21</v>
      </c>
      <c r="G10" s="14">
        <v>14</v>
      </c>
      <c r="H10" s="92">
        <f>IF(B$19=0,0,G10/B$19)</f>
        <v>9.9290780141843976E-2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1.0470588235294118</v>
      </c>
      <c r="P10" s="80">
        <v>17</v>
      </c>
      <c r="Q10" s="71">
        <v>17.8</v>
      </c>
    </row>
    <row r="11" spans="1:17" x14ac:dyDescent="0.45">
      <c r="A11" s="22" t="s">
        <v>186</v>
      </c>
      <c r="B11" s="113">
        <f>IF(B8=0,0,C11/B8)</f>
        <v>0.25000000000000006</v>
      </c>
      <c r="C11" s="114">
        <v>5.0000000000000009</v>
      </c>
      <c r="E11" s="29" t="s">
        <v>71</v>
      </c>
      <c r="F11" s="26" t="s">
        <v>26</v>
      </c>
      <c r="G11" s="14">
        <v>13</v>
      </c>
      <c r="H11" s="92">
        <f>IF(B$19=0,0,G11/B$19)</f>
        <v>9.2198581560283682E-2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11.644999999999996</v>
      </c>
      <c r="P11" s="81">
        <v>20</v>
      </c>
      <c r="Q11" s="72">
        <v>232.89999999999992</v>
      </c>
    </row>
    <row r="12" spans="1:17" x14ac:dyDescent="0.45">
      <c r="A12" s="22" t="s">
        <v>187</v>
      </c>
      <c r="B12" s="113">
        <f>IF(B9=0,0,C12/B9)</f>
        <v>-40.127272727272732</v>
      </c>
      <c r="C12" s="114">
        <v>-441.40000000000003</v>
      </c>
      <c r="E12" s="29" t="s">
        <v>86</v>
      </c>
      <c r="F12" s="26" t="s">
        <v>41</v>
      </c>
      <c r="G12" s="14">
        <v>12</v>
      </c>
      <c r="H12" s="92">
        <f>IF(B$19=0,0,G12/B$19)</f>
        <v>8.5106382978723402E-2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20.927777777777784</v>
      </c>
      <c r="P12" s="82">
        <v>18</v>
      </c>
      <c r="Q12" s="73">
        <v>376.7000000000001</v>
      </c>
    </row>
    <row r="13" spans="1:17" x14ac:dyDescent="0.45">
      <c r="A13" s="22" t="s">
        <v>188</v>
      </c>
      <c r="B13" s="123">
        <f>AVERAGE(B10:B12)</f>
        <v>1.4825757575757545</v>
      </c>
      <c r="C13" s="124"/>
      <c r="E13" s="29" t="s">
        <v>70</v>
      </c>
      <c r="F13" s="26" t="s">
        <v>25</v>
      </c>
      <c r="G13" s="14">
        <v>11</v>
      </c>
      <c r="H13" s="92">
        <f>IF(B$19=0,0,G13/B$19)</f>
        <v>7.8014184397163122E-2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5.4545454545454543E-2</v>
      </c>
      <c r="E14" s="29" t="s">
        <v>83</v>
      </c>
      <c r="F14" s="26" t="s">
        <v>38</v>
      </c>
      <c r="G14" s="14">
        <v>7</v>
      </c>
      <c r="H14" s="92">
        <f>IF(B$19=0,0,G14/B$19)</f>
        <v>4.9645390070921988E-2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107</v>
      </c>
      <c r="C15" s="12">
        <f>IF(B$3=0,0,B15/B$3)</f>
        <v>0.25295508274231676</v>
      </c>
      <c r="E15" s="29" t="s">
        <v>81</v>
      </c>
      <c r="F15" s="26" t="s">
        <v>36</v>
      </c>
      <c r="G15" s="14">
        <v>4</v>
      </c>
      <c r="H15" s="92">
        <f>IF(B$19=0,0,G15/B$19)</f>
        <v>2.8368794326241134E-2</v>
      </c>
      <c r="I15" s="60">
        <v>4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70</v>
      </c>
      <c r="C16" s="8">
        <f>IF(B$3=0,0,B16/B$3)</f>
        <v>0.16548463356973994</v>
      </c>
      <c r="E16" s="29" t="s">
        <v>156</v>
      </c>
      <c r="F16" s="26" t="s">
        <v>157</v>
      </c>
      <c r="G16" s="14">
        <v>4</v>
      </c>
      <c r="H16" s="92">
        <f>IF(B$19=0,0,G16/B$19)</f>
        <v>2.8368794326241134E-2</v>
      </c>
      <c r="I16" s="60">
        <v>1</v>
      </c>
      <c r="K16" s="7">
        <v>14</v>
      </c>
      <c r="L16" s="65">
        <v>249.2</v>
      </c>
      <c r="N16" s="78" t="s">
        <v>194</v>
      </c>
      <c r="O16" s="87">
        <f>IF(P16=0,0,Q16/P16)</f>
        <v>30.300000000000008</v>
      </c>
      <c r="P16" s="81">
        <v>12</v>
      </c>
      <c r="Q16" s="72">
        <v>363.60000000000008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0.62616822429906538</v>
      </c>
      <c r="E17" s="29" t="s">
        <v>79</v>
      </c>
      <c r="F17" s="26" t="s">
        <v>34</v>
      </c>
      <c r="G17" s="14">
        <v>3</v>
      </c>
      <c r="H17" s="92">
        <f>IF(B$19=0,0,G17/B$19)</f>
        <v>2.1276595744680851E-2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36</v>
      </c>
      <c r="C18" s="6">
        <f>IF(B$16=0,0,B18/B$16)</f>
        <v>0.51428571428571423</v>
      </c>
      <c r="E18" s="29" t="s">
        <v>92</v>
      </c>
      <c r="F18" s="26" t="s">
        <v>47</v>
      </c>
      <c r="G18" s="14">
        <v>3</v>
      </c>
      <c r="H18" s="92">
        <f>IF(B$19=0,0,G18/B$19)</f>
        <v>2.1276595744680851E-2</v>
      </c>
      <c r="I18" s="60">
        <v>3</v>
      </c>
      <c r="K18" s="7">
        <v>16</v>
      </c>
      <c r="L18" s="65">
        <v>273.8</v>
      </c>
      <c r="N18" s="78" t="s">
        <v>192</v>
      </c>
      <c r="O18" s="87">
        <f>IF(P18=0,0,Q18/P18)</f>
        <v>22.24545454545455</v>
      </c>
      <c r="P18" s="81">
        <v>22</v>
      </c>
      <c r="Q18" s="72">
        <v>489.40000000000009</v>
      </c>
    </row>
    <row r="19" spans="1:17" x14ac:dyDescent="0.45">
      <c r="A19" s="20" t="s">
        <v>10</v>
      </c>
      <c r="B19" s="13">
        <f>B22+B21</f>
        <v>141</v>
      </c>
      <c r="C19" s="6">
        <f>IF(B$3=0,0,B19/B$3)</f>
        <v>0.33333333333333331</v>
      </c>
      <c r="E19" s="29" t="s">
        <v>78</v>
      </c>
      <c r="F19" s="26" t="s">
        <v>33</v>
      </c>
      <c r="G19" s="14">
        <v>2</v>
      </c>
      <c r="H19" s="92">
        <f>IF(B$19=0,0,G19/B$19)</f>
        <v>1.4184397163120567E-2</v>
      </c>
      <c r="I19" s="60">
        <v>8</v>
      </c>
      <c r="K19" s="7">
        <v>17</v>
      </c>
      <c r="L19" s="65">
        <v>242.8</v>
      </c>
      <c r="N19" s="78" t="s">
        <v>193</v>
      </c>
      <c r="O19" s="87">
        <f>IF(P19=0,0,Q19/P19)</f>
        <v>21.374999999999996</v>
      </c>
      <c r="P19" s="81">
        <v>12</v>
      </c>
      <c r="Q19" s="72">
        <v>256.49999999999994</v>
      </c>
    </row>
    <row r="20" spans="1:17" x14ac:dyDescent="0.45">
      <c r="A20" s="21" t="s">
        <v>13</v>
      </c>
      <c r="B20" s="14">
        <v>60</v>
      </c>
      <c r="C20" s="8">
        <f>IF(B$3=0,0,B20/B$3)</f>
        <v>0.14184397163120568</v>
      </c>
      <c r="E20" s="29" t="s">
        <v>91</v>
      </c>
      <c r="F20" s="26" t="s">
        <v>46</v>
      </c>
      <c r="G20" s="14">
        <v>2</v>
      </c>
      <c r="H20" s="92">
        <f>IF(B$19=0,0,G20/B$19)</f>
        <v>1.4184397163120567E-2</v>
      </c>
      <c r="I20" s="60">
        <v>5</v>
      </c>
      <c r="K20" s="7">
        <v>18</v>
      </c>
      <c r="L20" s="65">
        <v>280</v>
      </c>
      <c r="N20" s="78" t="s">
        <v>164</v>
      </c>
      <c r="O20" s="87">
        <f>IF(P20=0,0,Q20/P20)</f>
        <v>12.633333333333329</v>
      </c>
      <c r="P20" s="81">
        <v>33</v>
      </c>
      <c r="Q20" s="72">
        <v>416.89999999999986</v>
      </c>
    </row>
    <row r="21" spans="1:17" x14ac:dyDescent="0.45">
      <c r="A21" s="21" t="s">
        <v>12</v>
      </c>
      <c r="B21" s="14">
        <v>73</v>
      </c>
      <c r="C21" s="8">
        <f>IF(B$19=0,0,B21/B$19)</f>
        <v>0.51773049645390068</v>
      </c>
      <c r="E21" s="29" t="s">
        <v>93</v>
      </c>
      <c r="F21" s="26" t="s">
        <v>48</v>
      </c>
      <c r="G21" s="14">
        <v>2</v>
      </c>
      <c r="H21" s="92">
        <f>IF(B$19=0,0,G21/B$19)</f>
        <v>1.4184397163120567E-2</v>
      </c>
      <c r="I21" s="60">
        <v>1</v>
      </c>
      <c r="K21" s="7">
        <v>19</v>
      </c>
      <c r="L21" s="65">
        <v>281.5</v>
      </c>
      <c r="N21" s="78" t="s">
        <v>213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68</v>
      </c>
      <c r="C22" s="8">
        <f>IF(B$19=0,0,B22/B$19)</f>
        <v>0.48226950354609927</v>
      </c>
      <c r="E22" s="29" t="s">
        <v>73</v>
      </c>
      <c r="F22" s="26" t="s">
        <v>28</v>
      </c>
      <c r="G22" s="14">
        <v>1</v>
      </c>
      <c r="H22" s="92">
        <f>IF(B$19=0,0,G22/B$19)</f>
        <v>7.0921985815602835E-3</v>
      </c>
      <c r="I22" s="60">
        <v>2</v>
      </c>
      <c r="K22" s="7">
        <v>20</v>
      </c>
      <c r="L22" s="65">
        <v>287.2</v>
      </c>
      <c r="N22" s="78" t="s">
        <v>205</v>
      </c>
      <c r="O22" s="87">
        <f>IF(P22=0,0,Q22/P22)</f>
        <v>4.5285714285714285</v>
      </c>
      <c r="P22" s="81">
        <v>14</v>
      </c>
      <c r="Q22" s="72">
        <v>63.4</v>
      </c>
    </row>
    <row r="23" spans="1:17" x14ac:dyDescent="0.45">
      <c r="A23" s="21" t="s">
        <v>184</v>
      </c>
      <c r="B23" s="14">
        <v>67</v>
      </c>
      <c r="C23" s="8">
        <f>IF(B$19=0,0,B23/B$19)</f>
        <v>0.47517730496453903</v>
      </c>
      <c r="E23" s="29" t="s">
        <v>84</v>
      </c>
      <c r="F23" s="26" t="s">
        <v>39</v>
      </c>
      <c r="G23" s="14">
        <v>1</v>
      </c>
      <c r="H23" s="92">
        <f>IF(B$19=0,0,G23/B$19)</f>
        <v>7.0921985815602835E-3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36</v>
      </c>
      <c r="C24" s="8">
        <f>IF(B$19=0,0,B24/B$19)</f>
        <v>0.25531914893617019</v>
      </c>
      <c r="E24" s="29" t="s">
        <v>87</v>
      </c>
      <c r="F24" s="26" t="s">
        <v>42</v>
      </c>
      <c r="G24" s="14">
        <v>1</v>
      </c>
      <c r="H24" s="92">
        <f>IF(B$19=0,0,G24/B$19)</f>
        <v>7.0921985815602835E-3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38</v>
      </c>
      <c r="C25" s="8">
        <f>IF(B$19=0,0,B25/B$19)</f>
        <v>0.26950354609929078</v>
      </c>
      <c r="E25" s="29" t="s">
        <v>95</v>
      </c>
      <c r="F25" s="26" t="s">
        <v>50</v>
      </c>
      <c r="G25" s="14">
        <v>1</v>
      </c>
      <c r="H25" s="92">
        <f>IF(B$19=0,0,G25/B$19)</f>
        <v>7.0921985815602835E-3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10036.879432624113</v>
      </c>
      <c r="C26" s="10">
        <v>1415200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10337.142857142857</v>
      </c>
      <c r="C27" s="100">
        <v>1085400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9161.1111111111113</v>
      </c>
      <c r="C28" s="100">
        <v>329800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-8511.6666666666661</v>
      </c>
      <c r="C29" s="100">
        <v>-510700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2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5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4.9645390070921988E-2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23</v>
      </c>
      <c r="C37" s="8">
        <f t="shared" si="2"/>
        <v>0.16312056737588654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20</v>
      </c>
      <c r="C38" s="8">
        <f t="shared" si="2"/>
        <v>0.14184397163120568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29</v>
      </c>
      <c r="C39" s="8">
        <f t="shared" si="2"/>
        <v>0.20567375886524822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0.19148936170212766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11</v>
      </c>
      <c r="C41" s="8">
        <f t="shared" si="2"/>
        <v>7.8014184397163122E-2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7</v>
      </c>
      <c r="C42" s="8">
        <f t="shared" si="2"/>
        <v>4.9645390070921988E-2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2"/>
        <v>2.1276595744680851E-2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2.8368794326241134E-2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2.1276595744680851E-2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7.0921985815602835E-3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4.2553191489361701E-2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25</v>
      </c>
      <c r="C2" s="132"/>
      <c r="E2" s="28" t="s">
        <v>66</v>
      </c>
      <c r="F2" s="25" t="s">
        <v>22</v>
      </c>
      <c r="G2" s="13">
        <v>40</v>
      </c>
      <c r="H2" s="91">
        <f>IF(B$19=0,0,G2/B$19)</f>
        <v>0.76923076923076927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-3880</v>
      </c>
      <c r="P2" s="80">
        <v>25</v>
      </c>
      <c r="Q2" s="67">
        <v>-97000</v>
      </c>
    </row>
    <row r="3" spans="1:17" x14ac:dyDescent="0.45">
      <c r="A3" s="21" t="s">
        <v>8</v>
      </c>
      <c r="B3" s="133">
        <v>189</v>
      </c>
      <c r="C3" s="134"/>
      <c r="E3" s="29" t="s">
        <v>72</v>
      </c>
      <c r="F3" s="26" t="s">
        <v>27</v>
      </c>
      <c r="G3" s="14">
        <v>29</v>
      </c>
      <c r="H3" s="92">
        <f>IF(B$19=0,0,G3/B$19)</f>
        <v>0.55769230769230771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1716.6666666666667</v>
      </c>
      <c r="P3" s="81">
        <v>24</v>
      </c>
      <c r="Q3" s="68">
        <v>41200</v>
      </c>
    </row>
    <row r="4" spans="1:17" x14ac:dyDescent="0.45">
      <c r="A4" s="21" t="s">
        <v>6</v>
      </c>
      <c r="B4" s="135">
        <v>-227.29999999999993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0.48076923076923078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-4145.454545454545</v>
      </c>
      <c r="P4" s="81">
        <v>22</v>
      </c>
      <c r="Q4" s="68">
        <v>-91200</v>
      </c>
    </row>
    <row r="5" spans="1:17" x14ac:dyDescent="0.45">
      <c r="A5" s="21" t="s">
        <v>7</v>
      </c>
      <c r="B5" s="123">
        <f>IF(B$2=0,0,B$4/B$2)</f>
        <v>-9.091999999999997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0.40384615384615385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-216.66666666666666</v>
      </c>
      <c r="P5" s="81">
        <v>18</v>
      </c>
      <c r="Q5" s="68">
        <v>-3900</v>
      </c>
    </row>
    <row r="6" spans="1:17" x14ac:dyDescent="0.45">
      <c r="A6" s="21" t="s">
        <v>1</v>
      </c>
      <c r="B6" s="137">
        <f>IF(B$2=0,0,(B$7*1+B$8*2+B$9*3)/B$2)</f>
        <v>2.2799999999999998</v>
      </c>
      <c r="C6" s="138"/>
      <c r="E6" s="29" t="s">
        <v>68</v>
      </c>
      <c r="F6" s="26" t="s">
        <v>12</v>
      </c>
      <c r="G6" s="14">
        <v>14</v>
      </c>
      <c r="H6" s="92">
        <f>IF(B$19=0,0,G6/B$19)</f>
        <v>0.26923076923076922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2150</v>
      </c>
      <c r="P6" s="81">
        <v>14</v>
      </c>
      <c r="Q6" s="68">
        <v>30100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9</v>
      </c>
      <c r="H7" s="92">
        <f>IF(B$19=0,0,G7/B$19)</f>
        <v>0.17307692307692307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-4370</v>
      </c>
      <c r="P7" s="82">
        <v>10</v>
      </c>
      <c r="Q7" s="69">
        <v>-43700</v>
      </c>
    </row>
    <row r="8" spans="1:17" x14ac:dyDescent="0.45">
      <c r="A8" s="21" t="s">
        <v>3</v>
      </c>
      <c r="B8" s="14">
        <v>8</v>
      </c>
      <c r="C8" s="8">
        <f t="shared" si="1"/>
        <v>0.32</v>
      </c>
      <c r="E8" s="29" t="s">
        <v>89</v>
      </c>
      <c r="F8" s="26" t="s">
        <v>44</v>
      </c>
      <c r="G8" s="14">
        <v>7</v>
      </c>
      <c r="H8" s="92">
        <f>IF(B$19=0,0,G8/B$19)</f>
        <v>0.13461538461538461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0.48</v>
      </c>
      <c r="E9" s="29" t="s">
        <v>69</v>
      </c>
      <c r="F9" s="26" t="s">
        <v>24</v>
      </c>
      <c r="G9" s="14">
        <v>6</v>
      </c>
      <c r="H9" s="92">
        <f>IF(B$19=0,0,G9/B$19)</f>
        <v>0.11538461538461539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51.679999999999993</v>
      </c>
      <c r="C10" s="114">
        <v>258.39999999999998</v>
      </c>
      <c r="E10" s="29" t="s">
        <v>70</v>
      </c>
      <c r="F10" s="26" t="s">
        <v>25</v>
      </c>
      <c r="G10" s="14">
        <v>6</v>
      </c>
      <c r="H10" s="92">
        <f>IF(B$19=0,0,G10/B$19)</f>
        <v>0.11538461538461539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-36.949999999999996</v>
      </c>
      <c r="P10" s="80">
        <v>6</v>
      </c>
      <c r="Q10" s="71">
        <v>-221.7</v>
      </c>
    </row>
    <row r="11" spans="1:17" x14ac:dyDescent="0.45">
      <c r="A11" s="22" t="s">
        <v>186</v>
      </c>
      <c r="B11" s="113">
        <f>IF(B8=0,0,C11/B8)</f>
        <v>-4.375</v>
      </c>
      <c r="C11" s="114">
        <v>-35</v>
      </c>
      <c r="E11" s="29" t="s">
        <v>65</v>
      </c>
      <c r="F11" s="26" t="s">
        <v>21</v>
      </c>
      <c r="G11" s="14">
        <v>4</v>
      </c>
      <c r="H11" s="92">
        <f>IF(B$19=0,0,G11/B$19)</f>
        <v>7.6923076923076927E-2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-37.55833333333333</v>
      </c>
      <c r="C12" s="114">
        <v>-450.7</v>
      </c>
      <c r="E12" s="29" t="s">
        <v>86</v>
      </c>
      <c r="F12" s="26" t="s">
        <v>41</v>
      </c>
      <c r="G12" s="14">
        <v>3</v>
      </c>
      <c r="H12" s="92">
        <f>IF(B$19=0,0,G12/B$19)</f>
        <v>5.7692307692307696E-2</v>
      </c>
      <c r="I12" s="60">
        <v>4</v>
      </c>
      <c r="K12" s="7">
        <v>10</v>
      </c>
      <c r="L12" s="65">
        <v>-217.59999999999997</v>
      </c>
      <c r="N12" s="79" t="s">
        <v>154</v>
      </c>
      <c r="O12" s="88">
        <f>IF(P12=0,0,Q12/P12)</f>
        <v>13.262499999999999</v>
      </c>
      <c r="P12" s="82">
        <v>8</v>
      </c>
      <c r="Q12" s="73">
        <v>106.1</v>
      </c>
    </row>
    <row r="13" spans="1:17" x14ac:dyDescent="0.45">
      <c r="A13" s="22" t="s">
        <v>188</v>
      </c>
      <c r="B13" s="123">
        <f>AVERAGE(B10:B12)</f>
        <v>3.2488888888888874</v>
      </c>
      <c r="C13" s="124"/>
      <c r="E13" s="29" t="s">
        <v>71</v>
      </c>
      <c r="F13" s="26" t="s">
        <v>26</v>
      </c>
      <c r="G13" s="14">
        <v>2</v>
      </c>
      <c r="H13" s="92">
        <f>IF(B$19=0,0,G13/B$19)</f>
        <v>3.8461538461538464E-2</v>
      </c>
      <c r="I13" s="60">
        <v>8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0.24</v>
      </c>
      <c r="E14" s="29" t="s">
        <v>78</v>
      </c>
      <c r="F14" s="26" t="s">
        <v>33</v>
      </c>
      <c r="G14" s="14">
        <v>1</v>
      </c>
      <c r="H14" s="92">
        <f>IF(B$19=0,0,G14/B$19)</f>
        <v>1.9230769230769232E-2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41</v>
      </c>
      <c r="C15" s="12">
        <f>IF(B$3=0,0,B15/B$3)</f>
        <v>0.21693121693121692</v>
      </c>
      <c r="E15" s="29" t="s">
        <v>81</v>
      </c>
      <c r="F15" s="26" t="s">
        <v>36</v>
      </c>
      <c r="G15" s="14">
        <v>1</v>
      </c>
      <c r="H15" s="92">
        <f>IF(B$19=0,0,G15/B$19)</f>
        <v>1.9230769230769232E-2</v>
      </c>
      <c r="I15" s="60">
        <v>7</v>
      </c>
      <c r="K15" s="7">
        <v>13</v>
      </c>
      <c r="L15" s="65">
        <v>-280.59999999999997</v>
      </c>
      <c r="N15" s="77" t="s">
        <v>164</v>
      </c>
      <c r="O15" s="86">
        <f>IF(P15=0,0,Q15/P15)</f>
        <v>32.20000000000001</v>
      </c>
      <c r="P15" s="80">
        <v>6</v>
      </c>
      <c r="Q15" s="71">
        <v>193.20000000000005</v>
      </c>
    </row>
    <row r="16" spans="1:17" x14ac:dyDescent="0.45">
      <c r="A16" s="21" t="s">
        <v>118</v>
      </c>
      <c r="B16" s="14">
        <v>28</v>
      </c>
      <c r="C16" s="8">
        <f>IF(B$3=0,0,B16/B$3)</f>
        <v>0.14814814814814814</v>
      </c>
      <c r="E16" s="29" t="s">
        <v>87</v>
      </c>
      <c r="F16" s="26" t="s">
        <v>42</v>
      </c>
      <c r="G16" s="14">
        <v>1</v>
      </c>
      <c r="H16" s="92">
        <f>IF(B$19=0,0,G16/B$19)</f>
        <v>1.9230769230769232E-2</v>
      </c>
      <c r="I16" s="60">
        <v>1</v>
      </c>
      <c r="K16" s="7">
        <v>14</v>
      </c>
      <c r="L16" s="65">
        <v>-330.7</v>
      </c>
      <c r="N16" s="78" t="s">
        <v>205</v>
      </c>
      <c r="O16" s="87">
        <f>IF(P16=0,0,Q16/P16)</f>
        <v>18.3</v>
      </c>
      <c r="P16" s="81">
        <v>6</v>
      </c>
      <c r="Q16" s="72">
        <v>109.80000000000001</v>
      </c>
    </row>
    <row r="17" spans="1:17" x14ac:dyDescent="0.45">
      <c r="A17" s="20" t="s">
        <v>123</v>
      </c>
      <c r="B17" s="13">
        <f>B23</f>
        <v>20</v>
      </c>
      <c r="C17" s="6">
        <f>IF(B$15=0,0,B17/B$15)</f>
        <v>0.48780487804878048</v>
      </c>
      <c r="E17" s="29" t="s">
        <v>91</v>
      </c>
      <c r="F17" s="26" t="s">
        <v>46</v>
      </c>
      <c r="G17" s="14">
        <v>1</v>
      </c>
      <c r="H17" s="92">
        <f>IF(B$19=0,0,G17/B$19)</f>
        <v>1.9230769230769232E-2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>IF(P17=0,0,Q17/P17)</f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16</v>
      </c>
      <c r="C18" s="6">
        <f>IF(B$16=0,0,B18/B$16)</f>
        <v>0.5714285714285714</v>
      </c>
      <c r="E18" s="29" t="s">
        <v>92</v>
      </c>
      <c r="F18" s="26" t="s">
        <v>47</v>
      </c>
      <c r="G18" s="14">
        <v>1</v>
      </c>
      <c r="H18" s="92">
        <f>IF(B$19=0,0,G18/B$19)</f>
        <v>1.9230769230769232E-2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52</v>
      </c>
      <c r="C19" s="6">
        <f>IF(B$3=0,0,B19/B$3)</f>
        <v>0.27513227513227512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-30.300000000000008</v>
      </c>
      <c r="P19" s="81">
        <v>12</v>
      </c>
      <c r="Q19" s="72">
        <v>-363.60000000000008</v>
      </c>
    </row>
    <row r="20" spans="1:17" x14ac:dyDescent="0.45">
      <c r="A20" s="21" t="s">
        <v>13</v>
      </c>
      <c r="B20" s="14">
        <v>31</v>
      </c>
      <c r="C20" s="8">
        <f>IF(B$3=0,0,B20/B$3)</f>
        <v>0.16402116402116401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22</v>
      </c>
      <c r="C21" s="8">
        <f>IF(B$19=0,0,B21/B$19)</f>
        <v>0.42307692307692307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30</v>
      </c>
      <c r="C22" s="8">
        <f>IF(B$19=0,0,B22/B$19)</f>
        <v>0.57692307692307687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20</v>
      </c>
      <c r="C23" s="8">
        <f>IF(B$19=0,0,B23/B$19)</f>
        <v>0.38461538461538464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16</v>
      </c>
      <c r="C24" s="8">
        <f>IF(B$19=0,0,B24/B$19)</f>
        <v>0.30769230769230771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16</v>
      </c>
      <c r="C25" s="8">
        <f>IF(B$19=0,0,B25/B$19)</f>
        <v>0.30769230769230771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8023.0769230769229</v>
      </c>
      <c r="C26" s="10">
        <v>417200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9297.2222222222226</v>
      </c>
      <c r="C27" s="100">
        <v>334700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5156.25</v>
      </c>
      <c r="C28" s="100">
        <v>82500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-7961.2903225806449</v>
      </c>
      <c r="C29" s="100">
        <v>-246800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26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7</v>
      </c>
      <c r="C36" s="102">
        <f t="shared" ref="C36:C48" si="2">IF(B$19=0,0,B36/B$19)</f>
        <v>0.13461538461538461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10</v>
      </c>
      <c r="C37" s="8">
        <f t="shared" si="2"/>
        <v>0.19230769230769232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2"/>
        <v>0.21153846153846154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2"/>
        <v>0.11538461538461539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2"/>
        <v>7.6923076923076927E-2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2"/>
        <v>0.17307692307692307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3.8461538461538464E-2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1.9230769230769232E-2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1.9230769230769232E-2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1.9230769230769232E-2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42</v>
      </c>
      <c r="C2" s="132"/>
      <c r="E2" s="28" t="s">
        <v>72</v>
      </c>
      <c r="F2" s="25" t="s">
        <v>27</v>
      </c>
      <c r="G2" s="13">
        <v>63</v>
      </c>
      <c r="H2" s="91">
        <f>IF(B$19=0,0,G2/B$19)</f>
        <v>0.67741935483870963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914.63414634146341</v>
      </c>
      <c r="P2" s="80">
        <v>41</v>
      </c>
      <c r="Q2" s="67">
        <v>37500</v>
      </c>
    </row>
    <row r="3" spans="1:17" x14ac:dyDescent="0.45">
      <c r="A3" s="21" t="s">
        <v>8</v>
      </c>
      <c r="B3" s="133">
        <v>334</v>
      </c>
      <c r="C3" s="134"/>
      <c r="E3" s="29" t="s">
        <v>66</v>
      </c>
      <c r="F3" s="26" t="s">
        <v>22</v>
      </c>
      <c r="G3" s="14">
        <v>52</v>
      </c>
      <c r="H3" s="92">
        <f>IF(B$19=0,0,G3/B$19)</f>
        <v>0.55913978494623651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-1029.2682926829268</v>
      </c>
      <c r="P3" s="81">
        <v>41</v>
      </c>
      <c r="Q3" s="68">
        <v>-42200</v>
      </c>
    </row>
    <row r="4" spans="1:17" x14ac:dyDescent="0.45">
      <c r="A4" s="21" t="s">
        <v>6</v>
      </c>
      <c r="B4" s="135">
        <v>-92.299999999999969</v>
      </c>
      <c r="C4" s="136"/>
      <c r="E4" s="29" t="s">
        <v>64</v>
      </c>
      <c r="F4" s="26" t="s">
        <v>20</v>
      </c>
      <c r="G4" s="14">
        <v>42</v>
      </c>
      <c r="H4" s="92">
        <f>IF(B$19=0,0,G4/B$19)</f>
        <v>0.45161290322580644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-1580.4878048780488</v>
      </c>
      <c r="P4" s="81">
        <v>41</v>
      </c>
      <c r="Q4" s="68">
        <v>-64800</v>
      </c>
    </row>
    <row r="5" spans="1:17" x14ac:dyDescent="0.45">
      <c r="A5" s="21" t="s">
        <v>7</v>
      </c>
      <c r="B5" s="123">
        <f>IF(B$2=0,0,B$4/B$2)</f>
        <v>-2.1976190476190469</v>
      </c>
      <c r="C5" s="124"/>
      <c r="E5" s="29" t="s">
        <v>160</v>
      </c>
      <c r="F5" s="26" t="s">
        <v>161</v>
      </c>
      <c r="G5" s="14">
        <v>36</v>
      </c>
      <c r="H5" s="92">
        <f>IF(B$19=0,0,G5/B$19)</f>
        <v>0.38709677419354838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1247.3684210526317</v>
      </c>
      <c r="P5" s="81">
        <v>38</v>
      </c>
      <c r="Q5" s="68">
        <v>47400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24</v>
      </c>
      <c r="H6" s="92">
        <f>IF(B$19=0,0,G6/B$19)</f>
        <v>0.25806451612903225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-1662.5</v>
      </c>
      <c r="P6" s="81">
        <v>32</v>
      </c>
      <c r="Q6" s="68">
        <v>-53200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22</v>
      </c>
      <c r="H7" s="92">
        <f>IF(B$19=0,0,G7/B$19)</f>
        <v>0.23655913978494625</v>
      </c>
      <c r="I7" s="60">
        <v>4</v>
      </c>
      <c r="K7" s="7">
        <v>5</v>
      </c>
      <c r="L7" s="65">
        <v>-96.5</v>
      </c>
      <c r="N7" s="79" t="s">
        <v>133</v>
      </c>
      <c r="O7" s="85">
        <f t="shared" si="0"/>
        <v>304.54545454545456</v>
      </c>
      <c r="P7" s="82">
        <v>22</v>
      </c>
      <c r="Q7" s="69">
        <v>6700</v>
      </c>
    </row>
    <row r="8" spans="1:17" x14ac:dyDescent="0.45">
      <c r="A8" s="21" t="s">
        <v>3</v>
      </c>
      <c r="B8" s="14">
        <v>18</v>
      </c>
      <c r="C8" s="8">
        <f t="shared" si="1"/>
        <v>0.42857142857142855</v>
      </c>
      <c r="E8" s="29" t="s">
        <v>89</v>
      </c>
      <c r="F8" s="26" t="s">
        <v>44</v>
      </c>
      <c r="G8" s="14">
        <v>13</v>
      </c>
      <c r="H8" s="92">
        <f>IF(B$19=0,0,G8/B$19)</f>
        <v>0.13978494623655913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0.2857142857142857</v>
      </c>
      <c r="E9" s="29" t="s">
        <v>69</v>
      </c>
      <c r="F9" s="26" t="s">
        <v>24</v>
      </c>
      <c r="G9" s="14">
        <v>10</v>
      </c>
      <c r="H9" s="92">
        <f>IF(B$19=0,0,G9/B$19)</f>
        <v>0.10752688172043011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37.875</v>
      </c>
      <c r="C10" s="114">
        <v>454.5</v>
      </c>
      <c r="E10" s="29" t="s">
        <v>65</v>
      </c>
      <c r="F10" s="26" t="s">
        <v>21</v>
      </c>
      <c r="G10" s="14">
        <v>7</v>
      </c>
      <c r="H10" s="92">
        <f>IF(B$19=0,0,G10/B$19)</f>
        <v>7.5268817204301078E-2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-5.9384615384615387</v>
      </c>
      <c r="P10" s="80">
        <v>13</v>
      </c>
      <c r="Q10" s="71">
        <v>-77.2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71</v>
      </c>
      <c r="F11" s="26" t="s">
        <v>26</v>
      </c>
      <c r="G11" s="14">
        <v>7</v>
      </c>
      <c r="H11" s="92">
        <f>IF(B$19=0,0,G11/B$19)</f>
        <v>7.5268817204301078E-2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-6.246666666666667</v>
      </c>
      <c r="P11" s="81">
        <v>15</v>
      </c>
      <c r="Q11" s="72">
        <v>-93.7</v>
      </c>
    </row>
    <row r="12" spans="1:17" x14ac:dyDescent="0.45">
      <c r="A12" s="22" t="s">
        <v>187</v>
      </c>
      <c r="B12" s="113">
        <f>IF(B9=0,0,C12/B9)</f>
        <v>-39.800000000000004</v>
      </c>
      <c r="C12" s="114">
        <v>-477.6</v>
      </c>
      <c r="E12" s="29" t="s">
        <v>83</v>
      </c>
      <c r="F12" s="26" t="s">
        <v>38</v>
      </c>
      <c r="G12" s="14">
        <v>7</v>
      </c>
      <c r="H12" s="92">
        <f>IF(B$19=0,0,G12/B$19)</f>
        <v>7.5268817204301078E-2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-1.9231481481481485</v>
      </c>
      <c r="C13" s="124"/>
      <c r="E13" s="29" t="s">
        <v>79</v>
      </c>
      <c r="F13" s="26" t="s">
        <v>34</v>
      </c>
      <c r="G13" s="14">
        <v>5</v>
      </c>
      <c r="H13" s="92">
        <f>IF(B$19=0,0,G13/B$19)</f>
        <v>5.3763440860215055E-2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9.5238095238095233E-2</v>
      </c>
      <c r="E14" s="29" t="s">
        <v>70</v>
      </c>
      <c r="F14" s="26" t="s">
        <v>25</v>
      </c>
      <c r="G14" s="14">
        <v>4</v>
      </c>
      <c r="H14" s="92">
        <f>IF(B$19=0,0,G14/B$19)</f>
        <v>4.3010752688172046E-2</v>
      </c>
      <c r="I14" s="60">
        <v>8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82</v>
      </c>
      <c r="C15" s="12">
        <f>IF(B$3=0,0,B15/B$3)</f>
        <v>0.24550898203592814</v>
      </c>
      <c r="E15" s="29" t="s">
        <v>78</v>
      </c>
      <c r="F15" s="26" t="s">
        <v>33</v>
      </c>
      <c r="G15" s="14">
        <v>3</v>
      </c>
      <c r="H15" s="92">
        <f>IF(B$19=0,0,G15/B$19)</f>
        <v>3.2258064516129031E-2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83</v>
      </c>
      <c r="C16" s="8">
        <f>IF(B$3=0,0,B16/B$3)</f>
        <v>0.24850299401197604</v>
      </c>
      <c r="E16" s="29" t="s">
        <v>91</v>
      </c>
      <c r="F16" s="26" t="s">
        <v>46</v>
      </c>
      <c r="G16" s="14">
        <v>3</v>
      </c>
      <c r="H16" s="92">
        <f>IF(B$19=0,0,G16/B$19)</f>
        <v>3.2258064516129031E-2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45</v>
      </c>
      <c r="C17" s="6">
        <f>IF(B$15=0,0,B17/B$15)</f>
        <v>0.54878048780487809</v>
      </c>
      <c r="E17" s="29" t="s">
        <v>81</v>
      </c>
      <c r="F17" s="26" t="s">
        <v>36</v>
      </c>
      <c r="G17" s="14">
        <v>2</v>
      </c>
      <c r="H17" s="92">
        <f>IF(B$19=0,0,G17/B$19)</f>
        <v>2.1505376344086023E-2</v>
      </c>
      <c r="I17" s="60">
        <v>6</v>
      </c>
      <c r="K17" s="7">
        <v>15</v>
      </c>
      <c r="L17" s="65">
        <v>-121.39999999999998</v>
      </c>
      <c r="N17" s="78" t="s">
        <v>194</v>
      </c>
      <c r="O17" s="87">
        <f t="shared" si="2"/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31</v>
      </c>
      <c r="C18" s="6">
        <f>IF(B$16=0,0,B18/B$16)</f>
        <v>0.37349397590361444</v>
      </c>
      <c r="E18" s="29" t="s">
        <v>86</v>
      </c>
      <c r="F18" s="26" t="s">
        <v>41</v>
      </c>
      <c r="G18" s="14">
        <v>2</v>
      </c>
      <c r="H18" s="92">
        <f>IF(B$19=0,0,G18/B$19)</f>
        <v>2.1505376344086023E-2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 t="shared" si="2"/>
        <v>-1.3166666666666664</v>
      </c>
      <c r="P18" s="81">
        <v>6</v>
      </c>
      <c r="Q18" s="72">
        <v>-7.8999999999999986</v>
      </c>
    </row>
    <row r="19" spans="1:17" x14ac:dyDescent="0.45">
      <c r="A19" s="20" t="s">
        <v>10</v>
      </c>
      <c r="B19" s="13">
        <f>B22+B21</f>
        <v>93</v>
      </c>
      <c r="C19" s="6">
        <f>IF(B$3=0,0,B19/B$3)</f>
        <v>0.27844311377245506</v>
      </c>
      <c r="E19" s="29" t="s">
        <v>85</v>
      </c>
      <c r="F19" s="26" t="s">
        <v>40</v>
      </c>
      <c r="G19" s="14">
        <v>1</v>
      </c>
      <c r="H19" s="92">
        <f>IF(B$19=0,0,G19/B$19)</f>
        <v>1.0752688172043012E-2</v>
      </c>
      <c r="I19" s="60">
        <v>2</v>
      </c>
      <c r="K19" s="7">
        <v>17</v>
      </c>
      <c r="L19" s="65">
        <v>-149.1</v>
      </c>
      <c r="N19" s="78" t="s">
        <v>164</v>
      </c>
      <c r="O19" s="87">
        <f t="shared" si="2"/>
        <v>-6.9411764705882337</v>
      </c>
      <c r="P19" s="81">
        <v>17</v>
      </c>
      <c r="Q19" s="72">
        <v>-117.99999999999997</v>
      </c>
    </row>
    <row r="20" spans="1:17" x14ac:dyDescent="0.45">
      <c r="A20" s="21" t="s">
        <v>13</v>
      </c>
      <c r="B20" s="14">
        <v>38</v>
      </c>
      <c r="C20" s="8">
        <f>IF(B$3=0,0,B20/B$3)</f>
        <v>0.11377245508982035</v>
      </c>
      <c r="E20" s="29" t="s">
        <v>92</v>
      </c>
      <c r="F20" s="26" t="s">
        <v>47</v>
      </c>
      <c r="G20" s="14">
        <v>1</v>
      </c>
      <c r="H20" s="92">
        <f>IF(B$19=0,0,G20/B$19)</f>
        <v>1.0752688172043012E-2</v>
      </c>
      <c r="I20" s="60">
        <v>6</v>
      </c>
      <c r="K20" s="7">
        <v>18</v>
      </c>
      <c r="L20" s="65">
        <v>-201.89999999999998</v>
      </c>
      <c r="N20" s="78" t="s">
        <v>196</v>
      </c>
      <c r="O20" s="87">
        <f t="shared" si="2"/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38</v>
      </c>
      <c r="C21" s="8">
        <f>IF(B$19=0,0,B21/B$19)</f>
        <v>0.40860215053763443</v>
      </c>
      <c r="E21" s="29" t="s">
        <v>156</v>
      </c>
      <c r="F21" s="26" t="s">
        <v>157</v>
      </c>
      <c r="G21" s="14">
        <v>1</v>
      </c>
      <c r="H21" s="92">
        <f>IF(B$19=0,0,G21/B$19)</f>
        <v>1.0752688172043012E-2</v>
      </c>
      <c r="I21" s="60">
        <v>5</v>
      </c>
      <c r="K21" s="7">
        <v>19</v>
      </c>
      <c r="L21" s="65">
        <v>-152.39999999999998</v>
      </c>
      <c r="N21" s="78" t="s">
        <v>126</v>
      </c>
      <c r="O21" s="87">
        <f t="shared" si="2"/>
        <v>-22.24545454545455</v>
      </c>
      <c r="P21" s="81">
        <v>22</v>
      </c>
      <c r="Q21" s="72">
        <v>-489.40000000000009</v>
      </c>
    </row>
    <row r="22" spans="1:17" x14ac:dyDescent="0.45">
      <c r="A22" s="21" t="s">
        <v>11</v>
      </c>
      <c r="B22" s="14">
        <v>55</v>
      </c>
      <c r="C22" s="8">
        <f>IF(B$19=0,0,B22/B$19)</f>
        <v>0.59139784946236562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45</v>
      </c>
      <c r="C23" s="8">
        <f>IF(B$19=0,0,B23/B$19)</f>
        <v>0.4838709677419355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31</v>
      </c>
      <c r="C24" s="8">
        <f>IF(B$19=0,0,B24/B$19)</f>
        <v>0.33333333333333331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17</v>
      </c>
      <c r="C25" s="8">
        <f>IF(B$19=0,0,B25/B$19)</f>
        <v>0.18279569892473119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7629.0322580645161</v>
      </c>
      <c r="C26" s="10">
        <v>709500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7908.0645161290322</v>
      </c>
      <c r="C27" s="100">
        <v>490300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7070.9677419354839</v>
      </c>
      <c r="C28" s="100">
        <v>219200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-7850</v>
      </c>
      <c r="C29" s="100">
        <v>-298300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8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0.11827956989247312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16</v>
      </c>
      <c r="C37" s="8">
        <f t="shared" si="3"/>
        <v>0.17204301075268819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25</v>
      </c>
      <c r="C38" s="8">
        <f t="shared" si="3"/>
        <v>0.26881720430107525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14</v>
      </c>
      <c r="C39" s="8">
        <f t="shared" si="3"/>
        <v>0.15053763440860216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7</v>
      </c>
      <c r="C40" s="8">
        <f t="shared" si="3"/>
        <v>7.5268817204301078E-2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3"/>
        <v>4.3010752688172046E-2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7</v>
      </c>
      <c r="C42" s="8">
        <f t="shared" si="3"/>
        <v>7.5268817204301078E-2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3.2258064516129031E-2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2.1505376344086023E-2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3"/>
        <v>2.1505376344086023E-2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3"/>
        <v>1.0752688172043012E-2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1.0752688172043012E-2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7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2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7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3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6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17</v>
      </c>
      <c r="C2" s="132"/>
      <c r="E2" s="28" t="s">
        <v>66</v>
      </c>
      <c r="F2" s="25" t="s">
        <v>22</v>
      </c>
      <c r="G2" s="13">
        <v>44</v>
      </c>
      <c r="H2" s="91">
        <f>IF(B$19=0,0,G2/B$19)</f>
        <v>1.0476190476190477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3011.7647058823532</v>
      </c>
      <c r="P2" s="80">
        <v>17</v>
      </c>
      <c r="Q2" s="67">
        <v>51200</v>
      </c>
    </row>
    <row r="3" spans="1:17" x14ac:dyDescent="0.45">
      <c r="A3" s="21" t="s">
        <v>8</v>
      </c>
      <c r="B3" s="133">
        <v>128</v>
      </c>
      <c r="C3" s="134"/>
      <c r="E3" s="29" t="s">
        <v>72</v>
      </c>
      <c r="F3" s="26" t="s">
        <v>27</v>
      </c>
      <c r="G3" s="14">
        <v>27</v>
      </c>
      <c r="H3" s="92">
        <f>IF(B$19=0,0,G3/B$19)</f>
        <v>0.6428571428571429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-7362.5</v>
      </c>
      <c r="P3" s="81">
        <v>16</v>
      </c>
      <c r="Q3" s="68">
        <v>-117800</v>
      </c>
    </row>
    <row r="4" spans="1:17" x14ac:dyDescent="0.45">
      <c r="A4" s="21" t="s">
        <v>6</v>
      </c>
      <c r="B4" s="135">
        <v>-52.900000000000013</v>
      </c>
      <c r="C4" s="136"/>
      <c r="E4" s="29" t="s">
        <v>64</v>
      </c>
      <c r="F4" s="26" t="s">
        <v>20</v>
      </c>
      <c r="G4" s="14">
        <v>14</v>
      </c>
      <c r="H4" s="92">
        <f>IF(B$19=0,0,G4/B$19)</f>
        <v>0.33333333333333331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-113.33333333333333</v>
      </c>
      <c r="P4" s="81">
        <v>15</v>
      </c>
      <c r="Q4" s="68">
        <v>-1700</v>
      </c>
    </row>
    <row r="5" spans="1:17" x14ac:dyDescent="0.45">
      <c r="A5" s="21" t="s">
        <v>7</v>
      </c>
      <c r="B5" s="123">
        <f>IF(B$2=0,0,B$4/B$2)</f>
        <v>-3.1117647058823539</v>
      </c>
      <c r="C5" s="124"/>
      <c r="E5" s="29" t="s">
        <v>160</v>
      </c>
      <c r="F5" s="26" t="s">
        <v>161</v>
      </c>
      <c r="G5" s="14">
        <v>11</v>
      </c>
      <c r="H5" s="92">
        <f>IF(B$19=0,0,G5/B$19)</f>
        <v>0.26190476190476192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-2316.6666666666665</v>
      </c>
      <c r="P5" s="81">
        <v>12</v>
      </c>
      <c r="Q5" s="68">
        <v>-27800</v>
      </c>
    </row>
    <row r="6" spans="1:17" x14ac:dyDescent="0.45">
      <c r="A6" s="21" t="s">
        <v>1</v>
      </c>
      <c r="B6" s="137">
        <f>IF(B$2=0,0,(B$7*1+B$8*2+B$9*3)/B$2)</f>
        <v>2.0588235294117645</v>
      </c>
      <c r="C6" s="138"/>
      <c r="E6" s="29" t="s">
        <v>68</v>
      </c>
      <c r="F6" s="26" t="s">
        <v>12</v>
      </c>
      <c r="G6" s="14">
        <v>9</v>
      </c>
      <c r="H6" s="92">
        <f>IF(B$19=0,0,G6/B$19)</f>
        <v>0.21428571428571427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381.81818181818181</v>
      </c>
      <c r="P6" s="81">
        <v>11</v>
      </c>
      <c r="Q6" s="68">
        <v>4200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0.35294117647058826</v>
      </c>
      <c r="E7" s="29" t="s">
        <v>89</v>
      </c>
      <c r="F7" s="26" t="s">
        <v>44</v>
      </c>
      <c r="G7" s="14">
        <v>9</v>
      </c>
      <c r="H7" s="92">
        <f>IF(B$19=0,0,G7/B$19)</f>
        <v>0.21428571428571427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-1200</v>
      </c>
      <c r="P7" s="82">
        <v>8</v>
      </c>
      <c r="Q7" s="69">
        <v>-9600</v>
      </c>
    </row>
    <row r="8" spans="1:17" x14ac:dyDescent="0.45">
      <c r="A8" s="21" t="s">
        <v>3</v>
      </c>
      <c r="B8" s="14">
        <v>4</v>
      </c>
      <c r="C8" s="8">
        <f t="shared" si="1"/>
        <v>0.23529411764705882</v>
      </c>
      <c r="E8" s="29" t="s">
        <v>67</v>
      </c>
      <c r="F8" s="26" t="s">
        <v>23</v>
      </c>
      <c r="G8" s="14">
        <v>7</v>
      </c>
      <c r="H8" s="92">
        <f>IF(B$19=0,0,G8/B$19)</f>
        <v>0.16666666666666666</v>
      </c>
      <c r="I8" s="60">
        <v>10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0.41176470588235292</v>
      </c>
      <c r="E9" s="29" t="s">
        <v>70</v>
      </c>
      <c r="F9" s="26" t="s">
        <v>25</v>
      </c>
      <c r="G9" s="14">
        <v>7</v>
      </c>
      <c r="H9" s="92">
        <f>IF(B$19=0,0,G9/B$19)</f>
        <v>0.16666666666666666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42.18333333333333</v>
      </c>
      <c r="C10" s="114">
        <v>253.1</v>
      </c>
      <c r="E10" s="29" t="s">
        <v>69</v>
      </c>
      <c r="F10" s="26" t="s">
        <v>24</v>
      </c>
      <c r="G10" s="14">
        <v>6</v>
      </c>
      <c r="H10" s="92">
        <f>IF(B$19=0,0,G10/B$19)</f>
        <v>0.14285714285714285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-1.0124999999999997</v>
      </c>
      <c r="P10" s="80">
        <v>8</v>
      </c>
      <c r="Q10" s="71">
        <v>-8.0999999999999979</v>
      </c>
    </row>
    <row r="11" spans="1:17" x14ac:dyDescent="0.45">
      <c r="A11" s="22" t="s">
        <v>186</v>
      </c>
      <c r="B11" s="113">
        <f>IF(B8=0,0,C11/B8)</f>
        <v>-3.9249999999999998</v>
      </c>
      <c r="C11" s="114">
        <v>-15.7</v>
      </c>
      <c r="E11" s="29" t="s">
        <v>83</v>
      </c>
      <c r="F11" s="26" t="s">
        <v>38</v>
      </c>
      <c r="G11" s="14">
        <v>5</v>
      </c>
      <c r="H11" s="92">
        <f>IF(B$19=0,0,G11/B$19)</f>
        <v>0.11904761904761904</v>
      </c>
      <c r="I11" s="60">
        <v>2</v>
      </c>
      <c r="K11" s="7">
        <v>9</v>
      </c>
      <c r="L11" s="65">
        <v>-120</v>
      </c>
      <c r="N11" s="78" t="s">
        <v>153</v>
      </c>
      <c r="O11" s="87">
        <f>IF(P11=0,0,Q11/P11)</f>
        <v>4.7999999999999989</v>
      </c>
      <c r="P11" s="81">
        <v>4</v>
      </c>
      <c r="Q11" s="72">
        <v>19.199999999999996</v>
      </c>
    </row>
    <row r="12" spans="1:17" x14ac:dyDescent="0.45">
      <c r="A12" s="22" t="s">
        <v>187</v>
      </c>
      <c r="B12" s="113">
        <f>IF(B9=0,0,C12/B9)</f>
        <v>-41.471428571428575</v>
      </c>
      <c r="C12" s="114">
        <v>-290.3</v>
      </c>
      <c r="E12" s="29" t="s">
        <v>65</v>
      </c>
      <c r="F12" s="26" t="s">
        <v>21</v>
      </c>
      <c r="G12" s="14">
        <v>3</v>
      </c>
      <c r="H12" s="92">
        <f>IF(B$19=0,0,G12/B$19)</f>
        <v>7.1428571428571425E-2</v>
      </c>
      <c r="I12" s="60">
        <v>10</v>
      </c>
      <c r="K12" s="7">
        <v>10</v>
      </c>
      <c r="L12" s="65">
        <v>-112.8</v>
      </c>
      <c r="N12" s="79" t="s">
        <v>154</v>
      </c>
      <c r="O12" s="88">
        <f>IF(P12=0,0,Q12/P12)</f>
        <v>-12.8</v>
      </c>
      <c r="P12" s="82">
        <v>5</v>
      </c>
      <c r="Q12" s="73">
        <v>-64</v>
      </c>
    </row>
    <row r="13" spans="1:17" x14ac:dyDescent="0.45">
      <c r="A13" s="22" t="s">
        <v>188</v>
      </c>
      <c r="B13" s="123">
        <f>AVERAGE(B10:B12)</f>
        <v>-1.0710317460317473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7.1428571428571425E-2</v>
      </c>
      <c r="I13" s="60">
        <v>5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0.17647058823529413</v>
      </c>
      <c r="E14" s="29" t="s">
        <v>78</v>
      </c>
      <c r="F14" s="26" t="s">
        <v>33</v>
      </c>
      <c r="G14" s="14">
        <v>3</v>
      </c>
      <c r="H14" s="92">
        <f>IF(B$19=0,0,G14/B$19)</f>
        <v>7.1428571428571425E-2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0.1953125</v>
      </c>
      <c r="E15" s="29" t="s">
        <v>81</v>
      </c>
      <c r="F15" s="26" t="s">
        <v>36</v>
      </c>
      <c r="G15" s="14">
        <v>1</v>
      </c>
      <c r="H15" s="92">
        <f>IF(B$19=0,0,G15/B$19)</f>
        <v>2.3809523809523808E-2</v>
      </c>
      <c r="I15" s="60">
        <v>5</v>
      </c>
      <c r="K15" s="7">
        <v>13</v>
      </c>
      <c r="L15" s="65">
        <v>-63.4</v>
      </c>
      <c r="N15" s="77" t="s">
        <v>164</v>
      </c>
      <c r="O15" s="86">
        <f>IF(P15=0,0,Q15/P15)</f>
        <v>9.1857142857142833</v>
      </c>
      <c r="P15" s="80">
        <v>7</v>
      </c>
      <c r="Q15" s="71">
        <v>64.299999999999983</v>
      </c>
    </row>
    <row r="16" spans="1:17" x14ac:dyDescent="0.45">
      <c r="A16" s="21" t="s">
        <v>118</v>
      </c>
      <c r="B16" s="14">
        <v>39</v>
      </c>
      <c r="C16" s="8">
        <f>IF(B$3=0,0,B16/B$3)</f>
        <v>0.3046875</v>
      </c>
      <c r="E16" s="29" t="s">
        <v>86</v>
      </c>
      <c r="F16" s="26" t="s">
        <v>41</v>
      </c>
      <c r="G16" s="14">
        <v>1</v>
      </c>
      <c r="H16" s="92">
        <f>IF(B$19=0,0,G16/B$19)</f>
        <v>2.3809523809523808E-2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1.3166666666666658</v>
      </c>
      <c r="P16" s="81">
        <v>6</v>
      </c>
      <c r="Q16" s="72">
        <v>7.899999999999995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0.6</v>
      </c>
      <c r="E17" s="29" t="s">
        <v>92</v>
      </c>
      <c r="F17" s="26" t="s">
        <v>47</v>
      </c>
      <c r="G17" s="14">
        <v>1</v>
      </c>
      <c r="H17" s="92">
        <f>IF(B$19=0,0,G17/B$19)</f>
        <v>2.3809523809523808E-2</v>
      </c>
      <c r="I17" s="60">
        <v>1</v>
      </c>
      <c r="K17" s="7">
        <v>15</v>
      </c>
      <c r="L17" s="65">
        <v>-65.7</v>
      </c>
      <c r="N17" s="78" t="s">
        <v>126</v>
      </c>
      <c r="O17" s="87">
        <f>IF(P17=0,0,Q17/P17)</f>
        <v>-4.528571428571432</v>
      </c>
      <c r="P17" s="81">
        <v>14</v>
      </c>
      <c r="Q17" s="72">
        <v>-63.400000000000048</v>
      </c>
    </row>
    <row r="18" spans="1:17" x14ac:dyDescent="0.45">
      <c r="A18" s="20" t="s">
        <v>124</v>
      </c>
      <c r="B18" s="13">
        <f>B24</f>
        <v>11</v>
      </c>
      <c r="C18" s="6">
        <f>IF(B$16=0,0,B18/B$16)</f>
        <v>0.28205128205128205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194</v>
      </c>
      <c r="O18" s="87">
        <f>IF(P18=0,0,Q18/P18)</f>
        <v>-18.3</v>
      </c>
      <c r="P18" s="81">
        <v>6</v>
      </c>
      <c r="Q18" s="72">
        <v>-109.8</v>
      </c>
    </row>
    <row r="19" spans="1:17" x14ac:dyDescent="0.45">
      <c r="A19" s="20" t="s">
        <v>10</v>
      </c>
      <c r="B19" s="13">
        <f>B22+B21</f>
        <v>42</v>
      </c>
      <c r="C19" s="6">
        <f>IF(B$3=0,0,B19/B$3)</f>
        <v>0.328125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29</v>
      </c>
      <c r="C20" s="8">
        <f>IF(B$3=0,0,B20/B$3)</f>
        <v>0.2265625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</row>
    <row r="21" spans="1:17" x14ac:dyDescent="0.45">
      <c r="A21" s="21" t="s">
        <v>12</v>
      </c>
      <c r="B21" s="14">
        <v>15</v>
      </c>
      <c r="C21" s="8">
        <f>IF(B$19=0,0,B21/B$19)</f>
        <v>0.35714285714285715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27</v>
      </c>
      <c r="C22" s="8">
        <f>IF(B$19=0,0,B22/B$19)</f>
        <v>0.6428571428571429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</row>
    <row r="23" spans="1:17" x14ac:dyDescent="0.45">
      <c r="A23" s="21" t="s">
        <v>184</v>
      </c>
      <c r="B23" s="14">
        <v>15</v>
      </c>
      <c r="C23" s="8">
        <f>IF(B$19=0,0,B23/B$19)</f>
        <v>0.35714285714285715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11</v>
      </c>
      <c r="C24" s="8">
        <f>IF(B$19=0,0,B24/B$19)</f>
        <v>0.26190476190476192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16</v>
      </c>
      <c r="C25" s="8">
        <f>IF(B$19=0,0,B25/B$19)</f>
        <v>0.38095238095238093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9978.5714285714294</v>
      </c>
      <c r="C26" s="10">
        <v>419100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9961.2903225806458</v>
      </c>
      <c r="C27" s="100">
        <v>308800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10027.272727272728</v>
      </c>
      <c r="C28" s="100">
        <v>110300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-9479.310344827587</v>
      </c>
      <c r="C29" s="100">
        <v>-274900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10</v>
      </c>
      <c r="C31" s="94">
        <v>2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0.11904761904761904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9</v>
      </c>
      <c r="C37" s="8">
        <f t="shared" si="2"/>
        <v>0.21428571428571427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9.5238095238095233E-2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7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0.11904761904761904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7.1428571428571425E-2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7.1428571428571425E-2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4.7619047619047616E-2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2.3809523809523808E-2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4.7619047619047616E-2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2.3809523809523808E-2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4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2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5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8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2020-06-18T11:52:19Z</dcterms:modified>
</cp:coreProperties>
</file>