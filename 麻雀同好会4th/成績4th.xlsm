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D86BDA2B-4359-4ED3-835F-4D28316AB85B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2" i="6180"/>
  <c r="O16" i="6176"/>
  <c r="O18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6" i="6182" l="1"/>
  <c r="O18" i="6190"/>
  <c r="O16" i="6178"/>
  <c r="O18" i="6186"/>
  <c r="O19" i="6190" l="1"/>
  <c r="O15" i="6178"/>
  <c r="O15" i="6190"/>
  <c r="O19" i="6176"/>
  <c r="O15" i="6184" l="1"/>
  <c r="O17" i="6178"/>
  <c r="O21" i="6180"/>
  <c r="O18" i="6184"/>
  <c r="O19" i="6174"/>
  <c r="O17" i="6190"/>
  <c r="O16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2" i="6190"/>
  <c r="H15" i="6190"/>
  <c r="C24" i="6190"/>
  <c r="H17" i="6190"/>
  <c r="H21" i="6190"/>
  <c r="H42" i="6190"/>
  <c r="H33" i="6190"/>
  <c r="H3" i="6190"/>
  <c r="H27" i="6190"/>
  <c r="C42" i="6190"/>
  <c r="H10" i="6190"/>
  <c r="C19" i="6190"/>
  <c r="C25" i="6190"/>
  <c r="H36" i="6190"/>
  <c r="H16" i="6190"/>
  <c r="C36" i="6190"/>
  <c r="H48" i="6190"/>
  <c r="C46" i="6190"/>
  <c r="H14" i="6190"/>
  <c r="H28" i="6190"/>
  <c r="H47" i="6190"/>
  <c r="H19" i="6190"/>
  <c r="H25" i="6190"/>
  <c r="C48" i="6190"/>
  <c r="H2" i="6190"/>
  <c r="H43" i="6190"/>
  <c r="H30" i="6190"/>
  <c r="H37" i="6190"/>
  <c r="H13" i="6190"/>
  <c r="H38" i="6190"/>
  <c r="H7" i="6190"/>
  <c r="H20" i="6190"/>
  <c r="H23" i="6190"/>
  <c r="C21" i="6190"/>
  <c r="H31" i="6190"/>
  <c r="H41" i="6190"/>
  <c r="H49" i="6190"/>
  <c r="C38" i="6190"/>
  <c r="H44" i="6190"/>
  <c r="H8" i="6190"/>
  <c r="H11" i="6190"/>
  <c r="B26" i="6190"/>
  <c r="H34" i="6190"/>
  <c r="H39" i="6190"/>
  <c r="C44" i="6190"/>
  <c r="H51" i="6190"/>
  <c r="H18" i="6190"/>
  <c r="H4" i="6190"/>
  <c r="H9" i="6190"/>
  <c r="H22" i="6190"/>
  <c r="H24" i="6190"/>
  <c r="C22" i="6190"/>
  <c r="B27" i="6190"/>
  <c r="H40" i="6190"/>
  <c r="H45" i="6190"/>
  <c r="H5" i="6190"/>
  <c r="C23" i="6190"/>
  <c r="H6" i="6190"/>
  <c r="H35" i="6190"/>
  <c r="C40" i="6190"/>
  <c r="H46" i="6190"/>
  <c r="H52" i="6190"/>
  <c r="C39" i="6190"/>
  <c r="C43" i="6190"/>
  <c r="C47" i="6190"/>
  <c r="H26" i="6190"/>
  <c r="H29" i="6190"/>
  <c r="H32" i="6190"/>
  <c r="C37" i="6190"/>
  <c r="C41" i="6190"/>
  <c r="C45" i="6190"/>
  <c r="O18" i="6180" l="1"/>
  <c r="O20" i="6186"/>
  <c r="O22" i="6176"/>
  <c r="O16" i="6186"/>
  <c r="O16" i="6180" l="1"/>
  <c r="O19" i="6182"/>
  <c r="O21" i="6176"/>
  <c r="O17" i="6176"/>
  <c r="O15" i="6182"/>
  <c r="O19" i="6184"/>
  <c r="O16" i="6188" l="1"/>
  <c r="O19" i="6188"/>
  <c r="O21" i="6184"/>
  <c r="O20" i="6184"/>
  <c r="O15" i="6180"/>
  <c r="O19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9" i="6186"/>
  <c r="O15" i="6186"/>
  <c r="C34" i="6186"/>
  <c r="B29" i="6186"/>
  <c r="C20" i="6186"/>
  <c r="B19" i="6186"/>
  <c r="H6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7" i="6184"/>
  <c r="O16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6" i="6174"/>
  <c r="O20" i="6182"/>
  <c r="O17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20" i="6174"/>
  <c r="O17" i="6180"/>
  <c r="O20" i="6180"/>
  <c r="C34" i="6180"/>
  <c r="B29" i="6180"/>
  <c r="C20" i="6180"/>
  <c r="B19" i="6180"/>
  <c r="H16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8" i="6178"/>
  <c r="O19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17" i="6174"/>
  <c r="O20" i="6176"/>
  <c r="O15" i="6176"/>
  <c r="C34" i="6176"/>
  <c r="B29" i="6176"/>
  <c r="C20" i="6176"/>
  <c r="B19" i="6176"/>
  <c r="H4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5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3" i="6182"/>
  <c r="H52" i="6182"/>
  <c r="H22" i="6182"/>
  <c r="C21" i="6182"/>
  <c r="H4" i="6182"/>
  <c r="H35" i="6182"/>
  <c r="H2" i="6182"/>
  <c r="H9" i="6182"/>
  <c r="H24" i="6182"/>
  <c r="C22" i="6182"/>
  <c r="H40" i="6182"/>
  <c r="H18" i="6182"/>
  <c r="H34" i="6182"/>
  <c r="C25" i="6182"/>
  <c r="C40" i="6182"/>
  <c r="H27" i="6182"/>
  <c r="H7" i="6182"/>
  <c r="H21" i="6182"/>
  <c r="H41" i="6182"/>
  <c r="H44" i="6182"/>
  <c r="C44" i="6182"/>
  <c r="H5" i="6182"/>
  <c r="H10" i="6182"/>
  <c r="H23" i="6182"/>
  <c r="B26" i="6182"/>
  <c r="H36" i="6182"/>
  <c r="H45" i="6182"/>
  <c r="H15" i="6182"/>
  <c r="H8" i="6182"/>
  <c r="H39" i="6182"/>
  <c r="C46" i="6182"/>
  <c r="H19" i="6182"/>
  <c r="H16" i="6182"/>
  <c r="H11" i="6182"/>
  <c r="H6" i="6182"/>
  <c r="H13" i="6182"/>
  <c r="H20" i="6182"/>
  <c r="H26" i="6182"/>
  <c r="C39" i="6182"/>
  <c r="H47" i="6182"/>
  <c r="H29" i="6182"/>
  <c r="H31" i="6182"/>
  <c r="C36" i="6182"/>
  <c r="C42" i="6182"/>
  <c r="C47" i="6182"/>
  <c r="H14" i="6182"/>
  <c r="C19" i="6182"/>
  <c r="C24" i="6182"/>
  <c r="H37" i="6182"/>
  <c r="H43" i="6182"/>
  <c r="H48" i="6182"/>
  <c r="H12" i="6182"/>
  <c r="H17" i="6182"/>
  <c r="C38" i="6182"/>
  <c r="C43" i="6182"/>
  <c r="C48" i="6182"/>
  <c r="H27" i="6176"/>
  <c r="H33" i="6176"/>
  <c r="H43" i="6176"/>
  <c r="H23" i="6176"/>
  <c r="H11" i="6176"/>
  <c r="C47" i="6176"/>
  <c r="H48" i="6176"/>
  <c r="H21" i="6176"/>
  <c r="H37" i="6176"/>
  <c r="H7" i="6176"/>
  <c r="C22" i="6176"/>
  <c r="C36" i="6176"/>
  <c r="H26" i="6176"/>
  <c r="H18" i="6176"/>
  <c r="H9" i="6176"/>
  <c r="H16" i="6176"/>
  <c r="B27" i="6176"/>
  <c r="B26" i="6176"/>
  <c r="C40" i="6176"/>
  <c r="H2" i="6176"/>
  <c r="C21" i="6176"/>
  <c r="H5" i="6176"/>
  <c r="H25" i="6176"/>
  <c r="H42" i="6176"/>
  <c r="C40" i="6178"/>
  <c r="C48" i="6178"/>
  <c r="H13" i="6178"/>
  <c r="C22" i="6178"/>
  <c r="H12" i="6178"/>
  <c r="H6" i="6178"/>
  <c r="C47" i="6178"/>
  <c r="H3" i="6178"/>
  <c r="H9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4" i="6178"/>
  <c r="H22" i="6178"/>
  <c r="H10" i="6178"/>
  <c r="H17" i="6178"/>
  <c r="B26" i="6178"/>
  <c r="H35" i="6178"/>
  <c r="H45" i="6178"/>
  <c r="H16" i="6178"/>
  <c r="H19" i="6178"/>
  <c r="H20" i="6178"/>
  <c r="H23" i="6178"/>
  <c r="H8" i="6178"/>
  <c r="C36" i="6178"/>
  <c r="C46" i="6178"/>
  <c r="H11" i="6178"/>
  <c r="H31" i="6178"/>
  <c r="H2" i="6178"/>
  <c r="H27" i="6178"/>
  <c r="H7" i="6178"/>
  <c r="H15" i="6178"/>
  <c r="H18" i="6178"/>
  <c r="C21" i="6178"/>
  <c r="H39" i="6178"/>
  <c r="H47" i="6178"/>
  <c r="H30" i="6180"/>
  <c r="H3" i="6188"/>
  <c r="H40" i="6188"/>
  <c r="H17" i="6184"/>
  <c r="H6" i="6184"/>
  <c r="H13" i="6184"/>
  <c r="H26" i="6184"/>
  <c r="H34" i="6184"/>
  <c r="H22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3" i="6186"/>
  <c r="H35" i="6186"/>
  <c r="H24" i="6186"/>
  <c r="H38" i="6186"/>
  <c r="H8" i="6186"/>
  <c r="H21" i="6186"/>
  <c r="H9" i="6186"/>
  <c r="C40" i="6186"/>
  <c r="H19" i="6186"/>
  <c r="C23" i="6186"/>
  <c r="H43" i="6186"/>
  <c r="H7" i="6186"/>
  <c r="H13" i="6186"/>
  <c r="H25" i="6186"/>
  <c r="H30" i="6186"/>
  <c r="C22" i="6186"/>
  <c r="B27" i="6186"/>
  <c r="H26" i="6186"/>
  <c r="H32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9" i="6186"/>
  <c r="H37" i="6186"/>
  <c r="C43" i="6186"/>
  <c r="C44" i="6186"/>
  <c r="H5" i="6186"/>
  <c r="B26" i="6186"/>
  <c r="H47" i="6186"/>
  <c r="H11" i="6186"/>
  <c r="H15" i="6186"/>
  <c r="H22" i="6186"/>
  <c r="C36" i="6186"/>
  <c r="H27" i="6186"/>
  <c r="H31" i="6186"/>
  <c r="H40" i="6186"/>
  <c r="H48" i="6186"/>
  <c r="H14" i="6186"/>
  <c r="H3" i="6186"/>
  <c r="H2" i="6186"/>
  <c r="H17" i="6186"/>
  <c r="C21" i="6186"/>
  <c r="C39" i="6186"/>
  <c r="C47" i="6186"/>
  <c r="C18" i="6186"/>
  <c r="H39" i="6186"/>
  <c r="H44" i="6186"/>
  <c r="H49" i="6186"/>
  <c r="C48" i="6186"/>
  <c r="C24" i="6186"/>
  <c r="H33" i="6186"/>
  <c r="H41" i="6186"/>
  <c r="H45" i="6186"/>
  <c r="H50" i="6186"/>
  <c r="H20" i="6186"/>
  <c r="C25" i="6186"/>
  <c r="H42" i="6186"/>
  <c r="H46" i="6186"/>
  <c r="H52" i="6186"/>
  <c r="B28" i="6186"/>
  <c r="H28" i="6186"/>
  <c r="H18" i="6186"/>
  <c r="H34" i="6186"/>
  <c r="C37" i="6186"/>
  <c r="C41" i="6186"/>
  <c r="C45" i="6186"/>
  <c r="H51" i="6186"/>
  <c r="H12" i="6186"/>
  <c r="H16" i="6186"/>
  <c r="H10" i="6186"/>
  <c r="H36" i="6186"/>
  <c r="C38" i="6186"/>
  <c r="C42" i="6186"/>
  <c r="C46" i="6186"/>
  <c r="H34" i="6174"/>
  <c r="H43" i="6184"/>
  <c r="H15" i="6184"/>
  <c r="H35" i="6184"/>
  <c r="C44" i="6184"/>
  <c r="H4" i="6184"/>
  <c r="H10" i="6184"/>
  <c r="H23" i="6184"/>
  <c r="C22" i="6184"/>
  <c r="H46" i="6184"/>
  <c r="H11" i="6184"/>
  <c r="H7" i="6184"/>
  <c r="C23" i="6184"/>
  <c r="C36" i="6184"/>
  <c r="H48" i="6184"/>
  <c r="H38" i="6184"/>
  <c r="H3" i="6184"/>
  <c r="H25" i="6184"/>
  <c r="H30" i="6184"/>
  <c r="H40" i="6184"/>
  <c r="H21" i="6184"/>
  <c r="H2" i="6184"/>
  <c r="C25" i="6184"/>
  <c r="H49" i="6184"/>
  <c r="H27" i="6184"/>
  <c r="H8" i="6184"/>
  <c r="H41" i="6184"/>
  <c r="H5" i="6184"/>
  <c r="H24" i="6184"/>
  <c r="C21" i="6184"/>
  <c r="B26" i="6184"/>
  <c r="C40" i="6184"/>
  <c r="H47" i="6184"/>
  <c r="H52" i="6184"/>
  <c r="H9" i="6184"/>
  <c r="H12" i="6184"/>
  <c r="B27" i="6184"/>
  <c r="H37" i="6184"/>
  <c r="H42" i="6184"/>
  <c r="C46" i="6184"/>
  <c r="H19" i="6184"/>
  <c r="H16" i="6184"/>
  <c r="H39" i="6184"/>
  <c r="H44" i="6184"/>
  <c r="C48" i="6184"/>
  <c r="C19" i="6184"/>
  <c r="C24" i="6184"/>
  <c r="H20" i="6184"/>
  <c r="C38" i="6184"/>
  <c r="H45" i="6184"/>
  <c r="H50" i="6184"/>
  <c r="H14" i="6184"/>
  <c r="H28" i="6184"/>
  <c r="H18" i="6184"/>
  <c r="H32" i="6184"/>
  <c r="H36" i="6184"/>
  <c r="C39" i="6184"/>
  <c r="C43" i="6184"/>
  <c r="C47" i="6184"/>
  <c r="H29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8" i="6180"/>
  <c r="H24" i="6180"/>
  <c r="H22" i="6180"/>
  <c r="H8" i="6180"/>
  <c r="C18" i="6180"/>
  <c r="H25" i="6180"/>
  <c r="C21" i="6180"/>
  <c r="H29" i="6180"/>
  <c r="H36" i="6180"/>
  <c r="H14" i="6180"/>
  <c r="C40" i="6180"/>
  <c r="H3" i="6180"/>
  <c r="H17" i="6180"/>
  <c r="C22" i="6180"/>
  <c r="H42" i="6180"/>
  <c r="H2" i="6180"/>
  <c r="H27" i="6180"/>
  <c r="H5" i="6180"/>
  <c r="C25" i="6180"/>
  <c r="C42" i="6180"/>
  <c r="H46" i="6180"/>
  <c r="H18" i="6180"/>
  <c r="C46" i="6180"/>
  <c r="B26" i="6180"/>
  <c r="H37" i="6180"/>
  <c r="H48" i="6180"/>
  <c r="H7" i="6180"/>
  <c r="H13" i="6180"/>
  <c r="H9" i="6180"/>
  <c r="H40" i="6180"/>
  <c r="H49" i="6180"/>
  <c r="H31" i="6180"/>
  <c r="H41" i="6180"/>
  <c r="C48" i="6180"/>
  <c r="H32" i="6180"/>
  <c r="H34" i="6180"/>
  <c r="C36" i="6180"/>
  <c r="H44" i="6180"/>
  <c r="H50" i="6180"/>
  <c r="H10" i="6180"/>
  <c r="H6" i="6180"/>
  <c r="H11" i="6180"/>
  <c r="H26" i="6180"/>
  <c r="C19" i="6180"/>
  <c r="C24" i="6180"/>
  <c r="H38" i="6180"/>
  <c r="H45" i="6180"/>
  <c r="H4" i="6180"/>
  <c r="H15" i="6180"/>
  <c r="H12" i="6180"/>
  <c r="H20" i="6180"/>
  <c r="C38" i="6180"/>
  <c r="C44" i="6180"/>
  <c r="H52" i="6180"/>
  <c r="C39" i="6180"/>
  <c r="C43" i="6180"/>
  <c r="C47" i="6180"/>
  <c r="H23" i="6180"/>
  <c r="H33" i="6180"/>
  <c r="H21" i="6180"/>
  <c r="C37" i="6180"/>
  <c r="C41" i="6180"/>
  <c r="C45" i="6180"/>
  <c r="H51" i="6180"/>
  <c r="H19" i="6180"/>
  <c r="C23" i="6180"/>
  <c r="B27" i="6180"/>
  <c r="H35" i="6180"/>
  <c r="H39" i="6180"/>
  <c r="H43" i="6180"/>
  <c r="H47" i="6180"/>
  <c r="C18" i="6174"/>
  <c r="H7" i="6174"/>
  <c r="C36" i="6174"/>
  <c r="H30" i="6174"/>
  <c r="H31" i="6174"/>
  <c r="H43" i="6174"/>
  <c r="H33" i="6174"/>
  <c r="H22" i="6174"/>
  <c r="C23" i="6174"/>
  <c r="C42" i="6174"/>
  <c r="H13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2" i="6176"/>
  <c r="H19" i="6176"/>
  <c r="H40" i="6176"/>
  <c r="H45" i="6176"/>
  <c r="H50" i="6176"/>
  <c r="H24" i="6176"/>
  <c r="H17" i="6176"/>
  <c r="H10" i="6176"/>
  <c r="H6" i="6176"/>
  <c r="H14" i="6176"/>
  <c r="H35" i="6176"/>
  <c r="C39" i="6176"/>
  <c r="C44" i="6176"/>
  <c r="H22" i="6176"/>
  <c r="C24" i="6176"/>
  <c r="H13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3" i="6176"/>
  <c r="H15" i="6176"/>
  <c r="H30" i="6176"/>
  <c r="H8" i="6176"/>
  <c r="H36" i="6176"/>
  <c r="C38" i="6176"/>
  <c r="C42" i="6176"/>
  <c r="C46" i="6176"/>
  <c r="H49" i="6174"/>
  <c r="C48" i="6174"/>
  <c r="C38" i="6174"/>
  <c r="H11" i="6174"/>
  <c r="H21" i="6174"/>
  <c r="H40" i="6174"/>
  <c r="C19" i="6174"/>
  <c r="C24" i="6174"/>
  <c r="H19" i="6174"/>
  <c r="H45" i="6174"/>
  <c r="H10" i="6174"/>
  <c r="H12" i="6174"/>
  <c r="C25" i="6174"/>
  <c r="H20" i="6174"/>
  <c r="H4" i="6174"/>
  <c r="H50" i="6174"/>
  <c r="H6" i="6174"/>
  <c r="H32" i="6174"/>
  <c r="H15" i="6174"/>
  <c r="H16" i="6174"/>
  <c r="H37" i="6174"/>
  <c r="C44" i="6174"/>
  <c r="H29" i="6174"/>
  <c r="H42" i="6174"/>
  <c r="H46" i="6174"/>
  <c r="H5" i="6174"/>
  <c r="H39" i="6174"/>
  <c r="H24" i="6174"/>
  <c r="H18" i="6174"/>
  <c r="H44" i="6174"/>
  <c r="H41" i="6174"/>
  <c r="H25" i="6174"/>
  <c r="H2" i="6174"/>
  <c r="H3" i="6174"/>
  <c r="H23" i="6174"/>
  <c r="C21" i="6174"/>
  <c r="B26" i="6174"/>
  <c r="C40" i="6174"/>
  <c r="H47" i="6174"/>
  <c r="H52" i="6174"/>
  <c r="H17" i="6174"/>
  <c r="H35" i="6174"/>
  <c r="H14" i="6174"/>
  <c r="H36" i="6174"/>
  <c r="H38" i="6174"/>
  <c r="C39" i="6174"/>
  <c r="C43" i="6174"/>
  <c r="C47" i="6174"/>
  <c r="H27" i="6174"/>
  <c r="H28" i="6174"/>
  <c r="H26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<sst xmlns="http://schemas.openxmlformats.org/spreadsheetml/2006/main" count="2674" uniqueCount="226">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</sst>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全体!$K$2:$K$242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</c:numCache>
            </c:numRef>
          </c:xVal>
          <c:yVal>
            <c:numRef>
              <c:f>全体!$L$2:$L$242</c:f>
              <c:numCache>
                <c:formatCode>\+0.0;\-0.0;\±0</c:formatCode>
                <c:ptCount val="241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-12.658227848101266</c:v>
                </c:pt>
                <c:pt idx="1">
                  <c:v>-4.329004329004329</c:v>
                </c:pt>
                <c:pt idx="2">
                  <c:v>0</c:v>
                </c:pt>
                <c:pt idx="3">
                  <c:v>15.625</c:v>
                </c:pt>
                <c:pt idx="4">
                  <c:v>-53.571428571428569</c:v>
                </c:pt>
                <c:pt idx="5">
                  <c:v>69.767441860465112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43</c:v>
                </c:pt>
                <c:pt idx="1">
                  <c:v>97</c:v>
                </c:pt>
                <c:pt idx="2">
                  <c:v>92</c:v>
                </c:pt>
                <c:pt idx="3">
                  <c:v>98</c:v>
                </c:pt>
                <c:pt idx="4">
                  <c:v>80</c:v>
                </c:pt>
                <c:pt idx="5">
                  <c:v>51</c:v>
                </c:pt>
                <c:pt idx="6">
                  <c:v>34</c:v>
                </c:pt>
                <c:pt idx="7">
                  <c:v>14</c:v>
                </c:pt>
                <c:pt idx="8">
                  <c:v>10</c:v>
                </c:pt>
                <c:pt idx="9">
                  <c:v>7</c:v>
                </c:pt>
                <c:pt idx="10">
                  <c:v>4</c:v>
                </c:pt>
                <c:pt idx="11">
                  <c:v>1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-2561.9047619047619</c:v>
                </c:pt>
                <c:pt idx="1">
                  <c:v>-1636.5853658536585</c:v>
                </c:pt>
                <c:pt idx="2">
                  <c:v>234.21052631578948</c:v>
                </c:pt>
                <c:pt idx="3">
                  <c:v>-2017.6470588235295</c:v>
                </c:pt>
                <c:pt idx="4">
                  <c:v>134.375</c:v>
                </c:pt>
                <c:pt idx="5">
                  <c:v>2995.8333333333335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7</c:v>
                </c:pt>
                <c:pt idx="3">
                  <c:v>24</c:v>
                </c:pt>
                <c:pt idx="4">
                  <c:v>18</c:v>
                </c:pt>
                <c:pt idx="5">
                  <c:v>8</c:v>
                </c:pt>
                <c:pt idx="6">
                  <c:v>8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だいち!$L$2:$L$59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200</c:v>
                </c:pt>
                <c:pt idx="1">
                  <c:v>4530.909090909091</c:v>
                </c:pt>
                <c:pt idx="2">
                  <c:v>3653.8461538461538</c:v>
                </c:pt>
                <c:pt idx="3">
                  <c:v>2424.4444444444443</c:v>
                </c:pt>
                <c:pt idx="4">
                  <c:v>-1365.8536585365853</c:v>
                </c:pt>
                <c:pt idx="5">
                  <c:v>1836.3636363636363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22</c:v>
                </c:pt>
                <c:pt idx="3">
                  <c:v>29</c:v>
                </c:pt>
                <c:pt idx="4">
                  <c:v>27</c:v>
                </c:pt>
                <c:pt idx="5">
                  <c:v>12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-3880</c:v>
                </c:pt>
                <c:pt idx="1">
                  <c:v>1716.6666666666667</c:v>
                </c:pt>
                <c:pt idx="2">
                  <c:v>-4145.454545454545</c:v>
                </c:pt>
                <c:pt idx="3">
                  <c:v>-216.66666666666666</c:v>
                </c:pt>
                <c:pt idx="4">
                  <c:v>2150</c:v>
                </c:pt>
                <c:pt idx="5">
                  <c:v>-4370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11</c:v>
                </c:pt>
                <c:pt idx="3">
                  <c:v>6</c:v>
                </c:pt>
                <c:pt idx="4">
                  <c:v>4</c:v>
                </c:pt>
                <c:pt idx="5">
                  <c:v>9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まっつん!$L$2:$L$46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744.18604651162786</c:v>
                </c:pt>
                <c:pt idx="1">
                  <c:v>-958.1395348837209</c:v>
                </c:pt>
                <c:pt idx="2">
                  <c:v>-1320.9302325581396</c:v>
                </c:pt>
                <c:pt idx="3">
                  <c:v>1110</c:v>
                </c:pt>
                <c:pt idx="4">
                  <c:v>-1608.8235294117646</c:v>
                </c:pt>
                <c:pt idx="5">
                  <c:v>216.66666666666666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16</c:v>
                </c:pt>
                <c:pt idx="2">
                  <c:v>27</c:v>
                </c:pt>
                <c:pt idx="3">
                  <c:v>14</c:v>
                </c:pt>
                <c:pt idx="4">
                  <c:v>8</c:v>
                </c:pt>
                <c:pt idx="5">
                  <c:v>4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たかの!$L$2:$L$28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-1900</c:v>
                </c:pt>
                <c:pt idx="2">
                  <c:v>2950</c:v>
                </c:pt>
                <c:pt idx="3">
                  <c:v>-1273.6842105263158</c:v>
                </c:pt>
                <c:pt idx="4">
                  <c:v>4700</c:v>
                </c:pt>
                <c:pt idx="5">
                  <c:v>-800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3247.3684210526317</c:v>
                </c:pt>
                <c:pt idx="1">
                  <c:v>-6794.4444444444443</c:v>
                </c:pt>
                <c:pt idx="2">
                  <c:v>-364.70588235294116</c:v>
                </c:pt>
                <c:pt idx="3">
                  <c:v>-1985.7142857142858</c:v>
                </c:pt>
                <c:pt idx="4">
                  <c:v>923.07692307692309</c:v>
                </c:pt>
                <c:pt idx="5">
                  <c:v>-2360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5</c:v>
                </c:pt>
                <c:pt idx="1">
                  <c:v>11</c:v>
                </c:pt>
                <c:pt idx="2">
                  <c:v>4</c:v>
                </c:pt>
                <c:pt idx="3">
                  <c:v>8</c:v>
                </c:pt>
                <c:pt idx="4">
                  <c:v>5</c:v>
                </c:pt>
                <c:pt idx="5">
                  <c:v>4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ただ2!$B$3:$B$22</c:f>
              <c:numCache>
                <c:formatCode>\+0.0;\-0.0;\±0</c:formatCode>
                <c:ptCount val="20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ただ2!$C$3:$C$22</c:f>
              <c:numCache>
                <c:formatCode>\+0.0;\-0.0;\±0</c:formatCode>
                <c:ptCount val="20"/>
                <c:pt idx="1">
                  <c:v>68.2</c:v>
                </c:pt>
                <c:pt idx="2">
                  <c:v>20.6</c:v>
                </c:pt>
                <c:pt idx="3">
                  <c:v>2.9666666666666686</c:v>
                </c:pt>
                <c:pt idx="4">
                  <c:v>-10.299999999999999</c:v>
                </c:pt>
                <c:pt idx="5">
                  <c:v>-14.579999999999998</c:v>
                </c:pt>
                <c:pt idx="6">
                  <c:v>-21.666666666666668</c:v>
                </c:pt>
                <c:pt idx="7">
                  <c:v>-26.142857142857142</c:v>
                </c:pt>
                <c:pt idx="8">
                  <c:v>-16.074999999999999</c:v>
                </c:pt>
                <c:pt idx="9">
                  <c:v>-13.333333333333334</c:v>
                </c:pt>
                <c:pt idx="10">
                  <c:v>-11.28</c:v>
                </c:pt>
                <c:pt idx="11">
                  <c:v>-11</c:v>
                </c:pt>
                <c:pt idx="12">
                  <c:v>-9.0416666666666661</c:v>
                </c:pt>
                <c:pt idx="13">
                  <c:v>-4.8769230769230765</c:v>
                </c:pt>
                <c:pt idx="14">
                  <c:v>-3.0285714285714285</c:v>
                </c:pt>
                <c:pt idx="15">
                  <c:v>-4.38</c:v>
                </c:pt>
                <c:pt idx="16">
                  <c:v>-6.5500000000000007</c:v>
                </c:pt>
                <c:pt idx="17">
                  <c:v>-3.1117647058823539</c:v>
                </c:pt>
                <c:pt idx="18">
                  <c:v>-2.5444444444444452</c:v>
                </c:pt>
                <c:pt idx="19">
                  <c:v>-3.5578947368421057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81784197001252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ただ2!$D$3:$D$22</c:f>
              <c:numCache>
                <c:formatCode>0.00\ "位"</c:formatCode>
                <c:ptCount val="20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2.7142857142857144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2.125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2.1052631578947367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ただ2!$E$3:$E$22</c:f>
              <c:numCache>
                <c:formatCode>0.0%</c:formatCode>
                <c:ptCount val="20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ただ2!$F$3:$F$22</c:f>
              <c:numCache>
                <c:formatCode>0.0%</c:formatCode>
                <c:ptCount val="20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0.8571428571428571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ただ2!$G$3:$G$22</c:f>
              <c:numCache>
                <c:formatCode>0.0%</c:formatCode>
                <c:ptCount val="20"/>
                <c:pt idx="1">
                  <c:v>0.75</c:v>
                </c:pt>
                <c:pt idx="2">
                  <c:v>0.5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0.31578947368421051</c:v>
                </c:pt>
                <c:pt idx="6">
                  <c:v>0.2978723404255319</c:v>
                </c:pt>
                <c:pt idx="7">
                  <c:v>0.27450980392156865</c:v>
                </c:pt>
                <c:pt idx="8">
                  <c:v>0.32203389830508472</c:v>
                </c:pt>
                <c:pt idx="9">
                  <c:v>0.31818181818181818</c:v>
                </c:pt>
                <c:pt idx="10">
                  <c:v>0.32876712328767121</c:v>
                </c:pt>
                <c:pt idx="11">
                  <c:v>0.31707317073170732</c:v>
                </c:pt>
                <c:pt idx="12">
                  <c:v>0.32222222222222224</c:v>
                </c:pt>
                <c:pt idx="13">
                  <c:v>0.34375</c:v>
                </c:pt>
                <c:pt idx="14">
                  <c:v>0.35238095238095241</c:v>
                </c:pt>
                <c:pt idx="15">
                  <c:v>0.33913043478260868</c:v>
                </c:pt>
                <c:pt idx="16">
                  <c:v>0.32258064516129031</c:v>
                </c:pt>
                <c:pt idx="17">
                  <c:v>0.328125</c:v>
                </c:pt>
                <c:pt idx="18">
                  <c:v>0.32846715328467152</c:v>
                </c:pt>
                <c:pt idx="19">
                  <c:v>0.32167832167832167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47311827956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ただ2!$H$3:$H$22</c:f>
              <c:numCache>
                <c:formatCode>0.0%</c:formatCode>
                <c:ptCount val="20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0.23333333333333334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0.27450980392156865</c:v>
                </c:pt>
                <c:pt idx="8">
                  <c:v>0.2711864406779661</c:v>
                </c:pt>
                <c:pt idx="9">
                  <c:v>0.24242424242424243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0.24444444444444444</c:v>
                </c:pt>
                <c:pt idx="13">
                  <c:v>0.22916666666666666</c:v>
                </c:pt>
                <c:pt idx="14">
                  <c:v>0.21904761904761905</c:v>
                </c:pt>
                <c:pt idx="15">
                  <c:v>0.21739130434782608</c:v>
                </c:pt>
                <c:pt idx="16">
                  <c:v>0.22580645161290322</c:v>
                </c:pt>
                <c:pt idx="17">
                  <c:v>0.2265625</c:v>
                </c:pt>
                <c:pt idx="18">
                  <c:v>0.21897810218978103</c:v>
                </c:pt>
                <c:pt idx="19">
                  <c:v>0.21678321678321677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67741935483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ただ2!$I$3:$I$22</c:f>
              <c:numCache>
                <c:formatCode>0</c:formatCode>
                <c:ptCount val="20"/>
                <c:pt idx="1">
                  <c:v>10350</c:v>
                </c:pt>
                <c:pt idx="2">
                  <c:v>9442.8571428571431</c:v>
                </c:pt>
                <c:pt idx="3">
                  <c:v>7870</c:v>
                </c:pt>
                <c:pt idx="4">
                  <c:v>7870</c:v>
                </c:pt>
                <c:pt idx="5">
                  <c:v>7891.666666666667</c:v>
                </c:pt>
                <c:pt idx="6">
                  <c:v>8464.2857142857138</c:v>
                </c:pt>
                <c:pt idx="7">
                  <c:v>8464.2857142857138</c:v>
                </c:pt>
                <c:pt idx="8">
                  <c:v>9442.105263157895</c:v>
                </c:pt>
                <c:pt idx="9">
                  <c:v>9809.5238095238092</c:v>
                </c:pt>
                <c:pt idx="10">
                  <c:v>9712.5</c:v>
                </c:pt>
                <c:pt idx="11">
                  <c:v>9503.8461538461543</c:v>
                </c:pt>
                <c:pt idx="12">
                  <c:v>8979.310344827587</c:v>
                </c:pt>
                <c:pt idx="13">
                  <c:v>9090.9090909090901</c:v>
                </c:pt>
                <c:pt idx="14">
                  <c:v>9108.1081081081084</c:v>
                </c:pt>
                <c:pt idx="15">
                  <c:v>9082.0512820512813</c:v>
                </c:pt>
                <c:pt idx="16">
                  <c:v>8987.5</c:v>
                </c:pt>
                <c:pt idx="17">
                  <c:v>9978.5714285714294</c:v>
                </c:pt>
                <c:pt idx="18">
                  <c:v>9720</c:v>
                </c:pt>
                <c:pt idx="19">
                  <c:v>9676.0869565217399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055.51470588235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ただ2!$J$3:$J$22</c:f>
              <c:numCache>
                <c:formatCode>0</c:formatCode>
                <c:ptCount val="20"/>
                <c:pt idx="1">
                  <c:v>-1950</c:v>
                </c:pt>
                <c:pt idx="2">
                  <c:v>-5300</c:v>
                </c:pt>
                <c:pt idx="3">
                  <c:v>-8760</c:v>
                </c:pt>
                <c:pt idx="4">
                  <c:v>-9628.5714285714294</c:v>
                </c:pt>
                <c:pt idx="5">
                  <c:v>-8955.5555555555547</c:v>
                </c:pt>
                <c:pt idx="6">
                  <c:v>-11600</c:v>
                </c:pt>
                <c:pt idx="7">
                  <c:v>-11657.142857142857</c:v>
                </c:pt>
                <c:pt idx="8">
                  <c:v>-11700</c:v>
                </c:pt>
                <c:pt idx="9">
                  <c:v>-11700</c:v>
                </c:pt>
                <c:pt idx="10">
                  <c:v>-11227.777777777777</c:v>
                </c:pt>
                <c:pt idx="11">
                  <c:v>-10365</c:v>
                </c:pt>
                <c:pt idx="12">
                  <c:v>-9904.545454545454</c:v>
                </c:pt>
                <c:pt idx="13">
                  <c:v>-9904.545454545454</c:v>
                </c:pt>
                <c:pt idx="14">
                  <c:v>-9821.7391304347821</c:v>
                </c:pt>
                <c:pt idx="15">
                  <c:v>-9836</c:v>
                </c:pt>
                <c:pt idx="16">
                  <c:v>-9542.8571428571431</c:v>
                </c:pt>
                <c:pt idx="17">
                  <c:v>-9479.310344827587</c:v>
                </c:pt>
                <c:pt idx="18">
                  <c:v>-9336.6666666666661</c:v>
                </c:pt>
                <c:pt idx="19">
                  <c:v>-9551.6129032258068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01.68350168350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ただ2!$K$3:$K$22</c:f>
              <c:numCache>
                <c:formatCode>0.0%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3333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ただ2!$L$3:$L$22</c:f>
              <c:numCache>
                <c:formatCode>0.0%</c:formatCode>
                <c:ptCount val="20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0.13157894736842105</c:v>
                </c:pt>
                <c:pt idx="6">
                  <c:v>0.1276595744680851</c:v>
                </c:pt>
                <c:pt idx="7">
                  <c:v>0.11764705882352941</c:v>
                </c:pt>
                <c:pt idx="8">
                  <c:v>0.15254237288135594</c:v>
                </c:pt>
                <c:pt idx="9">
                  <c:v>0.16666666666666666</c:v>
                </c:pt>
                <c:pt idx="10">
                  <c:v>0.16438356164383561</c:v>
                </c:pt>
                <c:pt idx="11">
                  <c:v>0.15853658536585366</c:v>
                </c:pt>
                <c:pt idx="12">
                  <c:v>0.14444444444444443</c:v>
                </c:pt>
                <c:pt idx="13">
                  <c:v>0.17708333333333334</c:v>
                </c:pt>
                <c:pt idx="14">
                  <c:v>0.18095238095238095</c:v>
                </c:pt>
                <c:pt idx="15">
                  <c:v>0.17391304347826086</c:v>
                </c:pt>
                <c:pt idx="16">
                  <c:v>0.19354838709677419</c:v>
                </c:pt>
                <c:pt idx="17">
                  <c:v>0.1953125</c:v>
                </c:pt>
                <c:pt idx="18">
                  <c:v>0.18978102189781021</c:v>
                </c:pt>
                <c:pt idx="19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3010752688172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ただ2!$M$3:$M$22</c:f>
              <c:numCache>
                <c:formatCode>0.0%</c:formatCode>
                <c:ptCount val="20"/>
                <c:pt idx="1">
                  <c:v>0.125</c:v>
                </c:pt>
                <c:pt idx="2">
                  <c:v>0.14285714285714285</c:v>
                </c:pt>
                <c:pt idx="3">
                  <c:v>0.16</c:v>
                </c:pt>
                <c:pt idx="4">
                  <c:v>0.23333333333333334</c:v>
                </c:pt>
                <c:pt idx="5">
                  <c:v>0.34210526315789475</c:v>
                </c:pt>
                <c:pt idx="6">
                  <c:v>0.34042553191489361</c:v>
                </c:pt>
                <c:pt idx="7">
                  <c:v>0.35294117647058826</c:v>
                </c:pt>
                <c:pt idx="8">
                  <c:v>0.3728813559322034</c:v>
                </c:pt>
                <c:pt idx="9">
                  <c:v>0.34848484848484851</c:v>
                </c:pt>
                <c:pt idx="10">
                  <c:v>0.34246575342465752</c:v>
                </c:pt>
                <c:pt idx="11">
                  <c:v>0.32926829268292684</c:v>
                </c:pt>
                <c:pt idx="12">
                  <c:v>0.34444444444444444</c:v>
                </c:pt>
                <c:pt idx="13">
                  <c:v>0.33333333333333331</c:v>
                </c:pt>
                <c:pt idx="14">
                  <c:v>0.32380952380952382</c:v>
                </c:pt>
                <c:pt idx="15">
                  <c:v>0.31304347826086959</c:v>
                </c:pt>
                <c:pt idx="16">
                  <c:v>0.30645161290322581</c:v>
                </c:pt>
                <c:pt idx="17">
                  <c:v>0.3046875</c:v>
                </c:pt>
                <c:pt idx="18">
                  <c:v>0.29927007299270075</c:v>
                </c:pt>
                <c:pt idx="19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322580645161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ただ2!$N$3:$N$22</c:f>
              <c:numCache>
                <c:formatCode>0.0%</c:formatCode>
                <c:ptCount val="20"/>
                <c:pt idx="1">
                  <c:v>1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0.77777777777777779</c:v>
                </c:pt>
                <c:pt idx="9">
                  <c:v>0.72727272727272729</c:v>
                </c:pt>
                <c:pt idx="10">
                  <c:v>0.75</c:v>
                </c:pt>
                <c:pt idx="11">
                  <c:v>0.69230769230769229</c:v>
                </c:pt>
                <c:pt idx="12">
                  <c:v>0.69230769230769229</c:v>
                </c:pt>
                <c:pt idx="13">
                  <c:v>0.6470588235294118</c:v>
                </c:pt>
                <c:pt idx="14">
                  <c:v>0.68421052631578949</c:v>
                </c:pt>
                <c:pt idx="15">
                  <c:v>0.65</c:v>
                </c:pt>
                <c:pt idx="16">
                  <c:v>0.58333333333333337</c:v>
                </c:pt>
                <c:pt idx="17">
                  <c:v>0.6</c:v>
                </c:pt>
                <c:pt idx="18">
                  <c:v>0.57692307692307687</c:v>
                </c:pt>
                <c:pt idx="19">
                  <c:v>0.57692307692307687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0884955752212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ただ2!$O$3:$O$22</c:f>
              <c:numCache>
                <c:formatCode>0.0%</c:formatCode>
                <c:ptCount val="20"/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0.14285714285714285</c:v>
                </c:pt>
                <c:pt idx="5">
                  <c:v>0.23076923076923078</c:v>
                </c:pt>
                <c:pt idx="6">
                  <c:v>0.25</c:v>
                </c:pt>
                <c:pt idx="7">
                  <c:v>0.22222222222222221</c:v>
                </c:pt>
                <c:pt idx="8">
                  <c:v>0.22727272727272727</c:v>
                </c:pt>
                <c:pt idx="9">
                  <c:v>0.2608695652173913</c:v>
                </c:pt>
                <c:pt idx="10">
                  <c:v>0.24</c:v>
                </c:pt>
                <c:pt idx="11">
                  <c:v>0.25925925925925924</c:v>
                </c:pt>
                <c:pt idx="12">
                  <c:v>0.25806451612903225</c:v>
                </c:pt>
                <c:pt idx="13">
                  <c:v>0.28125</c:v>
                </c:pt>
                <c:pt idx="14">
                  <c:v>0.29411764705882354</c:v>
                </c:pt>
                <c:pt idx="15">
                  <c:v>0.30555555555555558</c:v>
                </c:pt>
                <c:pt idx="16">
                  <c:v>0.28947368421052633</c:v>
                </c:pt>
                <c:pt idx="17">
                  <c:v>0.28205128205128205</c:v>
                </c:pt>
                <c:pt idx="18">
                  <c:v>0.29268292682926828</c:v>
                </c:pt>
                <c:pt idx="19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0634920634920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ただ2!$P$3:$P$22</c:f>
              <c:numCache>
                <c:formatCode>0.0%</c:formatCode>
                <c:ptCount val="20"/>
                <c:pt idx="1">
                  <c:v>0.33333333333333331</c:v>
                </c:pt>
                <c:pt idx="2">
                  <c:v>0.42857142857142855</c:v>
                </c:pt>
                <c:pt idx="3">
                  <c:v>0.4</c:v>
                </c:pt>
                <c:pt idx="4">
                  <c:v>0.4</c:v>
                </c:pt>
                <c:pt idx="5">
                  <c:v>0.33333333333333331</c:v>
                </c:pt>
                <c:pt idx="6">
                  <c:v>0.35714285714285715</c:v>
                </c:pt>
                <c:pt idx="7">
                  <c:v>0.35714285714285715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0.375</c:v>
                </c:pt>
                <c:pt idx="11">
                  <c:v>0.34615384615384615</c:v>
                </c:pt>
                <c:pt idx="12">
                  <c:v>0.34482758620689657</c:v>
                </c:pt>
                <c:pt idx="13">
                  <c:v>0.33333333333333331</c:v>
                </c:pt>
                <c:pt idx="14">
                  <c:v>0.29729729729729731</c:v>
                </c:pt>
                <c:pt idx="15">
                  <c:v>0.30769230769230771</c:v>
                </c:pt>
                <c:pt idx="16">
                  <c:v>0.32500000000000001</c:v>
                </c:pt>
                <c:pt idx="17">
                  <c:v>0.35714285714285715</c:v>
                </c:pt>
                <c:pt idx="18">
                  <c:v>0.35555555555555557</c:v>
                </c:pt>
                <c:pt idx="19">
                  <c:v>0.36956521739130432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2205882352941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1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  <row r="14" spans="1:12" x14ac:dyDescent="0.45">
      <c r="A14" s="2" t="s">
        <v>218</v>
      </c>
      <c r="B14" s="3">
        <v>43991.976631944446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219</v>
      </c>
      <c r="B15" s="3">
        <v>43992.982615740744</v>
      </c>
      <c r="C15" s="2" t="s">
        <v>127</v>
      </c>
      <c r="D15" s="2" t="s">
        <v>191</v>
      </c>
    </row>
    <row r="16" spans="1:12" x14ac:dyDescent="0.45">
      <c r="A16" s="2" t="s">
        <v>220</v>
      </c>
      <c r="B16" s="3">
        <v>43995.997442129628</v>
      </c>
      <c r="C16" s="2" t="s">
        <v>127</v>
      </c>
    </row>
    <row r="17" spans="1:5" x14ac:dyDescent="0.45">
      <c r="A17" s="2" t="s">
        <v>221</v>
      </c>
      <c r="B17" s="3">
        <v>43997.010659722226</v>
      </c>
      <c r="C17" s="2" t="s">
        <v>127</v>
      </c>
      <c r="D17" s="2" t="s">
        <v>191</v>
      </c>
    </row>
    <row r="18" spans="1:5" x14ac:dyDescent="0.45">
      <c r="A18" s="2" t="s">
        <v>222</v>
      </c>
      <c r="B18" s="3">
        <v>43998.009212962963</v>
      </c>
      <c r="C18" s="2" t="s">
        <v>127</v>
      </c>
      <c r="D18" s="2" t="s">
        <v>191</v>
      </c>
      <c r="E18" s="2" t="s">
        <v>195</v>
      </c>
    </row>
    <row r="19" spans="1:5" x14ac:dyDescent="0.45">
      <c r="A19" s="2" t="s">
        <v>223</v>
      </c>
      <c r="B19" s="3">
        <v>43998.999363425923</v>
      </c>
      <c r="C19" s="2" t="s">
        <v>127</v>
      </c>
      <c r="D19" s="2" t="s">
        <v>191</v>
      </c>
    </row>
    <row r="20" spans="1:5" x14ac:dyDescent="0.45">
      <c r="A20" s="2" t="s">
        <v>224</v>
      </c>
      <c r="B20" s="3">
        <v>44000.864976851852</v>
      </c>
      <c r="C20" s="2" t="s">
        <v>127</v>
      </c>
      <c r="D20" s="2" t="s">
        <v>191</v>
      </c>
    </row>
    <row r="21" spans="1:5" x14ac:dyDescent="0.45">
      <c r="A21" s="2" t="s">
        <v>225</v>
      </c>
      <c r="B21" s="3">
        <v>44001.554282407407</v>
      </c>
      <c r="C21" s="2" t="s">
        <v>127</v>
      </c>
      <c r="D21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240</v>
      </c>
    </row>
    <row r="2" spans="1:2" x14ac:dyDescent="0.45">
      <c r="A2" t="s">
        <v>164</v>
      </c>
      <c r="B2">
        <v>43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57</v>
      </c>
    </row>
    <row r="5" spans="1:2" x14ac:dyDescent="0.45">
      <c r="A5" t="s">
        <v>194</v>
      </c>
      <c r="B5">
        <v>25</v>
      </c>
    </row>
    <row r="6" spans="1:2" x14ac:dyDescent="0.45">
      <c r="A6" t="s">
        <v>192</v>
      </c>
      <c r="B6">
        <v>44</v>
      </c>
    </row>
    <row r="7" spans="1:2" x14ac:dyDescent="0.45">
      <c r="A7" t="s">
        <v>193</v>
      </c>
      <c r="B7">
        <v>26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19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45">
      <c r="A2" s="38" t="s">
        <v>149</v>
      </c>
      <c r="B2" s="139">
        <v>0.60014855579142889</v>
      </c>
      <c r="C2" s="140"/>
      <c r="D2" s="145"/>
      <c r="E2" s="146"/>
      <c r="F2" s="145"/>
      <c r="G2" s="146"/>
      <c r="H2" s="139">
        <v>0.15771619468718584</v>
      </c>
      <c r="I2" s="140"/>
      <c r="J2" s="139">
        <v>0.89968800716998443</v>
      </c>
      <c r="K2" s="140"/>
      <c r="L2" s="139">
        <v>0.78929954528847868</v>
      </c>
      <c r="M2" s="140"/>
      <c r="N2" s="139">
        <v>0.87250355931772849</v>
      </c>
      <c r="O2" s="140"/>
      <c r="P2" s="139">
        <v>0.76301152476007983</v>
      </c>
      <c r="Q2" s="140"/>
      <c r="R2" s="139">
        <v>0.34530255163208901</v>
      </c>
      <c r="S2" s="140"/>
      <c r="T2" s="139">
        <v>0.31899453211512624</v>
      </c>
      <c r="U2" s="140"/>
      <c r="V2" s="139">
        <v>-5.666128915755473E-2</v>
      </c>
      <c r="W2" s="140"/>
      <c r="X2" s="139">
        <v>0.67616099148247144</v>
      </c>
      <c r="Y2" s="140"/>
      <c r="Z2" s="139">
        <v>-1.7836647373679279E-3</v>
      </c>
      <c r="AA2" s="140"/>
      <c r="AB2" s="139">
        <v>-0.17872343248780004</v>
      </c>
      <c r="AC2" s="140"/>
      <c r="AD2" s="139">
        <v>0.72729352506514622</v>
      </c>
      <c r="AE2" s="140"/>
      <c r="AF2" s="139">
        <v>0.27976093085207682</v>
      </c>
      <c r="AG2" s="140"/>
      <c r="AH2" s="139">
        <v>0.85198109754115359</v>
      </c>
      <c r="AI2" s="140"/>
      <c r="AJ2" s="139">
        <v>-0.14212050581010313</v>
      </c>
      <c r="AK2" s="140"/>
    </row>
    <row r="3" spans="1:37" x14ac:dyDescent="0.45">
      <c r="A3" s="40">
        <v>1</v>
      </c>
      <c r="B3" s="43" t="s">
        <v>139</v>
      </c>
      <c r="C3" s="117">
        <v>80</v>
      </c>
      <c r="D3" s="41" t="s">
        <v>126</v>
      </c>
      <c r="E3" s="42">
        <v>644.60000000000014</v>
      </c>
      <c r="F3" s="43" t="s">
        <v>126</v>
      </c>
      <c r="G3" s="62">
        <v>11.308771929824564</v>
      </c>
      <c r="H3" s="43" t="s">
        <v>196</v>
      </c>
      <c r="I3" s="62">
        <v>7.6166666666666663</v>
      </c>
      <c r="J3" s="43" t="s">
        <v>126</v>
      </c>
      <c r="K3" s="44">
        <v>1.7543859649122806</v>
      </c>
      <c r="L3" s="43" t="s">
        <v>126</v>
      </c>
      <c r="M3" s="45">
        <v>0.43859649122807015</v>
      </c>
      <c r="N3" s="43" t="s">
        <v>196</v>
      </c>
      <c r="O3" s="45">
        <v>0.125</v>
      </c>
      <c r="P3" s="43" t="s">
        <v>126</v>
      </c>
      <c r="Q3" s="46">
        <v>0.33105022831050229</v>
      </c>
      <c r="R3" s="43" t="s">
        <v>196</v>
      </c>
      <c r="S3" s="46">
        <v>7.6923076923076927E-2</v>
      </c>
      <c r="T3" s="43" t="s">
        <v>164</v>
      </c>
      <c r="U3" s="47">
        <v>10453.40909090909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0.31413612565445026</v>
      </c>
      <c r="AD3" s="43" t="s">
        <v>213</v>
      </c>
      <c r="AE3" s="46">
        <v>0.70833333333333337</v>
      </c>
      <c r="AF3" s="43" t="s">
        <v>194</v>
      </c>
      <c r="AG3" s="46">
        <v>0.5714285714285714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57</v>
      </c>
      <c r="D4" s="49" t="s">
        <v>193</v>
      </c>
      <c r="E4" s="50">
        <v>86.8</v>
      </c>
      <c r="F4" s="51" t="s">
        <v>193</v>
      </c>
      <c r="G4" s="63">
        <v>3.3384615384615381</v>
      </c>
      <c r="H4" s="51" t="s">
        <v>194</v>
      </c>
      <c r="I4" s="63">
        <v>3.2488888888888874</v>
      </c>
      <c r="J4" s="51" t="s">
        <v>196</v>
      </c>
      <c r="K4" s="52">
        <v>1.875</v>
      </c>
      <c r="L4" s="51" t="s">
        <v>193</v>
      </c>
      <c r="M4" s="53">
        <v>0.38461538461538464</v>
      </c>
      <c r="N4" s="51" t="s">
        <v>126</v>
      </c>
      <c r="O4" s="53">
        <v>0.19298245614035087</v>
      </c>
      <c r="P4" s="51" t="s">
        <v>205</v>
      </c>
      <c r="Q4" s="54">
        <v>0.32167832167832167</v>
      </c>
      <c r="R4" s="51" t="s">
        <v>192</v>
      </c>
      <c r="S4" s="54">
        <v>0.11461318051575932</v>
      </c>
      <c r="T4" s="51" t="s">
        <v>126</v>
      </c>
      <c r="U4" s="55">
        <v>10022.068965517241</v>
      </c>
      <c r="V4" s="51" t="s">
        <v>189</v>
      </c>
      <c r="W4" s="55">
        <v>-7317.6470588235297</v>
      </c>
      <c r="X4" s="51" t="s">
        <v>213</v>
      </c>
      <c r="Y4" s="53">
        <v>0</v>
      </c>
      <c r="Z4" s="51" t="s">
        <v>196</v>
      </c>
      <c r="AA4" s="54">
        <v>0.29230769230769232</v>
      </c>
      <c r="AB4" s="51" t="s">
        <v>205</v>
      </c>
      <c r="AC4" s="54">
        <v>0.30769230769230771</v>
      </c>
      <c r="AD4" s="51" t="s">
        <v>196</v>
      </c>
      <c r="AE4" s="54">
        <v>0.68421052631578949</v>
      </c>
      <c r="AF4" s="51" t="s">
        <v>213</v>
      </c>
      <c r="AG4" s="54">
        <v>0.5714285714285714</v>
      </c>
      <c r="AH4" s="51" t="s">
        <v>196</v>
      </c>
      <c r="AI4" s="54">
        <v>0.52941176470588236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192</v>
      </c>
      <c r="C5" s="118">
        <v>44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213</v>
      </c>
      <c r="I5" s="63">
        <v>2.1361111111111115</v>
      </c>
      <c r="J5" s="51" t="s">
        <v>193</v>
      </c>
      <c r="K5" s="52">
        <v>1.9615384615384615</v>
      </c>
      <c r="L5" s="51" t="s">
        <v>164</v>
      </c>
      <c r="M5" s="53">
        <v>0.34883720930232559</v>
      </c>
      <c r="N5" s="51" t="s">
        <v>192</v>
      </c>
      <c r="O5" s="53">
        <v>0.29545454545454547</v>
      </c>
      <c r="P5" s="51" t="s">
        <v>193</v>
      </c>
      <c r="Q5" s="54">
        <v>0.31413612565445026</v>
      </c>
      <c r="R5" s="51" t="s">
        <v>193</v>
      </c>
      <c r="S5" s="54">
        <v>0.14136125654450263</v>
      </c>
      <c r="T5" s="51" t="s">
        <v>205</v>
      </c>
      <c r="U5" s="55">
        <v>9676.0869565217399</v>
      </c>
      <c r="V5" s="51" t="s">
        <v>193</v>
      </c>
      <c r="W5" s="55">
        <v>-7514.8148148148148</v>
      </c>
      <c r="X5" s="51" t="s">
        <v>126</v>
      </c>
      <c r="Y5" s="53">
        <v>5.2631578947368418E-2</v>
      </c>
      <c r="Z5" s="51" t="s">
        <v>164</v>
      </c>
      <c r="AA5" s="54">
        <v>0.28783382789317508</v>
      </c>
      <c r="AB5" s="51" t="s">
        <v>192</v>
      </c>
      <c r="AC5" s="54">
        <v>0.24355300859598855</v>
      </c>
      <c r="AD5" s="51" t="s">
        <v>193</v>
      </c>
      <c r="AE5" s="54">
        <v>0.62962962962962965</v>
      </c>
      <c r="AF5" s="51" t="s">
        <v>126</v>
      </c>
      <c r="AG5" s="54">
        <v>0.51428571428571423</v>
      </c>
      <c r="AH5" s="51" t="s">
        <v>213</v>
      </c>
      <c r="AI5" s="54">
        <v>0.52173913043478259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164</v>
      </c>
      <c r="C6" s="118">
        <v>43</v>
      </c>
      <c r="D6" s="49" t="s">
        <v>139</v>
      </c>
      <c r="E6" s="50">
        <v>-2.1316282072803006E-14</v>
      </c>
      <c r="F6" s="51" t="s">
        <v>139</v>
      </c>
      <c r="G6" s="63">
        <v>-8.8817841970012528E-17</v>
      </c>
      <c r="H6" s="51" t="s">
        <v>193</v>
      </c>
      <c r="I6" s="63">
        <v>1.7602645502645515</v>
      </c>
      <c r="J6" s="51" t="s">
        <v>192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213</v>
      </c>
      <c r="Q6" s="54">
        <v>0.3108108108108108</v>
      </c>
      <c r="R6" s="51" t="s">
        <v>126</v>
      </c>
      <c r="S6" s="54">
        <v>0.14383561643835616</v>
      </c>
      <c r="T6" s="51" t="s">
        <v>189</v>
      </c>
      <c r="U6" s="55">
        <v>9062.5</v>
      </c>
      <c r="V6" s="51" t="s">
        <v>192</v>
      </c>
      <c r="W6" s="55">
        <v>-7855</v>
      </c>
      <c r="X6" s="51" t="s">
        <v>192</v>
      </c>
      <c r="Y6" s="53">
        <v>9.0909090909090912E-2</v>
      </c>
      <c r="Z6" s="51" t="s">
        <v>189</v>
      </c>
      <c r="AA6" s="54">
        <v>0.28378378378378377</v>
      </c>
      <c r="AB6" s="51" t="s">
        <v>164</v>
      </c>
      <c r="AC6" s="54">
        <v>0.20474777448071216</v>
      </c>
      <c r="AD6" s="51" t="s">
        <v>126</v>
      </c>
      <c r="AE6" s="54">
        <v>0.62727272727272732</v>
      </c>
      <c r="AF6" s="51" t="s">
        <v>189</v>
      </c>
      <c r="AG6" s="54">
        <v>0.5</v>
      </c>
      <c r="AH6" s="51" t="s">
        <v>126</v>
      </c>
      <c r="AI6" s="54">
        <v>0.51724137931034486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193</v>
      </c>
      <c r="C7" s="118">
        <v>26</v>
      </c>
      <c r="D7" s="49" t="s">
        <v>213</v>
      </c>
      <c r="E7" s="50">
        <v>-41.599999999999994</v>
      </c>
      <c r="F7" s="51" t="s">
        <v>192</v>
      </c>
      <c r="G7" s="63">
        <v>-2.1545454545454539</v>
      </c>
      <c r="H7" s="51" t="s">
        <v>126</v>
      </c>
      <c r="I7" s="63">
        <v>1.1133852813852769</v>
      </c>
      <c r="J7" s="51" t="s">
        <v>139</v>
      </c>
      <c r="K7" s="52">
        <v>2</v>
      </c>
      <c r="L7" s="51" t="s">
        <v>205</v>
      </c>
      <c r="M7" s="53">
        <v>0.31578947368421051</v>
      </c>
      <c r="N7" s="51" t="s">
        <v>213</v>
      </c>
      <c r="O7" s="53">
        <v>0.33333333333333331</v>
      </c>
      <c r="P7" s="51" t="s">
        <v>139</v>
      </c>
      <c r="Q7" s="54">
        <v>0.2924731182795699</v>
      </c>
      <c r="R7" s="51" t="s">
        <v>139</v>
      </c>
      <c r="S7" s="54">
        <v>0.1596774193548387</v>
      </c>
      <c r="T7" s="51" t="s">
        <v>139</v>
      </c>
      <c r="U7" s="55">
        <v>9055.5147058823532</v>
      </c>
      <c r="V7" s="51" t="s">
        <v>194</v>
      </c>
      <c r="W7" s="55">
        <v>-7961.2903225806449</v>
      </c>
      <c r="X7" s="51" t="s">
        <v>189</v>
      </c>
      <c r="Y7" s="53">
        <v>0.1111111111111111</v>
      </c>
      <c r="Z7" s="51" t="s">
        <v>126</v>
      </c>
      <c r="AA7" s="54">
        <v>0.25114155251141551</v>
      </c>
      <c r="AB7" s="51" t="s">
        <v>139</v>
      </c>
      <c r="AC7" s="54">
        <v>0.20322580645161289</v>
      </c>
      <c r="AD7" s="51" t="s">
        <v>205</v>
      </c>
      <c r="AE7" s="54">
        <v>0.57692307692307687</v>
      </c>
      <c r="AF7" s="51" t="s">
        <v>193</v>
      </c>
      <c r="AG7" s="54">
        <v>0.43333333333333335</v>
      </c>
      <c r="AH7" s="51" t="s">
        <v>193</v>
      </c>
      <c r="AI7" s="54">
        <v>0.46666666666666667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194</v>
      </c>
      <c r="C8" s="118">
        <v>25</v>
      </c>
      <c r="D8" s="49" t="s">
        <v>205</v>
      </c>
      <c r="E8" s="50">
        <v>-67.600000000000009</v>
      </c>
      <c r="F8" s="51" t="s">
        <v>205</v>
      </c>
      <c r="G8" s="63">
        <v>-3.5578947368421057</v>
      </c>
      <c r="H8" s="51" t="s">
        <v>205</v>
      </c>
      <c r="I8" s="63">
        <v>0.48361111111110944</v>
      </c>
      <c r="J8" s="51" t="s">
        <v>164</v>
      </c>
      <c r="K8" s="52">
        <v>2.0930232558139537</v>
      </c>
      <c r="L8" s="51" t="s">
        <v>192</v>
      </c>
      <c r="M8" s="53">
        <v>0.29545454545454547</v>
      </c>
      <c r="N8" s="51" t="s">
        <v>193</v>
      </c>
      <c r="O8" s="53">
        <v>0.34615384615384615</v>
      </c>
      <c r="P8" s="51" t="s">
        <v>192</v>
      </c>
      <c r="Q8" s="54">
        <v>0.27793696275071633</v>
      </c>
      <c r="R8" s="51" t="s">
        <v>194</v>
      </c>
      <c r="S8" s="54">
        <v>0.16402116402116401</v>
      </c>
      <c r="T8" s="51" t="s">
        <v>193</v>
      </c>
      <c r="U8" s="55">
        <v>8308.3333333333339</v>
      </c>
      <c r="V8" s="51" t="s">
        <v>139</v>
      </c>
      <c r="W8" s="55">
        <v>-8201.6835016835012</v>
      </c>
      <c r="X8" s="51" t="s">
        <v>139</v>
      </c>
      <c r="Y8" s="53">
        <v>0.13333333333333333</v>
      </c>
      <c r="Z8" s="51" t="s">
        <v>192</v>
      </c>
      <c r="AA8" s="54">
        <v>0.24928366762177651</v>
      </c>
      <c r="AB8" s="51" t="s">
        <v>126</v>
      </c>
      <c r="AC8" s="54">
        <v>0.15981735159817351</v>
      </c>
      <c r="AD8" s="51" t="s">
        <v>139</v>
      </c>
      <c r="AE8" s="54">
        <v>0.55088495575221241</v>
      </c>
      <c r="AF8" s="51" t="s">
        <v>139</v>
      </c>
      <c r="AG8" s="54">
        <v>0.42063492063492064</v>
      </c>
      <c r="AH8" s="51" t="s">
        <v>139</v>
      </c>
      <c r="AI8" s="54">
        <v>0.45220588235294118</v>
      </c>
      <c r="AJ8" s="51" t="s">
        <v>192</v>
      </c>
      <c r="AK8" s="58">
        <v>98700</v>
      </c>
    </row>
    <row r="9" spans="1:37" x14ac:dyDescent="0.45">
      <c r="A9" s="48">
        <v>7</v>
      </c>
      <c r="B9" s="51" t="s">
        <v>205</v>
      </c>
      <c r="C9" s="118">
        <v>19</v>
      </c>
      <c r="D9" s="49" t="s">
        <v>192</v>
      </c>
      <c r="E9" s="50">
        <v>-94.799999999999969</v>
      </c>
      <c r="F9" s="51" t="s">
        <v>213</v>
      </c>
      <c r="G9" s="63">
        <v>-4.6222222222222218</v>
      </c>
      <c r="H9" s="51" t="s">
        <v>139</v>
      </c>
      <c r="I9" s="63">
        <v>0</v>
      </c>
      <c r="J9" s="51" t="s">
        <v>205</v>
      </c>
      <c r="K9" s="52">
        <v>2.1052631578947367</v>
      </c>
      <c r="L9" s="51" t="s">
        <v>196</v>
      </c>
      <c r="M9" s="53">
        <v>0.25</v>
      </c>
      <c r="N9" s="51" t="s">
        <v>205</v>
      </c>
      <c r="O9" s="53">
        <v>0.42105263157894735</v>
      </c>
      <c r="P9" s="51" t="s">
        <v>194</v>
      </c>
      <c r="Q9" s="54">
        <v>0.27513227513227512</v>
      </c>
      <c r="R9" s="51" t="s">
        <v>213</v>
      </c>
      <c r="S9" s="54">
        <v>0.1891891891891892</v>
      </c>
      <c r="T9" s="51" t="s">
        <v>194</v>
      </c>
      <c r="U9" s="55">
        <v>8023.0769230769229</v>
      </c>
      <c r="V9" s="51" t="s">
        <v>164</v>
      </c>
      <c r="W9" s="55">
        <v>-8340.579710144928</v>
      </c>
      <c r="X9" s="51" t="s">
        <v>205</v>
      </c>
      <c r="Y9" s="53">
        <v>0.15789473684210525</v>
      </c>
      <c r="Z9" s="51" t="s">
        <v>139</v>
      </c>
      <c r="AA9" s="54">
        <v>0.24301075268817204</v>
      </c>
      <c r="AB9" s="51" t="s">
        <v>194</v>
      </c>
      <c r="AC9" s="54">
        <v>0.14814814814814814</v>
      </c>
      <c r="AD9" s="51" t="s">
        <v>192</v>
      </c>
      <c r="AE9" s="54">
        <v>0.54022988505747127</v>
      </c>
      <c r="AF9" s="51" t="s">
        <v>164</v>
      </c>
      <c r="AG9" s="54">
        <v>0.39130434782608697</v>
      </c>
      <c r="AH9" s="51" t="s">
        <v>194</v>
      </c>
      <c r="AI9" s="54">
        <v>0.42307692307692307</v>
      </c>
      <c r="AJ9" s="51" t="s">
        <v>213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189</v>
      </c>
      <c r="E10" s="50">
        <v>-105.5</v>
      </c>
      <c r="F10" s="51" t="s">
        <v>164</v>
      </c>
      <c r="G10" s="63">
        <v>-4.7000000000000011</v>
      </c>
      <c r="H10" s="51" t="s">
        <v>164</v>
      </c>
      <c r="I10" s="63">
        <v>-1.4541520467836193</v>
      </c>
      <c r="J10" s="51" t="s">
        <v>213</v>
      </c>
      <c r="K10" s="52">
        <v>2.1111111111111112</v>
      </c>
      <c r="L10" s="51" t="s">
        <v>189</v>
      </c>
      <c r="M10" s="53">
        <v>0.22222222222222221</v>
      </c>
      <c r="N10" s="51" t="s">
        <v>164</v>
      </c>
      <c r="O10" s="53">
        <v>0.44186046511627908</v>
      </c>
      <c r="P10" s="51" t="s">
        <v>196</v>
      </c>
      <c r="Q10" s="54">
        <v>0.26153846153846155</v>
      </c>
      <c r="R10" s="51" t="s">
        <v>164</v>
      </c>
      <c r="S10" s="54">
        <v>0.20474777448071216</v>
      </c>
      <c r="T10" s="51" t="s">
        <v>196</v>
      </c>
      <c r="U10" s="55">
        <v>7964.7058823529414</v>
      </c>
      <c r="V10" s="51" t="s">
        <v>126</v>
      </c>
      <c r="W10" s="55">
        <v>-8461.9047619047615</v>
      </c>
      <c r="X10" s="51" t="s">
        <v>164</v>
      </c>
      <c r="Y10" s="53">
        <v>0.20930232558139536</v>
      </c>
      <c r="Z10" s="51" t="s">
        <v>194</v>
      </c>
      <c r="AA10" s="54">
        <v>0.21693121693121692</v>
      </c>
      <c r="AB10" s="51" t="s">
        <v>196</v>
      </c>
      <c r="AC10" s="54">
        <v>0.13846153846153847</v>
      </c>
      <c r="AD10" s="51" t="s">
        <v>194</v>
      </c>
      <c r="AE10" s="54">
        <v>0.48780487804878048</v>
      </c>
      <c r="AF10" s="51" t="s">
        <v>192</v>
      </c>
      <c r="AG10" s="54">
        <v>0.36470588235294116</v>
      </c>
      <c r="AH10" s="51" t="s">
        <v>192</v>
      </c>
      <c r="AI10" s="54">
        <v>0.40206185567010311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164</v>
      </c>
      <c r="E11" s="50">
        <v>-202.10000000000005</v>
      </c>
      <c r="F11" s="51" t="s">
        <v>194</v>
      </c>
      <c r="G11" s="63">
        <v>-9.091999999999997</v>
      </c>
      <c r="H11" s="51" t="s">
        <v>192</v>
      </c>
      <c r="I11" s="63">
        <v>-1.9378917378917369</v>
      </c>
      <c r="J11" s="51" t="s">
        <v>189</v>
      </c>
      <c r="K11" s="52">
        <v>2.2222222222222223</v>
      </c>
      <c r="L11" s="51" t="s">
        <v>213</v>
      </c>
      <c r="M11" s="53">
        <v>0.22222222222222221</v>
      </c>
      <c r="N11" s="51" t="s">
        <v>189</v>
      </c>
      <c r="O11" s="53">
        <v>0.44444444444444442</v>
      </c>
      <c r="P11" s="51" t="s">
        <v>164</v>
      </c>
      <c r="Q11" s="54">
        <v>0.26112759643916916</v>
      </c>
      <c r="R11" s="51" t="s">
        <v>205</v>
      </c>
      <c r="S11" s="54">
        <v>0.21678321678321677</v>
      </c>
      <c r="T11" s="51" t="s">
        <v>192</v>
      </c>
      <c r="U11" s="55">
        <v>7615.4639175257735</v>
      </c>
      <c r="V11" s="51" t="s">
        <v>213</v>
      </c>
      <c r="W11" s="55">
        <v>-8671.4285714285706</v>
      </c>
      <c r="X11" s="51" t="s">
        <v>193</v>
      </c>
      <c r="Y11" s="53">
        <v>0.23076923076923078</v>
      </c>
      <c r="Z11" s="51" t="s">
        <v>205</v>
      </c>
      <c r="AA11" s="54">
        <v>0.18181818181818182</v>
      </c>
      <c r="AB11" s="51" t="s">
        <v>213</v>
      </c>
      <c r="AC11" s="54">
        <v>9.45945945945946E-2</v>
      </c>
      <c r="AD11" s="51" t="s">
        <v>189</v>
      </c>
      <c r="AE11" s="54">
        <v>0.47619047619047616</v>
      </c>
      <c r="AF11" s="51" t="s">
        <v>196</v>
      </c>
      <c r="AG11" s="54">
        <v>0.33333333333333331</v>
      </c>
      <c r="AH11" s="51" t="s">
        <v>164</v>
      </c>
      <c r="AI11" s="54">
        <v>0.39772727272727271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194</v>
      </c>
      <c r="E12" s="50">
        <v>-227.29999999999993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2.2799999999999998</v>
      </c>
      <c r="L12" s="51" t="s">
        <v>194</v>
      </c>
      <c r="M12" s="53">
        <v>0.2</v>
      </c>
      <c r="N12" s="51" t="s">
        <v>194</v>
      </c>
      <c r="O12" s="53">
        <v>0.48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213</v>
      </c>
      <c r="U12" s="55">
        <v>7530.434782608696</v>
      </c>
      <c r="V12" s="51" t="s">
        <v>205</v>
      </c>
      <c r="W12" s="55">
        <v>-9551.6129032258068</v>
      </c>
      <c r="X12" s="51" t="s">
        <v>194</v>
      </c>
      <c r="Y12" s="53">
        <v>0.24</v>
      </c>
      <c r="Z12" s="51" t="s">
        <v>193</v>
      </c>
      <c r="AA12" s="54">
        <v>0.14136125654450263</v>
      </c>
      <c r="AB12" s="51" t="s">
        <v>189</v>
      </c>
      <c r="AC12" s="54">
        <v>8.1081081081081086E-2</v>
      </c>
      <c r="AD12" s="51" t="s">
        <v>164</v>
      </c>
      <c r="AE12" s="54">
        <v>0.42268041237113402</v>
      </c>
      <c r="AF12" s="51" t="s">
        <v>205</v>
      </c>
      <c r="AG12" s="54">
        <v>0.29545454545454547</v>
      </c>
      <c r="AH12" s="51" t="s">
        <v>205</v>
      </c>
      <c r="AI12" s="54">
        <v>0.36956521739130432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24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240</v>
      </c>
      <c r="C2" s="132"/>
      <c r="E2" s="28" t="s">
        <v>66</v>
      </c>
      <c r="F2" s="25" t="s">
        <v>22</v>
      </c>
      <c r="G2" s="13">
        <v>395</v>
      </c>
      <c r="H2" s="91">
        <f>IF(B$19=0,0,G2/B$19)</f>
        <v>0.72610294117647056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-12.658227848101266</v>
      </c>
      <c r="P2" s="80">
        <v>237</v>
      </c>
      <c r="Q2" s="67">
        <v>-3000</v>
      </c>
    </row>
    <row r="3" spans="1:17" x14ac:dyDescent="0.45">
      <c r="A3" s="21" t="s">
        <v>8</v>
      </c>
      <c r="B3" s="133">
        <v>1860</v>
      </c>
      <c r="C3" s="134"/>
      <c r="E3" s="29" t="s">
        <v>72</v>
      </c>
      <c r="F3" s="26" t="s">
        <v>27</v>
      </c>
      <c r="G3" s="14">
        <v>311</v>
      </c>
      <c r="H3" s="92">
        <f>IF(B$19=0,0,G3/B$19)</f>
        <v>0.5716911764705882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-4.329004329004329</v>
      </c>
      <c r="P3" s="81">
        <v>231</v>
      </c>
      <c r="Q3" s="68">
        <v>-1000</v>
      </c>
    </row>
    <row r="4" spans="1:17" x14ac:dyDescent="0.45">
      <c r="A4" s="21" t="s">
        <v>6</v>
      </c>
      <c r="B4" s="135">
        <v>-2.1316282072803006E-14</v>
      </c>
      <c r="C4" s="136"/>
      <c r="E4" s="29" t="s">
        <v>64</v>
      </c>
      <c r="F4" s="26" t="s">
        <v>20</v>
      </c>
      <c r="G4" s="14">
        <v>242</v>
      </c>
      <c r="H4" s="92">
        <f>IF(B$19=0,0,G4/B$19)</f>
        <v>0.44485294117647056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0</v>
      </c>
      <c r="P4" s="81">
        <v>219</v>
      </c>
      <c r="Q4" s="68">
        <v>0</v>
      </c>
    </row>
    <row r="5" spans="1:17" x14ac:dyDescent="0.45">
      <c r="A5" s="21" t="s">
        <v>7</v>
      </c>
      <c r="B5" s="123">
        <f>IF(B$2=0,0,B$4/B$2)</f>
        <v>-8.8817841970012528E-17</v>
      </c>
      <c r="C5" s="124"/>
      <c r="E5" s="29" t="s">
        <v>160</v>
      </c>
      <c r="F5" s="26" t="s">
        <v>161</v>
      </c>
      <c r="G5" s="14">
        <v>227</v>
      </c>
      <c r="H5" s="92">
        <f>IF(B$19=0,0,G5/B$19)</f>
        <v>0.4172794117647059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15.625</v>
      </c>
      <c r="P5" s="81">
        <v>192</v>
      </c>
      <c r="Q5" s="68">
        <v>3000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164</v>
      </c>
      <c r="H6" s="92">
        <f>IF(B$19=0,0,G6/B$19)</f>
        <v>0.3014705882352941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-53.571428571428569</v>
      </c>
      <c r="P6" s="81">
        <v>168</v>
      </c>
      <c r="Q6" s="68">
        <v>-9000</v>
      </c>
    </row>
    <row r="7" spans="1:17" x14ac:dyDescent="0.45">
      <c r="A7" s="21" t="s">
        <v>2</v>
      </c>
      <c r="B7" s="14">
        <v>80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128</v>
      </c>
      <c r="H7" s="92">
        <f>IF(B$19=0,0,G7/B$19)</f>
        <v>0.23529411764705882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69.767441860465112</v>
      </c>
      <c r="P7" s="82">
        <v>129</v>
      </c>
      <c r="Q7" s="69">
        <v>9000</v>
      </c>
    </row>
    <row r="8" spans="1:17" x14ac:dyDescent="0.45">
      <c r="A8" s="21" t="s">
        <v>3</v>
      </c>
      <c r="B8" s="14">
        <v>80</v>
      </c>
      <c r="C8" s="8">
        <f t="shared" si="1"/>
        <v>0.33333333333333331</v>
      </c>
      <c r="E8" s="29" t="s">
        <v>89</v>
      </c>
      <c r="F8" s="26" t="s">
        <v>44</v>
      </c>
      <c r="G8" s="14">
        <v>79</v>
      </c>
      <c r="H8" s="92">
        <f>IF(B$19=0,0,G8/B$19)</f>
        <v>0.14522058823529413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80</v>
      </c>
      <c r="C9" s="9">
        <f t="shared" si="1"/>
        <v>0.33333333333333331</v>
      </c>
      <c r="E9" s="29" t="s">
        <v>69</v>
      </c>
      <c r="F9" s="26" t="s">
        <v>24</v>
      </c>
      <c r="G9" s="14">
        <v>69</v>
      </c>
      <c r="H9" s="92">
        <f>IF(B$19=0,0,G9/B$19)</f>
        <v>0.12683823529411764</v>
      </c>
      <c r="I9" s="60">
        <v>5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42.296249999999993</v>
      </c>
      <c r="C10" s="114">
        <v>3383.6999999999994</v>
      </c>
      <c r="E10" s="29" t="s">
        <v>65</v>
      </c>
      <c r="F10" s="26" t="s">
        <v>21</v>
      </c>
      <c r="G10" s="14">
        <v>51</v>
      </c>
      <c r="H10" s="92">
        <f>IF(B$19=0,0,G10/B$19)</f>
        <v>9.375E-2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-6.4774999999999974</v>
      </c>
      <c r="P10" s="80">
        <v>80</v>
      </c>
      <c r="Q10" s="71">
        <v>-518.19999999999982</v>
      </c>
    </row>
    <row r="11" spans="1:17" x14ac:dyDescent="0.45">
      <c r="A11" s="22" t="s">
        <v>186</v>
      </c>
      <c r="B11" s="113">
        <f>IF(B8=0,0,C11/B8)</f>
        <v>-3.7450000000000019</v>
      </c>
      <c r="C11" s="114">
        <v>-299.60000000000014</v>
      </c>
      <c r="E11" s="29" t="s">
        <v>70</v>
      </c>
      <c r="F11" s="26" t="s">
        <v>25</v>
      </c>
      <c r="G11" s="14">
        <v>46</v>
      </c>
      <c r="H11" s="92">
        <f>IF(B$19=0,0,G11/B$19)</f>
        <v>8.455882352941177E-2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0.65499999999999936</v>
      </c>
      <c r="P11" s="81">
        <v>80</v>
      </c>
      <c r="Q11" s="72">
        <v>52.399999999999949</v>
      </c>
    </row>
    <row r="12" spans="1:17" x14ac:dyDescent="0.45">
      <c r="A12" s="22" t="s">
        <v>187</v>
      </c>
      <c r="B12" s="113">
        <f>IF(B9=0,0,C12/B9)</f>
        <v>-38.551249999999996</v>
      </c>
      <c r="C12" s="114">
        <v>-3084.0999999999995</v>
      </c>
      <c r="E12" s="29" t="s">
        <v>71</v>
      </c>
      <c r="F12" s="26" t="s">
        <v>26</v>
      </c>
      <c r="G12" s="14">
        <v>37</v>
      </c>
      <c r="H12" s="92">
        <f>IF(B$19=0,0,G12/B$19)</f>
        <v>6.8014705882352935E-2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5.822499999999998</v>
      </c>
      <c r="P12" s="82">
        <v>80</v>
      </c>
      <c r="Q12" s="73">
        <v>465.79999999999984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83</v>
      </c>
      <c r="F13" s="26" t="s">
        <v>38</v>
      </c>
      <c r="G13" s="14">
        <v>31</v>
      </c>
      <c r="H13" s="92">
        <f>IF(B$19=0,0,G13/B$19)</f>
        <v>5.6985294117647058E-2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32</v>
      </c>
      <c r="C14" s="11">
        <f t="shared" si="1"/>
        <v>0.13333333333333333</v>
      </c>
      <c r="E14" s="29" t="s">
        <v>86</v>
      </c>
      <c r="F14" s="26" t="s">
        <v>41</v>
      </c>
      <c r="G14" s="14">
        <v>31</v>
      </c>
      <c r="H14" s="92">
        <f>IF(B$19=0,0,G14/B$19)</f>
        <v>5.6985294117647058E-2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452</v>
      </c>
      <c r="C15" s="12">
        <f>IF(B$3=0,0,B15/B$3)</f>
        <v>0.24301075268817204</v>
      </c>
      <c r="E15" s="29" t="s">
        <v>78</v>
      </c>
      <c r="F15" s="26" t="s">
        <v>33</v>
      </c>
      <c r="G15" s="14">
        <v>16</v>
      </c>
      <c r="H15" s="92">
        <f>IF(B$19=0,0,G15/B$19)</f>
        <v>2.9411764705882353E-2</v>
      </c>
      <c r="I15" s="60">
        <v>5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378</v>
      </c>
      <c r="C16" s="8">
        <f>IF(B$3=0,0,B16/B$3)</f>
        <v>0.20322580645161289</v>
      </c>
      <c r="E16" s="29" t="s">
        <v>81</v>
      </c>
      <c r="F16" s="26" t="s">
        <v>36</v>
      </c>
      <c r="G16" s="14">
        <v>16</v>
      </c>
      <c r="H16" s="92">
        <f>IF(B$19=0,0,G16/B$19)</f>
        <v>2.9411764705882353E-2</v>
      </c>
      <c r="I16" s="60">
        <v>3</v>
      </c>
      <c r="K16" s="7">
        <v>14</v>
      </c>
      <c r="L16" s="65">
        <v>12.800000000000002</v>
      </c>
      <c r="N16" s="78" t="s">
        <v>194</v>
      </c>
      <c r="O16" s="87">
        <f>IF(P16=0,0,Q16/P16)</f>
        <v>13.638</v>
      </c>
      <c r="P16" s="81">
        <v>50</v>
      </c>
      <c r="Q16" s="72">
        <v>681.9</v>
      </c>
    </row>
    <row r="17" spans="1:17" x14ac:dyDescent="0.45">
      <c r="A17" s="20" t="s">
        <v>123</v>
      </c>
      <c r="B17" s="13">
        <f>B23</f>
        <v>249</v>
      </c>
      <c r="C17" s="6">
        <f>IF(B$15=0,0,B17/B$15)</f>
        <v>0.55088495575221241</v>
      </c>
      <c r="E17" s="29" t="s">
        <v>79</v>
      </c>
      <c r="F17" s="26" t="s">
        <v>34</v>
      </c>
      <c r="G17" s="14">
        <v>13</v>
      </c>
      <c r="H17" s="92">
        <f>IF(B$19=0,0,G17/B$19)</f>
        <v>2.389705882352941E-2</v>
      </c>
      <c r="I17" s="60">
        <v>4</v>
      </c>
      <c r="K17" s="7">
        <v>15</v>
      </c>
      <c r="L17" s="65">
        <v>1.7763568394002505E-15</v>
      </c>
      <c r="N17" s="78" t="s">
        <v>164</v>
      </c>
      <c r="O17" s="87">
        <f>IF(P17=0,0,Q17/P17)</f>
        <v>7.0499999999999972</v>
      </c>
      <c r="P17" s="81">
        <v>86</v>
      </c>
      <c r="Q17" s="72">
        <v>606.29999999999973</v>
      </c>
    </row>
    <row r="18" spans="1:17" x14ac:dyDescent="0.45">
      <c r="A18" s="20" t="s">
        <v>124</v>
      </c>
      <c r="B18" s="13">
        <f>B24</f>
        <v>159</v>
      </c>
      <c r="C18" s="6">
        <f>IF(B$16=0,0,B18/B$16)</f>
        <v>0.42063492063492064</v>
      </c>
      <c r="E18" s="29" t="s">
        <v>91</v>
      </c>
      <c r="F18" s="26" t="s">
        <v>46</v>
      </c>
      <c r="G18" s="14">
        <v>13</v>
      </c>
      <c r="H18" s="92">
        <f>IF(B$19=0,0,G18/B$19)</f>
        <v>2.389705882352941E-2</v>
      </c>
      <c r="I18" s="60">
        <v>3</v>
      </c>
      <c r="K18" s="7">
        <v>16</v>
      </c>
      <c r="L18" s="65">
        <v>3.4000000000000017</v>
      </c>
      <c r="N18" s="78" t="s">
        <v>213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5">
      <c r="A19" s="20" t="s">
        <v>10</v>
      </c>
      <c r="B19" s="13">
        <f>B22+B21</f>
        <v>544</v>
      </c>
      <c r="C19" s="6">
        <f>IF(B$3=0,0,B19/B$3)</f>
        <v>0.2924731182795699</v>
      </c>
      <c r="E19" s="29" t="s">
        <v>92</v>
      </c>
      <c r="F19" s="26" t="s">
        <v>47</v>
      </c>
      <c r="G19" s="14">
        <v>8</v>
      </c>
      <c r="H19" s="92">
        <f>IF(B$19=0,0,G19/B$19)</f>
        <v>1.4705882352941176E-2</v>
      </c>
      <c r="I19" s="60">
        <v>5</v>
      </c>
      <c r="K19" s="7">
        <v>17</v>
      </c>
      <c r="L19" s="65">
        <v>-35.800000000000004</v>
      </c>
      <c r="N19" s="78" t="s">
        <v>205</v>
      </c>
      <c r="O19" s="87">
        <f>IF(P19=0,0,Q19/P19)</f>
        <v>5.3368421052631598</v>
      </c>
      <c r="P19" s="81">
        <v>38</v>
      </c>
      <c r="Q19" s="72">
        <v>202.80000000000007</v>
      </c>
    </row>
    <row r="20" spans="1:17" x14ac:dyDescent="0.45">
      <c r="A20" s="21" t="s">
        <v>13</v>
      </c>
      <c r="B20" s="14">
        <v>297</v>
      </c>
      <c r="C20" s="8">
        <f>IF(B$3=0,0,B20/B$3)</f>
        <v>0.1596774193548387</v>
      </c>
      <c r="E20" s="29" t="s">
        <v>156</v>
      </c>
      <c r="F20" s="26" t="s">
        <v>157</v>
      </c>
      <c r="G20" s="14">
        <v>7</v>
      </c>
      <c r="H20" s="92">
        <f>IF(B$19=0,0,G20/B$19)</f>
        <v>1.2867647058823529E-2</v>
      </c>
      <c r="I20" s="60">
        <v>3</v>
      </c>
      <c r="K20" s="7">
        <v>18</v>
      </c>
      <c r="L20" s="65">
        <v>-7.1054273576010019E-15</v>
      </c>
      <c r="N20" s="78" t="s">
        <v>192</v>
      </c>
      <c r="O20" s="87">
        <f>IF(P20=0,0,Q20/P20)</f>
        <v>3.2318181818181868</v>
      </c>
      <c r="P20" s="81">
        <v>88</v>
      </c>
      <c r="Q20" s="72">
        <v>284.40000000000043</v>
      </c>
    </row>
    <row r="21" spans="1:17" x14ac:dyDescent="0.45">
      <c r="A21" s="21" t="s">
        <v>12</v>
      </c>
      <c r="B21" s="14">
        <v>246</v>
      </c>
      <c r="C21" s="8">
        <f>IF(B$19=0,0,B21/B$19)</f>
        <v>0.45220588235294118</v>
      </c>
      <c r="E21" s="29" t="s">
        <v>85</v>
      </c>
      <c r="F21" s="26" t="s">
        <v>40</v>
      </c>
      <c r="G21" s="14">
        <v>3</v>
      </c>
      <c r="H21" s="92">
        <f>IF(B$19=0,0,G21/B$19)</f>
        <v>5.5147058823529415E-3</v>
      </c>
      <c r="I21" s="60">
        <v>3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298</v>
      </c>
      <c r="C22" s="8">
        <f>IF(B$19=0,0,B22/B$19)</f>
        <v>0.54779411764705888</v>
      </c>
      <c r="E22" s="29" t="s">
        <v>73</v>
      </c>
      <c r="F22" s="26" t="s">
        <v>28</v>
      </c>
      <c r="G22" s="14">
        <v>2</v>
      </c>
      <c r="H22" s="92">
        <f>IF(B$19=0,0,G22/B$19)</f>
        <v>3.6764705882352941E-3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-5.0076923076923077</v>
      </c>
      <c r="P22" s="81">
        <v>52</v>
      </c>
      <c r="Q22" s="72">
        <v>-260.39999999999998</v>
      </c>
    </row>
    <row r="23" spans="1:17" x14ac:dyDescent="0.45">
      <c r="A23" s="21" t="s">
        <v>184</v>
      </c>
      <c r="B23" s="14">
        <v>249</v>
      </c>
      <c r="C23" s="8">
        <f>IF(B$19=0,0,B23/B$19)</f>
        <v>0.4577205882352941</v>
      </c>
      <c r="E23" s="29" t="s">
        <v>75</v>
      </c>
      <c r="F23" s="26" t="s">
        <v>30</v>
      </c>
      <c r="G23" s="14">
        <v>2</v>
      </c>
      <c r="H23" s="92">
        <f>IF(B$19=0,0,G23/B$19)</f>
        <v>3.6764705882352941E-3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-16.963157894736824</v>
      </c>
      <c r="P23" s="81">
        <v>114</v>
      </c>
      <c r="Q23" s="72">
        <v>-1933.7999999999981</v>
      </c>
    </row>
    <row r="24" spans="1:17" x14ac:dyDescent="0.45">
      <c r="A24" s="21" t="s">
        <v>182</v>
      </c>
      <c r="B24" s="14">
        <v>159</v>
      </c>
      <c r="C24" s="8">
        <f>IF(B$19=0,0,B24/B$19)</f>
        <v>0.2922794117647059</v>
      </c>
      <c r="E24" s="29" t="s">
        <v>77</v>
      </c>
      <c r="F24" s="26" t="s">
        <v>32</v>
      </c>
      <c r="G24" s="14">
        <v>2</v>
      </c>
      <c r="H24" s="92">
        <f>IF(B$19=0,0,G24/B$19)</f>
        <v>3.6764705882352941E-3</v>
      </c>
      <c r="I24" s="60">
        <v>3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136</v>
      </c>
      <c r="C25" s="8">
        <f>IF(B$19=0,0,B25/B$19)</f>
        <v>0.25</v>
      </c>
      <c r="E25" s="29" t="s">
        <v>87</v>
      </c>
      <c r="F25" s="26" t="s">
        <v>42</v>
      </c>
      <c r="G25" s="14">
        <v>2</v>
      </c>
      <c r="H25" s="92">
        <f>IF(B$19=0,0,G25/B$19)</f>
        <v>3.6764705882352941E-3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9055.5147058823532</v>
      </c>
      <c r="C26" s="10">
        <v>4926200</v>
      </c>
      <c r="E26" s="29" t="s">
        <v>93</v>
      </c>
      <c r="F26" s="26" t="s">
        <v>48</v>
      </c>
      <c r="G26" s="14">
        <v>2</v>
      </c>
      <c r="H26" s="92">
        <f>IF(B$19=0,0,G26/B$19)</f>
        <v>3.6764705882352941E-3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9468.5714285714294</v>
      </c>
      <c r="C27" s="100">
        <v>3645400</v>
      </c>
      <c r="E27" s="29" t="s">
        <v>84</v>
      </c>
      <c r="F27" s="26" t="s">
        <v>39</v>
      </c>
      <c r="G27" s="14">
        <v>1</v>
      </c>
      <c r="H27" s="92">
        <f>IF(B$19=0,0,G27/B$19)</f>
        <v>1.838235294117647E-3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8055.3459119496856</v>
      </c>
      <c r="C28" s="100">
        <v>1280800</v>
      </c>
      <c r="E28" s="29" t="s">
        <v>88</v>
      </c>
      <c r="F28" s="26" t="s">
        <v>43</v>
      </c>
      <c r="G28" s="14">
        <v>1</v>
      </c>
      <c r="H28" s="92">
        <f>IF(B$19=0,0,G28/B$19)</f>
        <v>1.838235294117647E-3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-8201.6835016835012</v>
      </c>
      <c r="C29" s="100">
        <v>-2435900</v>
      </c>
      <c r="E29" s="29" t="s">
        <v>95</v>
      </c>
      <c r="F29" s="26" t="s">
        <v>50</v>
      </c>
      <c r="G29" s="14">
        <v>1</v>
      </c>
      <c r="H29" s="92">
        <f>IF(B$19=0,0,G29/B$19)</f>
        <v>1.838235294117647E-3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97</v>
      </c>
      <c r="F30" s="26" t="s">
        <v>52</v>
      </c>
      <c r="G30" s="14">
        <v>1</v>
      </c>
      <c r="H30" s="92">
        <f>IF(B$19=0,0,G30/B$19)</f>
        <v>1.838235294117647E-3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0</v>
      </c>
      <c r="E31" s="29" t="s">
        <v>102</v>
      </c>
      <c r="F31" s="26" t="s">
        <v>57</v>
      </c>
      <c r="G31" s="14">
        <v>1</v>
      </c>
      <c r="H31" s="92">
        <f>IF(B$19=0,0,G31/B$19)</f>
        <v>1.838235294117647E-3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6</v>
      </c>
      <c r="C32" s="126"/>
      <c r="E32" s="29" t="s">
        <v>74</v>
      </c>
      <c r="F32" s="26" t="s">
        <v>29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76</v>
      </c>
      <c r="F33" s="26" t="s">
        <v>31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4</v>
      </c>
      <c r="C34" s="11">
        <f>IF(B$3=0,0,B34/B$3)</f>
        <v>2.1505376344086021E-3</v>
      </c>
      <c r="E34" s="29" t="s">
        <v>80</v>
      </c>
      <c r="F34" s="26" t="s">
        <v>35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82</v>
      </c>
      <c r="F35" s="26" t="s">
        <v>37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43</v>
      </c>
      <c r="C36" s="102">
        <f t="shared" ref="C36:C48" si="2">IF(B$19=0,0,B36/B$19)</f>
        <v>7.904411764705882E-2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97</v>
      </c>
      <c r="C37" s="8">
        <f t="shared" si="2"/>
        <v>0.17830882352941177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92</v>
      </c>
      <c r="C38" s="8">
        <f t="shared" si="2"/>
        <v>0.16911764705882354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98</v>
      </c>
      <c r="C39" s="8">
        <f t="shared" si="2"/>
        <v>0.18014705882352941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80</v>
      </c>
      <c r="C40" s="8">
        <f t="shared" si="2"/>
        <v>0.14705882352941177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51</v>
      </c>
      <c r="C41" s="8">
        <f t="shared" si="2"/>
        <v>9.375E-2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34</v>
      </c>
      <c r="C42" s="8">
        <f t="shared" si="2"/>
        <v>6.25E-2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14</v>
      </c>
      <c r="C43" s="8">
        <f t="shared" si="2"/>
        <v>2.5735294117647058E-2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10</v>
      </c>
      <c r="C44" s="8">
        <f t="shared" si="2"/>
        <v>1.8382352941176471E-2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7</v>
      </c>
      <c r="C45" s="8">
        <f t="shared" si="2"/>
        <v>1.2867647058823529E-2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7.3529411764705881E-3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1.838235294117647E-3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13</v>
      </c>
      <c r="C48" s="11">
        <f t="shared" si="2"/>
        <v>2.389705882352941E-2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43</v>
      </c>
      <c r="C2" s="132"/>
      <c r="E2" s="28" t="s">
        <v>66</v>
      </c>
      <c r="F2" s="25" t="s">
        <v>22</v>
      </c>
      <c r="G2" s="13">
        <v>75</v>
      </c>
      <c r="H2" s="91">
        <f>IF(B$19=0,0,G2/B$19)</f>
        <v>0.85227272727272729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-2561.9047619047619</v>
      </c>
      <c r="P2" s="80">
        <v>42</v>
      </c>
      <c r="Q2" s="67">
        <v>-107600</v>
      </c>
    </row>
    <row r="3" spans="1:17" x14ac:dyDescent="0.45">
      <c r="A3" s="21" t="s">
        <v>8</v>
      </c>
      <c r="B3" s="133">
        <v>337</v>
      </c>
      <c r="C3" s="134"/>
      <c r="E3" s="29" t="s">
        <v>72</v>
      </c>
      <c r="F3" s="26" t="s">
        <v>27</v>
      </c>
      <c r="G3" s="14">
        <v>46</v>
      </c>
      <c r="H3" s="92">
        <f>IF(B$19=0,0,G3/B$19)</f>
        <v>0.52272727272727271</v>
      </c>
      <c r="I3" s="60">
        <v>7</v>
      </c>
      <c r="K3" s="7">
        <v>1</v>
      </c>
      <c r="L3" s="65">
        <v>-2.9</v>
      </c>
      <c r="N3" s="78" t="s">
        <v>129</v>
      </c>
      <c r="O3" s="84">
        <f t="shared" si="0"/>
        <v>-1636.5853658536585</v>
      </c>
      <c r="P3" s="81">
        <v>41</v>
      </c>
      <c r="Q3" s="68">
        <v>-67100</v>
      </c>
    </row>
    <row r="4" spans="1:17" x14ac:dyDescent="0.45">
      <c r="A4" s="21" t="s">
        <v>6</v>
      </c>
      <c r="B4" s="135">
        <v>-202.10000000000005</v>
      </c>
      <c r="C4" s="136"/>
      <c r="E4" s="29" t="s">
        <v>160</v>
      </c>
      <c r="F4" s="26" t="s">
        <v>161</v>
      </c>
      <c r="G4" s="14">
        <v>44</v>
      </c>
      <c r="H4" s="92">
        <f>IF(B$19=0,0,G4/B$19)</f>
        <v>0.5</v>
      </c>
      <c r="I4" s="60">
        <v>2</v>
      </c>
      <c r="K4" s="7">
        <v>2</v>
      </c>
      <c r="L4" s="65">
        <v>32.9</v>
      </c>
      <c r="N4" s="78" t="s">
        <v>130</v>
      </c>
      <c r="O4" s="84">
        <f t="shared" si="0"/>
        <v>234.21052631578948</v>
      </c>
      <c r="P4" s="81">
        <v>38</v>
      </c>
      <c r="Q4" s="68">
        <v>8900</v>
      </c>
    </row>
    <row r="5" spans="1:17" x14ac:dyDescent="0.45">
      <c r="A5" s="21" t="s">
        <v>7</v>
      </c>
      <c r="B5" s="123">
        <f>IF(B$2=0,0,B$4/B$2)</f>
        <v>-4.7000000000000011</v>
      </c>
      <c r="C5" s="124"/>
      <c r="E5" s="29" t="s">
        <v>64</v>
      </c>
      <c r="F5" s="26" t="s">
        <v>20</v>
      </c>
      <c r="G5" s="14">
        <v>42</v>
      </c>
      <c r="H5" s="92">
        <f>IF(B$19=0,0,G5/B$19)</f>
        <v>0.47727272727272729</v>
      </c>
      <c r="I5" s="60">
        <v>4</v>
      </c>
      <c r="K5" s="7">
        <v>3</v>
      </c>
      <c r="L5" s="65">
        <v>61.5</v>
      </c>
      <c r="N5" s="78" t="s">
        <v>131</v>
      </c>
      <c r="O5" s="84">
        <f t="shared" si="0"/>
        <v>-2017.6470588235295</v>
      </c>
      <c r="P5" s="81">
        <v>34</v>
      </c>
      <c r="Q5" s="68">
        <v>-68600</v>
      </c>
    </row>
    <row r="6" spans="1:17" x14ac:dyDescent="0.45">
      <c r="A6" s="21" t="s">
        <v>1</v>
      </c>
      <c r="B6" s="137">
        <f>IF(B$2=0,0,(B$7*1+B$8*2+B$9*3)/B$2)</f>
        <v>2.0930232558139537</v>
      </c>
      <c r="C6" s="138"/>
      <c r="E6" s="29" t="s">
        <v>68</v>
      </c>
      <c r="F6" s="26" t="s">
        <v>12</v>
      </c>
      <c r="G6" s="14">
        <v>21</v>
      </c>
      <c r="H6" s="92">
        <f>IF(B$19=0,0,G6/B$19)</f>
        <v>0.23863636363636365</v>
      </c>
      <c r="I6" s="60">
        <v>9</v>
      </c>
      <c r="K6" s="7">
        <v>4</v>
      </c>
      <c r="L6" s="65">
        <v>27.4</v>
      </c>
      <c r="N6" s="78" t="s">
        <v>132</v>
      </c>
      <c r="O6" s="84">
        <f t="shared" si="0"/>
        <v>134.375</v>
      </c>
      <c r="P6" s="81">
        <v>32</v>
      </c>
      <c r="Q6" s="68">
        <v>4300</v>
      </c>
    </row>
    <row r="7" spans="1:17" x14ac:dyDescent="0.45">
      <c r="A7" s="21" t="s">
        <v>2</v>
      </c>
      <c r="B7" s="14">
        <v>15</v>
      </c>
      <c r="C7" s="8">
        <f t="shared" ref="C7:C14" si="1">IF(B$2=0,0,B7/B$2)</f>
        <v>0.34883720930232559</v>
      </c>
      <c r="E7" s="29" t="s">
        <v>67</v>
      </c>
      <c r="F7" s="26" t="s">
        <v>23</v>
      </c>
      <c r="G7" s="14">
        <v>19</v>
      </c>
      <c r="H7" s="92">
        <f>IF(B$19=0,0,G7/B$19)</f>
        <v>0.21590909090909091</v>
      </c>
      <c r="I7" s="60">
        <v>6</v>
      </c>
      <c r="K7" s="7">
        <v>5</v>
      </c>
      <c r="L7" s="65">
        <v>18</v>
      </c>
      <c r="N7" s="79" t="s">
        <v>133</v>
      </c>
      <c r="O7" s="85">
        <f t="shared" si="0"/>
        <v>2995.8333333333335</v>
      </c>
      <c r="P7" s="82">
        <v>24</v>
      </c>
      <c r="Q7" s="69">
        <v>71900</v>
      </c>
    </row>
    <row r="8" spans="1:17" x14ac:dyDescent="0.45">
      <c r="A8" s="21" t="s">
        <v>3</v>
      </c>
      <c r="B8" s="14">
        <v>9</v>
      </c>
      <c r="C8" s="8">
        <f t="shared" si="1"/>
        <v>0.20930232558139536</v>
      </c>
      <c r="E8" s="29" t="s">
        <v>89</v>
      </c>
      <c r="F8" s="26" t="s">
        <v>44</v>
      </c>
      <c r="G8" s="14">
        <v>13</v>
      </c>
      <c r="H8" s="92">
        <f>IF(B$19=0,0,G8/B$19)</f>
        <v>0.14772727272727273</v>
      </c>
      <c r="I8" s="60">
        <v>4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19</v>
      </c>
      <c r="C9" s="9">
        <f t="shared" si="1"/>
        <v>0.44186046511627908</v>
      </c>
      <c r="E9" s="29" t="s">
        <v>70</v>
      </c>
      <c r="F9" s="26" t="s">
        <v>25</v>
      </c>
      <c r="G9" s="14">
        <v>11</v>
      </c>
      <c r="H9" s="92">
        <f>IF(B$19=0,0,G9/B$19)</f>
        <v>0.125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41.053333333333349</v>
      </c>
      <c r="C10" s="114">
        <v>615.80000000000018</v>
      </c>
      <c r="E10" s="29" t="s">
        <v>65</v>
      </c>
      <c r="F10" s="26" t="s">
        <v>21</v>
      </c>
      <c r="G10" s="14">
        <v>10</v>
      </c>
      <c r="H10" s="92">
        <f>IF(B$19=0,0,G10/B$19)</f>
        <v>0.11363636363636363</v>
      </c>
      <c r="I10" s="60">
        <v>4</v>
      </c>
      <c r="K10" s="7">
        <v>8</v>
      </c>
      <c r="L10" s="65">
        <v>-9.9999999999999964</v>
      </c>
      <c r="N10" s="77" t="s">
        <v>152</v>
      </c>
      <c r="O10" s="86">
        <f>IF(P10=0,0,Q10/P10)</f>
        <v>-11.82666666666667</v>
      </c>
      <c r="P10" s="80">
        <v>15</v>
      </c>
      <c r="Q10" s="71">
        <v>-177.40000000000003</v>
      </c>
    </row>
    <row r="11" spans="1:17" x14ac:dyDescent="0.45">
      <c r="A11" s="22" t="s">
        <v>186</v>
      </c>
      <c r="B11" s="113">
        <f>IF(B8=0,0,C11/B8)</f>
        <v>-4.5</v>
      </c>
      <c r="C11" s="114">
        <v>-40.5</v>
      </c>
      <c r="E11" s="29" t="s">
        <v>69</v>
      </c>
      <c r="F11" s="26" t="s">
        <v>24</v>
      </c>
      <c r="G11" s="14">
        <v>8</v>
      </c>
      <c r="H11" s="92">
        <f>IF(B$19=0,0,G11/B$19)</f>
        <v>9.0909090909090912E-2</v>
      </c>
      <c r="I11" s="60">
        <v>9</v>
      </c>
      <c r="K11" s="7">
        <v>9</v>
      </c>
      <c r="L11" s="65">
        <v>33.5</v>
      </c>
      <c r="N11" s="78" t="s">
        <v>153</v>
      </c>
      <c r="O11" s="87">
        <f>IF(P11=0,0,Q11/P11)</f>
        <v>7.5399999999999974</v>
      </c>
      <c r="P11" s="81">
        <v>10</v>
      </c>
      <c r="Q11" s="72">
        <v>75.399999999999977</v>
      </c>
    </row>
    <row r="12" spans="1:17" x14ac:dyDescent="0.45">
      <c r="A12" s="22" t="s">
        <v>187</v>
      </c>
      <c r="B12" s="113">
        <f>IF(B9=0,0,C12/B9)</f>
        <v>-40.915789473684207</v>
      </c>
      <c r="C12" s="114">
        <v>-777.39999999999986</v>
      </c>
      <c r="E12" s="29" t="s">
        <v>86</v>
      </c>
      <c r="F12" s="26" t="s">
        <v>41</v>
      </c>
      <c r="G12" s="14">
        <v>8</v>
      </c>
      <c r="H12" s="92">
        <f>IF(B$19=0,0,G12/B$19)</f>
        <v>9.0909090909090912E-2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-5.56111111111111</v>
      </c>
      <c r="P12" s="82">
        <v>18</v>
      </c>
      <c r="Q12" s="73">
        <v>-100.09999999999998</v>
      </c>
    </row>
    <row r="13" spans="1:17" x14ac:dyDescent="0.45">
      <c r="A13" s="22" t="s">
        <v>188</v>
      </c>
      <c r="B13" s="123">
        <f>AVERAGE(B10:B12)</f>
        <v>-1.4541520467836193</v>
      </c>
      <c r="C13" s="124"/>
      <c r="E13" s="29" t="s">
        <v>91</v>
      </c>
      <c r="F13" s="26" t="s">
        <v>46</v>
      </c>
      <c r="G13" s="14">
        <v>7</v>
      </c>
      <c r="H13" s="92">
        <f>IF(B$19=0,0,G13/B$19)</f>
        <v>7.9545454545454544E-2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0.20930232558139536</v>
      </c>
      <c r="E14" s="29" t="s">
        <v>71</v>
      </c>
      <c r="F14" s="26" t="s">
        <v>26</v>
      </c>
      <c r="G14" s="14">
        <v>5</v>
      </c>
      <c r="H14" s="92">
        <f>IF(B$19=0,0,G14/B$19)</f>
        <v>5.6818181818181816E-2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97</v>
      </c>
      <c r="C15" s="12">
        <f>IF(B$3=0,0,B15/B$3)</f>
        <v>0.28783382789317508</v>
      </c>
      <c r="E15" s="29" t="s">
        <v>81</v>
      </c>
      <c r="F15" s="26" t="s">
        <v>36</v>
      </c>
      <c r="G15" s="14">
        <v>4</v>
      </c>
      <c r="H15" s="92">
        <f>IF(B$19=0,0,G15/B$19)</f>
        <v>4.5454545454545456E-2</v>
      </c>
      <c r="I15" s="60">
        <v>2</v>
      </c>
      <c r="K15" s="7">
        <v>13</v>
      </c>
      <c r="L15" s="65">
        <v>-33.5</v>
      </c>
      <c r="N15" s="77" t="s">
        <v>189</v>
      </c>
      <c r="O15" s="86">
        <f t="shared" ref="O15:O22" si="2"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69</v>
      </c>
      <c r="C16" s="8">
        <f>IF(B$3=0,0,B16/B$3)</f>
        <v>0.20474777448071216</v>
      </c>
      <c r="E16" s="29" t="s">
        <v>79</v>
      </c>
      <c r="F16" s="26" t="s">
        <v>34</v>
      </c>
      <c r="G16" s="14">
        <v>3</v>
      </c>
      <c r="H16" s="92">
        <f>IF(B$19=0,0,G16/B$19)</f>
        <v>3.4090909090909088E-2</v>
      </c>
      <c r="I16" s="60">
        <v>3</v>
      </c>
      <c r="K16" s="7">
        <v>14</v>
      </c>
      <c r="L16" s="65">
        <v>15.100000000000001</v>
      </c>
      <c r="N16" s="78" t="s">
        <v>213</v>
      </c>
      <c r="O16" s="87">
        <f t="shared" si="2"/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41</v>
      </c>
      <c r="C17" s="6">
        <f>IF(B$15=0,0,B17/B$15)</f>
        <v>0.42268041237113402</v>
      </c>
      <c r="E17" s="29" t="s">
        <v>78</v>
      </c>
      <c r="F17" s="26" t="s">
        <v>33</v>
      </c>
      <c r="G17" s="14">
        <v>2</v>
      </c>
      <c r="H17" s="92">
        <f>IF(B$19=0,0,G17/B$19)</f>
        <v>2.2727272727272728E-2</v>
      </c>
      <c r="I17" s="60">
        <v>6</v>
      </c>
      <c r="K17" s="7">
        <v>15</v>
      </c>
      <c r="L17" s="65">
        <v>-33.1</v>
      </c>
      <c r="N17" s="78" t="s">
        <v>192</v>
      </c>
      <c r="O17" s="87">
        <f t="shared" si="2"/>
        <v>6.9411764705882337</v>
      </c>
      <c r="P17" s="81">
        <v>17</v>
      </c>
      <c r="Q17" s="72">
        <v>117.99999999999997</v>
      </c>
    </row>
    <row r="18" spans="1:17" x14ac:dyDescent="0.45">
      <c r="A18" s="20" t="s">
        <v>124</v>
      </c>
      <c r="B18" s="13">
        <f>B24</f>
        <v>27</v>
      </c>
      <c r="C18" s="6">
        <f>IF(B$16=0,0,B18/B$16)</f>
        <v>0.39130434782608697</v>
      </c>
      <c r="E18" s="29" t="s">
        <v>83</v>
      </c>
      <c r="F18" s="26" t="s">
        <v>38</v>
      </c>
      <c r="G18" s="14">
        <v>2</v>
      </c>
      <c r="H18" s="92">
        <f>IF(B$19=0,0,G18/B$19)</f>
        <v>2.2727272727272728E-2</v>
      </c>
      <c r="I18" s="60">
        <v>7</v>
      </c>
      <c r="K18" s="7">
        <v>16</v>
      </c>
      <c r="L18" s="65">
        <v>-10.8</v>
      </c>
      <c r="N18" s="78" t="s">
        <v>196</v>
      </c>
      <c r="O18" s="87">
        <f t="shared" si="2"/>
        <v>-0.29999999999999244</v>
      </c>
      <c r="P18" s="81">
        <v>3</v>
      </c>
      <c r="Q18" s="72">
        <v>-0.89999999999997726</v>
      </c>
    </row>
    <row r="19" spans="1:17" x14ac:dyDescent="0.45">
      <c r="A19" s="20" t="s">
        <v>10</v>
      </c>
      <c r="B19" s="13">
        <f>B22+B21</f>
        <v>88</v>
      </c>
      <c r="C19" s="6">
        <f>IF(B$3=0,0,B19/B$3)</f>
        <v>0.26112759643916916</v>
      </c>
      <c r="E19" s="29" t="s">
        <v>92</v>
      </c>
      <c r="F19" s="26" t="s">
        <v>47</v>
      </c>
      <c r="G19" s="14">
        <v>2</v>
      </c>
      <c r="H19" s="92">
        <f>IF(B$19=0,0,G19/B$19)</f>
        <v>2.2727272727272728E-2</v>
      </c>
      <c r="I19" s="60">
        <v>1</v>
      </c>
      <c r="K19" s="7">
        <v>17</v>
      </c>
      <c r="L19" s="65">
        <v>-32.900000000000006</v>
      </c>
      <c r="N19" s="78" t="s">
        <v>205</v>
      </c>
      <c r="O19" s="87">
        <f t="shared" si="2"/>
        <v>-9.1857142857142868</v>
      </c>
      <c r="P19" s="81">
        <v>7</v>
      </c>
      <c r="Q19" s="72">
        <v>-64.300000000000011</v>
      </c>
    </row>
    <row r="20" spans="1:17" x14ac:dyDescent="0.45">
      <c r="A20" s="21" t="s">
        <v>13</v>
      </c>
      <c r="B20" s="14">
        <v>69</v>
      </c>
      <c r="C20" s="8">
        <f>IF(B$3=0,0,B20/B$3)</f>
        <v>0.20474777448071216</v>
      </c>
      <c r="E20" s="29" t="s">
        <v>75</v>
      </c>
      <c r="F20" s="26" t="s">
        <v>30</v>
      </c>
      <c r="G20" s="14">
        <v>1</v>
      </c>
      <c r="H20" s="92">
        <f>IF(B$19=0,0,G20/B$19)</f>
        <v>1.1363636363636364E-2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 t="shared" si="2"/>
        <v>-12.633333333333326</v>
      </c>
      <c r="P20" s="81">
        <v>33</v>
      </c>
      <c r="Q20" s="72">
        <v>-416.89999999999975</v>
      </c>
    </row>
    <row r="21" spans="1:17" x14ac:dyDescent="0.45">
      <c r="A21" s="21" t="s">
        <v>12</v>
      </c>
      <c r="B21" s="14">
        <v>35</v>
      </c>
      <c r="C21" s="8">
        <f>IF(B$19=0,0,B21/B$19)</f>
        <v>0.39772727272727271</v>
      </c>
      <c r="E21" s="29" t="s">
        <v>97</v>
      </c>
      <c r="F21" s="26" t="s">
        <v>52</v>
      </c>
      <c r="G21" s="14">
        <v>1</v>
      </c>
      <c r="H21" s="92">
        <f>IF(B$19=0,0,G21/B$19)</f>
        <v>1.1363636363636364E-2</v>
      </c>
      <c r="I21" s="60">
        <v>1</v>
      </c>
      <c r="K21" s="7">
        <v>19</v>
      </c>
      <c r="L21" s="65">
        <v>-44.500000000000014</v>
      </c>
      <c r="N21" s="78" t="s">
        <v>194</v>
      </c>
      <c r="O21" s="87">
        <f t="shared" si="2"/>
        <v>-32.20000000000001</v>
      </c>
      <c r="P21" s="81">
        <v>6</v>
      </c>
      <c r="Q21" s="72">
        <v>-193.20000000000005</v>
      </c>
    </row>
    <row r="22" spans="1:17" x14ac:dyDescent="0.45">
      <c r="A22" s="21" t="s">
        <v>11</v>
      </c>
      <c r="B22" s="14">
        <v>53</v>
      </c>
      <c r="C22" s="8">
        <f>IF(B$19=0,0,B22/B$19)</f>
        <v>0.60227272727272729</v>
      </c>
      <c r="E22" s="29" t="s">
        <v>156</v>
      </c>
      <c r="F22" s="26" t="s">
        <v>157</v>
      </c>
      <c r="G22" s="14">
        <v>1</v>
      </c>
      <c r="H22" s="92">
        <f>IF(B$19=0,0,G22/B$19)</f>
        <v>1.1363636363636364E-2</v>
      </c>
      <c r="I22" s="60">
        <v>4</v>
      </c>
      <c r="K22" s="7">
        <v>20</v>
      </c>
      <c r="L22" s="65">
        <v>-72.000000000000014</v>
      </c>
      <c r="N22" s="78" t="s">
        <v>193</v>
      </c>
      <c r="O22" s="87">
        <f t="shared" si="2"/>
        <v>-33.971428571428568</v>
      </c>
      <c r="P22" s="81">
        <v>7</v>
      </c>
      <c r="Q22" s="72">
        <v>-237.79999999999998</v>
      </c>
    </row>
    <row r="23" spans="1:17" x14ac:dyDescent="0.45">
      <c r="A23" s="21" t="s">
        <v>184</v>
      </c>
      <c r="B23" s="14">
        <v>41</v>
      </c>
      <c r="C23" s="8">
        <f>IF(B$19=0,0,B23/B$19)</f>
        <v>0.46590909090909088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27</v>
      </c>
      <c r="C24" s="8">
        <f>IF(B$19=0,0,B24/B$19)</f>
        <v>0.30681818181818182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20</v>
      </c>
      <c r="C25" s="8">
        <f>IF(B$19=0,0,B25/B$19)</f>
        <v>0.22727272727272727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10453.40909090909</v>
      </c>
      <c r="C26" s="10">
        <v>919900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11277.049180327869</v>
      </c>
      <c r="C27" s="100">
        <v>687900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8592.5925925925931</v>
      </c>
      <c r="C28" s="100">
        <v>232000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-8340.579710144928</v>
      </c>
      <c r="C29" s="100">
        <v>-575500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20</v>
      </c>
      <c r="C31" s="94">
        <v>0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6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2</v>
      </c>
      <c r="C34" s="11">
        <f>IF(B$3=0,0,B34/B$3)</f>
        <v>5.9347181008902079E-3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2</v>
      </c>
      <c r="C36" s="102">
        <f t="shared" ref="C36:C48" si="3">IF(B$19=0,0,B36/B$19)</f>
        <v>2.2727272727272728E-2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12</v>
      </c>
      <c r="C37" s="8">
        <f t="shared" si="3"/>
        <v>0.13636363636363635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7</v>
      </c>
      <c r="C38" s="8">
        <f t="shared" si="3"/>
        <v>7.9545454545454544E-2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24</v>
      </c>
      <c r="C39" s="8">
        <f t="shared" si="3"/>
        <v>0.27272727272727271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18</v>
      </c>
      <c r="C40" s="8">
        <f t="shared" si="3"/>
        <v>0.20454545454545456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8</v>
      </c>
      <c r="C41" s="8">
        <f t="shared" si="3"/>
        <v>9.0909090909090912E-2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8</v>
      </c>
      <c r="C42" s="8">
        <f t="shared" si="3"/>
        <v>9.0909090909090912E-2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4</v>
      </c>
      <c r="C43" s="8">
        <f t="shared" si="3"/>
        <v>4.5454545454545456E-2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1</v>
      </c>
      <c r="C44" s="8">
        <f t="shared" si="3"/>
        <v>1.1363636363636364E-2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3"/>
        <v>1.1363636363636364E-2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3</v>
      </c>
      <c r="C48" s="11">
        <f t="shared" si="3"/>
        <v>3.4090909090909088E-2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3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6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8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9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59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57</v>
      </c>
      <c r="C2" s="132"/>
      <c r="E2" s="28" t="s">
        <v>66</v>
      </c>
      <c r="F2" s="25" t="s">
        <v>22</v>
      </c>
      <c r="G2" s="13">
        <v>101</v>
      </c>
      <c r="H2" s="91">
        <f>IF(B$19=0,0,G2/B$19)</f>
        <v>0.69655172413793098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200</v>
      </c>
      <c r="P2" s="80">
        <v>57</v>
      </c>
      <c r="Q2" s="67">
        <v>11400</v>
      </c>
    </row>
    <row r="3" spans="1:17" x14ac:dyDescent="0.45">
      <c r="A3" s="21" t="s">
        <v>8</v>
      </c>
      <c r="B3" s="133">
        <v>438</v>
      </c>
      <c r="C3" s="134"/>
      <c r="E3" s="29" t="s">
        <v>72</v>
      </c>
      <c r="F3" s="26" t="s">
        <v>27</v>
      </c>
      <c r="G3" s="14">
        <v>70</v>
      </c>
      <c r="H3" s="92">
        <f>IF(B$19=0,0,G3/B$19)</f>
        <v>0.48275862068965519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4530.909090909091</v>
      </c>
      <c r="P3" s="81">
        <v>55</v>
      </c>
      <c r="Q3" s="68">
        <v>249200</v>
      </c>
    </row>
    <row r="4" spans="1:17" x14ac:dyDescent="0.45">
      <c r="A4" s="21" t="s">
        <v>6</v>
      </c>
      <c r="B4" s="135">
        <v>644.60000000000014</v>
      </c>
      <c r="C4" s="136"/>
      <c r="E4" s="29" t="s">
        <v>160</v>
      </c>
      <c r="F4" s="26" t="s">
        <v>161</v>
      </c>
      <c r="G4" s="14">
        <v>66</v>
      </c>
      <c r="H4" s="92">
        <f>IF(B$19=0,0,G4/B$19)</f>
        <v>0.45517241379310347</v>
      </c>
      <c r="I4" s="60">
        <v>4</v>
      </c>
      <c r="K4" s="7">
        <v>2</v>
      </c>
      <c r="L4" s="65">
        <v>99.6</v>
      </c>
      <c r="N4" s="78" t="s">
        <v>130</v>
      </c>
      <c r="O4" s="84">
        <f t="shared" si="0"/>
        <v>3653.8461538461538</v>
      </c>
      <c r="P4" s="81">
        <v>52</v>
      </c>
      <c r="Q4" s="68">
        <v>190000</v>
      </c>
    </row>
    <row r="5" spans="1:17" x14ac:dyDescent="0.45">
      <c r="A5" s="21" t="s">
        <v>7</v>
      </c>
      <c r="B5" s="123">
        <f>IF(B$2=0,0,B$4/B$2)</f>
        <v>11.308771929824564</v>
      </c>
      <c r="C5" s="124"/>
      <c r="E5" s="29" t="s">
        <v>64</v>
      </c>
      <c r="F5" s="26" t="s">
        <v>20</v>
      </c>
      <c r="G5" s="14">
        <v>63</v>
      </c>
      <c r="H5" s="92">
        <f>IF(B$19=0,0,G5/B$19)</f>
        <v>0.43448275862068964</v>
      </c>
      <c r="I5" s="60">
        <v>7</v>
      </c>
      <c r="K5" s="7">
        <v>3</v>
      </c>
      <c r="L5" s="65">
        <v>98.1</v>
      </c>
      <c r="N5" s="78" t="s">
        <v>131</v>
      </c>
      <c r="O5" s="84">
        <f t="shared" si="0"/>
        <v>2424.4444444444443</v>
      </c>
      <c r="P5" s="81">
        <v>45</v>
      </c>
      <c r="Q5" s="68">
        <v>109100</v>
      </c>
    </row>
    <row r="6" spans="1:17" x14ac:dyDescent="0.45">
      <c r="A6" s="21" t="s">
        <v>1</v>
      </c>
      <c r="B6" s="137">
        <f>IF(B$2=0,0,(B$7*1+B$8*2+B$9*3)/B$2)</f>
        <v>1.7543859649122806</v>
      </c>
      <c r="C6" s="138"/>
      <c r="E6" s="29" t="s">
        <v>68</v>
      </c>
      <c r="F6" s="26" t="s">
        <v>12</v>
      </c>
      <c r="G6" s="14">
        <v>58</v>
      </c>
      <c r="H6" s="92">
        <f>IF(B$19=0,0,G6/B$19)</f>
        <v>0.4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-1365.8536585365853</v>
      </c>
      <c r="P6" s="81">
        <v>41</v>
      </c>
      <c r="Q6" s="68">
        <v>-56000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0.43859649122807015</v>
      </c>
      <c r="E7" s="29" t="s">
        <v>67</v>
      </c>
      <c r="F7" s="26" t="s">
        <v>23</v>
      </c>
      <c r="G7" s="14">
        <v>36</v>
      </c>
      <c r="H7" s="92">
        <f>IF(B$19=0,0,G7/B$19)</f>
        <v>0.24827586206896551</v>
      </c>
      <c r="I7" s="60">
        <v>4</v>
      </c>
      <c r="K7" s="7">
        <v>5</v>
      </c>
      <c r="L7" s="65">
        <v>143.1</v>
      </c>
      <c r="N7" s="79" t="s">
        <v>133</v>
      </c>
      <c r="O7" s="85">
        <f t="shared" si="0"/>
        <v>1836.3636363636363</v>
      </c>
      <c r="P7" s="82">
        <v>33</v>
      </c>
      <c r="Q7" s="69">
        <v>60600</v>
      </c>
    </row>
    <row r="8" spans="1:17" x14ac:dyDescent="0.45">
      <c r="A8" s="21" t="s">
        <v>3</v>
      </c>
      <c r="B8" s="14">
        <v>21</v>
      </c>
      <c r="C8" s="8">
        <f t="shared" si="1"/>
        <v>0.36842105263157893</v>
      </c>
      <c r="E8" s="29" t="s">
        <v>69</v>
      </c>
      <c r="F8" s="26" t="s">
        <v>24</v>
      </c>
      <c r="G8" s="14">
        <v>25</v>
      </c>
      <c r="H8" s="92">
        <f>IF(B$19=0,0,G8/B$19)</f>
        <v>0.17241379310344829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11</v>
      </c>
      <c r="C9" s="9">
        <f t="shared" si="1"/>
        <v>0.19298245614035087</v>
      </c>
      <c r="E9" s="29" t="s">
        <v>89</v>
      </c>
      <c r="F9" s="26" t="s">
        <v>44</v>
      </c>
      <c r="G9" s="14">
        <v>25</v>
      </c>
      <c r="H9" s="92">
        <f>IF(B$19=0,0,G9/B$19)</f>
        <v>0.17241379310344829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43.295999999999992</v>
      </c>
      <c r="C10" s="114">
        <v>1082.3999999999999</v>
      </c>
      <c r="E10" s="29" t="s">
        <v>65</v>
      </c>
      <c r="F10" s="26" t="s">
        <v>21</v>
      </c>
      <c r="G10" s="14">
        <v>15</v>
      </c>
      <c r="H10" s="92">
        <f>IF(B$19=0,0,G10/B$19)</f>
        <v>0.10344827586206896</v>
      </c>
      <c r="I10" s="60">
        <v>5</v>
      </c>
      <c r="K10" s="7">
        <v>8</v>
      </c>
      <c r="L10" s="65">
        <v>132.6</v>
      </c>
      <c r="N10" s="77" t="s">
        <v>152</v>
      </c>
      <c r="O10" s="86">
        <f>IF(P10=0,0,Q10/P10)</f>
        <v>0.9111111111111112</v>
      </c>
      <c r="P10" s="80">
        <v>18</v>
      </c>
      <c r="Q10" s="71">
        <v>16.400000000000002</v>
      </c>
    </row>
    <row r="11" spans="1:17" x14ac:dyDescent="0.45">
      <c r="A11" s="22" t="s">
        <v>186</v>
      </c>
      <c r="B11" s="113">
        <f>IF(B8=0,0,C11/B8)</f>
        <v>0.17142857142857149</v>
      </c>
      <c r="C11" s="114">
        <v>3.600000000000001</v>
      </c>
      <c r="E11" s="29" t="s">
        <v>71</v>
      </c>
      <c r="F11" s="26" t="s">
        <v>26</v>
      </c>
      <c r="G11" s="14">
        <v>13</v>
      </c>
      <c r="H11" s="92">
        <f>IF(B$19=0,0,G11/B$19)</f>
        <v>8.9655172413793102E-2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11.644999999999996</v>
      </c>
      <c r="P11" s="81">
        <v>20</v>
      </c>
      <c r="Q11" s="72">
        <v>232.89999999999992</v>
      </c>
    </row>
    <row r="12" spans="1:17" x14ac:dyDescent="0.45">
      <c r="A12" s="22" t="s">
        <v>187</v>
      </c>
      <c r="B12" s="113">
        <f>IF(B9=0,0,C12/B9)</f>
        <v>-40.127272727272732</v>
      </c>
      <c r="C12" s="114">
        <v>-441.40000000000003</v>
      </c>
      <c r="E12" s="29" t="s">
        <v>86</v>
      </c>
      <c r="F12" s="26" t="s">
        <v>41</v>
      </c>
      <c r="G12" s="14">
        <v>13</v>
      </c>
      <c r="H12" s="92">
        <f>IF(B$19=0,0,G12/B$19)</f>
        <v>8.9655172413793102E-2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20.805263157894743</v>
      </c>
      <c r="P12" s="82">
        <v>19</v>
      </c>
      <c r="Q12" s="73">
        <v>395.30000000000013</v>
      </c>
    </row>
    <row r="13" spans="1:17" x14ac:dyDescent="0.45">
      <c r="A13" s="22" t="s">
        <v>188</v>
      </c>
      <c r="B13" s="123">
        <f>AVERAGE(B10:B12)</f>
        <v>1.1133852813852769</v>
      </c>
      <c r="C13" s="124"/>
      <c r="E13" s="29" t="s">
        <v>70</v>
      </c>
      <c r="F13" s="26" t="s">
        <v>25</v>
      </c>
      <c r="G13" s="14">
        <v>11</v>
      </c>
      <c r="H13" s="92">
        <f>IF(B$19=0,0,G13/B$19)</f>
        <v>7.586206896551724E-2</v>
      </c>
      <c r="I13" s="60">
        <v>6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5.2631578947368418E-2</v>
      </c>
      <c r="E14" s="29" t="s">
        <v>83</v>
      </c>
      <c r="F14" s="26" t="s">
        <v>38</v>
      </c>
      <c r="G14" s="14">
        <v>7</v>
      </c>
      <c r="H14" s="92">
        <f>IF(B$19=0,0,G14/B$19)</f>
        <v>4.8275862068965517E-2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110</v>
      </c>
      <c r="C15" s="12">
        <f>IF(B$3=0,0,B15/B$3)</f>
        <v>0.25114155251141551</v>
      </c>
      <c r="E15" s="29" t="s">
        <v>81</v>
      </c>
      <c r="F15" s="26" t="s">
        <v>36</v>
      </c>
      <c r="G15" s="14">
        <v>4</v>
      </c>
      <c r="H15" s="92">
        <f>IF(B$19=0,0,G15/B$19)</f>
        <v>2.7586206896551724E-2</v>
      </c>
      <c r="I15" s="60">
        <v>4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70</v>
      </c>
      <c r="C16" s="8">
        <f>IF(B$3=0,0,B16/B$3)</f>
        <v>0.15981735159817351</v>
      </c>
      <c r="E16" s="29" t="s">
        <v>156</v>
      </c>
      <c r="F16" s="26" t="s">
        <v>157</v>
      </c>
      <c r="G16" s="14">
        <v>4</v>
      </c>
      <c r="H16" s="92">
        <f>IF(B$19=0,0,G16/B$19)</f>
        <v>2.7586206896551724E-2</v>
      </c>
      <c r="I16" s="60">
        <v>1</v>
      </c>
      <c r="K16" s="7">
        <v>14</v>
      </c>
      <c r="L16" s="65">
        <v>249.2</v>
      </c>
      <c r="N16" s="78" t="s">
        <v>194</v>
      </c>
      <c r="O16" s="87">
        <f>IF(P16=0,0,Q16/P16)</f>
        <v>30.300000000000008</v>
      </c>
      <c r="P16" s="81">
        <v>12</v>
      </c>
      <c r="Q16" s="72">
        <v>363.60000000000008</v>
      </c>
    </row>
    <row r="17" spans="1:17" x14ac:dyDescent="0.45">
      <c r="A17" s="20" t="s">
        <v>123</v>
      </c>
      <c r="B17" s="13">
        <f>B23</f>
        <v>69</v>
      </c>
      <c r="C17" s="6">
        <f>IF(B$15=0,0,B17/B$15)</f>
        <v>0.62727272727272732</v>
      </c>
      <c r="E17" s="29" t="s">
        <v>79</v>
      </c>
      <c r="F17" s="26" t="s">
        <v>34</v>
      </c>
      <c r="G17" s="14">
        <v>3</v>
      </c>
      <c r="H17" s="92">
        <f>IF(B$19=0,0,G17/B$19)</f>
        <v>2.0689655172413793E-2</v>
      </c>
      <c r="I17" s="60">
        <v>5</v>
      </c>
      <c r="K17" s="7">
        <v>15</v>
      </c>
      <c r="L17" s="65">
        <v>213.5</v>
      </c>
      <c r="N17" s="78" t="s">
        <v>189</v>
      </c>
      <c r="O17" s="87">
        <f>IF(P17=0,0,Q17/P17)</f>
        <v>29.983333333333331</v>
      </c>
      <c r="P17" s="81">
        <v>6</v>
      </c>
      <c r="Q17" s="72">
        <v>179.89999999999998</v>
      </c>
    </row>
    <row r="18" spans="1:17" x14ac:dyDescent="0.45">
      <c r="A18" s="20" t="s">
        <v>124</v>
      </c>
      <c r="B18" s="13">
        <f>B24</f>
        <v>36</v>
      </c>
      <c r="C18" s="6">
        <f>IF(B$16=0,0,B18/B$16)</f>
        <v>0.51428571428571423</v>
      </c>
      <c r="E18" s="29" t="s">
        <v>92</v>
      </c>
      <c r="F18" s="26" t="s">
        <v>47</v>
      </c>
      <c r="G18" s="14">
        <v>3</v>
      </c>
      <c r="H18" s="92">
        <f>IF(B$19=0,0,G18/B$19)</f>
        <v>2.0689655172413793E-2</v>
      </c>
      <c r="I18" s="60">
        <v>3</v>
      </c>
      <c r="K18" s="7">
        <v>16</v>
      </c>
      <c r="L18" s="65">
        <v>273.8</v>
      </c>
      <c r="N18" s="78" t="s">
        <v>193</v>
      </c>
      <c r="O18" s="87">
        <f>IF(P18=0,0,Q18/P18)</f>
        <v>21.374999999999996</v>
      </c>
      <c r="P18" s="81">
        <v>12</v>
      </c>
      <c r="Q18" s="72">
        <v>256.49999999999994</v>
      </c>
    </row>
    <row r="19" spans="1:17" x14ac:dyDescent="0.45">
      <c r="A19" s="20" t="s">
        <v>10</v>
      </c>
      <c r="B19" s="13">
        <f>B22+B21</f>
        <v>145</v>
      </c>
      <c r="C19" s="6">
        <f>IF(B$3=0,0,B19/B$3)</f>
        <v>0.33105022831050229</v>
      </c>
      <c r="E19" s="29" t="s">
        <v>78</v>
      </c>
      <c r="F19" s="26" t="s">
        <v>33</v>
      </c>
      <c r="G19" s="14">
        <v>2</v>
      </c>
      <c r="H19" s="92">
        <f>IF(B$19=0,0,G19/B$19)</f>
        <v>1.3793103448275862E-2</v>
      </c>
      <c r="I19" s="60">
        <v>8</v>
      </c>
      <c r="K19" s="7">
        <v>17</v>
      </c>
      <c r="L19" s="65">
        <v>242.8</v>
      </c>
      <c r="N19" s="78" t="s">
        <v>192</v>
      </c>
      <c r="O19" s="87">
        <f>IF(P19=0,0,Q19/P19)</f>
        <v>21.212500000000009</v>
      </c>
      <c r="P19" s="81">
        <v>24</v>
      </c>
      <c r="Q19" s="72">
        <v>509.10000000000019</v>
      </c>
    </row>
    <row r="20" spans="1:17" x14ac:dyDescent="0.45">
      <c r="A20" s="21" t="s">
        <v>13</v>
      </c>
      <c r="B20" s="14">
        <v>63</v>
      </c>
      <c r="C20" s="8">
        <f>IF(B$3=0,0,B20/B$3)</f>
        <v>0.14383561643835616</v>
      </c>
      <c r="E20" s="29" t="s">
        <v>91</v>
      </c>
      <c r="F20" s="26" t="s">
        <v>46</v>
      </c>
      <c r="G20" s="14">
        <v>2</v>
      </c>
      <c r="H20" s="92">
        <f>IF(B$19=0,0,G20/B$19)</f>
        <v>1.3793103448275862E-2</v>
      </c>
      <c r="I20" s="60">
        <v>5</v>
      </c>
      <c r="K20" s="7">
        <v>18</v>
      </c>
      <c r="L20" s="65">
        <v>280</v>
      </c>
      <c r="N20" s="78" t="s">
        <v>164</v>
      </c>
      <c r="O20" s="87">
        <f>IF(P20=0,0,Q20/P20)</f>
        <v>12.633333333333329</v>
      </c>
      <c r="P20" s="81">
        <v>33</v>
      </c>
      <c r="Q20" s="72">
        <v>416.89999999999986</v>
      </c>
    </row>
    <row r="21" spans="1:17" x14ac:dyDescent="0.45">
      <c r="A21" s="21" t="s">
        <v>12</v>
      </c>
      <c r="B21" s="14">
        <v>75</v>
      </c>
      <c r="C21" s="8">
        <f>IF(B$19=0,0,B21/B$19)</f>
        <v>0.51724137931034486</v>
      </c>
      <c r="E21" s="29" t="s">
        <v>93</v>
      </c>
      <c r="F21" s="26" t="s">
        <v>48</v>
      </c>
      <c r="G21" s="14">
        <v>2</v>
      </c>
      <c r="H21" s="92">
        <f>IF(B$19=0,0,G21/B$19)</f>
        <v>1.3793103448275862E-2</v>
      </c>
      <c r="I21" s="60">
        <v>1</v>
      </c>
      <c r="K21" s="7">
        <v>19</v>
      </c>
      <c r="L21" s="65">
        <v>281.5</v>
      </c>
      <c r="N21" s="78" t="s">
        <v>205</v>
      </c>
      <c r="O21" s="87">
        <f>IF(P21=0,0,Q21/P21)</f>
        <v>5.9562499999999998</v>
      </c>
      <c r="P21" s="81">
        <v>16</v>
      </c>
      <c r="Q21" s="72">
        <v>95.3</v>
      </c>
    </row>
    <row r="22" spans="1:17" x14ac:dyDescent="0.45">
      <c r="A22" s="21" t="s">
        <v>11</v>
      </c>
      <c r="B22" s="14">
        <v>70</v>
      </c>
      <c r="C22" s="8">
        <f>IF(B$19=0,0,B22/B$19)</f>
        <v>0.48275862068965519</v>
      </c>
      <c r="E22" s="29" t="s">
        <v>73</v>
      </c>
      <c r="F22" s="26" t="s">
        <v>28</v>
      </c>
      <c r="G22" s="14">
        <v>1</v>
      </c>
      <c r="H22" s="92">
        <f>IF(B$19=0,0,G22/B$19)</f>
        <v>6.8965517241379309E-3</v>
      </c>
      <c r="I22" s="60">
        <v>2</v>
      </c>
      <c r="K22" s="7">
        <v>20</v>
      </c>
      <c r="L22" s="65">
        <v>287.2</v>
      </c>
      <c r="N22" s="78" t="s">
        <v>213</v>
      </c>
      <c r="O22" s="87">
        <f>IF(P22=0,0,Q22/P22)</f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69</v>
      </c>
      <c r="C23" s="8">
        <f>IF(B$19=0,0,B23/B$19)</f>
        <v>0.47586206896551725</v>
      </c>
      <c r="E23" s="29" t="s">
        <v>84</v>
      </c>
      <c r="F23" s="26" t="s">
        <v>39</v>
      </c>
      <c r="G23" s="14">
        <v>1</v>
      </c>
      <c r="H23" s="92">
        <f>IF(B$19=0,0,G23/B$19)</f>
        <v>6.8965517241379309E-3</v>
      </c>
      <c r="I23" s="60">
        <v>1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36</v>
      </c>
      <c r="C24" s="8">
        <f>IF(B$19=0,0,B24/B$19)</f>
        <v>0.24827586206896551</v>
      </c>
      <c r="E24" s="29" t="s">
        <v>87</v>
      </c>
      <c r="F24" s="26" t="s">
        <v>42</v>
      </c>
      <c r="G24" s="14">
        <v>1</v>
      </c>
      <c r="H24" s="92">
        <f>IF(B$19=0,0,G24/B$19)</f>
        <v>6.8965517241379309E-3</v>
      </c>
      <c r="I24" s="60">
        <v>2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40</v>
      </c>
      <c r="C25" s="8">
        <f>IF(B$19=0,0,B25/B$19)</f>
        <v>0.27586206896551724</v>
      </c>
      <c r="E25" s="29" t="s">
        <v>95</v>
      </c>
      <c r="F25" s="26" t="s">
        <v>50</v>
      </c>
      <c r="G25" s="14">
        <v>1</v>
      </c>
      <c r="H25" s="92">
        <f>IF(B$19=0,0,G25/B$19)</f>
        <v>6.8965517241379309E-3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10022.068965517241</v>
      </c>
      <c r="C26" s="10">
        <v>1453200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10306.422018348623</v>
      </c>
      <c r="C27" s="100">
        <v>1123400</v>
      </c>
      <c r="E27" s="29" t="s">
        <v>75</v>
      </c>
      <c r="F27" s="26" t="s">
        <v>30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9161.1111111111113</v>
      </c>
      <c r="C28" s="100">
        <v>329800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-8461.9047619047615</v>
      </c>
      <c r="C29" s="100">
        <v>-533100</v>
      </c>
      <c r="E29" s="29" t="s">
        <v>77</v>
      </c>
      <c r="F29" s="26" t="s">
        <v>32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1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2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4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7</v>
      </c>
      <c r="C36" s="102">
        <f t="shared" ref="C36:C48" si="2">IF(B$19=0,0,B36/B$19)</f>
        <v>4.8275862068965517E-2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23</v>
      </c>
      <c r="C37" s="8">
        <f t="shared" si="2"/>
        <v>0.15862068965517243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22</v>
      </c>
      <c r="C38" s="8">
        <f t="shared" si="2"/>
        <v>0.15172413793103448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29</v>
      </c>
      <c r="C39" s="8">
        <f t="shared" si="2"/>
        <v>0.2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27</v>
      </c>
      <c r="C40" s="8">
        <f t="shared" si="2"/>
        <v>0.18620689655172415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12</v>
      </c>
      <c r="C41" s="8">
        <f t="shared" si="2"/>
        <v>8.2758620689655171E-2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7</v>
      </c>
      <c r="C42" s="8">
        <f t="shared" si="2"/>
        <v>4.8275862068965517E-2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4</v>
      </c>
      <c r="C43" s="8">
        <f t="shared" si="2"/>
        <v>2.7586206896551724E-2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4</v>
      </c>
      <c r="C44" s="8">
        <f t="shared" si="2"/>
        <v>2.7586206896551724E-2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3</v>
      </c>
      <c r="C45" s="8">
        <f t="shared" si="2"/>
        <v>2.0689655172413793E-2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6.8965517241379309E-3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6</v>
      </c>
      <c r="C48" s="11">
        <f t="shared" si="2"/>
        <v>4.1379310344827586E-2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25</v>
      </c>
      <c r="C2" s="132"/>
      <c r="E2" s="28" t="s">
        <v>66</v>
      </c>
      <c r="F2" s="25" t="s">
        <v>22</v>
      </c>
      <c r="G2" s="13">
        <v>40</v>
      </c>
      <c r="H2" s="91">
        <f>IF(B$19=0,0,G2/B$19)</f>
        <v>0.76923076923076927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-3880</v>
      </c>
      <c r="P2" s="80">
        <v>25</v>
      </c>
      <c r="Q2" s="67">
        <v>-97000</v>
      </c>
    </row>
    <row r="3" spans="1:17" x14ac:dyDescent="0.45">
      <c r="A3" s="21" t="s">
        <v>8</v>
      </c>
      <c r="B3" s="133">
        <v>189</v>
      </c>
      <c r="C3" s="134"/>
      <c r="E3" s="29" t="s">
        <v>72</v>
      </c>
      <c r="F3" s="26" t="s">
        <v>27</v>
      </c>
      <c r="G3" s="14">
        <v>29</v>
      </c>
      <c r="H3" s="92">
        <f>IF(B$19=0,0,G3/B$19)</f>
        <v>0.55769230769230771</v>
      </c>
      <c r="I3" s="60">
        <v>6</v>
      </c>
      <c r="K3" s="7">
        <v>1</v>
      </c>
      <c r="L3" s="65">
        <v>-55.5</v>
      </c>
      <c r="N3" s="78" t="s">
        <v>129</v>
      </c>
      <c r="O3" s="84">
        <f t="shared" si="0"/>
        <v>1716.6666666666667</v>
      </c>
      <c r="P3" s="81">
        <v>24</v>
      </c>
      <c r="Q3" s="68">
        <v>41200</v>
      </c>
    </row>
    <row r="4" spans="1:17" x14ac:dyDescent="0.45">
      <c r="A4" s="21" t="s">
        <v>6</v>
      </c>
      <c r="B4" s="135">
        <v>-227.29999999999993</v>
      </c>
      <c r="C4" s="136"/>
      <c r="E4" s="29" t="s">
        <v>160</v>
      </c>
      <c r="F4" s="26" t="s">
        <v>161</v>
      </c>
      <c r="G4" s="14">
        <v>25</v>
      </c>
      <c r="H4" s="92">
        <f>IF(B$19=0,0,G4/B$19)</f>
        <v>0.48076923076923078</v>
      </c>
      <c r="I4" s="60">
        <v>3</v>
      </c>
      <c r="K4" s="7">
        <v>2</v>
      </c>
      <c r="L4" s="65">
        <v>-106.5</v>
      </c>
      <c r="N4" s="78" t="s">
        <v>130</v>
      </c>
      <c r="O4" s="84">
        <f t="shared" si="0"/>
        <v>-4145.454545454545</v>
      </c>
      <c r="P4" s="81">
        <v>22</v>
      </c>
      <c r="Q4" s="68">
        <v>-91200</v>
      </c>
    </row>
    <row r="5" spans="1:17" x14ac:dyDescent="0.45">
      <c r="A5" s="21" t="s">
        <v>7</v>
      </c>
      <c r="B5" s="123">
        <f>IF(B$2=0,0,B$4/B$2)</f>
        <v>-9.091999999999997</v>
      </c>
      <c r="C5" s="124"/>
      <c r="E5" s="29" t="s">
        <v>64</v>
      </c>
      <c r="F5" s="26" t="s">
        <v>20</v>
      </c>
      <c r="G5" s="14">
        <v>21</v>
      </c>
      <c r="H5" s="92">
        <f>IF(B$19=0,0,G5/B$19)</f>
        <v>0.40384615384615385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-216.66666666666666</v>
      </c>
      <c r="P5" s="81">
        <v>18</v>
      </c>
      <c r="Q5" s="68">
        <v>-3900</v>
      </c>
    </row>
    <row r="6" spans="1:17" x14ac:dyDescent="0.45">
      <c r="A6" s="21" t="s">
        <v>1</v>
      </c>
      <c r="B6" s="137">
        <f>IF(B$2=0,0,(B$7*1+B$8*2+B$9*3)/B$2)</f>
        <v>2.2799999999999998</v>
      </c>
      <c r="C6" s="138"/>
      <c r="E6" s="29" t="s">
        <v>68</v>
      </c>
      <c r="F6" s="26" t="s">
        <v>12</v>
      </c>
      <c r="G6" s="14">
        <v>14</v>
      </c>
      <c r="H6" s="92">
        <f>IF(B$19=0,0,G6/B$19)</f>
        <v>0.26923076923076922</v>
      </c>
      <c r="I6" s="60">
        <v>5</v>
      </c>
      <c r="K6" s="7">
        <v>4</v>
      </c>
      <c r="L6" s="65">
        <v>-115.5</v>
      </c>
      <c r="N6" s="78" t="s">
        <v>132</v>
      </c>
      <c r="O6" s="84">
        <f t="shared" si="0"/>
        <v>2150</v>
      </c>
      <c r="P6" s="81">
        <v>14</v>
      </c>
      <c r="Q6" s="68">
        <v>30100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0.2</v>
      </c>
      <c r="E7" s="29" t="s">
        <v>67</v>
      </c>
      <c r="F7" s="26" t="s">
        <v>23</v>
      </c>
      <c r="G7" s="14">
        <v>9</v>
      </c>
      <c r="H7" s="92">
        <f>IF(B$19=0,0,G7/B$19)</f>
        <v>0.17307692307692307</v>
      </c>
      <c r="I7" s="60">
        <v>9</v>
      </c>
      <c r="K7" s="7">
        <v>5</v>
      </c>
      <c r="L7" s="65">
        <v>-116</v>
      </c>
      <c r="N7" s="79" t="s">
        <v>133</v>
      </c>
      <c r="O7" s="85">
        <f t="shared" si="0"/>
        <v>-4370</v>
      </c>
      <c r="P7" s="82">
        <v>10</v>
      </c>
      <c r="Q7" s="69">
        <v>-43700</v>
      </c>
    </row>
    <row r="8" spans="1:17" x14ac:dyDescent="0.45">
      <c r="A8" s="21" t="s">
        <v>3</v>
      </c>
      <c r="B8" s="14">
        <v>8</v>
      </c>
      <c r="C8" s="8">
        <f t="shared" si="1"/>
        <v>0.32</v>
      </c>
      <c r="E8" s="29" t="s">
        <v>89</v>
      </c>
      <c r="F8" s="26" t="s">
        <v>44</v>
      </c>
      <c r="G8" s="14">
        <v>7</v>
      </c>
      <c r="H8" s="92">
        <f>IF(B$19=0,0,G8/B$19)</f>
        <v>0.13461538461538461</v>
      </c>
      <c r="I8" s="60">
        <v>6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12</v>
      </c>
      <c r="C9" s="9">
        <f t="shared" si="1"/>
        <v>0.48</v>
      </c>
      <c r="E9" s="29" t="s">
        <v>69</v>
      </c>
      <c r="F9" s="26" t="s">
        <v>24</v>
      </c>
      <c r="G9" s="14">
        <v>6</v>
      </c>
      <c r="H9" s="92">
        <f>IF(B$19=0,0,G9/B$19)</f>
        <v>0.11538461538461539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51.679999999999993</v>
      </c>
      <c r="C10" s="114">
        <v>258.39999999999998</v>
      </c>
      <c r="E10" s="29" t="s">
        <v>70</v>
      </c>
      <c r="F10" s="26" t="s">
        <v>25</v>
      </c>
      <c r="G10" s="14">
        <v>6</v>
      </c>
      <c r="H10" s="92">
        <f>IF(B$19=0,0,G10/B$19)</f>
        <v>0.11538461538461539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-36.949999999999996</v>
      </c>
      <c r="P10" s="80">
        <v>6</v>
      </c>
      <c r="Q10" s="71">
        <v>-221.7</v>
      </c>
    </row>
    <row r="11" spans="1:17" x14ac:dyDescent="0.45">
      <c r="A11" s="22" t="s">
        <v>186</v>
      </c>
      <c r="B11" s="113">
        <f>IF(B8=0,0,C11/B8)</f>
        <v>-4.375</v>
      </c>
      <c r="C11" s="114">
        <v>-35</v>
      </c>
      <c r="E11" s="29" t="s">
        <v>65</v>
      </c>
      <c r="F11" s="26" t="s">
        <v>21</v>
      </c>
      <c r="G11" s="14">
        <v>4</v>
      </c>
      <c r="H11" s="92">
        <f>IF(B$19=0,0,G11/B$19)</f>
        <v>7.6923076923076927E-2</v>
      </c>
      <c r="I11" s="60">
        <v>8</v>
      </c>
      <c r="K11" s="7">
        <v>9</v>
      </c>
      <c r="L11" s="65">
        <v>-172.39999999999998</v>
      </c>
      <c r="N11" s="78" t="s">
        <v>153</v>
      </c>
      <c r="O11" s="87">
        <f>IF(P11=0,0,Q11/P11)</f>
        <v>-10.154545454545454</v>
      </c>
      <c r="P11" s="81">
        <v>11</v>
      </c>
      <c r="Q11" s="72">
        <v>-111.7</v>
      </c>
    </row>
    <row r="12" spans="1:17" x14ac:dyDescent="0.45">
      <c r="A12" s="22" t="s">
        <v>187</v>
      </c>
      <c r="B12" s="113">
        <f>IF(B9=0,0,C12/B9)</f>
        <v>-37.55833333333333</v>
      </c>
      <c r="C12" s="114">
        <v>-450.7</v>
      </c>
      <c r="E12" s="29" t="s">
        <v>86</v>
      </c>
      <c r="F12" s="26" t="s">
        <v>41</v>
      </c>
      <c r="G12" s="14">
        <v>3</v>
      </c>
      <c r="H12" s="92">
        <f>IF(B$19=0,0,G12/B$19)</f>
        <v>5.7692307692307696E-2</v>
      </c>
      <c r="I12" s="60">
        <v>4</v>
      </c>
      <c r="K12" s="7">
        <v>10</v>
      </c>
      <c r="L12" s="65">
        <v>-217.59999999999997</v>
      </c>
      <c r="N12" s="79" t="s">
        <v>154</v>
      </c>
      <c r="O12" s="88">
        <f>IF(P12=0,0,Q12/P12)</f>
        <v>13.262499999999999</v>
      </c>
      <c r="P12" s="82">
        <v>8</v>
      </c>
      <c r="Q12" s="73">
        <v>106.1</v>
      </c>
    </row>
    <row r="13" spans="1:17" x14ac:dyDescent="0.45">
      <c r="A13" s="22" t="s">
        <v>188</v>
      </c>
      <c r="B13" s="123">
        <f>AVERAGE(B10:B12)</f>
        <v>3.2488888888888874</v>
      </c>
      <c r="C13" s="124"/>
      <c r="E13" s="29" t="s">
        <v>71</v>
      </c>
      <c r="F13" s="26" t="s">
        <v>26</v>
      </c>
      <c r="G13" s="14">
        <v>2</v>
      </c>
      <c r="H13" s="92">
        <f>IF(B$19=0,0,G13/B$19)</f>
        <v>3.8461538461538464E-2</v>
      </c>
      <c r="I13" s="60">
        <v>8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0.24</v>
      </c>
      <c r="E14" s="29" t="s">
        <v>78</v>
      </c>
      <c r="F14" s="26" t="s">
        <v>33</v>
      </c>
      <c r="G14" s="14">
        <v>1</v>
      </c>
      <c r="H14" s="92">
        <f>IF(B$19=0,0,G14/B$19)</f>
        <v>1.9230769230769232E-2</v>
      </c>
      <c r="I14" s="60">
        <v>7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41</v>
      </c>
      <c r="C15" s="12">
        <f>IF(B$3=0,0,B15/B$3)</f>
        <v>0.21693121693121692</v>
      </c>
      <c r="E15" s="29" t="s">
        <v>81</v>
      </c>
      <c r="F15" s="26" t="s">
        <v>36</v>
      </c>
      <c r="G15" s="14">
        <v>1</v>
      </c>
      <c r="H15" s="92">
        <f>IF(B$19=0,0,G15/B$19)</f>
        <v>1.9230769230769232E-2</v>
      </c>
      <c r="I15" s="60">
        <v>7</v>
      </c>
      <c r="K15" s="7">
        <v>13</v>
      </c>
      <c r="L15" s="65">
        <v>-280.59999999999997</v>
      </c>
      <c r="N15" s="77" t="s">
        <v>164</v>
      </c>
      <c r="O15" s="86">
        <f t="shared" ref="O15:O20" si="2">IF(P15=0,0,Q15/P15)</f>
        <v>32.20000000000001</v>
      </c>
      <c r="P15" s="80">
        <v>6</v>
      </c>
      <c r="Q15" s="71">
        <v>193.20000000000005</v>
      </c>
    </row>
    <row r="16" spans="1:17" x14ac:dyDescent="0.45">
      <c r="A16" s="21" t="s">
        <v>118</v>
      </c>
      <c r="B16" s="14">
        <v>28</v>
      </c>
      <c r="C16" s="8">
        <f>IF(B$3=0,0,B16/B$3)</f>
        <v>0.14814814814814814</v>
      </c>
      <c r="E16" s="29" t="s">
        <v>87</v>
      </c>
      <c r="F16" s="26" t="s">
        <v>42</v>
      </c>
      <c r="G16" s="14">
        <v>1</v>
      </c>
      <c r="H16" s="92">
        <f>IF(B$19=0,0,G16/B$19)</f>
        <v>1.9230769230769232E-2</v>
      </c>
      <c r="I16" s="60">
        <v>1</v>
      </c>
      <c r="K16" s="7">
        <v>14</v>
      </c>
      <c r="L16" s="65">
        <v>-330.7</v>
      </c>
      <c r="N16" s="78" t="s">
        <v>205</v>
      </c>
      <c r="O16" s="87">
        <f t="shared" si="2"/>
        <v>18.3</v>
      </c>
      <c r="P16" s="81">
        <v>6</v>
      </c>
      <c r="Q16" s="72">
        <v>109.80000000000001</v>
      </c>
    </row>
    <row r="17" spans="1:17" x14ac:dyDescent="0.45">
      <c r="A17" s="20" t="s">
        <v>123</v>
      </c>
      <c r="B17" s="13">
        <f>B23</f>
        <v>20</v>
      </c>
      <c r="C17" s="6">
        <f>IF(B$15=0,0,B17/B$15)</f>
        <v>0.48780487804878048</v>
      </c>
      <c r="E17" s="29" t="s">
        <v>91</v>
      </c>
      <c r="F17" s="26" t="s">
        <v>46</v>
      </c>
      <c r="G17" s="14">
        <v>1</v>
      </c>
      <c r="H17" s="92">
        <f>IF(B$19=0,0,G17/B$19)</f>
        <v>1.9230769230769232E-2</v>
      </c>
      <c r="I17" s="60">
        <v>4</v>
      </c>
      <c r="K17" s="7">
        <v>15</v>
      </c>
      <c r="L17" s="65">
        <v>-284.09999999999997</v>
      </c>
      <c r="N17" s="78" t="s">
        <v>192</v>
      </c>
      <c r="O17" s="87">
        <f t="shared" si="2"/>
        <v>-9.4571428571428573</v>
      </c>
      <c r="P17" s="81">
        <v>14</v>
      </c>
      <c r="Q17" s="72">
        <v>-132.4</v>
      </c>
    </row>
    <row r="18" spans="1:17" x14ac:dyDescent="0.45">
      <c r="A18" s="20" t="s">
        <v>124</v>
      </c>
      <c r="B18" s="13">
        <f>B24</f>
        <v>16</v>
      </c>
      <c r="C18" s="6">
        <f>IF(B$16=0,0,B18/B$16)</f>
        <v>0.5714285714285714</v>
      </c>
      <c r="E18" s="29" t="s">
        <v>92</v>
      </c>
      <c r="F18" s="26" t="s">
        <v>47</v>
      </c>
      <c r="G18" s="14">
        <v>1</v>
      </c>
      <c r="H18" s="92">
        <f>IF(B$19=0,0,G18/B$19)</f>
        <v>1.9230769230769232E-2</v>
      </c>
      <c r="I18" s="60">
        <v>4</v>
      </c>
      <c r="K18" s="7">
        <v>16</v>
      </c>
      <c r="L18" s="65">
        <v>-234.59999999999997</v>
      </c>
      <c r="N18" s="78" t="s">
        <v>196</v>
      </c>
      <c r="O18" s="87">
        <f t="shared" si="2"/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52</v>
      </c>
      <c r="C19" s="6">
        <f>IF(B$3=0,0,B19/B$3)</f>
        <v>0.27513227513227512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 t="shared" si="2"/>
        <v>-30.300000000000008</v>
      </c>
      <c r="P19" s="81">
        <v>12</v>
      </c>
      <c r="Q19" s="72">
        <v>-363.60000000000008</v>
      </c>
    </row>
    <row r="20" spans="1:17" x14ac:dyDescent="0.45">
      <c r="A20" s="21" t="s">
        <v>13</v>
      </c>
      <c r="B20" s="14">
        <v>31</v>
      </c>
      <c r="C20" s="8">
        <f>IF(B$3=0,0,B20/B$3)</f>
        <v>0.16402116402116401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-154.09999999999997</v>
      </c>
      <c r="N20" s="78" t="s">
        <v>193</v>
      </c>
      <c r="O20" s="87">
        <f t="shared" si="2"/>
        <v>-42.581818181818178</v>
      </c>
      <c r="P20" s="81">
        <v>11</v>
      </c>
      <c r="Q20" s="72">
        <v>-468.4</v>
      </c>
    </row>
    <row r="21" spans="1:17" x14ac:dyDescent="0.45">
      <c r="A21" s="21" t="s">
        <v>12</v>
      </c>
      <c r="B21" s="14">
        <v>22</v>
      </c>
      <c r="C21" s="8">
        <f>IF(B$19=0,0,B21/B$19)</f>
        <v>0.42307692307692307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30</v>
      </c>
      <c r="C22" s="8">
        <f>IF(B$19=0,0,B22/B$19)</f>
        <v>0.57692307692307687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20</v>
      </c>
      <c r="C23" s="8">
        <f>IF(B$19=0,0,B23/B$19)</f>
        <v>0.38461538461538464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16</v>
      </c>
      <c r="C24" s="8">
        <f>IF(B$19=0,0,B24/B$19)</f>
        <v>0.30769230769230771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16</v>
      </c>
      <c r="C25" s="8">
        <f>IF(B$19=0,0,B25/B$19)</f>
        <v>0.30769230769230771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8023.0769230769229</v>
      </c>
      <c r="C26" s="10">
        <v>417200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9297.2222222222226</v>
      </c>
      <c r="C27" s="100">
        <v>334700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5156.25</v>
      </c>
      <c r="C28" s="100">
        <v>82500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-7961.2903225806449</v>
      </c>
      <c r="C29" s="100">
        <v>-246800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26</v>
      </c>
      <c r="C31" s="94">
        <v>6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7</v>
      </c>
      <c r="C36" s="102">
        <f t="shared" ref="C36:C48" si="3">IF(B$19=0,0,B36/B$19)</f>
        <v>0.13461538461538461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10</v>
      </c>
      <c r="C37" s="8">
        <f t="shared" si="3"/>
        <v>0.19230769230769232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11</v>
      </c>
      <c r="C38" s="8">
        <f t="shared" si="3"/>
        <v>0.21153846153846154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6</v>
      </c>
      <c r="C39" s="8">
        <f t="shared" si="3"/>
        <v>0.11538461538461539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4</v>
      </c>
      <c r="C40" s="8">
        <f t="shared" si="3"/>
        <v>7.6923076923076927E-2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9</v>
      </c>
      <c r="C41" s="8">
        <f t="shared" si="3"/>
        <v>0.17307692307692307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3"/>
        <v>3.8461538461538464E-2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3"/>
        <v>1.9230769230769232E-2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1.9230769230769232E-2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1.9230769230769232E-2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44</v>
      </c>
      <c r="C2" s="132"/>
      <c r="E2" s="28" t="s">
        <v>72</v>
      </c>
      <c r="F2" s="25" t="s">
        <v>27</v>
      </c>
      <c r="G2" s="13">
        <v>63</v>
      </c>
      <c r="H2" s="91">
        <f>IF(B$19=0,0,G2/B$19)</f>
        <v>0.64948453608247425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744.18604651162786</v>
      </c>
      <c r="P2" s="80">
        <v>43</v>
      </c>
      <c r="Q2" s="67">
        <v>32000</v>
      </c>
    </row>
    <row r="3" spans="1:17" x14ac:dyDescent="0.45">
      <c r="A3" s="21" t="s">
        <v>8</v>
      </c>
      <c r="B3" s="133">
        <v>349</v>
      </c>
      <c r="C3" s="134"/>
      <c r="E3" s="29" t="s">
        <v>66</v>
      </c>
      <c r="F3" s="26" t="s">
        <v>22</v>
      </c>
      <c r="G3" s="14">
        <v>57</v>
      </c>
      <c r="H3" s="92">
        <f>IF(B$19=0,0,G3/B$19)</f>
        <v>0.58762886597938147</v>
      </c>
      <c r="I3" s="60">
        <v>9</v>
      </c>
      <c r="K3" s="7">
        <v>1</v>
      </c>
      <c r="L3" s="65">
        <v>-0.5</v>
      </c>
      <c r="N3" s="78" t="s">
        <v>129</v>
      </c>
      <c r="O3" s="84">
        <f t="shared" si="0"/>
        <v>-958.1395348837209</v>
      </c>
      <c r="P3" s="81">
        <v>43</v>
      </c>
      <c r="Q3" s="68">
        <v>-41200</v>
      </c>
    </row>
    <row r="4" spans="1:17" x14ac:dyDescent="0.45">
      <c r="A4" s="21" t="s">
        <v>6</v>
      </c>
      <c r="B4" s="135">
        <v>-94.799999999999969</v>
      </c>
      <c r="C4" s="136"/>
      <c r="E4" s="29" t="s">
        <v>64</v>
      </c>
      <c r="F4" s="26" t="s">
        <v>20</v>
      </c>
      <c r="G4" s="14">
        <v>45</v>
      </c>
      <c r="H4" s="92">
        <f>IF(B$19=0,0,G4/B$19)</f>
        <v>0.46391752577319589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-1320.9302325581396</v>
      </c>
      <c r="P4" s="81">
        <v>43</v>
      </c>
      <c r="Q4" s="68">
        <v>-56800</v>
      </c>
    </row>
    <row r="5" spans="1:17" x14ac:dyDescent="0.45">
      <c r="A5" s="21" t="s">
        <v>7</v>
      </c>
      <c r="B5" s="123">
        <f>IF(B$2=0,0,B$4/B$2)</f>
        <v>-2.1545454545454539</v>
      </c>
      <c r="C5" s="124"/>
      <c r="E5" s="29" t="s">
        <v>160</v>
      </c>
      <c r="F5" s="26" t="s">
        <v>161</v>
      </c>
      <c r="G5" s="14">
        <v>38</v>
      </c>
      <c r="H5" s="92">
        <f>IF(B$19=0,0,G5/B$19)</f>
        <v>0.39175257731958762</v>
      </c>
      <c r="I5" s="60">
        <v>8</v>
      </c>
      <c r="K5" s="7">
        <v>3</v>
      </c>
      <c r="L5" s="65">
        <v>-48.5</v>
      </c>
      <c r="N5" s="78" t="s">
        <v>131</v>
      </c>
      <c r="O5" s="84">
        <f t="shared" si="0"/>
        <v>1110</v>
      </c>
      <c r="P5" s="81">
        <v>40</v>
      </c>
      <c r="Q5" s="68">
        <v>44400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67</v>
      </c>
      <c r="F6" s="26" t="s">
        <v>23</v>
      </c>
      <c r="G6" s="14">
        <v>26</v>
      </c>
      <c r="H6" s="92">
        <f>IF(B$19=0,0,G6/B$19)</f>
        <v>0.26804123711340205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0"/>
        <v>-1608.8235294117646</v>
      </c>
      <c r="P6" s="81">
        <v>34</v>
      </c>
      <c r="Q6" s="68">
        <v>-54700</v>
      </c>
    </row>
    <row r="7" spans="1:17" x14ac:dyDescent="0.45">
      <c r="A7" s="21" t="s">
        <v>2</v>
      </c>
      <c r="B7" s="14">
        <v>13</v>
      </c>
      <c r="C7" s="8">
        <f t="shared" ref="C7:C14" si="1">IF(B$2=0,0,B7/B$2)</f>
        <v>0.29545454545454547</v>
      </c>
      <c r="E7" s="29" t="s">
        <v>68</v>
      </c>
      <c r="F7" s="26" t="s">
        <v>12</v>
      </c>
      <c r="G7" s="14">
        <v>24</v>
      </c>
      <c r="H7" s="92">
        <f>IF(B$19=0,0,G7/B$19)</f>
        <v>0.24742268041237114</v>
      </c>
      <c r="I7" s="60">
        <v>8</v>
      </c>
      <c r="K7" s="7">
        <v>5</v>
      </c>
      <c r="L7" s="65">
        <v>-96.5</v>
      </c>
      <c r="N7" s="79" t="s">
        <v>133</v>
      </c>
      <c r="O7" s="85">
        <f t="shared" si="0"/>
        <v>216.66666666666666</v>
      </c>
      <c r="P7" s="82">
        <v>24</v>
      </c>
      <c r="Q7" s="69">
        <v>5200</v>
      </c>
    </row>
    <row r="8" spans="1:17" x14ac:dyDescent="0.45">
      <c r="A8" s="21" t="s">
        <v>3</v>
      </c>
      <c r="B8" s="14">
        <v>18</v>
      </c>
      <c r="C8" s="8">
        <f t="shared" si="1"/>
        <v>0.40909090909090912</v>
      </c>
      <c r="E8" s="29" t="s">
        <v>89</v>
      </c>
      <c r="F8" s="26" t="s">
        <v>44</v>
      </c>
      <c r="G8" s="14">
        <v>13</v>
      </c>
      <c r="H8" s="92">
        <f>IF(B$19=0,0,G8/B$19)</f>
        <v>0.13402061855670103</v>
      </c>
      <c r="I8" s="60">
        <v>7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0.29545454545454547</v>
      </c>
      <c r="E9" s="29" t="s">
        <v>69</v>
      </c>
      <c r="F9" s="26" t="s">
        <v>24</v>
      </c>
      <c r="G9" s="14">
        <v>10</v>
      </c>
      <c r="H9" s="92">
        <f>IF(B$19=0,0,G9/B$19)</f>
        <v>0.10309278350515463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36.746153846153845</v>
      </c>
      <c r="C10" s="114">
        <v>477.7</v>
      </c>
      <c r="E10" s="29" t="s">
        <v>71</v>
      </c>
      <c r="F10" s="26" t="s">
        <v>26</v>
      </c>
      <c r="G10" s="14">
        <v>8</v>
      </c>
      <c r="H10" s="92">
        <f>IF(B$19=0,0,G10/B$19)</f>
        <v>8.247422680412371E-2</v>
      </c>
      <c r="I10" s="60">
        <v>4</v>
      </c>
      <c r="K10" s="7">
        <v>8</v>
      </c>
      <c r="L10" s="65">
        <v>-28.3</v>
      </c>
      <c r="N10" s="77" t="s">
        <v>152</v>
      </c>
      <c r="O10" s="86">
        <f>IF(P10=0,0,Q10/P10)</f>
        <v>-7.3500000000000005</v>
      </c>
      <c r="P10" s="80">
        <v>14</v>
      </c>
      <c r="Q10" s="71">
        <v>-102.9</v>
      </c>
    </row>
    <row r="11" spans="1:17" x14ac:dyDescent="0.45">
      <c r="A11" s="22" t="s">
        <v>186</v>
      </c>
      <c r="B11" s="113">
        <f>IF(B8=0,0,C11/B8)</f>
        <v>-3.8444444444444446</v>
      </c>
      <c r="C11" s="114">
        <v>-69.2</v>
      </c>
      <c r="E11" s="29" t="s">
        <v>65</v>
      </c>
      <c r="F11" s="26" t="s">
        <v>21</v>
      </c>
      <c r="G11" s="14">
        <v>7</v>
      </c>
      <c r="H11" s="92">
        <f>IF(B$19=0,0,G11/B$19)</f>
        <v>7.2164948453608241E-2</v>
      </c>
      <c r="I11" s="60">
        <v>9</v>
      </c>
      <c r="K11" s="7">
        <v>9</v>
      </c>
      <c r="L11" s="65">
        <v>-20.3</v>
      </c>
      <c r="N11" s="78" t="s">
        <v>153</v>
      </c>
      <c r="O11" s="87">
        <f>IF(P11=0,0,Q11/P11)</f>
        <v>-4.40625</v>
      </c>
      <c r="P11" s="81">
        <v>16</v>
      </c>
      <c r="Q11" s="72">
        <v>-70.5</v>
      </c>
    </row>
    <row r="12" spans="1:17" x14ac:dyDescent="0.45">
      <c r="A12" s="22" t="s">
        <v>187</v>
      </c>
      <c r="B12" s="113">
        <f>IF(B9=0,0,C12/B9)</f>
        <v>-38.715384615384615</v>
      </c>
      <c r="C12" s="114">
        <v>-503.3</v>
      </c>
      <c r="E12" s="29" t="s">
        <v>83</v>
      </c>
      <c r="F12" s="26" t="s">
        <v>38</v>
      </c>
      <c r="G12" s="14">
        <v>7</v>
      </c>
      <c r="H12" s="92">
        <f>IF(B$19=0,0,G12/B$19)</f>
        <v>7.2164948453608241E-2</v>
      </c>
      <c r="I12" s="60">
        <v>3</v>
      </c>
      <c r="K12" s="7">
        <v>10</v>
      </c>
      <c r="L12" s="65">
        <v>-14.9</v>
      </c>
      <c r="N12" s="79" t="s">
        <v>154</v>
      </c>
      <c r="O12" s="88">
        <f>IF(P12=0,0,Q12/P12)</f>
        <v>5.6142857142857157</v>
      </c>
      <c r="P12" s="82">
        <v>14</v>
      </c>
      <c r="Q12" s="73">
        <v>78.600000000000023</v>
      </c>
    </row>
    <row r="13" spans="1:17" x14ac:dyDescent="0.45">
      <c r="A13" s="22" t="s">
        <v>188</v>
      </c>
      <c r="B13" s="123">
        <f>AVERAGE(B10:B12)</f>
        <v>-1.9378917378917369</v>
      </c>
      <c r="C13" s="124"/>
      <c r="E13" s="29" t="s">
        <v>70</v>
      </c>
      <c r="F13" s="26" t="s">
        <v>25</v>
      </c>
      <c r="G13" s="14">
        <v>5</v>
      </c>
      <c r="H13" s="92">
        <f>IF(B$19=0,0,G13/B$19)</f>
        <v>5.1546391752577317E-2</v>
      </c>
      <c r="I13" s="60">
        <v>7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9.0909090909090912E-2</v>
      </c>
      <c r="E14" s="29" t="s">
        <v>79</v>
      </c>
      <c r="F14" s="26" t="s">
        <v>34</v>
      </c>
      <c r="G14" s="14">
        <v>5</v>
      </c>
      <c r="H14" s="92">
        <f>IF(B$19=0,0,G14/B$19)</f>
        <v>5.1546391752577317E-2</v>
      </c>
      <c r="I14" s="60">
        <v>2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87</v>
      </c>
      <c r="C15" s="12">
        <f>IF(B$3=0,0,B15/B$3)</f>
        <v>0.24928366762177651</v>
      </c>
      <c r="E15" s="29" t="s">
        <v>78</v>
      </c>
      <c r="F15" s="26" t="s">
        <v>33</v>
      </c>
      <c r="G15" s="14">
        <v>4</v>
      </c>
      <c r="H15" s="92">
        <f>IF(B$19=0,0,G15/B$19)</f>
        <v>4.1237113402061855E-2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85</v>
      </c>
      <c r="C16" s="8">
        <f>IF(B$3=0,0,B16/B$3)</f>
        <v>0.24355300859598855</v>
      </c>
      <c r="E16" s="29" t="s">
        <v>91</v>
      </c>
      <c r="F16" s="26" t="s">
        <v>46</v>
      </c>
      <c r="G16" s="14">
        <v>3</v>
      </c>
      <c r="H16" s="92">
        <f>IF(B$19=0,0,G16/B$19)</f>
        <v>3.0927835051546393E-2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>IF(P16=0,0,Q16/P16)</f>
        <v>18.040000000000003</v>
      </c>
      <c r="P16" s="81">
        <v>15</v>
      </c>
      <c r="Q16" s="72">
        <v>270.60000000000002</v>
      </c>
    </row>
    <row r="17" spans="1:17" x14ac:dyDescent="0.45">
      <c r="A17" s="20" t="s">
        <v>123</v>
      </c>
      <c r="B17" s="13">
        <f>B23</f>
        <v>47</v>
      </c>
      <c r="C17" s="6">
        <f>IF(B$15=0,0,B17/B$15)</f>
        <v>0.54022988505747127</v>
      </c>
      <c r="E17" s="29" t="s">
        <v>81</v>
      </c>
      <c r="F17" s="26" t="s">
        <v>36</v>
      </c>
      <c r="G17" s="14">
        <v>2</v>
      </c>
      <c r="H17" s="92">
        <f>IF(B$19=0,0,G17/B$19)</f>
        <v>2.0618556701030927E-2</v>
      </c>
      <c r="I17" s="60">
        <v>6</v>
      </c>
      <c r="K17" s="7">
        <v>15</v>
      </c>
      <c r="L17" s="65">
        <v>-121.39999999999998</v>
      </c>
      <c r="N17" s="78" t="s">
        <v>194</v>
      </c>
      <c r="O17" s="87">
        <f>IF(P17=0,0,Q17/P17)</f>
        <v>9.4571428571428591</v>
      </c>
      <c r="P17" s="81">
        <v>14</v>
      </c>
      <c r="Q17" s="72">
        <v>132.40000000000003</v>
      </c>
    </row>
    <row r="18" spans="1:17" x14ac:dyDescent="0.45">
      <c r="A18" s="20" t="s">
        <v>124</v>
      </c>
      <c r="B18" s="13">
        <f>B24</f>
        <v>31</v>
      </c>
      <c r="C18" s="6">
        <f>IF(B$16=0,0,B18/B$16)</f>
        <v>0.36470588235294116</v>
      </c>
      <c r="E18" s="29" t="s">
        <v>86</v>
      </c>
      <c r="F18" s="26" t="s">
        <v>41</v>
      </c>
      <c r="G18" s="14">
        <v>2</v>
      </c>
      <c r="H18" s="92">
        <f>IF(B$19=0,0,G18/B$19)</f>
        <v>2.0618556701030927E-2</v>
      </c>
      <c r="I18" s="60">
        <v>8</v>
      </c>
      <c r="K18" s="7">
        <v>16</v>
      </c>
      <c r="L18" s="65">
        <v>-141.29999999999998</v>
      </c>
      <c r="N18" s="78" t="s">
        <v>205</v>
      </c>
      <c r="O18" s="87">
        <f>IF(P18=0,0,Q18/P18)</f>
        <v>0.53750000000000053</v>
      </c>
      <c r="P18" s="81">
        <v>8</v>
      </c>
      <c r="Q18" s="72">
        <v>4.3000000000000043</v>
      </c>
    </row>
    <row r="19" spans="1:17" x14ac:dyDescent="0.45">
      <c r="A19" s="20" t="s">
        <v>10</v>
      </c>
      <c r="B19" s="13">
        <f>B22+B21</f>
        <v>97</v>
      </c>
      <c r="C19" s="6">
        <f>IF(B$3=0,0,B19/B$3)</f>
        <v>0.27793696275071633</v>
      </c>
      <c r="E19" s="29" t="s">
        <v>85</v>
      </c>
      <c r="F19" s="26" t="s">
        <v>40</v>
      </c>
      <c r="G19" s="14">
        <v>1</v>
      </c>
      <c r="H19" s="92">
        <f>IF(B$19=0,0,G19/B$19)</f>
        <v>1.0309278350515464E-2</v>
      </c>
      <c r="I19" s="60">
        <v>2</v>
      </c>
      <c r="K19" s="7">
        <v>17</v>
      </c>
      <c r="L19" s="65">
        <v>-149.1</v>
      </c>
      <c r="N19" s="78" t="s">
        <v>164</v>
      </c>
      <c r="O19" s="87">
        <f>IF(P19=0,0,Q19/P19)</f>
        <v>-6.9411764705882337</v>
      </c>
      <c r="P19" s="81">
        <v>17</v>
      </c>
      <c r="Q19" s="72">
        <v>-117.99999999999997</v>
      </c>
    </row>
    <row r="20" spans="1:17" x14ac:dyDescent="0.45">
      <c r="A20" s="21" t="s">
        <v>13</v>
      </c>
      <c r="B20" s="14">
        <v>40</v>
      </c>
      <c r="C20" s="8">
        <f>IF(B$3=0,0,B20/B$3)</f>
        <v>0.11461318051575932</v>
      </c>
      <c r="E20" s="29" t="s">
        <v>92</v>
      </c>
      <c r="F20" s="26" t="s">
        <v>47</v>
      </c>
      <c r="G20" s="14">
        <v>1</v>
      </c>
      <c r="H20" s="92">
        <f>IF(B$19=0,0,G20/B$19)</f>
        <v>1.0309278350515464E-2</v>
      </c>
      <c r="I20" s="60">
        <v>6</v>
      </c>
      <c r="K20" s="7">
        <v>18</v>
      </c>
      <c r="L20" s="65">
        <v>-201.89999999999998</v>
      </c>
      <c r="N20" s="78" t="s">
        <v>196</v>
      </c>
      <c r="O20" s="87">
        <f>IF(P20=0,0,Q20/P20)</f>
        <v>-19.342857142857145</v>
      </c>
      <c r="P20" s="81">
        <v>7</v>
      </c>
      <c r="Q20" s="72">
        <v>-135.4</v>
      </c>
    </row>
    <row r="21" spans="1:17" x14ac:dyDescent="0.45">
      <c r="A21" s="21" t="s">
        <v>12</v>
      </c>
      <c r="B21" s="14">
        <v>39</v>
      </c>
      <c r="C21" s="8">
        <f>IF(B$19=0,0,B21/B$19)</f>
        <v>0.40206185567010311</v>
      </c>
      <c r="E21" s="29" t="s">
        <v>156</v>
      </c>
      <c r="F21" s="26" t="s">
        <v>157</v>
      </c>
      <c r="G21" s="14">
        <v>1</v>
      </c>
      <c r="H21" s="92">
        <f>IF(B$19=0,0,G21/B$19)</f>
        <v>1.0309278350515464E-2</v>
      </c>
      <c r="I21" s="60">
        <v>5</v>
      </c>
      <c r="K21" s="7">
        <v>19</v>
      </c>
      <c r="L21" s="65">
        <v>-152.39999999999998</v>
      </c>
      <c r="N21" s="78" t="s">
        <v>126</v>
      </c>
      <c r="O21" s="87">
        <f>IF(P21=0,0,Q21/P21)</f>
        <v>-21.212500000000009</v>
      </c>
      <c r="P21" s="81">
        <v>24</v>
      </c>
      <c r="Q21" s="72">
        <v>-509.10000000000019</v>
      </c>
    </row>
    <row r="22" spans="1:17" x14ac:dyDescent="0.45">
      <c r="A22" s="21" t="s">
        <v>11</v>
      </c>
      <c r="B22" s="14">
        <v>58</v>
      </c>
      <c r="C22" s="8">
        <f>IF(B$19=0,0,B22/B$19)</f>
        <v>0.59793814432989689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47</v>
      </c>
      <c r="C23" s="8">
        <f>IF(B$19=0,0,B23/B$19)</f>
        <v>0.4845360824742268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31</v>
      </c>
      <c r="C24" s="8">
        <f>IF(B$19=0,0,B24/B$19)</f>
        <v>0.31958762886597936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19</v>
      </c>
      <c r="C25" s="8">
        <f>IF(B$19=0,0,B25/B$19)</f>
        <v>0.19587628865979381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7615.4639175257735</v>
      </c>
      <c r="C26" s="10">
        <v>738700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7871.212121212121</v>
      </c>
      <c r="C27" s="100">
        <v>519500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7070.9677419354839</v>
      </c>
      <c r="C28" s="100">
        <v>219200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-7855</v>
      </c>
      <c r="C29" s="100">
        <v>-314200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9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2">IF(B$19=0,0,B36/B$19)</f>
        <v>0.1134020618556701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16</v>
      </c>
      <c r="C37" s="8">
        <f t="shared" si="2"/>
        <v>0.16494845360824742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27</v>
      </c>
      <c r="C38" s="8">
        <f t="shared" si="2"/>
        <v>0.27835051546391754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14</v>
      </c>
      <c r="C39" s="8">
        <f t="shared" si="2"/>
        <v>0.14432989690721648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8</v>
      </c>
      <c r="C40" s="8">
        <f t="shared" si="2"/>
        <v>8.247422680412371E-2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4</v>
      </c>
      <c r="C41" s="8">
        <f t="shared" si="2"/>
        <v>4.1237113402061855E-2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8</v>
      </c>
      <c r="C42" s="8">
        <f t="shared" si="2"/>
        <v>8.247422680412371E-2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2"/>
        <v>3.0927835051546393E-2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2"/>
        <v>2.0618556701030927E-2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2</v>
      </c>
      <c r="C45" s="8">
        <f t="shared" si="2"/>
        <v>2.0618556701030927E-2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2"/>
        <v>1.0309278350515464E-2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1.0309278350515464E-2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26</v>
      </c>
      <c r="C2" s="132"/>
      <c r="E2" s="28" t="s">
        <v>72</v>
      </c>
      <c r="F2" s="25" t="s">
        <v>27</v>
      </c>
      <c r="G2" s="13">
        <v>43</v>
      </c>
      <c r="H2" s="91">
        <f>IF(B$19=0,0,G2/B$19)</f>
        <v>0.71666666666666667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-900</v>
      </c>
      <c r="P2" s="80">
        <v>26</v>
      </c>
      <c r="Q2" s="67">
        <v>-23400</v>
      </c>
    </row>
    <row r="3" spans="1:17" x14ac:dyDescent="0.45">
      <c r="A3" s="21" t="s">
        <v>8</v>
      </c>
      <c r="B3" s="133">
        <v>191</v>
      </c>
      <c r="C3" s="134"/>
      <c r="E3" s="29" t="s">
        <v>66</v>
      </c>
      <c r="F3" s="26" t="s">
        <v>22</v>
      </c>
      <c r="G3" s="14">
        <v>40</v>
      </c>
      <c r="H3" s="92">
        <f>IF(B$19=0,0,G3/B$19)</f>
        <v>0.66666666666666663</v>
      </c>
      <c r="I3" s="60">
        <v>7</v>
      </c>
      <c r="K3" s="7">
        <v>1</v>
      </c>
      <c r="L3" s="65">
        <v>56</v>
      </c>
      <c r="N3" s="78" t="s">
        <v>129</v>
      </c>
      <c r="O3" s="84">
        <f t="shared" si="0"/>
        <v>-1900</v>
      </c>
      <c r="P3" s="81">
        <v>25</v>
      </c>
      <c r="Q3" s="68">
        <v>-47500</v>
      </c>
    </row>
    <row r="4" spans="1:17" x14ac:dyDescent="0.45">
      <c r="A4" s="21" t="s">
        <v>6</v>
      </c>
      <c r="B4" s="135">
        <v>86.8</v>
      </c>
      <c r="C4" s="136"/>
      <c r="E4" s="29" t="s">
        <v>64</v>
      </c>
      <c r="F4" s="26" t="s">
        <v>20</v>
      </c>
      <c r="G4" s="14">
        <v>17</v>
      </c>
      <c r="H4" s="92">
        <f>IF(B$19=0,0,G4/B$19)</f>
        <v>0.28333333333333333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2950</v>
      </c>
      <c r="P4" s="81">
        <v>22</v>
      </c>
      <c r="Q4" s="68">
        <v>64900</v>
      </c>
    </row>
    <row r="5" spans="1:17" x14ac:dyDescent="0.45">
      <c r="A5" s="21" t="s">
        <v>7</v>
      </c>
      <c r="B5" s="123">
        <f>IF(B$2=0,0,B$4/B$2)</f>
        <v>3.3384615384615381</v>
      </c>
      <c r="C5" s="124"/>
      <c r="E5" s="29" t="s">
        <v>68</v>
      </c>
      <c r="F5" s="26" t="s">
        <v>12</v>
      </c>
      <c r="G5" s="14">
        <v>15</v>
      </c>
      <c r="H5" s="92">
        <f>IF(B$19=0,0,G5/B$19)</f>
        <v>0.25</v>
      </c>
      <c r="I5" s="60">
        <v>6</v>
      </c>
      <c r="K5" s="7">
        <v>3</v>
      </c>
      <c r="L5" s="65">
        <v>159</v>
      </c>
      <c r="N5" s="78" t="s">
        <v>131</v>
      </c>
      <c r="O5" s="84">
        <f t="shared" si="0"/>
        <v>-1273.6842105263158</v>
      </c>
      <c r="P5" s="81">
        <v>19</v>
      </c>
      <c r="Q5" s="68">
        <v>-24200</v>
      </c>
    </row>
    <row r="6" spans="1:17" x14ac:dyDescent="0.45">
      <c r="A6" s="21" t="s">
        <v>1</v>
      </c>
      <c r="B6" s="137">
        <f>IF(B$2=0,0,(B$7*1+B$8*2+B$9*3)/B$2)</f>
        <v>1.9615384615384615</v>
      </c>
      <c r="C6" s="138"/>
      <c r="E6" s="29" t="s">
        <v>160</v>
      </c>
      <c r="F6" s="26" t="s">
        <v>161</v>
      </c>
      <c r="G6" s="14">
        <v>15</v>
      </c>
      <c r="H6" s="92">
        <f>IF(B$19=0,0,G6/B$19)</f>
        <v>0.25</v>
      </c>
      <c r="I6" s="60">
        <v>10</v>
      </c>
      <c r="K6" s="7">
        <v>4</v>
      </c>
      <c r="L6" s="65">
        <v>112.4</v>
      </c>
      <c r="N6" s="78" t="s">
        <v>132</v>
      </c>
      <c r="O6" s="84">
        <f t="shared" si="0"/>
        <v>4700</v>
      </c>
      <c r="P6" s="81">
        <v>14</v>
      </c>
      <c r="Q6" s="68">
        <v>65800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0.38461538461538464</v>
      </c>
      <c r="E7" s="29" t="s">
        <v>67</v>
      </c>
      <c r="F7" s="26" t="s">
        <v>23</v>
      </c>
      <c r="G7" s="14">
        <v>12</v>
      </c>
      <c r="H7" s="92">
        <f>IF(B$19=0,0,G7/B$19)</f>
        <v>0.2</v>
      </c>
      <c r="I7" s="60">
        <v>7</v>
      </c>
      <c r="K7" s="7">
        <v>5</v>
      </c>
      <c r="L7" s="65">
        <v>140.30000000000001</v>
      </c>
      <c r="N7" s="79" t="s">
        <v>133</v>
      </c>
      <c r="O7" s="85">
        <f t="shared" si="0"/>
        <v>-800</v>
      </c>
      <c r="P7" s="82">
        <v>11</v>
      </c>
      <c r="Q7" s="69">
        <v>-8800</v>
      </c>
    </row>
    <row r="8" spans="1:17" x14ac:dyDescent="0.45">
      <c r="A8" s="21" t="s">
        <v>3</v>
      </c>
      <c r="B8" s="14">
        <v>7</v>
      </c>
      <c r="C8" s="8">
        <f t="shared" si="1"/>
        <v>0.26923076923076922</v>
      </c>
      <c r="E8" s="29" t="s">
        <v>69</v>
      </c>
      <c r="F8" s="26" t="s">
        <v>24</v>
      </c>
      <c r="G8" s="14">
        <v>9</v>
      </c>
      <c r="H8" s="92">
        <f>IF(B$19=0,0,G8/B$19)</f>
        <v>0.15</v>
      </c>
      <c r="I8" s="60">
        <v>2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0.34615384615384615</v>
      </c>
      <c r="E9" s="29" t="s">
        <v>83</v>
      </c>
      <c r="F9" s="26" t="s">
        <v>38</v>
      </c>
      <c r="G9" s="14">
        <v>9</v>
      </c>
      <c r="H9" s="92">
        <f>IF(B$19=0,0,G9/B$19)</f>
        <v>0.15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43.13</v>
      </c>
      <c r="C10" s="114">
        <v>431.3</v>
      </c>
      <c r="E10" s="29" t="s">
        <v>89</v>
      </c>
      <c r="F10" s="26" t="s">
        <v>44</v>
      </c>
      <c r="G10" s="14">
        <v>6</v>
      </c>
      <c r="H10" s="92">
        <f>IF(B$19=0,0,G10/B$19)</f>
        <v>0.1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-7.5</v>
      </c>
      <c r="P10" s="80">
        <v>8</v>
      </c>
      <c r="Q10" s="71">
        <v>-60</v>
      </c>
    </row>
    <row r="11" spans="1:17" x14ac:dyDescent="0.45">
      <c r="A11" s="22" t="s">
        <v>186</v>
      </c>
      <c r="B11" s="113">
        <f>IF(B8=0,0,C11/B8)</f>
        <v>1.9285714285714282</v>
      </c>
      <c r="C11" s="114">
        <v>13.499999999999996</v>
      </c>
      <c r="E11" s="29" t="s">
        <v>65</v>
      </c>
      <c r="F11" s="26" t="s">
        <v>21</v>
      </c>
      <c r="G11" s="14">
        <v>5</v>
      </c>
      <c r="H11" s="92">
        <f>IF(B$19=0,0,G11/B$19)</f>
        <v>8.3333333333333329E-2</v>
      </c>
      <c r="I11" s="60">
        <v>7</v>
      </c>
      <c r="K11" s="7">
        <v>9</v>
      </c>
      <c r="L11" s="65">
        <v>51.600000000000009</v>
      </c>
      <c r="N11" s="78" t="s">
        <v>153</v>
      </c>
      <c r="O11" s="87">
        <f>IF(P11=0,0,Q11/P11)</f>
        <v>3.3749999999999991</v>
      </c>
      <c r="P11" s="81">
        <v>8</v>
      </c>
      <c r="Q11" s="72">
        <v>26.999999999999993</v>
      </c>
    </row>
    <row r="12" spans="1:17" x14ac:dyDescent="0.45">
      <c r="A12" s="22" t="s">
        <v>187</v>
      </c>
      <c r="B12" s="113">
        <f>IF(B9=0,0,C12/B9)</f>
        <v>-39.777777777777779</v>
      </c>
      <c r="C12" s="114">
        <v>-358</v>
      </c>
      <c r="E12" s="29" t="s">
        <v>81</v>
      </c>
      <c r="F12" s="26" t="s">
        <v>36</v>
      </c>
      <c r="G12" s="14">
        <v>4</v>
      </c>
      <c r="H12" s="92">
        <f>IF(B$19=0,0,G12/B$19)</f>
        <v>6.6666666666666666E-2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11.98</v>
      </c>
      <c r="P12" s="82">
        <v>10</v>
      </c>
      <c r="Q12" s="73">
        <v>119.8</v>
      </c>
    </row>
    <row r="13" spans="1:17" x14ac:dyDescent="0.45">
      <c r="A13" s="22" t="s">
        <v>188</v>
      </c>
      <c r="B13" s="123">
        <f>AVERAGE(B10:B12)</f>
        <v>1.7602645502645515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0.05</v>
      </c>
      <c r="I13" s="60">
        <v>8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0.23076923076923078</v>
      </c>
      <c r="E14" s="29" t="s">
        <v>78</v>
      </c>
      <c r="F14" s="26" t="s">
        <v>33</v>
      </c>
      <c r="G14" s="14">
        <v>3</v>
      </c>
      <c r="H14" s="92">
        <f>IF(B$19=0,0,G14/B$19)</f>
        <v>0.05</v>
      </c>
      <c r="I14" s="60">
        <v>2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27</v>
      </c>
      <c r="C15" s="12">
        <f>IF(B$3=0,0,B15/B$3)</f>
        <v>0.14136125654450263</v>
      </c>
      <c r="E15" s="29" t="s">
        <v>71</v>
      </c>
      <c r="F15" s="26" t="s">
        <v>26</v>
      </c>
      <c r="G15" s="14">
        <v>2</v>
      </c>
      <c r="H15" s="92">
        <f>IF(B$19=0,0,G15/B$19)</f>
        <v>3.3333333333333333E-2</v>
      </c>
      <c r="I15" s="60">
        <v>9</v>
      </c>
      <c r="K15" s="7">
        <v>13</v>
      </c>
      <c r="L15" s="65">
        <v>83.1</v>
      </c>
      <c r="N15" s="77" t="s">
        <v>194</v>
      </c>
      <c r="O15" s="86">
        <f t="shared" ref="O15:O20" si="2">IF(P15=0,0,Q15/P15)</f>
        <v>42.581818181818178</v>
      </c>
      <c r="P15" s="80">
        <v>11</v>
      </c>
      <c r="Q15" s="71">
        <v>468.4</v>
      </c>
    </row>
    <row r="16" spans="1:17" x14ac:dyDescent="0.45">
      <c r="A16" s="21" t="s">
        <v>118</v>
      </c>
      <c r="B16" s="14">
        <v>60</v>
      </c>
      <c r="C16" s="8">
        <f>IF(B$3=0,0,B16/B$3)</f>
        <v>0.31413612565445026</v>
      </c>
      <c r="E16" s="29" t="s">
        <v>85</v>
      </c>
      <c r="F16" s="26" t="s">
        <v>40</v>
      </c>
      <c r="G16" s="14">
        <v>2</v>
      </c>
      <c r="H16" s="92">
        <f>IF(B$19=0,0,G16/B$19)</f>
        <v>3.3333333333333333E-2</v>
      </c>
      <c r="I16" s="60">
        <v>1</v>
      </c>
      <c r="K16" s="7">
        <v>14</v>
      </c>
      <c r="L16" s="65">
        <v>89.399999999999991</v>
      </c>
      <c r="N16" s="78" t="s">
        <v>164</v>
      </c>
      <c r="O16" s="87">
        <f t="shared" si="2"/>
        <v>33.971428571428568</v>
      </c>
      <c r="P16" s="81">
        <v>7</v>
      </c>
      <c r="Q16" s="72">
        <v>237.79999999999998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0.62962962962962965</v>
      </c>
      <c r="E17" s="29" t="s">
        <v>75</v>
      </c>
      <c r="F17" s="26" t="s">
        <v>30</v>
      </c>
      <c r="G17" s="14">
        <v>1</v>
      </c>
      <c r="H17" s="92">
        <f>IF(B$19=0,0,G17/B$19)</f>
        <v>1.6666666666666666E-2</v>
      </c>
      <c r="I17" s="60">
        <v>1</v>
      </c>
      <c r="K17" s="7">
        <v>15</v>
      </c>
      <c r="L17" s="65">
        <v>112.6</v>
      </c>
      <c r="N17" s="78" t="s">
        <v>196</v>
      </c>
      <c r="O17" s="87">
        <f t="shared" si="2"/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26</v>
      </c>
      <c r="C18" s="6">
        <f>IF(B$16=0,0,B18/B$16)</f>
        <v>0.43333333333333335</v>
      </c>
      <c r="E18" s="29" t="s">
        <v>88</v>
      </c>
      <c r="F18" s="26" t="s">
        <v>43</v>
      </c>
      <c r="G18" s="14">
        <v>1</v>
      </c>
      <c r="H18" s="92">
        <f>IF(B$19=0,0,G18/B$19)</f>
        <v>1.6666666666666666E-2</v>
      </c>
      <c r="I18" s="60">
        <v>1</v>
      </c>
      <c r="K18" s="7">
        <v>16</v>
      </c>
      <c r="L18" s="65">
        <v>119.3</v>
      </c>
      <c r="N18" s="78" t="s">
        <v>189</v>
      </c>
      <c r="O18" s="87">
        <f t="shared" si="2"/>
        <v>4.2000000000000011</v>
      </c>
      <c r="P18" s="81">
        <v>4</v>
      </c>
      <c r="Q18" s="72">
        <v>16.800000000000004</v>
      </c>
    </row>
    <row r="19" spans="1:17" x14ac:dyDescent="0.45">
      <c r="A19" s="20" t="s">
        <v>10</v>
      </c>
      <c r="B19" s="13">
        <f>B22+B21</f>
        <v>60</v>
      </c>
      <c r="C19" s="6">
        <f>IF(B$3=0,0,B19/B$3)</f>
        <v>0.31413612565445026</v>
      </c>
      <c r="E19" s="29" t="s">
        <v>102</v>
      </c>
      <c r="F19" s="26" t="s">
        <v>57</v>
      </c>
      <c r="G19" s="14">
        <v>1</v>
      </c>
      <c r="H19" s="92">
        <f>IF(B$19=0,0,G19/B$19)</f>
        <v>1.6666666666666666E-2</v>
      </c>
      <c r="I19" s="60">
        <v>1</v>
      </c>
      <c r="K19" s="7">
        <v>17</v>
      </c>
      <c r="L19" s="65">
        <v>71.699999999999989</v>
      </c>
      <c r="N19" s="78" t="s">
        <v>192</v>
      </c>
      <c r="O19" s="87">
        <f t="shared" si="2"/>
        <v>-18.040000000000003</v>
      </c>
      <c r="P19" s="81">
        <v>15</v>
      </c>
      <c r="Q19" s="72">
        <v>-270.60000000000002</v>
      </c>
    </row>
    <row r="20" spans="1:17" x14ac:dyDescent="0.45">
      <c r="A20" s="21" t="s">
        <v>13</v>
      </c>
      <c r="B20" s="14">
        <v>27</v>
      </c>
      <c r="C20" s="8">
        <f>IF(B$3=0,0,B20/B$3)</f>
        <v>0.14136125654450263</v>
      </c>
      <c r="E20" s="29" t="s">
        <v>156</v>
      </c>
      <c r="F20" s="26" t="s">
        <v>157</v>
      </c>
      <c r="G20" s="14">
        <v>1</v>
      </c>
      <c r="H20" s="92">
        <f>IF(B$19=0,0,G20/B$19)</f>
        <v>1.6666666666666666E-2</v>
      </c>
      <c r="I20" s="60">
        <v>2</v>
      </c>
      <c r="K20" s="7">
        <v>18</v>
      </c>
      <c r="L20" s="65">
        <v>45.399999999999991</v>
      </c>
      <c r="N20" s="78" t="s">
        <v>126</v>
      </c>
      <c r="O20" s="87">
        <f t="shared" si="2"/>
        <v>-21.374999999999996</v>
      </c>
      <c r="P20" s="81">
        <v>12</v>
      </c>
      <c r="Q20" s="72">
        <v>-256.49999999999994</v>
      </c>
    </row>
    <row r="21" spans="1:17" x14ac:dyDescent="0.45">
      <c r="A21" s="21" t="s">
        <v>12</v>
      </c>
      <c r="B21" s="14">
        <v>28</v>
      </c>
      <c r="C21" s="8">
        <f>IF(B$19=0,0,B21/B$19)</f>
        <v>0.46666666666666667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32</v>
      </c>
      <c r="C22" s="8">
        <f>IF(B$19=0,0,B22/B$19)</f>
        <v>0.53333333333333333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17</v>
      </c>
      <c r="C23" s="8">
        <f>IF(B$19=0,0,B23/B$19)</f>
        <v>0.28333333333333333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26</v>
      </c>
      <c r="C24" s="8">
        <f>IF(B$19=0,0,B24/B$19)</f>
        <v>0.43333333333333335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17</v>
      </c>
      <c r="C25" s="8">
        <f>IF(B$19=0,0,B25/B$19)</f>
        <v>0.28333333333333333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8308.3333333333339</v>
      </c>
      <c r="C26" s="10">
        <v>498500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9094.1176470588234</v>
      </c>
      <c r="C27" s="100">
        <v>309200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7280.7692307692305</v>
      </c>
      <c r="C28" s="100">
        <v>189300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-7514.8148148148148</v>
      </c>
      <c r="C29" s="100">
        <v>-202900</v>
      </c>
      <c r="E29" s="29" t="s">
        <v>86</v>
      </c>
      <c r="F29" s="26" t="s">
        <v>41</v>
      </c>
      <c r="G29" s="14">
        <v>0</v>
      </c>
      <c r="H29" s="92">
        <f>IF(B$19=0,0,G29/B$19)</f>
        <v>0</v>
      </c>
      <c r="I29" s="60">
        <v>9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27</v>
      </c>
      <c r="C31" s="94">
        <v>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92</v>
      </c>
      <c r="F33" s="26" t="s">
        <v>47</v>
      </c>
      <c r="G33" s="14">
        <v>0</v>
      </c>
      <c r="H33" s="92">
        <f>IF(B$19=0,0,G33/B$19)</f>
        <v>0</v>
      </c>
      <c r="I33" s="60">
        <v>7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6</v>
      </c>
      <c r="C36" s="102">
        <f t="shared" ref="C36:C48" si="3">IF(B$19=0,0,B36/B$19)</f>
        <v>0.1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13</v>
      </c>
      <c r="C37" s="8">
        <f t="shared" si="3"/>
        <v>0.21666666666666667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12</v>
      </c>
      <c r="C38" s="8">
        <f t="shared" si="3"/>
        <v>0.2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</row>
    <row r="39" spans="1:9" x14ac:dyDescent="0.45">
      <c r="A39" s="21" t="s">
        <v>170</v>
      </c>
      <c r="B39" s="122">
        <v>9</v>
      </c>
      <c r="C39" s="8">
        <f t="shared" si="3"/>
        <v>0.15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11</v>
      </c>
      <c r="C40" s="8">
        <f t="shared" si="3"/>
        <v>0.18333333333333332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3"/>
        <v>0.05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3"/>
        <v>0.05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3"/>
        <v>1.6666666666666666E-2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1.6666666666666666E-2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1.6666666666666666E-2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8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7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3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19</v>
      </c>
      <c r="C2" s="132"/>
      <c r="E2" s="28" t="s">
        <v>66</v>
      </c>
      <c r="F2" s="25" t="s">
        <v>22</v>
      </c>
      <c r="G2" s="13">
        <v>47</v>
      </c>
      <c r="H2" s="91">
        <f>IF(B$19=0,0,G2/B$19)</f>
        <v>1.0217391304347827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3247.3684210526317</v>
      </c>
      <c r="P2" s="80">
        <v>19</v>
      </c>
      <c r="Q2" s="67">
        <v>61700</v>
      </c>
    </row>
    <row r="3" spans="1:17" x14ac:dyDescent="0.45">
      <c r="A3" s="21" t="s">
        <v>8</v>
      </c>
      <c r="B3" s="133">
        <v>143</v>
      </c>
      <c r="C3" s="134"/>
      <c r="E3" s="29" t="s">
        <v>72</v>
      </c>
      <c r="F3" s="26" t="s">
        <v>27</v>
      </c>
      <c r="G3" s="14">
        <v>32</v>
      </c>
      <c r="H3" s="92">
        <f>IF(B$19=0,0,G3/B$19)</f>
        <v>0.69565217391304346</v>
      </c>
      <c r="I3" s="60">
        <v>2</v>
      </c>
      <c r="K3" s="7">
        <v>1</v>
      </c>
      <c r="L3" s="65">
        <v>68.2</v>
      </c>
      <c r="N3" s="78" t="s">
        <v>129</v>
      </c>
      <c r="O3" s="84">
        <f t="shared" si="0"/>
        <v>-6794.4444444444443</v>
      </c>
      <c r="P3" s="81">
        <v>18</v>
      </c>
      <c r="Q3" s="68">
        <v>-122300</v>
      </c>
    </row>
    <row r="4" spans="1:17" x14ac:dyDescent="0.45">
      <c r="A4" s="21" t="s">
        <v>6</v>
      </c>
      <c r="B4" s="135">
        <v>-67.600000000000009</v>
      </c>
      <c r="C4" s="136"/>
      <c r="E4" s="29" t="s">
        <v>64</v>
      </c>
      <c r="F4" s="26" t="s">
        <v>20</v>
      </c>
      <c r="G4" s="14">
        <v>14</v>
      </c>
      <c r="H4" s="92">
        <f>IF(B$19=0,0,G4/B$19)</f>
        <v>0.30434782608695654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-364.70588235294116</v>
      </c>
      <c r="P4" s="81">
        <v>17</v>
      </c>
      <c r="Q4" s="68">
        <v>-6200</v>
      </c>
    </row>
    <row r="5" spans="1:17" x14ac:dyDescent="0.45">
      <c r="A5" s="21" t="s">
        <v>7</v>
      </c>
      <c r="B5" s="123">
        <f>IF(B$2=0,0,B$4/B$2)</f>
        <v>-3.5578947368421057</v>
      </c>
      <c r="C5" s="124"/>
      <c r="E5" s="29" t="s">
        <v>160</v>
      </c>
      <c r="F5" s="26" t="s">
        <v>161</v>
      </c>
      <c r="G5" s="14">
        <v>13</v>
      </c>
      <c r="H5" s="92">
        <f>IF(B$19=0,0,G5/B$19)</f>
        <v>0.28260869565217389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-1985.7142857142858</v>
      </c>
      <c r="P5" s="81">
        <v>14</v>
      </c>
      <c r="Q5" s="68">
        <v>-27800</v>
      </c>
    </row>
    <row r="6" spans="1:17" x14ac:dyDescent="0.45">
      <c r="A6" s="21" t="s">
        <v>1</v>
      </c>
      <c r="B6" s="137">
        <f>IF(B$2=0,0,(B$7*1+B$8*2+B$9*3)/B$2)</f>
        <v>2.1052631578947367</v>
      </c>
      <c r="C6" s="138"/>
      <c r="E6" s="29" t="s">
        <v>89</v>
      </c>
      <c r="F6" s="26" t="s">
        <v>44</v>
      </c>
      <c r="G6" s="14">
        <v>10</v>
      </c>
      <c r="H6" s="92">
        <f>IF(B$19=0,0,G6/B$19)</f>
        <v>0.21739130434782608</v>
      </c>
      <c r="I6" s="60">
        <v>1</v>
      </c>
      <c r="K6" s="7">
        <v>4</v>
      </c>
      <c r="L6" s="65">
        <v>-41.199999999999996</v>
      </c>
      <c r="N6" s="78" t="s">
        <v>132</v>
      </c>
      <c r="O6" s="84">
        <f t="shared" si="0"/>
        <v>923.07692307692309</v>
      </c>
      <c r="P6" s="81">
        <v>13</v>
      </c>
      <c r="Q6" s="68">
        <v>12000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0.31578947368421051</v>
      </c>
      <c r="E7" s="29" t="s">
        <v>68</v>
      </c>
      <c r="F7" s="26" t="s">
        <v>12</v>
      </c>
      <c r="G7" s="14">
        <v>9</v>
      </c>
      <c r="H7" s="92">
        <f>IF(B$19=0,0,G7/B$19)</f>
        <v>0.19565217391304349</v>
      </c>
      <c r="I7" s="60">
        <v>10</v>
      </c>
      <c r="K7" s="7">
        <v>5</v>
      </c>
      <c r="L7" s="65">
        <v>-72.899999999999991</v>
      </c>
      <c r="N7" s="79" t="s">
        <v>133</v>
      </c>
      <c r="O7" s="85">
        <f t="shared" si="0"/>
        <v>-2360</v>
      </c>
      <c r="P7" s="82">
        <v>10</v>
      </c>
      <c r="Q7" s="69">
        <v>-23600</v>
      </c>
    </row>
    <row r="8" spans="1:17" x14ac:dyDescent="0.45">
      <c r="A8" s="21" t="s">
        <v>3</v>
      </c>
      <c r="B8" s="14">
        <v>5</v>
      </c>
      <c r="C8" s="8">
        <f t="shared" si="1"/>
        <v>0.26315789473684209</v>
      </c>
      <c r="E8" s="29" t="s">
        <v>67</v>
      </c>
      <c r="F8" s="26" t="s">
        <v>23</v>
      </c>
      <c r="G8" s="14">
        <v>7</v>
      </c>
      <c r="H8" s="92">
        <f>IF(B$19=0,0,G8/B$19)</f>
        <v>0.15217391304347827</v>
      </c>
      <c r="I8" s="60">
        <v>10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0.42105263157894735</v>
      </c>
      <c r="E9" s="29" t="s">
        <v>70</v>
      </c>
      <c r="F9" s="26" t="s">
        <v>25</v>
      </c>
      <c r="G9" s="14">
        <v>7</v>
      </c>
      <c r="H9" s="92">
        <f>IF(B$19=0,0,G9/B$19)</f>
        <v>0.15217391304347827</v>
      </c>
      <c r="I9" s="60">
        <v>1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42.18333333333333</v>
      </c>
      <c r="C10" s="114">
        <v>253.1</v>
      </c>
      <c r="E10" s="29" t="s">
        <v>69</v>
      </c>
      <c r="F10" s="26" t="s">
        <v>24</v>
      </c>
      <c r="G10" s="14">
        <v>6</v>
      </c>
      <c r="H10" s="92">
        <f>IF(B$19=0,0,G10/B$19)</f>
        <v>0.13043478260869565</v>
      </c>
      <c r="I10" s="60">
        <v>3</v>
      </c>
      <c r="K10" s="7">
        <v>8</v>
      </c>
      <c r="L10" s="65">
        <v>-128.6</v>
      </c>
      <c r="N10" s="77" t="s">
        <v>152</v>
      </c>
      <c r="O10" s="86">
        <f>IF(P10=0,0,Q10/P10)</f>
        <v>-1.0124999999999997</v>
      </c>
      <c r="P10" s="80">
        <v>8</v>
      </c>
      <c r="Q10" s="71">
        <v>-8.0999999999999979</v>
      </c>
    </row>
    <row r="11" spans="1:17" x14ac:dyDescent="0.45">
      <c r="A11" s="22" t="s">
        <v>186</v>
      </c>
      <c r="B11" s="113">
        <f>IF(B8=0,0,C11/B8)</f>
        <v>-1.72</v>
      </c>
      <c r="C11" s="114">
        <v>-8.6</v>
      </c>
      <c r="E11" s="29" t="s">
        <v>83</v>
      </c>
      <c r="F11" s="26" t="s">
        <v>38</v>
      </c>
      <c r="G11" s="14">
        <v>5</v>
      </c>
      <c r="H11" s="92">
        <f>IF(B$19=0,0,G11/B$19)</f>
        <v>0.10869565217391304</v>
      </c>
      <c r="I11" s="60">
        <v>2</v>
      </c>
      <c r="K11" s="7">
        <v>9</v>
      </c>
      <c r="L11" s="65">
        <v>-120</v>
      </c>
      <c r="N11" s="78" t="s">
        <v>153</v>
      </c>
      <c r="O11" s="87">
        <f>IF(P11=0,0,Q11/P11)</f>
        <v>5.26</v>
      </c>
      <c r="P11" s="81">
        <v>5</v>
      </c>
      <c r="Q11" s="72">
        <v>26.299999999999997</v>
      </c>
    </row>
    <row r="12" spans="1:17" x14ac:dyDescent="0.45">
      <c r="A12" s="22" t="s">
        <v>187</v>
      </c>
      <c r="B12" s="113">
        <f>IF(B9=0,0,C12/B9)</f>
        <v>-39.012500000000003</v>
      </c>
      <c r="C12" s="114">
        <v>-312.10000000000002</v>
      </c>
      <c r="E12" s="29" t="s">
        <v>65</v>
      </c>
      <c r="F12" s="26" t="s">
        <v>21</v>
      </c>
      <c r="G12" s="14">
        <v>3</v>
      </c>
      <c r="H12" s="92">
        <f>IF(B$19=0,0,G12/B$19)</f>
        <v>6.5217391304347824E-2</v>
      </c>
      <c r="I12" s="60">
        <v>10</v>
      </c>
      <c r="K12" s="7">
        <v>10</v>
      </c>
      <c r="L12" s="65">
        <v>-112.8</v>
      </c>
      <c r="N12" s="79" t="s">
        <v>154</v>
      </c>
      <c r="O12" s="88">
        <f>IF(P12=0,0,Q12/P12)</f>
        <v>-14.299999999999999</v>
      </c>
      <c r="P12" s="82">
        <v>6</v>
      </c>
      <c r="Q12" s="73">
        <v>-85.8</v>
      </c>
    </row>
    <row r="13" spans="1:17" x14ac:dyDescent="0.45">
      <c r="A13" s="22" t="s">
        <v>188</v>
      </c>
      <c r="B13" s="123">
        <f>AVERAGE(B10:B12)</f>
        <v>0.48361111111110944</v>
      </c>
      <c r="C13" s="124"/>
      <c r="E13" s="29" t="s">
        <v>71</v>
      </c>
      <c r="F13" s="26" t="s">
        <v>26</v>
      </c>
      <c r="G13" s="14">
        <v>3</v>
      </c>
      <c r="H13" s="92">
        <f>IF(B$19=0,0,G13/B$19)</f>
        <v>6.5217391304347824E-2</v>
      </c>
      <c r="I13" s="60">
        <v>6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0.15789473684210525</v>
      </c>
      <c r="E14" s="29" t="s">
        <v>78</v>
      </c>
      <c r="F14" s="26" t="s">
        <v>33</v>
      </c>
      <c r="G14" s="14">
        <v>3</v>
      </c>
      <c r="H14" s="92">
        <f>IF(B$19=0,0,G14/B$19)</f>
        <v>6.5217391304347824E-2</v>
      </c>
      <c r="I14" s="60">
        <v>1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26</v>
      </c>
      <c r="C15" s="12">
        <f>IF(B$3=0,0,B15/B$3)</f>
        <v>0.18181818181818182</v>
      </c>
      <c r="E15" s="29" t="s">
        <v>86</v>
      </c>
      <c r="F15" s="26" t="s">
        <v>41</v>
      </c>
      <c r="G15" s="14">
        <v>2</v>
      </c>
      <c r="H15" s="92">
        <f>IF(B$19=0,0,G15/B$19)</f>
        <v>4.3478260869565216E-2</v>
      </c>
      <c r="I15" s="60">
        <v>6</v>
      </c>
      <c r="K15" s="7">
        <v>13</v>
      </c>
      <c r="L15" s="65">
        <v>-63.4</v>
      </c>
      <c r="N15" s="77" t="s">
        <v>164</v>
      </c>
      <c r="O15" s="86">
        <f>IF(P15=0,0,Q15/P15)</f>
        <v>9.1857142857142833</v>
      </c>
      <c r="P15" s="80">
        <v>7</v>
      </c>
      <c r="Q15" s="71">
        <v>64.299999999999983</v>
      </c>
    </row>
    <row r="16" spans="1:17" x14ac:dyDescent="0.45">
      <c r="A16" s="21" t="s">
        <v>118</v>
      </c>
      <c r="B16" s="14">
        <v>44</v>
      </c>
      <c r="C16" s="8">
        <f>IF(B$3=0,0,B16/B$3)</f>
        <v>0.30769230769230771</v>
      </c>
      <c r="E16" s="29" t="s">
        <v>81</v>
      </c>
      <c r="F16" s="26" t="s">
        <v>36</v>
      </c>
      <c r="G16" s="14">
        <v>1</v>
      </c>
      <c r="H16" s="92">
        <f>IF(B$19=0,0,G16/B$19)</f>
        <v>2.1739130434782608E-2</v>
      </c>
      <c r="I16" s="60">
        <v>5</v>
      </c>
      <c r="K16" s="7">
        <v>14</v>
      </c>
      <c r="L16" s="65">
        <v>-42.4</v>
      </c>
      <c r="N16" s="78" t="s">
        <v>192</v>
      </c>
      <c r="O16" s="87">
        <f>IF(P16=0,0,Q16/P16)</f>
        <v>-0.53750000000000053</v>
      </c>
      <c r="P16" s="81">
        <v>8</v>
      </c>
      <c r="Q16" s="72">
        <v>-4.3000000000000043</v>
      </c>
    </row>
    <row r="17" spans="1:17" x14ac:dyDescent="0.45">
      <c r="A17" s="20" t="s">
        <v>123</v>
      </c>
      <c r="B17" s="13">
        <f>B23</f>
        <v>15</v>
      </c>
      <c r="C17" s="6">
        <f>IF(B$15=0,0,B17/B$15)</f>
        <v>0.57692307692307687</v>
      </c>
      <c r="E17" s="29" t="s">
        <v>92</v>
      </c>
      <c r="F17" s="26" t="s">
        <v>47</v>
      </c>
      <c r="G17" s="14">
        <v>1</v>
      </c>
      <c r="H17" s="92">
        <f>IF(B$19=0,0,G17/B$19)</f>
        <v>2.1739130434782608E-2</v>
      </c>
      <c r="I17" s="60">
        <v>2</v>
      </c>
      <c r="K17" s="7">
        <v>15</v>
      </c>
      <c r="L17" s="65">
        <v>-65.7</v>
      </c>
      <c r="N17" s="78" t="s">
        <v>126</v>
      </c>
      <c r="O17" s="87">
        <f>IF(P17=0,0,Q17/P17)</f>
        <v>-5.9562500000000025</v>
      </c>
      <c r="P17" s="81">
        <v>16</v>
      </c>
      <c r="Q17" s="72">
        <v>-95.30000000000004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0.29545454545454547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4</v>
      </c>
      <c r="K18" s="7">
        <v>16</v>
      </c>
      <c r="L18" s="65">
        <v>-104.80000000000001</v>
      </c>
      <c r="N18" s="78" t="s">
        <v>194</v>
      </c>
      <c r="O18" s="87">
        <f>IF(P18=0,0,Q18/P18)</f>
        <v>-18.3</v>
      </c>
      <c r="P18" s="81">
        <v>6</v>
      </c>
      <c r="Q18" s="72">
        <v>-109.8</v>
      </c>
    </row>
    <row r="19" spans="1:17" x14ac:dyDescent="0.45">
      <c r="A19" s="20" t="s">
        <v>10</v>
      </c>
      <c r="B19" s="13">
        <f>B22+B21</f>
        <v>46</v>
      </c>
      <c r="C19" s="6">
        <f>IF(B$3=0,0,B19/B$3)</f>
        <v>0.32167832167832167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K19" s="7">
        <v>17</v>
      </c>
      <c r="L19" s="65">
        <v>-52.900000000000013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31</v>
      </c>
      <c r="C20" s="8">
        <f>IF(B$3=0,0,B20/B$3)</f>
        <v>0.21678321678321677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</row>
    <row r="21" spans="1:17" x14ac:dyDescent="0.45">
      <c r="A21" s="21" t="s">
        <v>12</v>
      </c>
      <c r="B21" s="14">
        <v>17</v>
      </c>
      <c r="C21" s="8">
        <f>IF(B$19=0,0,B21/B$19)</f>
        <v>0.36956521739130432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</row>
    <row r="22" spans="1:17" x14ac:dyDescent="0.45">
      <c r="A22" s="21" t="s">
        <v>11</v>
      </c>
      <c r="B22" s="14">
        <v>29</v>
      </c>
      <c r="C22" s="8">
        <f>IF(B$19=0,0,B22/B$19)</f>
        <v>0.63043478260869568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4</v>
      </c>
    </row>
    <row r="23" spans="1:17" x14ac:dyDescent="0.45">
      <c r="A23" s="21" t="s">
        <v>184</v>
      </c>
      <c r="B23" s="14">
        <v>15</v>
      </c>
      <c r="C23" s="8">
        <f>IF(B$19=0,0,B23/B$19)</f>
        <v>0.32608695652173914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6</v>
      </c>
    </row>
    <row r="24" spans="1:17" x14ac:dyDescent="0.45">
      <c r="A24" s="21" t="s">
        <v>182</v>
      </c>
      <c r="B24" s="14">
        <v>13</v>
      </c>
      <c r="C24" s="8">
        <f>IF(B$19=0,0,B24/B$19)</f>
        <v>0.28260869565217389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18</v>
      </c>
      <c r="C25" s="8">
        <f>IF(B$19=0,0,B25/B$19)</f>
        <v>0.39130434782608697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9676.0869565217399</v>
      </c>
      <c r="C26" s="10">
        <v>445100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9548.484848484848</v>
      </c>
      <c r="C27" s="100">
        <v>315100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10000</v>
      </c>
      <c r="C28" s="100">
        <v>130000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</row>
    <row r="29" spans="1:17" x14ac:dyDescent="0.45">
      <c r="A29" s="22" t="s">
        <v>165</v>
      </c>
      <c r="B29" s="99">
        <f>IF(B$20=0,0,C29/B$20)</f>
        <v>-9551.6129032258068</v>
      </c>
      <c r="C29" s="100">
        <v>-296100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10</v>
      </c>
      <c r="C31" s="94">
        <v>0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5</v>
      </c>
      <c r="C36" s="102">
        <f t="shared" ref="C36:C48" si="2">IF(B$19=0,0,B36/B$19)</f>
        <v>0.10869565217391304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11</v>
      </c>
      <c r="C37" s="8">
        <f t="shared" si="2"/>
        <v>0.2391304347826087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8.6956521739130432E-2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8</v>
      </c>
      <c r="C39" s="8">
        <f t="shared" si="2"/>
        <v>0.17391304347826086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5</v>
      </c>
      <c r="C40" s="8">
        <f t="shared" si="2"/>
        <v>0.10869565217391304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8.6956521739130432E-2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3</v>
      </c>
      <c r="C42" s="8">
        <f t="shared" si="2"/>
        <v>6.5217391304347824E-2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4.3478260869565216E-2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2.1739130434782608E-2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4.3478260869565216E-2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2.1739130434782608E-2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5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3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2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2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4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2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6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4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8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2020-06-19T04:18:48Z</dcterms:modified>
</cp:coreProperties>
</file>