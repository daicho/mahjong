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BFBD200-8A87-4611-A25E-0001B3B4CAD2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70" r:id="rId6"/>
    <sheet name="れんたろう" sheetId="6272" r:id="rId7"/>
    <sheet name="ともき" sheetId="6274" r:id="rId8"/>
    <sheet name="だいち" sheetId="6276" r:id="rId9"/>
    <sheet name="りくと" sheetId="6278" r:id="rId10"/>
    <sheet name="まっつん" sheetId="6280" r:id="rId11"/>
    <sheet name="たかの" sheetId="6282" r:id="rId12"/>
    <sheet name="のり" sheetId="6284" r:id="rId13"/>
    <sheet name="ただ" sheetId="6286" r:id="rId14"/>
    <sheet name="ぱぱ" sheetId="6288" r:id="rId15"/>
    <sheet name="てんちゃん" sheetId="6290" r:id="rId16"/>
    <sheet name="いちかわ" sheetId="6292" r:id="rId17"/>
    <sheet name="いちかわ2" sheetId="6293" state="hidden" r:id="rId18"/>
    <sheet name="てんちゃん2" sheetId="6291" state="hidden" r:id="rId19"/>
    <sheet name="ぱぱ2" sheetId="6289" state="hidden" r:id="rId20"/>
    <sheet name="ただ2" sheetId="6287" state="hidden" r:id="rId21"/>
    <sheet name="のり2" sheetId="6285" state="hidden" r:id="rId22"/>
    <sheet name="たかの2" sheetId="6283" state="hidden" r:id="rId23"/>
    <sheet name="まっつん2" sheetId="6281" state="hidden" r:id="rId24"/>
    <sheet name="りくと2" sheetId="6279" state="hidden" r:id="rId25"/>
    <sheet name="だいち2" sheetId="6277" state="hidden" r:id="rId26"/>
    <sheet name="ともき2" sheetId="6275" state="hidden" r:id="rId27"/>
    <sheet name="れんたろう2" sheetId="6273" state="hidden" r:id="rId28"/>
    <sheet name="全体2" sheetId="6271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292" l="1"/>
  <c r="O18" i="6276"/>
  <c r="O16" i="6280" l="1"/>
  <c r="O18" i="6292"/>
  <c r="O16" i="6292" l="1"/>
  <c r="O15" i="6292"/>
  <c r="C34" i="6292"/>
  <c r="B29" i="6292"/>
  <c r="C20" i="6292"/>
  <c r="B19" i="6292"/>
  <c r="H52" i="6292" s="1"/>
  <c r="C18" i="6292"/>
  <c r="B18" i="6292"/>
  <c r="B28" i="6292" s="1"/>
  <c r="B17" i="6292"/>
  <c r="C17" i="6292" s="1"/>
  <c r="C16" i="6292"/>
  <c r="C15" i="6292"/>
  <c r="C14" i="6292"/>
  <c r="O12" i="6292"/>
  <c r="B12" i="6292"/>
  <c r="O11" i="6292"/>
  <c r="B11" i="6292"/>
  <c r="O10" i="6292"/>
  <c r="B10" i="6292"/>
  <c r="C9" i="6292"/>
  <c r="C8" i="6292"/>
  <c r="O7" i="6292"/>
  <c r="C7" i="6292"/>
  <c r="O6" i="6292"/>
  <c r="B6" i="6292"/>
  <c r="O5" i="6292"/>
  <c r="B5" i="6292"/>
  <c r="O4" i="6292"/>
  <c r="O3" i="6292"/>
  <c r="O2" i="6292"/>
  <c r="O18" i="6282"/>
  <c r="O16" i="6272"/>
  <c r="O16" i="6270"/>
  <c r="C38" i="6292" l="1"/>
  <c r="B13" i="6292"/>
  <c r="H26" i="6292"/>
  <c r="H46" i="6292"/>
  <c r="H4" i="6292"/>
  <c r="H22" i="6292"/>
  <c r="H40" i="6292"/>
  <c r="C40" i="6292"/>
  <c r="C47" i="6292"/>
  <c r="C44" i="6292"/>
  <c r="H33" i="6292"/>
  <c r="H19" i="6292"/>
  <c r="H2" i="6292"/>
  <c r="H48" i="6292"/>
  <c r="C19" i="6292"/>
  <c r="H34" i="6292"/>
  <c r="C42" i="6292"/>
  <c r="H14" i="6292"/>
  <c r="H12" i="6292"/>
  <c r="H11" i="6292"/>
  <c r="H23" i="6292"/>
  <c r="B27" i="6292"/>
  <c r="H42" i="6292"/>
  <c r="H8" i="6292"/>
  <c r="H20" i="6292"/>
  <c r="C21" i="6292"/>
  <c r="H13" i="6292"/>
  <c r="H36" i="6292"/>
  <c r="C48" i="6292"/>
  <c r="H5" i="6292"/>
  <c r="H29" i="6292"/>
  <c r="C36" i="6292"/>
  <c r="C43" i="6292"/>
  <c r="H51" i="6292"/>
  <c r="H30" i="6292"/>
  <c r="C39" i="6292"/>
  <c r="H10" i="6292"/>
  <c r="C25" i="6292"/>
  <c r="C46" i="6292"/>
  <c r="H27" i="6292"/>
  <c r="H15" i="6292"/>
  <c r="H35" i="6292"/>
  <c r="H3" i="6292"/>
  <c r="H24" i="6292"/>
  <c r="H9" i="6292"/>
  <c r="H17" i="6292"/>
  <c r="C23" i="6292"/>
  <c r="H38" i="6292"/>
  <c r="H44" i="6292"/>
  <c r="H6" i="6292"/>
  <c r="H18" i="6292"/>
  <c r="H21" i="6292"/>
  <c r="C22" i="6292"/>
  <c r="B26" i="6292"/>
  <c r="H31" i="6292"/>
  <c r="H37" i="6292"/>
  <c r="H41" i="6292"/>
  <c r="H45" i="6292"/>
  <c r="H49" i="6292"/>
  <c r="H25" i="6292"/>
  <c r="H28" i="6292"/>
  <c r="H32" i="6292"/>
  <c r="C37" i="6292"/>
  <c r="C41" i="6292"/>
  <c r="C45" i="6292"/>
  <c r="H50" i="6292"/>
  <c r="H7" i="6292"/>
  <c r="H16" i="6292"/>
  <c r="C24" i="6292"/>
  <c r="H39" i="6292"/>
  <c r="H43" i="6292"/>
  <c r="H47" i="6292"/>
  <c r="O18" i="6290" l="1"/>
  <c r="O15" i="6280"/>
  <c r="O16" i="6290"/>
  <c r="O16" i="6278"/>
  <c r="O15" i="6290"/>
  <c r="O17" i="6290"/>
  <c r="C34" i="6290"/>
  <c r="B29" i="6290"/>
  <c r="C20" i="6290"/>
  <c r="B19" i="6290"/>
  <c r="H50" i="6290" s="1"/>
  <c r="B18" i="6290"/>
  <c r="B28" i="6290" s="1"/>
  <c r="B17" i="6290"/>
  <c r="C17" i="6290" s="1"/>
  <c r="C16" i="6290"/>
  <c r="C15" i="6290"/>
  <c r="C14" i="6290"/>
  <c r="O12" i="6290"/>
  <c r="B12" i="6290"/>
  <c r="O11" i="6290"/>
  <c r="B11" i="6290"/>
  <c r="O10" i="6290"/>
  <c r="B10" i="6290"/>
  <c r="C9" i="6290"/>
  <c r="C8" i="6290"/>
  <c r="O7" i="6290"/>
  <c r="C7" i="6290"/>
  <c r="O6" i="6290"/>
  <c r="B6" i="6290"/>
  <c r="O5" i="6290"/>
  <c r="B5" i="6290"/>
  <c r="O4" i="6290"/>
  <c r="O3" i="6290"/>
  <c r="O2" i="6290"/>
  <c r="O17" i="6286"/>
  <c r="O15" i="6276"/>
  <c r="O15" i="6270"/>
  <c r="B13" i="6290" l="1"/>
  <c r="H8" i="6290"/>
  <c r="C22" i="6290"/>
  <c r="H37" i="6290"/>
  <c r="H16" i="6290"/>
  <c r="H41" i="6290"/>
  <c r="H42" i="6290"/>
  <c r="H2" i="6290"/>
  <c r="C23" i="6290"/>
  <c r="C42" i="6290"/>
  <c r="C46" i="6290"/>
  <c r="C36" i="6290"/>
  <c r="H22" i="6290"/>
  <c r="H13" i="6290"/>
  <c r="H28" i="6290"/>
  <c r="H9" i="6290"/>
  <c r="H19" i="6290"/>
  <c r="H36" i="6290"/>
  <c r="B27" i="6290"/>
  <c r="C18" i="6290"/>
  <c r="H47" i="6290"/>
  <c r="H48" i="6290"/>
  <c r="H17" i="6290"/>
  <c r="H30" i="6290"/>
  <c r="H38" i="6290"/>
  <c r="H43" i="6290"/>
  <c r="C48" i="6290"/>
  <c r="H49" i="6290"/>
  <c r="H24" i="6290"/>
  <c r="C24" i="6290"/>
  <c r="C38" i="6290"/>
  <c r="H3" i="6290"/>
  <c r="H12" i="6290"/>
  <c r="H18" i="6290"/>
  <c r="C25" i="6290"/>
  <c r="H39" i="6290"/>
  <c r="C44" i="6290"/>
  <c r="H51" i="6290"/>
  <c r="H14" i="6290"/>
  <c r="H20" i="6290"/>
  <c r="H33" i="6290"/>
  <c r="H26" i="6290"/>
  <c r="H34" i="6290"/>
  <c r="H40" i="6290"/>
  <c r="H45" i="6290"/>
  <c r="H5" i="6290"/>
  <c r="H10" i="6290"/>
  <c r="C19" i="6290"/>
  <c r="H31" i="6290"/>
  <c r="H44" i="6290"/>
  <c r="H6" i="6290"/>
  <c r="H7" i="6290"/>
  <c r="H4" i="6290"/>
  <c r="H15" i="6290"/>
  <c r="C21" i="6290"/>
  <c r="B26" i="6290"/>
  <c r="C40" i="6290"/>
  <c r="H46" i="6290"/>
  <c r="H52" i="6290"/>
  <c r="H11" i="6290"/>
  <c r="H21" i="6290"/>
  <c r="H25" i="6290"/>
  <c r="H29" i="6290"/>
  <c r="H35" i="6290"/>
  <c r="C39" i="6290"/>
  <c r="C43" i="6290"/>
  <c r="C47" i="6290"/>
  <c r="H23" i="6290"/>
  <c r="H27" i="6290"/>
  <c r="H32" i="6290"/>
  <c r="C37" i="6290"/>
  <c r="C41" i="6290"/>
  <c r="C45" i="6290"/>
  <c r="O15" i="6282" l="1"/>
  <c r="O20" i="6286"/>
  <c r="O21" i="6272" l="1"/>
  <c r="O17" i="6284"/>
  <c r="O15" i="6288" l="1"/>
  <c r="O16" i="6288"/>
  <c r="C34" i="6288"/>
  <c r="B29" i="6288"/>
  <c r="C20" i="6288"/>
  <c r="B19" i="6288"/>
  <c r="H50" i="6288" s="1"/>
  <c r="B18" i="6288"/>
  <c r="B28" i="6288" s="1"/>
  <c r="B17" i="6288"/>
  <c r="C17" i="6288" s="1"/>
  <c r="C16" i="6288"/>
  <c r="C15" i="6288"/>
  <c r="C14" i="6288"/>
  <c r="O12" i="6288"/>
  <c r="B12" i="6288"/>
  <c r="O11" i="6288"/>
  <c r="B11" i="6288"/>
  <c r="O10" i="6288"/>
  <c r="B10" i="6288"/>
  <c r="C9" i="6288"/>
  <c r="C8" i="6288"/>
  <c r="O7" i="6288"/>
  <c r="C7" i="6288"/>
  <c r="O6" i="6288"/>
  <c r="B6" i="6288"/>
  <c r="O5" i="6288"/>
  <c r="B5" i="6288"/>
  <c r="O4" i="6288"/>
  <c r="O3" i="6288"/>
  <c r="O2" i="6288"/>
  <c r="O23" i="6276"/>
  <c r="O17" i="6272"/>
  <c r="O19" i="6270"/>
  <c r="C18" i="6288" l="1"/>
  <c r="H16" i="6288"/>
  <c r="H37" i="6288"/>
  <c r="H3" i="6288"/>
  <c r="C42" i="6288"/>
  <c r="H41" i="6288"/>
  <c r="C22" i="6288"/>
  <c r="B27" i="6288"/>
  <c r="H9" i="6288"/>
  <c r="H42" i="6288"/>
  <c r="C23" i="6288"/>
  <c r="H14" i="6288"/>
  <c r="C46" i="6288"/>
  <c r="H47" i="6288"/>
  <c r="H21" i="6288"/>
  <c r="H19" i="6288"/>
  <c r="H36" i="6288"/>
  <c r="H24" i="6288"/>
  <c r="C36" i="6288"/>
  <c r="B13" i="6288"/>
  <c r="H48" i="6288"/>
  <c r="H2" i="6288"/>
  <c r="H20" i="6288"/>
  <c r="H30" i="6288"/>
  <c r="H38" i="6288"/>
  <c r="H43" i="6288"/>
  <c r="C48" i="6288"/>
  <c r="H49" i="6288"/>
  <c r="H26" i="6288"/>
  <c r="C24" i="6288"/>
  <c r="C38" i="6288"/>
  <c r="H8" i="6288"/>
  <c r="H4" i="6288"/>
  <c r="H15" i="6288"/>
  <c r="H12" i="6288"/>
  <c r="H22" i="6288"/>
  <c r="H33" i="6288"/>
  <c r="H39" i="6288"/>
  <c r="C44" i="6288"/>
  <c r="H51" i="6288"/>
  <c r="H17" i="6288"/>
  <c r="C25" i="6288"/>
  <c r="H27" i="6288"/>
  <c r="H34" i="6288"/>
  <c r="H40" i="6288"/>
  <c r="H45" i="6288"/>
  <c r="H7" i="6288"/>
  <c r="H10" i="6288"/>
  <c r="C19" i="6288"/>
  <c r="H31" i="6288"/>
  <c r="H44" i="6288"/>
  <c r="H6" i="6288"/>
  <c r="H5" i="6288"/>
  <c r="H18" i="6288"/>
  <c r="C21" i="6288"/>
  <c r="B26" i="6288"/>
  <c r="C40" i="6288"/>
  <c r="H46" i="6288"/>
  <c r="H52" i="6288"/>
  <c r="H11" i="6288"/>
  <c r="H23" i="6288"/>
  <c r="H13" i="6288"/>
  <c r="H29" i="6288"/>
  <c r="H35" i="6288"/>
  <c r="C39" i="6288"/>
  <c r="C43" i="6288"/>
  <c r="C47" i="6288"/>
  <c r="H25" i="6288"/>
  <c r="H28" i="6288"/>
  <c r="H32" i="6288"/>
  <c r="C37" i="6288"/>
  <c r="C41" i="6288"/>
  <c r="C45" i="6288"/>
  <c r="O17" i="6278" l="1"/>
  <c r="O16" i="6286"/>
  <c r="O16" i="6274"/>
  <c r="O20" i="6282"/>
  <c r="O21" i="6286" l="1"/>
  <c r="O15" i="6274"/>
  <c r="O18" i="6286"/>
  <c r="O18" i="6272"/>
  <c r="O17" i="6280" l="1"/>
  <c r="O17" i="6274"/>
  <c r="O22" i="6276"/>
  <c r="O20" i="6280"/>
  <c r="O20" i="6270"/>
  <c r="O19" i="6286"/>
  <c r="O15" i="6286"/>
  <c r="C34" i="6286"/>
  <c r="B29" i="6286"/>
  <c r="C20" i="6286"/>
  <c r="B19" i="6286"/>
  <c r="H50" i="6286" s="1"/>
  <c r="B18" i="6286"/>
  <c r="B28" i="6286" s="1"/>
  <c r="B17" i="6286"/>
  <c r="C17" i="6286" s="1"/>
  <c r="C16" i="6286"/>
  <c r="C15" i="6286"/>
  <c r="C14" i="6286"/>
  <c r="O12" i="6286"/>
  <c r="B12" i="6286"/>
  <c r="O11" i="6286"/>
  <c r="B11" i="6286"/>
  <c r="O10" i="6286"/>
  <c r="B10" i="6286"/>
  <c r="C9" i="6286"/>
  <c r="C8" i="6286"/>
  <c r="O7" i="6286"/>
  <c r="C7" i="6286"/>
  <c r="O6" i="6286"/>
  <c r="B6" i="6286"/>
  <c r="O5" i="6286"/>
  <c r="B5" i="6286"/>
  <c r="O4" i="6286"/>
  <c r="O3" i="6286"/>
  <c r="O2" i="6286"/>
  <c r="B13" i="6286" l="1"/>
  <c r="H24" i="6286"/>
  <c r="H10" i="6286"/>
  <c r="C18" i="6286"/>
  <c r="H17" i="6286"/>
  <c r="H7" i="6286"/>
  <c r="B27" i="6286"/>
  <c r="H8" i="6286"/>
  <c r="C40" i="6286"/>
  <c r="H41" i="6286"/>
  <c r="H42" i="6286"/>
  <c r="H3" i="6286"/>
  <c r="H5" i="6286"/>
  <c r="C22" i="6286"/>
  <c r="B26" i="6286"/>
  <c r="H43" i="6286"/>
  <c r="C46" i="6286"/>
  <c r="H21" i="6286"/>
  <c r="H46" i="6286"/>
  <c r="H2" i="6286"/>
  <c r="C21" i="6286"/>
  <c r="H47" i="6286"/>
  <c r="H9" i="6286"/>
  <c r="H19" i="6286"/>
  <c r="H36" i="6286"/>
  <c r="H15" i="6286"/>
  <c r="C36" i="6286"/>
  <c r="H52" i="6286"/>
  <c r="C23" i="6286"/>
  <c r="H37" i="6286"/>
  <c r="C42" i="6286"/>
  <c r="H48" i="6286"/>
  <c r="H22" i="6286"/>
  <c r="H31" i="6286"/>
  <c r="H49" i="6286"/>
  <c r="C19" i="6286"/>
  <c r="C24" i="6286"/>
  <c r="H18" i="6286"/>
  <c r="C38" i="6286"/>
  <c r="H44" i="6286"/>
  <c r="H11" i="6286"/>
  <c r="H6" i="6286"/>
  <c r="H12" i="6286"/>
  <c r="H20" i="6286"/>
  <c r="H14" i="6286"/>
  <c r="H16" i="6286"/>
  <c r="H33" i="6286"/>
  <c r="H39" i="6286"/>
  <c r="C44" i="6286"/>
  <c r="H51" i="6286"/>
  <c r="H27" i="6286"/>
  <c r="H38" i="6286"/>
  <c r="C48" i="6286"/>
  <c r="C25" i="6286"/>
  <c r="H28" i="6286"/>
  <c r="H34" i="6286"/>
  <c r="H40" i="6286"/>
  <c r="H45" i="6286"/>
  <c r="H4" i="6286"/>
  <c r="H23" i="6286"/>
  <c r="H25" i="6286"/>
  <c r="H13" i="6286"/>
  <c r="H30" i="6286"/>
  <c r="H35" i="6286"/>
  <c r="C39" i="6286"/>
  <c r="C43" i="6286"/>
  <c r="C47" i="6286"/>
  <c r="H26" i="6286"/>
  <c r="H29" i="6286"/>
  <c r="H32" i="6286"/>
  <c r="C37" i="6286"/>
  <c r="C41" i="6286"/>
  <c r="C45" i="6286"/>
  <c r="O21" i="6276" l="1"/>
  <c r="O22" i="6282"/>
  <c r="O22" i="6272"/>
  <c r="O19" i="6282"/>
  <c r="O20" i="6276" l="1"/>
  <c r="O19" i="6278"/>
  <c r="O23" i="6272"/>
  <c r="O19" i="6272"/>
  <c r="O15" i="6278"/>
  <c r="O21" i="6280"/>
  <c r="O16" i="6284" l="1"/>
  <c r="O19" i="6284"/>
  <c r="O23" i="6280"/>
  <c r="O22" i="6280"/>
  <c r="O16" i="6276"/>
  <c r="O19" i="6276"/>
  <c r="O17" i="6282"/>
  <c r="O15" i="6284"/>
  <c r="O18" i="6284"/>
  <c r="C34" i="6284"/>
  <c r="B29" i="6284"/>
  <c r="C20" i="6284"/>
  <c r="B19" i="6284"/>
  <c r="H50" i="6284" s="1"/>
  <c r="B18" i="6284"/>
  <c r="B28" i="6284" s="1"/>
  <c r="B17" i="6284"/>
  <c r="C17" i="6284" s="1"/>
  <c r="C16" i="6284"/>
  <c r="C15" i="6284"/>
  <c r="C14" i="6284"/>
  <c r="O12" i="6284"/>
  <c r="B12" i="6284"/>
  <c r="O11" i="6284"/>
  <c r="B11" i="6284"/>
  <c r="O10" i="6284"/>
  <c r="B10" i="6284"/>
  <c r="C9" i="6284"/>
  <c r="C8" i="6284"/>
  <c r="O7" i="6284"/>
  <c r="C7" i="6284"/>
  <c r="O6" i="6284"/>
  <c r="B6" i="6284"/>
  <c r="O5" i="6284"/>
  <c r="B5" i="6284"/>
  <c r="O4" i="6284"/>
  <c r="O3" i="6284"/>
  <c r="O2" i="6284"/>
  <c r="O20" i="6278"/>
  <c r="O22" i="6270"/>
  <c r="O21" i="6282"/>
  <c r="O16" i="6282"/>
  <c r="C34" i="6282"/>
  <c r="B29" i="6282"/>
  <c r="C20" i="6282"/>
  <c r="B19" i="6282"/>
  <c r="H51" i="6282" s="1"/>
  <c r="B18" i="6282"/>
  <c r="C18" i="6282" s="1"/>
  <c r="B17" i="6282"/>
  <c r="C17" i="6282" s="1"/>
  <c r="C16" i="6282"/>
  <c r="C15" i="6282"/>
  <c r="C14" i="6282"/>
  <c r="O12" i="6282"/>
  <c r="B12" i="6282"/>
  <c r="O11" i="6282"/>
  <c r="B11" i="6282"/>
  <c r="O10" i="6282"/>
  <c r="B10" i="6282"/>
  <c r="C9" i="6282"/>
  <c r="C8" i="6282"/>
  <c r="O7" i="6282"/>
  <c r="C7" i="6282"/>
  <c r="O6" i="6282"/>
  <c r="B6" i="6282"/>
  <c r="O5" i="6282"/>
  <c r="B5" i="6282"/>
  <c r="O4" i="6282"/>
  <c r="O3" i="6282"/>
  <c r="O2" i="6282"/>
  <c r="O19" i="6280"/>
  <c r="O18" i="6280"/>
  <c r="C34" i="6280"/>
  <c r="B29" i="6280"/>
  <c r="C20" i="6280"/>
  <c r="B19" i="6280"/>
  <c r="H24" i="6280" s="1"/>
  <c r="B18" i="6280"/>
  <c r="B17" i="6280"/>
  <c r="C17" i="6280" s="1"/>
  <c r="C16" i="6280"/>
  <c r="C15" i="6280"/>
  <c r="C14" i="6280"/>
  <c r="O12" i="6280"/>
  <c r="B12" i="6280"/>
  <c r="O11" i="6280"/>
  <c r="B11" i="6280"/>
  <c r="O10" i="6280"/>
  <c r="B10" i="6280"/>
  <c r="C9" i="6280"/>
  <c r="C8" i="6280"/>
  <c r="O7" i="6280"/>
  <c r="C7" i="6280"/>
  <c r="O6" i="6280"/>
  <c r="B6" i="6280"/>
  <c r="O5" i="6280"/>
  <c r="B5" i="6280"/>
  <c r="O4" i="6280"/>
  <c r="O3" i="6280"/>
  <c r="O2" i="6280"/>
  <c r="O18" i="6270"/>
  <c r="O21" i="6278"/>
  <c r="O18" i="6278"/>
  <c r="C34" i="6278"/>
  <c r="B29" i="6278"/>
  <c r="C20" i="6278"/>
  <c r="B19" i="6278"/>
  <c r="H52" i="6278" s="1"/>
  <c r="B18" i="6278"/>
  <c r="B28" i="6278" s="1"/>
  <c r="B17" i="6278"/>
  <c r="C17" i="6278" s="1"/>
  <c r="C16" i="6278"/>
  <c r="C15" i="6278"/>
  <c r="C14" i="6278"/>
  <c r="O12" i="6278"/>
  <c r="B12" i="6278"/>
  <c r="O11" i="6278"/>
  <c r="B11" i="6278"/>
  <c r="O10" i="6278"/>
  <c r="B10" i="6278"/>
  <c r="C9" i="6278"/>
  <c r="C8" i="6278"/>
  <c r="O7" i="6278"/>
  <c r="C7" i="6278"/>
  <c r="O6" i="6278"/>
  <c r="B6" i="6278"/>
  <c r="O5" i="6278"/>
  <c r="B5" i="6278"/>
  <c r="O4" i="6278"/>
  <c r="O3" i="6278"/>
  <c r="O2" i="6278"/>
  <c r="O24" i="6270"/>
  <c r="O21" i="6270"/>
  <c r="O17" i="6276"/>
  <c r="O24" i="6276"/>
  <c r="C34" i="6276"/>
  <c r="B29" i="6276"/>
  <c r="C20" i="6276"/>
  <c r="B19" i="6276"/>
  <c r="H52" i="6276" s="1"/>
  <c r="B18" i="6276"/>
  <c r="B28" i="6276" s="1"/>
  <c r="B17" i="6276"/>
  <c r="C17" i="6276" s="1"/>
  <c r="C16" i="6276"/>
  <c r="C15" i="6276"/>
  <c r="C14" i="6276"/>
  <c r="O12" i="6276"/>
  <c r="B12" i="6276"/>
  <c r="O11" i="6276"/>
  <c r="B11" i="6276"/>
  <c r="O10" i="6276"/>
  <c r="B10" i="6276"/>
  <c r="C9" i="6276"/>
  <c r="C8" i="6276"/>
  <c r="O7" i="6276"/>
  <c r="C7" i="6276"/>
  <c r="O6" i="6276"/>
  <c r="B6" i="6276"/>
  <c r="O5" i="6276"/>
  <c r="B5" i="6276"/>
  <c r="O4" i="6276"/>
  <c r="O3" i="6276"/>
  <c r="O2" i="6276"/>
  <c r="O18" i="6274"/>
  <c r="O19" i="6274"/>
  <c r="C34" i="6274"/>
  <c r="B29" i="6274"/>
  <c r="C20" i="6274"/>
  <c r="B19" i="6274"/>
  <c r="H50" i="6274" s="1"/>
  <c r="B18" i="6274"/>
  <c r="B28" i="6274" s="1"/>
  <c r="B17" i="6274"/>
  <c r="C17" i="6274" s="1"/>
  <c r="C16" i="6274"/>
  <c r="C15" i="6274"/>
  <c r="C14" i="6274"/>
  <c r="O12" i="6274"/>
  <c r="B12" i="6274"/>
  <c r="O11" i="6274"/>
  <c r="B11" i="6274"/>
  <c r="O10" i="6274"/>
  <c r="B10" i="6274"/>
  <c r="C9" i="6274"/>
  <c r="C8" i="6274"/>
  <c r="O7" i="6274"/>
  <c r="C7" i="6274"/>
  <c r="O6" i="6274"/>
  <c r="B6" i="6274"/>
  <c r="O5" i="6274"/>
  <c r="B5" i="6274"/>
  <c r="O4" i="6274"/>
  <c r="O3" i="6274"/>
  <c r="O2" i="6274"/>
  <c r="O23" i="6270"/>
  <c r="O20" i="6272"/>
  <c r="O15" i="6272"/>
  <c r="C34" i="6272"/>
  <c r="B29" i="6272"/>
  <c r="C20" i="6272"/>
  <c r="B19" i="6272"/>
  <c r="H51" i="6272" s="1"/>
  <c r="B18" i="6272"/>
  <c r="B28" i="6272" s="1"/>
  <c r="B17" i="6272"/>
  <c r="C17" i="6272" s="1"/>
  <c r="C16" i="6272"/>
  <c r="C15" i="6272"/>
  <c r="C14" i="6272"/>
  <c r="O12" i="6272"/>
  <c r="B12" i="6272"/>
  <c r="O11" i="6272"/>
  <c r="B11" i="6272"/>
  <c r="O10" i="6272"/>
  <c r="B10" i="6272"/>
  <c r="C9" i="6272"/>
  <c r="C8" i="6272"/>
  <c r="O7" i="6272"/>
  <c r="C7" i="6272"/>
  <c r="O6" i="6272"/>
  <c r="B6" i="6272"/>
  <c r="O5" i="6272"/>
  <c r="B5" i="6272"/>
  <c r="O4" i="6272"/>
  <c r="O3" i="6272"/>
  <c r="O2" i="6272"/>
  <c r="O25" i="6270"/>
  <c r="O17" i="6270"/>
  <c r="C34" i="6270"/>
  <c r="B29" i="6270"/>
  <c r="C20" i="6270"/>
  <c r="B19" i="6270"/>
  <c r="H51" i="6270" s="1"/>
  <c r="B18" i="6270"/>
  <c r="B28" i="6270" s="1"/>
  <c r="B17" i="6270"/>
  <c r="C17" i="6270" s="1"/>
  <c r="C16" i="6270"/>
  <c r="C15" i="6270"/>
  <c r="C14" i="6270"/>
  <c r="O12" i="6270"/>
  <c r="B12" i="6270"/>
  <c r="O11" i="6270"/>
  <c r="B11" i="6270"/>
  <c r="O10" i="6270"/>
  <c r="B10" i="6270"/>
  <c r="C9" i="6270"/>
  <c r="C8" i="6270"/>
  <c r="O7" i="6270"/>
  <c r="C7" i="6270"/>
  <c r="O6" i="6270"/>
  <c r="B6" i="6270"/>
  <c r="O5" i="6270"/>
  <c r="B5" i="6270"/>
  <c r="O4" i="6270"/>
  <c r="O3" i="6270"/>
  <c r="O2" i="6270"/>
  <c r="C18" i="6284" l="1"/>
  <c r="C18" i="6278"/>
  <c r="B13" i="6282"/>
  <c r="B28" i="6282"/>
  <c r="H17" i="6284"/>
  <c r="C18" i="6274"/>
  <c r="H44" i="6278"/>
  <c r="C48" i="6278"/>
  <c r="H52" i="6280"/>
  <c r="B27" i="6280"/>
  <c r="C18" i="6280"/>
  <c r="C18" i="6272"/>
  <c r="H8" i="6272"/>
  <c r="H31" i="6278"/>
  <c r="H51" i="6278"/>
  <c r="H3" i="6278"/>
  <c r="H23" i="6278"/>
  <c r="H36" i="6278"/>
  <c r="H6" i="6278"/>
  <c r="C36" i="6278"/>
  <c r="H12" i="6278"/>
  <c r="H17" i="6278"/>
  <c r="H38" i="6278"/>
  <c r="H16" i="6278"/>
  <c r="C23" i="6278"/>
  <c r="C42" i="6278"/>
  <c r="C21" i="6278"/>
  <c r="H2" i="6278"/>
  <c r="H25" i="6278"/>
  <c r="H8" i="6278"/>
  <c r="C43" i="6278"/>
  <c r="H5" i="6278"/>
  <c r="H29" i="6278"/>
  <c r="H19" i="6278"/>
  <c r="C38" i="6278"/>
  <c r="C44" i="6278"/>
  <c r="C19" i="6278"/>
  <c r="C39" i="6278"/>
  <c r="H46" i="6278"/>
  <c r="H7" i="6278"/>
  <c r="H9" i="6278"/>
  <c r="H14" i="6278"/>
  <c r="H15" i="6278"/>
  <c r="C25" i="6278"/>
  <c r="H34" i="6278"/>
  <c r="H40" i="6278"/>
  <c r="C46" i="6278"/>
  <c r="H33" i="6278"/>
  <c r="H4" i="6278"/>
  <c r="H18" i="6278"/>
  <c r="C40" i="6278"/>
  <c r="C47" i="6278"/>
  <c r="H11" i="6278"/>
  <c r="H13" i="6278"/>
  <c r="H21" i="6278"/>
  <c r="H27" i="6278"/>
  <c r="B27" i="6278"/>
  <c r="H35" i="6278"/>
  <c r="H42" i="6278"/>
  <c r="H48" i="6278"/>
  <c r="H26" i="6272"/>
  <c r="H24" i="6272"/>
  <c r="H28" i="6272"/>
  <c r="C21" i="6272"/>
  <c r="H17" i="6272"/>
  <c r="H38" i="6272"/>
  <c r="H7" i="6272"/>
  <c r="H18" i="6272"/>
  <c r="H44" i="6272"/>
  <c r="C36" i="6272"/>
  <c r="H39" i="6272"/>
  <c r="C22" i="6272"/>
  <c r="H25" i="6272"/>
  <c r="B26" i="6272"/>
  <c r="H45" i="6272"/>
  <c r="H11" i="6272"/>
  <c r="H3" i="6272"/>
  <c r="H27" i="6272"/>
  <c r="B27" i="6272"/>
  <c r="C46" i="6272"/>
  <c r="H21" i="6272"/>
  <c r="H14" i="6272"/>
  <c r="C38" i="6272"/>
  <c r="H48" i="6272"/>
  <c r="C24" i="6272"/>
  <c r="H49" i="6272"/>
  <c r="H6" i="6272"/>
  <c r="H13" i="6272"/>
  <c r="H22" i="6272"/>
  <c r="H16" i="6272"/>
  <c r="H12" i="6272"/>
  <c r="H42" i="6272"/>
  <c r="C48" i="6272"/>
  <c r="C19" i="6272"/>
  <c r="H35" i="6272"/>
  <c r="H15" i="6272"/>
  <c r="C25" i="6272"/>
  <c r="H36" i="6272"/>
  <c r="H43" i="6272"/>
  <c r="H50" i="6272"/>
  <c r="H40" i="6272"/>
  <c r="H10" i="6272"/>
  <c r="H2" i="6272"/>
  <c r="H4" i="6272"/>
  <c r="H20" i="6272"/>
  <c r="H31" i="6272"/>
  <c r="C42" i="6272"/>
  <c r="C36" i="6274"/>
  <c r="H41" i="6274"/>
  <c r="H42" i="6274"/>
  <c r="H13" i="6274"/>
  <c r="C46" i="6274"/>
  <c r="H47" i="6274"/>
  <c r="H3" i="6274"/>
  <c r="H8" i="6274"/>
  <c r="H15" i="6274"/>
  <c r="H12" i="6274"/>
  <c r="C22" i="6274"/>
  <c r="B27" i="6274"/>
  <c r="H14" i="6274"/>
  <c r="H7" i="6274"/>
  <c r="H21" i="6274"/>
  <c r="H36" i="6274"/>
  <c r="H34" i="6284"/>
  <c r="H21" i="6284"/>
  <c r="H6" i="6284"/>
  <c r="H40" i="6284"/>
  <c r="H2" i="6284"/>
  <c r="H14" i="6284"/>
  <c r="C40" i="6284"/>
  <c r="H41" i="6284"/>
  <c r="H45" i="6284"/>
  <c r="H27" i="6284"/>
  <c r="H12" i="6284"/>
  <c r="B26" i="6284"/>
  <c r="H3" i="6284"/>
  <c r="B27" i="6284"/>
  <c r="H4" i="6284"/>
  <c r="H52" i="6284"/>
  <c r="H4" i="6276"/>
  <c r="B13" i="6280"/>
  <c r="H20" i="6280"/>
  <c r="H11" i="6280"/>
  <c r="H39" i="6280"/>
  <c r="H6" i="6280"/>
  <c r="H12" i="6280"/>
  <c r="H14" i="6280"/>
  <c r="H22" i="6280"/>
  <c r="C38" i="6280"/>
  <c r="H40" i="6280"/>
  <c r="H18" i="6280"/>
  <c r="H42" i="6280"/>
  <c r="H45" i="6280"/>
  <c r="H15" i="6280"/>
  <c r="C19" i="6280"/>
  <c r="H19" i="6280"/>
  <c r="H9" i="6280"/>
  <c r="H25" i="6280"/>
  <c r="H23" i="6280"/>
  <c r="H47" i="6280"/>
  <c r="H4" i="6280"/>
  <c r="H27" i="6280"/>
  <c r="C43" i="6280"/>
  <c r="C21" i="6280"/>
  <c r="H48" i="6280"/>
  <c r="C42" i="6284"/>
  <c r="H46" i="6284"/>
  <c r="H13" i="6284"/>
  <c r="C21" i="6284"/>
  <c r="H24" i="6284"/>
  <c r="H36" i="6284"/>
  <c r="C46" i="6284"/>
  <c r="H7" i="6284"/>
  <c r="H15" i="6284"/>
  <c r="C23" i="6284"/>
  <c r="H37" i="6284"/>
  <c r="H48" i="6284"/>
  <c r="H18" i="6284"/>
  <c r="C22" i="6284"/>
  <c r="H11" i="6284"/>
  <c r="C36" i="6284"/>
  <c r="H42" i="6284"/>
  <c r="H47" i="6284"/>
  <c r="H26" i="6284"/>
  <c r="H30" i="6284"/>
  <c r="H38" i="6284"/>
  <c r="H43" i="6284"/>
  <c r="C48" i="6284"/>
  <c r="C19" i="6284"/>
  <c r="C24" i="6284"/>
  <c r="H31" i="6284"/>
  <c r="C38" i="6284"/>
  <c r="H44" i="6284"/>
  <c r="H49" i="6284"/>
  <c r="H9" i="6284"/>
  <c r="H5" i="6284"/>
  <c r="H8" i="6284"/>
  <c r="H16" i="6284"/>
  <c r="H19" i="6284"/>
  <c r="H22" i="6284"/>
  <c r="C25" i="6284"/>
  <c r="H33" i="6284"/>
  <c r="H39" i="6284"/>
  <c r="C44" i="6284"/>
  <c r="H51" i="6284"/>
  <c r="H6" i="6276"/>
  <c r="H46" i="6270"/>
  <c r="H12" i="6282"/>
  <c r="H7" i="6282"/>
  <c r="H27" i="6282"/>
  <c r="H41" i="6282"/>
  <c r="H26" i="6282"/>
  <c r="C19" i="6282"/>
  <c r="H45" i="6282"/>
  <c r="H52" i="6282"/>
  <c r="H11" i="6282"/>
  <c r="H25" i="6282"/>
  <c r="C21" i="6282"/>
  <c r="B26" i="6282"/>
  <c r="B13" i="6284"/>
  <c r="H20" i="6284"/>
  <c r="H23" i="6284"/>
  <c r="H10" i="6284"/>
  <c r="H29" i="6284"/>
  <c r="H35" i="6284"/>
  <c r="C39" i="6284"/>
  <c r="C43" i="6284"/>
  <c r="C47" i="6284"/>
  <c r="H25" i="6284"/>
  <c r="H28" i="6284"/>
  <c r="H32" i="6284"/>
  <c r="C37" i="6284"/>
  <c r="C41" i="6284"/>
  <c r="C45" i="6284"/>
  <c r="H9" i="6282"/>
  <c r="C40" i="6282"/>
  <c r="H24" i="6282"/>
  <c r="H17" i="6282"/>
  <c r="H43" i="6282"/>
  <c r="H21" i="6282"/>
  <c r="C46" i="6282"/>
  <c r="H36" i="6282"/>
  <c r="H5" i="6282"/>
  <c r="H14" i="6282"/>
  <c r="C22" i="6282"/>
  <c r="H37" i="6282"/>
  <c r="H47" i="6282"/>
  <c r="H10" i="6282"/>
  <c r="H6" i="6282"/>
  <c r="C24" i="6282"/>
  <c r="H38" i="6282"/>
  <c r="H48" i="6282"/>
  <c r="H19" i="6282"/>
  <c r="H31" i="6282"/>
  <c r="C36" i="6282"/>
  <c r="C42" i="6282"/>
  <c r="C47" i="6282"/>
  <c r="H13" i="6282"/>
  <c r="H23" i="6282"/>
  <c r="C38" i="6282"/>
  <c r="C43" i="6282"/>
  <c r="C48" i="6282"/>
  <c r="H2" i="6282"/>
  <c r="H3" i="6282"/>
  <c r="C25" i="6282"/>
  <c r="H32" i="6282"/>
  <c r="H40" i="6282"/>
  <c r="H44" i="6282"/>
  <c r="H49" i="6282"/>
  <c r="H16" i="6282"/>
  <c r="H8" i="6282"/>
  <c r="H22" i="6282"/>
  <c r="H18" i="6282"/>
  <c r="H28" i="6282"/>
  <c r="H30" i="6282"/>
  <c r="H35" i="6282"/>
  <c r="C39" i="6282"/>
  <c r="C44" i="6282"/>
  <c r="H4" i="6282"/>
  <c r="H29" i="6282"/>
  <c r="H20" i="6282"/>
  <c r="H33" i="6282"/>
  <c r="C37" i="6282"/>
  <c r="C41" i="6282"/>
  <c r="C45" i="6282"/>
  <c r="H50" i="6282"/>
  <c r="H15" i="6282"/>
  <c r="C23" i="6282"/>
  <c r="B27" i="6282"/>
  <c r="H34" i="6282"/>
  <c r="H39" i="6282"/>
  <c r="H42" i="6282"/>
  <c r="H46" i="6282"/>
  <c r="C24" i="6280"/>
  <c r="H35" i="6280"/>
  <c r="C39" i="6280"/>
  <c r="C46" i="6280"/>
  <c r="H10" i="6280"/>
  <c r="H7" i="6280"/>
  <c r="H13" i="6280"/>
  <c r="H16" i="6280"/>
  <c r="H17" i="6280"/>
  <c r="C25" i="6280"/>
  <c r="C47" i="6280"/>
  <c r="H43" i="6280"/>
  <c r="H31" i="6280"/>
  <c r="C36" i="6280"/>
  <c r="C42" i="6280"/>
  <c r="H49" i="6280"/>
  <c r="H26" i="6280"/>
  <c r="H2" i="6280"/>
  <c r="H3" i="6280"/>
  <c r="H29" i="6280"/>
  <c r="B26" i="6280"/>
  <c r="H38" i="6280"/>
  <c r="H44" i="6280"/>
  <c r="C48" i="6280"/>
  <c r="H21" i="6280"/>
  <c r="H28" i="6280"/>
  <c r="C22" i="6280"/>
  <c r="H8" i="6280"/>
  <c r="H36" i="6280"/>
  <c r="H41" i="6280"/>
  <c r="C44" i="6280"/>
  <c r="H50" i="6280"/>
  <c r="C23" i="6280"/>
  <c r="H33" i="6280"/>
  <c r="H37" i="6280"/>
  <c r="C40" i="6280"/>
  <c r="H46" i="6280"/>
  <c r="H5" i="6280"/>
  <c r="B28" i="6280"/>
  <c r="H30" i="6280"/>
  <c r="H32" i="6280"/>
  <c r="H34" i="6280"/>
  <c r="C37" i="6280"/>
  <c r="C41" i="6280"/>
  <c r="C45" i="6280"/>
  <c r="H51" i="6280"/>
  <c r="B13" i="6278"/>
  <c r="H24" i="6278"/>
  <c r="H26" i="6278"/>
  <c r="C22" i="6278"/>
  <c r="B26" i="6278"/>
  <c r="H20" i="6278"/>
  <c r="H37" i="6278"/>
  <c r="H41" i="6278"/>
  <c r="H45" i="6278"/>
  <c r="H49" i="6278"/>
  <c r="H28" i="6278"/>
  <c r="H30" i="6278"/>
  <c r="H32" i="6278"/>
  <c r="C37" i="6278"/>
  <c r="C41" i="6278"/>
  <c r="C45" i="6278"/>
  <c r="H50" i="6278"/>
  <c r="H10" i="6278"/>
  <c r="H22" i="6278"/>
  <c r="C24" i="6278"/>
  <c r="H39" i="6278"/>
  <c r="H43" i="6278"/>
  <c r="H47" i="6278"/>
  <c r="B13" i="6276"/>
  <c r="C18" i="6276"/>
  <c r="H32" i="6276"/>
  <c r="H13" i="6276"/>
  <c r="H2" i="6276"/>
  <c r="H8" i="6276"/>
  <c r="H26" i="6276"/>
  <c r="H10" i="6276"/>
  <c r="C21" i="6276"/>
  <c r="H17" i="6276"/>
  <c r="H11" i="6276"/>
  <c r="H29" i="6276"/>
  <c r="H37" i="6276"/>
  <c r="C40" i="6276"/>
  <c r="H3" i="6276"/>
  <c r="C48" i="6276"/>
  <c r="C36" i="6276"/>
  <c r="H15" i="6276"/>
  <c r="H12" i="6276"/>
  <c r="C39" i="6276"/>
  <c r="H35" i="6276"/>
  <c r="C43" i="6276"/>
  <c r="C19" i="6276"/>
  <c r="C44" i="6276"/>
  <c r="H30" i="6276"/>
  <c r="H7" i="6276"/>
  <c r="H22" i="6276"/>
  <c r="H19" i="6276"/>
  <c r="C47" i="6276"/>
  <c r="C25" i="6276"/>
  <c r="H38" i="6276"/>
  <c r="H42" i="6276"/>
  <c r="H46" i="6276"/>
  <c r="H49" i="6276"/>
  <c r="H24" i="6276"/>
  <c r="H31" i="6276"/>
  <c r="C22" i="6276"/>
  <c r="B26" i="6276"/>
  <c r="H20" i="6276"/>
  <c r="H39" i="6276"/>
  <c r="H43" i="6276"/>
  <c r="H28" i="6276"/>
  <c r="H50" i="6276"/>
  <c r="H25" i="6276"/>
  <c r="H34" i="6276"/>
  <c r="H21" i="6276"/>
  <c r="C37" i="6276"/>
  <c r="C41" i="6276"/>
  <c r="C45" i="6276"/>
  <c r="H51" i="6276"/>
  <c r="H14" i="6276"/>
  <c r="C23" i="6276"/>
  <c r="B27" i="6276"/>
  <c r="H36" i="6276"/>
  <c r="H40" i="6276"/>
  <c r="H44" i="6276"/>
  <c r="H47" i="6276"/>
  <c r="H16" i="6276"/>
  <c r="H18" i="6276"/>
  <c r="H33" i="6276"/>
  <c r="H9" i="6276"/>
  <c r="H27" i="6276"/>
  <c r="C38" i="6276"/>
  <c r="C42" i="6276"/>
  <c r="C46" i="6276"/>
  <c r="H5" i="6276"/>
  <c r="H23" i="6276"/>
  <c r="C24" i="6276"/>
  <c r="H41" i="6276"/>
  <c r="H45" i="6276"/>
  <c r="H48" i="6276"/>
  <c r="H8" i="6270"/>
  <c r="C18" i="6270"/>
  <c r="C44" i="6270"/>
  <c r="H34" i="6270"/>
  <c r="H14" i="6270"/>
  <c r="H24" i="6270"/>
  <c r="H18" i="6270"/>
  <c r="H40" i="6270"/>
  <c r="H41" i="6270"/>
  <c r="B13" i="6274"/>
  <c r="C23" i="6274"/>
  <c r="H37" i="6274"/>
  <c r="C42" i="6274"/>
  <c r="H48" i="6274"/>
  <c r="H6" i="6274"/>
  <c r="C19" i="6274"/>
  <c r="H25" i="6274"/>
  <c r="H30" i="6274"/>
  <c r="H38" i="6274"/>
  <c r="H43" i="6274"/>
  <c r="C48" i="6274"/>
  <c r="H49" i="6274"/>
  <c r="H11" i="6274"/>
  <c r="C24" i="6274"/>
  <c r="H31" i="6274"/>
  <c r="C38" i="6274"/>
  <c r="H2" i="6274"/>
  <c r="H4" i="6274"/>
  <c r="H17" i="6274"/>
  <c r="C25" i="6274"/>
  <c r="H33" i="6274"/>
  <c r="H39" i="6274"/>
  <c r="C44" i="6274"/>
  <c r="H51" i="6274"/>
  <c r="H16" i="6274"/>
  <c r="H10" i="6274"/>
  <c r="H20" i="6274"/>
  <c r="H23" i="6274"/>
  <c r="H27" i="6274"/>
  <c r="H34" i="6274"/>
  <c r="H40" i="6274"/>
  <c r="H45" i="6274"/>
  <c r="H5" i="6274"/>
  <c r="H9" i="6274"/>
  <c r="H19" i="6274"/>
  <c r="H22" i="6274"/>
  <c r="H44" i="6274"/>
  <c r="H18" i="6274"/>
  <c r="C21" i="6274"/>
  <c r="B26" i="6274"/>
  <c r="C40" i="6274"/>
  <c r="H46" i="6274"/>
  <c r="H52" i="6274"/>
  <c r="H26" i="6274"/>
  <c r="H29" i="6274"/>
  <c r="H35" i="6274"/>
  <c r="C39" i="6274"/>
  <c r="C43" i="6274"/>
  <c r="C47" i="6274"/>
  <c r="H24" i="6274"/>
  <c r="H28" i="6274"/>
  <c r="H32" i="6274"/>
  <c r="C37" i="6274"/>
  <c r="C41" i="6274"/>
  <c r="C45" i="6274"/>
  <c r="C24" i="6270"/>
  <c r="H23" i="6270"/>
  <c r="H20" i="6270"/>
  <c r="H4" i="6270"/>
  <c r="H13" i="6270"/>
  <c r="H48" i="6270"/>
  <c r="H49" i="6270"/>
  <c r="H11" i="6270"/>
  <c r="H38" i="6270"/>
  <c r="H16" i="6270"/>
  <c r="C25" i="6270"/>
  <c r="H32" i="6270"/>
  <c r="H10" i="6270"/>
  <c r="H6" i="6270"/>
  <c r="H25" i="6270"/>
  <c r="H15" i="6270"/>
  <c r="H26" i="6270"/>
  <c r="H44" i="6270"/>
  <c r="C48" i="6270"/>
  <c r="C46" i="6270"/>
  <c r="C19" i="6270"/>
  <c r="H12" i="6270"/>
  <c r="H36" i="6270"/>
  <c r="B26" i="6270"/>
  <c r="H31" i="6270"/>
  <c r="C42" i="6270"/>
  <c r="H50" i="6270"/>
  <c r="H7" i="6270"/>
  <c r="C38" i="6270"/>
  <c r="H22" i="6270"/>
  <c r="H42" i="6270"/>
  <c r="H29" i="6270"/>
  <c r="H2" i="6270"/>
  <c r="H3" i="6270"/>
  <c r="H21" i="6270"/>
  <c r="H17" i="6270"/>
  <c r="C21" i="6270"/>
  <c r="H37" i="6270"/>
  <c r="C36" i="6270"/>
  <c r="H45" i="6270"/>
  <c r="H19" i="6270"/>
  <c r="B13" i="6272"/>
  <c r="C39" i="6272"/>
  <c r="C44" i="6272"/>
  <c r="H19" i="6272"/>
  <c r="C23" i="6272"/>
  <c r="H9" i="6272"/>
  <c r="H37" i="6272"/>
  <c r="H41" i="6272"/>
  <c r="H46" i="6272"/>
  <c r="H5" i="6272"/>
  <c r="H30" i="6272"/>
  <c r="H33" i="6272"/>
  <c r="H23" i="6272"/>
  <c r="C40" i="6272"/>
  <c r="H47" i="6272"/>
  <c r="H52" i="6272"/>
  <c r="C43" i="6272"/>
  <c r="C47" i="6272"/>
  <c r="H29" i="6272"/>
  <c r="H32" i="6272"/>
  <c r="H34" i="6272"/>
  <c r="C37" i="6272"/>
  <c r="C41" i="6272"/>
  <c r="C45" i="6272"/>
  <c r="B13" i="6270"/>
  <c r="H35" i="6270"/>
  <c r="C22" i="6270"/>
  <c r="B27" i="6270"/>
  <c r="H43" i="6270"/>
  <c r="H33" i="6270"/>
  <c r="H5" i="6270"/>
  <c r="C23" i="6270"/>
  <c r="H9" i="6270"/>
  <c r="H39" i="6270"/>
  <c r="C40" i="6270"/>
  <c r="H47" i="6270"/>
  <c r="H52" i="6270"/>
  <c r="C39" i="6270"/>
  <c r="C43" i="6270"/>
  <c r="C47" i="6270"/>
  <c r="H30" i="6270"/>
  <c r="H27" i="6270"/>
  <c r="H28" i="6270"/>
  <c r="C37" i="6270"/>
  <c r="C41" i="6270"/>
  <c r="C45" i="6270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<sst xmlns="http://schemas.openxmlformats.org/spreadsheetml/2006/main" count="3231" uniqueCount="248">
  <si>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</si>
  <si>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</si>
  <si>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</si>
  <si>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</si>
  <si>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</si>
  <si>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</si>
  <si>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</si>
  <si>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</si>
  <si>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</si>
  <si>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</si>
  <si>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</si>
  <si>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</si>
  <si>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</si>
  <si>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</si>
  <si>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</si>
  <si>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</si>
  <si>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</si>
  <si>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</si>
  <si>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</si>
  <si>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</si>
  <si>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</si>
  <si>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</si>
  <si>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</si>
  <si>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</si>
  <si>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</si>
  <si>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</si>
  <si>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</si>
  <si>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</si>
  <si>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</si>
  <si>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</si>
  <si>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</si>
  <si>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</si>
  <si>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</si>
  <si>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</si>
  <si>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</si>
  <si>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</si>
  <si>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</si>
  <si>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</si>
  <si>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</si>
  <si>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</si>
  <si>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</si>
  <si>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</si>
  <si>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</si>
  <si>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</si>
  <si>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</si>
  <si>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</si>
  <si>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</si>
  <si>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</si>
  <si>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</si>
  <si>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</si>
  <si>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</si>
  <si>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</si>
  <si>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</si>
  <si>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</si>
  <si>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</si>
  <si>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</si>
  <si>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</si>
  <si>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</si>
  <si>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</si>
  <si>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</si>
  <si>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</si>
  <si>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</si>
  <si>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</si>
  <si>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</si>
  <si>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</si>
  <si>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</si>
  <si>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</si>
  <si>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</si>
  <si>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</si>
  <si>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</si>
  <si>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</si>
  <si>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</si>
  <si>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</si>
  <si>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</si>
  <si>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</si>
  <si>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</si>
  <si>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</si>
  <si>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</si>
  <si>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</si>
  <si>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</si>
  <si>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</si>
  <si>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</si>
  <si>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</si>
  <si>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</si>
  <si>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</si>
  <si>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</si>
  <si>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</si>
  <si>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</si>
  <si>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</si>
  <si>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</si>
  <si>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</si>
  <si>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</si>
  <si>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</si>
  <si>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</si>
  <si>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</si>
  <si>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</si>
  <si>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</si>
  <si>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</si>
  <si>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</si>
  <si>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</si>
  <si>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</si>
  <si>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</si>
  <si>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</si>
  <si>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</si>
  <si>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</si>
  <si>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</si>
  <si>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</si>
  <si>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</si>
  <si>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</si>
  <si>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</si>
  <si>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</si>
  <si>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</si>
  <si>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</si>
  <si>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</si>
  <si>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</si>
  <si>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</si>
  <si>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</si>
  <si>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</si>
  <si>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</si>
  <si>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</si>
  <si>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</si>
  <si>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</si>
  <si>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</si>
  <si>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</si>
  <si>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</si>
  <si>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</si>
  <si>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</si>
  <si>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</si>
  <si>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</si>
  <si>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</si>
  <si>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</si>
  <si>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</si>
  <si>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</si>
  <si>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</si>
  <si>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</si>
  <si>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</si>
  <si>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</si>
  <si>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</si>
  <si>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</si>
  <si>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</si>
  <si>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</si>
  <si>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</si>
  <si>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</si>
  <si>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</si>
  <si>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</si>
  <si>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</si>
  <si>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</si>
  <si>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</si>
  <si>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</si>
  <si>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</si>
  <si>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</si>
  <si>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</si>
  <si>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</si>
  <si>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</si>
  <si>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</si>
  <si>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</si>
  <si>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</si>
  <si>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</si>
  <si>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</si>
  <si>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</si>
  <si>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</si>
  <si>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</si>
  <si>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</si>
  <si>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</si>
  <si>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</si>
  <si>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</si>
  <si>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</si>
  <si>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</si>
  <si>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</si>
  <si>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</si>
  <si>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</si>
  <si>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</si>
  <si>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</si>
  <si>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</si>
  <si>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</si>
  <si>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</si>
  <si>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</si>
  <si>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</si>
  <si>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</si>
  <si>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</si>
  <si>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</si>
  <si>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</si>
  <si>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</si>
  <si>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</si>
  <si>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</si>
  <si>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</si>
  <si>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</si>
  <si>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</si>
  <si>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</si>
  <si>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</si>
  <si>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</si>
  <si>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</si>
  <si>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</si>
  <si>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</si>
  <si>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</si>
  <si>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</si>
  <si>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</si>
  <si>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</si>
  <si>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</si>
  <si>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</si>
  <si>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</si>
  <si>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</si>
  <si>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</si>
  <si>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</si>
  <si>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</si>
  <si>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</si>
  <si>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</si>
  <si>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</si>
  <si>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</si>
  <si>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</si>
  <si>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</si>
  <si>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</si>
  <si>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</si>
  <si>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</si>
  <si>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</si>
  <si>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</si>
  <si>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</si>
  <si>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</si>
  <si>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</si>
  <si>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</si>
  <si>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</si>
  <si>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</si>
  <si>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</si>
  <si>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</si>
  <si>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</si>
  <si>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</si>
  <si>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</si>
  <si>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</si>
  <si>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</si>
  <si>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</si>
  <si>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</si>
  <si>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</si>
  <si>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</si>
  <si>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</si>
  <si>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</si>
  <si>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</si>
  <si>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</si>
  <si>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</si>
  <si>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</si>
  <si>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</si>
  <si>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</si>
  <si>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</si>
  <si>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</si>
  <si>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</si>
  <si>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</si>
  <si>
    <t>2020-07-28@0.xlsm</t>
  </si>
  <si>
    <t>2020-07-30@0.xlsm</t>
  </si>
  <si>
    <t>2020-07-31@0.xlsm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</si>
</sst>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全体!$L$2:$L$413</c:f>
              <c:numCache>
                <c:formatCode>\+0.0;\-0.0;\±0</c:formatCode>
                <c:ptCount val="41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  <c:pt idx="385">
                  <c:v>-21.199999999999996</c:v>
                </c:pt>
                <c:pt idx="386">
                  <c:v>7.2000000000000028</c:v>
                </c:pt>
                <c:pt idx="387">
                  <c:v>2.6645352591003757E-15</c:v>
                </c:pt>
                <c:pt idx="388">
                  <c:v>7.5000000000000027</c:v>
                </c:pt>
                <c:pt idx="389">
                  <c:v>28.500000000000004</c:v>
                </c:pt>
                <c:pt idx="390">
                  <c:v>3.5527136788005009E-15</c:v>
                </c:pt>
                <c:pt idx="391">
                  <c:v>15.500000000000004</c:v>
                </c:pt>
                <c:pt idx="392">
                  <c:v>-3.5999999999999979</c:v>
                </c:pt>
                <c:pt idx="393">
                  <c:v>2.2204460492503131E-15</c:v>
                </c:pt>
                <c:pt idx="394">
                  <c:v>-2.5999999999999979</c:v>
                </c:pt>
                <c:pt idx="395">
                  <c:v>27.700000000000003</c:v>
                </c:pt>
                <c:pt idx="396">
                  <c:v>3.5527136788005009E-15</c:v>
                </c:pt>
                <c:pt idx="397">
                  <c:v>27.900000000000002</c:v>
                </c:pt>
                <c:pt idx="398">
                  <c:v>27.6</c:v>
                </c:pt>
                <c:pt idx="399">
                  <c:v>0</c:v>
                </c:pt>
                <c:pt idx="400">
                  <c:v>-41.3</c:v>
                </c:pt>
                <c:pt idx="401">
                  <c:v>-39.599999999999994</c:v>
                </c:pt>
                <c:pt idx="402">
                  <c:v>7.1054273576010019E-15</c:v>
                </c:pt>
                <c:pt idx="403">
                  <c:v>20.700000000000006</c:v>
                </c:pt>
                <c:pt idx="404">
                  <c:v>19.000000000000007</c:v>
                </c:pt>
                <c:pt idx="405">
                  <c:v>7.1054273576010019E-15</c:v>
                </c:pt>
                <c:pt idx="406">
                  <c:v>-48.29999999999999</c:v>
                </c:pt>
                <c:pt idx="407">
                  <c:v>3.0000000000000071</c:v>
                </c:pt>
                <c:pt idx="408">
                  <c:v>7.1054273576010019E-15</c:v>
                </c:pt>
                <c:pt idx="409">
                  <c:v>-39.999999999999993</c:v>
                </c:pt>
                <c:pt idx="410">
                  <c:v>-39.899999999999991</c:v>
                </c:pt>
                <c:pt idx="41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7-4260-A522-11851F445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-12.437810945273633</c:v>
                </c:pt>
                <c:pt idx="1">
                  <c:v>-4.9382716049382713</c:v>
                </c:pt>
                <c:pt idx="2">
                  <c:v>-7.8125</c:v>
                </c:pt>
                <c:pt idx="3">
                  <c:v>17.094017094017094</c:v>
                </c:pt>
                <c:pt idx="4">
                  <c:v>-51.98776758409786</c:v>
                </c:pt>
                <c:pt idx="5">
                  <c:v>63.670411985018724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7-404D-A32C-1C9BF9EE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166</c:v>
                </c:pt>
                <c:pt idx="2">
                  <c:v>172</c:v>
                </c:pt>
                <c:pt idx="3">
                  <c:v>168</c:v>
                </c:pt>
                <c:pt idx="4">
                  <c:v>138</c:v>
                </c:pt>
                <c:pt idx="5">
                  <c:v>101</c:v>
                </c:pt>
                <c:pt idx="6">
                  <c:v>56</c:v>
                </c:pt>
                <c:pt idx="7">
                  <c:v>25</c:v>
                </c:pt>
                <c:pt idx="8">
                  <c:v>17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E-403F-A85A-48CEC2F4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  <c:pt idx="70">
                  <c:v>10.799999999999955</c:v>
                </c:pt>
                <c:pt idx="71">
                  <c:v>18.299999999999955</c:v>
                </c:pt>
                <c:pt idx="72">
                  <c:v>57.899999999999956</c:v>
                </c:pt>
                <c:pt idx="73">
                  <c:v>9.5999999999999588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4-4613-964D-92D2C83EB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-637.14285714285711</c:v>
                </c:pt>
                <c:pt idx="1">
                  <c:v>-1511.1111111111111</c:v>
                </c:pt>
                <c:pt idx="2">
                  <c:v>147.76119402985074</c:v>
                </c:pt>
                <c:pt idx="3">
                  <c:v>-622.58064516129036</c:v>
                </c:pt>
                <c:pt idx="4">
                  <c:v>777.04918032786884</c:v>
                </c:pt>
                <c:pt idx="5">
                  <c:v>2678.7234042553191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2-4329-970E-E65BF1811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19</c:v>
                </c:pt>
                <c:pt idx="3">
                  <c:v>39</c:v>
                </c:pt>
                <c:pt idx="4">
                  <c:v>30</c:v>
                </c:pt>
                <c:pt idx="5">
                  <c:v>22</c:v>
                </c:pt>
                <c:pt idx="6">
                  <c:v>14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4-4621-9364-F60BC8C3E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A-4F99-8895-0A7274064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4-4F92-BF09-1BD51E3FE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2-4BE4-B99B-0B299CAEF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だいち!$L$2:$L$103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  <c:pt idx="95">
                  <c:v>748.9000000000002</c:v>
                </c:pt>
                <c:pt idx="96">
                  <c:v>720.4000000000002</c:v>
                </c:pt>
                <c:pt idx="97">
                  <c:v>735.9000000000002</c:v>
                </c:pt>
                <c:pt idx="98">
                  <c:v>708.20000000000016</c:v>
                </c:pt>
                <c:pt idx="99">
                  <c:v>680.60000000000014</c:v>
                </c:pt>
                <c:pt idx="100">
                  <c:v>678.90000000000009</c:v>
                </c:pt>
                <c:pt idx="101">
                  <c:v>679.00000000000011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9-4539-A5A6-C8882944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1312</c:v>
                </c:pt>
                <c:pt idx="1">
                  <c:v>2306</c:v>
                </c:pt>
                <c:pt idx="2">
                  <c:v>1477.8947368421052</c:v>
                </c:pt>
                <c:pt idx="3">
                  <c:v>1040.6976744186047</c:v>
                </c:pt>
                <c:pt idx="4">
                  <c:v>-1056.0975609756097</c:v>
                </c:pt>
                <c:pt idx="5">
                  <c:v>1827.2727272727273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5-405A-802C-7F68D6BFD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44</c:v>
                </c:pt>
                <c:pt idx="3">
                  <c:v>41</c:v>
                </c:pt>
                <c:pt idx="4">
                  <c:v>40</c:v>
                </c:pt>
                <c:pt idx="5">
                  <c:v>23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A-4E45-88B8-AEB5FE7ED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  <c:pt idx="41">
                  <c:v>-261.99999999999983</c:v>
                </c:pt>
                <c:pt idx="42">
                  <c:v>-240.99999999999983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1-42C0-8836-FBEE8C8DA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-3502.439024390244</c:v>
                </c:pt>
                <c:pt idx="1">
                  <c:v>2107.3170731707319</c:v>
                </c:pt>
                <c:pt idx="2">
                  <c:v>-1289.4736842105262</c:v>
                </c:pt>
                <c:pt idx="3">
                  <c:v>-1578.7878787878788</c:v>
                </c:pt>
                <c:pt idx="4">
                  <c:v>3472.4137931034484</c:v>
                </c:pt>
                <c:pt idx="5">
                  <c:v>-3864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3-4E3C-AD63-2B93FDE3E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9-443D-91E4-6517D16D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まっつん!$L$2:$L$71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  <c:pt idx="63">
                  <c:v>-102.59999999999997</c:v>
                </c:pt>
                <c:pt idx="64">
                  <c:v>-72.299999999999969</c:v>
                </c:pt>
                <c:pt idx="65">
                  <c:v>-72.599999999999966</c:v>
                </c:pt>
                <c:pt idx="66">
                  <c:v>-70.899999999999963</c:v>
                </c:pt>
                <c:pt idx="67">
                  <c:v>-50.19999999999996</c:v>
                </c:pt>
                <c:pt idx="68">
                  <c:v>-53.19999999999996</c:v>
                </c:pt>
                <c:pt idx="69">
                  <c:v>-93.19999999999996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C-4AD3-9645-425953A0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-305.88235294117646</c:v>
                </c:pt>
                <c:pt idx="1">
                  <c:v>79.411764705882348</c:v>
                </c:pt>
                <c:pt idx="2">
                  <c:v>-923.88059701492534</c:v>
                </c:pt>
                <c:pt idx="3">
                  <c:v>882.8125</c:v>
                </c:pt>
                <c:pt idx="4">
                  <c:v>-829.31034482758616</c:v>
                </c:pt>
                <c:pt idx="5">
                  <c:v>-1253.1914893617022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82-4B94-AF48-5135A97A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37</c:v>
                </c:pt>
                <c:pt idx="3">
                  <c:v>23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2-42D0-9FFE-1F1B295B9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  <c:pt idx="44">
                  <c:v>92.199999999999989</c:v>
                </c:pt>
                <c:pt idx="45">
                  <c:v>143.5</c:v>
                </c:pt>
                <c:pt idx="46">
                  <c:v>183.4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1-46FF-9EE8-43760FEAA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-352.17391304347825</c:v>
                </c:pt>
                <c:pt idx="1">
                  <c:v>-1613.3333333333333</c:v>
                </c:pt>
                <c:pt idx="2">
                  <c:v>2336.5853658536585</c:v>
                </c:pt>
                <c:pt idx="3">
                  <c:v>-410.5263157894737</c:v>
                </c:pt>
                <c:pt idx="4">
                  <c:v>2200</c:v>
                </c:pt>
                <c:pt idx="5">
                  <c:v>1010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2-45B3-AC67-D3954C877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26</c:v>
                </c:pt>
                <c:pt idx="3">
                  <c:v>17</c:v>
                </c:pt>
                <c:pt idx="4">
                  <c:v>21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8-4E64-AA96-D8A1D504A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1-46DB-B335-D50E13AA5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5-4D79-8550-CAF0A5A9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4-419F-9EB4-64925258E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5-4C13-AC8E-04EAD1F30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8-4C44-95F5-599D40E66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5F-4214-9732-C168B350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D-48AC-9993-65FEF6A95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DF3-A879-C2CCCA7D7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9-42E7-8B6E-3A654C871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0-421C-A329-D394A48F0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98-4FE3-B27A-80317B524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5-4649-85E0-D5BA1DF06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57-4A01-A8E1-3E29140CC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-4460</c:v>
                </c:pt>
                <c:pt idx="1">
                  <c:v>-1620</c:v>
                </c:pt>
                <c:pt idx="2">
                  <c:v>2620</c:v>
                </c:pt>
                <c:pt idx="3">
                  <c:v>-3880</c:v>
                </c:pt>
                <c:pt idx="4">
                  <c:v>-7200</c:v>
                </c:pt>
                <c:pt idx="5">
                  <c:v>4460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0-40D5-B0A0-5DF9FA721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2-416C-90E8-4B7D41A28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いちかわ2!$C$3:$C$8</c:f>
              <c:numCache>
                <c:formatCode>\+0.0;\-0.0;\±0</c:formatCode>
                <c:ptCount val="6"/>
                <c:pt idx="1">
                  <c:v>-18.399999999999999</c:v>
                </c:pt>
                <c:pt idx="2">
                  <c:v>-1.8999999999999995</c:v>
                </c:pt>
                <c:pt idx="3">
                  <c:v>-3.3666666666666658</c:v>
                </c:pt>
                <c:pt idx="4">
                  <c:v>-12.849999999999998</c:v>
                </c:pt>
                <c:pt idx="5">
                  <c:v>-14.079999999999998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28814442238686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いちかわ2!$D$3:$D$8</c:f>
              <c:numCache>
                <c:formatCode>0.00\ "位"</c:formatCode>
                <c:ptCount val="6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いちかわ2!$E$3:$E$8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いちかわ2!$F$3:$F$8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いちかわ2!$G$3:$G$8</c:f>
              <c:numCache>
                <c:formatCode>0.0%</c:formatCode>
                <c:ptCount val="6"/>
                <c:pt idx="1">
                  <c:v>0.125</c:v>
                </c:pt>
                <c:pt idx="2">
                  <c:v>0.22222222222222221</c:v>
                </c:pt>
                <c:pt idx="3">
                  <c:v>0.20689655172413793</c:v>
                </c:pt>
                <c:pt idx="4">
                  <c:v>0.15384615384615385</c:v>
                </c:pt>
                <c:pt idx="5">
                  <c:v>0.15217391304347827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854357099329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いちかわ2!$H$3:$H$8</c:f>
              <c:numCache>
                <c:formatCode>0.0%</c:formatCode>
                <c:ptCount val="6"/>
                <c:pt idx="1">
                  <c:v>0.25</c:v>
                </c:pt>
                <c:pt idx="2">
                  <c:v>0.16666666666666666</c:v>
                </c:pt>
                <c:pt idx="3">
                  <c:v>0.2413793103448276</c:v>
                </c:pt>
                <c:pt idx="4">
                  <c:v>0.25641025641025639</c:v>
                </c:pt>
                <c:pt idx="5">
                  <c:v>0.2391304347826087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082266910420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いちかわ2!$I$3:$I$8</c:f>
              <c:numCache>
                <c:formatCode>0</c:formatCode>
                <c:ptCount val="6"/>
                <c:pt idx="1">
                  <c:v>18000</c:v>
                </c:pt>
                <c:pt idx="2">
                  <c:v>10150</c:v>
                </c:pt>
                <c:pt idx="3">
                  <c:v>9433.3333333333339</c:v>
                </c:pt>
                <c:pt idx="4">
                  <c:v>9433.3333333333339</c:v>
                </c:pt>
                <c:pt idx="5">
                  <c:v>9742.8571428571431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0.2323125659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いちかわ2!$J$3:$J$8</c:f>
              <c:numCache>
                <c:formatCode>0</c:formatCode>
                <c:ptCount val="6"/>
                <c:pt idx="1">
                  <c:v>-5950</c:v>
                </c:pt>
                <c:pt idx="2">
                  <c:v>-6633.333333333333</c:v>
                </c:pt>
                <c:pt idx="3">
                  <c:v>-4914.2857142857147</c:v>
                </c:pt>
                <c:pt idx="4">
                  <c:v>-5170</c:v>
                </c:pt>
                <c:pt idx="5">
                  <c:v>-4936.363636363636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7.878787878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62287104622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いちかわ2!$L$3:$L$8</c:f>
              <c:numCache>
                <c:formatCode>0.0%</c:formatCode>
                <c:ptCount val="6"/>
                <c:pt idx="1">
                  <c:v>0.25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0.20512820512820512</c:v>
                </c:pt>
                <c:pt idx="5">
                  <c:v>0.21739130434782608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40219378427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いちかわ2!$M$3:$M$8</c:f>
              <c:numCache>
                <c:formatCode>0.0%</c:formatCode>
                <c:ptCount val="6"/>
                <c:pt idx="1">
                  <c:v>0</c:v>
                </c:pt>
                <c:pt idx="2">
                  <c:v>0.1111111111111111</c:v>
                </c:pt>
                <c:pt idx="3">
                  <c:v>0.10344827586206896</c:v>
                </c:pt>
                <c:pt idx="4">
                  <c:v>7.6923076923076927E-2</c:v>
                </c:pt>
                <c:pt idx="5">
                  <c:v>0.10869565217391304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88604509445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いちかわ2!$N$3:$N$8</c:f>
              <c:numCache>
                <c:formatCode>0.0%</c:formatCode>
                <c:ptCount val="6"/>
                <c:pt idx="1">
                  <c:v>0.5</c:v>
                </c:pt>
                <c:pt idx="2">
                  <c:v>0.75</c:v>
                </c:pt>
                <c:pt idx="3">
                  <c:v>0.8</c:v>
                </c:pt>
                <c:pt idx="4">
                  <c:v>0.5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4005069708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いちかわ2!$O$3:$O$8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84388807069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いちかわ2!$P$3:$P$8</c:f>
              <c:numCache>
                <c:formatCode>0.0%</c:formatCode>
                <c:ptCount val="6"/>
                <c:pt idx="1">
                  <c:v>1</c:v>
                </c:pt>
                <c:pt idx="2">
                  <c:v>0.75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51847940865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E83C73-4E23-4A59-9E28-31068FB6C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7FE527-4848-4903-9BB5-23B80F826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557A09-8982-4F7C-9712-30DA42D0B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67606D-A096-4F2D-B02F-1F18096DF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A31396-699C-42FD-8696-59444FCEB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398F89-CD6E-4F9D-969F-1201200E6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D85556-EDBA-4CBD-90BB-321C28718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02E555-E42E-47CA-BA80-274FE82EB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80A9F3-E022-459C-9848-1CD151337B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BB21D6-A6BB-4BF9-97A8-8F56284B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5D34D6-D655-4B43-BE90-7536750AE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FF3426-9C0A-4078-87DC-449465677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EB4A52-CBA4-4291-B6D2-E2ABA061D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FEFFEA-DACA-48F0-A63B-ACE26FCB1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2AC630-A664-49F2-96E6-E8A8E82C2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2B35D3-0974-4E11-8611-FABEE11B1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99AA68-7727-4576-8437-6A2C24C18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284E52-BE53-4360-A55B-41FDDD300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0AA638-774C-4089-98F9-7F8896180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6141FC-B51F-4C43-9F73-5A08EB585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E4B3FE-A692-45E8-ACA8-001F68B8C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5C8FEB-208F-4290-B819-753951CE6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FA34FC-0E03-4538-85B3-8B5A3CF8D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AB03EE-F6AE-4CA7-9C55-816731E0A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93308E-7F2E-41EF-80A4-A68FEEE68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092F55-8C9F-4BC5-9B64-DC544472B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E86F86-642E-4D43-B989-B1B74C259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7A7179-DFBB-469D-B9A5-5F266DC17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D03B1A-94ED-4B8A-AD79-61FC6A6E1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19C062-E901-4D0F-89E3-50D71304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60F554-DE94-4CBB-B4E2-7AF49831ED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D419D1-ADB3-4D5A-B52B-654B6BD85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205450-A4B6-41BF-9E55-9E8291A46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5A43E9-45DA-4C36-8E1B-9D18C8947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F7D3E6-E3C0-4AEC-B6BD-205B9D54B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9792DE-02AD-4D7C-A3DE-69410EB35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1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5">
      <c r="A37" s="2" t="s">
        <v>242</v>
      </c>
      <c r="B37" s="3">
        <v>44039.966226851851</v>
      </c>
      <c r="C37" s="2" t="s">
        <v>127</v>
      </c>
      <c r="D37" s="2" t="s">
        <v>191</v>
      </c>
      <c r="E37" s="2" t="s">
        <v>195</v>
      </c>
      <c r="F37" s="2" t="s">
        <v>197</v>
      </c>
    </row>
    <row r="38" spans="1:7" x14ac:dyDescent="0.45">
      <c r="A38" s="2" t="s">
        <v>244</v>
      </c>
      <c r="B38" s="3">
        <v>44039.964803240742</v>
      </c>
      <c r="C38" s="2" t="s">
        <v>127</v>
      </c>
      <c r="D38" s="2" t="s">
        <v>191</v>
      </c>
    </row>
    <row r="39" spans="1:7" x14ac:dyDescent="0.45">
      <c r="A39" s="2" t="s">
        <v>245</v>
      </c>
      <c r="B39" s="3">
        <v>44040.95952546296</v>
      </c>
      <c r="C39" s="2" t="s">
        <v>127</v>
      </c>
      <c r="D39" s="2" t="s">
        <v>191</v>
      </c>
      <c r="E39" s="2" t="s">
        <v>195</v>
      </c>
      <c r="F39" s="2" t="s">
        <v>197</v>
      </c>
    </row>
    <row r="40" spans="1:7" x14ac:dyDescent="0.45">
      <c r="A40" s="2" t="s">
        <v>246</v>
      </c>
      <c r="B40" s="3">
        <v>44042.957696759258</v>
      </c>
      <c r="C40" s="2" t="s">
        <v>127</v>
      </c>
    </row>
    <row r="41" spans="1:7" x14ac:dyDescent="0.45">
      <c r="A41" s="2" t="s">
        <v>247</v>
      </c>
      <c r="B41" s="3">
        <v>44044.002557870372</v>
      </c>
      <c r="C41" s="2" t="s">
        <v>127</v>
      </c>
      <c r="D41" s="2" t="s">
        <v>191</v>
      </c>
      <c r="E41" s="2" t="s">
        <v>195</v>
      </c>
      <c r="F41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411</v>
      </c>
    </row>
    <row r="2" spans="1:2" x14ac:dyDescent="0.45">
      <c r="A2" t="s">
        <v>164</v>
      </c>
      <c r="B2">
        <v>73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101</v>
      </c>
    </row>
    <row r="5" spans="1:2" x14ac:dyDescent="0.45">
      <c r="A5" t="s">
        <v>194</v>
      </c>
      <c r="B5">
        <v>42</v>
      </c>
    </row>
    <row r="6" spans="1:2" x14ac:dyDescent="0.45">
      <c r="A6" t="s">
        <v>192</v>
      </c>
      <c r="B6">
        <v>69</v>
      </c>
    </row>
    <row r="7" spans="1:2" x14ac:dyDescent="0.45">
      <c r="A7" t="s">
        <v>193</v>
      </c>
      <c r="B7">
        <v>46</v>
      </c>
    </row>
    <row r="8" spans="1:2" x14ac:dyDescent="0.45">
      <c r="A8" t="s">
        <v>196</v>
      </c>
      <c r="B8">
        <v>10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  <row r="12" spans="1:2" x14ac:dyDescent="0.45">
      <c r="A12" t="s">
        <v>243</v>
      </c>
      <c r="B12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0.63917499426423929</v>
      </c>
      <c r="C2" s="142"/>
      <c r="D2" s="145"/>
      <c r="E2" s="146"/>
      <c r="F2" s="145"/>
      <c r="G2" s="146"/>
      <c r="H2" s="141">
        <v>-0.15937597271395235</v>
      </c>
      <c r="I2" s="142"/>
      <c r="J2" s="141">
        <v>0.90402879067710007</v>
      </c>
      <c r="K2" s="142"/>
      <c r="L2" s="141">
        <v>0.74897596356503937</v>
      </c>
      <c r="M2" s="142"/>
      <c r="N2" s="141">
        <v>0.63411084159849507</v>
      </c>
      <c r="O2" s="142"/>
      <c r="P2" s="141">
        <v>0.22650107062211092</v>
      </c>
      <c r="Q2" s="142"/>
      <c r="R2" s="141">
        <v>0.16607491735980831</v>
      </c>
      <c r="S2" s="142"/>
      <c r="T2" s="141">
        <v>0.43774633777509703</v>
      </c>
      <c r="U2" s="142"/>
      <c r="V2" s="141">
        <v>-9.7264809404870992E-2</v>
      </c>
      <c r="W2" s="142"/>
      <c r="X2" s="141">
        <v>0.24997167175961699</v>
      </c>
      <c r="Y2" s="142"/>
      <c r="Z2" s="141">
        <v>9.9289162933320019E-2</v>
      </c>
      <c r="AA2" s="142"/>
      <c r="AB2" s="141">
        <v>-6.6910573127254833E-2</v>
      </c>
      <c r="AC2" s="142"/>
      <c r="AD2" s="141">
        <v>0.10245896470866403</v>
      </c>
      <c r="AE2" s="142"/>
      <c r="AF2" s="141">
        <v>0.15025685786978477</v>
      </c>
      <c r="AG2" s="142"/>
      <c r="AH2" s="141">
        <v>0.2668626678168593</v>
      </c>
      <c r="AI2" s="142"/>
      <c r="AJ2" s="141">
        <v>0.12191104528219816</v>
      </c>
      <c r="AK2" s="142"/>
    </row>
    <row r="3" spans="1:37" x14ac:dyDescent="0.45">
      <c r="A3" s="40">
        <v>1</v>
      </c>
      <c r="B3" s="43" t="s">
        <v>139</v>
      </c>
      <c r="C3" s="117">
        <v>137</v>
      </c>
      <c r="D3" s="41" t="s">
        <v>126</v>
      </c>
      <c r="E3" s="42">
        <v>679.00000000000011</v>
      </c>
      <c r="F3" s="43" t="s">
        <v>126</v>
      </c>
      <c r="G3" s="62">
        <v>6.7227722772277243</v>
      </c>
      <c r="H3" s="43" t="s">
        <v>196</v>
      </c>
      <c r="I3" s="62">
        <v>5.644444444444443</v>
      </c>
      <c r="J3" s="43" t="s">
        <v>126</v>
      </c>
      <c r="K3" s="44">
        <v>1.8217821782178218</v>
      </c>
      <c r="L3" s="43" t="s">
        <v>126</v>
      </c>
      <c r="M3" s="45">
        <v>0.42574257425742573</v>
      </c>
      <c r="N3" s="43" t="s">
        <v>196</v>
      </c>
      <c r="O3" s="45">
        <v>0.2</v>
      </c>
      <c r="P3" s="43" t="s">
        <v>193</v>
      </c>
      <c r="Q3" s="46">
        <v>0.34340659340659341</v>
      </c>
      <c r="R3" s="43" t="s">
        <v>196</v>
      </c>
      <c r="S3" s="46">
        <v>7.407407407407407E-2</v>
      </c>
      <c r="T3" s="43" t="s">
        <v>164</v>
      </c>
      <c r="U3" s="47">
        <v>10189.440993788819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0.35989010989010989</v>
      </c>
      <c r="AD3" s="43" t="s">
        <v>212</v>
      </c>
      <c r="AE3" s="46">
        <v>0.70833333333333337</v>
      </c>
      <c r="AF3" s="43" t="s">
        <v>212</v>
      </c>
      <c r="AG3" s="46">
        <v>0.5714285714285714</v>
      </c>
      <c r="AH3" s="43" t="s">
        <v>243</v>
      </c>
      <c r="AI3" s="46">
        <v>0.7142857142857143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101</v>
      </c>
      <c r="D4" s="49" t="s">
        <v>193</v>
      </c>
      <c r="E4" s="50">
        <v>183.4</v>
      </c>
      <c r="F4" s="51" t="s">
        <v>193</v>
      </c>
      <c r="G4" s="63">
        <v>3.9869565217391307</v>
      </c>
      <c r="H4" s="51" t="s">
        <v>194</v>
      </c>
      <c r="I4" s="63">
        <v>2.3292592592592598</v>
      </c>
      <c r="J4" s="51" t="s">
        <v>193</v>
      </c>
      <c r="K4" s="52">
        <v>1.8913043478260869</v>
      </c>
      <c r="L4" s="51" t="s">
        <v>164</v>
      </c>
      <c r="M4" s="53">
        <v>0.36986301369863012</v>
      </c>
      <c r="N4" s="51" t="s">
        <v>126</v>
      </c>
      <c r="O4" s="53">
        <v>0.24752475247524752</v>
      </c>
      <c r="P4" s="51" t="s">
        <v>205</v>
      </c>
      <c r="Q4" s="54">
        <v>0.31578947368421051</v>
      </c>
      <c r="R4" s="51" t="s">
        <v>192</v>
      </c>
      <c r="S4" s="54">
        <v>0.12169312169312169</v>
      </c>
      <c r="T4" s="51" t="s">
        <v>243</v>
      </c>
      <c r="U4" s="55">
        <v>9742.8571428571431</v>
      </c>
      <c r="V4" s="51" t="s">
        <v>243</v>
      </c>
      <c r="W4" s="55">
        <v>-4936.363636363636</v>
      </c>
      <c r="X4" s="51" t="s">
        <v>212</v>
      </c>
      <c r="Y4" s="53">
        <v>0</v>
      </c>
      <c r="Z4" s="51" t="s">
        <v>164</v>
      </c>
      <c r="AA4" s="54">
        <v>0.30338983050847457</v>
      </c>
      <c r="AB4" s="51" t="s">
        <v>205</v>
      </c>
      <c r="AC4" s="54">
        <v>0.26934984520123839</v>
      </c>
      <c r="AD4" s="51" t="s">
        <v>205</v>
      </c>
      <c r="AE4" s="54">
        <v>0.64912280701754388</v>
      </c>
      <c r="AF4" s="51" t="s">
        <v>194</v>
      </c>
      <c r="AG4" s="54">
        <v>0.56862745098039214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73</v>
      </c>
      <c r="D5" s="49" t="s">
        <v>164</v>
      </c>
      <c r="E5" s="50">
        <v>9.5999999999999588</v>
      </c>
      <c r="F5" s="51" t="s">
        <v>164</v>
      </c>
      <c r="G5" s="63">
        <v>0.13150684931506793</v>
      </c>
      <c r="H5" s="51" t="s">
        <v>212</v>
      </c>
      <c r="I5" s="63">
        <v>2.1361111111111115</v>
      </c>
      <c r="J5" s="51" t="s">
        <v>164</v>
      </c>
      <c r="K5" s="52">
        <v>2</v>
      </c>
      <c r="L5" s="51" t="s">
        <v>193</v>
      </c>
      <c r="M5" s="53">
        <v>0.36956521739130432</v>
      </c>
      <c r="N5" s="51" t="s">
        <v>193</v>
      </c>
      <c r="O5" s="53">
        <v>0.2608695652173913</v>
      </c>
      <c r="P5" s="51" t="s">
        <v>212</v>
      </c>
      <c r="Q5" s="54">
        <v>0.3108108108108108</v>
      </c>
      <c r="R5" s="51" t="s">
        <v>193</v>
      </c>
      <c r="S5" s="54">
        <v>0.13461538461538461</v>
      </c>
      <c r="T5" s="51" t="s">
        <v>126</v>
      </c>
      <c r="U5" s="55">
        <v>9682.9166666666661</v>
      </c>
      <c r="V5" s="51" t="s">
        <v>194</v>
      </c>
      <c r="W5" s="55">
        <v>-7148.0769230769229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0.23809523809523808</v>
      </c>
      <c r="AD5" s="51" t="s">
        <v>196</v>
      </c>
      <c r="AE5" s="54">
        <v>0.61904761904761907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69</v>
      </c>
      <c r="D6" s="49" t="s">
        <v>139</v>
      </c>
      <c r="E6" s="50">
        <v>7.1054273576010019E-15</v>
      </c>
      <c r="F6" s="51" t="s">
        <v>139</v>
      </c>
      <c r="G6" s="63">
        <v>1.7288144422386866E-17</v>
      </c>
      <c r="H6" s="51" t="s">
        <v>126</v>
      </c>
      <c r="I6" s="63">
        <v>0.16730467465350549</v>
      </c>
      <c r="J6" s="51" t="s">
        <v>196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0.30037546933667086</v>
      </c>
      <c r="R6" s="51" t="s">
        <v>126</v>
      </c>
      <c r="S6" s="54">
        <v>0.13767209011264081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5.9405940594059403E-2</v>
      </c>
      <c r="Z6" s="51" t="s">
        <v>240</v>
      </c>
      <c r="AA6" s="54">
        <v>0.26829268292682928</v>
      </c>
      <c r="AB6" s="51" t="s">
        <v>139</v>
      </c>
      <c r="AC6" s="54">
        <v>0.2068860450944546</v>
      </c>
      <c r="AD6" s="51" t="s">
        <v>126</v>
      </c>
      <c r="AE6" s="54">
        <v>0.59090909090909094</v>
      </c>
      <c r="AF6" s="51" t="s">
        <v>126</v>
      </c>
      <c r="AG6" s="54">
        <v>0.47244094488188976</v>
      </c>
      <c r="AH6" s="51" t="s">
        <v>194</v>
      </c>
      <c r="AI6" s="54">
        <v>0.5161290322580645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193</v>
      </c>
      <c r="C7" s="118">
        <v>46</v>
      </c>
      <c r="D7" s="49" t="s">
        <v>196</v>
      </c>
      <c r="E7" s="50">
        <v>-13.400000000000013</v>
      </c>
      <c r="F7" s="51" t="s">
        <v>196</v>
      </c>
      <c r="G7" s="63">
        <v>-1.3400000000000012</v>
      </c>
      <c r="H7" s="51" t="s">
        <v>192</v>
      </c>
      <c r="I7" s="63">
        <v>0.16151515151515383</v>
      </c>
      <c r="J7" s="51" t="s">
        <v>139</v>
      </c>
      <c r="K7" s="52">
        <v>2</v>
      </c>
      <c r="L7" s="51" t="s">
        <v>192</v>
      </c>
      <c r="M7" s="53">
        <v>0.3188405797101449</v>
      </c>
      <c r="N7" s="51" t="s">
        <v>212</v>
      </c>
      <c r="O7" s="53">
        <v>0.33333333333333331</v>
      </c>
      <c r="P7" s="51" t="s">
        <v>139</v>
      </c>
      <c r="Q7" s="54">
        <v>0.28854357099329675</v>
      </c>
      <c r="R7" s="51" t="s">
        <v>240</v>
      </c>
      <c r="S7" s="54">
        <v>0.14634146341463414</v>
      </c>
      <c r="T7" s="51" t="s">
        <v>139</v>
      </c>
      <c r="U7" s="55">
        <v>8740.2323125659987</v>
      </c>
      <c r="V7" s="51" t="s">
        <v>164</v>
      </c>
      <c r="W7" s="55">
        <v>-7580</v>
      </c>
      <c r="X7" s="51" t="s">
        <v>192</v>
      </c>
      <c r="Y7" s="53">
        <v>7.2463768115942032E-2</v>
      </c>
      <c r="Z7" s="51" t="s">
        <v>196</v>
      </c>
      <c r="AA7" s="54">
        <v>0.25925925925925924</v>
      </c>
      <c r="AB7" s="51" t="s">
        <v>164</v>
      </c>
      <c r="AC7" s="54">
        <v>0.19322033898305085</v>
      </c>
      <c r="AD7" s="51" t="s">
        <v>193</v>
      </c>
      <c r="AE7" s="54">
        <v>0.5901639344262295</v>
      </c>
      <c r="AF7" s="51" t="s">
        <v>193</v>
      </c>
      <c r="AG7" s="54">
        <v>0.4351145038167939</v>
      </c>
      <c r="AH7" s="51" t="s">
        <v>126</v>
      </c>
      <c r="AI7" s="54">
        <v>0.5083333333333333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42</v>
      </c>
      <c r="D8" s="49" t="s">
        <v>212</v>
      </c>
      <c r="E8" s="50">
        <v>-41.599999999999994</v>
      </c>
      <c r="F8" s="51" t="s">
        <v>192</v>
      </c>
      <c r="G8" s="63">
        <v>-1.3507246376811588</v>
      </c>
      <c r="H8" s="51" t="s">
        <v>164</v>
      </c>
      <c r="I8" s="63">
        <v>2.651072124756837E-2</v>
      </c>
      <c r="J8" s="51" t="s">
        <v>192</v>
      </c>
      <c r="K8" s="52">
        <v>2.0434782608695654</v>
      </c>
      <c r="L8" s="51" t="s">
        <v>205</v>
      </c>
      <c r="M8" s="53">
        <v>0.2857142857142857</v>
      </c>
      <c r="N8" s="51" t="s">
        <v>192</v>
      </c>
      <c r="O8" s="53">
        <v>0.36231884057971014</v>
      </c>
      <c r="P8" s="51" t="s">
        <v>194</v>
      </c>
      <c r="Q8" s="54">
        <v>0.28792569659442724</v>
      </c>
      <c r="R8" s="51" t="s">
        <v>139</v>
      </c>
      <c r="S8" s="54">
        <v>0.15082266910420475</v>
      </c>
      <c r="T8" s="51" t="s">
        <v>192</v>
      </c>
      <c r="U8" s="55">
        <v>8177.272727272727</v>
      </c>
      <c r="V8" s="51" t="s">
        <v>139</v>
      </c>
      <c r="W8" s="55">
        <v>-7907.878787878788</v>
      </c>
      <c r="X8" s="51" t="s">
        <v>139</v>
      </c>
      <c r="Y8" s="53">
        <v>0.10462287104622871</v>
      </c>
      <c r="Z8" s="51" t="s">
        <v>126</v>
      </c>
      <c r="AA8" s="54">
        <v>0.24780976220275344</v>
      </c>
      <c r="AB8" s="51" t="s">
        <v>126</v>
      </c>
      <c r="AC8" s="54">
        <v>0.15894868585732166</v>
      </c>
      <c r="AD8" s="51" t="s">
        <v>139</v>
      </c>
      <c r="AE8" s="54">
        <v>0.5564005069708492</v>
      </c>
      <c r="AF8" s="51" t="s">
        <v>139</v>
      </c>
      <c r="AG8" s="54">
        <v>0.41384388807069217</v>
      </c>
      <c r="AH8" s="51" t="s">
        <v>139</v>
      </c>
      <c r="AI8" s="54">
        <v>0.4751847940865892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205</v>
      </c>
      <c r="C9" s="118">
        <v>42</v>
      </c>
      <c r="D9" s="49" t="s">
        <v>243</v>
      </c>
      <c r="E9" s="50">
        <v>-70.399999999999991</v>
      </c>
      <c r="F9" s="51" t="s">
        <v>205</v>
      </c>
      <c r="G9" s="63">
        <v>-4.6000000000000005</v>
      </c>
      <c r="H9" s="51" t="s">
        <v>139</v>
      </c>
      <c r="I9" s="63">
        <v>0</v>
      </c>
      <c r="J9" s="51" t="s">
        <v>205</v>
      </c>
      <c r="K9" s="52">
        <v>2.0952380952380953</v>
      </c>
      <c r="L9" s="51" t="s">
        <v>189</v>
      </c>
      <c r="M9" s="53">
        <v>0.22222222222222221</v>
      </c>
      <c r="N9" s="51" t="s">
        <v>164</v>
      </c>
      <c r="O9" s="53">
        <v>0.36986301369863012</v>
      </c>
      <c r="P9" s="51" t="s">
        <v>164</v>
      </c>
      <c r="Q9" s="54">
        <v>0.27288135593220336</v>
      </c>
      <c r="R9" s="51" t="s">
        <v>194</v>
      </c>
      <c r="S9" s="54">
        <v>0.1609907120743034</v>
      </c>
      <c r="T9" s="51" t="s">
        <v>205</v>
      </c>
      <c r="U9" s="55">
        <v>8118.6274509803925</v>
      </c>
      <c r="V9" s="51" t="s">
        <v>192</v>
      </c>
      <c r="W9" s="55">
        <v>-8091.304347826087</v>
      </c>
      <c r="X9" s="51" t="s">
        <v>189</v>
      </c>
      <c r="Y9" s="53">
        <v>0.1111111111111111</v>
      </c>
      <c r="Z9" s="51" t="s">
        <v>139</v>
      </c>
      <c r="AA9" s="54">
        <v>0.24040219378427788</v>
      </c>
      <c r="AB9" s="51" t="s">
        <v>194</v>
      </c>
      <c r="AC9" s="54">
        <v>0.15789473684210525</v>
      </c>
      <c r="AD9" s="51" t="s">
        <v>194</v>
      </c>
      <c r="AE9" s="54">
        <v>0.54545454545454541</v>
      </c>
      <c r="AF9" s="51" t="s">
        <v>192</v>
      </c>
      <c r="AG9" s="54">
        <v>0.40740740740740738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196</v>
      </c>
      <c r="C10" s="118">
        <v>10</v>
      </c>
      <c r="D10" s="49" t="s">
        <v>192</v>
      </c>
      <c r="E10" s="50">
        <v>-93.19999999999996</v>
      </c>
      <c r="F10" s="51" t="s">
        <v>212</v>
      </c>
      <c r="G10" s="63">
        <v>-4.6222222222222218</v>
      </c>
      <c r="H10" s="51" t="s">
        <v>193</v>
      </c>
      <c r="I10" s="63">
        <v>-0.15800653594771319</v>
      </c>
      <c r="J10" s="51" t="s">
        <v>212</v>
      </c>
      <c r="K10" s="52">
        <v>2.1111111111111112</v>
      </c>
      <c r="L10" s="51" t="s">
        <v>212</v>
      </c>
      <c r="M10" s="53">
        <v>0.22222222222222221</v>
      </c>
      <c r="N10" s="51" t="s">
        <v>205</v>
      </c>
      <c r="O10" s="53">
        <v>0.38095238095238093</v>
      </c>
      <c r="P10" s="51" t="s">
        <v>192</v>
      </c>
      <c r="Q10" s="54">
        <v>0.27160493827160492</v>
      </c>
      <c r="R10" s="51" t="s">
        <v>205</v>
      </c>
      <c r="S10" s="54">
        <v>0.17337461300309598</v>
      </c>
      <c r="T10" s="51" t="s">
        <v>194</v>
      </c>
      <c r="U10" s="55">
        <v>7873.1182795698924</v>
      </c>
      <c r="V10" s="51" t="s">
        <v>126</v>
      </c>
      <c r="W10" s="55">
        <v>-8131.818181818182</v>
      </c>
      <c r="X10" s="51" t="s">
        <v>205</v>
      </c>
      <c r="Y10" s="53">
        <v>0.11904761904761904</v>
      </c>
      <c r="Z10" s="51" t="s">
        <v>194</v>
      </c>
      <c r="AA10" s="54">
        <v>0.23839009287925697</v>
      </c>
      <c r="AB10" s="51" t="s">
        <v>196</v>
      </c>
      <c r="AC10" s="54">
        <v>0.13580246913580246</v>
      </c>
      <c r="AD10" s="51" t="s">
        <v>192</v>
      </c>
      <c r="AE10" s="54">
        <v>0.52307692307692311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194</v>
      </c>
      <c r="G11" s="63">
        <v>-5.7380952380952337</v>
      </c>
      <c r="H11" s="51" t="s">
        <v>205</v>
      </c>
      <c r="I11" s="63">
        <v>-1.1235119047619051</v>
      </c>
      <c r="J11" s="51" t="s">
        <v>194</v>
      </c>
      <c r="K11" s="52">
        <v>2.2142857142857144</v>
      </c>
      <c r="L11" s="51" t="s">
        <v>194</v>
      </c>
      <c r="M11" s="53">
        <v>0.21428571428571427</v>
      </c>
      <c r="N11" s="51" t="s">
        <v>240</v>
      </c>
      <c r="O11" s="53">
        <v>0.4</v>
      </c>
      <c r="P11" s="51" t="s">
        <v>196</v>
      </c>
      <c r="Q11" s="54">
        <v>0.23456790123456789</v>
      </c>
      <c r="R11" s="51" t="s">
        <v>164</v>
      </c>
      <c r="S11" s="54">
        <v>0.17796610169491525</v>
      </c>
      <c r="T11" s="51" t="s">
        <v>196</v>
      </c>
      <c r="U11" s="55">
        <v>7736.8421052631575</v>
      </c>
      <c r="V11" s="51" t="s">
        <v>193</v>
      </c>
      <c r="W11" s="55">
        <v>-8171.4285714285716</v>
      </c>
      <c r="X11" s="51" t="s">
        <v>194</v>
      </c>
      <c r="Y11" s="53">
        <v>0.14285714285714285</v>
      </c>
      <c r="Z11" s="51" t="s">
        <v>192</v>
      </c>
      <c r="AA11" s="54">
        <v>0.2292768959435626</v>
      </c>
      <c r="AB11" s="51" t="s">
        <v>240</v>
      </c>
      <c r="AC11" s="54">
        <v>0.12195121951219512</v>
      </c>
      <c r="AD11" s="51" t="s">
        <v>243</v>
      </c>
      <c r="AE11" s="54">
        <v>0.5</v>
      </c>
      <c r="AF11" s="51" t="s">
        <v>164</v>
      </c>
      <c r="AG11" s="54">
        <v>0.34210526315789475</v>
      </c>
      <c r="AH11" s="51" t="s">
        <v>193</v>
      </c>
      <c r="AI11" s="54">
        <v>0.44800000000000001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189</v>
      </c>
      <c r="K12" s="52">
        <v>2.2222222222222223</v>
      </c>
      <c r="L12" s="51" t="s">
        <v>196</v>
      </c>
      <c r="M12" s="53">
        <v>0.2</v>
      </c>
      <c r="N12" s="51" t="s">
        <v>194</v>
      </c>
      <c r="O12" s="53">
        <v>0.42857142857142855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193</v>
      </c>
      <c r="Y12" s="53">
        <v>0.15217391304347827</v>
      </c>
      <c r="Z12" s="51" t="s">
        <v>243</v>
      </c>
      <c r="AA12" s="54">
        <v>0.21739130434782608</v>
      </c>
      <c r="AB12" s="51" t="s">
        <v>243</v>
      </c>
      <c r="AC12" s="54">
        <v>0.10869565217391304</v>
      </c>
      <c r="AD12" s="51" t="s">
        <v>164</v>
      </c>
      <c r="AE12" s="54">
        <v>0.4972067039106145</v>
      </c>
      <c r="AF12" s="51" t="s">
        <v>205</v>
      </c>
      <c r="AG12" s="54">
        <v>0.32183908045977011</v>
      </c>
      <c r="AH12" s="51" t="s">
        <v>164</v>
      </c>
      <c r="AI12" s="54">
        <v>0.44720496894409939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243</v>
      </c>
      <c r="G13" s="63">
        <v>-14.079999999999998</v>
      </c>
      <c r="H13" s="51" t="s">
        <v>243</v>
      </c>
      <c r="I13" s="63">
        <v>-5.977777777777777</v>
      </c>
      <c r="J13" s="51" t="s">
        <v>240</v>
      </c>
      <c r="K13" s="52">
        <v>2.4</v>
      </c>
      <c r="L13" s="51" t="s">
        <v>243</v>
      </c>
      <c r="M13" s="53">
        <v>0.2</v>
      </c>
      <c r="N13" s="51" t="s">
        <v>189</v>
      </c>
      <c r="O13" s="53">
        <v>0.44444444444444442</v>
      </c>
      <c r="P13" s="51" t="s">
        <v>240</v>
      </c>
      <c r="Q13" s="54">
        <v>0.17073170731707318</v>
      </c>
      <c r="R13" s="51" t="s">
        <v>189</v>
      </c>
      <c r="S13" s="54">
        <v>0.22972972972972974</v>
      </c>
      <c r="T13" s="51" t="s">
        <v>193</v>
      </c>
      <c r="U13" s="55">
        <v>7276.8</v>
      </c>
      <c r="V13" s="51" t="s">
        <v>240</v>
      </c>
      <c r="W13" s="55">
        <v>-8866.6666666666661</v>
      </c>
      <c r="X13" s="51" t="s">
        <v>164</v>
      </c>
      <c r="Y13" s="53">
        <v>0.16438356164383561</v>
      </c>
      <c r="Z13" s="51" t="s">
        <v>205</v>
      </c>
      <c r="AA13" s="54">
        <v>0.17647058823529413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240</v>
      </c>
      <c r="AG13" s="54">
        <v>0.2</v>
      </c>
      <c r="AH13" s="51" t="s">
        <v>192</v>
      </c>
      <c r="AI13" s="54">
        <v>0.43506493506493504</v>
      </c>
      <c r="AJ13" s="51" t="s">
        <v>240</v>
      </c>
      <c r="AK13" s="58">
        <v>45200</v>
      </c>
    </row>
    <row r="14" spans="1:37" x14ac:dyDescent="0.45">
      <c r="A14" s="48">
        <v>12</v>
      </c>
      <c r="B14" s="51" t="s">
        <v>243</v>
      </c>
      <c r="C14" s="118">
        <v>5</v>
      </c>
      <c r="D14" s="49" t="s">
        <v>194</v>
      </c>
      <c r="E14" s="50">
        <v>-240.99999999999983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243</v>
      </c>
      <c r="K14" s="52">
        <v>2.4</v>
      </c>
      <c r="L14" s="51" t="s">
        <v>240</v>
      </c>
      <c r="M14" s="53">
        <v>0</v>
      </c>
      <c r="N14" s="51" t="s">
        <v>243</v>
      </c>
      <c r="O14" s="53">
        <v>0.6</v>
      </c>
      <c r="P14" s="51" t="s">
        <v>243</v>
      </c>
      <c r="Q14" s="54">
        <v>0.15217391304347827</v>
      </c>
      <c r="R14" s="51" t="s">
        <v>243</v>
      </c>
      <c r="S14" s="54">
        <v>0.2391304347826087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0.16758241758241757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243</v>
      </c>
      <c r="AG14" s="54">
        <v>0.2</v>
      </c>
      <c r="AH14" s="51" t="s">
        <v>240</v>
      </c>
      <c r="AI14" s="54">
        <v>0.42857142857142855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DFAC4-3E3D-4AEB-8E81-D399A13B3D9A}">
  <sheetPr codeName="Sheet4"/>
  <dimension ref="A1:Q41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411</v>
      </c>
      <c r="C2" s="132"/>
      <c r="E2" s="28" t="s">
        <v>66</v>
      </c>
      <c r="F2" s="25" t="s">
        <v>22</v>
      </c>
      <c r="G2" s="13">
        <v>687</v>
      </c>
      <c r="H2" s="91">
        <f>IF(B$19=0,0,G2/B$19)</f>
        <v>0.72544878563885951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-12.437810945273633</v>
      </c>
      <c r="P2" s="80">
        <v>402</v>
      </c>
      <c r="Q2" s="67">
        <v>-5000</v>
      </c>
    </row>
    <row r="3" spans="1:17" x14ac:dyDescent="0.45">
      <c r="A3" s="21" t="s">
        <v>8</v>
      </c>
      <c r="B3" s="133">
        <v>3282</v>
      </c>
      <c r="C3" s="134"/>
      <c r="E3" s="29" t="s">
        <v>72</v>
      </c>
      <c r="F3" s="26" t="s">
        <v>27</v>
      </c>
      <c r="G3" s="14">
        <v>534</v>
      </c>
      <c r="H3" s="92">
        <f>IF(B$19=0,0,G3/B$19)</f>
        <v>0.56388595564941923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-4.9382716049382713</v>
      </c>
      <c r="P3" s="81">
        <v>405</v>
      </c>
      <c r="Q3" s="68">
        <v>-2000</v>
      </c>
    </row>
    <row r="4" spans="1:17" x14ac:dyDescent="0.45">
      <c r="A4" s="21" t="s">
        <v>6</v>
      </c>
      <c r="B4" s="135">
        <v>7.1054273576010019E-15</v>
      </c>
      <c r="C4" s="136"/>
      <c r="E4" s="29" t="s">
        <v>64</v>
      </c>
      <c r="F4" s="26" t="s">
        <v>20</v>
      </c>
      <c r="G4" s="14">
        <v>425</v>
      </c>
      <c r="H4" s="92">
        <f>IF(B$19=0,0,G4/B$19)</f>
        <v>0.44878563885955647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-7.8125</v>
      </c>
      <c r="P4" s="81">
        <v>384</v>
      </c>
      <c r="Q4" s="68">
        <v>-3000</v>
      </c>
    </row>
    <row r="5" spans="1:17" x14ac:dyDescent="0.45">
      <c r="A5" s="21" t="s">
        <v>7</v>
      </c>
      <c r="B5" s="123">
        <f>IF(B$2=0,0,B$4/B$2)</f>
        <v>1.7288144422386866E-17</v>
      </c>
      <c r="C5" s="124"/>
      <c r="E5" s="29" t="s">
        <v>160</v>
      </c>
      <c r="F5" s="26" t="s">
        <v>161</v>
      </c>
      <c r="G5" s="14">
        <v>401</v>
      </c>
      <c r="H5" s="92">
        <f>IF(B$19=0,0,G5/B$19)</f>
        <v>0.42344244984160506</v>
      </c>
      <c r="I5" s="60">
        <v>10</v>
      </c>
      <c r="K5" s="7">
        <v>3</v>
      </c>
      <c r="L5" s="65">
        <v>7.1054273576010019E-15</v>
      </c>
      <c r="N5" s="78" t="s">
        <v>131</v>
      </c>
      <c r="O5" s="84">
        <f t="shared" si="0"/>
        <v>17.094017094017094</v>
      </c>
      <c r="P5" s="81">
        <v>351</v>
      </c>
      <c r="Q5" s="68">
        <v>6000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308</v>
      </c>
      <c r="H6" s="92">
        <f>IF(B$19=0,0,G6/B$19)</f>
        <v>0.32523759239704331</v>
      </c>
      <c r="I6" s="60">
        <v>7</v>
      </c>
      <c r="K6" s="7">
        <v>4</v>
      </c>
      <c r="L6" s="65">
        <v>-55.499999999999993</v>
      </c>
      <c r="N6" s="78" t="s">
        <v>132</v>
      </c>
      <c r="O6" s="84">
        <f t="shared" si="0"/>
        <v>-51.98776758409786</v>
      </c>
      <c r="P6" s="81">
        <v>327</v>
      </c>
      <c r="Q6" s="68">
        <v>-17000</v>
      </c>
    </row>
    <row r="7" spans="1:17" x14ac:dyDescent="0.45">
      <c r="A7" s="21" t="s">
        <v>2</v>
      </c>
      <c r="B7" s="14">
        <v>137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240</v>
      </c>
      <c r="H7" s="92">
        <f>IF(B$19=0,0,G7/B$19)</f>
        <v>0.25343189017951423</v>
      </c>
      <c r="I7" s="60">
        <v>8</v>
      </c>
      <c r="K7" s="7">
        <v>5</v>
      </c>
      <c r="L7" s="65">
        <v>-55.999999999999993</v>
      </c>
      <c r="N7" s="79" t="s">
        <v>133</v>
      </c>
      <c r="O7" s="85">
        <f t="shared" si="0"/>
        <v>63.670411985018724</v>
      </c>
      <c r="P7" s="82">
        <v>267</v>
      </c>
      <c r="Q7" s="69">
        <v>17000</v>
      </c>
    </row>
    <row r="8" spans="1:17" x14ac:dyDescent="0.45">
      <c r="A8" s="21" t="s">
        <v>3</v>
      </c>
      <c r="B8" s="14">
        <v>137</v>
      </c>
      <c r="C8" s="8">
        <f t="shared" si="1"/>
        <v>0.33333333333333331</v>
      </c>
      <c r="E8" s="29" t="s">
        <v>69</v>
      </c>
      <c r="F8" s="26" t="s">
        <v>24</v>
      </c>
      <c r="G8" s="14">
        <v>139</v>
      </c>
      <c r="H8" s="92">
        <f>IF(B$19=0,0,G8/B$19)</f>
        <v>0.146779303062302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137</v>
      </c>
      <c r="C9" s="9">
        <f t="shared" si="1"/>
        <v>0.33333333333333331</v>
      </c>
      <c r="E9" s="29" t="s">
        <v>89</v>
      </c>
      <c r="F9" s="26" t="s">
        <v>44</v>
      </c>
      <c r="G9" s="14">
        <v>136</v>
      </c>
      <c r="H9" s="92">
        <f>IF(B$19=0,0,G9/B$19)</f>
        <v>0.14361140443505807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38.068613138686132</v>
      </c>
      <c r="C10" s="114">
        <v>5215.4000000000005</v>
      </c>
      <c r="E10" s="29" t="s">
        <v>65</v>
      </c>
      <c r="F10" s="26" t="s">
        <v>21</v>
      </c>
      <c r="G10" s="14">
        <v>90</v>
      </c>
      <c r="H10" s="92">
        <f>IF(B$19=0,0,G10/B$19)</f>
        <v>9.5036958817317843E-2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-5.8328467153284631</v>
      </c>
      <c r="P10" s="80">
        <v>137</v>
      </c>
      <c r="Q10" s="71">
        <v>-799.09999999999945</v>
      </c>
    </row>
    <row r="11" spans="1:17" x14ac:dyDescent="0.45">
      <c r="A11" s="22" t="s">
        <v>186</v>
      </c>
      <c r="B11" s="113">
        <f>IF(B8=0,0,C11/B8)</f>
        <v>-2.3744525547445261</v>
      </c>
      <c r="C11" s="114">
        <v>-325.30000000000007</v>
      </c>
      <c r="E11" s="29" t="s">
        <v>70</v>
      </c>
      <c r="F11" s="26" t="s">
        <v>25</v>
      </c>
      <c r="G11" s="14">
        <v>81</v>
      </c>
      <c r="H11" s="92">
        <f>IF(B$19=0,0,G11/B$19)</f>
        <v>8.5533262935586066E-2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2.7927007299270072</v>
      </c>
      <c r="P11" s="81">
        <v>137</v>
      </c>
      <c r="Q11" s="72">
        <v>382.59999999999997</v>
      </c>
    </row>
    <row r="12" spans="1:17" x14ac:dyDescent="0.45">
      <c r="A12" s="22" t="s">
        <v>187</v>
      </c>
      <c r="B12" s="113">
        <f>IF(B9=0,0,C12/B9)</f>
        <v>-35.694160583941603</v>
      </c>
      <c r="C12" s="114">
        <v>-4890.0999999999995</v>
      </c>
      <c r="E12" s="29" t="s">
        <v>71</v>
      </c>
      <c r="F12" s="26" t="s">
        <v>26</v>
      </c>
      <c r="G12" s="14">
        <v>55</v>
      </c>
      <c r="H12" s="92">
        <f>IF(B$19=0,0,G12/B$19)</f>
        <v>5.8078141499472019E-2</v>
      </c>
      <c r="I12" s="60">
        <v>7</v>
      </c>
      <c r="K12" s="7">
        <v>10</v>
      </c>
      <c r="L12" s="65">
        <v>60.4</v>
      </c>
      <c r="N12" s="79" t="s">
        <v>154</v>
      </c>
      <c r="O12" s="88">
        <f>IF(P12=0,0,Q12/P12)</f>
        <v>3.0401459854014572</v>
      </c>
      <c r="P12" s="82">
        <v>137</v>
      </c>
      <c r="Q12" s="73">
        <v>416.49999999999966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55</v>
      </c>
      <c r="H13" s="92">
        <f>IF(B$19=0,0,G13/B$19)</f>
        <v>5.8078141499472019E-2</v>
      </c>
      <c r="I13" s="60">
        <v>7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43</v>
      </c>
      <c r="C14" s="11">
        <f t="shared" si="1"/>
        <v>0.10462287104622871</v>
      </c>
      <c r="E14" s="29" t="s">
        <v>83</v>
      </c>
      <c r="F14" s="26" t="s">
        <v>38</v>
      </c>
      <c r="G14" s="14">
        <v>44</v>
      </c>
      <c r="H14" s="92">
        <f>IF(B$19=0,0,G14/B$19)</f>
        <v>4.6462513199577615E-2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789</v>
      </c>
      <c r="C15" s="12">
        <f>IF(B$3=0,0,B15/B$3)</f>
        <v>0.24040219378427788</v>
      </c>
      <c r="E15" s="29" t="s">
        <v>78</v>
      </c>
      <c r="F15" s="26" t="s">
        <v>33</v>
      </c>
      <c r="G15" s="14">
        <v>37</v>
      </c>
      <c r="H15" s="92">
        <f>IF(B$19=0,0,G15/B$19)</f>
        <v>3.907074973600845E-2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679</v>
      </c>
      <c r="C16" s="8">
        <f>IF(B$3=0,0,B16/B$3)</f>
        <v>0.2068860450944546</v>
      </c>
      <c r="E16" s="29" t="s">
        <v>81</v>
      </c>
      <c r="F16" s="26" t="s">
        <v>36</v>
      </c>
      <c r="G16" s="14">
        <v>28</v>
      </c>
      <c r="H16" s="92">
        <f>IF(B$19=0,0,G16/B$19)</f>
        <v>2.9567053854276663E-2</v>
      </c>
      <c r="I16" s="60">
        <v>4</v>
      </c>
      <c r="K16" s="7">
        <v>14</v>
      </c>
      <c r="L16" s="65">
        <v>12.800000000000002</v>
      </c>
      <c r="N16" s="78" t="s">
        <v>243</v>
      </c>
      <c r="O16" s="87">
        <f>IF(P16=0,0,Q16/P16)</f>
        <v>21.119999999999997</v>
      </c>
      <c r="P16" s="81">
        <v>10</v>
      </c>
      <c r="Q16" s="72">
        <v>211.2</v>
      </c>
    </row>
    <row r="17" spans="1:17" x14ac:dyDescent="0.45">
      <c r="A17" s="20" t="s">
        <v>123</v>
      </c>
      <c r="B17" s="13">
        <f>B23</f>
        <v>439</v>
      </c>
      <c r="C17" s="6">
        <f>IF(B$15=0,0,B17/B$15)</f>
        <v>0.5564005069708492</v>
      </c>
      <c r="E17" s="29" t="s">
        <v>79</v>
      </c>
      <c r="F17" s="26" t="s">
        <v>34</v>
      </c>
      <c r="G17" s="14">
        <v>21</v>
      </c>
      <c r="H17" s="92">
        <f>IF(B$19=0,0,G17/B$19)</f>
        <v>2.2175290390707498E-2</v>
      </c>
      <c r="I17" s="60">
        <v>6</v>
      </c>
      <c r="K17" s="7">
        <v>15</v>
      </c>
      <c r="L17" s="65">
        <v>1.7763568394002505E-15</v>
      </c>
      <c r="N17" s="78" t="s">
        <v>189</v>
      </c>
      <c r="O17" s="87">
        <f>IF(P17=0,0,Q17/P17)</f>
        <v>17.583333333333336</v>
      </c>
      <c r="P17" s="81">
        <v>18</v>
      </c>
      <c r="Q17" s="72">
        <v>316.50000000000006</v>
      </c>
    </row>
    <row r="18" spans="1:17" x14ac:dyDescent="0.45">
      <c r="A18" s="20" t="s">
        <v>124</v>
      </c>
      <c r="B18" s="13">
        <f>B24</f>
        <v>281</v>
      </c>
      <c r="C18" s="6">
        <f>IF(B$16=0,0,B18/B$16)</f>
        <v>0.41384388807069217</v>
      </c>
      <c r="E18" s="29" t="s">
        <v>91</v>
      </c>
      <c r="F18" s="26" t="s">
        <v>46</v>
      </c>
      <c r="G18" s="14">
        <v>21</v>
      </c>
      <c r="H18" s="92">
        <f>IF(B$19=0,0,G18/B$19)</f>
        <v>2.2175290390707498E-2</v>
      </c>
      <c r="I18" s="60">
        <v>3</v>
      </c>
      <c r="K18" s="7">
        <v>16</v>
      </c>
      <c r="L18" s="65">
        <v>3.4000000000000017</v>
      </c>
      <c r="N18" s="78" t="s">
        <v>194</v>
      </c>
      <c r="O18" s="87">
        <f>IF(P18=0,0,Q18/P18)</f>
        <v>8.6071428571428612</v>
      </c>
      <c r="P18" s="81">
        <v>84</v>
      </c>
      <c r="Q18" s="72">
        <v>723.00000000000034</v>
      </c>
    </row>
    <row r="19" spans="1:17" x14ac:dyDescent="0.45">
      <c r="A19" s="20" t="s">
        <v>10</v>
      </c>
      <c r="B19" s="13">
        <f>B22+B21</f>
        <v>947</v>
      </c>
      <c r="C19" s="6">
        <f>IF(B$3=0,0,B19/B$3)</f>
        <v>0.28854357099329675</v>
      </c>
      <c r="E19" s="29" t="s">
        <v>156</v>
      </c>
      <c r="F19" s="26" t="s">
        <v>157</v>
      </c>
      <c r="G19" s="14">
        <v>15</v>
      </c>
      <c r="H19" s="92">
        <f>IF(B$19=0,0,G19/B$19)</f>
        <v>1.5839493136219639E-2</v>
      </c>
      <c r="I19" s="60">
        <v>3</v>
      </c>
      <c r="K19" s="7">
        <v>17</v>
      </c>
      <c r="L19" s="65">
        <v>-35.800000000000004</v>
      </c>
      <c r="N19" s="78" t="s">
        <v>212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495</v>
      </c>
      <c r="C20" s="8">
        <f>IF(B$3=0,0,B20/B$3)</f>
        <v>0.15082266910420475</v>
      </c>
      <c r="E20" s="29" t="s">
        <v>92</v>
      </c>
      <c r="F20" s="26" t="s">
        <v>47</v>
      </c>
      <c r="G20" s="14">
        <v>10</v>
      </c>
      <c r="H20" s="92">
        <f>IF(B$19=0,0,G20/B$19)</f>
        <v>1.0559662090813094E-2</v>
      </c>
      <c r="I20" s="60">
        <v>5</v>
      </c>
      <c r="K20" s="7">
        <v>18</v>
      </c>
      <c r="L20" s="65">
        <v>-7.1054273576010019E-15</v>
      </c>
      <c r="N20" s="78" t="s">
        <v>205</v>
      </c>
      <c r="O20" s="87">
        <f>IF(P20=0,0,Q20/P20)</f>
        <v>6.9</v>
      </c>
      <c r="P20" s="81">
        <v>84</v>
      </c>
      <c r="Q20" s="72">
        <v>579.6</v>
      </c>
    </row>
    <row r="21" spans="1:17" x14ac:dyDescent="0.45">
      <c r="A21" s="21" t="s">
        <v>12</v>
      </c>
      <c r="B21" s="14">
        <v>450</v>
      </c>
      <c r="C21" s="8">
        <f>IF(B$19=0,0,B21/B$19)</f>
        <v>0.4751847940865892</v>
      </c>
      <c r="E21" s="29" t="s">
        <v>75</v>
      </c>
      <c r="F21" s="26" t="s">
        <v>30</v>
      </c>
      <c r="G21" s="14">
        <v>7</v>
      </c>
      <c r="H21" s="92">
        <f>IF(B$19=0,0,G21/B$19)</f>
        <v>7.3917634635691657E-3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2.0260869565217425</v>
      </c>
      <c r="P21" s="81">
        <v>138</v>
      </c>
      <c r="Q21" s="72">
        <v>279.60000000000048</v>
      </c>
    </row>
    <row r="22" spans="1:17" x14ac:dyDescent="0.45">
      <c r="A22" s="21" t="s">
        <v>11</v>
      </c>
      <c r="B22" s="14">
        <v>497</v>
      </c>
      <c r="C22" s="8">
        <f>IF(B$19=0,0,B22/B$19)</f>
        <v>0.5248152059134108</v>
      </c>
      <c r="E22" s="29" t="s">
        <v>77</v>
      </c>
      <c r="F22" s="26" t="s">
        <v>32</v>
      </c>
      <c r="G22" s="14">
        <v>6</v>
      </c>
      <c r="H22" s="92">
        <f>IF(B$19=0,0,G22/B$19)</f>
        <v>6.3357972544878568E-3</v>
      </c>
      <c r="I22" s="60">
        <v>5</v>
      </c>
      <c r="K22" s="7">
        <v>20</v>
      </c>
      <c r="L22" s="65">
        <v>-28.600000000000009</v>
      </c>
      <c r="N22" s="78" t="s">
        <v>196</v>
      </c>
      <c r="O22" s="87">
        <f>IF(P22=0,0,Q22/P22)</f>
        <v>2.009999999999998</v>
      </c>
      <c r="P22" s="81">
        <v>20</v>
      </c>
      <c r="Q22" s="72">
        <v>40.19999999999996</v>
      </c>
    </row>
    <row r="23" spans="1:17" x14ac:dyDescent="0.45">
      <c r="A23" s="21" t="s">
        <v>184</v>
      </c>
      <c r="B23" s="14">
        <v>439</v>
      </c>
      <c r="C23" s="8">
        <f>IF(B$19=0,0,B23/B$19)</f>
        <v>0.46356916578669483</v>
      </c>
      <c r="E23" s="29" t="s">
        <v>73</v>
      </c>
      <c r="F23" s="26" t="s">
        <v>28</v>
      </c>
      <c r="G23" s="14">
        <v>3</v>
      </c>
      <c r="H23" s="92">
        <f>IF(B$19=0,0,G23/B$19)</f>
        <v>3.1678986272439284E-3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-0.19726027397260545</v>
      </c>
      <c r="P23" s="81">
        <v>146</v>
      </c>
      <c r="Q23" s="72">
        <v>-28.800000000000395</v>
      </c>
    </row>
    <row r="24" spans="1:17" x14ac:dyDescent="0.45">
      <c r="A24" s="21" t="s">
        <v>182</v>
      </c>
      <c r="B24" s="14">
        <v>281</v>
      </c>
      <c r="C24" s="8">
        <f>IF(B$19=0,0,B24/B$19)</f>
        <v>0.29672650475184792</v>
      </c>
      <c r="E24" s="29" t="s">
        <v>85</v>
      </c>
      <c r="F24" s="26" t="s">
        <v>40</v>
      </c>
      <c r="G24" s="14">
        <v>3</v>
      </c>
      <c r="H24" s="92">
        <f>IF(B$19=0,0,G24/B$19)</f>
        <v>3.1678986272439284E-3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-5.9804347826086941</v>
      </c>
      <c r="P24" s="81">
        <v>92</v>
      </c>
      <c r="Q24" s="72">
        <v>-550.19999999999982</v>
      </c>
    </row>
    <row r="25" spans="1:17" x14ac:dyDescent="0.45">
      <c r="A25" s="21" t="s">
        <v>183</v>
      </c>
      <c r="B25" s="14">
        <v>227</v>
      </c>
      <c r="C25" s="8">
        <f>IF(B$19=0,0,B25/B$19)</f>
        <v>0.23970432946145723</v>
      </c>
      <c r="E25" s="29" t="s">
        <v>74</v>
      </c>
      <c r="F25" s="26" t="s">
        <v>29</v>
      </c>
      <c r="G25" s="14">
        <v>2</v>
      </c>
      <c r="H25" s="92">
        <f>IF(B$19=0,0,G25/B$19)</f>
        <v>2.1119324181626186E-3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-10.084158415841573</v>
      </c>
      <c r="P25" s="81">
        <v>202</v>
      </c>
      <c r="Q25" s="72">
        <v>-2036.9999999999977</v>
      </c>
    </row>
    <row r="26" spans="1:17" x14ac:dyDescent="0.45">
      <c r="A26" s="21" t="s">
        <v>5</v>
      </c>
      <c r="B26" s="18">
        <f>IF(B$19=0,0,C26/B$19)</f>
        <v>8740.2323125659987</v>
      </c>
      <c r="C26" s="10">
        <v>8277000</v>
      </c>
      <c r="E26" s="29" t="s">
        <v>87</v>
      </c>
      <c r="F26" s="26" t="s">
        <v>42</v>
      </c>
      <c r="G26" s="14">
        <v>2</v>
      </c>
      <c r="H26" s="92">
        <f>IF(B$19=0,0,G26/B$19)</f>
        <v>2.1119324181626186E-3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9295.7957957957951</v>
      </c>
      <c r="C27" s="100">
        <v>6191000</v>
      </c>
      <c r="E27" s="29" t="s">
        <v>88</v>
      </c>
      <c r="F27" s="26" t="s">
        <v>43</v>
      </c>
      <c r="G27" s="14">
        <v>2</v>
      </c>
      <c r="H27" s="92">
        <f>IF(B$19=0,0,G27/B$19)</f>
        <v>2.1119324181626186E-3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7423.4875444839854</v>
      </c>
      <c r="C28" s="100">
        <v>2086000</v>
      </c>
      <c r="E28" s="29" t="s">
        <v>93</v>
      </c>
      <c r="F28" s="26" t="s">
        <v>48</v>
      </c>
      <c r="G28" s="14">
        <v>2</v>
      </c>
      <c r="H28" s="92">
        <f>IF(B$19=0,0,G28/B$19)</f>
        <v>2.1119324181626186E-3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-7907.878787878788</v>
      </c>
      <c r="C29" s="100">
        <v>-3914400</v>
      </c>
      <c r="E29" s="29" t="s">
        <v>95</v>
      </c>
      <c r="F29" s="26" t="s">
        <v>50</v>
      </c>
      <c r="G29" s="14">
        <v>2</v>
      </c>
      <c r="H29" s="92">
        <f>IF(B$19=0,0,G29/B$19)</f>
        <v>2.1119324181626186E-3</v>
      </c>
      <c r="I29" s="60">
        <v>3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84</v>
      </c>
      <c r="F30" s="26" t="s">
        <v>39</v>
      </c>
      <c r="G30" s="14">
        <v>1</v>
      </c>
      <c r="H30" s="92">
        <f>IF(B$19=0,0,G30/B$19)</f>
        <v>1.0559662090813093E-3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11</v>
      </c>
      <c r="E31" s="29" t="s">
        <v>97</v>
      </c>
      <c r="F31" s="26" t="s">
        <v>52</v>
      </c>
      <c r="G31" s="14">
        <v>1</v>
      </c>
      <c r="H31" s="92">
        <f>IF(B$19=0,0,G31/B$19)</f>
        <v>1.0559662090813093E-3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10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1.0559662090813093E-3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1.0559662090813093E-3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2.4375380865326022E-3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68</v>
      </c>
      <c r="C36" s="102">
        <f t="shared" ref="C36:C48" si="2">IF(B$19=0,0,B36/B$19)</f>
        <v>7.1805702217529035E-2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166</v>
      </c>
      <c r="C37" s="8">
        <f t="shared" si="2"/>
        <v>0.17529039070749736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172</v>
      </c>
      <c r="C38" s="8">
        <f t="shared" si="2"/>
        <v>0.18162618796198521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168</v>
      </c>
      <c r="C39" s="8">
        <f t="shared" si="2"/>
        <v>0.17740232312565998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138</v>
      </c>
      <c r="C40" s="8">
        <f t="shared" si="2"/>
        <v>0.1457233368532207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101</v>
      </c>
      <c r="C41" s="8">
        <f t="shared" si="2"/>
        <v>0.10665258711721225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56</v>
      </c>
      <c r="C42" s="8">
        <f t="shared" si="2"/>
        <v>5.9134107708553325E-2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25</v>
      </c>
      <c r="C43" s="8">
        <f t="shared" si="2"/>
        <v>2.6399155227032733E-2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17</v>
      </c>
      <c r="C44" s="8">
        <f t="shared" si="2"/>
        <v>1.7951425554382259E-2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1.0559662090813094E-2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4.2238648363252373E-3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5.279831045406547E-3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17</v>
      </c>
      <c r="C48" s="11">
        <f t="shared" si="2"/>
        <v>1.7951425554382259E-2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  <row r="369" spans="11:12" x14ac:dyDescent="0.45">
      <c r="K369" s="7">
        <v>367</v>
      </c>
      <c r="L369" s="65">
        <v>1.1999999999999973</v>
      </c>
    </row>
    <row r="370" spans="11:12" x14ac:dyDescent="0.45">
      <c r="K370" s="7">
        <v>368</v>
      </c>
      <c r="L370" s="65">
        <v>18.399999999999995</v>
      </c>
    </row>
    <row r="371" spans="11:12" x14ac:dyDescent="0.45">
      <c r="K371" s="7">
        <v>369</v>
      </c>
      <c r="L371" s="65">
        <v>-3.5527136788005009E-15</v>
      </c>
    </row>
    <row r="372" spans="11:12" x14ac:dyDescent="0.45">
      <c r="K372" s="7">
        <v>370</v>
      </c>
      <c r="L372" s="65">
        <v>14.599999999999996</v>
      </c>
    </row>
    <row r="373" spans="11:12" x14ac:dyDescent="0.45">
      <c r="K373" s="7">
        <v>371</v>
      </c>
      <c r="L373" s="65">
        <v>15.199999999999996</v>
      </c>
    </row>
    <row r="374" spans="11:12" x14ac:dyDescent="0.45">
      <c r="K374" s="7">
        <v>372</v>
      </c>
      <c r="L374" s="65">
        <v>-3.5527136788005009E-15</v>
      </c>
    </row>
    <row r="375" spans="11:12" x14ac:dyDescent="0.45">
      <c r="K375" s="7">
        <v>373</v>
      </c>
      <c r="L375" s="65">
        <v>-35</v>
      </c>
    </row>
    <row r="376" spans="11:12" x14ac:dyDescent="0.45">
      <c r="K376" s="7">
        <v>374</v>
      </c>
      <c r="L376" s="65">
        <v>-8.3999999999999986</v>
      </c>
    </row>
    <row r="377" spans="11:12" x14ac:dyDescent="0.45">
      <c r="K377" s="7">
        <v>375</v>
      </c>
      <c r="L377" s="65">
        <v>1.7763568394002505E-15</v>
      </c>
    </row>
    <row r="378" spans="11:12" x14ac:dyDescent="0.45">
      <c r="K378" s="7">
        <v>376</v>
      </c>
      <c r="L378" s="65">
        <v>23.200000000000003</v>
      </c>
    </row>
    <row r="379" spans="11:12" x14ac:dyDescent="0.45">
      <c r="K379" s="7">
        <v>377</v>
      </c>
      <c r="L379" s="65">
        <v>16.900000000000002</v>
      </c>
    </row>
    <row r="380" spans="11:12" x14ac:dyDescent="0.45">
      <c r="K380" s="7">
        <v>378</v>
      </c>
      <c r="L380" s="65">
        <v>3.5527136788005009E-15</v>
      </c>
    </row>
    <row r="381" spans="11:12" x14ac:dyDescent="0.45">
      <c r="K381" s="7">
        <v>379</v>
      </c>
      <c r="L381" s="65">
        <v>-4.9999999999999964</v>
      </c>
    </row>
    <row r="382" spans="11:12" x14ac:dyDescent="0.45">
      <c r="K382" s="7">
        <v>380</v>
      </c>
      <c r="L382" s="65">
        <v>-51</v>
      </c>
    </row>
    <row r="383" spans="11:12" x14ac:dyDescent="0.45">
      <c r="K383" s="7">
        <v>381</v>
      </c>
      <c r="L383" s="65">
        <v>0</v>
      </c>
    </row>
    <row r="384" spans="11:12" x14ac:dyDescent="0.45">
      <c r="K384" s="7">
        <v>382</v>
      </c>
      <c r="L384" s="65">
        <v>56.6</v>
      </c>
    </row>
    <row r="385" spans="11:12" x14ac:dyDescent="0.45">
      <c r="K385" s="7">
        <v>383</v>
      </c>
      <c r="L385" s="65">
        <v>20.800000000000004</v>
      </c>
    </row>
    <row r="386" spans="11:12" x14ac:dyDescent="0.45">
      <c r="K386" s="7">
        <v>384</v>
      </c>
      <c r="L386" s="65">
        <v>3.5527136788005009E-15</v>
      </c>
    </row>
    <row r="387" spans="11:12" x14ac:dyDescent="0.45">
      <c r="K387" s="7">
        <v>385</v>
      </c>
      <c r="L387" s="65">
        <v>-21.199999999999996</v>
      </c>
    </row>
    <row r="388" spans="11:12" x14ac:dyDescent="0.45">
      <c r="K388" s="7">
        <v>386</v>
      </c>
      <c r="L388" s="65">
        <v>7.2000000000000028</v>
      </c>
    </row>
    <row r="389" spans="11:12" x14ac:dyDescent="0.45">
      <c r="K389" s="7">
        <v>387</v>
      </c>
      <c r="L389" s="65">
        <v>2.6645352591003757E-15</v>
      </c>
    </row>
    <row r="390" spans="11:12" x14ac:dyDescent="0.45">
      <c r="K390" s="7">
        <v>388</v>
      </c>
      <c r="L390" s="65">
        <v>7.5000000000000027</v>
      </c>
    </row>
    <row r="391" spans="11:12" x14ac:dyDescent="0.45">
      <c r="K391" s="7">
        <v>389</v>
      </c>
      <c r="L391" s="65">
        <v>28.500000000000004</v>
      </c>
    </row>
    <row r="392" spans="11:12" x14ac:dyDescent="0.45">
      <c r="K392" s="7">
        <v>390</v>
      </c>
      <c r="L392" s="65">
        <v>3.5527136788005009E-15</v>
      </c>
    </row>
    <row r="393" spans="11:12" x14ac:dyDescent="0.45">
      <c r="K393" s="7">
        <v>391</v>
      </c>
      <c r="L393" s="65">
        <v>15.500000000000004</v>
      </c>
    </row>
    <row r="394" spans="11:12" x14ac:dyDescent="0.45">
      <c r="K394" s="7">
        <v>392</v>
      </c>
      <c r="L394" s="65">
        <v>-3.5999999999999979</v>
      </c>
    </row>
    <row r="395" spans="11:12" x14ac:dyDescent="0.45">
      <c r="K395" s="7">
        <v>393</v>
      </c>
      <c r="L395" s="65">
        <v>2.2204460492503131E-15</v>
      </c>
    </row>
    <row r="396" spans="11:12" x14ac:dyDescent="0.45">
      <c r="K396" s="7">
        <v>394</v>
      </c>
      <c r="L396" s="65">
        <v>-2.5999999999999979</v>
      </c>
    </row>
    <row r="397" spans="11:12" x14ac:dyDescent="0.45">
      <c r="K397" s="7">
        <v>395</v>
      </c>
      <c r="L397" s="65">
        <v>27.700000000000003</v>
      </c>
    </row>
    <row r="398" spans="11:12" x14ac:dyDescent="0.45">
      <c r="K398" s="7">
        <v>396</v>
      </c>
      <c r="L398" s="65">
        <v>3.5527136788005009E-15</v>
      </c>
    </row>
    <row r="399" spans="11:12" x14ac:dyDescent="0.45">
      <c r="K399" s="7">
        <v>397</v>
      </c>
      <c r="L399" s="65">
        <v>27.900000000000002</v>
      </c>
    </row>
    <row r="400" spans="11:12" x14ac:dyDescent="0.45">
      <c r="K400" s="7">
        <v>398</v>
      </c>
      <c r="L400" s="65">
        <v>27.6</v>
      </c>
    </row>
    <row r="401" spans="11:12" x14ac:dyDescent="0.45">
      <c r="K401" s="7">
        <v>399</v>
      </c>
      <c r="L401" s="65">
        <v>0</v>
      </c>
    </row>
    <row r="402" spans="11:12" x14ac:dyDescent="0.45">
      <c r="K402" s="7">
        <v>400</v>
      </c>
      <c r="L402" s="65">
        <v>-41.3</v>
      </c>
    </row>
    <row r="403" spans="11:12" x14ac:dyDescent="0.45">
      <c r="K403" s="7">
        <v>401</v>
      </c>
      <c r="L403" s="65">
        <v>-39.599999999999994</v>
      </c>
    </row>
    <row r="404" spans="11:12" x14ac:dyDescent="0.45">
      <c r="K404" s="7">
        <v>402</v>
      </c>
      <c r="L404" s="65">
        <v>7.1054273576010019E-15</v>
      </c>
    </row>
    <row r="405" spans="11:12" x14ac:dyDescent="0.45">
      <c r="K405" s="7">
        <v>403</v>
      </c>
      <c r="L405" s="65">
        <v>20.700000000000006</v>
      </c>
    </row>
    <row r="406" spans="11:12" x14ac:dyDescent="0.45">
      <c r="K406" s="7">
        <v>404</v>
      </c>
      <c r="L406" s="65">
        <v>19.000000000000007</v>
      </c>
    </row>
    <row r="407" spans="11:12" x14ac:dyDescent="0.45">
      <c r="K407" s="7">
        <v>405</v>
      </c>
      <c r="L407" s="65">
        <v>7.1054273576010019E-15</v>
      </c>
    </row>
    <row r="408" spans="11:12" x14ac:dyDescent="0.45">
      <c r="K408" s="7">
        <v>406</v>
      </c>
      <c r="L408" s="65">
        <v>-48.29999999999999</v>
      </c>
    </row>
    <row r="409" spans="11:12" x14ac:dyDescent="0.45">
      <c r="K409" s="7">
        <v>407</v>
      </c>
      <c r="L409" s="65">
        <v>3.0000000000000071</v>
      </c>
    </row>
    <row r="410" spans="11:12" x14ac:dyDescent="0.45">
      <c r="K410" s="7">
        <v>408</v>
      </c>
      <c r="L410" s="65">
        <v>7.1054273576010019E-15</v>
      </c>
    </row>
    <row r="411" spans="11:12" x14ac:dyDescent="0.45">
      <c r="K411" s="7">
        <v>409</v>
      </c>
      <c r="L411" s="65">
        <v>-39.999999999999993</v>
      </c>
    </row>
    <row r="412" spans="11:12" x14ac:dyDescent="0.45">
      <c r="K412" s="7">
        <v>410</v>
      </c>
      <c r="L412" s="65">
        <v>-39.899999999999991</v>
      </c>
    </row>
    <row r="413" spans="11:12" x14ac:dyDescent="0.45">
      <c r="K413" s="7">
        <v>411</v>
      </c>
      <c r="L413" s="65">
        <v>7.1054273576010019E-15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C5DB-D52B-4617-BD76-43A770A55D21}">
  <sheetPr codeName="Sheet7"/>
  <dimension ref="A1:Q7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73</v>
      </c>
      <c r="C2" s="132"/>
      <c r="E2" s="28" t="s">
        <v>66</v>
      </c>
      <c r="F2" s="25" t="s">
        <v>22</v>
      </c>
      <c r="G2" s="13">
        <v>146</v>
      </c>
      <c r="H2" s="91">
        <f>IF(B$19=0,0,G2/B$19)</f>
        <v>0.90683229813664601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-637.14285714285711</v>
      </c>
      <c r="P2" s="80">
        <v>70</v>
      </c>
      <c r="Q2" s="67">
        <v>-44600</v>
      </c>
    </row>
    <row r="3" spans="1:17" x14ac:dyDescent="0.45">
      <c r="A3" s="21" t="s">
        <v>8</v>
      </c>
      <c r="B3" s="133">
        <v>590</v>
      </c>
      <c r="C3" s="134"/>
      <c r="E3" s="29" t="s">
        <v>64</v>
      </c>
      <c r="F3" s="26" t="s">
        <v>20</v>
      </c>
      <c r="G3" s="14">
        <v>88</v>
      </c>
      <c r="H3" s="92">
        <f>IF(B$19=0,0,G3/B$19)</f>
        <v>0.54658385093167705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-1511.1111111111111</v>
      </c>
      <c r="P3" s="81">
        <v>72</v>
      </c>
      <c r="Q3" s="68">
        <v>-108800</v>
      </c>
    </row>
    <row r="4" spans="1:17" x14ac:dyDescent="0.45">
      <c r="A4" s="21" t="s">
        <v>6</v>
      </c>
      <c r="B4" s="135">
        <v>9.5999999999999588</v>
      </c>
      <c r="C4" s="136"/>
      <c r="E4" s="29" t="s">
        <v>72</v>
      </c>
      <c r="F4" s="26" t="s">
        <v>27</v>
      </c>
      <c r="G4" s="14">
        <v>88</v>
      </c>
      <c r="H4" s="92">
        <f>IF(B$19=0,0,G4/B$19)</f>
        <v>0.54658385093167705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147.76119402985074</v>
      </c>
      <c r="P4" s="81">
        <v>67</v>
      </c>
      <c r="Q4" s="68">
        <v>9900</v>
      </c>
    </row>
    <row r="5" spans="1:17" x14ac:dyDescent="0.45">
      <c r="A5" s="21" t="s">
        <v>7</v>
      </c>
      <c r="B5" s="123">
        <f>IF(B$2=0,0,B$4/B$2)</f>
        <v>0.13150684931506793</v>
      </c>
      <c r="C5" s="124"/>
      <c r="E5" s="29" t="s">
        <v>160</v>
      </c>
      <c r="F5" s="26" t="s">
        <v>161</v>
      </c>
      <c r="G5" s="14">
        <v>71</v>
      </c>
      <c r="H5" s="92">
        <f>IF(B$19=0,0,G5/B$19)</f>
        <v>0.44099378881987578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-622.58064516129036</v>
      </c>
      <c r="P5" s="81">
        <v>62</v>
      </c>
      <c r="Q5" s="68">
        <v>-38600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52</v>
      </c>
      <c r="H6" s="92">
        <f>IF(B$19=0,0,G6/B$19)</f>
        <v>0.32298136645962733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777.04918032786884</v>
      </c>
      <c r="P6" s="81">
        <v>61</v>
      </c>
      <c r="Q6" s="68">
        <v>47400</v>
      </c>
    </row>
    <row r="7" spans="1:17" x14ac:dyDescent="0.45">
      <c r="A7" s="21" t="s">
        <v>2</v>
      </c>
      <c r="B7" s="14">
        <v>27</v>
      </c>
      <c r="C7" s="8">
        <f t="shared" ref="C7:C14" si="1">IF(B$2=0,0,B7/B$2)</f>
        <v>0.36986301369863012</v>
      </c>
      <c r="E7" s="29" t="s">
        <v>67</v>
      </c>
      <c r="F7" s="26" t="s">
        <v>23</v>
      </c>
      <c r="G7" s="14">
        <v>43</v>
      </c>
      <c r="H7" s="92">
        <f>IF(B$19=0,0,G7/B$19)</f>
        <v>0.26708074534161491</v>
      </c>
      <c r="I7" s="60">
        <v>3</v>
      </c>
      <c r="K7" s="7">
        <v>5</v>
      </c>
      <c r="L7" s="65">
        <v>18</v>
      </c>
      <c r="N7" s="79" t="s">
        <v>133</v>
      </c>
      <c r="O7" s="85">
        <f t="shared" si="0"/>
        <v>2678.7234042553191</v>
      </c>
      <c r="P7" s="82">
        <v>47</v>
      </c>
      <c r="Q7" s="69">
        <v>125900</v>
      </c>
    </row>
    <row r="8" spans="1:17" x14ac:dyDescent="0.45">
      <c r="A8" s="21" t="s">
        <v>3</v>
      </c>
      <c r="B8" s="14">
        <v>19</v>
      </c>
      <c r="C8" s="8">
        <f t="shared" si="1"/>
        <v>0.26027397260273971</v>
      </c>
      <c r="E8" s="29" t="s">
        <v>69</v>
      </c>
      <c r="F8" s="26" t="s">
        <v>24</v>
      </c>
      <c r="G8" s="14">
        <v>25</v>
      </c>
      <c r="H8" s="92">
        <f>IF(B$19=0,0,G8/B$19)</f>
        <v>0.15527950310559005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27</v>
      </c>
      <c r="C9" s="9">
        <f t="shared" si="1"/>
        <v>0.36986301369863012</v>
      </c>
      <c r="E9" s="29" t="s">
        <v>89</v>
      </c>
      <c r="F9" s="26" t="s">
        <v>44</v>
      </c>
      <c r="G9" s="14">
        <v>23</v>
      </c>
      <c r="H9" s="92">
        <f>IF(B$19=0,0,G9/B$19)</f>
        <v>0.14285714285714285</v>
      </c>
      <c r="I9" s="60">
        <v>5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38.929629629629638</v>
      </c>
      <c r="C10" s="114">
        <v>1051.1000000000001</v>
      </c>
      <c r="E10" s="29" t="s">
        <v>65</v>
      </c>
      <c r="F10" s="26" t="s">
        <v>21</v>
      </c>
      <c r="G10" s="14">
        <v>20</v>
      </c>
      <c r="H10" s="92">
        <f>IF(B$19=0,0,G10/B$19)</f>
        <v>0.12422360248447205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-8.1423076923076945</v>
      </c>
      <c r="P10" s="80">
        <v>26</v>
      </c>
      <c r="Q10" s="71">
        <v>-211.70000000000005</v>
      </c>
    </row>
    <row r="11" spans="1:17" x14ac:dyDescent="0.45">
      <c r="A11" s="22" t="s">
        <v>186</v>
      </c>
      <c r="B11" s="113">
        <f>IF(B8=0,0,C11/B8)</f>
        <v>-0.93157894736842117</v>
      </c>
      <c r="C11" s="114">
        <v>-17.700000000000003</v>
      </c>
      <c r="E11" s="29" t="s">
        <v>70</v>
      </c>
      <c r="F11" s="26" t="s">
        <v>25</v>
      </c>
      <c r="G11" s="14">
        <v>19</v>
      </c>
      <c r="H11" s="92">
        <f>IF(B$19=0,0,G11/B$19)</f>
        <v>0.11801242236024845</v>
      </c>
      <c r="I11" s="60">
        <v>4</v>
      </c>
      <c r="K11" s="7">
        <v>9</v>
      </c>
      <c r="L11" s="65">
        <v>33.5</v>
      </c>
      <c r="N11" s="78" t="s">
        <v>153</v>
      </c>
      <c r="O11" s="87">
        <f>IF(P11=0,0,Q11/P11)</f>
        <v>12.721739130434784</v>
      </c>
      <c r="P11" s="81">
        <v>23</v>
      </c>
      <c r="Q11" s="72">
        <v>292.60000000000002</v>
      </c>
    </row>
    <row r="12" spans="1:17" x14ac:dyDescent="0.45">
      <c r="A12" s="22" t="s">
        <v>187</v>
      </c>
      <c r="B12" s="113">
        <f>IF(B9=0,0,C12/B9)</f>
        <v>-37.918518518518511</v>
      </c>
      <c r="C12" s="114">
        <v>-1023.7999999999997</v>
      </c>
      <c r="E12" s="29" t="s">
        <v>86</v>
      </c>
      <c r="F12" s="26" t="s">
        <v>41</v>
      </c>
      <c r="G12" s="14">
        <v>13</v>
      </c>
      <c r="H12" s="92">
        <f>IF(B$19=0,0,G12/B$19)</f>
        <v>8.0745341614906832E-2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-2.9708333333333328</v>
      </c>
      <c r="P12" s="82">
        <v>24</v>
      </c>
      <c r="Q12" s="73">
        <v>-71.299999999999983</v>
      </c>
    </row>
    <row r="13" spans="1:17" x14ac:dyDescent="0.45">
      <c r="A13" s="22" t="s">
        <v>188</v>
      </c>
      <c r="B13" s="123">
        <f>AVERAGE(B10:B12)</f>
        <v>2.651072124756837E-2</v>
      </c>
      <c r="C13" s="124"/>
      <c r="E13" s="29" t="s">
        <v>71</v>
      </c>
      <c r="F13" s="26" t="s">
        <v>26</v>
      </c>
      <c r="G13" s="14">
        <v>11</v>
      </c>
      <c r="H13" s="92">
        <f>IF(B$19=0,0,G13/B$19)</f>
        <v>6.8322981366459631E-2</v>
      </c>
      <c r="I13" s="60">
        <v>4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12</v>
      </c>
      <c r="C14" s="11">
        <f t="shared" si="1"/>
        <v>0.16438356164383561</v>
      </c>
      <c r="E14" s="29" t="s">
        <v>91</v>
      </c>
      <c r="F14" s="26" t="s">
        <v>46</v>
      </c>
      <c r="G14" s="14">
        <v>10</v>
      </c>
      <c r="H14" s="92">
        <f>IF(B$19=0,0,G14/B$19)</f>
        <v>6.2111801242236024E-2</v>
      </c>
      <c r="I14" s="60">
        <v>1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179</v>
      </c>
      <c r="C15" s="12">
        <f>IF(B$3=0,0,B15/B$3)</f>
        <v>0.30338983050847457</v>
      </c>
      <c r="E15" s="29" t="s">
        <v>81</v>
      </c>
      <c r="F15" s="26" t="s">
        <v>36</v>
      </c>
      <c r="G15" s="14">
        <v>7</v>
      </c>
      <c r="H15" s="92">
        <f>IF(B$19=0,0,G15/B$19)</f>
        <v>4.3478260869565216E-2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114</v>
      </c>
      <c r="C16" s="8">
        <f>IF(B$3=0,0,B16/B$3)</f>
        <v>0.19322033898305085</v>
      </c>
      <c r="E16" s="29" t="s">
        <v>78</v>
      </c>
      <c r="F16" s="26" t="s">
        <v>33</v>
      </c>
      <c r="G16" s="14">
        <v>5</v>
      </c>
      <c r="H16" s="92">
        <f>IF(B$19=0,0,G16/B$19)</f>
        <v>3.1055900621118012E-2</v>
      </c>
      <c r="I16" s="60">
        <v>8</v>
      </c>
      <c r="K16" s="7">
        <v>14</v>
      </c>
      <c r="L16" s="65">
        <v>15.100000000000001</v>
      </c>
      <c r="N16" s="78" t="s">
        <v>243</v>
      </c>
      <c r="O16" s="87">
        <f>IF(P16=0,0,Q16/P16)</f>
        <v>15.024999999999999</v>
      </c>
      <c r="P16" s="81">
        <v>4</v>
      </c>
      <c r="Q16" s="72">
        <v>60.099999999999994</v>
      </c>
    </row>
    <row r="17" spans="1:17" x14ac:dyDescent="0.45">
      <c r="A17" s="20" t="s">
        <v>123</v>
      </c>
      <c r="B17" s="13">
        <f>B23</f>
        <v>89</v>
      </c>
      <c r="C17" s="6">
        <f>IF(B$15=0,0,B17/B$15)</f>
        <v>0.4972067039106145</v>
      </c>
      <c r="E17" s="29" t="s">
        <v>83</v>
      </c>
      <c r="F17" s="26" t="s">
        <v>38</v>
      </c>
      <c r="G17" s="14">
        <v>5</v>
      </c>
      <c r="H17" s="92">
        <f>IF(B$19=0,0,G17/B$19)</f>
        <v>3.1055900621118012E-2</v>
      </c>
      <c r="I17" s="60">
        <v>7</v>
      </c>
      <c r="K17" s="7">
        <v>15</v>
      </c>
      <c r="L17" s="65">
        <v>-33.1</v>
      </c>
      <c r="N17" s="78" t="s">
        <v>212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39</v>
      </c>
      <c r="C18" s="6">
        <f>IF(B$16=0,0,B18/B$16)</f>
        <v>0.34210526315789475</v>
      </c>
      <c r="E18" s="29" t="s">
        <v>79</v>
      </c>
      <c r="F18" s="26" t="s">
        <v>34</v>
      </c>
      <c r="G18" s="14">
        <v>4</v>
      </c>
      <c r="H18" s="92">
        <f>IF(B$19=0,0,G18/B$19)</f>
        <v>2.4844720496894408E-2</v>
      </c>
      <c r="I18" s="60">
        <v>5</v>
      </c>
      <c r="K18" s="7">
        <v>16</v>
      </c>
      <c r="L18" s="65">
        <v>-10.8</v>
      </c>
      <c r="N18" s="78" t="s">
        <v>205</v>
      </c>
      <c r="O18" s="87">
        <f>IF(P18=0,0,Q18/P18)</f>
        <v>5.4470588235294111</v>
      </c>
      <c r="P18" s="81">
        <v>17</v>
      </c>
      <c r="Q18" s="72">
        <v>92.6</v>
      </c>
    </row>
    <row r="19" spans="1:17" x14ac:dyDescent="0.45">
      <c r="A19" s="20" t="s">
        <v>10</v>
      </c>
      <c r="B19" s="13">
        <f>B22+B21</f>
        <v>161</v>
      </c>
      <c r="C19" s="6">
        <f>IF(B$3=0,0,B19/B$3)</f>
        <v>0.27288135593220336</v>
      </c>
      <c r="E19" s="29" t="s">
        <v>156</v>
      </c>
      <c r="F19" s="26" t="s">
        <v>157</v>
      </c>
      <c r="G19" s="14">
        <v>3</v>
      </c>
      <c r="H19" s="92">
        <f>IF(B$19=0,0,G19/B$19)</f>
        <v>1.8633540372670808E-2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>IF(P19=0,0,Q19/P19)</f>
        <v>1.875</v>
      </c>
      <c r="P19" s="81">
        <v>28</v>
      </c>
      <c r="Q19" s="72">
        <v>52.5</v>
      </c>
    </row>
    <row r="20" spans="1:17" x14ac:dyDescent="0.45">
      <c r="A20" s="21" t="s">
        <v>13</v>
      </c>
      <c r="B20" s="14">
        <v>105</v>
      </c>
      <c r="C20" s="8">
        <f>IF(B$3=0,0,B20/B$3)</f>
        <v>0.17796610169491525</v>
      </c>
      <c r="E20" s="29" t="s">
        <v>75</v>
      </c>
      <c r="F20" s="26" t="s">
        <v>30</v>
      </c>
      <c r="G20" s="14">
        <v>2</v>
      </c>
      <c r="H20" s="92">
        <f>IF(B$19=0,0,G20/B$19)</f>
        <v>1.2422360248447204E-2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0.6769230769230814</v>
      </c>
      <c r="P20" s="81">
        <v>52</v>
      </c>
      <c r="Q20" s="72">
        <v>35.20000000000023</v>
      </c>
    </row>
    <row r="21" spans="1:17" x14ac:dyDescent="0.45">
      <c r="A21" s="21" t="s">
        <v>12</v>
      </c>
      <c r="B21" s="14">
        <v>72</v>
      </c>
      <c r="C21" s="8">
        <f>IF(B$19=0,0,B21/B$19)</f>
        <v>0.44720496894409939</v>
      </c>
      <c r="E21" s="29" t="s">
        <v>92</v>
      </c>
      <c r="F21" s="26" t="s">
        <v>47</v>
      </c>
      <c r="G21" s="14">
        <v>2</v>
      </c>
      <c r="H21" s="92">
        <f>IF(B$19=0,0,G21/B$19)</f>
        <v>1.2422360248447204E-2</v>
      </c>
      <c r="I21" s="60">
        <v>3</v>
      </c>
      <c r="K21" s="7">
        <v>19</v>
      </c>
      <c r="L21" s="65">
        <v>-44.500000000000014</v>
      </c>
      <c r="N21" s="78" t="s">
        <v>196</v>
      </c>
      <c r="O21" s="87">
        <f>IF(P21=0,0,Q21/P21)</f>
        <v>-0.73999999999999344</v>
      </c>
      <c r="P21" s="81">
        <v>5</v>
      </c>
      <c r="Q21" s="72">
        <v>-3.6999999999999673</v>
      </c>
    </row>
    <row r="22" spans="1:17" x14ac:dyDescent="0.45">
      <c r="A22" s="21" t="s">
        <v>11</v>
      </c>
      <c r="B22" s="14">
        <v>89</v>
      </c>
      <c r="C22" s="8">
        <f>IF(B$19=0,0,B22/B$19)</f>
        <v>0.55279503105590067</v>
      </c>
      <c r="E22" s="29" t="s">
        <v>74</v>
      </c>
      <c r="F22" s="26" t="s">
        <v>29</v>
      </c>
      <c r="G22" s="14">
        <v>1</v>
      </c>
      <c r="H22" s="92">
        <f>IF(B$19=0,0,G22/B$19)</f>
        <v>6.2111801242236021E-3</v>
      </c>
      <c r="I22" s="60">
        <v>2</v>
      </c>
      <c r="K22" s="7">
        <v>20</v>
      </c>
      <c r="L22" s="65">
        <v>-72.000000000000014</v>
      </c>
      <c r="N22" s="78" t="s">
        <v>193</v>
      </c>
      <c r="O22" s="87">
        <f>IF(P22=0,0,Q22/P22)</f>
        <v>-14.606666666666664</v>
      </c>
      <c r="P22" s="81">
        <v>15</v>
      </c>
      <c r="Q22" s="72">
        <v>-219.09999999999997</v>
      </c>
    </row>
    <row r="23" spans="1:17" x14ac:dyDescent="0.45">
      <c r="A23" s="21" t="s">
        <v>184</v>
      </c>
      <c r="B23" s="14">
        <v>89</v>
      </c>
      <c r="C23" s="8">
        <f>IF(B$19=0,0,B23/B$19)</f>
        <v>0.55279503105590067</v>
      </c>
      <c r="E23" s="29" t="s">
        <v>97</v>
      </c>
      <c r="F23" s="26" t="s">
        <v>52</v>
      </c>
      <c r="G23" s="14">
        <v>1</v>
      </c>
      <c r="H23" s="92">
        <f>IF(B$19=0,0,G23/B$19)</f>
        <v>6.2111801242236021E-3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>IF(P23=0,0,Q23/P23)</f>
        <v>-14.800000000000004</v>
      </c>
      <c r="P23" s="81">
        <v>12</v>
      </c>
      <c r="Q23" s="72">
        <v>-177.60000000000005</v>
      </c>
    </row>
    <row r="24" spans="1:17" x14ac:dyDescent="0.45">
      <c r="A24" s="21" t="s">
        <v>182</v>
      </c>
      <c r="B24" s="14">
        <v>39</v>
      </c>
      <c r="C24" s="8">
        <f>IF(B$19=0,0,B24/B$19)</f>
        <v>0.24223602484472051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33</v>
      </c>
      <c r="C25" s="8">
        <f>IF(B$19=0,0,B25/B$19)</f>
        <v>0.20496894409937888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10189.440993788819</v>
      </c>
      <c r="C26" s="10">
        <v>1640500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10645.901639344262</v>
      </c>
      <c r="C27" s="100">
        <v>1298800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8761.538461538461</v>
      </c>
      <c r="C28" s="100">
        <v>341700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-7580</v>
      </c>
      <c r="C29" s="100">
        <v>-795900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8.4745762711864406E-3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5</v>
      </c>
      <c r="C36" s="102">
        <f t="shared" ref="C36:C48" si="2">IF(B$19=0,0,B36/B$19)</f>
        <v>3.1055900621118012E-2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16</v>
      </c>
      <c r="C37" s="8">
        <f t="shared" si="2"/>
        <v>9.9378881987577633E-2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19</v>
      </c>
      <c r="C38" s="8">
        <f t="shared" si="2"/>
        <v>0.11801242236024845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39</v>
      </c>
      <c r="C39" s="8">
        <f t="shared" si="2"/>
        <v>0.24223602484472051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30</v>
      </c>
      <c r="C40" s="8">
        <f t="shared" si="2"/>
        <v>0.18633540372670807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22</v>
      </c>
      <c r="C41" s="8">
        <f t="shared" si="2"/>
        <v>0.13664596273291926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14</v>
      </c>
      <c r="C42" s="8">
        <f t="shared" si="2"/>
        <v>8.6956521739130432E-2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6</v>
      </c>
      <c r="C43" s="8">
        <f t="shared" si="2"/>
        <v>3.7267080745341616E-2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2"/>
        <v>2.4844720496894408E-2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1.8633540372670808E-2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1.8633540372670808E-2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  <row r="66" spans="11:12" x14ac:dyDescent="0.45">
      <c r="K66" s="7">
        <v>64</v>
      </c>
      <c r="L66" s="65">
        <v>-63.700000000000045</v>
      </c>
    </row>
    <row r="67" spans="11:12" x14ac:dyDescent="0.45">
      <c r="K67" s="7">
        <v>65</v>
      </c>
      <c r="L67" s="65">
        <v>-78.900000000000048</v>
      </c>
    </row>
    <row r="68" spans="11:12" x14ac:dyDescent="0.45">
      <c r="K68" s="7">
        <v>66</v>
      </c>
      <c r="L68" s="65">
        <v>-52.300000000000047</v>
      </c>
    </row>
    <row r="69" spans="11:12" x14ac:dyDescent="0.45">
      <c r="K69" s="7">
        <v>67</v>
      </c>
      <c r="L69" s="65">
        <v>-69.200000000000045</v>
      </c>
    </row>
    <row r="70" spans="11:12" x14ac:dyDescent="0.45">
      <c r="K70" s="7">
        <v>68</v>
      </c>
      <c r="L70" s="65">
        <v>-74.200000000000045</v>
      </c>
    </row>
    <row r="71" spans="11:12" x14ac:dyDescent="0.45">
      <c r="K71" s="7">
        <v>69</v>
      </c>
      <c r="L71" s="65">
        <v>-17.600000000000044</v>
      </c>
    </row>
    <row r="72" spans="11:12" x14ac:dyDescent="0.45">
      <c r="K72" s="7">
        <v>70</v>
      </c>
      <c r="L72" s="65">
        <v>10.799999999999955</v>
      </c>
    </row>
    <row r="73" spans="11:12" x14ac:dyDescent="0.45">
      <c r="K73" s="7">
        <v>71</v>
      </c>
      <c r="L73" s="65">
        <v>18.299999999999955</v>
      </c>
    </row>
    <row r="74" spans="11:12" x14ac:dyDescent="0.45">
      <c r="K74" s="7">
        <v>72</v>
      </c>
      <c r="L74" s="65">
        <v>57.899999999999956</v>
      </c>
    </row>
    <row r="75" spans="11:12" x14ac:dyDescent="0.45">
      <c r="K75" s="7">
        <v>73</v>
      </c>
      <c r="L75" s="65">
        <v>9.5999999999999588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2BFE-49BC-41CD-BB13-29C4079486C3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4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05BF3-D353-4E45-A6D1-00D1C64DD29D}">
  <sheetPr codeName="Sheet11"/>
  <dimension ref="A1:Q10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101</v>
      </c>
      <c r="C2" s="132"/>
      <c r="E2" s="28" t="s">
        <v>66</v>
      </c>
      <c r="F2" s="25" t="s">
        <v>22</v>
      </c>
      <c r="G2" s="13">
        <v>163</v>
      </c>
      <c r="H2" s="91">
        <f>IF(B$19=0,0,G2/B$19)</f>
        <v>0.6791666666666667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1312</v>
      </c>
      <c r="P2" s="80">
        <v>100</v>
      </c>
      <c r="Q2" s="67">
        <v>131200</v>
      </c>
    </row>
    <row r="3" spans="1:17" x14ac:dyDescent="0.45">
      <c r="A3" s="21" t="s">
        <v>8</v>
      </c>
      <c r="B3" s="133">
        <v>799</v>
      </c>
      <c r="C3" s="134"/>
      <c r="E3" s="29" t="s">
        <v>72</v>
      </c>
      <c r="F3" s="26" t="s">
        <v>27</v>
      </c>
      <c r="G3" s="14">
        <v>123</v>
      </c>
      <c r="H3" s="92">
        <f>IF(B$19=0,0,G3/B$19)</f>
        <v>0.51249999999999996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2306</v>
      </c>
      <c r="P3" s="81">
        <v>100</v>
      </c>
      <c r="Q3" s="68">
        <v>230600</v>
      </c>
    </row>
    <row r="4" spans="1:17" x14ac:dyDescent="0.45">
      <c r="A4" s="21" t="s">
        <v>6</v>
      </c>
      <c r="B4" s="135">
        <v>679.00000000000011</v>
      </c>
      <c r="C4" s="136"/>
      <c r="E4" s="29" t="s">
        <v>64</v>
      </c>
      <c r="F4" s="26" t="s">
        <v>20</v>
      </c>
      <c r="G4" s="14">
        <v>105</v>
      </c>
      <c r="H4" s="92">
        <f>IF(B$19=0,0,G4/B$19)</f>
        <v>0.4375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1477.8947368421052</v>
      </c>
      <c r="P4" s="81">
        <v>95</v>
      </c>
      <c r="Q4" s="68">
        <v>140400</v>
      </c>
    </row>
    <row r="5" spans="1:17" x14ac:dyDescent="0.45">
      <c r="A5" s="21" t="s">
        <v>7</v>
      </c>
      <c r="B5" s="123">
        <f>IF(B$2=0,0,B$4/B$2)</f>
        <v>6.7227722772277243</v>
      </c>
      <c r="C5" s="124"/>
      <c r="E5" s="29" t="s">
        <v>160</v>
      </c>
      <c r="F5" s="26" t="s">
        <v>161</v>
      </c>
      <c r="G5" s="14">
        <v>104</v>
      </c>
      <c r="H5" s="92">
        <f>IF(B$19=0,0,G5/B$19)</f>
        <v>0.43333333333333335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1040.6976744186047</v>
      </c>
      <c r="P5" s="81">
        <v>86</v>
      </c>
      <c r="Q5" s="68">
        <v>89500</v>
      </c>
    </row>
    <row r="6" spans="1:17" x14ac:dyDescent="0.45">
      <c r="A6" s="21" t="s">
        <v>1</v>
      </c>
      <c r="B6" s="137">
        <f>IF(B$2=0,0,(B$7*1+B$8*2+B$9*3)/B$2)</f>
        <v>1.8217821782178218</v>
      </c>
      <c r="C6" s="138"/>
      <c r="E6" s="29" t="s">
        <v>68</v>
      </c>
      <c r="F6" s="26" t="s">
        <v>12</v>
      </c>
      <c r="G6" s="14">
        <v>94</v>
      </c>
      <c r="H6" s="92">
        <f>IF(B$19=0,0,G6/B$19)</f>
        <v>0.39166666666666666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-1056.0975609756097</v>
      </c>
      <c r="P6" s="81">
        <v>82</v>
      </c>
      <c r="Q6" s="68">
        <v>-86600</v>
      </c>
    </row>
    <row r="7" spans="1:17" x14ac:dyDescent="0.45">
      <c r="A7" s="21" t="s">
        <v>2</v>
      </c>
      <c r="B7" s="14">
        <v>43</v>
      </c>
      <c r="C7" s="8">
        <f t="shared" ref="C7:C14" si="1">IF(B$2=0,0,B7/B$2)</f>
        <v>0.42574257425742573</v>
      </c>
      <c r="E7" s="29" t="s">
        <v>67</v>
      </c>
      <c r="F7" s="26" t="s">
        <v>23</v>
      </c>
      <c r="G7" s="14">
        <v>64</v>
      </c>
      <c r="H7" s="92">
        <f>IF(B$19=0,0,G7/B$19)</f>
        <v>0.26666666666666666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1827.2727272727273</v>
      </c>
      <c r="P7" s="82">
        <v>66</v>
      </c>
      <c r="Q7" s="69">
        <v>120600</v>
      </c>
    </row>
    <row r="8" spans="1:17" x14ac:dyDescent="0.45">
      <c r="A8" s="21" t="s">
        <v>3</v>
      </c>
      <c r="B8" s="14">
        <v>33</v>
      </c>
      <c r="C8" s="8">
        <f t="shared" si="1"/>
        <v>0.32673267326732675</v>
      </c>
      <c r="E8" s="29" t="s">
        <v>69</v>
      </c>
      <c r="F8" s="26" t="s">
        <v>24</v>
      </c>
      <c r="G8" s="14">
        <v>46</v>
      </c>
      <c r="H8" s="92">
        <f>IF(B$19=0,0,G8/B$19)</f>
        <v>0.19166666666666668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25</v>
      </c>
      <c r="C9" s="9">
        <f t="shared" si="1"/>
        <v>0.24752475247524752</v>
      </c>
      <c r="E9" s="29" t="s">
        <v>89</v>
      </c>
      <c r="F9" s="26" t="s">
        <v>44</v>
      </c>
      <c r="G9" s="14">
        <v>41</v>
      </c>
      <c r="H9" s="92">
        <f>IF(B$19=0,0,G9/B$19)</f>
        <v>0.17083333333333334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37.334883720930222</v>
      </c>
      <c r="C10" s="114">
        <v>1605.3999999999996</v>
      </c>
      <c r="E10" s="29" t="s">
        <v>65</v>
      </c>
      <c r="F10" s="26" t="s">
        <v>21</v>
      </c>
      <c r="G10" s="14">
        <v>26</v>
      </c>
      <c r="H10" s="92">
        <f>IF(B$19=0,0,G10/B$19)</f>
        <v>0.10833333333333334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2.1548387096774193</v>
      </c>
      <c r="P10" s="80">
        <v>31</v>
      </c>
      <c r="Q10" s="71">
        <v>66.8</v>
      </c>
    </row>
    <row r="11" spans="1:17" x14ac:dyDescent="0.45">
      <c r="A11" s="22" t="s">
        <v>186</v>
      </c>
      <c r="B11" s="113">
        <f>IF(B8=0,0,C11/B8)</f>
        <v>-0.69696969696969691</v>
      </c>
      <c r="C11" s="114">
        <v>-22.999999999999996</v>
      </c>
      <c r="E11" s="29" t="s">
        <v>70</v>
      </c>
      <c r="F11" s="26" t="s">
        <v>25</v>
      </c>
      <c r="G11" s="14">
        <v>20</v>
      </c>
      <c r="H11" s="92">
        <f>IF(B$19=0,0,G11/B$19)</f>
        <v>8.3333333333333329E-2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7.5606060606060579</v>
      </c>
      <c r="P11" s="81">
        <v>33</v>
      </c>
      <c r="Q11" s="72">
        <v>249.49999999999991</v>
      </c>
    </row>
    <row r="12" spans="1:17" x14ac:dyDescent="0.45">
      <c r="A12" s="22" t="s">
        <v>187</v>
      </c>
      <c r="B12" s="113">
        <f>IF(B9=0,0,C12/B9)</f>
        <v>-36.13600000000001</v>
      </c>
      <c r="C12" s="114">
        <v>-903.4000000000002</v>
      </c>
      <c r="E12" s="29" t="s">
        <v>86</v>
      </c>
      <c r="F12" s="26" t="s">
        <v>41</v>
      </c>
      <c r="G12" s="14">
        <v>18</v>
      </c>
      <c r="H12" s="92">
        <f>IF(B$19=0,0,G12/B$19)</f>
        <v>7.4999999999999997E-2</v>
      </c>
      <c r="I12" s="60">
        <v>5</v>
      </c>
      <c r="K12" s="7">
        <v>10</v>
      </c>
      <c r="L12" s="65">
        <v>229</v>
      </c>
      <c r="N12" s="79" t="s">
        <v>154</v>
      </c>
      <c r="O12" s="88">
        <f>IF(P12=0,0,Q12/P12)</f>
        <v>9.8027027027027049</v>
      </c>
      <c r="P12" s="82">
        <v>37</v>
      </c>
      <c r="Q12" s="73">
        <v>362.7000000000001</v>
      </c>
    </row>
    <row r="13" spans="1:17" x14ac:dyDescent="0.45">
      <c r="A13" s="22" t="s">
        <v>188</v>
      </c>
      <c r="B13" s="123">
        <f>AVERAGE(B10:B12)</f>
        <v>0.16730467465350549</v>
      </c>
      <c r="C13" s="124"/>
      <c r="E13" s="29" t="s">
        <v>71</v>
      </c>
      <c r="F13" s="26" t="s">
        <v>26</v>
      </c>
      <c r="G13" s="14">
        <v>15</v>
      </c>
      <c r="H13" s="92">
        <f>IF(B$19=0,0,G13/B$19)</f>
        <v>6.25E-2</v>
      </c>
      <c r="I13" s="60">
        <v>5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5.9405940594059403E-2</v>
      </c>
      <c r="E14" s="29" t="s">
        <v>78</v>
      </c>
      <c r="F14" s="26" t="s">
        <v>33</v>
      </c>
      <c r="G14" s="14">
        <v>13</v>
      </c>
      <c r="H14" s="92">
        <f>IF(B$19=0,0,G14/B$19)</f>
        <v>5.4166666666666669E-2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198</v>
      </c>
      <c r="C15" s="12">
        <f>IF(B$3=0,0,B15/B$3)</f>
        <v>0.24780976220275344</v>
      </c>
      <c r="E15" s="29" t="s">
        <v>83</v>
      </c>
      <c r="F15" s="26" t="s">
        <v>38</v>
      </c>
      <c r="G15" s="14">
        <v>11</v>
      </c>
      <c r="H15" s="92">
        <f>IF(B$19=0,0,G15/B$19)</f>
        <v>4.583333333333333E-2</v>
      </c>
      <c r="I15" s="60">
        <v>6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127</v>
      </c>
      <c r="C16" s="8">
        <f>IF(B$3=0,0,B16/B$3)</f>
        <v>0.15894868585732166</v>
      </c>
      <c r="E16" s="29" t="s">
        <v>156</v>
      </c>
      <c r="F16" s="26" t="s">
        <v>157</v>
      </c>
      <c r="G16" s="14">
        <v>11</v>
      </c>
      <c r="H16" s="92">
        <f>IF(B$19=0,0,G16/B$19)</f>
        <v>4.583333333333333E-2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37.733333333333334</v>
      </c>
      <c r="P16" s="81">
        <v>3</v>
      </c>
      <c r="Q16" s="72">
        <v>113.2</v>
      </c>
    </row>
    <row r="17" spans="1:17" x14ac:dyDescent="0.45">
      <c r="A17" s="20" t="s">
        <v>123</v>
      </c>
      <c r="B17" s="13">
        <f>B23</f>
        <v>117</v>
      </c>
      <c r="C17" s="6">
        <f>IF(B$15=0,0,B17/B$15)</f>
        <v>0.59090909090909094</v>
      </c>
      <c r="E17" s="29" t="s">
        <v>79</v>
      </c>
      <c r="F17" s="26" t="s">
        <v>34</v>
      </c>
      <c r="G17" s="14">
        <v>6</v>
      </c>
      <c r="H17" s="92">
        <f>IF(B$19=0,0,G17/B$19)</f>
        <v>2.5000000000000001E-2</v>
      </c>
      <c r="I17" s="60">
        <v>4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0.47244094488188976</v>
      </c>
      <c r="E18" s="29" t="s">
        <v>81</v>
      </c>
      <c r="F18" s="26" t="s">
        <v>36</v>
      </c>
      <c r="G18" s="14">
        <v>6</v>
      </c>
      <c r="H18" s="92">
        <f>IF(B$19=0,0,G18/B$19)</f>
        <v>2.5000000000000001E-2</v>
      </c>
      <c r="I18" s="60">
        <v>6</v>
      </c>
      <c r="K18" s="7">
        <v>16</v>
      </c>
      <c r="L18" s="65">
        <v>273.8</v>
      </c>
      <c r="N18" s="78" t="s">
        <v>243</v>
      </c>
      <c r="O18" s="87">
        <f>IF(P18=0,0,Q18/P18)</f>
        <v>17.3</v>
      </c>
      <c r="P18" s="81">
        <v>1</v>
      </c>
      <c r="Q18" s="72">
        <v>17.3</v>
      </c>
    </row>
    <row r="19" spans="1:17" x14ac:dyDescent="0.45">
      <c r="A19" s="20" t="s">
        <v>10</v>
      </c>
      <c r="B19" s="13">
        <f>B22+B21</f>
        <v>240</v>
      </c>
      <c r="C19" s="6">
        <f>IF(B$3=0,0,B19/B$3)</f>
        <v>0.30037546933667086</v>
      </c>
      <c r="E19" s="29" t="s">
        <v>91</v>
      </c>
      <c r="F19" s="26" t="s">
        <v>46</v>
      </c>
      <c r="G19" s="14">
        <v>3</v>
      </c>
      <c r="H19" s="92">
        <f>IF(B$19=0,0,G19/B$19)</f>
        <v>1.2500000000000001E-2</v>
      </c>
      <c r="I19" s="60">
        <v>4</v>
      </c>
      <c r="K19" s="7">
        <v>17</v>
      </c>
      <c r="L19" s="65">
        <v>242.8</v>
      </c>
      <c r="N19" s="78" t="s">
        <v>192</v>
      </c>
      <c r="O19" s="87">
        <f>IF(P19=0,0,Q19/P19)</f>
        <v>14.855</v>
      </c>
      <c r="P19" s="81">
        <v>40</v>
      </c>
      <c r="Q19" s="72">
        <v>594.20000000000005</v>
      </c>
    </row>
    <row r="20" spans="1:17" x14ac:dyDescent="0.45">
      <c r="A20" s="21" t="s">
        <v>13</v>
      </c>
      <c r="B20" s="14">
        <v>110</v>
      </c>
      <c r="C20" s="8">
        <f>IF(B$3=0,0,B20/B$3)</f>
        <v>0.13767209011264081</v>
      </c>
      <c r="E20" s="29" t="s">
        <v>92</v>
      </c>
      <c r="F20" s="26" t="s">
        <v>47</v>
      </c>
      <c r="G20" s="14">
        <v>3</v>
      </c>
      <c r="H20" s="92">
        <f>IF(B$19=0,0,G20/B$19)</f>
        <v>1.2500000000000001E-2</v>
      </c>
      <c r="I20" s="60">
        <v>2</v>
      </c>
      <c r="K20" s="7">
        <v>18</v>
      </c>
      <c r="L20" s="65">
        <v>280</v>
      </c>
      <c r="N20" s="78" t="s">
        <v>194</v>
      </c>
      <c r="O20" s="87">
        <f>IF(P20=0,0,Q20/P20)</f>
        <v>13.85</v>
      </c>
      <c r="P20" s="81">
        <v>28</v>
      </c>
      <c r="Q20" s="72">
        <v>387.8</v>
      </c>
    </row>
    <row r="21" spans="1:17" x14ac:dyDescent="0.45">
      <c r="A21" s="21" t="s">
        <v>12</v>
      </c>
      <c r="B21" s="14">
        <v>122</v>
      </c>
      <c r="C21" s="8">
        <f>IF(B$19=0,0,B21/B$19)</f>
        <v>0.5083333333333333</v>
      </c>
      <c r="E21" s="29" t="s">
        <v>93</v>
      </c>
      <c r="F21" s="26" t="s">
        <v>48</v>
      </c>
      <c r="G21" s="14">
        <v>2</v>
      </c>
      <c r="H21" s="92">
        <f>IF(B$19=0,0,G21/B$19)</f>
        <v>8.3333333333333332E-3</v>
      </c>
      <c r="I21" s="60">
        <v>1</v>
      </c>
      <c r="K21" s="7">
        <v>19</v>
      </c>
      <c r="L21" s="65">
        <v>281.5</v>
      </c>
      <c r="N21" s="78" t="s">
        <v>193</v>
      </c>
      <c r="O21" s="87">
        <f>IF(P21=0,0,Q21/P21)</f>
        <v>10.172727272727274</v>
      </c>
      <c r="P21" s="81">
        <v>22</v>
      </c>
      <c r="Q21" s="72">
        <v>223.80000000000004</v>
      </c>
    </row>
    <row r="22" spans="1:17" x14ac:dyDescent="0.45">
      <c r="A22" s="21" t="s">
        <v>11</v>
      </c>
      <c r="B22" s="14">
        <v>118</v>
      </c>
      <c r="C22" s="8">
        <f>IF(B$19=0,0,B22/B$19)</f>
        <v>0.49166666666666664</v>
      </c>
      <c r="E22" s="29" t="s">
        <v>73</v>
      </c>
      <c r="F22" s="26" t="s">
        <v>28</v>
      </c>
      <c r="G22" s="14">
        <v>1</v>
      </c>
      <c r="H22" s="92">
        <f>IF(B$19=0,0,G22/B$19)</f>
        <v>4.1666666666666666E-3</v>
      </c>
      <c r="I22" s="60">
        <v>3</v>
      </c>
      <c r="K22" s="7">
        <v>20</v>
      </c>
      <c r="L22" s="65">
        <v>287.2</v>
      </c>
      <c r="N22" s="78" t="s">
        <v>205</v>
      </c>
      <c r="O22" s="87">
        <f>IF(P22=0,0,Q22/P22)</f>
        <v>8.2694444444444422</v>
      </c>
      <c r="P22" s="81">
        <v>36</v>
      </c>
      <c r="Q22" s="72">
        <v>297.69999999999993</v>
      </c>
    </row>
    <row r="23" spans="1:17" x14ac:dyDescent="0.45">
      <c r="A23" s="21" t="s">
        <v>184</v>
      </c>
      <c r="B23" s="14">
        <v>117</v>
      </c>
      <c r="C23" s="8">
        <f>IF(B$19=0,0,B23/B$19)</f>
        <v>0.48749999999999999</v>
      </c>
      <c r="E23" s="29" t="s">
        <v>75</v>
      </c>
      <c r="F23" s="26" t="s">
        <v>30</v>
      </c>
      <c r="G23" s="14">
        <v>1</v>
      </c>
      <c r="H23" s="92">
        <f>IF(B$19=0,0,G23/B$19)</f>
        <v>4.1666666666666666E-3</v>
      </c>
      <c r="I23" s="60">
        <v>6</v>
      </c>
      <c r="K23" s="7">
        <v>21</v>
      </c>
      <c r="L23" s="65">
        <v>286.3</v>
      </c>
      <c r="N23" s="78" t="s">
        <v>212</v>
      </c>
      <c r="O23" s="87">
        <f>IF(P23=0,0,Q23/P23)</f>
        <v>4.7444444444444436</v>
      </c>
      <c r="P23" s="81">
        <v>9</v>
      </c>
      <c r="Q23" s="72">
        <v>42.699999999999989</v>
      </c>
    </row>
    <row r="24" spans="1:17" x14ac:dyDescent="0.45">
      <c r="A24" s="21" t="s">
        <v>182</v>
      </c>
      <c r="B24" s="14">
        <v>60</v>
      </c>
      <c r="C24" s="8">
        <f>IF(B$19=0,0,B24/B$19)</f>
        <v>0.25</v>
      </c>
      <c r="E24" s="29" t="s">
        <v>77</v>
      </c>
      <c r="F24" s="26" t="s">
        <v>32</v>
      </c>
      <c r="G24" s="14">
        <v>1</v>
      </c>
      <c r="H24" s="92">
        <f>IF(B$19=0,0,G24/B$19)</f>
        <v>4.1666666666666666E-3</v>
      </c>
      <c r="I24" s="60">
        <v>6</v>
      </c>
      <c r="K24" s="7">
        <v>22</v>
      </c>
      <c r="L24" s="65">
        <v>344.1</v>
      </c>
      <c r="N24" s="78" t="s">
        <v>164</v>
      </c>
      <c r="O24" s="87">
        <f>IF(P24=0,0,Q24/P24)</f>
        <v>-0.67692307692307996</v>
      </c>
      <c r="P24" s="81">
        <v>52</v>
      </c>
      <c r="Q24" s="72">
        <v>-35.200000000000159</v>
      </c>
    </row>
    <row r="25" spans="1:17" x14ac:dyDescent="0.45">
      <c r="A25" s="21" t="s">
        <v>183</v>
      </c>
      <c r="B25" s="14">
        <v>63</v>
      </c>
      <c r="C25" s="8">
        <f>IF(B$19=0,0,B25/B$19)</f>
        <v>0.26250000000000001</v>
      </c>
      <c r="E25" s="29" t="s">
        <v>84</v>
      </c>
      <c r="F25" s="26" t="s">
        <v>39</v>
      </c>
      <c r="G25" s="14">
        <v>1</v>
      </c>
      <c r="H25" s="92">
        <f>IF(B$19=0,0,G25/B$19)</f>
        <v>4.1666666666666666E-3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9682.9166666666661</v>
      </c>
      <c r="C26" s="10">
        <v>2323900</v>
      </c>
      <c r="E26" s="29" t="s">
        <v>87</v>
      </c>
      <c r="F26" s="26" t="s">
        <v>42</v>
      </c>
      <c r="G26" s="14">
        <v>1</v>
      </c>
      <c r="H26" s="92">
        <f>IF(B$19=0,0,G26/B$19)</f>
        <v>4.1666666666666666E-3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10036.666666666666</v>
      </c>
      <c r="C27" s="100">
        <v>1806600</v>
      </c>
      <c r="E27" s="29" t="s">
        <v>95</v>
      </c>
      <c r="F27" s="26" t="s">
        <v>50</v>
      </c>
      <c r="G27" s="14">
        <v>1</v>
      </c>
      <c r="H27" s="92">
        <f>IF(B$19=0,0,G27/B$19)</f>
        <v>4.1666666666666666E-3</v>
      </c>
      <c r="I27" s="60">
        <v>2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8621.6666666666661</v>
      </c>
      <c r="C28" s="100">
        <v>517300</v>
      </c>
      <c r="E28" s="29" t="s">
        <v>106</v>
      </c>
      <c r="F28" s="26" t="s">
        <v>113</v>
      </c>
      <c r="G28" s="14">
        <v>1</v>
      </c>
      <c r="H28" s="92">
        <f>IF(B$19=0,0,G28/B$19)</f>
        <v>4.1666666666666666E-3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-8131.818181818182</v>
      </c>
      <c r="C29" s="100">
        <v>-894500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5.4166666666666669E-2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36</v>
      </c>
      <c r="C37" s="8">
        <f t="shared" si="2"/>
        <v>0.15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44</v>
      </c>
      <c r="C38" s="8">
        <f t="shared" si="2"/>
        <v>0.18333333333333332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41</v>
      </c>
      <c r="C39" s="8">
        <f t="shared" si="2"/>
        <v>0.17083333333333334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40</v>
      </c>
      <c r="C40" s="8">
        <f t="shared" si="2"/>
        <v>0.16666666666666666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23</v>
      </c>
      <c r="C41" s="8">
        <f t="shared" si="2"/>
        <v>9.583333333333334E-2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15</v>
      </c>
      <c r="C42" s="8">
        <f t="shared" si="2"/>
        <v>6.25E-2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9</v>
      </c>
      <c r="C43" s="8">
        <f t="shared" si="2"/>
        <v>3.7499999999999999E-2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2.5000000000000001E-2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1.6666666666666666E-2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4.1666666666666666E-3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4.1666666666666666E-3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2.9166666666666667E-2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  <row r="96" spans="11:12" x14ac:dyDescent="0.45">
      <c r="K96" s="7">
        <v>94</v>
      </c>
      <c r="L96" s="65">
        <v>770.10000000000025</v>
      </c>
    </row>
    <row r="97" spans="11:12" x14ac:dyDescent="0.45">
      <c r="K97" s="7">
        <v>95</v>
      </c>
      <c r="L97" s="65">
        <v>748.9000000000002</v>
      </c>
    </row>
    <row r="98" spans="11:12" x14ac:dyDescent="0.45">
      <c r="K98" s="7">
        <v>96</v>
      </c>
      <c r="L98" s="65">
        <v>720.4000000000002</v>
      </c>
    </row>
    <row r="99" spans="11:12" x14ac:dyDescent="0.45">
      <c r="K99" s="7">
        <v>97</v>
      </c>
      <c r="L99" s="65">
        <v>735.9000000000002</v>
      </c>
    </row>
    <row r="100" spans="11:12" x14ac:dyDescent="0.45">
      <c r="K100" s="7">
        <v>98</v>
      </c>
      <c r="L100" s="65">
        <v>708.20000000000016</v>
      </c>
    </row>
    <row r="101" spans="11:12" x14ac:dyDescent="0.45">
      <c r="K101" s="7">
        <v>99</v>
      </c>
      <c r="L101" s="65">
        <v>680.60000000000014</v>
      </c>
    </row>
    <row r="102" spans="11:12" x14ac:dyDescent="0.45">
      <c r="K102" s="7">
        <v>100</v>
      </c>
      <c r="L102" s="65">
        <v>678.90000000000009</v>
      </c>
    </row>
    <row r="103" spans="11:12" x14ac:dyDescent="0.45">
      <c r="K103" s="7">
        <v>101</v>
      </c>
      <c r="L103" s="65">
        <v>679.00000000000011</v>
      </c>
    </row>
  </sheetData>
  <sortState xmlns:xlrd2="http://schemas.microsoft.com/office/spreadsheetml/2017/richdata2" ref="N15:Q24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A1EF-20F2-4FB1-93F8-11BBC963523F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66</v>
      </c>
      <c r="F2" s="25" t="s">
        <v>22</v>
      </c>
      <c r="G2" s="13">
        <v>67</v>
      </c>
      <c r="H2" s="91">
        <f>IF(B$19=0,0,G2/B$19)</f>
        <v>0.72043010752688175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-3502.439024390244</v>
      </c>
      <c r="P2" s="80">
        <v>41</v>
      </c>
      <c r="Q2" s="67">
        <v>-143600</v>
      </c>
    </row>
    <row r="3" spans="1:17" x14ac:dyDescent="0.45">
      <c r="A3" s="21" t="s">
        <v>8</v>
      </c>
      <c r="B3" s="133">
        <v>323</v>
      </c>
      <c r="C3" s="134"/>
      <c r="E3" s="29" t="s">
        <v>72</v>
      </c>
      <c r="F3" s="26" t="s">
        <v>27</v>
      </c>
      <c r="G3" s="14">
        <v>48</v>
      </c>
      <c r="H3" s="92">
        <f>IF(B$19=0,0,G3/B$19)</f>
        <v>0.5161290322580645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2107.3170731707319</v>
      </c>
      <c r="P3" s="81">
        <v>41</v>
      </c>
      <c r="Q3" s="68">
        <v>86400</v>
      </c>
    </row>
    <row r="4" spans="1:17" x14ac:dyDescent="0.45">
      <c r="A4" s="21" t="s">
        <v>6</v>
      </c>
      <c r="B4" s="135">
        <v>-240.99999999999983</v>
      </c>
      <c r="C4" s="136"/>
      <c r="E4" s="29" t="s">
        <v>64</v>
      </c>
      <c r="F4" s="26" t="s">
        <v>20</v>
      </c>
      <c r="G4" s="14">
        <v>44</v>
      </c>
      <c r="H4" s="92">
        <f>IF(B$19=0,0,G4/B$19)</f>
        <v>0.4731182795698925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-1289.4736842105262</v>
      </c>
      <c r="P4" s="81">
        <v>38</v>
      </c>
      <c r="Q4" s="68">
        <v>-49000</v>
      </c>
    </row>
    <row r="5" spans="1:17" x14ac:dyDescent="0.45">
      <c r="A5" s="21" t="s">
        <v>7</v>
      </c>
      <c r="B5" s="123">
        <f>IF(B$2=0,0,B$4/B$2)</f>
        <v>-5.7380952380952337</v>
      </c>
      <c r="C5" s="124"/>
      <c r="E5" s="29" t="s">
        <v>160</v>
      </c>
      <c r="F5" s="26" t="s">
        <v>161</v>
      </c>
      <c r="G5" s="14">
        <v>44</v>
      </c>
      <c r="H5" s="92">
        <f>IF(B$19=0,0,G5/B$19)</f>
        <v>0.4731182795698925</v>
      </c>
      <c r="I5" s="60">
        <v>3</v>
      </c>
      <c r="K5" s="7">
        <v>3</v>
      </c>
      <c r="L5" s="65">
        <v>-108</v>
      </c>
      <c r="N5" s="78" t="s">
        <v>131</v>
      </c>
      <c r="O5" s="84">
        <f t="shared" si="0"/>
        <v>-1578.7878787878788</v>
      </c>
      <c r="P5" s="81">
        <v>33</v>
      </c>
      <c r="Q5" s="68">
        <v>-52100</v>
      </c>
    </row>
    <row r="6" spans="1:17" x14ac:dyDescent="0.45">
      <c r="A6" s="21" t="s">
        <v>1</v>
      </c>
      <c r="B6" s="137">
        <f>IF(B$2=0,0,(B$7*1+B$8*2+B$9*3)/B$2)</f>
        <v>2.2142857142857144</v>
      </c>
      <c r="C6" s="138"/>
      <c r="E6" s="29" t="s">
        <v>68</v>
      </c>
      <c r="F6" s="26" t="s">
        <v>12</v>
      </c>
      <c r="G6" s="14">
        <v>32</v>
      </c>
      <c r="H6" s="92">
        <f>IF(B$19=0,0,G6/B$19)</f>
        <v>0.34408602150537637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3472.4137931034484</v>
      </c>
      <c r="P6" s="81">
        <v>29</v>
      </c>
      <c r="Q6" s="68">
        <v>100700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0.21428571428571427</v>
      </c>
      <c r="E7" s="29" t="s">
        <v>67</v>
      </c>
      <c r="F7" s="26" t="s">
        <v>23</v>
      </c>
      <c r="G7" s="14">
        <v>20</v>
      </c>
      <c r="H7" s="92">
        <f>IF(B$19=0,0,G7/B$19)</f>
        <v>0.21505376344086022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-3864</v>
      </c>
      <c r="P7" s="82">
        <v>25</v>
      </c>
      <c r="Q7" s="69">
        <v>-96600</v>
      </c>
    </row>
    <row r="8" spans="1:17" x14ac:dyDescent="0.45">
      <c r="A8" s="21" t="s">
        <v>3</v>
      </c>
      <c r="B8" s="14">
        <v>15</v>
      </c>
      <c r="C8" s="8">
        <f t="shared" si="1"/>
        <v>0.35714285714285715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0.42857142857142855</v>
      </c>
      <c r="E9" s="29" t="s">
        <v>70</v>
      </c>
      <c r="F9" s="26" t="s">
        <v>25</v>
      </c>
      <c r="G9" s="14">
        <v>10</v>
      </c>
      <c r="H9" s="92">
        <f>IF(B$19=0,0,G9/B$19)</f>
        <v>0.10752688172043011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41.111111111111114</v>
      </c>
      <c r="C10" s="114">
        <v>370</v>
      </c>
      <c r="E10" s="29" t="s">
        <v>69</v>
      </c>
      <c r="F10" s="26" t="s">
        <v>24</v>
      </c>
      <c r="G10" s="14">
        <v>9</v>
      </c>
      <c r="H10" s="92">
        <f>IF(B$19=0,0,G10/B$19)</f>
        <v>9.6774193548387094E-2</v>
      </c>
      <c r="I10" s="60">
        <v>11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-1.0733333333333335</v>
      </c>
      <c r="C11" s="114">
        <v>-16.100000000000001</v>
      </c>
      <c r="E11" s="29" t="s">
        <v>86</v>
      </c>
      <c r="F11" s="26" t="s">
        <v>41</v>
      </c>
      <c r="G11" s="14">
        <v>7</v>
      </c>
      <c r="H11" s="92">
        <f>IF(B$19=0,0,G11/B$19)</f>
        <v>7.5268817204301078E-2</v>
      </c>
      <c r="I11" s="60">
        <v>4</v>
      </c>
      <c r="K11" s="7">
        <v>9</v>
      </c>
      <c r="L11" s="65">
        <v>-172.39999999999998</v>
      </c>
      <c r="N11" s="78" t="s">
        <v>153</v>
      </c>
      <c r="O11" s="87">
        <f>IF(P11=0,0,Q11/P11)</f>
        <v>-4.6937500000000005</v>
      </c>
      <c r="P11" s="81">
        <v>16</v>
      </c>
      <c r="Q11" s="72">
        <v>-75.100000000000009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65</v>
      </c>
      <c r="F12" s="26" t="s">
        <v>21</v>
      </c>
      <c r="G12" s="14">
        <v>6</v>
      </c>
      <c r="H12" s="92">
        <f>IF(B$19=0,0,G12/B$19)</f>
        <v>6.4516129032258063E-2</v>
      </c>
      <c r="I12" s="60">
        <v>12</v>
      </c>
      <c r="K12" s="7">
        <v>10</v>
      </c>
      <c r="L12" s="65">
        <v>-217.59999999999997</v>
      </c>
      <c r="N12" s="79" t="s">
        <v>154</v>
      </c>
      <c r="O12" s="88">
        <f>IF(P12=0,0,Q12/P12)</f>
        <v>9.663636363636364</v>
      </c>
      <c r="P12" s="82">
        <v>11</v>
      </c>
      <c r="Q12" s="73">
        <v>106.3</v>
      </c>
    </row>
    <row r="13" spans="1:17" x14ac:dyDescent="0.45">
      <c r="A13" s="22" t="s">
        <v>188</v>
      </c>
      <c r="B13" s="123">
        <f>AVERAGE(B10:B12)</f>
        <v>2.3292592592592598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4.3010752688172046E-2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0.14285714285714285</v>
      </c>
      <c r="E14" s="29" t="s">
        <v>78</v>
      </c>
      <c r="F14" s="26" t="s">
        <v>33</v>
      </c>
      <c r="G14" s="14">
        <v>4</v>
      </c>
      <c r="H14" s="92">
        <f>IF(B$19=0,0,G14/B$19)</f>
        <v>4.3010752688172046E-2</v>
      </c>
      <c r="I14" s="60">
        <v>4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77</v>
      </c>
      <c r="C15" s="12">
        <f>IF(B$3=0,0,B15/B$3)</f>
        <v>0.23839009287925697</v>
      </c>
      <c r="E15" s="29" t="s">
        <v>81</v>
      </c>
      <c r="F15" s="26" t="s">
        <v>36</v>
      </c>
      <c r="G15" s="14">
        <v>3</v>
      </c>
      <c r="H15" s="92">
        <f>IF(B$19=0,0,G15/B$19)</f>
        <v>3.2258064516129031E-2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14.800000000000004</v>
      </c>
      <c r="P15" s="80">
        <v>12</v>
      </c>
      <c r="Q15" s="71">
        <v>177.60000000000005</v>
      </c>
    </row>
    <row r="16" spans="1:17" x14ac:dyDescent="0.45">
      <c r="A16" s="21" t="s">
        <v>118</v>
      </c>
      <c r="B16" s="14">
        <v>51</v>
      </c>
      <c r="C16" s="8">
        <f>IF(B$3=0,0,B16/B$3)</f>
        <v>0.15789473684210525</v>
      </c>
      <c r="E16" s="29" t="s">
        <v>73</v>
      </c>
      <c r="F16" s="26" t="s">
        <v>28</v>
      </c>
      <c r="G16" s="14">
        <v>1</v>
      </c>
      <c r="H16" s="92">
        <f>IF(B$19=0,0,G16/B$19)</f>
        <v>1.0752688172043012E-2</v>
      </c>
      <c r="I16" s="60">
        <v>2</v>
      </c>
      <c r="K16" s="7">
        <v>14</v>
      </c>
      <c r="L16" s="65">
        <v>-330.7</v>
      </c>
      <c r="N16" s="78" t="s">
        <v>240</v>
      </c>
      <c r="O16" s="87">
        <f>IF(P16=0,0,Q16/P16)</f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42</v>
      </c>
      <c r="C17" s="6">
        <f>IF(B$15=0,0,B17/B$15)</f>
        <v>0.54545454545454541</v>
      </c>
      <c r="E17" s="29" t="s">
        <v>83</v>
      </c>
      <c r="F17" s="26" t="s">
        <v>38</v>
      </c>
      <c r="G17" s="14">
        <v>1</v>
      </c>
      <c r="H17" s="92">
        <f>IF(B$19=0,0,G17/B$19)</f>
        <v>1.0752688172043012E-2</v>
      </c>
      <c r="I17" s="60">
        <v>8</v>
      </c>
      <c r="K17" s="7">
        <v>15</v>
      </c>
      <c r="L17" s="65">
        <v>-284.09999999999997</v>
      </c>
      <c r="N17" s="78" t="s">
        <v>205</v>
      </c>
      <c r="O17" s="87">
        <f>IF(P17=0,0,Q17/P17)</f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29</v>
      </c>
      <c r="C18" s="6">
        <f>IF(B$16=0,0,B18/B$16)</f>
        <v>0.56862745098039214</v>
      </c>
      <c r="E18" s="29" t="s">
        <v>87</v>
      </c>
      <c r="F18" s="26" t="s">
        <v>42</v>
      </c>
      <c r="G18" s="14">
        <v>1</v>
      </c>
      <c r="H18" s="92">
        <f>IF(B$19=0,0,G18/B$19)</f>
        <v>1.0752688172043012E-2</v>
      </c>
      <c r="I18" s="60">
        <v>1</v>
      </c>
      <c r="K18" s="7">
        <v>16</v>
      </c>
      <c r="L18" s="65">
        <v>-234.59999999999997</v>
      </c>
      <c r="N18" s="78" t="s">
        <v>192</v>
      </c>
      <c r="O18" s="87">
        <f>IF(P18=0,0,Q18/P18)</f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0.28792569659442724</v>
      </c>
      <c r="E19" s="29" t="s">
        <v>91</v>
      </c>
      <c r="F19" s="26" t="s">
        <v>46</v>
      </c>
      <c r="G19" s="14">
        <v>1</v>
      </c>
      <c r="H19" s="92">
        <f>IF(B$19=0,0,G19/B$19)</f>
        <v>1.0752688172043012E-2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>IF(P19=0,0,Q19/P19)</f>
        <v>-13.85</v>
      </c>
      <c r="P19" s="81">
        <v>28</v>
      </c>
      <c r="Q19" s="72">
        <v>-387.8</v>
      </c>
    </row>
    <row r="20" spans="1:17" x14ac:dyDescent="0.45">
      <c r="A20" s="21" t="s">
        <v>13</v>
      </c>
      <c r="B20" s="14">
        <v>52</v>
      </c>
      <c r="C20" s="8">
        <f>IF(B$3=0,0,B20/B$3)</f>
        <v>0.1609907120743034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>IF(P20=0,0,Q20/P20)</f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48</v>
      </c>
      <c r="C21" s="8">
        <f>IF(B$19=0,0,B21/B$19)</f>
        <v>0.5161290322580645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  <c r="N21" s="78" t="s">
        <v>193</v>
      </c>
      <c r="O21" s="87">
        <f>IF(P21=0,0,Q21/P21)</f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45</v>
      </c>
      <c r="C22" s="8">
        <f>IF(B$19=0,0,B22/B$19)</f>
        <v>0.4838709677419355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42</v>
      </c>
      <c r="C23" s="8">
        <f>IF(B$19=0,0,B23/B$19)</f>
        <v>0.45161290322580644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29</v>
      </c>
      <c r="C24" s="8">
        <f>IF(B$19=0,0,B24/B$19)</f>
        <v>0.31182795698924731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22</v>
      </c>
      <c r="C25" s="8">
        <f>IF(B$19=0,0,B25/B$19)</f>
        <v>0.23655913978494625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8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7873.1182795698924</v>
      </c>
      <c r="C26" s="10">
        <v>732200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9082.8125</v>
      </c>
      <c r="C27" s="100">
        <v>581300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5203.4482758620688</v>
      </c>
      <c r="C28" s="100">
        <v>150900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-7148.0769230769229</v>
      </c>
      <c r="C29" s="100">
        <v>-371700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3.0959752321981426E-3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0.10752688172043011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17</v>
      </c>
      <c r="C37" s="8">
        <f t="shared" si="2"/>
        <v>0.18279569892473119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19</v>
      </c>
      <c r="C38" s="8">
        <f t="shared" si="2"/>
        <v>0.20430107526881722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2"/>
        <v>0.15053763440860216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10</v>
      </c>
      <c r="C40" s="8">
        <f t="shared" si="2"/>
        <v>0.10752688172043011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14</v>
      </c>
      <c r="C41" s="8">
        <f t="shared" si="2"/>
        <v>0.15053763440860216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2"/>
        <v>4.3010752688172046E-2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2"/>
        <v>2.1505376344086023E-2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-261.99999999999983</v>
      </c>
    </row>
    <row r="44" spans="1:12" x14ac:dyDescent="0.45">
      <c r="A44" s="21" t="s">
        <v>176</v>
      </c>
      <c r="B44" s="122">
        <v>1</v>
      </c>
      <c r="C44" s="8">
        <f t="shared" si="2"/>
        <v>1.0752688172043012E-2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-240.99999999999983</v>
      </c>
    </row>
    <row r="45" spans="1:12" x14ac:dyDescent="0.45">
      <c r="A45" s="21" t="s">
        <v>177</v>
      </c>
      <c r="B45" s="122">
        <v>1</v>
      </c>
      <c r="C45" s="8">
        <f t="shared" si="2"/>
        <v>1.0752688172043012E-2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1.0752688172043012E-2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B5BE-5351-4F4C-8253-8BE39146BCBE}">
  <sheetPr codeName="Sheet15"/>
  <dimension ref="A1:Q7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69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0.6558441558441559</v>
      </c>
      <c r="I2" s="59">
        <v>8</v>
      </c>
      <c r="K2" s="5">
        <v>0</v>
      </c>
      <c r="L2" s="64">
        <v>0</v>
      </c>
      <c r="N2" s="77" t="s">
        <v>128</v>
      </c>
      <c r="O2" s="83">
        <f t="shared" ref="O2:O7" si="0">IF(P2=0,0,Q2/P2)</f>
        <v>-305.88235294117646</v>
      </c>
      <c r="P2" s="80">
        <v>68</v>
      </c>
      <c r="Q2" s="67">
        <v>-20800</v>
      </c>
    </row>
    <row r="3" spans="1:17" x14ac:dyDescent="0.45">
      <c r="A3" s="21" t="s">
        <v>8</v>
      </c>
      <c r="B3" s="133">
        <v>567</v>
      </c>
      <c r="C3" s="134"/>
      <c r="E3" s="29" t="s">
        <v>72</v>
      </c>
      <c r="F3" s="26" t="s">
        <v>27</v>
      </c>
      <c r="G3" s="14">
        <v>101</v>
      </c>
      <c r="H3" s="92">
        <f>IF(B$19=0,0,G3/B$19)</f>
        <v>0.6558441558441559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79.411764705882348</v>
      </c>
      <c r="P3" s="81">
        <v>68</v>
      </c>
      <c r="Q3" s="68">
        <v>5400</v>
      </c>
    </row>
    <row r="4" spans="1:17" x14ac:dyDescent="0.45">
      <c r="A4" s="21" t="s">
        <v>6</v>
      </c>
      <c r="B4" s="135">
        <v>-93.19999999999996</v>
      </c>
      <c r="C4" s="136"/>
      <c r="E4" s="29" t="s">
        <v>64</v>
      </c>
      <c r="F4" s="26" t="s">
        <v>20</v>
      </c>
      <c r="G4" s="14">
        <v>65</v>
      </c>
      <c r="H4" s="92">
        <f>IF(B$19=0,0,G4/B$19)</f>
        <v>0.42207792207792205</v>
      </c>
      <c r="I4" s="60">
        <v>10</v>
      </c>
      <c r="K4" s="7">
        <v>2</v>
      </c>
      <c r="L4" s="65">
        <v>-62.8</v>
      </c>
      <c r="N4" s="78" t="s">
        <v>130</v>
      </c>
      <c r="O4" s="84">
        <f t="shared" si="0"/>
        <v>-923.88059701492534</v>
      </c>
      <c r="P4" s="81">
        <v>67</v>
      </c>
      <c r="Q4" s="68">
        <v>-61900</v>
      </c>
    </row>
    <row r="5" spans="1:17" x14ac:dyDescent="0.45">
      <c r="A5" s="21" t="s">
        <v>7</v>
      </c>
      <c r="B5" s="123">
        <f>IF(B$2=0,0,B$4/B$2)</f>
        <v>-1.3507246376811588</v>
      </c>
      <c r="C5" s="124"/>
      <c r="E5" s="29" t="s">
        <v>160</v>
      </c>
      <c r="F5" s="26" t="s">
        <v>161</v>
      </c>
      <c r="G5" s="14">
        <v>61</v>
      </c>
      <c r="H5" s="92">
        <f>IF(B$19=0,0,G5/B$19)</f>
        <v>0.39610389610389612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882.8125</v>
      </c>
      <c r="P5" s="81">
        <v>64</v>
      </c>
      <c r="Q5" s="68">
        <v>56500</v>
      </c>
    </row>
    <row r="6" spans="1:17" x14ac:dyDescent="0.45">
      <c r="A6" s="21" t="s">
        <v>1</v>
      </c>
      <c r="B6" s="137">
        <f>IF(B$2=0,0,(B$7*1+B$8*2+B$9*3)/B$2)</f>
        <v>2.0434782608695654</v>
      </c>
      <c r="C6" s="138"/>
      <c r="E6" s="29" t="s">
        <v>67</v>
      </c>
      <c r="F6" s="26" t="s">
        <v>23</v>
      </c>
      <c r="G6" s="14">
        <v>40</v>
      </c>
      <c r="H6" s="92">
        <f>IF(B$19=0,0,G6/B$19)</f>
        <v>0.25974025974025972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-829.31034482758616</v>
      </c>
      <c r="P6" s="81">
        <v>58</v>
      </c>
      <c r="Q6" s="68">
        <v>-48100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0.3188405797101449</v>
      </c>
      <c r="E7" s="29" t="s">
        <v>68</v>
      </c>
      <c r="F7" s="26" t="s">
        <v>12</v>
      </c>
      <c r="G7" s="14">
        <v>40</v>
      </c>
      <c r="H7" s="92">
        <f>IF(B$19=0,0,G7/B$19)</f>
        <v>0.25974025974025972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-1253.1914893617022</v>
      </c>
      <c r="P7" s="82">
        <v>47</v>
      </c>
      <c r="Q7" s="69">
        <v>-58900</v>
      </c>
    </row>
    <row r="8" spans="1:17" x14ac:dyDescent="0.45">
      <c r="A8" s="21" t="s">
        <v>3</v>
      </c>
      <c r="B8" s="14">
        <v>22</v>
      </c>
      <c r="C8" s="8">
        <f t="shared" si="1"/>
        <v>0.3188405797101449</v>
      </c>
      <c r="E8" s="29" t="s">
        <v>89</v>
      </c>
      <c r="F8" s="26" t="s">
        <v>44</v>
      </c>
      <c r="G8" s="14">
        <v>19</v>
      </c>
      <c r="H8" s="92">
        <f>IF(B$19=0,0,G8/B$19)</f>
        <v>0.12337662337662338</v>
      </c>
      <c r="I8" s="60">
        <v>9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25</v>
      </c>
      <c r="C9" s="9">
        <f t="shared" si="1"/>
        <v>0.36231884057971014</v>
      </c>
      <c r="E9" s="29" t="s">
        <v>69</v>
      </c>
      <c r="F9" s="26" t="s">
        <v>24</v>
      </c>
      <c r="G9" s="14">
        <v>15</v>
      </c>
      <c r="H9" s="92">
        <f>IF(B$19=0,0,G9/B$19)</f>
        <v>9.7402597402597407E-2</v>
      </c>
      <c r="I9" s="60">
        <v>10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38.040909090909096</v>
      </c>
      <c r="C10" s="114">
        <v>836.90000000000009</v>
      </c>
      <c r="E10" s="29" t="s">
        <v>65</v>
      </c>
      <c r="F10" s="26" t="s">
        <v>21</v>
      </c>
      <c r="G10" s="14">
        <v>10</v>
      </c>
      <c r="H10" s="92">
        <f>IF(B$19=0,0,G10/B$19)</f>
        <v>6.4935064935064929E-2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-9.9260869565217398</v>
      </c>
      <c r="P10" s="80">
        <v>23</v>
      </c>
      <c r="Q10" s="71">
        <v>-228.3</v>
      </c>
    </row>
    <row r="11" spans="1:17" x14ac:dyDescent="0.45">
      <c r="A11" s="22" t="s">
        <v>186</v>
      </c>
      <c r="B11" s="113">
        <f>IF(B8=0,0,C11/B8)</f>
        <v>-2.9363636363636361</v>
      </c>
      <c r="C11" s="114">
        <v>-64.599999999999994</v>
      </c>
      <c r="E11" s="29" t="s">
        <v>83</v>
      </c>
      <c r="F11" s="26" t="s">
        <v>38</v>
      </c>
      <c r="G11" s="14">
        <v>9</v>
      </c>
      <c r="H11" s="92">
        <f>IF(B$19=0,0,G11/B$19)</f>
        <v>5.844155844155844E-2</v>
      </c>
      <c r="I11" s="60">
        <v>3</v>
      </c>
      <c r="K11" s="7">
        <v>9</v>
      </c>
      <c r="L11" s="65">
        <v>-20.3</v>
      </c>
      <c r="N11" s="78" t="s">
        <v>153</v>
      </c>
      <c r="O11" s="87">
        <f>IF(P11=0,0,Q11/P11)</f>
        <v>1.3360000000000005</v>
      </c>
      <c r="P11" s="81">
        <v>25</v>
      </c>
      <c r="Q11" s="72">
        <v>33.400000000000013</v>
      </c>
    </row>
    <row r="12" spans="1:17" x14ac:dyDescent="0.45">
      <c r="A12" s="22" t="s">
        <v>187</v>
      </c>
      <c r="B12" s="113">
        <f>IF(B9=0,0,C12/B9)</f>
        <v>-34.619999999999997</v>
      </c>
      <c r="C12" s="114">
        <v>-865.49999999999989</v>
      </c>
      <c r="E12" s="29" t="s">
        <v>70</v>
      </c>
      <c r="F12" s="26" t="s">
        <v>25</v>
      </c>
      <c r="G12" s="14">
        <v>8</v>
      </c>
      <c r="H12" s="92">
        <f>IF(B$19=0,0,G12/B$19)</f>
        <v>5.1948051948051951E-2</v>
      </c>
      <c r="I12" s="60">
        <v>10</v>
      </c>
      <c r="K12" s="7">
        <v>10</v>
      </c>
      <c r="L12" s="65">
        <v>-14.9</v>
      </c>
      <c r="N12" s="79" t="s">
        <v>154</v>
      </c>
      <c r="O12" s="88">
        <f>IF(P12=0,0,Q12/P12)</f>
        <v>4.8428571428571434</v>
      </c>
      <c r="P12" s="82">
        <v>21</v>
      </c>
      <c r="Q12" s="73">
        <v>101.70000000000002</v>
      </c>
    </row>
    <row r="13" spans="1:17" x14ac:dyDescent="0.45">
      <c r="A13" s="22" t="s">
        <v>188</v>
      </c>
      <c r="B13" s="123">
        <f>AVERAGE(B10:B12)</f>
        <v>0.16151515151515383</v>
      </c>
      <c r="C13" s="124"/>
      <c r="E13" s="29" t="s">
        <v>71</v>
      </c>
      <c r="F13" s="26" t="s">
        <v>26</v>
      </c>
      <c r="G13" s="14">
        <v>8</v>
      </c>
      <c r="H13" s="92">
        <f>IF(B$19=0,0,G13/B$19)</f>
        <v>5.1948051948051951E-2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7.2463768115942032E-2</v>
      </c>
      <c r="E14" s="29" t="s">
        <v>79</v>
      </c>
      <c r="F14" s="26" t="s">
        <v>34</v>
      </c>
      <c r="G14" s="14">
        <v>6</v>
      </c>
      <c r="H14" s="92">
        <f>IF(B$19=0,0,G14/B$19)</f>
        <v>3.896103896103896E-2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130</v>
      </c>
      <c r="C15" s="12">
        <f>IF(B$3=0,0,B15/B$3)</f>
        <v>0.2292768959435626</v>
      </c>
      <c r="E15" s="29" t="s">
        <v>91</v>
      </c>
      <c r="F15" s="26" t="s">
        <v>46</v>
      </c>
      <c r="G15" s="14">
        <v>6</v>
      </c>
      <c r="H15" s="92">
        <f>IF(B$19=0,0,G15/B$19)</f>
        <v>3.896103896103896E-2</v>
      </c>
      <c r="I15" s="60">
        <v>2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135</v>
      </c>
      <c r="C16" s="8">
        <f>IF(B$3=0,0,B16/B$3)</f>
        <v>0.23809523809523808</v>
      </c>
      <c r="E16" s="29" t="s">
        <v>78</v>
      </c>
      <c r="F16" s="26" t="s">
        <v>33</v>
      </c>
      <c r="G16" s="14">
        <v>5</v>
      </c>
      <c r="H16" s="92">
        <f>IF(B$19=0,0,G16/B$19)</f>
        <v>3.2467532467532464E-2</v>
      </c>
      <c r="I16" s="60">
        <v>6</v>
      </c>
      <c r="K16" s="7">
        <v>14</v>
      </c>
      <c r="L16" s="65">
        <v>-149.39999999999998</v>
      </c>
      <c r="N16" s="78" t="s">
        <v>243</v>
      </c>
      <c r="O16" s="87">
        <f>IF(P16=0,0,Q16/P16)</f>
        <v>41.35</v>
      </c>
      <c r="P16" s="81">
        <v>2</v>
      </c>
      <c r="Q16" s="72">
        <v>82.7</v>
      </c>
    </row>
    <row r="17" spans="1:17" x14ac:dyDescent="0.45">
      <c r="A17" s="20" t="s">
        <v>123</v>
      </c>
      <c r="B17" s="13">
        <f>B23</f>
        <v>68</v>
      </c>
      <c r="C17" s="6">
        <f>IF(B$15=0,0,B17/B$15)</f>
        <v>0.52307692307692311</v>
      </c>
      <c r="E17" s="29" t="s">
        <v>81</v>
      </c>
      <c r="F17" s="26" t="s">
        <v>36</v>
      </c>
      <c r="G17" s="14">
        <v>4</v>
      </c>
      <c r="H17" s="92">
        <f>IF(B$19=0,0,G17/B$19)</f>
        <v>2.5974025974025976E-2</v>
      </c>
      <c r="I17" s="60">
        <v>5</v>
      </c>
      <c r="K17" s="7">
        <v>15</v>
      </c>
      <c r="L17" s="65">
        <v>-121.39999999999998</v>
      </c>
      <c r="N17" s="78" t="s">
        <v>189</v>
      </c>
      <c r="O17" s="87">
        <f>IF(P17=0,0,Q17/P17)</f>
        <v>23.599999999999998</v>
      </c>
      <c r="P17" s="81">
        <v>3</v>
      </c>
      <c r="Q17" s="72">
        <v>70.8</v>
      </c>
    </row>
    <row r="18" spans="1:17" x14ac:dyDescent="0.45">
      <c r="A18" s="20" t="s">
        <v>124</v>
      </c>
      <c r="B18" s="13">
        <f>B24</f>
        <v>55</v>
      </c>
      <c r="C18" s="6">
        <f>IF(B$16=0,0,B18/B$16)</f>
        <v>0.40740740740740738</v>
      </c>
      <c r="E18" s="29" t="s">
        <v>86</v>
      </c>
      <c r="F18" s="26" t="s">
        <v>41</v>
      </c>
      <c r="G18" s="14">
        <v>4</v>
      </c>
      <c r="H18" s="92">
        <f>IF(B$19=0,0,G18/B$19)</f>
        <v>2.5974025974025976E-2</v>
      </c>
      <c r="I18" s="60">
        <v>9</v>
      </c>
      <c r="K18" s="7">
        <v>16</v>
      </c>
      <c r="L18" s="65">
        <v>-141.29999999999998</v>
      </c>
      <c r="N18" s="78" t="s">
        <v>193</v>
      </c>
      <c r="O18" s="87">
        <f>IF(P18=0,0,Q18/P18)</f>
        <v>5.7964285714285753</v>
      </c>
      <c r="P18" s="81">
        <v>28</v>
      </c>
      <c r="Q18" s="72">
        <v>162.3000000000001</v>
      </c>
    </row>
    <row r="19" spans="1:17" x14ac:dyDescent="0.45">
      <c r="A19" s="20" t="s">
        <v>10</v>
      </c>
      <c r="B19" s="13">
        <f>B22+B21</f>
        <v>154</v>
      </c>
      <c r="C19" s="6">
        <f>IF(B$3=0,0,B19/B$3)</f>
        <v>0.27160493827160492</v>
      </c>
      <c r="E19" s="29" t="s">
        <v>92</v>
      </c>
      <c r="F19" s="26" t="s">
        <v>47</v>
      </c>
      <c r="G19" s="14">
        <v>3</v>
      </c>
      <c r="H19" s="92">
        <f>IF(B$19=0,0,G19/B$19)</f>
        <v>1.948051948051948E-2</v>
      </c>
      <c r="I19" s="60">
        <v>1</v>
      </c>
      <c r="K19" s="7">
        <v>17</v>
      </c>
      <c r="L19" s="65">
        <v>-149.1</v>
      </c>
      <c r="N19" s="78" t="s">
        <v>194</v>
      </c>
      <c r="O19" s="87">
        <f>IF(P19=0,0,Q19/P19)</f>
        <v>4.0250000000000021</v>
      </c>
      <c r="P19" s="81">
        <v>16</v>
      </c>
      <c r="Q19" s="72">
        <v>64.400000000000034</v>
      </c>
    </row>
    <row r="20" spans="1:17" x14ac:dyDescent="0.45">
      <c r="A20" s="21" t="s">
        <v>13</v>
      </c>
      <c r="B20" s="14">
        <v>69</v>
      </c>
      <c r="C20" s="8">
        <f>IF(B$3=0,0,B20/B$3)</f>
        <v>0.12169312169312169</v>
      </c>
      <c r="E20" s="29" t="s">
        <v>75</v>
      </c>
      <c r="F20" s="26" t="s">
        <v>30</v>
      </c>
      <c r="G20" s="14">
        <v>2</v>
      </c>
      <c r="H20" s="92">
        <f>IF(B$19=0,0,G20/B$19)</f>
        <v>1.2987012987012988E-2</v>
      </c>
      <c r="I20" s="60">
        <v>1</v>
      </c>
      <c r="K20" s="7">
        <v>18</v>
      </c>
      <c r="L20" s="65">
        <v>-201.89999999999998</v>
      </c>
      <c r="N20" s="78" t="s">
        <v>205</v>
      </c>
      <c r="O20" s="87">
        <f>IF(P20=0,0,Q20/P20)</f>
        <v>-0.84166666666666501</v>
      </c>
      <c r="P20" s="81">
        <v>12</v>
      </c>
      <c r="Q20" s="72">
        <v>-10.09999999999998</v>
      </c>
    </row>
    <row r="21" spans="1:17" x14ac:dyDescent="0.45">
      <c r="A21" s="21" t="s">
        <v>12</v>
      </c>
      <c r="B21" s="14">
        <v>67</v>
      </c>
      <c r="C21" s="8">
        <f>IF(B$19=0,0,B21/B$19)</f>
        <v>0.43506493506493504</v>
      </c>
      <c r="E21" s="29" t="s">
        <v>77</v>
      </c>
      <c r="F21" s="26" t="s">
        <v>32</v>
      </c>
      <c r="G21" s="14">
        <v>1</v>
      </c>
      <c r="H21" s="92">
        <f>IF(B$19=0,0,G21/B$19)</f>
        <v>6.4935064935064939E-3</v>
      </c>
      <c r="I21" s="60">
        <v>4</v>
      </c>
      <c r="K21" s="7">
        <v>19</v>
      </c>
      <c r="L21" s="65">
        <v>-152.39999999999998</v>
      </c>
      <c r="N21" s="78" t="s">
        <v>164</v>
      </c>
      <c r="O21" s="87">
        <f>IF(P21=0,0,Q21/P21)</f>
        <v>-1.8749999999999996</v>
      </c>
      <c r="P21" s="81">
        <v>28</v>
      </c>
      <c r="Q21" s="72">
        <v>-52.499999999999986</v>
      </c>
    </row>
    <row r="22" spans="1:17" x14ac:dyDescent="0.45">
      <c r="A22" s="21" t="s">
        <v>11</v>
      </c>
      <c r="B22" s="14">
        <v>87</v>
      </c>
      <c r="C22" s="8">
        <f>IF(B$19=0,0,B22/B$19)</f>
        <v>0.56493506493506496</v>
      </c>
      <c r="E22" s="29" t="s">
        <v>85</v>
      </c>
      <c r="F22" s="26" t="s">
        <v>40</v>
      </c>
      <c r="G22" s="14">
        <v>1</v>
      </c>
      <c r="H22" s="92">
        <f>IF(B$19=0,0,G22/B$19)</f>
        <v>6.4935064935064939E-3</v>
      </c>
      <c r="I22" s="60">
        <v>2</v>
      </c>
      <c r="K22" s="7">
        <v>20</v>
      </c>
      <c r="L22" s="65">
        <v>-140.19999999999999</v>
      </c>
      <c r="N22" s="78" t="s">
        <v>196</v>
      </c>
      <c r="O22" s="87">
        <f>IF(P22=0,0,Q22/P22)</f>
        <v>-14.1625</v>
      </c>
      <c r="P22" s="81">
        <v>8</v>
      </c>
      <c r="Q22" s="72">
        <v>-113.3</v>
      </c>
    </row>
    <row r="23" spans="1:17" x14ac:dyDescent="0.45">
      <c r="A23" s="21" t="s">
        <v>184</v>
      </c>
      <c r="B23" s="14">
        <v>68</v>
      </c>
      <c r="C23" s="8">
        <f>IF(B$19=0,0,B23/B$19)</f>
        <v>0.44155844155844154</v>
      </c>
      <c r="E23" s="29" t="s">
        <v>95</v>
      </c>
      <c r="F23" s="26" t="s">
        <v>50</v>
      </c>
      <c r="G23" s="14">
        <v>1</v>
      </c>
      <c r="H23" s="92">
        <f>IF(B$19=0,0,G23/B$19)</f>
        <v>6.4935064935064939E-3</v>
      </c>
      <c r="I23" s="60">
        <v>1</v>
      </c>
      <c r="K23" s="7">
        <v>21</v>
      </c>
      <c r="L23" s="65">
        <v>-76.699999999999989</v>
      </c>
      <c r="N23" s="78" t="s">
        <v>126</v>
      </c>
      <c r="O23" s="87">
        <f>IF(P23=0,0,Q23/P23)</f>
        <v>-14.855</v>
      </c>
      <c r="P23" s="81">
        <v>40</v>
      </c>
      <c r="Q23" s="72">
        <v>-594.20000000000005</v>
      </c>
    </row>
    <row r="24" spans="1:17" x14ac:dyDescent="0.45">
      <c r="A24" s="21" t="s">
        <v>182</v>
      </c>
      <c r="B24" s="14">
        <v>55</v>
      </c>
      <c r="C24" s="8">
        <f>IF(B$19=0,0,B24/B$19)</f>
        <v>0.35714285714285715</v>
      </c>
      <c r="E24" s="29" t="s">
        <v>156</v>
      </c>
      <c r="F24" s="26" t="s">
        <v>157</v>
      </c>
      <c r="G24" s="14">
        <v>1</v>
      </c>
      <c r="H24" s="92">
        <f>IF(B$19=0,0,G24/B$19)</f>
        <v>6.4935064935064939E-3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31</v>
      </c>
      <c r="C25" s="8">
        <f>IF(B$19=0,0,B25/B$19)</f>
        <v>0.20129870129870131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8177.272727272727</v>
      </c>
      <c r="C26" s="10">
        <v>1259300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8611.1111111111113</v>
      </c>
      <c r="C27" s="100">
        <v>852500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7396.363636363636</v>
      </c>
      <c r="C28" s="100">
        <v>406800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-8091.304347826087</v>
      </c>
      <c r="C29" s="100">
        <v>-558300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107400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8.4415584415584416E-2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29</v>
      </c>
      <c r="C37" s="8">
        <f t="shared" si="2"/>
        <v>0.18831168831168832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37</v>
      </c>
      <c r="C38" s="8">
        <f t="shared" si="2"/>
        <v>0.24025974025974026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23</v>
      </c>
      <c r="C39" s="8">
        <f t="shared" si="2"/>
        <v>0.14935064935064934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17</v>
      </c>
      <c r="C40" s="8">
        <f t="shared" si="2"/>
        <v>0.11038961038961038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10</v>
      </c>
      <c r="C41" s="8">
        <f t="shared" si="2"/>
        <v>6.4935064935064929E-2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10</v>
      </c>
      <c r="C42" s="8">
        <f t="shared" si="2"/>
        <v>6.4935064935064929E-2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4</v>
      </c>
      <c r="C43" s="8">
        <f t="shared" si="2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3</v>
      </c>
      <c r="C44" s="8">
        <f t="shared" si="2"/>
        <v>1.948051948051948E-2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1.948051948051948E-2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6.4935064935064939E-3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4</v>
      </c>
      <c r="C48" s="11">
        <f t="shared" si="2"/>
        <v>2.5974025974025976E-2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  <row r="63" spans="5:12" x14ac:dyDescent="0.45">
      <c r="K63" s="7">
        <v>61</v>
      </c>
      <c r="L63" s="65">
        <v>-47.69999999999996</v>
      </c>
    </row>
    <row r="64" spans="5:12" x14ac:dyDescent="0.45">
      <c r="K64" s="7">
        <v>62</v>
      </c>
      <c r="L64" s="65">
        <v>-83.499999999999957</v>
      </c>
    </row>
    <row r="65" spans="11:12" x14ac:dyDescent="0.45">
      <c r="K65" s="7">
        <v>63</v>
      </c>
      <c r="L65" s="65">
        <v>-102.59999999999997</v>
      </c>
    </row>
    <row r="66" spans="11:12" x14ac:dyDescent="0.45">
      <c r="K66" s="7">
        <v>64</v>
      </c>
      <c r="L66" s="65">
        <v>-72.299999999999969</v>
      </c>
    </row>
    <row r="67" spans="11:12" x14ac:dyDescent="0.45">
      <c r="K67" s="7">
        <v>65</v>
      </c>
      <c r="L67" s="65">
        <v>-72.599999999999966</v>
      </c>
    </row>
    <row r="68" spans="11:12" x14ac:dyDescent="0.45">
      <c r="K68" s="7">
        <v>66</v>
      </c>
      <c r="L68" s="65">
        <v>-70.899999999999963</v>
      </c>
    </row>
    <row r="69" spans="11:12" x14ac:dyDescent="0.45">
      <c r="K69" s="7">
        <v>67</v>
      </c>
      <c r="L69" s="65">
        <v>-50.19999999999996</v>
      </c>
    </row>
    <row r="70" spans="11:12" x14ac:dyDescent="0.45">
      <c r="K70" s="7">
        <v>68</v>
      </c>
      <c r="L70" s="65">
        <v>-53.19999999999996</v>
      </c>
    </row>
    <row r="71" spans="11:12" x14ac:dyDescent="0.45">
      <c r="K71" s="7">
        <v>69</v>
      </c>
      <c r="L71" s="65">
        <v>-93.19999999999996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2B41-2C0F-472C-B73F-6D75261A821C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46</v>
      </c>
      <c r="C2" s="132"/>
      <c r="E2" s="28" t="s">
        <v>66</v>
      </c>
      <c r="F2" s="25" t="s">
        <v>22</v>
      </c>
      <c r="G2" s="13">
        <v>83</v>
      </c>
      <c r="H2" s="91">
        <f>IF(B$19=0,0,G2/B$19)</f>
        <v>0.66400000000000003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-352.17391304347825</v>
      </c>
      <c r="P2" s="80">
        <v>46</v>
      </c>
      <c r="Q2" s="67">
        <v>-16200</v>
      </c>
    </row>
    <row r="3" spans="1:17" x14ac:dyDescent="0.45">
      <c r="A3" s="21" t="s">
        <v>8</v>
      </c>
      <c r="B3" s="133">
        <v>364</v>
      </c>
      <c r="C3" s="134"/>
      <c r="E3" s="29" t="s">
        <v>72</v>
      </c>
      <c r="F3" s="26" t="s">
        <v>27</v>
      </c>
      <c r="G3" s="14">
        <v>83</v>
      </c>
      <c r="H3" s="92">
        <f>IF(B$19=0,0,G3/B$19)</f>
        <v>0.66400000000000003</v>
      </c>
      <c r="I3" s="60">
        <v>2</v>
      </c>
      <c r="K3" s="7">
        <v>1</v>
      </c>
      <c r="L3" s="65">
        <v>56</v>
      </c>
      <c r="N3" s="78" t="s">
        <v>129</v>
      </c>
      <c r="O3" s="84">
        <f t="shared" si="0"/>
        <v>-1613.3333333333333</v>
      </c>
      <c r="P3" s="81">
        <v>45</v>
      </c>
      <c r="Q3" s="68">
        <v>-72600</v>
      </c>
    </row>
    <row r="4" spans="1:17" x14ac:dyDescent="0.45">
      <c r="A4" s="21" t="s">
        <v>6</v>
      </c>
      <c r="B4" s="135">
        <v>183.4</v>
      </c>
      <c r="C4" s="136"/>
      <c r="E4" s="29" t="s">
        <v>160</v>
      </c>
      <c r="F4" s="26" t="s">
        <v>161</v>
      </c>
      <c r="G4" s="14">
        <v>39</v>
      </c>
      <c r="H4" s="92">
        <f>IF(B$19=0,0,G4/B$19)</f>
        <v>0.312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2336.5853658536585</v>
      </c>
      <c r="P4" s="81">
        <v>41</v>
      </c>
      <c r="Q4" s="68">
        <v>95800</v>
      </c>
    </row>
    <row r="5" spans="1:17" x14ac:dyDescent="0.45">
      <c r="A5" s="21" t="s">
        <v>7</v>
      </c>
      <c r="B5" s="123">
        <f>IF(B$2=0,0,B$4/B$2)</f>
        <v>3.9869565217391307</v>
      </c>
      <c r="C5" s="124"/>
      <c r="E5" s="29" t="s">
        <v>64</v>
      </c>
      <c r="F5" s="26" t="s">
        <v>20</v>
      </c>
      <c r="G5" s="14">
        <v>35</v>
      </c>
      <c r="H5" s="92">
        <f>IF(B$19=0,0,G5/B$19)</f>
        <v>0.28000000000000003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-410.5263157894737</v>
      </c>
      <c r="P5" s="81">
        <v>38</v>
      </c>
      <c r="Q5" s="68">
        <v>-15600</v>
      </c>
    </row>
    <row r="6" spans="1:17" x14ac:dyDescent="0.45">
      <c r="A6" s="21" t="s">
        <v>1</v>
      </c>
      <c r="B6" s="137">
        <f>IF(B$2=0,0,(B$7*1+B$8*2+B$9*3)/B$2)</f>
        <v>1.8913043478260869</v>
      </c>
      <c r="C6" s="138"/>
      <c r="E6" s="29" t="s">
        <v>68</v>
      </c>
      <c r="F6" s="26" t="s">
        <v>12</v>
      </c>
      <c r="G6" s="14">
        <v>31</v>
      </c>
      <c r="H6" s="92">
        <f>IF(B$19=0,0,G6/B$19)</f>
        <v>0.248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2200</v>
      </c>
      <c r="P6" s="81">
        <v>33</v>
      </c>
      <c r="Q6" s="68">
        <v>72600</v>
      </c>
    </row>
    <row r="7" spans="1:17" x14ac:dyDescent="0.45">
      <c r="A7" s="21" t="s">
        <v>2</v>
      </c>
      <c r="B7" s="14">
        <v>17</v>
      </c>
      <c r="C7" s="8">
        <f t="shared" ref="C7:C14" si="1">IF(B$2=0,0,B7/B$2)</f>
        <v>0.36956521739130432</v>
      </c>
      <c r="E7" s="29" t="s">
        <v>67</v>
      </c>
      <c r="F7" s="26" t="s">
        <v>23</v>
      </c>
      <c r="G7" s="14">
        <v>24</v>
      </c>
      <c r="H7" s="92">
        <f>IF(B$19=0,0,G7/B$19)</f>
        <v>0.192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1010</v>
      </c>
      <c r="P7" s="82">
        <v>30</v>
      </c>
      <c r="Q7" s="69">
        <v>30300</v>
      </c>
    </row>
    <row r="8" spans="1:17" x14ac:dyDescent="0.45">
      <c r="A8" s="21" t="s">
        <v>3</v>
      </c>
      <c r="B8" s="14">
        <v>17</v>
      </c>
      <c r="C8" s="8">
        <f t="shared" si="1"/>
        <v>0.36956521739130432</v>
      </c>
      <c r="E8" s="29" t="s">
        <v>69</v>
      </c>
      <c r="F8" s="26" t="s">
        <v>24</v>
      </c>
      <c r="G8" s="14">
        <v>19</v>
      </c>
      <c r="H8" s="92">
        <f>IF(B$19=0,0,G8/B$19)</f>
        <v>0.152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0.2608695652173913</v>
      </c>
      <c r="E9" s="29" t="s">
        <v>89</v>
      </c>
      <c r="F9" s="26" t="s">
        <v>44</v>
      </c>
      <c r="G9" s="14">
        <v>16</v>
      </c>
      <c r="H9" s="92">
        <f>IF(B$19=0,0,G9/B$19)</f>
        <v>0.128</v>
      </c>
      <c r="I9" s="60">
        <v>8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37.988235294117644</v>
      </c>
      <c r="C10" s="114">
        <v>645.79999999999995</v>
      </c>
      <c r="E10" s="29" t="s">
        <v>83</v>
      </c>
      <c r="F10" s="26" t="s">
        <v>38</v>
      </c>
      <c r="G10" s="14">
        <v>12</v>
      </c>
      <c r="H10" s="92">
        <f>IF(B$19=0,0,G10/B$19)</f>
        <v>9.6000000000000002E-2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-2.7142857142857126</v>
      </c>
      <c r="P10" s="80">
        <v>14</v>
      </c>
      <c r="Q10" s="71">
        <v>-37.999999999999979</v>
      </c>
    </row>
    <row r="11" spans="1:17" x14ac:dyDescent="0.45">
      <c r="A11" s="22" t="s">
        <v>186</v>
      </c>
      <c r="B11" s="113">
        <f>IF(B8=0,0,C11/B8)</f>
        <v>-0.17058823529411798</v>
      </c>
      <c r="C11" s="114">
        <v>-2.9000000000000057</v>
      </c>
      <c r="E11" s="29" t="s">
        <v>65</v>
      </c>
      <c r="F11" s="26" t="s">
        <v>21</v>
      </c>
      <c r="G11" s="14">
        <v>10</v>
      </c>
      <c r="H11" s="92">
        <f>IF(B$19=0,0,G11/B$19)</f>
        <v>0.08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2.046666666666666</v>
      </c>
      <c r="P11" s="81">
        <v>15</v>
      </c>
      <c r="Q11" s="72">
        <v>30.699999999999992</v>
      </c>
    </row>
    <row r="12" spans="1:17" x14ac:dyDescent="0.45">
      <c r="A12" s="22" t="s">
        <v>187</v>
      </c>
      <c r="B12" s="113">
        <f>IF(B9=0,0,C12/B9)</f>
        <v>-38.291666666666664</v>
      </c>
      <c r="C12" s="114">
        <v>-459.5</v>
      </c>
      <c r="E12" s="29" t="s">
        <v>70</v>
      </c>
      <c r="F12" s="26" t="s">
        <v>25</v>
      </c>
      <c r="G12" s="14">
        <v>7</v>
      </c>
      <c r="H12" s="92">
        <f>IF(B$19=0,0,G12/B$19)</f>
        <v>5.6000000000000001E-2</v>
      </c>
      <c r="I12" s="60">
        <v>9</v>
      </c>
      <c r="K12" s="7">
        <v>10</v>
      </c>
      <c r="L12" s="65">
        <v>28.300000000000008</v>
      </c>
      <c r="N12" s="79" t="s">
        <v>154</v>
      </c>
      <c r="O12" s="88">
        <f>IF(P12=0,0,Q12/P12)</f>
        <v>11.217647058823527</v>
      </c>
      <c r="P12" s="82">
        <v>17</v>
      </c>
      <c r="Q12" s="73">
        <v>190.69999999999996</v>
      </c>
    </row>
    <row r="13" spans="1:17" x14ac:dyDescent="0.45">
      <c r="A13" s="22" t="s">
        <v>188</v>
      </c>
      <c r="B13" s="123">
        <f>AVERAGE(B10:B12)</f>
        <v>-0.15800653594771319</v>
      </c>
      <c r="C13" s="124"/>
      <c r="E13" s="29" t="s">
        <v>81</v>
      </c>
      <c r="F13" s="26" t="s">
        <v>36</v>
      </c>
      <c r="G13" s="14">
        <v>6</v>
      </c>
      <c r="H13" s="92">
        <f>IF(B$19=0,0,G13/B$19)</f>
        <v>4.8000000000000001E-2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0.15217391304347827</v>
      </c>
      <c r="E14" s="29" t="s">
        <v>71</v>
      </c>
      <c r="F14" s="26" t="s">
        <v>26</v>
      </c>
      <c r="G14" s="14">
        <v>5</v>
      </c>
      <c r="H14" s="92">
        <f>IF(B$19=0,0,G14/B$19)</f>
        <v>0.04</v>
      </c>
      <c r="I14" s="60">
        <v>10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</v>
      </c>
      <c r="C15" s="12">
        <f>IF(B$3=0,0,B15/B$3)</f>
        <v>0.16758241758241757</v>
      </c>
      <c r="E15" s="29" t="s">
        <v>78</v>
      </c>
      <c r="F15" s="26" t="s">
        <v>33</v>
      </c>
      <c r="G15" s="14">
        <v>4</v>
      </c>
      <c r="H15" s="92">
        <f>IF(B$19=0,0,G15/B$19)</f>
        <v>3.2000000000000001E-2</v>
      </c>
      <c r="I15" s="60">
        <v>7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131</v>
      </c>
      <c r="C16" s="8">
        <f>IF(B$3=0,0,B16/B$3)</f>
        <v>0.35989010989010989</v>
      </c>
      <c r="E16" s="29" t="s">
        <v>86</v>
      </c>
      <c r="F16" s="26" t="s">
        <v>41</v>
      </c>
      <c r="G16" s="14">
        <v>3</v>
      </c>
      <c r="H16" s="92">
        <f>IF(B$19=0,0,G16/B$19)</f>
        <v>2.4E-2</v>
      </c>
      <c r="I16" s="60">
        <v>10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36</v>
      </c>
      <c r="C17" s="6">
        <f>IF(B$15=0,0,B17/B$15)</f>
        <v>0.5901639344262295</v>
      </c>
      <c r="E17" s="29" t="s">
        <v>77</v>
      </c>
      <c r="F17" s="26" t="s">
        <v>32</v>
      </c>
      <c r="G17" s="14">
        <v>2</v>
      </c>
      <c r="H17" s="92">
        <f>IF(B$19=0,0,G17/B$19)</f>
        <v>1.6E-2</v>
      </c>
      <c r="I17" s="60">
        <v>3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0.4351145038167939</v>
      </c>
      <c r="E18" s="29" t="s">
        <v>79</v>
      </c>
      <c r="F18" s="26" t="s">
        <v>34</v>
      </c>
      <c r="G18" s="14">
        <v>2</v>
      </c>
      <c r="H18" s="92">
        <f>IF(B$19=0,0,G18/B$19)</f>
        <v>1.6E-2</v>
      </c>
      <c r="I18" s="60">
        <v>7</v>
      </c>
      <c r="K18" s="7">
        <v>16</v>
      </c>
      <c r="L18" s="65">
        <v>119.3</v>
      </c>
      <c r="N18" s="78" t="s">
        <v>243</v>
      </c>
      <c r="O18" s="87">
        <f>IF(P18=0,0,Q18/P18)</f>
        <v>17.033333333333331</v>
      </c>
      <c r="P18" s="81">
        <v>3</v>
      </c>
      <c r="Q18" s="72">
        <v>51.099999999999994</v>
      </c>
    </row>
    <row r="19" spans="1:17" x14ac:dyDescent="0.45">
      <c r="A19" s="20" t="s">
        <v>10</v>
      </c>
      <c r="B19" s="13">
        <f>B22+B21</f>
        <v>125</v>
      </c>
      <c r="C19" s="6">
        <f>IF(B$3=0,0,B19/B$3)</f>
        <v>0.34340659340659341</v>
      </c>
      <c r="E19" s="29" t="s">
        <v>85</v>
      </c>
      <c r="F19" s="26" t="s">
        <v>40</v>
      </c>
      <c r="G19" s="14">
        <v>2</v>
      </c>
      <c r="H19" s="92">
        <f>IF(B$19=0,0,G19/B$19)</f>
        <v>1.6E-2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14.606666666666664</v>
      </c>
      <c r="P19" s="81">
        <v>15</v>
      </c>
      <c r="Q19" s="72">
        <v>219.09999999999997</v>
      </c>
    </row>
    <row r="20" spans="1:17" x14ac:dyDescent="0.45">
      <c r="A20" s="21" t="s">
        <v>13</v>
      </c>
      <c r="B20" s="14">
        <v>49</v>
      </c>
      <c r="C20" s="8">
        <f>IF(B$3=0,0,B20/B$3)</f>
        <v>0.13461538461538461</v>
      </c>
      <c r="E20" s="29" t="s">
        <v>88</v>
      </c>
      <c r="F20" s="26" t="s">
        <v>43</v>
      </c>
      <c r="G20" s="14">
        <v>2</v>
      </c>
      <c r="H20" s="92">
        <f>IF(B$19=0,0,G20/B$19)</f>
        <v>1.6E-2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5">
      <c r="A21" s="21" t="s">
        <v>12</v>
      </c>
      <c r="B21" s="14">
        <v>56</v>
      </c>
      <c r="C21" s="8">
        <f>IF(B$19=0,0,B21/B$19)</f>
        <v>0.44800000000000001</v>
      </c>
      <c r="E21" s="29" t="s">
        <v>74</v>
      </c>
      <c r="F21" s="26" t="s">
        <v>29</v>
      </c>
      <c r="G21" s="14">
        <v>1</v>
      </c>
      <c r="H21" s="92">
        <f>IF(B$19=0,0,G21/B$19)</f>
        <v>8.0000000000000002E-3</v>
      </c>
      <c r="I21" s="60">
        <v>1</v>
      </c>
      <c r="K21" s="7">
        <v>19</v>
      </c>
      <c r="L21" s="65">
        <v>100.1</v>
      </c>
      <c r="N21" s="78" t="s">
        <v>192</v>
      </c>
      <c r="O21" s="87">
        <f>IF(P21=0,0,Q21/P21)</f>
        <v>-5.7964285714285753</v>
      </c>
      <c r="P21" s="81">
        <v>28</v>
      </c>
      <c r="Q21" s="72">
        <v>-162.3000000000001</v>
      </c>
    </row>
    <row r="22" spans="1:17" x14ac:dyDescent="0.45">
      <c r="A22" s="21" t="s">
        <v>11</v>
      </c>
      <c r="B22" s="14">
        <v>69</v>
      </c>
      <c r="C22" s="8">
        <f>IF(B$19=0,0,B22/B$19)</f>
        <v>0.55200000000000005</v>
      </c>
      <c r="E22" s="29" t="s">
        <v>75</v>
      </c>
      <c r="F22" s="26" t="s">
        <v>30</v>
      </c>
      <c r="G22" s="14">
        <v>1</v>
      </c>
      <c r="H22" s="92">
        <f>IF(B$19=0,0,G22/B$19)</f>
        <v>8.0000000000000002E-3</v>
      </c>
      <c r="I22" s="60">
        <v>4</v>
      </c>
      <c r="K22" s="7">
        <v>20</v>
      </c>
      <c r="L22" s="65">
        <v>52.8</v>
      </c>
      <c r="N22" s="78" t="s">
        <v>126</v>
      </c>
      <c r="O22" s="87">
        <f>IF(P22=0,0,Q22/P22)</f>
        <v>-10.172727272727274</v>
      </c>
      <c r="P22" s="81">
        <v>22</v>
      </c>
      <c r="Q22" s="72">
        <v>-223.8</v>
      </c>
    </row>
    <row r="23" spans="1:17" x14ac:dyDescent="0.45">
      <c r="A23" s="21" t="s">
        <v>184</v>
      </c>
      <c r="B23" s="14">
        <v>36</v>
      </c>
      <c r="C23" s="8">
        <f>IF(B$19=0,0,B23/B$19)</f>
        <v>0.28799999999999998</v>
      </c>
      <c r="E23" s="29" t="s">
        <v>91</v>
      </c>
      <c r="F23" s="26" t="s">
        <v>46</v>
      </c>
      <c r="G23" s="14">
        <v>1</v>
      </c>
      <c r="H23" s="92">
        <f>IF(B$19=0,0,G23/B$19)</f>
        <v>8.0000000000000002E-3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57</v>
      </c>
      <c r="C24" s="8">
        <f>IF(B$19=0,0,B24/B$19)</f>
        <v>0.45600000000000002</v>
      </c>
      <c r="E24" s="29" t="s">
        <v>102</v>
      </c>
      <c r="F24" s="26" t="s">
        <v>57</v>
      </c>
      <c r="G24" s="14">
        <v>1</v>
      </c>
      <c r="H24" s="92">
        <f>IF(B$19=0,0,G24/B$19)</f>
        <v>8.0000000000000002E-3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32</v>
      </c>
      <c r="C25" s="8">
        <f>IF(B$19=0,0,B25/B$19)</f>
        <v>0.25600000000000001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7276.8</v>
      </c>
      <c r="C26" s="10">
        <v>909600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8302.9411764705874</v>
      </c>
      <c r="C27" s="100">
        <v>564600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6052.6315789473683</v>
      </c>
      <c r="C28" s="100">
        <v>345000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-8171.4285714285716</v>
      </c>
      <c r="C29" s="100">
        <v>-400400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24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0.104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29</v>
      </c>
      <c r="C37" s="8">
        <f t="shared" si="2"/>
        <v>0.23200000000000001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26</v>
      </c>
      <c r="C38" s="8">
        <f t="shared" si="2"/>
        <v>0.20799999999999999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17</v>
      </c>
      <c r="C39" s="8">
        <f t="shared" si="2"/>
        <v>0.13600000000000001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5">
      <c r="A40" s="21" t="s">
        <v>171</v>
      </c>
      <c r="B40" s="122">
        <v>21</v>
      </c>
      <c r="C40" s="8">
        <f t="shared" si="2"/>
        <v>0.16800000000000001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5">
      <c r="A41" s="21" t="s">
        <v>173</v>
      </c>
      <c r="B41" s="122">
        <v>9</v>
      </c>
      <c r="C41" s="8">
        <f t="shared" si="2"/>
        <v>7.1999999999999995E-2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5">
      <c r="A42" s="21" t="s">
        <v>174</v>
      </c>
      <c r="B42" s="122">
        <v>6</v>
      </c>
      <c r="C42" s="8">
        <f t="shared" si="2"/>
        <v>4.8000000000000001E-2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84.1</v>
      </c>
    </row>
    <row r="43" spans="1:12" x14ac:dyDescent="0.45">
      <c r="A43" s="21" t="s">
        <v>175</v>
      </c>
      <c r="B43" s="122">
        <v>1</v>
      </c>
      <c r="C43" s="8">
        <f t="shared" si="2"/>
        <v>8.0000000000000002E-3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63.3</v>
      </c>
    </row>
    <row r="44" spans="1:12" x14ac:dyDescent="0.45">
      <c r="A44" s="21" t="s">
        <v>176</v>
      </c>
      <c r="B44" s="122">
        <v>1</v>
      </c>
      <c r="C44" s="8">
        <f t="shared" si="2"/>
        <v>8.0000000000000002E-3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66.899999999999991</v>
      </c>
    </row>
    <row r="45" spans="1:12" x14ac:dyDescent="0.45">
      <c r="A45" s="21" t="s">
        <v>177</v>
      </c>
      <c r="B45" s="122">
        <v>1</v>
      </c>
      <c r="C45" s="8">
        <f t="shared" si="2"/>
        <v>8.0000000000000002E-3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64.3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92.199999999999989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143.5</v>
      </c>
    </row>
    <row r="48" spans="1:12" x14ac:dyDescent="0.45">
      <c r="A48" s="23" t="s">
        <v>180</v>
      </c>
      <c r="B48" s="101">
        <v>1</v>
      </c>
      <c r="C48" s="11">
        <f t="shared" si="2"/>
        <v>8.0000000000000002E-3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183.4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D6302-3CBD-45A9-B65E-825CCD7E05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10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5">
      <c r="A3" s="21" t="s">
        <v>8</v>
      </c>
      <c r="B3" s="133">
        <v>81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5">
      <c r="A4" s="21" t="s">
        <v>6</v>
      </c>
      <c r="B4" s="135">
        <v>-13.400000000000013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5">
      <c r="A5" s="21" t="s">
        <v>7</v>
      </c>
      <c r="B5" s="123">
        <f>IF(B$2=0,0,B$4/B$2)</f>
        <v>-1.3400000000000012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12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5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7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10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5.644444444444443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5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3072A-4982-404B-9011-4B534A25D7C1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33">
        <v>323</v>
      </c>
      <c r="C3" s="134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35">
        <v>-193.20000000000002</v>
      </c>
      <c r="C4" s="136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4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23">
        <f>IF(B$2=0,0,B$4/B$2)</f>
        <v>-4.6000000000000005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37">
        <f>IF(B$2=0,0,(B$7*1+B$8*2+B$9*3)/B$2)</f>
        <v>2.0952380952380953</v>
      </c>
      <c r="C6" s="138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7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6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23">
        <f>AVERAGE(B10:B12)</f>
        <v>-1.1235119047619051</v>
      </c>
      <c r="C13" s="124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3</v>
      </c>
      <c r="K17" s="7">
        <v>15</v>
      </c>
      <c r="L17" s="65">
        <v>-65.7</v>
      </c>
      <c r="N17" s="78" t="s">
        <v>240</v>
      </c>
      <c r="O17" s="87">
        <f>IF(P17=0,0,Q17/P17)</f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>IF(P18=0,0,Q18/P18)</f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>IF(P19=0,0,Q19/P19)</f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>IF(P20=0,0,Q20/P20)</f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>IF(P21=0,0,Q21/P21)</f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10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2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2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2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2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2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2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2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2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2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35D-6476-40F3-969E-AAF642D1344B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8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8F11-17B0-4756-9E5D-A521281E4176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240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33">
        <v>41</v>
      </c>
      <c r="C3" s="134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-3700</v>
      </c>
      <c r="P3" s="81">
        <v>5</v>
      </c>
      <c r="Q3" s="68">
        <v>-18500</v>
      </c>
    </row>
    <row r="4" spans="1:17" x14ac:dyDescent="0.45">
      <c r="A4" s="21" t="s">
        <v>6</v>
      </c>
      <c r="B4" s="135">
        <v>-113.70000000000002</v>
      </c>
      <c r="C4" s="136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23">
        <f>IF(B$2=0,0,B$4/B$2)</f>
        <v>-22.740000000000002</v>
      </c>
      <c r="C5" s="124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8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37">
        <f>IF(B$2=0,0,(B$7*1+B$8*2+B$9*3)/B$2)</f>
        <v>2.4</v>
      </c>
      <c r="C6" s="138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23">
        <f>AVERAGE(B10:B12)</f>
        <v>-17.566666666666666</v>
      </c>
      <c r="C13" s="124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9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2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45200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A5F0-3697-4799-B0C4-8DE27F0564D4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243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-4460</v>
      </c>
      <c r="P2" s="80">
        <v>5</v>
      </c>
      <c r="Q2" s="67">
        <v>-22300</v>
      </c>
    </row>
    <row r="3" spans="1:17" x14ac:dyDescent="0.45">
      <c r="A3" s="21" t="s">
        <v>8</v>
      </c>
      <c r="B3" s="133">
        <v>46</v>
      </c>
      <c r="C3" s="134"/>
      <c r="E3" s="29" t="s">
        <v>68</v>
      </c>
      <c r="F3" s="26" t="s">
        <v>12</v>
      </c>
      <c r="G3" s="14">
        <v>5</v>
      </c>
      <c r="H3" s="92">
        <f>IF(B$19=0,0,G3/B$19)</f>
        <v>0.7142857142857143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-1620</v>
      </c>
      <c r="P3" s="81">
        <v>5</v>
      </c>
      <c r="Q3" s="68">
        <v>-8100</v>
      </c>
    </row>
    <row r="4" spans="1:17" x14ac:dyDescent="0.45">
      <c r="A4" s="21" t="s">
        <v>6</v>
      </c>
      <c r="B4" s="135">
        <v>-70.399999999999991</v>
      </c>
      <c r="C4" s="136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2620</v>
      </c>
      <c r="P4" s="81">
        <v>5</v>
      </c>
      <c r="Q4" s="68">
        <v>13100</v>
      </c>
    </row>
    <row r="5" spans="1:17" x14ac:dyDescent="0.45">
      <c r="A5" s="21" t="s">
        <v>7</v>
      </c>
      <c r="B5" s="123">
        <f>IF(B$2=0,0,B$4/B$2)</f>
        <v>-14.079999999999998</v>
      </c>
      <c r="C5" s="124"/>
      <c r="E5" s="29" t="s">
        <v>72</v>
      </c>
      <c r="F5" s="26" t="s">
        <v>27</v>
      </c>
      <c r="G5" s="14">
        <v>3</v>
      </c>
      <c r="H5" s="92">
        <f>IF(B$19=0,0,G5/B$19)</f>
        <v>0.42857142857142855</v>
      </c>
      <c r="I5" s="60">
        <v>10</v>
      </c>
      <c r="K5" s="7">
        <v>3</v>
      </c>
      <c r="L5" s="65">
        <v>-10.099999999999998</v>
      </c>
      <c r="N5" s="78" t="s">
        <v>131</v>
      </c>
      <c r="O5" s="84">
        <f t="shared" si="0"/>
        <v>-3880</v>
      </c>
      <c r="P5" s="81">
        <v>5</v>
      </c>
      <c r="Q5" s="68">
        <v>-19400</v>
      </c>
    </row>
    <row r="6" spans="1:17" x14ac:dyDescent="0.45">
      <c r="A6" s="21" t="s">
        <v>1</v>
      </c>
      <c r="B6" s="137">
        <f>IF(B$2=0,0,(B$7*1+B$8*2+B$9*3)/B$2)</f>
        <v>2.4</v>
      </c>
      <c r="C6" s="138"/>
      <c r="E6" s="29" t="s">
        <v>160</v>
      </c>
      <c r="F6" s="26" t="s">
        <v>161</v>
      </c>
      <c r="G6" s="14">
        <v>3</v>
      </c>
      <c r="H6" s="92">
        <f>IF(B$19=0,0,G6/B$19)</f>
        <v>0.42857142857142855</v>
      </c>
      <c r="I6" s="60">
        <v>8</v>
      </c>
      <c r="K6" s="7">
        <v>4</v>
      </c>
      <c r="L6" s="65">
        <v>-51.399999999999991</v>
      </c>
      <c r="N6" s="78" t="s">
        <v>132</v>
      </c>
      <c r="O6" s="84">
        <f t="shared" si="0"/>
        <v>-7200</v>
      </c>
      <c r="P6" s="81">
        <v>5</v>
      </c>
      <c r="Q6" s="68">
        <v>-36000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0.2857142857142857</v>
      </c>
      <c r="I7" s="60">
        <v>1</v>
      </c>
      <c r="K7" s="7">
        <v>5</v>
      </c>
      <c r="L7" s="65">
        <v>-70.399999999999991</v>
      </c>
      <c r="N7" s="79" t="s">
        <v>133</v>
      </c>
      <c r="O7" s="85">
        <f t="shared" si="0"/>
        <v>4460</v>
      </c>
      <c r="P7" s="82">
        <v>5</v>
      </c>
      <c r="Q7" s="69">
        <v>22300</v>
      </c>
    </row>
    <row r="8" spans="1:17" x14ac:dyDescent="0.45">
      <c r="A8" s="21" t="s">
        <v>3</v>
      </c>
      <c r="B8" s="14">
        <v>1</v>
      </c>
      <c r="C8" s="8">
        <f t="shared" si="1"/>
        <v>0.2</v>
      </c>
      <c r="E8" s="29" t="s">
        <v>65</v>
      </c>
      <c r="F8" s="26" t="s">
        <v>21</v>
      </c>
      <c r="G8" s="14">
        <v>1</v>
      </c>
      <c r="H8" s="92">
        <f>IF(B$19=0,0,G8/B$19)</f>
        <v>0.14285714285714285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0.6</v>
      </c>
      <c r="E9" s="29" t="s">
        <v>66</v>
      </c>
      <c r="F9" s="26" t="s">
        <v>22</v>
      </c>
      <c r="G9" s="14">
        <v>1</v>
      </c>
      <c r="H9" s="92">
        <f>IF(B$19=0,0,G9/B$19)</f>
        <v>0.14285714285714285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-13.349999999999998</v>
      </c>
      <c r="P10" s="80">
        <v>2</v>
      </c>
      <c r="Q10" s="71">
        <v>-26.699999999999996</v>
      </c>
    </row>
    <row r="11" spans="1:17" x14ac:dyDescent="0.45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0.14285714285714285</v>
      </c>
      <c r="I11" s="60">
        <v>2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5">
      <c r="A12" s="22" t="s">
        <v>187</v>
      </c>
      <c r="B12" s="113">
        <f>IF(B9=0,0,C12/B9)</f>
        <v>-26.233333333333331</v>
      </c>
      <c r="C12" s="114">
        <v>-78.699999999999989</v>
      </c>
      <c r="E12" s="29" t="s">
        <v>86</v>
      </c>
      <c r="F12" s="26" t="s">
        <v>41</v>
      </c>
      <c r="G12" s="14">
        <v>1</v>
      </c>
      <c r="H12" s="92">
        <f>IF(B$19=0,0,G12/B$19)</f>
        <v>0.14285714285714285</v>
      </c>
      <c r="I12" s="60">
        <v>1</v>
      </c>
      <c r="N12" s="79" t="s">
        <v>154</v>
      </c>
      <c r="O12" s="88">
        <f>IF(P12=0,0,Q12/P12)</f>
        <v>-18.7</v>
      </c>
      <c r="P12" s="82">
        <v>2</v>
      </c>
      <c r="Q12" s="73">
        <v>-37.4</v>
      </c>
    </row>
    <row r="13" spans="1:17" x14ac:dyDescent="0.45">
      <c r="A13" s="22" t="s">
        <v>188</v>
      </c>
      <c r="B13" s="123">
        <f>AVERAGE(B10:B12)</f>
        <v>-5.977777777777777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0.14285714285714285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0.21739130434782608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-15.024999999999999</v>
      </c>
      <c r="P15" s="80">
        <v>4</v>
      </c>
      <c r="Q15" s="71">
        <v>-60.099999999999994</v>
      </c>
    </row>
    <row r="16" spans="1:17" x14ac:dyDescent="0.45">
      <c r="A16" s="21" t="s">
        <v>118</v>
      </c>
      <c r="B16" s="14">
        <v>5</v>
      </c>
      <c r="C16" s="8">
        <f>IF(B$3=0,0,B16/B$3)</f>
        <v>0.10869565217391304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-17.3</v>
      </c>
      <c r="P17" s="81">
        <v>1</v>
      </c>
      <c r="Q17" s="72">
        <v>-17.3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  <c r="N18" s="78" t="s">
        <v>192</v>
      </c>
      <c r="O18" s="87">
        <f>IF(P18=0,0,Q18/P18)</f>
        <v>-41.35</v>
      </c>
      <c r="P18" s="81">
        <v>2</v>
      </c>
      <c r="Q18" s="72">
        <v>-82.7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0.15217391304347827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17" x14ac:dyDescent="0.45">
      <c r="A20" s="21" t="s">
        <v>13</v>
      </c>
      <c r="B20" s="14">
        <v>11</v>
      </c>
      <c r="C20" s="8">
        <f>IF(B$3=0,0,B20/B$3)</f>
        <v>0.2391304347826087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5</v>
      </c>
      <c r="C21" s="8">
        <f>IF(B$19=0,0,B21/B$19)</f>
        <v>0.7142857142857143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2</v>
      </c>
      <c r="C22" s="8">
        <f>IF(B$19=0,0,B22/B$19)</f>
        <v>0.2857142857142857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9742.8571428571431</v>
      </c>
      <c r="C26" s="10">
        <v>68200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11200</v>
      </c>
      <c r="C27" s="100">
        <v>67200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-4936.363636363636</v>
      </c>
      <c r="C29" s="100">
        <v>-54300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8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39600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0.2857142857142857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0.42857142857142855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AA6D8-C0E7-46A0-AE29-00DADF9CF32C}">
  <sheetPr codeName="Sheet28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5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  <row r="7" spans="1:17" x14ac:dyDescent="0.45">
      <c r="A7" s="35">
        <v>4</v>
      </c>
      <c r="B7" s="32">
        <v>-51.399999999999991</v>
      </c>
      <c r="C7" s="32">
        <v>-12.849999999999998</v>
      </c>
      <c r="D7" s="37">
        <v>2.25</v>
      </c>
      <c r="E7" s="33">
        <v>0.25</v>
      </c>
      <c r="F7" s="33">
        <v>0.5</v>
      </c>
      <c r="G7" s="33">
        <v>0.15384615384615385</v>
      </c>
      <c r="H7" s="33">
        <v>0.25641025641025639</v>
      </c>
      <c r="I7" s="34">
        <v>9433.3333333333339</v>
      </c>
      <c r="J7" s="34">
        <v>-5170</v>
      </c>
      <c r="K7" s="33">
        <v>0</v>
      </c>
      <c r="L7" s="33">
        <v>0.20512820512820512</v>
      </c>
      <c r="M7" s="33">
        <v>7.6923076923076927E-2</v>
      </c>
      <c r="N7" s="33">
        <v>0.5</v>
      </c>
      <c r="O7" s="33">
        <v>0.33333333333333331</v>
      </c>
      <c r="P7" s="33">
        <v>0.66666666666666663</v>
      </c>
    </row>
    <row r="8" spans="1:17" x14ac:dyDescent="0.45">
      <c r="A8" s="35">
        <v>5</v>
      </c>
      <c r="B8" s="32">
        <v>-70.399999999999991</v>
      </c>
      <c r="C8" s="32">
        <v>-14.079999999999998</v>
      </c>
      <c r="D8" s="37">
        <v>2.4</v>
      </c>
      <c r="E8" s="33">
        <v>0.2</v>
      </c>
      <c r="F8" s="33">
        <v>0.6</v>
      </c>
      <c r="G8" s="33">
        <v>0.15217391304347827</v>
      </c>
      <c r="H8" s="33">
        <v>0.2391304347826087</v>
      </c>
      <c r="I8" s="34">
        <v>9742.8571428571431</v>
      </c>
      <c r="J8" s="34">
        <v>-4936.363636363636</v>
      </c>
      <c r="K8" s="33">
        <v>0</v>
      </c>
      <c r="L8" s="33">
        <v>0.21739130434782608</v>
      </c>
      <c r="M8" s="33">
        <v>0.10869565217391304</v>
      </c>
      <c r="N8" s="33">
        <v>0.5</v>
      </c>
      <c r="O8" s="33">
        <v>0.2</v>
      </c>
      <c r="P8" s="33">
        <v>0.7142857142857143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3517-E9FB-41A5-8DB4-A9E14B8EDF44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2434B-DBA3-48BB-8751-C63985554FD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BF98F-EA67-4A88-B187-72CE8E4D9307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5493E-D8D6-4833-BBD8-536BC7093E3F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5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312F-859D-4D74-936A-FAF8D1421D3A}">
  <sheetPr codeName="Sheet18"/>
  <dimension ref="A1:Q4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5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5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5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  <row r="43" spans="1:16" x14ac:dyDescent="0.45">
      <c r="A43" s="35">
        <v>40</v>
      </c>
      <c r="B43" s="32">
        <v>84.1</v>
      </c>
      <c r="C43" s="32">
        <v>2.1025</v>
      </c>
      <c r="D43" s="37">
        <v>1.95</v>
      </c>
      <c r="E43" s="33">
        <v>0.35</v>
      </c>
      <c r="F43" s="33">
        <v>0.3</v>
      </c>
      <c r="G43" s="33">
        <v>0.32679738562091504</v>
      </c>
      <c r="H43" s="33">
        <v>0.13725490196078433</v>
      </c>
      <c r="I43" s="34">
        <v>7380</v>
      </c>
      <c r="J43" s="34">
        <v>-7921.4285714285716</v>
      </c>
      <c r="K43" s="33">
        <v>0.17499999999999999</v>
      </c>
      <c r="L43" s="33">
        <v>0.15686274509803921</v>
      </c>
      <c r="M43" s="33">
        <v>0.34967320261437906</v>
      </c>
      <c r="N43" s="33">
        <v>0.60416666666666663</v>
      </c>
      <c r="O43" s="33">
        <v>0.42990654205607476</v>
      </c>
      <c r="P43" s="33">
        <v>0.43</v>
      </c>
    </row>
    <row r="44" spans="1:16" x14ac:dyDescent="0.45">
      <c r="A44" s="35">
        <v>41</v>
      </c>
      <c r="B44" s="32">
        <v>63.3</v>
      </c>
      <c r="C44" s="32">
        <v>1.5439024390243903</v>
      </c>
      <c r="D44" s="37">
        <v>1.9512195121951219</v>
      </c>
      <c r="E44" s="33">
        <v>0.34146341463414637</v>
      </c>
      <c r="F44" s="33">
        <v>0.29268292682926828</v>
      </c>
      <c r="G44" s="33">
        <v>0.330188679245283</v>
      </c>
      <c r="H44" s="33">
        <v>0.14150943396226415</v>
      </c>
      <c r="I44" s="34">
        <v>7329.5238095238092</v>
      </c>
      <c r="J44" s="34">
        <v>-8168.8888888888887</v>
      </c>
      <c r="K44" s="33">
        <v>0.17073170731707318</v>
      </c>
      <c r="L44" s="33">
        <v>0.16037735849056603</v>
      </c>
      <c r="M44" s="33">
        <v>0.34905660377358488</v>
      </c>
      <c r="N44" s="33">
        <v>0.58823529411764708</v>
      </c>
      <c r="O44" s="33">
        <v>0.44144144144144143</v>
      </c>
      <c r="P44" s="33">
        <v>0.44761904761904764</v>
      </c>
    </row>
    <row r="45" spans="1:16" x14ac:dyDescent="0.45">
      <c r="A45" s="35">
        <v>42</v>
      </c>
      <c r="B45" s="32">
        <v>66.899999999999991</v>
      </c>
      <c r="C45" s="32">
        <v>1.5928571428571427</v>
      </c>
      <c r="D45" s="37">
        <v>1.9523809523809523</v>
      </c>
      <c r="E45" s="33">
        <v>0.33333333333333331</v>
      </c>
      <c r="F45" s="33">
        <v>0.2857142857142857</v>
      </c>
      <c r="G45" s="33">
        <v>0.33333333333333331</v>
      </c>
      <c r="H45" s="33">
        <v>0.1388888888888889</v>
      </c>
      <c r="I45" s="34">
        <v>7228.7037037037035</v>
      </c>
      <c r="J45" s="34">
        <v>-8168.8888888888887</v>
      </c>
      <c r="K45" s="33">
        <v>0.16666666666666666</v>
      </c>
      <c r="L45" s="33">
        <v>0.16049382716049382</v>
      </c>
      <c r="M45" s="33">
        <v>0.35185185185185186</v>
      </c>
      <c r="N45" s="33">
        <v>0.57692307692307687</v>
      </c>
      <c r="O45" s="33">
        <v>0.44736842105263158</v>
      </c>
      <c r="P45" s="33">
        <v>0.43518518518518517</v>
      </c>
    </row>
    <row r="46" spans="1:16" x14ac:dyDescent="0.45">
      <c r="A46" s="35">
        <v>43</v>
      </c>
      <c r="B46" s="32">
        <v>64.3</v>
      </c>
      <c r="C46" s="32">
        <v>1.4953488372093022</v>
      </c>
      <c r="D46" s="37">
        <v>1.9534883720930232</v>
      </c>
      <c r="E46" s="33">
        <v>0.32558139534883723</v>
      </c>
      <c r="F46" s="33">
        <v>0.27906976744186046</v>
      </c>
      <c r="G46" s="33">
        <v>0.33233532934131738</v>
      </c>
      <c r="H46" s="33">
        <v>0.1437125748502994</v>
      </c>
      <c r="I46" s="34">
        <v>7296.3963963963961</v>
      </c>
      <c r="J46" s="34">
        <v>-8281.25</v>
      </c>
      <c r="K46" s="33">
        <v>0.16279069767441862</v>
      </c>
      <c r="L46" s="33">
        <v>0.16467065868263472</v>
      </c>
      <c r="M46" s="33">
        <v>0.35029940119760478</v>
      </c>
      <c r="N46" s="33">
        <v>0.58181818181818179</v>
      </c>
      <c r="O46" s="33">
        <v>0.4358974358974359</v>
      </c>
      <c r="P46" s="33">
        <v>0.44144144144144143</v>
      </c>
    </row>
    <row r="47" spans="1:16" x14ac:dyDescent="0.45">
      <c r="A47" s="35">
        <v>44</v>
      </c>
      <c r="B47" s="32">
        <v>92.199999999999989</v>
      </c>
      <c r="C47" s="32">
        <v>2.0954545454545452</v>
      </c>
      <c r="D47" s="37">
        <v>1.9318181818181819</v>
      </c>
      <c r="E47" s="33">
        <v>0.34090909090909088</v>
      </c>
      <c r="F47" s="33">
        <v>0.27272727272727271</v>
      </c>
      <c r="G47" s="33">
        <v>0.33526011560693642</v>
      </c>
      <c r="H47" s="33">
        <v>0.1416184971098266</v>
      </c>
      <c r="I47" s="34">
        <v>7188.7931034482763</v>
      </c>
      <c r="J47" s="34">
        <v>-8171.4285714285716</v>
      </c>
      <c r="K47" s="33">
        <v>0.15909090909090909</v>
      </c>
      <c r="L47" s="33">
        <v>0.16184971098265896</v>
      </c>
      <c r="M47" s="33">
        <v>0.3583815028901734</v>
      </c>
      <c r="N47" s="33">
        <v>0.5714285714285714</v>
      </c>
      <c r="O47" s="33">
        <v>0.42741935483870969</v>
      </c>
      <c r="P47" s="33">
        <v>0.45689655172413796</v>
      </c>
    </row>
    <row r="48" spans="1:16" x14ac:dyDescent="0.45">
      <c r="A48" s="35">
        <v>45</v>
      </c>
      <c r="B48" s="32">
        <v>143.5</v>
      </c>
      <c r="C48" s="32">
        <v>3.1888888888888891</v>
      </c>
      <c r="D48" s="37">
        <v>1.9111111111111112</v>
      </c>
      <c r="E48" s="33">
        <v>0.35555555555555557</v>
      </c>
      <c r="F48" s="33">
        <v>0.26666666666666666</v>
      </c>
      <c r="G48" s="33">
        <v>0.33893557422969189</v>
      </c>
      <c r="H48" s="33">
        <v>0.13725490196078433</v>
      </c>
      <c r="I48" s="34">
        <v>7278.5123966942147</v>
      </c>
      <c r="J48" s="34">
        <v>-8171.4285714285716</v>
      </c>
      <c r="K48" s="33">
        <v>0.15555555555555556</v>
      </c>
      <c r="L48" s="33">
        <v>0.16526610644257703</v>
      </c>
      <c r="M48" s="33">
        <v>0.35854341736694678</v>
      </c>
      <c r="N48" s="33">
        <v>0.59322033898305082</v>
      </c>
      <c r="O48" s="33">
        <v>0.4296875</v>
      </c>
      <c r="P48" s="33">
        <v>0.45454545454545453</v>
      </c>
    </row>
    <row r="49" spans="1:16" x14ac:dyDescent="0.45">
      <c r="A49" s="35">
        <v>46</v>
      </c>
      <c r="B49" s="32">
        <v>183.4</v>
      </c>
      <c r="C49" s="32">
        <v>3.9869565217391307</v>
      </c>
      <c r="D49" s="37">
        <v>1.8913043478260869</v>
      </c>
      <c r="E49" s="33">
        <v>0.36956521739130432</v>
      </c>
      <c r="F49" s="33">
        <v>0.2608695652173913</v>
      </c>
      <c r="G49" s="33">
        <v>0.34340659340659341</v>
      </c>
      <c r="H49" s="33">
        <v>0.13461538461538461</v>
      </c>
      <c r="I49" s="34">
        <v>7276.8</v>
      </c>
      <c r="J49" s="34">
        <v>-8171.4285714285716</v>
      </c>
      <c r="K49" s="33">
        <v>0.15217391304347827</v>
      </c>
      <c r="L49" s="33">
        <v>0.16758241758241757</v>
      </c>
      <c r="M49" s="33">
        <v>0.35989010989010989</v>
      </c>
      <c r="N49" s="33">
        <v>0.5901639344262295</v>
      </c>
      <c r="O49" s="33">
        <v>0.4351145038167939</v>
      </c>
      <c r="P49" s="33">
        <v>0.44800000000000001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CB04B-B10B-48D0-8616-ABC1BD51CEF6}">
  <sheetPr codeName="Sheet16"/>
  <dimension ref="A1:Q7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5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5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  <row r="66" spans="1:16" x14ac:dyDescent="0.45">
      <c r="A66" s="35">
        <v>63</v>
      </c>
      <c r="B66" s="32">
        <v>-102.59999999999997</v>
      </c>
      <c r="C66" s="32">
        <v>-1.6285714285714281</v>
      </c>
      <c r="D66" s="37">
        <v>2.0634920634920637</v>
      </c>
      <c r="E66" s="33">
        <v>0.31746031746031744</v>
      </c>
      <c r="F66" s="33">
        <v>0.38095238095238093</v>
      </c>
      <c r="G66" s="33">
        <v>0.27254901960784311</v>
      </c>
      <c r="H66" s="33">
        <v>0.11960784313725491</v>
      </c>
      <c r="I66" s="34">
        <v>8226.6187050359713</v>
      </c>
      <c r="J66" s="34">
        <v>-8175.4098360655735</v>
      </c>
      <c r="K66" s="33">
        <v>7.9365079365079361E-2</v>
      </c>
      <c r="L66" s="33">
        <v>0.23529411764705882</v>
      </c>
      <c r="M66" s="33">
        <v>0.23921568627450981</v>
      </c>
      <c r="N66" s="33">
        <v>0.53333333333333333</v>
      </c>
      <c r="O66" s="33">
        <v>0.40163934426229508</v>
      </c>
      <c r="P66" s="33">
        <v>0.43165467625899279</v>
      </c>
    </row>
    <row r="67" spans="1:16" x14ac:dyDescent="0.45">
      <c r="A67" s="35">
        <v>64</v>
      </c>
      <c r="B67" s="32">
        <v>-72.299999999999969</v>
      </c>
      <c r="C67" s="32">
        <v>-1.1296874999999995</v>
      </c>
      <c r="D67" s="37">
        <v>2.046875</v>
      </c>
      <c r="E67" s="33">
        <v>0.328125</v>
      </c>
      <c r="F67" s="33">
        <v>0.375</v>
      </c>
      <c r="G67" s="33">
        <v>0.27500000000000002</v>
      </c>
      <c r="H67" s="33">
        <v>0.11923076923076924</v>
      </c>
      <c r="I67" s="34">
        <v>8270.6293706293709</v>
      </c>
      <c r="J67" s="34">
        <v>-8167.7419354838712</v>
      </c>
      <c r="K67" s="33">
        <v>7.8125E-2</v>
      </c>
      <c r="L67" s="33">
        <v>0.23076923076923078</v>
      </c>
      <c r="M67" s="33">
        <v>0.24038461538461539</v>
      </c>
      <c r="N67" s="33">
        <v>0.53333333333333333</v>
      </c>
      <c r="O67" s="33">
        <v>0.40799999999999997</v>
      </c>
      <c r="P67" s="33">
        <v>0.42657342657342656</v>
      </c>
    </row>
    <row r="68" spans="1:16" x14ac:dyDescent="0.45">
      <c r="A68" s="35">
        <v>65</v>
      </c>
      <c r="B68" s="32">
        <v>-72.599999999999966</v>
      </c>
      <c r="C68" s="32">
        <v>-1.1169230769230765</v>
      </c>
      <c r="D68" s="37">
        <v>2.046153846153846</v>
      </c>
      <c r="E68" s="33">
        <v>0.32307692307692309</v>
      </c>
      <c r="F68" s="33">
        <v>0.36923076923076925</v>
      </c>
      <c r="G68" s="33">
        <v>0.27255639097744361</v>
      </c>
      <c r="H68" s="33">
        <v>0.11654135338345864</v>
      </c>
      <c r="I68" s="34">
        <v>8196.5517241379312</v>
      </c>
      <c r="J68" s="34">
        <v>-8167.7419354838712</v>
      </c>
      <c r="K68" s="33">
        <v>7.6923076923076927E-2</v>
      </c>
      <c r="L68" s="33">
        <v>0.22932330827067668</v>
      </c>
      <c r="M68" s="33">
        <v>0.23684210526315788</v>
      </c>
      <c r="N68" s="33">
        <v>0.53278688524590168</v>
      </c>
      <c r="O68" s="33">
        <v>0.40476190476190477</v>
      </c>
      <c r="P68" s="33">
        <v>0.42758620689655175</v>
      </c>
    </row>
    <row r="69" spans="1:16" x14ac:dyDescent="0.45">
      <c r="A69" s="35">
        <v>66</v>
      </c>
      <c r="B69" s="32">
        <v>-70.899999999999963</v>
      </c>
      <c r="C69" s="32">
        <v>-1.0742424242424238</v>
      </c>
      <c r="D69" s="37">
        <v>2.0454545454545454</v>
      </c>
      <c r="E69" s="33">
        <v>0.31818181818181818</v>
      </c>
      <c r="F69" s="33">
        <v>0.36363636363636365</v>
      </c>
      <c r="G69" s="33">
        <v>0.27306273062730629</v>
      </c>
      <c r="H69" s="33">
        <v>0.11808118081180811</v>
      </c>
      <c r="I69" s="34">
        <v>8214.864864864865</v>
      </c>
      <c r="J69" s="34">
        <v>-8281.25</v>
      </c>
      <c r="K69" s="33">
        <v>7.575757575757576E-2</v>
      </c>
      <c r="L69" s="33">
        <v>0.23247232472324722</v>
      </c>
      <c r="M69" s="33">
        <v>0.23616236162361623</v>
      </c>
      <c r="N69" s="33">
        <v>0.53174603174603174</v>
      </c>
      <c r="O69" s="33">
        <v>0.40625</v>
      </c>
      <c r="P69" s="33">
        <v>0.42567567567567566</v>
      </c>
    </row>
    <row r="70" spans="1:16" x14ac:dyDescent="0.45">
      <c r="A70" s="35">
        <v>67</v>
      </c>
      <c r="B70" s="32">
        <v>-50.19999999999996</v>
      </c>
      <c r="C70" s="32">
        <v>-0.74925373134328299</v>
      </c>
      <c r="D70" s="37">
        <v>2.0298507462686568</v>
      </c>
      <c r="E70" s="33">
        <v>0.32835820895522388</v>
      </c>
      <c r="F70" s="33">
        <v>0.35820895522388058</v>
      </c>
      <c r="G70" s="33">
        <v>0.27322404371584702</v>
      </c>
      <c r="H70" s="33">
        <v>0.11657559198542805</v>
      </c>
      <c r="I70" s="34">
        <v>8292</v>
      </c>
      <c r="J70" s="34">
        <v>-8281.25</v>
      </c>
      <c r="K70" s="33">
        <v>7.4626865671641784E-2</v>
      </c>
      <c r="L70" s="33">
        <v>0.23132969034608378</v>
      </c>
      <c r="M70" s="33">
        <v>0.23679417122040072</v>
      </c>
      <c r="N70" s="33">
        <v>0.53543307086614178</v>
      </c>
      <c r="O70" s="33">
        <v>0.4</v>
      </c>
      <c r="P70" s="33">
        <v>0.43333333333333335</v>
      </c>
    </row>
    <row r="71" spans="1:16" x14ac:dyDescent="0.45">
      <c r="A71" s="35">
        <v>68</v>
      </c>
      <c r="B71" s="32">
        <v>-53.19999999999996</v>
      </c>
      <c r="C71" s="32">
        <v>-0.78235294117647003</v>
      </c>
      <c r="D71" s="37">
        <v>2.0294117647058822</v>
      </c>
      <c r="E71" s="33">
        <v>0.3235294117647059</v>
      </c>
      <c r="F71" s="33">
        <v>0.35294117647058826</v>
      </c>
      <c r="G71" s="33">
        <v>0.27321428571428569</v>
      </c>
      <c r="H71" s="33">
        <v>0.11785714285714285</v>
      </c>
      <c r="I71" s="34">
        <v>8213.7254901960787</v>
      </c>
      <c r="J71" s="34">
        <v>-8196.9696969696961</v>
      </c>
      <c r="K71" s="33">
        <v>7.3529411764705885E-2</v>
      </c>
      <c r="L71" s="33">
        <v>0.23035714285714284</v>
      </c>
      <c r="M71" s="33">
        <v>0.23749999999999999</v>
      </c>
      <c r="N71" s="33">
        <v>0.52713178294573648</v>
      </c>
      <c r="O71" s="33">
        <v>0.41353383458646614</v>
      </c>
      <c r="P71" s="33">
        <v>0.43790849673202614</v>
      </c>
    </row>
    <row r="72" spans="1:16" x14ac:dyDescent="0.45">
      <c r="A72" s="35">
        <v>69</v>
      </c>
      <c r="B72" s="32">
        <v>-93.19999999999996</v>
      </c>
      <c r="C72" s="32">
        <v>-1.3507246376811588</v>
      </c>
      <c r="D72" s="37">
        <v>2.0434782608695654</v>
      </c>
      <c r="E72" s="33">
        <v>0.3188405797101449</v>
      </c>
      <c r="F72" s="33">
        <v>0.36231884057971014</v>
      </c>
      <c r="G72" s="33">
        <v>0.27160493827160492</v>
      </c>
      <c r="H72" s="33">
        <v>0.12169312169312169</v>
      </c>
      <c r="I72" s="34">
        <v>8177.272727272727</v>
      </c>
      <c r="J72" s="34">
        <v>-8091.304347826087</v>
      </c>
      <c r="K72" s="33">
        <v>7.2463768115942032E-2</v>
      </c>
      <c r="L72" s="33">
        <v>0.2292768959435626</v>
      </c>
      <c r="M72" s="33">
        <v>0.23809523809523808</v>
      </c>
      <c r="N72" s="33">
        <v>0.52307692307692311</v>
      </c>
      <c r="O72" s="33">
        <v>0.40740740740740738</v>
      </c>
      <c r="P72" s="33">
        <v>0.43506493506493504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4987-57F5-476D-8B97-3566105E4F38}">
  <sheetPr codeName="Sheet14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  <row r="44" spans="1:16" x14ac:dyDescent="0.45">
      <c r="A44" s="35">
        <v>41</v>
      </c>
      <c r="B44" s="32">
        <v>-261.99999999999983</v>
      </c>
      <c r="C44" s="32">
        <v>-6.3902439024390203</v>
      </c>
      <c r="D44" s="37">
        <v>2.2439024390243905</v>
      </c>
      <c r="E44" s="33">
        <v>0.1951219512195122</v>
      </c>
      <c r="F44" s="33">
        <v>0.43902439024390244</v>
      </c>
      <c r="G44" s="33">
        <v>0.28253968253968254</v>
      </c>
      <c r="H44" s="33">
        <v>0.16190476190476191</v>
      </c>
      <c r="I44" s="34">
        <v>7910.1123595505615</v>
      </c>
      <c r="J44" s="34">
        <v>-7137.2549019607841</v>
      </c>
      <c r="K44" s="33">
        <v>0.14634146341463414</v>
      </c>
      <c r="L44" s="33">
        <v>0.24126984126984127</v>
      </c>
      <c r="M44" s="33">
        <v>0.15873015873015872</v>
      </c>
      <c r="N44" s="33">
        <v>0.53947368421052633</v>
      </c>
      <c r="O44" s="33">
        <v>0.56000000000000005</v>
      </c>
      <c r="P44" s="33">
        <v>0.5168539325842697</v>
      </c>
    </row>
    <row r="45" spans="1:16" x14ac:dyDescent="0.45">
      <c r="A45" s="35">
        <v>42</v>
      </c>
      <c r="B45" s="32">
        <v>-240.99999999999983</v>
      </c>
      <c r="C45" s="32">
        <v>-5.7380952380952337</v>
      </c>
      <c r="D45" s="37">
        <v>2.2142857142857144</v>
      </c>
      <c r="E45" s="33">
        <v>0.21428571428571427</v>
      </c>
      <c r="F45" s="33">
        <v>0.42857142857142855</v>
      </c>
      <c r="G45" s="33">
        <v>0.28792569659442724</v>
      </c>
      <c r="H45" s="33">
        <v>0.1609907120743034</v>
      </c>
      <c r="I45" s="34">
        <v>7873.1182795698924</v>
      </c>
      <c r="J45" s="34">
        <v>-7148.0769230769229</v>
      </c>
      <c r="K45" s="33">
        <v>0.14285714285714285</v>
      </c>
      <c r="L45" s="33">
        <v>0.23839009287925697</v>
      </c>
      <c r="M45" s="33">
        <v>0.15789473684210525</v>
      </c>
      <c r="N45" s="33">
        <v>0.54545454545454541</v>
      </c>
      <c r="O45" s="33">
        <v>0.56862745098039214</v>
      </c>
      <c r="P45" s="33">
        <v>0.5161290322580645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FE5F-D2FD-4E54-BD9E-56A2DCCB8D78}">
  <sheetPr codeName="Sheet12"/>
  <dimension ref="A1:Q10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5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  <row r="98" spans="1:16" x14ac:dyDescent="0.45">
      <c r="A98" s="35">
        <v>95</v>
      </c>
      <c r="B98" s="32">
        <v>748.9000000000002</v>
      </c>
      <c r="C98" s="32">
        <v>7.8831578947368444</v>
      </c>
      <c r="D98" s="37">
        <v>1.7894736842105263</v>
      </c>
      <c r="E98" s="33">
        <v>0.44210526315789472</v>
      </c>
      <c r="F98" s="33">
        <v>0.23157894736842105</v>
      </c>
      <c r="G98" s="33">
        <v>0.30707610146862485</v>
      </c>
      <c r="H98" s="33">
        <v>0.13618157543391188</v>
      </c>
      <c r="I98" s="34">
        <v>9791.3043478260861</v>
      </c>
      <c r="J98" s="34">
        <v>-8323.5294117647063</v>
      </c>
      <c r="K98" s="33">
        <v>6.3157894736842107E-2</v>
      </c>
      <c r="L98" s="33">
        <v>0.25100133511348466</v>
      </c>
      <c r="M98" s="33">
        <v>0.15887850467289719</v>
      </c>
      <c r="N98" s="33">
        <v>0.5957446808510638</v>
      </c>
      <c r="O98" s="33">
        <v>0.47899159663865548</v>
      </c>
      <c r="P98" s="33">
        <v>0.5043478260869565</v>
      </c>
    </row>
    <row r="99" spans="1:16" x14ac:dyDescent="0.45">
      <c r="A99" s="35">
        <v>96</v>
      </c>
      <c r="B99" s="32">
        <v>720.4000000000002</v>
      </c>
      <c r="C99" s="32">
        <v>7.5041666666666691</v>
      </c>
      <c r="D99" s="37">
        <v>1.8020833333333333</v>
      </c>
      <c r="E99" s="33">
        <v>0.4375</v>
      </c>
      <c r="F99" s="33">
        <v>0.23958333333333334</v>
      </c>
      <c r="G99" s="33">
        <v>0.30515191545574638</v>
      </c>
      <c r="H99" s="33">
        <v>0.13738441215323646</v>
      </c>
      <c r="I99" s="34">
        <v>9800.8658008658003</v>
      </c>
      <c r="J99" s="34">
        <v>-8355.7692307692305</v>
      </c>
      <c r="K99" s="33">
        <v>6.25E-2</v>
      </c>
      <c r="L99" s="33">
        <v>0.24966974900924702</v>
      </c>
      <c r="M99" s="33">
        <v>0.15852047556142668</v>
      </c>
      <c r="N99" s="33">
        <v>0.59259259259259256</v>
      </c>
      <c r="O99" s="33">
        <v>0.48333333333333334</v>
      </c>
      <c r="P99" s="33">
        <v>0.50649350649350644</v>
      </c>
    </row>
    <row r="100" spans="1:16" x14ac:dyDescent="0.45">
      <c r="A100" s="35">
        <v>97</v>
      </c>
      <c r="B100" s="32">
        <v>735.9000000000002</v>
      </c>
      <c r="C100" s="32">
        <v>7.5865979381443323</v>
      </c>
      <c r="D100" s="37">
        <v>1.7938144329896908</v>
      </c>
      <c r="E100" s="33">
        <v>0.44329896907216493</v>
      </c>
      <c r="F100" s="33">
        <v>0.23711340206185566</v>
      </c>
      <c r="G100" s="33">
        <v>0.30406290956749671</v>
      </c>
      <c r="H100" s="33">
        <v>0.13761467889908258</v>
      </c>
      <c r="I100" s="34">
        <v>9793.1034482758623</v>
      </c>
      <c r="J100" s="34">
        <v>-8295.2380952380954</v>
      </c>
      <c r="K100" s="33">
        <v>6.1855670103092786E-2</v>
      </c>
      <c r="L100" s="33">
        <v>0.24770642201834864</v>
      </c>
      <c r="M100" s="33">
        <v>0.15858453473132372</v>
      </c>
      <c r="N100" s="33">
        <v>0.59259259259259256</v>
      </c>
      <c r="O100" s="33">
        <v>0.47933884297520662</v>
      </c>
      <c r="P100" s="33">
        <v>0.50862068965517238</v>
      </c>
    </row>
    <row r="101" spans="1:16" x14ac:dyDescent="0.45">
      <c r="A101" s="35">
        <v>98</v>
      </c>
      <c r="B101" s="32">
        <v>708.20000000000016</v>
      </c>
      <c r="C101" s="32">
        <v>7.2265306122448996</v>
      </c>
      <c r="D101" s="37">
        <v>1.8061224489795917</v>
      </c>
      <c r="E101" s="33">
        <v>0.43877551020408162</v>
      </c>
      <c r="F101" s="33">
        <v>0.24489795918367346</v>
      </c>
      <c r="G101" s="33">
        <v>0.30401034928848641</v>
      </c>
      <c r="H101" s="33">
        <v>0.13842173350582149</v>
      </c>
      <c r="I101" s="34">
        <v>9729.3617021276605</v>
      </c>
      <c r="J101" s="34">
        <v>-8297.1962616822439</v>
      </c>
      <c r="K101" s="33">
        <v>6.1224489795918366E-2</v>
      </c>
      <c r="L101" s="33">
        <v>0.24838292367399742</v>
      </c>
      <c r="M101" s="33">
        <v>0.15782664941785252</v>
      </c>
      <c r="N101" s="33">
        <v>0.59375</v>
      </c>
      <c r="O101" s="33">
        <v>0.48360655737704916</v>
      </c>
      <c r="P101" s="33">
        <v>0.50638297872340421</v>
      </c>
    </row>
    <row r="102" spans="1:16" x14ac:dyDescent="0.45">
      <c r="A102" s="35">
        <v>99</v>
      </c>
      <c r="B102" s="32">
        <v>680.60000000000014</v>
      </c>
      <c r="C102" s="32">
        <v>6.8747474747474762</v>
      </c>
      <c r="D102" s="37">
        <v>1.8181818181818181</v>
      </c>
      <c r="E102" s="33">
        <v>0.43434343434343436</v>
      </c>
      <c r="F102" s="33">
        <v>0.25252525252525254</v>
      </c>
      <c r="G102" s="33">
        <v>0.30063694267515922</v>
      </c>
      <c r="H102" s="33">
        <v>0.13885350318471337</v>
      </c>
      <c r="I102" s="34">
        <v>9700.4237288135591</v>
      </c>
      <c r="J102" s="34">
        <v>-8182.5688073394494</v>
      </c>
      <c r="K102" s="33">
        <v>6.0606060606060608E-2</v>
      </c>
      <c r="L102" s="33">
        <v>0.2445859872611465</v>
      </c>
      <c r="M102" s="33">
        <v>0.16050955414012738</v>
      </c>
      <c r="N102" s="33">
        <v>0.59375</v>
      </c>
      <c r="O102" s="33">
        <v>0.47619047619047616</v>
      </c>
      <c r="P102" s="33">
        <v>0.50423728813559321</v>
      </c>
    </row>
    <row r="103" spans="1:16" x14ac:dyDescent="0.45">
      <c r="A103" s="35">
        <v>100</v>
      </c>
      <c r="B103" s="32">
        <v>678.90000000000009</v>
      </c>
      <c r="C103" s="32">
        <v>6.7890000000000006</v>
      </c>
      <c r="D103" s="37">
        <v>1.82</v>
      </c>
      <c r="E103" s="33">
        <v>0.43</v>
      </c>
      <c r="F103" s="33">
        <v>0.25</v>
      </c>
      <c r="G103" s="33">
        <v>0.30176767676767674</v>
      </c>
      <c r="H103" s="33">
        <v>0.13762626262626262</v>
      </c>
      <c r="I103" s="34">
        <v>9673.2217573221751</v>
      </c>
      <c r="J103" s="34">
        <v>-8182.5688073394494</v>
      </c>
      <c r="K103" s="33">
        <v>0.06</v>
      </c>
      <c r="L103" s="33">
        <v>0.24621212121212122</v>
      </c>
      <c r="M103" s="33">
        <v>0.15909090909090909</v>
      </c>
      <c r="N103" s="33">
        <v>0.59487179487179487</v>
      </c>
      <c r="O103" s="33">
        <v>0.47619047619047616</v>
      </c>
      <c r="P103" s="33">
        <v>0.50627615062761511</v>
      </c>
    </row>
    <row r="104" spans="1:16" x14ac:dyDescent="0.45">
      <c r="A104" s="35">
        <v>101</v>
      </c>
      <c r="B104" s="32">
        <v>679.00000000000011</v>
      </c>
      <c r="C104" s="32">
        <v>6.7227722772277243</v>
      </c>
      <c r="D104" s="37">
        <v>1.8217821782178218</v>
      </c>
      <c r="E104" s="33">
        <v>0.42574257425742573</v>
      </c>
      <c r="F104" s="33">
        <v>0.24752475247524752</v>
      </c>
      <c r="G104" s="33">
        <v>0.30037546933667086</v>
      </c>
      <c r="H104" s="33">
        <v>0.13767209011264081</v>
      </c>
      <c r="I104" s="34">
        <v>9682.9166666666661</v>
      </c>
      <c r="J104" s="34">
        <v>-8131.818181818182</v>
      </c>
      <c r="K104" s="33">
        <v>5.9405940594059403E-2</v>
      </c>
      <c r="L104" s="33">
        <v>0.24780976220275344</v>
      </c>
      <c r="M104" s="33">
        <v>0.15894868585732166</v>
      </c>
      <c r="N104" s="33">
        <v>0.59090909090909094</v>
      </c>
      <c r="O104" s="33">
        <v>0.47244094488188976</v>
      </c>
      <c r="P104" s="33">
        <v>0.5083333333333333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39A6-E2B3-465C-8272-E46B2DD91B1B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4E9F-476B-4A58-8F07-49BC3E6B2883}">
  <sheetPr codeName="Sheet8"/>
  <dimension ref="A1:Q7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5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5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5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5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  <row r="71" spans="1:16" x14ac:dyDescent="0.45">
      <c r="A71" s="35">
        <v>68</v>
      </c>
      <c r="B71" s="32">
        <v>-74.200000000000045</v>
      </c>
      <c r="C71" s="32">
        <v>-1.0911764705882359</v>
      </c>
      <c r="D71" s="37">
        <v>2.0294117647058822</v>
      </c>
      <c r="E71" s="33">
        <v>0.35294117647058826</v>
      </c>
      <c r="F71" s="33">
        <v>0.38235294117647056</v>
      </c>
      <c r="G71" s="33">
        <v>0.27037037037037037</v>
      </c>
      <c r="H71" s="33">
        <v>0.18518518518518517</v>
      </c>
      <c r="I71" s="34">
        <v>10215.753424657534</v>
      </c>
      <c r="J71" s="34">
        <v>-7610</v>
      </c>
      <c r="K71" s="33">
        <v>0.16176470588235295</v>
      </c>
      <c r="L71" s="33">
        <v>0.29814814814814816</v>
      </c>
      <c r="M71" s="33">
        <v>0.2</v>
      </c>
      <c r="N71" s="33">
        <v>0.47826086956521741</v>
      </c>
      <c r="O71" s="33">
        <v>0.33333333333333331</v>
      </c>
      <c r="P71" s="33">
        <v>0.4589041095890411</v>
      </c>
    </row>
    <row r="72" spans="1:16" x14ac:dyDescent="0.45">
      <c r="A72" s="35">
        <v>69</v>
      </c>
      <c r="B72" s="32">
        <v>-17.600000000000044</v>
      </c>
      <c r="C72" s="32">
        <v>-0.2550724637681166</v>
      </c>
      <c r="D72" s="37">
        <v>2.0144927536231885</v>
      </c>
      <c r="E72" s="33">
        <v>0.36231884057971014</v>
      </c>
      <c r="F72" s="33">
        <v>0.37681159420289856</v>
      </c>
      <c r="G72" s="33">
        <v>0.27173913043478259</v>
      </c>
      <c r="H72" s="33">
        <v>0.18115942028985507</v>
      </c>
      <c r="I72" s="34">
        <v>10237.333333333334</v>
      </c>
      <c r="J72" s="34">
        <v>-7610</v>
      </c>
      <c r="K72" s="33">
        <v>0.15942028985507245</v>
      </c>
      <c r="L72" s="33">
        <v>0.30072463768115942</v>
      </c>
      <c r="M72" s="33">
        <v>0.19927536231884058</v>
      </c>
      <c r="N72" s="33">
        <v>0.48192771084337349</v>
      </c>
      <c r="O72" s="33">
        <v>0.33636363636363636</v>
      </c>
      <c r="P72" s="33">
        <v>0.45333333333333331</v>
      </c>
    </row>
    <row r="73" spans="1:16" x14ac:dyDescent="0.45">
      <c r="A73" s="35">
        <v>70</v>
      </c>
      <c r="B73" s="32">
        <v>10.799999999999955</v>
      </c>
      <c r="C73" s="32">
        <v>0.15428571428571364</v>
      </c>
      <c r="D73" s="37">
        <v>2</v>
      </c>
      <c r="E73" s="33">
        <v>0.37142857142857144</v>
      </c>
      <c r="F73" s="33">
        <v>0.37142857142857144</v>
      </c>
      <c r="G73" s="33">
        <v>0.27272727272727271</v>
      </c>
      <c r="H73" s="33">
        <v>0.18003565062388591</v>
      </c>
      <c r="I73" s="34">
        <v>10244.444444444445</v>
      </c>
      <c r="J73" s="34">
        <v>-7573.2673267326736</v>
      </c>
      <c r="K73" s="33">
        <v>0.15714285714285714</v>
      </c>
      <c r="L73" s="33">
        <v>0.30303030303030304</v>
      </c>
      <c r="M73" s="33">
        <v>0.19607843137254902</v>
      </c>
      <c r="N73" s="33">
        <v>0.48823529411764705</v>
      </c>
      <c r="O73" s="33">
        <v>0.33636363636363636</v>
      </c>
      <c r="P73" s="33">
        <v>0.45751633986928103</v>
      </c>
    </row>
    <row r="74" spans="1:16" x14ac:dyDescent="0.45">
      <c r="A74" s="35">
        <v>71</v>
      </c>
      <c r="B74" s="32">
        <v>18.299999999999955</v>
      </c>
      <c r="C74" s="32">
        <v>0.25774647887323882</v>
      </c>
      <c r="D74" s="37">
        <v>2</v>
      </c>
      <c r="E74" s="33">
        <v>0.36619718309859156</v>
      </c>
      <c r="F74" s="33">
        <v>0.36619718309859156</v>
      </c>
      <c r="G74" s="33">
        <v>0.27416520210896311</v>
      </c>
      <c r="H74" s="33">
        <v>0.17926186291739896</v>
      </c>
      <c r="I74" s="34">
        <v>10199.358974358975</v>
      </c>
      <c r="J74" s="34">
        <v>-7550</v>
      </c>
      <c r="K74" s="33">
        <v>0.15492957746478872</v>
      </c>
      <c r="L74" s="33">
        <v>0.30228471001757468</v>
      </c>
      <c r="M74" s="33">
        <v>0.19683655536028119</v>
      </c>
      <c r="N74" s="33">
        <v>0.4941860465116279</v>
      </c>
      <c r="O74" s="33">
        <v>0.3392857142857143</v>
      </c>
      <c r="P74" s="33">
        <v>0.45512820512820512</v>
      </c>
    </row>
    <row r="75" spans="1:16" x14ac:dyDescent="0.45">
      <c r="A75" s="35">
        <v>72</v>
      </c>
      <c r="B75" s="32">
        <v>57.899999999999956</v>
      </c>
      <c r="C75" s="32">
        <v>0.80416666666666603</v>
      </c>
      <c r="D75" s="37">
        <v>1.9861111111111112</v>
      </c>
      <c r="E75" s="33">
        <v>0.375</v>
      </c>
      <c r="F75" s="33">
        <v>0.3611111111111111</v>
      </c>
      <c r="G75" s="33">
        <v>0.27633851468048359</v>
      </c>
      <c r="H75" s="33">
        <v>0.17616580310880828</v>
      </c>
      <c r="I75" s="34">
        <v>10216.875</v>
      </c>
      <c r="J75" s="34">
        <v>-7550</v>
      </c>
      <c r="K75" s="33">
        <v>0.15277777777777779</v>
      </c>
      <c r="L75" s="33">
        <v>0.307426597582038</v>
      </c>
      <c r="M75" s="33">
        <v>0.19343696027633853</v>
      </c>
      <c r="N75" s="33">
        <v>0.5</v>
      </c>
      <c r="O75" s="33">
        <v>0.3392857142857143</v>
      </c>
      <c r="P75" s="33">
        <v>0.45</v>
      </c>
    </row>
    <row r="76" spans="1:16" x14ac:dyDescent="0.45">
      <c r="A76" s="35">
        <v>73</v>
      </c>
      <c r="B76" s="32">
        <v>9.5999999999999588</v>
      </c>
      <c r="C76" s="32">
        <v>0.13150684931506793</v>
      </c>
      <c r="D76" s="37">
        <v>2</v>
      </c>
      <c r="E76" s="33">
        <v>0.36986301369863012</v>
      </c>
      <c r="F76" s="33">
        <v>0.36986301369863012</v>
      </c>
      <c r="G76" s="33">
        <v>0.27288135593220336</v>
      </c>
      <c r="H76" s="33">
        <v>0.17796610169491525</v>
      </c>
      <c r="I76" s="34">
        <v>10189.440993788819</v>
      </c>
      <c r="J76" s="34">
        <v>-7580</v>
      </c>
      <c r="K76" s="33">
        <v>0.16438356164383561</v>
      </c>
      <c r="L76" s="33">
        <v>0.30338983050847457</v>
      </c>
      <c r="M76" s="33">
        <v>0.19322033898305085</v>
      </c>
      <c r="N76" s="33">
        <v>0.4972067039106145</v>
      </c>
      <c r="O76" s="33">
        <v>0.34210526315789475</v>
      </c>
      <c r="P76" s="33">
        <v>0.44720496894409939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5E1E-ABB0-4C00-A237-6D82093B8E49}">
  <sheetPr codeName="Sheet6"/>
  <dimension ref="A1:Q14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5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5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5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5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  <row r="130" spans="1:16" x14ac:dyDescent="0.45">
      <c r="A130" s="35">
        <v>127</v>
      </c>
      <c r="B130" s="32">
        <v>0</v>
      </c>
      <c r="C130" s="32">
        <v>0</v>
      </c>
      <c r="D130" s="37">
        <v>2</v>
      </c>
      <c r="E130" s="33">
        <v>0.33333333333333331</v>
      </c>
      <c r="F130" s="33">
        <v>0.33333333333333331</v>
      </c>
      <c r="G130" s="33">
        <v>0.28975382568196939</v>
      </c>
      <c r="H130" s="33">
        <v>0.15169660678642716</v>
      </c>
      <c r="I130" s="34">
        <v>8826.4064293915035</v>
      </c>
      <c r="J130" s="34">
        <v>-7959.6491228070172</v>
      </c>
      <c r="K130" s="33">
        <v>0.11023622047244094</v>
      </c>
      <c r="L130" s="33">
        <v>0.2405189620758483</v>
      </c>
      <c r="M130" s="33">
        <v>0.20525615435795078</v>
      </c>
      <c r="N130" s="33">
        <v>0.56016597510373445</v>
      </c>
      <c r="O130" s="33">
        <v>0.41329011345218802</v>
      </c>
      <c r="P130" s="33">
        <v>0.47416762342135477</v>
      </c>
    </row>
    <row r="131" spans="1:16" x14ac:dyDescent="0.45">
      <c r="A131" s="35">
        <v>128</v>
      </c>
      <c r="B131" s="32">
        <v>3.5527136788005009E-15</v>
      </c>
      <c r="C131" s="32">
        <v>9.2518585385429707E-18</v>
      </c>
      <c r="D131" s="37">
        <v>2</v>
      </c>
      <c r="E131" s="33">
        <v>0.33333333333333331</v>
      </c>
      <c r="F131" s="33">
        <v>0.33333333333333331</v>
      </c>
      <c r="G131" s="33">
        <v>0.28961209730440501</v>
      </c>
      <c r="H131" s="33">
        <v>0.15154503616042078</v>
      </c>
      <c r="I131" s="34">
        <v>8821.2258796821789</v>
      </c>
      <c r="J131" s="34">
        <v>-7999.3492407809108</v>
      </c>
      <c r="K131" s="33">
        <v>0.109375</v>
      </c>
      <c r="L131" s="33">
        <v>0.24128862590401051</v>
      </c>
      <c r="M131" s="33">
        <v>0.20512820512820512</v>
      </c>
      <c r="N131" s="33">
        <v>0.55722070844686644</v>
      </c>
      <c r="O131" s="33">
        <v>0.41666666666666669</v>
      </c>
      <c r="P131" s="33">
        <v>0.47446083995459704</v>
      </c>
    </row>
    <row r="132" spans="1:16" x14ac:dyDescent="0.45">
      <c r="A132" s="35">
        <v>129</v>
      </c>
      <c r="B132" s="32">
        <v>2.6645352591003757E-15</v>
      </c>
      <c r="C132" s="32">
        <v>6.8851040286831412E-18</v>
      </c>
      <c r="D132" s="37">
        <v>2</v>
      </c>
      <c r="E132" s="33">
        <v>0.33333333333333331</v>
      </c>
      <c r="F132" s="33">
        <v>0.33333333333333331</v>
      </c>
      <c r="G132" s="33">
        <v>0.28934506353861195</v>
      </c>
      <c r="H132" s="33">
        <v>0.15118931247963507</v>
      </c>
      <c r="I132" s="34">
        <v>8820.27027027027</v>
      </c>
      <c r="J132" s="34">
        <v>-7993.1034482758623</v>
      </c>
      <c r="K132" s="33">
        <v>0.10852713178294573</v>
      </c>
      <c r="L132" s="33">
        <v>0.24209840338872596</v>
      </c>
      <c r="M132" s="33">
        <v>0.20495275333985011</v>
      </c>
      <c r="N132" s="33">
        <v>0.55854643337819654</v>
      </c>
      <c r="O132" s="33">
        <v>0.4149443561208267</v>
      </c>
      <c r="P132" s="33">
        <v>0.4752252252252252</v>
      </c>
    </row>
    <row r="133" spans="1:16" x14ac:dyDescent="0.45">
      <c r="A133" s="35">
        <v>130</v>
      </c>
      <c r="B133" s="32">
        <v>3.5527136788005009E-15</v>
      </c>
      <c r="C133" s="32">
        <v>9.1095222533346178E-18</v>
      </c>
      <c r="D133" s="37">
        <v>2</v>
      </c>
      <c r="E133" s="33">
        <v>0.33333333333333331</v>
      </c>
      <c r="F133" s="33">
        <v>0.33333333333333331</v>
      </c>
      <c r="G133" s="33">
        <v>0.28968638861946333</v>
      </c>
      <c r="H133" s="33">
        <v>0.1513094083414161</v>
      </c>
      <c r="I133" s="34">
        <v>8812.8348214285706</v>
      </c>
      <c r="J133" s="34">
        <v>-7995.0854700854698</v>
      </c>
      <c r="K133" s="33">
        <v>0.1076923076923077</v>
      </c>
      <c r="L133" s="33">
        <v>0.24151309408341415</v>
      </c>
      <c r="M133" s="33">
        <v>0.2046556741028128</v>
      </c>
      <c r="N133" s="33">
        <v>0.55957161981258363</v>
      </c>
      <c r="O133" s="33">
        <v>0.41706161137440756</v>
      </c>
      <c r="P133" s="33">
        <v>0.47544642857142855</v>
      </c>
    </row>
    <row r="134" spans="1:16" x14ac:dyDescent="0.45">
      <c r="A134" s="35">
        <v>131</v>
      </c>
      <c r="B134" s="32">
        <v>2.2204460492503131E-15</v>
      </c>
      <c r="C134" s="32">
        <v>5.6499899472018141E-18</v>
      </c>
      <c r="D134" s="37">
        <v>2</v>
      </c>
      <c r="E134" s="33">
        <v>0.33333333333333331</v>
      </c>
      <c r="F134" s="33">
        <v>0.33333333333333331</v>
      </c>
      <c r="G134" s="33">
        <v>0.2896174863387978</v>
      </c>
      <c r="H134" s="33">
        <v>0.15139826422372227</v>
      </c>
      <c r="I134" s="34">
        <v>8789.5671476137632</v>
      </c>
      <c r="J134" s="34">
        <v>-7967.7282377919319</v>
      </c>
      <c r="K134" s="33">
        <v>0.10687022900763359</v>
      </c>
      <c r="L134" s="33">
        <v>0.24075859852137577</v>
      </c>
      <c r="M134" s="33">
        <v>0.20540019286403086</v>
      </c>
      <c r="N134" s="33">
        <v>0.55941255006675572</v>
      </c>
      <c r="O134" s="33">
        <v>0.41627543035993742</v>
      </c>
      <c r="P134" s="33">
        <v>0.47502774694783573</v>
      </c>
    </row>
    <row r="135" spans="1:16" x14ac:dyDescent="0.45">
      <c r="A135" s="35">
        <v>132</v>
      </c>
      <c r="B135" s="32">
        <v>3.5527136788005009E-15</v>
      </c>
      <c r="C135" s="32">
        <v>8.9714991888901546E-18</v>
      </c>
      <c r="D135" s="37">
        <v>2</v>
      </c>
      <c r="E135" s="33">
        <v>0.33333333333333331</v>
      </c>
      <c r="F135" s="33">
        <v>0.33333333333333331</v>
      </c>
      <c r="G135" s="33">
        <v>0.29003502069404646</v>
      </c>
      <c r="H135" s="33">
        <v>0.15186246418338109</v>
      </c>
      <c r="I135" s="34">
        <v>8783.9736553238199</v>
      </c>
      <c r="J135" s="34">
        <v>-7981.5513626834381</v>
      </c>
      <c r="K135" s="33">
        <v>0.10606060606060606</v>
      </c>
      <c r="L135" s="33">
        <v>0.24036930913721744</v>
      </c>
      <c r="M135" s="33">
        <v>0.20566698503661254</v>
      </c>
      <c r="N135" s="33">
        <v>0.56026490066225165</v>
      </c>
      <c r="O135" s="33">
        <v>0.41640866873065013</v>
      </c>
      <c r="P135" s="33">
        <v>0.47420417124039516</v>
      </c>
    </row>
    <row r="136" spans="1:16" x14ac:dyDescent="0.45">
      <c r="A136" s="35">
        <v>133</v>
      </c>
      <c r="B136" s="32">
        <v>0</v>
      </c>
      <c r="C136" s="32">
        <v>0</v>
      </c>
      <c r="D136" s="37">
        <v>2</v>
      </c>
      <c r="E136" s="33">
        <v>0.33333333333333331</v>
      </c>
      <c r="F136" s="33">
        <v>0.33333333333333331</v>
      </c>
      <c r="G136" s="33">
        <v>0.28926660371419577</v>
      </c>
      <c r="H136" s="33">
        <v>0.15108593012275731</v>
      </c>
      <c r="I136" s="34">
        <v>8743.0903155603919</v>
      </c>
      <c r="J136" s="34">
        <v>-7946.25</v>
      </c>
      <c r="K136" s="33">
        <v>0.10526315789473684</v>
      </c>
      <c r="L136" s="33">
        <v>0.23858986465218759</v>
      </c>
      <c r="M136" s="33">
        <v>0.2071136292099465</v>
      </c>
      <c r="N136" s="33">
        <v>0.55936675461741425</v>
      </c>
      <c r="O136" s="33">
        <v>0.41337386018237082</v>
      </c>
      <c r="P136" s="33">
        <v>0.47551686615886835</v>
      </c>
    </row>
    <row r="137" spans="1:16" x14ac:dyDescent="0.45">
      <c r="A137" s="35">
        <v>134</v>
      </c>
      <c r="B137" s="32">
        <v>7.1054273576010019E-15</v>
      </c>
      <c r="C137" s="32">
        <v>1.7675192431843288E-17</v>
      </c>
      <c r="D137" s="37">
        <v>2</v>
      </c>
      <c r="E137" s="33">
        <v>0.33333333333333331</v>
      </c>
      <c r="F137" s="33">
        <v>0.33333333333333331</v>
      </c>
      <c r="G137" s="33">
        <v>0.28874337386966009</v>
      </c>
      <c r="H137" s="33">
        <v>0.15123168069847209</v>
      </c>
      <c r="I137" s="34">
        <v>8753.563714902808</v>
      </c>
      <c r="J137" s="34">
        <v>-7948.6597938144332</v>
      </c>
      <c r="K137" s="33">
        <v>0.1044776119402985</v>
      </c>
      <c r="L137" s="33">
        <v>0.24041159962581851</v>
      </c>
      <c r="M137" s="33">
        <v>0.205799812909261</v>
      </c>
      <c r="N137" s="33">
        <v>0.55771725032425423</v>
      </c>
      <c r="O137" s="33">
        <v>0.41363636363636364</v>
      </c>
      <c r="P137" s="33">
        <v>0.47408207343412528</v>
      </c>
    </row>
    <row r="138" spans="1:16" x14ac:dyDescent="0.45">
      <c r="A138" s="35">
        <v>135</v>
      </c>
      <c r="B138" s="32">
        <v>7.1054273576010019E-15</v>
      </c>
      <c r="C138" s="32">
        <v>1.7544265080496301E-17</v>
      </c>
      <c r="D138" s="37">
        <v>2</v>
      </c>
      <c r="E138" s="33">
        <v>0.33333333333333331</v>
      </c>
      <c r="F138" s="33">
        <v>0.33333333333333331</v>
      </c>
      <c r="G138" s="33">
        <v>0.28872366790582404</v>
      </c>
      <c r="H138" s="33">
        <v>0.15055762081784388</v>
      </c>
      <c r="I138" s="34">
        <v>8763.9484978540768</v>
      </c>
      <c r="J138" s="34">
        <v>-7937.6543209876545</v>
      </c>
      <c r="K138" s="33">
        <v>0.1037037037037037</v>
      </c>
      <c r="L138" s="33">
        <v>0.24070631970260223</v>
      </c>
      <c r="M138" s="33">
        <v>0.2057001239157373</v>
      </c>
      <c r="N138" s="33">
        <v>0.55855855855855852</v>
      </c>
      <c r="O138" s="33">
        <v>0.41114457831325302</v>
      </c>
      <c r="P138" s="33">
        <v>0.47639484978540775</v>
      </c>
    </row>
    <row r="139" spans="1:16" x14ac:dyDescent="0.45">
      <c r="A139" s="35">
        <v>136</v>
      </c>
      <c r="B139" s="32">
        <v>7.1054273576010019E-15</v>
      </c>
      <c r="C139" s="32">
        <v>1.7415263131375004E-17</v>
      </c>
      <c r="D139" s="37">
        <v>2</v>
      </c>
      <c r="E139" s="33">
        <v>0.33333333333333331</v>
      </c>
      <c r="F139" s="33">
        <v>0.33333333333333331</v>
      </c>
      <c r="G139" s="33">
        <v>0.28856179086169886</v>
      </c>
      <c r="H139" s="33">
        <v>0.1505673106409077</v>
      </c>
      <c r="I139" s="34">
        <v>8749.7343251859729</v>
      </c>
      <c r="J139" s="34">
        <v>-7931.7718940936866</v>
      </c>
      <c r="K139" s="33">
        <v>0.1053921568627451</v>
      </c>
      <c r="L139" s="33">
        <v>0.24011039558417663</v>
      </c>
      <c r="M139" s="33">
        <v>0.20637841153020545</v>
      </c>
      <c r="N139" s="33">
        <v>0.55810983397190295</v>
      </c>
      <c r="O139" s="33">
        <v>0.41456166419019319</v>
      </c>
      <c r="P139" s="33">
        <v>0.47608926673751328</v>
      </c>
    </row>
    <row r="140" spans="1:16" x14ac:dyDescent="0.45">
      <c r="A140" s="35">
        <v>137</v>
      </c>
      <c r="B140" s="32">
        <v>7.1054273576010019E-15</v>
      </c>
      <c r="C140" s="32">
        <v>1.7288144422386866E-17</v>
      </c>
      <c r="D140" s="37">
        <v>2</v>
      </c>
      <c r="E140" s="33">
        <v>0.33333333333333331</v>
      </c>
      <c r="F140" s="33">
        <v>0.33333333333333331</v>
      </c>
      <c r="G140" s="33">
        <v>0.28854357099329675</v>
      </c>
      <c r="H140" s="33">
        <v>0.15082266910420475</v>
      </c>
      <c r="I140" s="34">
        <v>8740.2323125659987</v>
      </c>
      <c r="J140" s="34">
        <v>-7907.878787878788</v>
      </c>
      <c r="K140" s="33">
        <v>0.10462287104622871</v>
      </c>
      <c r="L140" s="33">
        <v>0.24040219378427788</v>
      </c>
      <c r="M140" s="33">
        <v>0.2068860450944546</v>
      </c>
      <c r="N140" s="33">
        <v>0.5564005069708492</v>
      </c>
      <c r="O140" s="33">
        <v>0.41384388807069217</v>
      </c>
      <c r="P140" s="33">
        <v>0.4751847940865892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2020-07-31T15:04:00Z</dcterms:modified>
</cp:coreProperties>
</file>