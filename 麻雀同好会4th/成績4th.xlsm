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5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6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7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9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1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2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3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4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5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8910D529-2E2D-4A4B-8A4D-DD732F35D937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18" r:id="rId6"/>
    <sheet name="れんたろう" sheetId="6120" r:id="rId7"/>
    <sheet name="ともき" sheetId="6122" r:id="rId8"/>
    <sheet name="だいち" sheetId="6124" r:id="rId9"/>
    <sheet name="りくと" sheetId="6126" r:id="rId10"/>
    <sheet name="まっつん" sheetId="6128" r:id="rId11"/>
    <sheet name="たかの" sheetId="6130" r:id="rId12"/>
    <sheet name="のり" sheetId="6132" r:id="rId13"/>
    <sheet name="のり2" sheetId="6133" state="hidden" r:id="rId14"/>
    <sheet name="たかの2" sheetId="6131" state="hidden" r:id="rId15"/>
    <sheet name="まっつん2" sheetId="6129" state="hidden" r:id="rId16"/>
    <sheet name="りくと2" sheetId="6127" state="hidden" r:id="rId17"/>
    <sheet name="だいち2" sheetId="6125" state="hidden" r:id="rId18"/>
    <sheet name="ともき2" sheetId="6123" state="hidden" r:id="rId19"/>
    <sheet name="れんたろう2" sheetId="6121" state="hidden" r:id="rId20"/>
    <sheet name="全体2" sheetId="6119" state="hidden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リーチ率" sheetId="3524" state="hidden" r:id="rId32"/>
    <sheet name="副露率" sheetId="3525" state="hidden" r:id="rId33"/>
    <sheet name="リーチ成功率" sheetId="4841" state="hidden" r:id="rId34"/>
    <sheet name="副露成功率" sheetId="3527" state="hidden" r:id="rId35"/>
    <sheet name="ツモ率" sheetId="3528" state="hidden" r:id="rId36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7">ともき!$B$19</definedName>
    <definedName name="アガリ数" localSheetId="12">のり!$B$19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7">ともき!$C$19</definedName>
    <definedName name="アガリ率" localSheetId="12">のり!$C$19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7">ともき!$B$25</definedName>
    <definedName name="ダマアガリ数" localSheetId="12">のり!$B$25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7">ともき!$C$25</definedName>
    <definedName name="ダマアガリ率" localSheetId="12">のり!$C$25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7">ともき!$B$34</definedName>
    <definedName name="チョンボ数" localSheetId="12">のり!$B$34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7">ともき!$C$34</definedName>
    <definedName name="チョンボ率" localSheetId="12">のり!$C$34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7">ともき!$B$21</definedName>
    <definedName name="ツモ数" localSheetId="12">のり!$B$21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7">ともき!$C$21</definedName>
    <definedName name="ツモ率" localSheetId="12">のり!$C$21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7">ともき!$B$7</definedName>
    <definedName name="トップ数" localSheetId="12">のり!$B$7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7">ともき!$C$7</definedName>
    <definedName name="トップ率" localSheetId="12">のり!$C$7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7">ともき!$B$13</definedName>
    <definedName name="バランス" localSheetId="12">のり!$B$13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7">ともき!$B$14</definedName>
    <definedName name="ふっとび数" localSheetId="12">のり!$B$14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7">ともき!$C$14</definedName>
    <definedName name="ふっとび率" localSheetId="12">のり!$C$14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7">ともき!$B$9</definedName>
    <definedName name="ラス数" localSheetId="12">のり!$B$9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7">ともき!$C$9</definedName>
    <definedName name="ラス率" localSheetId="12">のり!$C$9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7">ともき!$B$23</definedName>
    <definedName name="リーチアガリ数" localSheetId="12">のり!$B$23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7">ともき!$C$23</definedName>
    <definedName name="リーチアガリ率" localSheetId="12">のり!$C$23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7">ともき!$B$15</definedName>
    <definedName name="リーチ数" localSheetId="12">のり!$B$15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7">ともき!$B$17</definedName>
    <definedName name="リーチ成功数" localSheetId="12">のり!$B$17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7">ともき!$C$17</definedName>
    <definedName name="リーチ成功率" localSheetId="12">のり!$C$17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7">ともき!$C$15</definedName>
    <definedName name="リーチ率" localSheetId="12">のり!$C$15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7">ともき!$B$22</definedName>
    <definedName name="ロン数" localSheetId="12">のり!$B$22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7">ともき!$C$22</definedName>
    <definedName name="ロン率" localSheetId="12">のり!$C$22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7">ともき!$B$10</definedName>
    <definedName name="一位スコア" localSheetId="12">のり!$B$10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7">ともき!$C$10</definedName>
    <definedName name="一位通算スコア" localSheetId="12">のり!$C$10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7">ともき!$B$36</definedName>
    <definedName name="一翻数" localSheetId="12">のり!$B$36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7">ともき!$C$36</definedName>
    <definedName name="一翻率" localSheetId="12">のり!$C$36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7">ともき!$C$30</definedName>
    <definedName name="現行連続アガリ" localSheetId="12">のり!$C$30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7">ともき!$C$31</definedName>
    <definedName name="現行連続無放銃" localSheetId="12">のり!$C$31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7">ともき!$B$33</definedName>
    <definedName name="最高点" localSheetId="12">のり!$B$33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7">ともき!$B$32</definedName>
    <definedName name="最大ドラ数" localSheetId="12">のり!$B$32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7">ともき!$B$33</definedName>
    <definedName name="最大点数" localSheetId="12">のり!$B$33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7">ともき!$B$12</definedName>
    <definedName name="三位スコア" localSheetId="12">のり!$B$12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7">ともき!$C$12</definedName>
    <definedName name="三位通算スコア" localSheetId="12">のり!$C$12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7">ともき!$B$3</definedName>
    <definedName name="総局数" localSheetId="12">のり!$B$3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7">ともき!$B$2</definedName>
    <definedName name="対戦数" localSheetId="12">のり!$B$2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7">ともき!$C$26</definedName>
    <definedName name="通算アガリ点" localSheetId="12">のり!$C$26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7">ともき!$B$4</definedName>
    <definedName name="通算スコア" localSheetId="12">のり!$B$4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7">ともき!$C$28</definedName>
    <definedName name="通算副露アガリ点" localSheetId="12">のり!$C$28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7">ともき!$C$29</definedName>
    <definedName name="通算放銃点" localSheetId="12">のり!$C$29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7">ともき!$C$27</definedName>
    <definedName name="通算門前アガリ点" localSheetId="12">のり!$C$27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7">ともき!$B$11</definedName>
    <definedName name="二位スコア" localSheetId="12">のり!$B$11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7">ともき!$B$8</definedName>
    <definedName name="二位数" localSheetId="12">のり!$B$8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7">ともき!$C$11</definedName>
    <definedName name="二位通算スコア" localSheetId="12">のり!$C$11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7">ともき!$C$8</definedName>
    <definedName name="二位率" localSheetId="12">のり!$C$8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7">ともき!$B$24</definedName>
    <definedName name="副露アガリ数" localSheetId="12">のり!$B$24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7">ともき!$B$28</definedName>
    <definedName name="副露アガリ点" localSheetId="12">のり!$B$28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7">ともき!$C$24</definedName>
    <definedName name="副露アガリ率" localSheetId="12">のり!$C$24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7">ともき!$B$16</definedName>
    <definedName name="副露数" localSheetId="12">のり!$B$16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7">ともき!$B$18</definedName>
    <definedName name="副露成功数" localSheetId="12">のり!$B$18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7">ともき!$C$18</definedName>
    <definedName name="副露成功率" localSheetId="12">のり!$C$18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7">ともき!$C$16</definedName>
    <definedName name="副露率" localSheetId="12">のり!$C$16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7">ともき!$B$26</definedName>
    <definedName name="平均アガリ点" localSheetId="12">のり!$B$26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7">ともき!$B$5</definedName>
    <definedName name="平均スコア" localSheetId="12">のり!$B$5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7">ともき!$B$6</definedName>
    <definedName name="平均順位" localSheetId="12">のり!$B$6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7">ともき!$B$29</definedName>
    <definedName name="平均放銃点" localSheetId="12">のり!$B$29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7">ともき!$B$20</definedName>
    <definedName name="放銃数" localSheetId="12">のり!$B$20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7">ともき!$C$20</definedName>
    <definedName name="放銃率" localSheetId="12">のり!$C$20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7">ともき!$B$1</definedName>
    <definedName name="名前" localSheetId="12">のり!$B$1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7">ともき!$B$27</definedName>
    <definedName name="門前アガリ点" localSheetId="12">のり!$B$27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7">ともき!$B$30</definedName>
    <definedName name="連続アガリ" localSheetId="12">のり!$B$30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7">ともき!$B$31</definedName>
    <definedName name="連続無放銃" localSheetId="12">のり!$B$31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132" l="1"/>
  <c r="O17" i="6132"/>
  <c r="O17" i="6128"/>
  <c r="O16" i="6128"/>
  <c r="O18" i="6124"/>
  <c r="O16" i="6124"/>
  <c r="O16" i="6130"/>
  <c r="O15" i="6132"/>
  <c r="O18" i="6132"/>
  <c r="C34" i="6132"/>
  <c r="B29" i="6132"/>
  <c r="B28" i="6132"/>
  <c r="C20" i="6132"/>
  <c r="B19" i="6132"/>
  <c r="H9" i="6132" s="1"/>
  <c r="C18" i="6132"/>
  <c r="B18" i="6132"/>
  <c r="B17" i="6132"/>
  <c r="C17" i="6132" s="1"/>
  <c r="C16" i="6132"/>
  <c r="C15" i="6132"/>
  <c r="C14" i="6132"/>
  <c r="O12" i="6132"/>
  <c r="B12" i="6132"/>
  <c r="O11" i="6132"/>
  <c r="B11" i="6132"/>
  <c r="B13" i="6132" s="1"/>
  <c r="O10" i="6132"/>
  <c r="B10" i="6132"/>
  <c r="C9" i="6132"/>
  <c r="C8" i="6132"/>
  <c r="O7" i="6132"/>
  <c r="C7" i="6132"/>
  <c r="O6" i="6132"/>
  <c r="B6" i="6132"/>
  <c r="O5" i="6132"/>
  <c r="B5" i="6132"/>
  <c r="O4" i="6132"/>
  <c r="O3" i="6132"/>
  <c r="O2" i="6132"/>
  <c r="O15" i="6126"/>
  <c r="O18" i="6118"/>
  <c r="O17" i="6130"/>
  <c r="O15" i="6130"/>
  <c r="C34" i="6130"/>
  <c r="B29" i="6130"/>
  <c r="C20" i="6130"/>
  <c r="B19" i="6130"/>
  <c r="H49" i="6130" s="1"/>
  <c r="B18" i="6130"/>
  <c r="B28" i="6130" s="1"/>
  <c r="B17" i="6130"/>
  <c r="C17" i="6130" s="1"/>
  <c r="C16" i="6130"/>
  <c r="C15" i="6130"/>
  <c r="C14" i="6130"/>
  <c r="O12" i="6130"/>
  <c r="B12" i="6130"/>
  <c r="O11" i="6130"/>
  <c r="B11" i="6130"/>
  <c r="O10" i="6130"/>
  <c r="B10" i="6130"/>
  <c r="B13" i="6130" s="1"/>
  <c r="C9" i="6130"/>
  <c r="C8" i="6130"/>
  <c r="O7" i="6130"/>
  <c r="C7" i="6130"/>
  <c r="O6" i="6130"/>
  <c r="B6" i="6130"/>
  <c r="O5" i="6130"/>
  <c r="B5" i="6130"/>
  <c r="O4" i="6130"/>
  <c r="O3" i="6130"/>
  <c r="O2" i="6130"/>
  <c r="O15" i="6128"/>
  <c r="O18" i="6128"/>
  <c r="C34" i="6128"/>
  <c r="B29" i="6128"/>
  <c r="B28" i="6128"/>
  <c r="C20" i="6128"/>
  <c r="B19" i="6128"/>
  <c r="H51" i="6128" s="1"/>
  <c r="C18" i="6128"/>
  <c r="B18" i="6128"/>
  <c r="B17" i="6128"/>
  <c r="C17" i="6128" s="1"/>
  <c r="C16" i="6128"/>
  <c r="C15" i="6128"/>
  <c r="C14" i="6128"/>
  <c r="O12" i="6128"/>
  <c r="B12" i="6128"/>
  <c r="O11" i="6128"/>
  <c r="B11" i="6128"/>
  <c r="O10" i="6128"/>
  <c r="B10" i="6128"/>
  <c r="C9" i="6128"/>
  <c r="C8" i="6128"/>
  <c r="O7" i="6128"/>
  <c r="C7" i="6128"/>
  <c r="O6" i="6128"/>
  <c r="B6" i="6128"/>
  <c r="O5" i="6128"/>
  <c r="B5" i="6128"/>
  <c r="O4" i="6128"/>
  <c r="O3" i="6128"/>
  <c r="O2" i="6128"/>
  <c r="O15" i="6118"/>
  <c r="O17" i="6126"/>
  <c r="O16" i="6126"/>
  <c r="H52" i="6126"/>
  <c r="H51" i="6126"/>
  <c r="H50" i="6126"/>
  <c r="H48" i="6126"/>
  <c r="C48" i="6126"/>
  <c r="H47" i="6126"/>
  <c r="H46" i="6126"/>
  <c r="C46" i="6126"/>
  <c r="H45" i="6126"/>
  <c r="H44" i="6126"/>
  <c r="C44" i="6126"/>
  <c r="H43" i="6126"/>
  <c r="H42" i="6126"/>
  <c r="C42" i="6126"/>
  <c r="H41" i="6126"/>
  <c r="H40" i="6126"/>
  <c r="C40" i="6126"/>
  <c r="H39" i="6126"/>
  <c r="H38" i="6126"/>
  <c r="C38" i="6126"/>
  <c r="H37" i="6126"/>
  <c r="H36" i="6126"/>
  <c r="C36" i="6126"/>
  <c r="H35" i="6126"/>
  <c r="C34" i="6126"/>
  <c r="H33" i="6126"/>
  <c r="H32" i="6126"/>
  <c r="H30" i="6126"/>
  <c r="H29" i="6126"/>
  <c r="B29" i="6126"/>
  <c r="H27" i="6126"/>
  <c r="B27" i="6126"/>
  <c r="B26" i="6126"/>
  <c r="H25" i="6126"/>
  <c r="C25" i="6126"/>
  <c r="C24" i="6126"/>
  <c r="H23" i="6126"/>
  <c r="C23" i="6126"/>
  <c r="C22" i="6126"/>
  <c r="H21" i="6126"/>
  <c r="C21" i="6126"/>
  <c r="C20" i="6126"/>
  <c r="H19" i="6126"/>
  <c r="C19" i="6126"/>
  <c r="B19" i="6126"/>
  <c r="H49" i="6126" s="1"/>
  <c r="H18" i="6126"/>
  <c r="C18" i="6126"/>
  <c r="B18" i="6126"/>
  <c r="B28" i="6126" s="1"/>
  <c r="C17" i="6126"/>
  <c r="B17" i="6126"/>
  <c r="H16" i="6126"/>
  <c r="C16" i="6126"/>
  <c r="H15" i="6126"/>
  <c r="C15" i="6126"/>
  <c r="H14" i="6126"/>
  <c r="C14" i="6126"/>
  <c r="H13" i="6126"/>
  <c r="O12" i="6126"/>
  <c r="H12" i="6126"/>
  <c r="B12" i="6126"/>
  <c r="O11" i="6126"/>
  <c r="H11" i="6126"/>
  <c r="B11" i="6126"/>
  <c r="O10" i="6126"/>
  <c r="H10" i="6126"/>
  <c r="B10" i="6126"/>
  <c r="H9" i="6126"/>
  <c r="C9" i="6126"/>
  <c r="H8" i="6126"/>
  <c r="C8" i="6126"/>
  <c r="O7" i="6126"/>
  <c r="H7" i="6126"/>
  <c r="C7" i="6126"/>
  <c r="O6" i="6126"/>
  <c r="H6" i="6126"/>
  <c r="B6" i="6126"/>
  <c r="O5" i="6126"/>
  <c r="H5" i="6126"/>
  <c r="B5" i="6126"/>
  <c r="O4" i="6126"/>
  <c r="H4" i="6126"/>
  <c r="O3" i="6126"/>
  <c r="H3" i="6126"/>
  <c r="O2" i="6126"/>
  <c r="H2" i="6126"/>
  <c r="O21" i="6118"/>
  <c r="O17" i="6118"/>
  <c r="B13" i="6128" l="1"/>
  <c r="C42" i="6128"/>
  <c r="H16" i="6128"/>
  <c r="H25" i="6128"/>
  <c r="C24" i="6128"/>
  <c r="H12" i="6128"/>
  <c r="H13" i="6128"/>
  <c r="H31" i="6128"/>
  <c r="H2" i="6128"/>
  <c r="C43" i="6128"/>
  <c r="H20" i="6128"/>
  <c r="H34" i="6128"/>
  <c r="C22" i="6128"/>
  <c r="H41" i="6128"/>
  <c r="H52" i="6132"/>
  <c r="H35" i="6132"/>
  <c r="H39" i="6132"/>
  <c r="H6" i="6132"/>
  <c r="H10" i="6132"/>
  <c r="C24" i="6132"/>
  <c r="H14" i="6132"/>
  <c r="H8" i="6132"/>
  <c r="H43" i="6132"/>
  <c r="C19" i="6132"/>
  <c r="C39" i="6132"/>
  <c r="H19" i="6132"/>
  <c r="C43" i="6132"/>
  <c r="H3" i="6132"/>
  <c r="H22" i="6132"/>
  <c r="H12" i="6132"/>
  <c r="H15" i="6132"/>
  <c r="H29" i="6132"/>
  <c r="H47" i="6132"/>
  <c r="C47" i="6132"/>
  <c r="H21" i="6130"/>
  <c r="C18" i="6130"/>
  <c r="H12" i="6130"/>
  <c r="H4" i="6130"/>
  <c r="H13" i="6130"/>
  <c r="H5" i="6132"/>
  <c r="H13" i="6132"/>
  <c r="H16" i="6132"/>
  <c r="C21" i="6132"/>
  <c r="C25" i="6132"/>
  <c r="H36" i="6132"/>
  <c r="H40" i="6132"/>
  <c r="H44" i="6132"/>
  <c r="H48" i="6132"/>
  <c r="H23" i="6132"/>
  <c r="H26" i="6132"/>
  <c r="H30" i="6132"/>
  <c r="C36" i="6132"/>
  <c r="C40" i="6132"/>
  <c r="C44" i="6132"/>
  <c r="C48" i="6132"/>
  <c r="H2" i="6132"/>
  <c r="H11" i="6132"/>
  <c r="H17" i="6132"/>
  <c r="H20" i="6132"/>
  <c r="C22" i="6132"/>
  <c r="B26" i="6132"/>
  <c r="H31" i="6132"/>
  <c r="H37" i="6132"/>
  <c r="H41" i="6132"/>
  <c r="H45" i="6132"/>
  <c r="H49" i="6132"/>
  <c r="H27" i="6132"/>
  <c r="C37" i="6132"/>
  <c r="H50" i="6132"/>
  <c r="H18" i="6132"/>
  <c r="C23" i="6132"/>
  <c r="B27" i="6132"/>
  <c r="H33" i="6132"/>
  <c r="H38" i="6132"/>
  <c r="H42" i="6132"/>
  <c r="H46" i="6132"/>
  <c r="H51" i="6132"/>
  <c r="H24" i="6132"/>
  <c r="H32" i="6132"/>
  <c r="C41" i="6132"/>
  <c r="C45" i="6132"/>
  <c r="H4" i="6132"/>
  <c r="H7" i="6132"/>
  <c r="H21" i="6132"/>
  <c r="H25" i="6132"/>
  <c r="H28" i="6132"/>
  <c r="H34" i="6132"/>
  <c r="C38" i="6132"/>
  <c r="C42" i="6132"/>
  <c r="C46" i="6132"/>
  <c r="H35" i="6130"/>
  <c r="H11" i="6130"/>
  <c r="H18" i="6130"/>
  <c r="C22" i="6130"/>
  <c r="H41" i="6130"/>
  <c r="C46" i="6130"/>
  <c r="H36" i="6130"/>
  <c r="H3" i="6130"/>
  <c r="H14" i="6130"/>
  <c r="C23" i="6130"/>
  <c r="H10" i="6130"/>
  <c r="H46" i="6130"/>
  <c r="H37" i="6130"/>
  <c r="C42" i="6130"/>
  <c r="C47" i="6130"/>
  <c r="H25" i="6130"/>
  <c r="H8" i="6130"/>
  <c r="H19" i="6130"/>
  <c r="C19" i="6130"/>
  <c r="C24" i="6130"/>
  <c r="H38" i="6130"/>
  <c r="H42" i="6130"/>
  <c r="H47" i="6130"/>
  <c r="H29" i="6130"/>
  <c r="H48" i="6130"/>
  <c r="H26" i="6130"/>
  <c r="H31" i="6130"/>
  <c r="C38" i="6130"/>
  <c r="H2" i="6130"/>
  <c r="H5" i="6130"/>
  <c r="H16" i="6130"/>
  <c r="C25" i="6130"/>
  <c r="H33" i="6130"/>
  <c r="H39" i="6130"/>
  <c r="H43" i="6130"/>
  <c r="H50" i="6130"/>
  <c r="H15" i="6130"/>
  <c r="H9" i="6130"/>
  <c r="H20" i="6130"/>
  <c r="H22" i="6130"/>
  <c r="B26" i="6130"/>
  <c r="H34" i="6130"/>
  <c r="C39" i="6130"/>
  <c r="H44" i="6130"/>
  <c r="H51" i="6130"/>
  <c r="H6" i="6130"/>
  <c r="H7" i="6130"/>
  <c r="C43" i="6130"/>
  <c r="H17" i="6130"/>
  <c r="C21" i="6130"/>
  <c r="B27" i="6130"/>
  <c r="H40" i="6130"/>
  <c r="H45" i="6130"/>
  <c r="H52" i="6130"/>
  <c r="H23" i="6130"/>
  <c r="H27" i="6130"/>
  <c r="H30" i="6130"/>
  <c r="C36" i="6130"/>
  <c r="C40" i="6130"/>
  <c r="C44" i="6130"/>
  <c r="C48" i="6130"/>
  <c r="H24" i="6130"/>
  <c r="H28" i="6130"/>
  <c r="H32" i="6130"/>
  <c r="C37" i="6130"/>
  <c r="C41" i="6130"/>
  <c r="C45" i="6130"/>
  <c r="B26" i="6128"/>
  <c r="H35" i="6128"/>
  <c r="H45" i="6128"/>
  <c r="H7" i="6128"/>
  <c r="H17" i="6128"/>
  <c r="H10" i="6128"/>
  <c r="C19" i="6128"/>
  <c r="C46" i="6128"/>
  <c r="H6" i="6128"/>
  <c r="C38" i="6128"/>
  <c r="H47" i="6128"/>
  <c r="H11" i="6128"/>
  <c r="H21" i="6128"/>
  <c r="H5" i="6128"/>
  <c r="H29" i="6128"/>
  <c r="H39" i="6128"/>
  <c r="C47" i="6128"/>
  <c r="H14" i="6128"/>
  <c r="H37" i="6128"/>
  <c r="H8" i="6128"/>
  <c r="H15" i="6128"/>
  <c r="H19" i="6128"/>
  <c r="H22" i="6128"/>
  <c r="C39" i="6128"/>
  <c r="H49" i="6128"/>
  <c r="H3" i="6128"/>
  <c r="H26" i="6128"/>
  <c r="H43" i="6128"/>
  <c r="H52" i="6128"/>
  <c r="C21" i="6128"/>
  <c r="C25" i="6128"/>
  <c r="H36" i="6128"/>
  <c r="H40" i="6128"/>
  <c r="H44" i="6128"/>
  <c r="H48" i="6128"/>
  <c r="H4" i="6128"/>
  <c r="H9" i="6128"/>
  <c r="H23" i="6128"/>
  <c r="H27" i="6128"/>
  <c r="H30" i="6128"/>
  <c r="C36" i="6128"/>
  <c r="C40" i="6128"/>
  <c r="C44" i="6128"/>
  <c r="C48" i="6128"/>
  <c r="H24" i="6128"/>
  <c r="H28" i="6128"/>
  <c r="H32" i="6128"/>
  <c r="C37" i="6128"/>
  <c r="C41" i="6128"/>
  <c r="C45" i="6128"/>
  <c r="H50" i="6128"/>
  <c r="H18" i="6128"/>
  <c r="C23" i="6128"/>
  <c r="B27" i="6128"/>
  <c r="H33" i="6128"/>
  <c r="H38" i="6128"/>
  <c r="H42" i="6128"/>
  <c r="H46" i="6128"/>
  <c r="B13" i="6126"/>
  <c r="H17" i="6126"/>
  <c r="H20" i="6126"/>
  <c r="H24" i="6126"/>
  <c r="H28" i="6126"/>
  <c r="H34" i="6126"/>
  <c r="C39" i="6126"/>
  <c r="C43" i="6126"/>
  <c r="C47" i="6126"/>
  <c r="H22" i="6126"/>
  <c r="H26" i="6126"/>
  <c r="H31" i="6126"/>
  <c r="C37" i="6126"/>
  <c r="C41" i="6126"/>
  <c r="C45" i="6126"/>
  <c r="O15" i="6124"/>
  <c r="O17" i="6124"/>
  <c r="C34" i="6124"/>
  <c r="B29" i="6124"/>
  <c r="C20" i="6124"/>
  <c r="B19" i="6124"/>
  <c r="H51" i="6124" s="1"/>
  <c r="B18" i="6124"/>
  <c r="B28" i="6124" s="1"/>
  <c r="C17" i="6124"/>
  <c r="B17" i="6124"/>
  <c r="C16" i="6124"/>
  <c r="C15" i="6124"/>
  <c r="C14" i="6124"/>
  <c r="O12" i="6124"/>
  <c r="B12" i="6124"/>
  <c r="O11" i="6124"/>
  <c r="B11" i="6124"/>
  <c r="O10" i="6124"/>
  <c r="B10" i="6124"/>
  <c r="B13" i="6124" s="1"/>
  <c r="C9" i="6124"/>
  <c r="C8" i="6124"/>
  <c r="O7" i="6124"/>
  <c r="C7" i="6124"/>
  <c r="O6" i="6124"/>
  <c r="B6" i="6124"/>
  <c r="O5" i="6124"/>
  <c r="B5" i="6124"/>
  <c r="O4" i="6124"/>
  <c r="O3" i="6124"/>
  <c r="O2" i="6124"/>
  <c r="O15" i="6122"/>
  <c r="O16" i="6122"/>
  <c r="H48" i="6122"/>
  <c r="H42" i="6122"/>
  <c r="C36" i="6122"/>
  <c r="C34" i="6122"/>
  <c r="B29" i="6122"/>
  <c r="B28" i="6122"/>
  <c r="C25" i="6122"/>
  <c r="C22" i="6122"/>
  <c r="C20" i="6122"/>
  <c r="B19" i="6122"/>
  <c r="H50" i="6122" s="1"/>
  <c r="H18" i="6122"/>
  <c r="C18" i="6122"/>
  <c r="B18" i="6122"/>
  <c r="C17" i="6122"/>
  <c r="B17" i="6122"/>
  <c r="C16" i="6122"/>
  <c r="H15" i="6122"/>
  <c r="C15" i="6122"/>
  <c r="C14" i="6122"/>
  <c r="H13" i="6122"/>
  <c r="O12" i="6122"/>
  <c r="H12" i="6122"/>
  <c r="B12" i="6122"/>
  <c r="B13" i="6122" s="1"/>
  <c r="O11" i="6122"/>
  <c r="B11" i="6122"/>
  <c r="O10" i="6122"/>
  <c r="B10" i="6122"/>
  <c r="H9" i="6122"/>
  <c r="C9" i="6122"/>
  <c r="C8" i="6122"/>
  <c r="O7" i="6122"/>
  <c r="H7" i="6122"/>
  <c r="C7" i="6122"/>
  <c r="O6" i="6122"/>
  <c r="H6" i="6122"/>
  <c r="B6" i="6122"/>
  <c r="O5" i="6122"/>
  <c r="B5" i="6122"/>
  <c r="O4" i="6122"/>
  <c r="O3" i="6122"/>
  <c r="H3" i="6122"/>
  <c r="O2" i="6122"/>
  <c r="O19" i="6118"/>
  <c r="O16" i="6120"/>
  <c r="O15" i="6120"/>
  <c r="C48" i="6120"/>
  <c r="C47" i="6120"/>
  <c r="H46" i="6120"/>
  <c r="C46" i="6120"/>
  <c r="H44" i="6120"/>
  <c r="C42" i="6120"/>
  <c r="H40" i="6120"/>
  <c r="C40" i="6120"/>
  <c r="C39" i="6120"/>
  <c r="H38" i="6120"/>
  <c r="C36" i="6120"/>
  <c r="H34" i="6120"/>
  <c r="C34" i="6120"/>
  <c r="H33" i="6120"/>
  <c r="H30" i="6120"/>
  <c r="H29" i="6120"/>
  <c r="B29" i="6120"/>
  <c r="B28" i="6120"/>
  <c r="H27" i="6120"/>
  <c r="B26" i="6120"/>
  <c r="H25" i="6120"/>
  <c r="C25" i="6120"/>
  <c r="H4" i="6120"/>
  <c r="C22" i="6120"/>
  <c r="H22" i="6120"/>
  <c r="C21" i="6120"/>
  <c r="H21" i="6120"/>
  <c r="C20" i="6120"/>
  <c r="H20" i="6120"/>
  <c r="B19" i="6120"/>
  <c r="H50" i="6120" s="1"/>
  <c r="H19" i="6120"/>
  <c r="C18" i="6120"/>
  <c r="B18" i="6120"/>
  <c r="H18" i="6120"/>
  <c r="B17" i="6120"/>
  <c r="C17" i="6120" s="1"/>
  <c r="C16" i="6120"/>
  <c r="H16" i="6120"/>
  <c r="C15" i="6120"/>
  <c r="H15" i="6120"/>
  <c r="C14" i="6120"/>
  <c r="H14" i="6120"/>
  <c r="O12" i="6120"/>
  <c r="H13" i="6120"/>
  <c r="B12" i="6120"/>
  <c r="O11" i="6120"/>
  <c r="H12" i="6120"/>
  <c r="B11" i="6120"/>
  <c r="B13" i="6120" s="1"/>
  <c r="O10" i="6120"/>
  <c r="H11" i="6120"/>
  <c r="B10" i="6120"/>
  <c r="H10" i="6120"/>
  <c r="C9" i="6120"/>
  <c r="H9" i="6120"/>
  <c r="C8" i="6120"/>
  <c r="O7" i="6120"/>
  <c r="H8" i="6120"/>
  <c r="C7" i="6120"/>
  <c r="O6" i="6120"/>
  <c r="H3" i="6120"/>
  <c r="B6" i="6120"/>
  <c r="O5" i="6120"/>
  <c r="H7" i="6120"/>
  <c r="B5" i="6120"/>
  <c r="O4" i="6120"/>
  <c r="H6" i="6120"/>
  <c r="O3" i="6120"/>
  <c r="H5" i="6120"/>
  <c r="O2" i="6120"/>
  <c r="H2" i="6120"/>
  <c r="O20" i="6118"/>
  <c r="O16" i="6118"/>
  <c r="C34" i="6118"/>
  <c r="B29" i="6118"/>
  <c r="C20" i="6118"/>
  <c r="B19" i="6118"/>
  <c r="H50" i="6118" s="1"/>
  <c r="B18" i="6118"/>
  <c r="B28" i="6118" s="1"/>
  <c r="B17" i="6118"/>
  <c r="C17" i="6118" s="1"/>
  <c r="C16" i="6118"/>
  <c r="C15" i="6118"/>
  <c r="C14" i="6118"/>
  <c r="O12" i="6118"/>
  <c r="B12" i="6118"/>
  <c r="O11" i="6118"/>
  <c r="B11" i="6118"/>
  <c r="O10" i="6118"/>
  <c r="B10" i="6118"/>
  <c r="C9" i="6118"/>
  <c r="C8" i="6118"/>
  <c r="O7" i="6118"/>
  <c r="C7" i="6118"/>
  <c r="O6" i="6118"/>
  <c r="B6" i="6118"/>
  <c r="O5" i="6118"/>
  <c r="B5" i="6118"/>
  <c r="O4" i="6118"/>
  <c r="O3" i="6118"/>
  <c r="O2" i="6118"/>
  <c r="H23" i="6124" l="1"/>
  <c r="H19" i="6124"/>
  <c r="H13" i="6124"/>
  <c r="C18" i="6124"/>
  <c r="H11" i="6124"/>
  <c r="H35" i="6124"/>
  <c r="H16" i="6124"/>
  <c r="H20" i="6124"/>
  <c r="C40" i="6124"/>
  <c r="H36" i="6124"/>
  <c r="C22" i="6124"/>
  <c r="H41" i="6124"/>
  <c r="H9" i="6124"/>
  <c r="H7" i="6124"/>
  <c r="H4" i="6124"/>
  <c r="H47" i="6124"/>
  <c r="C46" i="6124"/>
  <c r="H27" i="6124"/>
  <c r="H30" i="6124"/>
  <c r="C36" i="6124"/>
  <c r="C42" i="6124"/>
  <c r="C47" i="6124"/>
  <c r="H14" i="6124"/>
  <c r="H8" i="6124"/>
  <c r="H17" i="6124"/>
  <c r="C19" i="6124"/>
  <c r="C24" i="6124"/>
  <c r="H37" i="6124"/>
  <c r="H43" i="6124"/>
  <c r="H48" i="6124"/>
  <c r="H24" i="6124"/>
  <c r="C48" i="6124"/>
  <c r="H31" i="6124"/>
  <c r="C38" i="6124"/>
  <c r="H3" i="6124"/>
  <c r="H2" i="6124"/>
  <c r="C25" i="6124"/>
  <c r="H32" i="6124"/>
  <c r="H39" i="6124"/>
  <c r="H44" i="6124"/>
  <c r="H49" i="6124"/>
  <c r="H6" i="6124"/>
  <c r="H15" i="6124"/>
  <c r="H18" i="6124"/>
  <c r="H22" i="6124"/>
  <c r="H25" i="6124"/>
  <c r="H28" i="6124"/>
  <c r="H10" i="6124"/>
  <c r="C39" i="6124"/>
  <c r="C44" i="6124"/>
  <c r="H5" i="6124"/>
  <c r="H12" i="6124"/>
  <c r="C43" i="6124"/>
  <c r="C21" i="6124"/>
  <c r="B26" i="6124"/>
  <c r="H40" i="6124"/>
  <c r="H45" i="6124"/>
  <c r="H52" i="6124"/>
  <c r="H26" i="6124"/>
  <c r="H29" i="6124"/>
  <c r="H33" i="6124"/>
  <c r="C37" i="6124"/>
  <c r="C41" i="6124"/>
  <c r="C45" i="6124"/>
  <c r="H50" i="6124"/>
  <c r="H21" i="6124"/>
  <c r="C23" i="6124"/>
  <c r="B27" i="6124"/>
  <c r="H34" i="6124"/>
  <c r="H38" i="6124"/>
  <c r="H42" i="6124"/>
  <c r="H46" i="6124"/>
  <c r="H4" i="6118"/>
  <c r="C18" i="6118"/>
  <c r="H23" i="6122"/>
  <c r="H28" i="6122"/>
  <c r="H36" i="6122"/>
  <c r="C43" i="6122"/>
  <c r="H51" i="6122"/>
  <c r="H16" i="6122"/>
  <c r="C19" i="6122"/>
  <c r="C24" i="6122"/>
  <c r="C38" i="6122"/>
  <c r="C44" i="6122"/>
  <c r="H52" i="6122"/>
  <c r="H4" i="6122"/>
  <c r="H10" i="6122"/>
  <c r="H19" i="6122"/>
  <c r="H24" i="6122"/>
  <c r="H29" i="6122"/>
  <c r="H38" i="6122"/>
  <c r="H44" i="6122"/>
  <c r="H30" i="6122"/>
  <c r="C39" i="6122"/>
  <c r="C46" i="6122"/>
  <c r="H17" i="6122"/>
  <c r="H20" i="6122"/>
  <c r="H25" i="6122"/>
  <c r="H33" i="6122"/>
  <c r="C40" i="6122"/>
  <c r="H46" i="6122"/>
  <c r="H5" i="6122"/>
  <c r="H11" i="6122"/>
  <c r="H14" i="6122"/>
  <c r="C21" i="6122"/>
  <c r="B26" i="6122"/>
  <c r="H40" i="6122"/>
  <c r="C47" i="6122"/>
  <c r="H2" i="6122"/>
  <c r="H8" i="6122"/>
  <c r="H21" i="6122"/>
  <c r="H27" i="6122"/>
  <c r="H34" i="6122"/>
  <c r="C42" i="6122"/>
  <c r="C48" i="6122"/>
  <c r="H35" i="6122"/>
  <c r="H39" i="6122"/>
  <c r="H43" i="6122"/>
  <c r="H47" i="6122"/>
  <c r="H22" i="6122"/>
  <c r="H26" i="6122"/>
  <c r="H31" i="6122"/>
  <c r="C37" i="6122"/>
  <c r="C41" i="6122"/>
  <c r="C45" i="6122"/>
  <c r="H49" i="6122"/>
  <c r="C23" i="6122"/>
  <c r="B27" i="6122"/>
  <c r="H32" i="6122"/>
  <c r="H37" i="6122"/>
  <c r="H41" i="6122"/>
  <c r="H45" i="6122"/>
  <c r="B13" i="6118"/>
  <c r="C19" i="6118"/>
  <c r="H33" i="6118"/>
  <c r="H44" i="6118"/>
  <c r="H39" i="6118"/>
  <c r="H10" i="6118"/>
  <c r="H19" i="6118"/>
  <c r="C38" i="6118"/>
  <c r="H35" i="6118"/>
  <c r="H47" i="6118"/>
  <c r="H22" i="6118"/>
  <c r="H7" i="6118"/>
  <c r="H16" i="6118"/>
  <c r="H28" i="6118"/>
  <c r="H9" i="6118"/>
  <c r="C25" i="6118"/>
  <c r="H3" i="6118"/>
  <c r="H2" i="6118"/>
  <c r="H24" i="6118"/>
  <c r="H29" i="6118"/>
  <c r="H48" i="6118"/>
  <c r="C21" i="6118"/>
  <c r="C48" i="6118"/>
  <c r="H11" i="6118"/>
  <c r="H32" i="6118"/>
  <c r="H13" i="6118"/>
  <c r="H14" i="6118"/>
  <c r="B26" i="6118"/>
  <c r="H42" i="6118"/>
  <c r="H15" i="6118"/>
  <c r="H37" i="6118"/>
  <c r="C42" i="6118"/>
  <c r="H49" i="6118"/>
  <c r="H38" i="6118"/>
  <c r="C24" i="6118"/>
  <c r="C44" i="6118"/>
  <c r="H12" i="6118"/>
  <c r="H23" i="6118"/>
  <c r="C46" i="6118"/>
  <c r="H40" i="6118"/>
  <c r="H20" i="6118"/>
  <c r="H26" i="6118"/>
  <c r="H17" i="6118"/>
  <c r="H21" i="6118"/>
  <c r="B27" i="6118"/>
  <c r="H5" i="6118"/>
  <c r="H18" i="6118"/>
  <c r="H25" i="6118"/>
  <c r="C22" i="6118"/>
  <c r="H31" i="6118"/>
  <c r="C36" i="6118"/>
  <c r="H43" i="6118"/>
  <c r="H42" i="6120"/>
  <c r="H48" i="6120"/>
  <c r="H24" i="6120"/>
  <c r="H28" i="6120"/>
  <c r="H36" i="6120"/>
  <c r="C43" i="6120"/>
  <c r="H51" i="6120"/>
  <c r="H17" i="6120"/>
  <c r="C19" i="6120"/>
  <c r="C24" i="6120"/>
  <c r="C38" i="6120"/>
  <c r="C44" i="6120"/>
  <c r="H52" i="6120"/>
  <c r="H35" i="6120"/>
  <c r="H39" i="6120"/>
  <c r="H43" i="6120"/>
  <c r="H47" i="6120"/>
  <c r="H23" i="6120"/>
  <c r="H26" i="6120"/>
  <c r="H31" i="6120"/>
  <c r="C37" i="6120"/>
  <c r="C41" i="6120"/>
  <c r="C45" i="6120"/>
  <c r="H49" i="6120"/>
  <c r="C23" i="6120"/>
  <c r="B27" i="6120"/>
  <c r="H32" i="6120"/>
  <c r="H37" i="6120"/>
  <c r="H41" i="6120"/>
  <c r="H45" i="6120"/>
  <c r="H51" i="6118"/>
  <c r="H41" i="6118"/>
  <c r="H45" i="6118"/>
  <c r="H6" i="6118"/>
  <c r="C23" i="6118"/>
  <c r="H8" i="6118"/>
  <c r="H36" i="6118"/>
  <c r="C40" i="6118"/>
  <c r="H46" i="6118"/>
  <c r="H52" i="6118"/>
  <c r="C39" i="6118"/>
  <c r="C43" i="6118"/>
  <c r="C47" i="6118"/>
  <c r="H27" i="6118"/>
  <c r="H30" i="6118"/>
  <c r="H34" i="6118"/>
  <c r="C37" i="6118"/>
  <c r="C41" i="6118"/>
  <c r="C45" i="6118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<sst xmlns="http://schemas.openxmlformats.org/spreadsheetml/2006/main" count="2103" uniqueCount="200">
  <si>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</si>
  <si>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</si>
  <si>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</si>
  <si>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</si>
  <si>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</si>
  <si>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</si>
  <si>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</si>
  <si>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</si>
  <si>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</si>
  <si>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</si>
  <si>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</si>
  <si>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</si>
  <si>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</si>
  <si>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</si>
  <si>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</si>
  <si>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</si>
  <si>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</si>
  <si>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</si>
  <si>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</si>
  <si>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</si>
  <si>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</si>
  <si>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</si>
  <si>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</si>
  <si>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</si>
  <si>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</si>
  <si>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</si>
  <si>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</si>
  <si>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</si>
  <si>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</si>
  <si>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</si>
  <si>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</si>
  <si>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</si>
  <si>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</si>
  <si>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</si>
  <si>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</si>
  <si>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</si>
  <si>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</si>
  <si>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</si>
  <si>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</si>
  <si>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</si>
  <si>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</si>
  <si>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</si>
  <si>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</si>
  <si>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</si>
  <si>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</si>
  <si>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</si>
  <si>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</si>
  <si>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</si>
  <si>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</si>
  <si>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</si>
  <si>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</si>
  <si>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</si>
  <si>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</si>
  <si>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</si>
  <si>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</si>
  <si>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</si>
  <si>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</si>
  <si>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</si>
  <si>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</si>
  <si>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</si>
  <si>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</si>
  <si>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</si>
  <si>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</si>
  <si>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</si>
  <si>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</si>
  <si>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</si>
  <si>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</si>
  <si>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</si>
  <si>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</si>
  <si>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</si>
  <si>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</si>
  <si>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</si>
  <si>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</si>
  <si>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</si>
  <si>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</si>
  <si>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</si>
  <si>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</si>
  <si>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</si>
  <si>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</si>
  <si>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</si>
  <si>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</si>
  <si>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</si>
  <si>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</si>
  <si>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</si>
  <si>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</si>
  <si>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</si>
  <si>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</si>
  <si>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</si>
  <si>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</si>
  <si>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</si>
  <si>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</si>
  <si>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</si>
  <si>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</si>
  <si>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</si>
  <si>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</si>
  <si>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</si>
  <si>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</si>
  <si>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</si>
  <si>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</si>
  <si>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</si>
  <si>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</si>
  <si>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</si>
  <si>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</si>
  <si>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</si>
  <si>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</si>
  <si>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</si>
  <si>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</si>
  <si>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</si>
  <si>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</si>
  <si>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</si>
  <si>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</si>
  <si>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</si>
  <si>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</si>
  <si>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</si>
  <si>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</si>
  <si>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</si>
  <si>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</si>
  <si>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</si>
  <si>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</si>
  <si>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</si>
  <si>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</si>
  <si>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</si>
  <si>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</si>
  <si>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</si>
  <si>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</si>
  <si>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</si>
  <si>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</si>
  <si>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</si>
  <si>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</si>
  <si>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</si>
  <si>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</si>
  <si>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</si>
  <si>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</si>
  <si>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</si>
  <si>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</si>
  <si>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</si>
  <si>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</si>
  <si>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</si>
  <si>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</si>
  <si>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</si>
  <si>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</si>
  <si>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</si>
  <si>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</si>
  <si>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</si>
  <si>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</si>
  <si>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</si>
  <si>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</si>
  <si>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</si>
  <si>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</si>
  <si>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</si>
  <si>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</si>
  <si>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</si>
  <si>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</si>
  <si>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</si>
  <si>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</si>
  <si>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</si>
  <si>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</si>
  <si>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</si>
  <si>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</si>
  <si>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</si>
  <si>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</si>
  <si>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</si>
  <si>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</si>
  <si>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</si>
  <si>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</si>
  <si>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</si>
  <si>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</si>
  <si>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</si>
  <si>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</si>
  <si>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</si>
  <si>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</si>
  <si>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</si>
  <si>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</si>
  <si>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</si>
  <si>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</si>
  <si>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</si>
  <si>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</si>
  <si>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</si>
  <si>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</si>
  <si>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</si>
  <si>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</si>
  <si>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</si>
  <si>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</si>
  <si>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</si>
  <si>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</si>
  <si>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</si>
  <si>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</si>
  <si>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</si>
  <si>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</si>
  <si>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</si>
  <si>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</si>
  <si>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―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</si>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</sst>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1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全体!$L$2:$L$17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E-4BF1-8580-09984FB4B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-166.66666666666666</c:v>
                </c:pt>
                <c:pt idx="5">
                  <c:v>166.66666666666666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42-4AB4-A2F5-04E2088B0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</c:v>
                </c:pt>
                <c:pt idx="1">
                  <c:v>9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8-4B72-B0E0-6996C14F9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れんたろう!$L$2:$L$3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F-423E-8F23-8A7013164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-2300</c:v>
                </c:pt>
                <c:pt idx="1">
                  <c:v>0</c:v>
                </c:pt>
                <c:pt idx="2">
                  <c:v>400</c:v>
                </c:pt>
                <c:pt idx="3">
                  <c:v>-2000</c:v>
                </c:pt>
                <c:pt idx="4">
                  <c:v>-1000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B-469D-A747-AE89DD7BA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2-493D-AC97-B4B96A29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-36.299999999999997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90-41C8-B460-29D3F9B4C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3100</c:v>
                </c:pt>
                <c:pt idx="1">
                  <c:v>-8000</c:v>
                </c:pt>
                <c:pt idx="2">
                  <c:v>-17300</c:v>
                </c:pt>
                <c:pt idx="3">
                  <c:v>0</c:v>
                </c:pt>
                <c:pt idx="4">
                  <c:v>-2600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2-4305-B55E-7AEB7CAB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3-4C42-BBF5-18F6AC999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だいち!$L$2:$L$5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7-4FD8-8F6B-AB9DA4577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6733.333333333333</c:v>
                </c:pt>
                <c:pt idx="1">
                  <c:v>3700</c:v>
                </c:pt>
                <c:pt idx="2">
                  <c:v>12900</c:v>
                </c:pt>
                <c:pt idx="3">
                  <c:v>5000</c:v>
                </c:pt>
                <c:pt idx="4">
                  <c:v>1050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A-4ADF-9198-7FB2288FB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7-4928-A1D6-A8E5B65FD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りくと!$L$2:$L$4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F2-4472-99DD-CB6EA0F1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-11350</c:v>
                </c:pt>
                <c:pt idx="1">
                  <c:v>-3250</c:v>
                </c:pt>
                <c:pt idx="2">
                  <c:v>-28650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6-431E-A8E5-B0DCE468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1-4714-B0E1-8A170252D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2-4491-9742-69E67F81C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-2000</c:v>
                </c:pt>
                <c:pt idx="1">
                  <c:v>333.33333333333331</c:v>
                </c:pt>
                <c:pt idx="2">
                  <c:v>-15666.666666666666</c:v>
                </c:pt>
                <c:pt idx="3">
                  <c:v>-5000</c:v>
                </c:pt>
                <c:pt idx="4">
                  <c:v>-1500</c:v>
                </c:pt>
                <c:pt idx="5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4-4E16-BF07-6B6561FE8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6-4C4D-9D82-51339600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3-47C0-840C-84782FB27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4350</c:v>
                </c:pt>
                <c:pt idx="1">
                  <c:v>0</c:v>
                </c:pt>
                <c:pt idx="2">
                  <c:v>54400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2-4E79-8FF5-0E5C22F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6-4F00-97BE-381FF47C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3-4BC9-A809-F469290FF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-333.33333333333331</c:v>
                </c:pt>
                <c:pt idx="1">
                  <c:v>800</c:v>
                </c:pt>
                <c:pt idx="2">
                  <c:v>-8766.6666666666661</c:v>
                </c:pt>
                <c:pt idx="3">
                  <c:v>-3000</c:v>
                </c:pt>
                <c:pt idx="4">
                  <c:v>2000</c:v>
                </c:pt>
                <c:pt idx="5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E-420E-9299-26F004C31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A-44DC-8401-52932AA8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のり2!$A$1:$B$2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のり</c:v>
                  </c:pt>
                  <c:pt idx="1">
                    <c:v>のり</c:v>
                  </c:pt>
                </c:lvl>
              </c:multiLvlStrCache>
            </c:multiLvlStrRef>
          </c:xVal>
          <c:yVal>
            <c:numRef>
              <c:f>のり2!$A$3:$B$3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のり2!$A$1:$B$2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のり</c:v>
                  </c:pt>
                  <c:pt idx="1">
                    <c:v>のり</c:v>
                  </c:pt>
                </c:lvl>
              </c:multiLvlStrCache>
            </c:multiLvlStrRef>
          </c:xVal>
          <c:yVal>
            <c:numRef>
              <c:f>のり2!$A$4:$B$4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-30.5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3-4D6C-B5E9-ED87F887247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のり2!$A$1:$B$2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のり</c:v>
                  </c:pt>
                  <c:pt idx="1">
                    <c:v>のり</c:v>
                  </c:pt>
                </c:lvl>
              </c:multiLvlStrCache>
            </c:multiLvlStrRef>
          </c:xVal>
          <c:yVal>
            <c:numRef>
              <c:f>のり2!$A$5:$B$5</c:f>
              <c:numCache>
                <c:formatCode>\+0.0;\-0.0;\±0</c:formatCode>
                <c:ptCount val="2"/>
                <c:pt idx="0" formatCode="0\ &quot;回&quot;">
                  <c:v>2</c:v>
                </c:pt>
                <c:pt idx="1">
                  <c:v>-28.6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C-49ED-9E3F-6453044A4D2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のり2!$A$1:$B$2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のり</c:v>
                  </c:pt>
                  <c:pt idx="1">
                    <c:v>のり</c:v>
                  </c:pt>
                </c:lvl>
              </c:multiLvlStrCache>
            </c:multiLvlStrRef>
          </c:xVal>
          <c:yVal>
            <c:numRef>
              <c:f>のり2!$A$6:$B$6</c:f>
              <c:numCache>
                <c:formatCode>\+0.0;\-0.0;\±0</c:formatCode>
                <c:ptCount val="2"/>
                <c:pt idx="0" formatCode="0\ &quot;回&quot;">
                  <c:v>3</c:v>
                </c:pt>
                <c:pt idx="1">
                  <c:v>-41.400000000000006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84C-49ED-9E3F-6453044A4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7763568394002505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のり2!$C$3:$C$6</c:f>
              <c:numCache>
                <c:formatCode>\+0.0;\-0.0;\±0</c:formatCode>
                <c:ptCount val="4"/>
                <c:pt idx="1">
                  <c:v>-30.5</c:v>
                </c:pt>
                <c:pt idx="2">
                  <c:v>-14.3</c:v>
                </c:pt>
                <c:pt idx="3">
                  <c:v>-13.800000000000002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184237892933500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のり2!$D$3:$D$6</c:f>
              <c:numCache>
                <c:formatCode>0.00\ "位"</c:formatCode>
                <c:ptCount val="4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のり2!$F$3:$F$6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のり2!$G$3:$G$6</c:f>
              <c:numCache>
                <c:formatCode>0.0%</c:formatCode>
                <c:ptCount val="4"/>
                <c:pt idx="1">
                  <c:v>0</c:v>
                </c:pt>
                <c:pt idx="2">
                  <c:v>0.14285714285714285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08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のり2!$H$3:$H$6</c:f>
              <c:numCache>
                <c:formatCode>0.0%</c:formatCode>
                <c:ptCount val="4"/>
                <c:pt idx="1">
                  <c:v>0.125</c:v>
                </c:pt>
                <c:pt idx="2">
                  <c:v>7.1428571428571425E-2</c:v>
                </c:pt>
                <c:pt idx="3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6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のり2!$I$3:$I$6</c:f>
              <c:numCache>
                <c:formatCode>0</c:formatCode>
                <c:ptCount val="4"/>
                <c:pt idx="1">
                  <c:v>0</c:v>
                </c:pt>
                <c:pt idx="2">
                  <c:v>4600</c:v>
                </c:pt>
                <c:pt idx="3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875.86206896551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のり2!$J$3:$J$6</c:f>
              <c:numCache>
                <c:formatCode>0</c:formatCode>
                <c:ptCount val="4"/>
                <c:pt idx="1">
                  <c:v>-3900</c:v>
                </c:pt>
                <c:pt idx="2">
                  <c:v>-3900</c:v>
                </c:pt>
                <c:pt idx="3">
                  <c:v>-3900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4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のり2!$L$3:$L$6</c:f>
              <c:numCache>
                <c:formatCode>0.0%</c:formatCode>
                <c:ptCount val="4"/>
                <c:pt idx="1">
                  <c:v>0</c:v>
                </c:pt>
                <c:pt idx="2">
                  <c:v>7.1428571428571425E-2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041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のり2!$M$3:$M$6</c:f>
              <c:numCache>
                <c:formatCode>0.0%</c:formatCode>
                <c:ptCount val="4"/>
                <c:pt idx="1">
                  <c:v>0.125</c:v>
                </c:pt>
                <c:pt idx="2">
                  <c:v>7.1428571428571425E-2</c:v>
                </c:pt>
                <c:pt idx="3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6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のり2!$N$3:$N$6</c:f>
              <c:numCache>
                <c:formatCode>0.0%</c:formatCode>
                <c:ptCount val="4"/>
                <c:pt idx="1">
                  <c:v>0</c:v>
                </c:pt>
                <c:pt idx="2">
                  <c:v>1</c:v>
                </c:pt>
                <c:pt idx="3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のり2!$O$3:$O$6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のり2!$P$3:$P$6</c:f>
              <c:numCache>
                <c:formatCode>0.0%</c:formatCode>
                <c:ptCount val="4"/>
                <c:pt idx="1">
                  <c:v>0</c:v>
                </c:pt>
                <c:pt idx="2">
                  <c:v>0.5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82758620689655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E6718C-FBA5-4DA9-B9E8-BEEBCF517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8D59C8-05D7-4976-977C-1427EABD0E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A7D4EB-435C-4653-B651-433F8AEB8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29A29A-1F3C-44B4-9013-30D328C5F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B69ECC5-8B53-4C61-8034-E19C7756D8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280B8C4-9EF7-4A1C-901F-EBE1F62738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197404-269E-47B8-96E5-029ABE93CA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B59AC6D-EFBA-4080-A2AF-77171FD827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B8FD7E3-A11E-4764-808B-97CCE25BF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C069F8-1352-4A3F-9EBC-5F9FFCEBA6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EE61A7-9112-49B9-B02B-D3AA08D5D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C0A9792-8FD9-4EFD-8985-25F6A03ED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2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7" x14ac:dyDescent="0.45">
      <c r="A1" s="1">
        <v>32874</v>
      </c>
      <c r="B1" s="1">
        <v>2958465</v>
      </c>
    </row>
    <row r="2" spans="1:7" x14ac:dyDescent="0.45">
      <c r="A2" s="2" t="s">
        <v>190</v>
      </c>
      <c r="B2" s="3">
        <v>43926.037199074075</v>
      </c>
      <c r="C2" s="2" t="s">
        <v>127</v>
      </c>
      <c r="D2" s="2" t="s">
        <v>192</v>
      </c>
      <c r="E2" s="2" t="s">
        <v>196</v>
      </c>
      <c r="F2" s="2" t="s">
        <v>198</v>
      </c>
      <c r="G2" s="2" t="s">
        <v>199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8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15</v>
      </c>
    </row>
    <row r="2" spans="1:2" x14ac:dyDescent="0.45">
      <c r="A2" t="s">
        <v>164</v>
      </c>
      <c r="B2">
        <v>1</v>
      </c>
    </row>
    <row r="3" spans="1:2" x14ac:dyDescent="0.45">
      <c r="A3" t="s">
        <v>189</v>
      </c>
      <c r="B3">
        <v>1</v>
      </c>
    </row>
    <row r="4" spans="1:2" x14ac:dyDescent="0.45">
      <c r="A4" t="s">
        <v>126</v>
      </c>
      <c r="B4">
        <v>3</v>
      </c>
    </row>
    <row r="5" spans="1:2" x14ac:dyDescent="0.45">
      <c r="A5" t="s">
        <v>195</v>
      </c>
      <c r="B5">
        <v>2</v>
      </c>
    </row>
    <row r="6" spans="1:2" x14ac:dyDescent="0.45">
      <c r="A6" t="s">
        <v>193</v>
      </c>
      <c r="B6">
        <v>3</v>
      </c>
    </row>
    <row r="7" spans="1:2" x14ac:dyDescent="0.45">
      <c r="A7" t="s">
        <v>194</v>
      </c>
      <c r="B7">
        <v>2</v>
      </c>
    </row>
    <row r="8" spans="1:2" x14ac:dyDescent="0.45">
      <c r="A8" t="s">
        <v>197</v>
      </c>
      <c r="B8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/>
      <c r="C1" s="134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0</v>
      </c>
      <c r="C2" s="136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7">
        <v>0</v>
      </c>
      <c r="C3" s="138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9">
        <v>0</v>
      </c>
      <c r="C4" s="140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7">
        <f>IF(B$2=0,0,B$4/B$2)</f>
        <v>0</v>
      </c>
      <c r="C5" s="128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1">
        <f>IF(B$2=0,0,(B$7*1+B$8*2+B$9*3)/B$2)</f>
        <v>0</v>
      </c>
      <c r="C6" s="142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9">
        <v>0</v>
      </c>
      <c r="C32" s="130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1">
        <v>-1000000</v>
      </c>
      <c r="C33" s="132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0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/>
      <c r="B1" s="143" t="s">
        <v>9</v>
      </c>
      <c r="C1" s="144"/>
      <c r="D1" s="147" t="s">
        <v>6</v>
      </c>
      <c r="E1" s="148"/>
      <c r="F1" s="147" t="s">
        <v>7</v>
      </c>
      <c r="G1" s="148"/>
      <c r="H1" s="143" t="s">
        <v>188</v>
      </c>
      <c r="I1" s="144"/>
      <c r="J1" s="147" t="s">
        <v>15</v>
      </c>
      <c r="K1" s="148"/>
      <c r="L1" s="147" t="s">
        <v>14</v>
      </c>
      <c r="M1" s="148"/>
      <c r="N1" s="147" t="s">
        <v>150</v>
      </c>
      <c r="O1" s="148"/>
      <c r="P1" s="147" t="s">
        <v>143</v>
      </c>
      <c r="Q1" s="148"/>
      <c r="R1" s="147" t="s">
        <v>144</v>
      </c>
      <c r="S1" s="148"/>
      <c r="T1" s="147" t="s">
        <v>5</v>
      </c>
      <c r="U1" s="148"/>
      <c r="V1" s="147" t="s">
        <v>16</v>
      </c>
      <c r="W1" s="148"/>
      <c r="X1" s="147" t="s">
        <v>17</v>
      </c>
      <c r="Y1" s="148"/>
      <c r="Z1" s="147" t="s">
        <v>122</v>
      </c>
      <c r="AA1" s="148"/>
      <c r="AB1" s="147" t="s">
        <v>119</v>
      </c>
      <c r="AC1" s="148"/>
      <c r="AD1" s="147" t="s">
        <v>125</v>
      </c>
      <c r="AE1" s="148"/>
      <c r="AF1" s="147" t="s">
        <v>145</v>
      </c>
      <c r="AG1" s="148"/>
      <c r="AH1" s="147" t="s">
        <v>138</v>
      </c>
      <c r="AI1" s="148"/>
      <c r="AJ1" s="147" t="s">
        <v>181</v>
      </c>
      <c r="AK1" s="148"/>
    </row>
    <row r="2" spans="1:37" x14ac:dyDescent="0.45">
      <c r="A2" s="38" t="s">
        <v>149</v>
      </c>
      <c r="B2" s="145" t="s">
        <v>191</v>
      </c>
      <c r="C2" s="146"/>
      <c r="D2" s="149"/>
      <c r="E2" s="150"/>
      <c r="F2" s="149"/>
      <c r="G2" s="150"/>
      <c r="H2" s="145" t="s">
        <v>191</v>
      </c>
      <c r="I2" s="146"/>
      <c r="J2" s="145" t="s">
        <v>191</v>
      </c>
      <c r="K2" s="146"/>
      <c r="L2" s="145" t="s">
        <v>191</v>
      </c>
      <c r="M2" s="146"/>
      <c r="N2" s="145" t="s">
        <v>191</v>
      </c>
      <c r="O2" s="146"/>
      <c r="P2" s="145" t="s">
        <v>191</v>
      </c>
      <c r="Q2" s="146"/>
      <c r="R2" s="145" t="s">
        <v>191</v>
      </c>
      <c r="S2" s="146"/>
      <c r="T2" s="145" t="s">
        <v>191</v>
      </c>
      <c r="U2" s="146"/>
      <c r="V2" s="145" t="s">
        <v>191</v>
      </c>
      <c r="W2" s="146"/>
      <c r="X2" s="145" t="s">
        <v>191</v>
      </c>
      <c r="Y2" s="146"/>
      <c r="Z2" s="145" t="s">
        <v>191</v>
      </c>
      <c r="AA2" s="146"/>
      <c r="AB2" s="145" t="s">
        <v>191</v>
      </c>
      <c r="AC2" s="146"/>
      <c r="AD2" s="145" t="s">
        <v>191</v>
      </c>
      <c r="AE2" s="146"/>
      <c r="AF2" s="145" t="s">
        <v>191</v>
      </c>
      <c r="AG2" s="146"/>
      <c r="AH2" s="145" t="s">
        <v>191</v>
      </c>
      <c r="AI2" s="146"/>
      <c r="AJ2" s="145" t="s">
        <v>191</v>
      </c>
      <c r="AK2" s="146"/>
    </row>
    <row r="3" spans="1:37" x14ac:dyDescent="0.45">
      <c r="A3" s="40">
        <v>1</v>
      </c>
      <c r="B3" s="43" t="s">
        <v>139</v>
      </c>
      <c r="C3" s="117">
        <v>5</v>
      </c>
      <c r="D3" s="41" t="s">
        <v>194</v>
      </c>
      <c r="E3" s="42">
        <v>137.5</v>
      </c>
      <c r="F3" s="43" t="s">
        <v>194</v>
      </c>
      <c r="G3" s="62">
        <v>68.75</v>
      </c>
      <c r="H3" s="43" t="s">
        <v>194</v>
      </c>
      <c r="I3" s="62">
        <v>22.916666666666668</v>
      </c>
      <c r="J3" s="43" t="s">
        <v>194</v>
      </c>
      <c r="K3" s="44">
        <v>1</v>
      </c>
      <c r="L3" s="43" t="s">
        <v>194</v>
      </c>
      <c r="M3" s="45">
        <v>1</v>
      </c>
      <c r="N3" s="43" t="s">
        <v>164</v>
      </c>
      <c r="O3" s="45">
        <v>0</v>
      </c>
      <c r="P3" s="43" t="s">
        <v>194</v>
      </c>
      <c r="Q3" s="46">
        <v>0.75</v>
      </c>
      <c r="R3" s="43" t="s">
        <v>126</v>
      </c>
      <c r="S3" s="46">
        <v>0.05</v>
      </c>
      <c r="T3" s="43" t="s">
        <v>194</v>
      </c>
      <c r="U3" s="47">
        <v>12555.555555555555</v>
      </c>
      <c r="V3" s="43" t="s">
        <v>164</v>
      </c>
      <c r="W3" s="47">
        <v>-2000</v>
      </c>
      <c r="X3" s="43" t="s">
        <v>164</v>
      </c>
      <c r="Y3" s="45">
        <v>0</v>
      </c>
      <c r="Z3" s="43" t="s">
        <v>164</v>
      </c>
      <c r="AA3" s="46">
        <v>0.5</v>
      </c>
      <c r="AB3" s="43" t="s">
        <v>126</v>
      </c>
      <c r="AC3" s="46">
        <v>0.35</v>
      </c>
      <c r="AD3" s="43" t="s">
        <v>194</v>
      </c>
      <c r="AE3" s="46">
        <v>1</v>
      </c>
      <c r="AF3" s="43" t="s">
        <v>126</v>
      </c>
      <c r="AG3" s="46">
        <v>1</v>
      </c>
      <c r="AH3" s="43" t="s">
        <v>164</v>
      </c>
      <c r="AI3" s="46">
        <v>1</v>
      </c>
      <c r="AJ3" s="43" t="s">
        <v>139</v>
      </c>
      <c r="AK3" s="57">
        <v>106500</v>
      </c>
    </row>
    <row r="4" spans="1:37" x14ac:dyDescent="0.45">
      <c r="A4" s="48">
        <v>2</v>
      </c>
      <c r="B4" s="51" t="s">
        <v>126</v>
      </c>
      <c r="C4" s="118">
        <v>3</v>
      </c>
      <c r="D4" s="49" t="s">
        <v>126</v>
      </c>
      <c r="E4" s="50">
        <v>98.1</v>
      </c>
      <c r="F4" s="51" t="s">
        <v>126</v>
      </c>
      <c r="G4" s="63">
        <v>32.699999999999996</v>
      </c>
      <c r="H4" s="51" t="s">
        <v>126</v>
      </c>
      <c r="I4" s="63">
        <v>16.099999999999998</v>
      </c>
      <c r="J4" s="51" t="s">
        <v>126</v>
      </c>
      <c r="K4" s="52">
        <v>1.3333333333333333</v>
      </c>
      <c r="L4" s="51" t="s">
        <v>126</v>
      </c>
      <c r="M4" s="53">
        <v>0.66666666666666663</v>
      </c>
      <c r="N4" s="51" t="s">
        <v>126</v>
      </c>
      <c r="O4" s="53">
        <v>0</v>
      </c>
      <c r="P4" s="51" t="s">
        <v>126</v>
      </c>
      <c r="Q4" s="54">
        <v>0.5</v>
      </c>
      <c r="R4" s="51" t="s">
        <v>197</v>
      </c>
      <c r="S4" s="54">
        <v>0.05</v>
      </c>
      <c r="T4" s="51" t="s">
        <v>193</v>
      </c>
      <c r="U4" s="55">
        <v>12000</v>
      </c>
      <c r="V4" s="51" t="s">
        <v>197</v>
      </c>
      <c r="W4" s="55">
        <v>-3900</v>
      </c>
      <c r="X4" s="51" t="s">
        <v>189</v>
      </c>
      <c r="Y4" s="53">
        <v>0</v>
      </c>
      <c r="Z4" s="51" t="s">
        <v>189</v>
      </c>
      <c r="AA4" s="54">
        <v>0.375</v>
      </c>
      <c r="AB4" s="51" t="s">
        <v>164</v>
      </c>
      <c r="AC4" s="54">
        <v>0.25</v>
      </c>
      <c r="AD4" s="51" t="s">
        <v>197</v>
      </c>
      <c r="AE4" s="54">
        <v>0.75</v>
      </c>
      <c r="AF4" s="51" t="s">
        <v>194</v>
      </c>
      <c r="AG4" s="54">
        <v>0.66666666666666663</v>
      </c>
      <c r="AH4" s="51" t="s">
        <v>189</v>
      </c>
      <c r="AI4" s="54">
        <v>1</v>
      </c>
      <c r="AJ4" s="51" t="s">
        <v>194</v>
      </c>
      <c r="AK4" s="58">
        <v>106500</v>
      </c>
    </row>
    <row r="5" spans="1:37" x14ac:dyDescent="0.45">
      <c r="A5" s="48">
        <v>3</v>
      </c>
      <c r="B5" s="51" t="s">
        <v>193</v>
      </c>
      <c r="C5" s="118">
        <v>3</v>
      </c>
      <c r="D5" s="49" t="s">
        <v>139</v>
      </c>
      <c r="E5" s="50">
        <v>1.7763568394002505E-15</v>
      </c>
      <c r="F5" s="51" t="s">
        <v>139</v>
      </c>
      <c r="G5" s="63">
        <v>1.1842378929335003E-16</v>
      </c>
      <c r="H5" s="51" t="s">
        <v>139</v>
      </c>
      <c r="I5" s="63">
        <v>0</v>
      </c>
      <c r="J5" s="51" t="s">
        <v>139</v>
      </c>
      <c r="K5" s="52">
        <v>2</v>
      </c>
      <c r="L5" s="51" t="s">
        <v>139</v>
      </c>
      <c r="M5" s="53">
        <v>0.33333333333333331</v>
      </c>
      <c r="N5" s="51" t="s">
        <v>194</v>
      </c>
      <c r="O5" s="53">
        <v>0</v>
      </c>
      <c r="P5" s="51" t="s">
        <v>139</v>
      </c>
      <c r="Q5" s="54">
        <v>0.30208333333333331</v>
      </c>
      <c r="R5" s="51" t="s">
        <v>194</v>
      </c>
      <c r="S5" s="54">
        <v>8.3333333333333329E-2</v>
      </c>
      <c r="T5" s="51" t="s">
        <v>139</v>
      </c>
      <c r="U5" s="55">
        <v>9875.8620689655181</v>
      </c>
      <c r="V5" s="51" t="s">
        <v>189</v>
      </c>
      <c r="W5" s="55">
        <v>-4166.666666666667</v>
      </c>
      <c r="X5" s="51" t="s">
        <v>126</v>
      </c>
      <c r="Y5" s="53">
        <v>0</v>
      </c>
      <c r="Z5" s="51" t="s">
        <v>193</v>
      </c>
      <c r="AA5" s="54">
        <v>0.375</v>
      </c>
      <c r="AB5" s="51" t="s">
        <v>194</v>
      </c>
      <c r="AC5" s="54">
        <v>0.25</v>
      </c>
      <c r="AD5" s="51" t="s">
        <v>193</v>
      </c>
      <c r="AE5" s="54">
        <v>0.5</v>
      </c>
      <c r="AF5" s="51" t="s">
        <v>139</v>
      </c>
      <c r="AG5" s="54">
        <v>0.6</v>
      </c>
      <c r="AH5" s="51" t="s">
        <v>194</v>
      </c>
      <c r="AI5" s="54">
        <v>0.55555555555555558</v>
      </c>
      <c r="AJ5" s="51" t="s">
        <v>126</v>
      </c>
      <c r="AK5" s="58">
        <v>85400</v>
      </c>
    </row>
    <row r="6" spans="1:37" x14ac:dyDescent="0.45">
      <c r="A6" s="48">
        <v>4</v>
      </c>
      <c r="B6" s="51" t="s">
        <v>197</v>
      </c>
      <c r="C6" s="118">
        <v>3</v>
      </c>
      <c r="D6" s="49" t="s">
        <v>164</v>
      </c>
      <c r="E6" s="50">
        <v>-2.9</v>
      </c>
      <c r="F6" s="51" t="s">
        <v>164</v>
      </c>
      <c r="G6" s="63">
        <v>-2.9</v>
      </c>
      <c r="H6" s="51" t="s">
        <v>164</v>
      </c>
      <c r="I6" s="63">
        <v>-0.96666666666666667</v>
      </c>
      <c r="J6" s="51" t="s">
        <v>164</v>
      </c>
      <c r="K6" s="52">
        <v>2</v>
      </c>
      <c r="L6" s="51" t="s">
        <v>193</v>
      </c>
      <c r="M6" s="53">
        <v>0.33333333333333331</v>
      </c>
      <c r="N6" s="51" t="s">
        <v>139</v>
      </c>
      <c r="O6" s="53">
        <v>0.33333333333333331</v>
      </c>
      <c r="P6" s="51" t="s">
        <v>193</v>
      </c>
      <c r="Q6" s="54">
        <v>0.25</v>
      </c>
      <c r="R6" s="51" t="s">
        <v>164</v>
      </c>
      <c r="S6" s="54">
        <v>0.125</v>
      </c>
      <c r="T6" s="51" t="s">
        <v>126</v>
      </c>
      <c r="U6" s="55">
        <v>9650</v>
      </c>
      <c r="V6" s="51" t="s">
        <v>126</v>
      </c>
      <c r="W6" s="55">
        <v>-7700</v>
      </c>
      <c r="X6" s="51" t="s">
        <v>194</v>
      </c>
      <c r="Y6" s="53">
        <v>0</v>
      </c>
      <c r="Z6" s="51" t="s">
        <v>195</v>
      </c>
      <c r="AA6" s="54">
        <v>0.33333333333333331</v>
      </c>
      <c r="AB6" s="51" t="s">
        <v>139</v>
      </c>
      <c r="AC6" s="54">
        <v>0.15625</v>
      </c>
      <c r="AD6" s="51" t="s">
        <v>139</v>
      </c>
      <c r="AE6" s="54">
        <v>0.48</v>
      </c>
      <c r="AF6" s="51" t="s">
        <v>164</v>
      </c>
      <c r="AG6" s="54">
        <v>0</v>
      </c>
      <c r="AH6" s="51" t="s">
        <v>193</v>
      </c>
      <c r="AI6" s="54">
        <v>0.5</v>
      </c>
      <c r="AJ6" s="51" t="s">
        <v>193</v>
      </c>
      <c r="AK6" s="58">
        <v>39300</v>
      </c>
    </row>
    <row r="7" spans="1:37" x14ac:dyDescent="0.45">
      <c r="A7" s="48">
        <v>5</v>
      </c>
      <c r="B7" s="51" t="s">
        <v>195</v>
      </c>
      <c r="C7" s="118">
        <v>2</v>
      </c>
      <c r="D7" s="49" t="s">
        <v>189</v>
      </c>
      <c r="E7" s="50">
        <v>-36.299999999999997</v>
      </c>
      <c r="F7" s="51" t="s">
        <v>197</v>
      </c>
      <c r="G7" s="63">
        <v>-13.800000000000002</v>
      </c>
      <c r="H7" s="51" t="s">
        <v>197</v>
      </c>
      <c r="I7" s="63">
        <v>-9.0333333333333332</v>
      </c>
      <c r="J7" s="51" t="s">
        <v>193</v>
      </c>
      <c r="K7" s="52">
        <v>2</v>
      </c>
      <c r="L7" s="51" t="s">
        <v>164</v>
      </c>
      <c r="M7" s="53">
        <v>0</v>
      </c>
      <c r="N7" s="51" t="s">
        <v>193</v>
      </c>
      <c r="O7" s="53">
        <v>0.33333333333333331</v>
      </c>
      <c r="P7" s="51" t="s">
        <v>197</v>
      </c>
      <c r="Q7" s="54">
        <v>0.2</v>
      </c>
      <c r="R7" s="51" t="s">
        <v>139</v>
      </c>
      <c r="S7" s="54">
        <v>0.15625</v>
      </c>
      <c r="T7" s="51" t="s">
        <v>164</v>
      </c>
      <c r="U7" s="55">
        <v>6400</v>
      </c>
      <c r="V7" s="51" t="s">
        <v>195</v>
      </c>
      <c r="W7" s="55">
        <v>-7725</v>
      </c>
      <c r="X7" s="51" t="s">
        <v>197</v>
      </c>
      <c r="Y7" s="53">
        <v>0</v>
      </c>
      <c r="Z7" s="51" t="s">
        <v>194</v>
      </c>
      <c r="AA7" s="54">
        <v>0.33333333333333331</v>
      </c>
      <c r="AB7" s="51" t="s">
        <v>195</v>
      </c>
      <c r="AC7" s="54">
        <v>8.3333333333333329E-2</v>
      </c>
      <c r="AD7" s="51" t="s">
        <v>189</v>
      </c>
      <c r="AE7" s="54">
        <v>0.33333333333333331</v>
      </c>
      <c r="AF7" s="51" t="s">
        <v>189</v>
      </c>
      <c r="AG7" s="54">
        <v>0</v>
      </c>
      <c r="AH7" s="51" t="s">
        <v>139</v>
      </c>
      <c r="AI7" s="54">
        <v>0.48275862068965519</v>
      </c>
      <c r="AJ7" s="51" t="s">
        <v>197</v>
      </c>
      <c r="AK7" s="58">
        <v>36900</v>
      </c>
    </row>
    <row r="8" spans="1:37" x14ac:dyDescent="0.45">
      <c r="A8" s="48">
        <v>6</v>
      </c>
      <c r="B8" s="51" t="s">
        <v>194</v>
      </c>
      <c r="C8" s="118">
        <v>2</v>
      </c>
      <c r="D8" s="49" t="s">
        <v>197</v>
      </c>
      <c r="E8" s="50">
        <v>-41.400000000000006</v>
      </c>
      <c r="F8" s="51" t="s">
        <v>193</v>
      </c>
      <c r="G8" s="63">
        <v>-16.166666666666668</v>
      </c>
      <c r="H8" s="51" t="s">
        <v>189</v>
      </c>
      <c r="I8" s="63">
        <v>-12.1</v>
      </c>
      <c r="J8" s="51" t="s">
        <v>197</v>
      </c>
      <c r="K8" s="52">
        <v>2.3333333333333335</v>
      </c>
      <c r="L8" s="51" t="s">
        <v>189</v>
      </c>
      <c r="M8" s="53">
        <v>0</v>
      </c>
      <c r="N8" s="51" t="s">
        <v>197</v>
      </c>
      <c r="O8" s="53">
        <v>0.33333333333333331</v>
      </c>
      <c r="P8" s="51" t="s">
        <v>164</v>
      </c>
      <c r="Q8" s="54">
        <v>0.125</v>
      </c>
      <c r="R8" s="51" t="s">
        <v>193</v>
      </c>
      <c r="S8" s="54">
        <v>0.25</v>
      </c>
      <c r="T8" s="51" t="s">
        <v>197</v>
      </c>
      <c r="U8" s="55">
        <v>5100</v>
      </c>
      <c r="V8" s="51" t="s">
        <v>139</v>
      </c>
      <c r="W8" s="55">
        <v>-7740</v>
      </c>
      <c r="X8" s="51" t="s">
        <v>139</v>
      </c>
      <c r="Y8" s="53">
        <v>0.2</v>
      </c>
      <c r="Z8" s="51" t="s">
        <v>139</v>
      </c>
      <c r="AA8" s="54">
        <v>0.26041666666666669</v>
      </c>
      <c r="AB8" s="51" t="s">
        <v>193</v>
      </c>
      <c r="AC8" s="54">
        <v>6.25E-2</v>
      </c>
      <c r="AD8" s="51" t="s">
        <v>164</v>
      </c>
      <c r="AE8" s="54">
        <v>0.25</v>
      </c>
      <c r="AF8" s="51" t="s">
        <v>195</v>
      </c>
      <c r="AG8" s="54">
        <v>0</v>
      </c>
      <c r="AH8" s="51" t="s">
        <v>126</v>
      </c>
      <c r="AI8" s="54">
        <v>0.4</v>
      </c>
      <c r="AJ8" s="51" t="s">
        <v>164</v>
      </c>
      <c r="AK8" s="58">
        <v>32100</v>
      </c>
    </row>
    <row r="9" spans="1:37" x14ac:dyDescent="0.45">
      <c r="A9" s="48">
        <v>7</v>
      </c>
      <c r="B9" s="51" t="s">
        <v>164</v>
      </c>
      <c r="C9" s="118">
        <v>1</v>
      </c>
      <c r="D9" s="49" t="s">
        <v>193</v>
      </c>
      <c r="E9" s="50">
        <v>-48.5</v>
      </c>
      <c r="F9" s="51" t="s">
        <v>189</v>
      </c>
      <c r="G9" s="63">
        <v>-36.299999999999997</v>
      </c>
      <c r="H9" s="51" t="s">
        <v>193</v>
      </c>
      <c r="I9" s="63">
        <v>-16.166666666666668</v>
      </c>
      <c r="J9" s="51" t="s">
        <v>189</v>
      </c>
      <c r="K9" s="52">
        <v>3</v>
      </c>
      <c r="L9" s="51" t="s">
        <v>195</v>
      </c>
      <c r="M9" s="53">
        <v>0</v>
      </c>
      <c r="N9" s="51" t="s">
        <v>189</v>
      </c>
      <c r="O9" s="53">
        <v>1</v>
      </c>
      <c r="P9" s="51" t="s">
        <v>189</v>
      </c>
      <c r="Q9" s="54">
        <v>0.125</v>
      </c>
      <c r="R9" s="51" t="s">
        <v>195</v>
      </c>
      <c r="S9" s="54">
        <v>0.33333333333333331</v>
      </c>
      <c r="T9" s="51" t="s">
        <v>189</v>
      </c>
      <c r="U9" s="55">
        <v>2100</v>
      </c>
      <c r="V9" s="51" t="s">
        <v>193</v>
      </c>
      <c r="W9" s="55">
        <v>-11775</v>
      </c>
      <c r="X9" s="51" t="s">
        <v>193</v>
      </c>
      <c r="Y9" s="53">
        <v>0.33333333333333331</v>
      </c>
      <c r="Z9" s="51" t="s">
        <v>197</v>
      </c>
      <c r="AA9" s="54">
        <v>0.2</v>
      </c>
      <c r="AB9" s="51" t="s">
        <v>197</v>
      </c>
      <c r="AC9" s="54">
        <v>0.05</v>
      </c>
      <c r="AD9" s="51" t="s">
        <v>126</v>
      </c>
      <c r="AE9" s="54">
        <v>0</v>
      </c>
      <c r="AF9" s="51" t="s">
        <v>193</v>
      </c>
      <c r="AG9" s="54">
        <v>0</v>
      </c>
      <c r="AH9" s="51" t="s">
        <v>197</v>
      </c>
      <c r="AI9" s="54">
        <v>0.25</v>
      </c>
      <c r="AJ9" s="51" t="s">
        <v>189</v>
      </c>
      <c r="AK9" s="58">
        <v>8700</v>
      </c>
    </row>
    <row r="10" spans="1:37" x14ac:dyDescent="0.45">
      <c r="A10" s="48">
        <v>8</v>
      </c>
      <c r="B10" s="51" t="s">
        <v>189</v>
      </c>
      <c r="C10" s="118">
        <v>1</v>
      </c>
      <c r="D10" s="49" t="s">
        <v>195</v>
      </c>
      <c r="E10" s="50">
        <v>-106.5</v>
      </c>
      <c r="F10" s="51" t="s">
        <v>195</v>
      </c>
      <c r="G10" s="63">
        <v>-53.25</v>
      </c>
      <c r="H10" s="51" t="s">
        <v>195</v>
      </c>
      <c r="I10" s="63">
        <v>-17.75</v>
      </c>
      <c r="J10" s="51" t="s">
        <v>195</v>
      </c>
      <c r="K10" s="52">
        <v>3</v>
      </c>
      <c r="L10" s="51" t="s">
        <v>197</v>
      </c>
      <c r="M10" s="53">
        <v>0</v>
      </c>
      <c r="N10" s="51" t="s">
        <v>195</v>
      </c>
      <c r="O10" s="53">
        <v>1</v>
      </c>
      <c r="P10" s="51" t="s">
        <v>195</v>
      </c>
      <c r="Q10" s="54">
        <v>0</v>
      </c>
      <c r="R10" s="51" t="s">
        <v>189</v>
      </c>
      <c r="S10" s="54">
        <v>0.375</v>
      </c>
      <c r="T10" s="51" t="s">
        <v>195</v>
      </c>
      <c r="U10" s="55">
        <v>0</v>
      </c>
      <c r="V10" s="51" t="s">
        <v>194</v>
      </c>
      <c r="W10" s="55">
        <v>-12000</v>
      </c>
      <c r="X10" s="51" t="s">
        <v>195</v>
      </c>
      <c r="Y10" s="53">
        <v>1</v>
      </c>
      <c r="Z10" s="51" t="s">
        <v>126</v>
      </c>
      <c r="AA10" s="54">
        <v>0</v>
      </c>
      <c r="AB10" s="51" t="s">
        <v>189</v>
      </c>
      <c r="AC10" s="54">
        <v>0</v>
      </c>
      <c r="AD10" s="51" t="s">
        <v>195</v>
      </c>
      <c r="AE10" s="54">
        <v>0</v>
      </c>
      <c r="AF10" s="51" t="s">
        <v>197</v>
      </c>
      <c r="AG10" s="54">
        <v>0</v>
      </c>
      <c r="AH10" s="51" t="s">
        <v>195</v>
      </c>
      <c r="AI10" s="54">
        <v>0</v>
      </c>
      <c r="AJ10" s="51" t="s">
        <v>195</v>
      </c>
      <c r="AK10" s="58">
        <v>-6000</v>
      </c>
    </row>
  </sheetData>
  <sortState xmlns:xlrd2="http://schemas.microsoft.com/office/spreadsheetml/2017/richdata2" ref="AJ3:AK36">
    <sortCondition descending="1" ref="AK1"/>
  </sortState>
  <mergeCells count="36">
    <mergeCell ref="P1:Q1"/>
    <mergeCell ref="N1:O1"/>
    <mergeCell ref="H1:I1"/>
    <mergeCell ref="X1:Y1"/>
    <mergeCell ref="AH1:AI1"/>
    <mergeCell ref="D2:E2"/>
    <mergeCell ref="F2:G2"/>
    <mergeCell ref="J2:K2"/>
    <mergeCell ref="L2:M2"/>
    <mergeCell ref="P2:Q2"/>
    <mergeCell ref="N2:O2"/>
    <mergeCell ref="H2:I2"/>
    <mergeCell ref="Z1:AA1"/>
    <mergeCell ref="AB1:AC1"/>
    <mergeCell ref="AD1:AE1"/>
    <mergeCell ref="AF1:AG1"/>
    <mergeCell ref="D1:E1"/>
    <mergeCell ref="F1:G1"/>
    <mergeCell ref="J1:K1"/>
    <mergeCell ref="L1:M1"/>
    <mergeCell ref="B1:C1"/>
    <mergeCell ref="B2:C2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1CD9-770B-440D-8347-20C3500B4B82}">
  <sheetPr codeName="Sheet4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139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15</v>
      </c>
      <c r="C2" s="136"/>
      <c r="E2" s="28" t="s">
        <v>72</v>
      </c>
      <c r="F2" s="25" t="s">
        <v>27</v>
      </c>
      <c r="G2" s="13">
        <v>18</v>
      </c>
      <c r="H2" s="91">
        <f>IF(B$19=0,0,G2/B$19)</f>
        <v>0.62068965517241381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0</v>
      </c>
      <c r="P2" s="80">
        <v>15</v>
      </c>
      <c r="Q2" s="67">
        <v>0</v>
      </c>
    </row>
    <row r="3" spans="1:17" x14ac:dyDescent="0.45">
      <c r="A3" s="21" t="s">
        <v>8</v>
      </c>
      <c r="B3" s="137">
        <v>96</v>
      </c>
      <c r="C3" s="138"/>
      <c r="E3" s="29" t="s">
        <v>66</v>
      </c>
      <c r="F3" s="26" t="s">
        <v>22</v>
      </c>
      <c r="G3" s="14">
        <v>15</v>
      </c>
      <c r="H3" s="92">
        <f>IF(B$19=0,0,G3/B$19)</f>
        <v>0.51724137931034486</v>
      </c>
      <c r="I3" s="60">
        <v>2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15</v>
      </c>
      <c r="Q3" s="68">
        <v>0</v>
      </c>
    </row>
    <row r="4" spans="1:17" x14ac:dyDescent="0.45">
      <c r="A4" s="21" t="s">
        <v>6</v>
      </c>
      <c r="B4" s="139">
        <v>1.7763568394002505E-15</v>
      </c>
      <c r="C4" s="140"/>
      <c r="E4" s="29" t="s">
        <v>64</v>
      </c>
      <c r="F4" s="26" t="s">
        <v>20</v>
      </c>
      <c r="G4" s="14">
        <v>12</v>
      </c>
      <c r="H4" s="92">
        <f>IF(B$19=0,0,G4/B$19)</f>
        <v>0.41379310344827586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0</v>
      </c>
      <c r="P4" s="81">
        <v>15</v>
      </c>
      <c r="Q4" s="68">
        <v>0</v>
      </c>
    </row>
    <row r="5" spans="1:17" x14ac:dyDescent="0.45">
      <c r="A5" s="21" t="s">
        <v>7</v>
      </c>
      <c r="B5" s="127">
        <f>IF(B$2=0,0,B$4/B$2)</f>
        <v>1.1842378929335003E-16</v>
      </c>
      <c r="C5" s="128"/>
      <c r="E5" s="29" t="s">
        <v>67</v>
      </c>
      <c r="F5" s="26" t="s">
        <v>23</v>
      </c>
      <c r="G5" s="14">
        <v>9</v>
      </c>
      <c r="H5" s="92">
        <f>IF(B$19=0,0,G5/B$19)</f>
        <v>0.31034482758620691</v>
      </c>
      <c r="I5" s="60">
        <v>3</v>
      </c>
      <c r="K5" s="7">
        <v>3</v>
      </c>
      <c r="L5" s="65">
        <v>7.1054273576010019E-15</v>
      </c>
      <c r="N5" s="78" t="s">
        <v>131</v>
      </c>
      <c r="O5" s="84">
        <f t="shared" si="0"/>
        <v>0</v>
      </c>
      <c r="P5" s="81">
        <v>6</v>
      </c>
      <c r="Q5" s="68">
        <v>0</v>
      </c>
    </row>
    <row r="6" spans="1:17" x14ac:dyDescent="0.45">
      <c r="A6" s="21" t="s">
        <v>1</v>
      </c>
      <c r="B6" s="141">
        <f>IF(B$2=0,0,(B$7*1+B$8*2+B$9*3)/B$2)</f>
        <v>2</v>
      </c>
      <c r="C6" s="142"/>
      <c r="E6" s="29" t="s">
        <v>160</v>
      </c>
      <c r="F6" s="26" t="s">
        <v>161</v>
      </c>
      <c r="G6" s="14">
        <v>8</v>
      </c>
      <c r="H6" s="92">
        <f>IF(B$19=0,0,G6/B$19)</f>
        <v>0.27586206896551724</v>
      </c>
      <c r="I6" s="60">
        <v>3</v>
      </c>
      <c r="K6" s="7">
        <v>4</v>
      </c>
      <c r="L6" s="65">
        <v>-55.499999999999993</v>
      </c>
      <c r="N6" s="78" t="s">
        <v>132</v>
      </c>
      <c r="O6" s="84">
        <f t="shared" si="0"/>
        <v>-166.66666666666666</v>
      </c>
      <c r="P6" s="81">
        <v>6</v>
      </c>
      <c r="Q6" s="68">
        <v>-1000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0.33333333333333331</v>
      </c>
      <c r="E7" s="29" t="s">
        <v>68</v>
      </c>
      <c r="F7" s="26" t="s">
        <v>12</v>
      </c>
      <c r="G7" s="14">
        <v>7</v>
      </c>
      <c r="H7" s="92">
        <f>IF(B$19=0,0,G7/B$19)</f>
        <v>0.2413793103448276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166.66666666666666</v>
      </c>
      <c r="P7" s="82">
        <v>6</v>
      </c>
      <c r="Q7" s="69">
        <v>1000</v>
      </c>
    </row>
    <row r="8" spans="1:17" x14ac:dyDescent="0.45">
      <c r="A8" s="21" t="s">
        <v>3</v>
      </c>
      <c r="B8" s="14">
        <v>5</v>
      </c>
      <c r="C8" s="8">
        <f t="shared" si="1"/>
        <v>0.33333333333333331</v>
      </c>
      <c r="E8" s="29" t="s">
        <v>89</v>
      </c>
      <c r="F8" s="26" t="s">
        <v>44</v>
      </c>
      <c r="G8" s="14">
        <v>6</v>
      </c>
      <c r="H8" s="92">
        <f>IF(B$19=0,0,G8/B$19)</f>
        <v>0.20689655172413793</v>
      </c>
      <c r="I8" s="60">
        <v>3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0.33333333333333331</v>
      </c>
      <c r="E9" s="29" t="s">
        <v>86</v>
      </c>
      <c r="F9" s="26" t="s">
        <v>41</v>
      </c>
      <c r="G9" s="14">
        <v>4</v>
      </c>
      <c r="H9" s="92">
        <f>IF(B$19=0,0,G9/B$19)</f>
        <v>0.13793103448275862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50.28</v>
      </c>
      <c r="C10" s="114">
        <v>251.4</v>
      </c>
      <c r="E10" s="29" t="s">
        <v>65</v>
      </c>
      <c r="F10" s="26" t="s">
        <v>21</v>
      </c>
      <c r="G10" s="14">
        <v>3</v>
      </c>
      <c r="H10" s="92">
        <f>IF(B$19=0,0,G10/B$19)</f>
        <v>0.10344827586206896</v>
      </c>
      <c r="I10" s="60">
        <v>4</v>
      </c>
      <c r="K10" s="7">
        <v>8</v>
      </c>
      <c r="L10" s="65">
        <v>-81.5</v>
      </c>
      <c r="N10" s="77" t="s">
        <v>152</v>
      </c>
      <c r="O10" s="86">
        <f>IF(P10=0,0,Q10/P10)</f>
        <v>-6.94</v>
      </c>
      <c r="P10" s="80">
        <v>5</v>
      </c>
      <c r="Q10" s="71">
        <v>-34.700000000000003</v>
      </c>
    </row>
    <row r="11" spans="1:17" x14ac:dyDescent="0.45">
      <c r="A11" s="22" t="s">
        <v>186</v>
      </c>
      <c r="B11" s="113">
        <f>IF(B8=0,0,C11/B8)</f>
        <v>-6.7</v>
      </c>
      <c r="C11" s="114">
        <v>-33.5</v>
      </c>
      <c r="E11" s="29" t="s">
        <v>70</v>
      </c>
      <c r="F11" s="26" t="s">
        <v>25</v>
      </c>
      <c r="G11" s="14">
        <v>2</v>
      </c>
      <c r="H11" s="92">
        <f>IF(B$19=0,0,G11/B$19)</f>
        <v>6.8965517241379309E-2</v>
      </c>
      <c r="I11" s="60">
        <v>3</v>
      </c>
      <c r="K11" s="7">
        <v>9</v>
      </c>
      <c r="L11" s="65">
        <v>0</v>
      </c>
      <c r="N11" s="78" t="s">
        <v>153</v>
      </c>
      <c r="O11" s="87">
        <f>IF(P11=0,0,Q11/P11)</f>
        <v>-26.22</v>
      </c>
      <c r="P11" s="81">
        <v>5</v>
      </c>
      <c r="Q11" s="72">
        <v>-131.1</v>
      </c>
    </row>
    <row r="12" spans="1:17" x14ac:dyDescent="0.45">
      <c r="A12" s="22" t="s">
        <v>187</v>
      </c>
      <c r="B12" s="113">
        <f>IF(B9=0,0,C12/B9)</f>
        <v>-43.580000000000005</v>
      </c>
      <c r="C12" s="114">
        <v>-217.90000000000003</v>
      </c>
      <c r="E12" s="29" t="s">
        <v>71</v>
      </c>
      <c r="F12" s="26" t="s">
        <v>26</v>
      </c>
      <c r="G12" s="14">
        <v>2</v>
      </c>
      <c r="H12" s="92">
        <f>IF(B$19=0,0,G12/B$19)</f>
        <v>6.8965517241379309E-2</v>
      </c>
      <c r="I12" s="60">
        <v>3</v>
      </c>
      <c r="K12" s="7">
        <v>10</v>
      </c>
      <c r="L12" s="65">
        <v>60.4</v>
      </c>
      <c r="N12" s="79" t="s">
        <v>154</v>
      </c>
      <c r="O12" s="88">
        <f>IF(P12=0,0,Q12/P12)</f>
        <v>33.159999999999997</v>
      </c>
      <c r="P12" s="82">
        <v>5</v>
      </c>
      <c r="Q12" s="73">
        <v>165.79999999999998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81</v>
      </c>
      <c r="F13" s="26" t="s">
        <v>36</v>
      </c>
      <c r="G13" s="14">
        <v>2</v>
      </c>
      <c r="H13" s="92">
        <f>IF(B$19=0,0,G13/B$19)</f>
        <v>6.8965517241379309E-2</v>
      </c>
      <c r="I13" s="60">
        <v>2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0.2</v>
      </c>
      <c r="E14" s="29" t="s">
        <v>69</v>
      </c>
      <c r="F14" s="26" t="s">
        <v>24</v>
      </c>
      <c r="G14" s="14">
        <v>1</v>
      </c>
      <c r="H14" s="92">
        <f>IF(B$19=0,0,G14/B$19)</f>
        <v>3.4482758620689655E-2</v>
      </c>
      <c r="I14" s="60">
        <v>2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25</v>
      </c>
      <c r="C15" s="12">
        <f>IF(B$3=0,0,B15/B$3)</f>
        <v>0.26041666666666669</v>
      </c>
      <c r="E15" s="29" t="s">
        <v>83</v>
      </c>
      <c r="F15" s="26" t="s">
        <v>38</v>
      </c>
      <c r="G15" s="14">
        <v>1</v>
      </c>
      <c r="H15" s="92">
        <f>IF(B$19=0,0,G15/B$19)</f>
        <v>3.4482758620689655E-2</v>
      </c>
      <c r="I15" s="60">
        <v>2</v>
      </c>
      <c r="K15" s="7">
        <v>13</v>
      </c>
      <c r="L15" s="65">
        <v>14.300000000000002</v>
      </c>
      <c r="N15" s="77" t="s">
        <v>195</v>
      </c>
      <c r="O15" s="86">
        <f>IF(P15=0,0,Q15/P15)</f>
        <v>79.875</v>
      </c>
      <c r="P15" s="80">
        <v>4</v>
      </c>
      <c r="Q15" s="71">
        <v>319.5</v>
      </c>
    </row>
    <row r="16" spans="1:17" x14ac:dyDescent="0.45">
      <c r="A16" s="21" t="s">
        <v>118</v>
      </c>
      <c r="B16" s="14">
        <v>15</v>
      </c>
      <c r="C16" s="8">
        <f>IF(B$3=0,0,B16/B$3)</f>
        <v>0.15625</v>
      </c>
      <c r="E16" s="29" t="s">
        <v>95</v>
      </c>
      <c r="F16" s="26" t="s">
        <v>50</v>
      </c>
      <c r="G16" s="14">
        <v>1</v>
      </c>
      <c r="H16" s="92">
        <f>IF(B$19=0,0,G16/B$19)</f>
        <v>3.4482758620689655E-2</v>
      </c>
      <c r="I16" s="60">
        <v>2</v>
      </c>
      <c r="K16" s="7">
        <v>14</v>
      </c>
      <c r="L16" s="65">
        <v>12.800000000000002</v>
      </c>
      <c r="N16" s="78" t="s">
        <v>189</v>
      </c>
      <c r="O16" s="87">
        <f>IF(P16=0,0,Q16/P16)</f>
        <v>54.449999999999996</v>
      </c>
      <c r="P16" s="81">
        <v>2</v>
      </c>
      <c r="Q16" s="72">
        <v>108.89999999999999</v>
      </c>
    </row>
    <row r="17" spans="1:17" x14ac:dyDescent="0.45">
      <c r="A17" s="20" t="s">
        <v>123</v>
      </c>
      <c r="B17" s="13">
        <f>B23</f>
        <v>12</v>
      </c>
      <c r="C17" s="6">
        <f>IF(B$15=0,0,B17/B$15)</f>
        <v>0.48</v>
      </c>
      <c r="E17" s="29" t="s">
        <v>102</v>
      </c>
      <c r="F17" s="26" t="s">
        <v>57</v>
      </c>
      <c r="G17" s="14">
        <v>1</v>
      </c>
      <c r="H17" s="92">
        <f>IF(B$19=0,0,G17/B$19)</f>
        <v>3.4482758620689655E-2</v>
      </c>
      <c r="I17" s="60">
        <v>2</v>
      </c>
      <c r="K17" s="7">
        <v>15</v>
      </c>
      <c r="L17" s="65">
        <v>1.7763568394002505E-15</v>
      </c>
      <c r="N17" s="78" t="s">
        <v>193</v>
      </c>
      <c r="O17" s="87">
        <f>IF(P17=0,0,Q17/P17)</f>
        <v>24.249999999999989</v>
      </c>
      <c r="P17" s="81">
        <v>6</v>
      </c>
      <c r="Q17" s="72">
        <v>145.49999999999994</v>
      </c>
    </row>
    <row r="18" spans="1:17" x14ac:dyDescent="0.45">
      <c r="A18" s="20" t="s">
        <v>124</v>
      </c>
      <c r="B18" s="13">
        <f>B24</f>
        <v>9</v>
      </c>
      <c r="C18" s="6">
        <f>IF(B$16=0,0,B18/B$16)</f>
        <v>0.6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1</v>
      </c>
      <c r="N18" s="78" t="s">
        <v>197</v>
      </c>
      <c r="O18" s="87">
        <f>IF(P18=0,0,Q18/P18)</f>
        <v>20.7</v>
      </c>
      <c r="P18" s="81">
        <v>6</v>
      </c>
      <c r="Q18" s="72">
        <v>124.19999999999999</v>
      </c>
    </row>
    <row r="19" spans="1:17" x14ac:dyDescent="0.45">
      <c r="A19" s="20" t="s">
        <v>10</v>
      </c>
      <c r="B19" s="13">
        <f>B22+B21</f>
        <v>29</v>
      </c>
      <c r="C19" s="6">
        <f>IF(B$3=0,0,B19/B$3)</f>
        <v>0.30208333333333331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N19" s="78" t="s">
        <v>164</v>
      </c>
      <c r="O19" s="87">
        <f>IF(P19=0,0,Q19/P19)</f>
        <v>4.3500000000000023</v>
      </c>
      <c r="P19" s="81">
        <v>2</v>
      </c>
      <c r="Q19" s="72">
        <v>8.7000000000000046</v>
      </c>
    </row>
    <row r="20" spans="1:17" x14ac:dyDescent="0.45">
      <c r="A20" s="21" t="s">
        <v>13</v>
      </c>
      <c r="B20" s="14">
        <v>15</v>
      </c>
      <c r="C20" s="8">
        <f>IF(B$3=0,0,B20/B$3)</f>
        <v>0.15625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1</v>
      </c>
      <c r="N20" s="78" t="s">
        <v>126</v>
      </c>
      <c r="O20" s="87">
        <f>IF(P20=0,0,Q20/P20)</f>
        <v>-49.050000000000004</v>
      </c>
      <c r="P20" s="81">
        <v>6</v>
      </c>
      <c r="Q20" s="72">
        <v>-294.3</v>
      </c>
    </row>
    <row r="21" spans="1:17" x14ac:dyDescent="0.45">
      <c r="A21" s="21" t="s">
        <v>12</v>
      </c>
      <c r="B21" s="14">
        <v>14</v>
      </c>
      <c r="C21" s="8">
        <f>IF(B$19=0,0,B21/B$19)</f>
        <v>0.48275862068965519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N21" s="78" t="s">
        <v>194</v>
      </c>
      <c r="O21" s="87">
        <f>IF(P21=0,0,Q21/P21)</f>
        <v>-103.125</v>
      </c>
      <c r="P21" s="81">
        <v>4</v>
      </c>
      <c r="Q21" s="72">
        <v>-412.5</v>
      </c>
    </row>
    <row r="22" spans="1:17" x14ac:dyDescent="0.45">
      <c r="A22" s="21" t="s">
        <v>11</v>
      </c>
      <c r="B22" s="14">
        <v>15</v>
      </c>
      <c r="C22" s="8">
        <f>IF(B$19=0,0,B22/B$19)</f>
        <v>0.51724137931034486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12</v>
      </c>
      <c r="C23" s="8">
        <f>IF(B$19=0,0,B23/B$19)</f>
        <v>0.41379310344827586</v>
      </c>
      <c r="E23" s="29" t="s">
        <v>78</v>
      </c>
      <c r="F23" s="26" t="s">
        <v>33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9</v>
      </c>
      <c r="C24" s="8">
        <f>IF(B$19=0,0,B24/B$19)</f>
        <v>0.31034482758620691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8</v>
      </c>
      <c r="C25" s="8">
        <f>IF(B$19=0,0,B25/B$19)</f>
        <v>0.27586206896551724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9875.8620689655181</v>
      </c>
      <c r="C26" s="10">
        <v>286400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9670</v>
      </c>
      <c r="C27" s="100">
        <v>193400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10333.333333333334</v>
      </c>
      <c r="C28" s="100">
        <v>93000</v>
      </c>
      <c r="E28" s="29" t="s">
        <v>85</v>
      </c>
      <c r="F28" s="26" t="s">
        <v>40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-7740</v>
      </c>
      <c r="C29" s="100">
        <v>-116100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16</v>
      </c>
      <c r="C31" s="94">
        <v>16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6</v>
      </c>
      <c r="C32" s="130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106500</v>
      </c>
      <c r="C33" s="132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3.4482758620689655E-2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9</v>
      </c>
      <c r="C37" s="8">
        <f t="shared" si="2"/>
        <v>0.31034482758620691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0.13793103448275862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0.10344827586206896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2"/>
        <v>0.17241379310344829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0.10344827586206896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2</v>
      </c>
      <c r="C45" s="8">
        <f t="shared" si="2"/>
        <v>6.8965517241379309E-2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2</v>
      </c>
      <c r="C48" s="11">
        <f t="shared" si="2"/>
        <v>6.8965517241379309E-2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AD54-4FD7-43C0-BA07-C3D7F120BE4A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164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1</v>
      </c>
      <c r="C2" s="136"/>
      <c r="E2" s="28" t="s">
        <v>64</v>
      </c>
      <c r="F2" s="25" t="s">
        <v>20</v>
      </c>
      <c r="G2" s="13">
        <v>1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-2300</v>
      </c>
      <c r="P2" s="80">
        <v>1</v>
      </c>
      <c r="Q2" s="67">
        <v>-2300</v>
      </c>
    </row>
    <row r="3" spans="1:17" x14ac:dyDescent="0.45">
      <c r="A3" s="21" t="s">
        <v>8</v>
      </c>
      <c r="B3" s="137">
        <v>8</v>
      </c>
      <c r="C3" s="138"/>
      <c r="E3" s="29" t="s">
        <v>68</v>
      </c>
      <c r="F3" s="26" t="s">
        <v>12</v>
      </c>
      <c r="G3" s="14">
        <v>1</v>
      </c>
      <c r="H3" s="92">
        <f>IF(B$19=0,0,G3/B$19)</f>
        <v>1</v>
      </c>
      <c r="I3" s="60">
        <v>1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1</v>
      </c>
      <c r="Q3" s="68">
        <v>0</v>
      </c>
    </row>
    <row r="4" spans="1:17" x14ac:dyDescent="0.45">
      <c r="A4" s="21" t="s">
        <v>6</v>
      </c>
      <c r="B4" s="139">
        <v>-2.9</v>
      </c>
      <c r="C4" s="140"/>
      <c r="E4" s="29" t="s">
        <v>86</v>
      </c>
      <c r="F4" s="26" t="s">
        <v>41</v>
      </c>
      <c r="G4" s="14">
        <v>1</v>
      </c>
      <c r="H4" s="92">
        <f>IF(B$19=0,0,G4/B$19)</f>
        <v>1</v>
      </c>
      <c r="I4" s="60">
        <v>1</v>
      </c>
      <c r="N4" s="78" t="s">
        <v>130</v>
      </c>
      <c r="O4" s="84">
        <f t="shared" si="0"/>
        <v>400</v>
      </c>
      <c r="P4" s="81">
        <v>1</v>
      </c>
      <c r="Q4" s="68">
        <v>400</v>
      </c>
    </row>
    <row r="5" spans="1:17" x14ac:dyDescent="0.45">
      <c r="A5" s="21" t="s">
        <v>7</v>
      </c>
      <c r="B5" s="127">
        <f>IF(B$2=0,0,B$4/B$2)</f>
        <v>-2.9</v>
      </c>
      <c r="C5" s="128"/>
      <c r="E5" s="29" t="s">
        <v>65</v>
      </c>
      <c r="F5" s="26" t="s">
        <v>21</v>
      </c>
      <c r="G5" s="14">
        <v>0</v>
      </c>
      <c r="H5" s="92">
        <f>IF(B$19=0,0,G5/B$19)</f>
        <v>0</v>
      </c>
      <c r="I5" s="60">
        <v>5</v>
      </c>
      <c r="N5" s="78" t="s">
        <v>131</v>
      </c>
      <c r="O5" s="84">
        <f t="shared" si="0"/>
        <v>-2000</v>
      </c>
      <c r="P5" s="81">
        <v>1</v>
      </c>
      <c r="Q5" s="68">
        <v>-2000</v>
      </c>
    </row>
    <row r="6" spans="1:17" x14ac:dyDescent="0.45">
      <c r="A6" s="21" t="s">
        <v>1</v>
      </c>
      <c r="B6" s="141">
        <f>IF(B$2=0,0,(B$7*1+B$8*2+B$9*3)/B$2)</f>
        <v>2</v>
      </c>
      <c r="C6" s="142"/>
      <c r="E6" s="29" t="s">
        <v>66</v>
      </c>
      <c r="F6" s="26" t="s">
        <v>22</v>
      </c>
      <c r="G6" s="14">
        <v>0</v>
      </c>
      <c r="H6" s="92">
        <f>IF(B$19=0,0,G6/B$19)</f>
        <v>0</v>
      </c>
      <c r="I6" s="60">
        <v>6</v>
      </c>
      <c r="N6" s="78" t="s">
        <v>132</v>
      </c>
      <c r="O6" s="84">
        <f t="shared" si="0"/>
        <v>-1000</v>
      </c>
      <c r="P6" s="81">
        <v>1</v>
      </c>
      <c r="Q6" s="68">
        <v>-1000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67</v>
      </c>
      <c r="F7" s="26" t="s">
        <v>23</v>
      </c>
      <c r="G7" s="14">
        <v>0</v>
      </c>
      <c r="H7" s="92">
        <f>IF(B$19=0,0,G7/B$19)</f>
        <v>0</v>
      </c>
      <c r="I7" s="60">
        <v>5</v>
      </c>
      <c r="N7" s="79" t="s">
        <v>133</v>
      </c>
      <c r="O7" s="85">
        <f t="shared" si="0"/>
        <v>2000</v>
      </c>
      <c r="P7" s="82">
        <v>1</v>
      </c>
      <c r="Q7" s="69">
        <v>2000</v>
      </c>
    </row>
    <row r="8" spans="1:17" x14ac:dyDescent="0.45">
      <c r="A8" s="21" t="s">
        <v>3</v>
      </c>
      <c r="B8" s="14">
        <v>1</v>
      </c>
      <c r="C8" s="8">
        <f t="shared" si="1"/>
        <v>1</v>
      </c>
      <c r="E8" s="29" t="s">
        <v>69</v>
      </c>
      <c r="F8" s="26" t="s">
        <v>24</v>
      </c>
      <c r="G8" s="14">
        <v>0</v>
      </c>
      <c r="H8" s="92">
        <f>IF(B$19=0,0,G8/B$19)</f>
        <v>0</v>
      </c>
      <c r="I8" s="60">
        <v>3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0</v>
      </c>
      <c r="H9" s="92">
        <f>IF(B$19=0,0,G9/B$19)</f>
        <v>0</v>
      </c>
      <c r="I9" s="60">
        <v>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0</v>
      </c>
      <c r="H10" s="92">
        <f>IF(B$19=0,0,G10/B$19)</f>
        <v>0</v>
      </c>
      <c r="I10" s="60">
        <v>4</v>
      </c>
      <c r="N10" s="77" t="s">
        <v>152</v>
      </c>
      <c r="O10" s="86">
        <f>IF(P10=0,0,Q10/P10)</f>
        <v>-2.9</v>
      </c>
      <c r="P10" s="80">
        <v>1</v>
      </c>
      <c r="Q10" s="71">
        <v>-2.9</v>
      </c>
    </row>
    <row r="11" spans="1:17" x14ac:dyDescent="0.45">
      <c r="A11" s="22" t="s">
        <v>186</v>
      </c>
      <c r="B11" s="113">
        <f>IF(B8=0,0,C11/B8)</f>
        <v>-2.9</v>
      </c>
      <c r="C11" s="114">
        <v>-2.9</v>
      </c>
      <c r="E11" s="29" t="s">
        <v>72</v>
      </c>
      <c r="F11" s="26" t="s">
        <v>27</v>
      </c>
      <c r="G11" s="14">
        <v>0</v>
      </c>
      <c r="H11" s="92">
        <f>IF(B$19=0,0,G11/B$19)</f>
        <v>0</v>
      </c>
      <c r="I11" s="60">
        <v>6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73</v>
      </c>
      <c r="F12" s="26" t="s">
        <v>28</v>
      </c>
      <c r="G12" s="14">
        <v>0</v>
      </c>
      <c r="H12" s="92">
        <f>IF(B$19=0,0,G12/B$19)</f>
        <v>0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-0.96666666666666667</v>
      </c>
      <c r="C13" s="128"/>
      <c r="E13" s="29" t="s">
        <v>74</v>
      </c>
      <c r="F13" s="26" t="s">
        <v>29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75</v>
      </c>
      <c r="F14" s="26" t="s">
        <v>30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0.5</v>
      </c>
      <c r="E15" s="29" t="s">
        <v>76</v>
      </c>
      <c r="F15" s="26" t="s">
        <v>31</v>
      </c>
      <c r="G15" s="14">
        <v>0</v>
      </c>
      <c r="H15" s="92">
        <f>IF(B$19=0,0,G15/B$19)</f>
        <v>0</v>
      </c>
      <c r="I15" s="60">
        <v>1</v>
      </c>
      <c r="N15" s="77" t="s">
        <v>189</v>
      </c>
      <c r="O15" s="86">
        <f>IF(P15=0,0,Q15/P15)</f>
        <v>33.4</v>
      </c>
      <c r="P15" s="80">
        <v>1</v>
      </c>
      <c r="Q15" s="71">
        <v>33.4</v>
      </c>
    </row>
    <row r="16" spans="1:17" x14ac:dyDescent="0.45">
      <c r="A16" s="21" t="s">
        <v>118</v>
      </c>
      <c r="B16" s="14">
        <v>2</v>
      </c>
      <c r="C16" s="8">
        <f>IF(B$3=0,0,B16/B$3)</f>
        <v>0.25</v>
      </c>
      <c r="E16" s="29" t="s">
        <v>77</v>
      </c>
      <c r="F16" s="26" t="s">
        <v>32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-42.1</v>
      </c>
      <c r="P16" s="81">
        <v>1</v>
      </c>
      <c r="Q16" s="72">
        <v>-42.1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0.25</v>
      </c>
      <c r="E17" s="29" t="s">
        <v>78</v>
      </c>
      <c r="F17" s="26" t="s">
        <v>33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79</v>
      </c>
      <c r="F18" s="26" t="s">
        <v>34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1</v>
      </c>
      <c r="C19" s="6">
        <f>IF(B$3=0,0,B19/B$3)</f>
        <v>0.125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</v>
      </c>
      <c r="C20" s="8">
        <f>IF(B$3=0,0,B20/B$3)</f>
        <v>0.125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3</v>
      </c>
    </row>
    <row r="21" spans="1:9" x14ac:dyDescent="0.45">
      <c r="A21" s="21" t="s">
        <v>12</v>
      </c>
      <c r="B21" s="14">
        <v>1</v>
      </c>
      <c r="C21" s="8">
        <f>IF(B$19=0,0,B21/B$19)</f>
        <v>1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3</v>
      </c>
    </row>
    <row r="23" spans="1:9" x14ac:dyDescent="0.45">
      <c r="A23" s="21" t="s">
        <v>184</v>
      </c>
      <c r="B23" s="14">
        <v>1</v>
      </c>
      <c r="C23" s="8">
        <f>IF(B$19=0,0,B23/B$19)</f>
        <v>1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6400</v>
      </c>
      <c r="C26" s="10">
        <v>6400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6400</v>
      </c>
      <c r="C27" s="100">
        <v>6400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5</v>
      </c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-2000</v>
      </c>
      <c r="C29" s="100">
        <v>-2000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1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159</v>
      </c>
      <c r="B31" s="14">
        <v>5</v>
      </c>
      <c r="C31" s="94">
        <v>2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5">
      <c r="A32" s="56" t="s">
        <v>136</v>
      </c>
      <c r="B32" s="129">
        <v>0</v>
      </c>
      <c r="C32" s="130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32100</v>
      </c>
      <c r="C33" s="132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</v>
      </c>
      <c r="C39" s="8">
        <f t="shared" si="2"/>
        <v>1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0</v>
      </c>
      <c r="C40" s="8">
        <f t="shared" si="2"/>
        <v>0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173</v>
      </c>
      <c r="B41" s="122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ABC93-27B0-4FEF-B6DE-8343FEF7B2C7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189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1</v>
      </c>
      <c r="C2" s="136"/>
      <c r="E2" s="28" t="s">
        <v>64</v>
      </c>
      <c r="F2" s="25" t="s">
        <v>20</v>
      </c>
      <c r="G2" s="13">
        <v>1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3100</v>
      </c>
      <c r="P2" s="80">
        <v>1</v>
      </c>
      <c r="Q2" s="67">
        <v>3100</v>
      </c>
    </row>
    <row r="3" spans="1:17" x14ac:dyDescent="0.45">
      <c r="A3" s="21" t="s">
        <v>8</v>
      </c>
      <c r="B3" s="137">
        <v>8</v>
      </c>
      <c r="C3" s="138"/>
      <c r="E3" s="29" t="s">
        <v>65</v>
      </c>
      <c r="F3" s="26" t="s">
        <v>21</v>
      </c>
      <c r="G3" s="14">
        <v>1</v>
      </c>
      <c r="H3" s="92">
        <f>IF(B$19=0,0,G3/B$19)</f>
        <v>1</v>
      </c>
      <c r="I3" s="60">
        <v>1</v>
      </c>
      <c r="K3" s="7">
        <v>1</v>
      </c>
      <c r="L3" s="65">
        <v>-36.299999999999997</v>
      </c>
      <c r="N3" s="78" t="s">
        <v>129</v>
      </c>
      <c r="O3" s="84">
        <f t="shared" si="0"/>
        <v>-8000</v>
      </c>
      <c r="P3" s="81">
        <v>1</v>
      </c>
      <c r="Q3" s="68">
        <v>-8000</v>
      </c>
    </row>
    <row r="4" spans="1:17" x14ac:dyDescent="0.45">
      <c r="A4" s="21" t="s">
        <v>6</v>
      </c>
      <c r="B4" s="139">
        <v>-36.299999999999997</v>
      </c>
      <c r="C4" s="140"/>
      <c r="E4" s="29" t="s">
        <v>66</v>
      </c>
      <c r="F4" s="26" t="s">
        <v>22</v>
      </c>
      <c r="G4" s="14">
        <v>0</v>
      </c>
      <c r="H4" s="92">
        <f>IF(B$19=0,0,G4/B$19)</f>
        <v>0</v>
      </c>
      <c r="I4" s="60">
        <v>6</v>
      </c>
      <c r="N4" s="78" t="s">
        <v>130</v>
      </c>
      <c r="O4" s="84">
        <f t="shared" si="0"/>
        <v>-17300</v>
      </c>
      <c r="P4" s="81">
        <v>1</v>
      </c>
      <c r="Q4" s="68">
        <v>-17300</v>
      </c>
    </row>
    <row r="5" spans="1:17" x14ac:dyDescent="0.45">
      <c r="A5" s="21" t="s">
        <v>7</v>
      </c>
      <c r="B5" s="127">
        <f>IF(B$2=0,0,B$4/B$2)</f>
        <v>-36.299999999999997</v>
      </c>
      <c r="C5" s="128"/>
      <c r="E5" s="29" t="s">
        <v>67</v>
      </c>
      <c r="F5" s="26" t="s">
        <v>23</v>
      </c>
      <c r="G5" s="14">
        <v>0</v>
      </c>
      <c r="H5" s="92">
        <f>IF(B$19=0,0,G5/B$19)</f>
        <v>0</v>
      </c>
      <c r="I5" s="60">
        <v>5</v>
      </c>
      <c r="N5" s="78" t="s">
        <v>131</v>
      </c>
      <c r="O5" s="84">
        <f t="shared" si="0"/>
        <v>0</v>
      </c>
      <c r="P5" s="81">
        <v>1</v>
      </c>
      <c r="Q5" s="68">
        <v>0</v>
      </c>
    </row>
    <row r="6" spans="1:17" x14ac:dyDescent="0.45">
      <c r="A6" s="21" t="s">
        <v>1</v>
      </c>
      <c r="B6" s="141">
        <f>IF(B$2=0,0,(B$7*1+B$8*2+B$9*3)/B$2)</f>
        <v>3</v>
      </c>
      <c r="C6" s="142"/>
      <c r="E6" s="29" t="s">
        <v>68</v>
      </c>
      <c r="F6" s="26" t="s">
        <v>12</v>
      </c>
      <c r="G6" s="14">
        <v>0</v>
      </c>
      <c r="H6" s="92">
        <f>IF(B$19=0,0,G6/B$19)</f>
        <v>0</v>
      </c>
      <c r="I6" s="60">
        <v>6</v>
      </c>
      <c r="N6" s="78" t="s">
        <v>132</v>
      </c>
      <c r="O6" s="84">
        <f t="shared" si="0"/>
        <v>-2600</v>
      </c>
      <c r="P6" s="81">
        <v>1</v>
      </c>
      <c r="Q6" s="68">
        <v>-2600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69</v>
      </c>
      <c r="F7" s="26" t="s">
        <v>24</v>
      </c>
      <c r="G7" s="14">
        <v>0</v>
      </c>
      <c r="H7" s="92">
        <f>IF(B$19=0,0,G7/B$19)</f>
        <v>0</v>
      </c>
      <c r="I7" s="60">
        <v>3</v>
      </c>
      <c r="N7" s="79" t="s">
        <v>133</v>
      </c>
      <c r="O7" s="85">
        <f t="shared" si="0"/>
        <v>-1500</v>
      </c>
      <c r="P7" s="82">
        <v>1</v>
      </c>
      <c r="Q7" s="69">
        <v>-1500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70</v>
      </c>
      <c r="F8" s="26" t="s">
        <v>25</v>
      </c>
      <c r="G8" s="14">
        <v>0</v>
      </c>
      <c r="H8" s="92">
        <f>IF(B$19=0,0,G8/B$19)</f>
        <v>0</v>
      </c>
      <c r="I8" s="60">
        <v>4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1</v>
      </c>
      <c r="E9" s="29" t="s">
        <v>71</v>
      </c>
      <c r="F9" s="26" t="s">
        <v>26</v>
      </c>
      <c r="G9" s="14">
        <v>0</v>
      </c>
      <c r="H9" s="92">
        <f>IF(B$19=0,0,G9/B$19)</f>
        <v>0</v>
      </c>
      <c r="I9" s="60">
        <v>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>IF(B$19=0,0,G10/B$19)</f>
        <v>0</v>
      </c>
      <c r="I10" s="60">
        <v>6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>IF(B$19=0,0,G11/B$19)</f>
        <v>0</v>
      </c>
      <c r="I11" s="60">
        <v>1</v>
      </c>
      <c r="N11" s="78" t="s">
        <v>153</v>
      </c>
      <c r="O11" s="87">
        <f>IF(P11=0,0,Q11/P11)</f>
        <v>-36.299999999999997</v>
      </c>
      <c r="P11" s="81">
        <v>1</v>
      </c>
      <c r="Q11" s="72">
        <v>-36.299999999999997</v>
      </c>
    </row>
    <row r="12" spans="1:17" x14ac:dyDescent="0.45">
      <c r="A12" s="22" t="s">
        <v>187</v>
      </c>
      <c r="B12" s="113">
        <f>IF(B9=0,0,C12/B9)</f>
        <v>-36.299999999999997</v>
      </c>
      <c r="C12" s="114">
        <v>-36.299999999999997</v>
      </c>
      <c r="E12" s="29" t="s">
        <v>74</v>
      </c>
      <c r="F12" s="26" t="s">
        <v>29</v>
      </c>
      <c r="G12" s="14">
        <v>0</v>
      </c>
      <c r="H12" s="92">
        <f>IF(B$19=0,0,G12/B$19)</f>
        <v>0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-12.1</v>
      </c>
      <c r="C13" s="128"/>
      <c r="E13" s="29" t="s">
        <v>75</v>
      </c>
      <c r="F13" s="26" t="s">
        <v>30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76</v>
      </c>
      <c r="F14" s="26" t="s">
        <v>31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</v>
      </c>
      <c r="C15" s="12">
        <f>IF(B$3=0,0,B15/B$3)</f>
        <v>0.375</v>
      </c>
      <c r="E15" s="29" t="s">
        <v>77</v>
      </c>
      <c r="F15" s="26" t="s">
        <v>32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-33.4</v>
      </c>
      <c r="P15" s="80">
        <v>1</v>
      </c>
      <c r="Q15" s="71">
        <v>-33.4</v>
      </c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-75.5</v>
      </c>
      <c r="P16" s="81">
        <v>1</v>
      </c>
      <c r="Q16" s="72">
        <v>-75.5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0.33333333333333331</v>
      </c>
      <c r="E17" s="29" t="s">
        <v>79</v>
      </c>
      <c r="F17" s="26" t="s">
        <v>34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1</v>
      </c>
      <c r="C19" s="6">
        <f>IF(B$3=0,0,B19/B$3)</f>
        <v>0.125</v>
      </c>
      <c r="E19" s="29" t="s">
        <v>81</v>
      </c>
      <c r="F19" s="26" t="s">
        <v>36</v>
      </c>
      <c r="G19" s="14">
        <v>0</v>
      </c>
      <c r="H19" s="92">
        <f>IF(B$19=0,0,G19/B$19)</f>
        <v>0</v>
      </c>
      <c r="I19" s="60">
        <v>3</v>
      </c>
    </row>
    <row r="20" spans="1:9" x14ac:dyDescent="0.45">
      <c r="A20" s="21" t="s">
        <v>13</v>
      </c>
      <c r="B20" s="14">
        <v>3</v>
      </c>
      <c r="C20" s="8">
        <f>IF(B$3=0,0,B20/B$3)</f>
        <v>0.375</v>
      </c>
      <c r="E20" s="29" t="s">
        <v>82</v>
      </c>
      <c r="F20" s="26" t="s">
        <v>37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1</v>
      </c>
      <c r="C21" s="8">
        <f>IF(B$19=0,0,B21/B$19)</f>
        <v>1</v>
      </c>
      <c r="E21" s="29" t="s">
        <v>83</v>
      </c>
      <c r="F21" s="26" t="s">
        <v>38</v>
      </c>
      <c r="G21" s="14">
        <v>0</v>
      </c>
      <c r="H21" s="92">
        <f>IF(B$19=0,0,G21/B$19)</f>
        <v>0</v>
      </c>
      <c r="I21" s="60">
        <v>3</v>
      </c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1</v>
      </c>
      <c r="C23" s="8">
        <f>IF(B$19=0,0,B23/B$19)</f>
        <v>1</v>
      </c>
      <c r="E23" s="29" t="s">
        <v>85</v>
      </c>
      <c r="F23" s="26" t="s">
        <v>40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>IF(B$19=0,0,G24/B$19)</f>
        <v>0</v>
      </c>
      <c r="I24" s="60">
        <v>5</v>
      </c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2100</v>
      </c>
      <c r="C26" s="10">
        <v>2100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2100</v>
      </c>
      <c r="C27" s="100">
        <v>2100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5</v>
      </c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-4166.666666666667</v>
      </c>
      <c r="C29" s="100">
        <v>-12500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1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159</v>
      </c>
      <c r="B31" s="14">
        <v>2</v>
      </c>
      <c r="C31" s="94">
        <v>1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5">
      <c r="A32" s="56" t="s">
        <v>136</v>
      </c>
      <c r="B32" s="129">
        <v>0</v>
      </c>
      <c r="C32" s="130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8700</v>
      </c>
      <c r="C33" s="132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1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0</v>
      </c>
      <c r="C40" s="8">
        <f t="shared" si="2"/>
        <v>0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173</v>
      </c>
      <c r="B41" s="122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99EB-1907-4BBD-B0BD-5F411B8FBA97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126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</v>
      </c>
      <c r="C2" s="136"/>
      <c r="E2" s="28" t="s">
        <v>72</v>
      </c>
      <c r="F2" s="25" t="s">
        <v>27</v>
      </c>
      <c r="G2" s="13">
        <v>10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6733.333333333333</v>
      </c>
      <c r="P2" s="80">
        <v>3</v>
      </c>
      <c r="Q2" s="67">
        <v>20200</v>
      </c>
    </row>
    <row r="3" spans="1:17" x14ac:dyDescent="0.45">
      <c r="A3" s="21" t="s">
        <v>8</v>
      </c>
      <c r="B3" s="137">
        <v>20</v>
      </c>
      <c r="C3" s="138"/>
      <c r="E3" s="29" t="s">
        <v>66</v>
      </c>
      <c r="F3" s="26" t="s">
        <v>22</v>
      </c>
      <c r="G3" s="14">
        <v>5</v>
      </c>
      <c r="H3" s="92">
        <f>IF(B$19=0,0,G3/B$19)</f>
        <v>0.5</v>
      </c>
      <c r="I3" s="60">
        <v>3</v>
      </c>
      <c r="K3" s="7">
        <v>1</v>
      </c>
      <c r="L3" s="65">
        <v>39.200000000000003</v>
      </c>
      <c r="N3" s="78" t="s">
        <v>129</v>
      </c>
      <c r="O3" s="84">
        <f t="shared" si="0"/>
        <v>3700</v>
      </c>
      <c r="P3" s="81">
        <v>3</v>
      </c>
      <c r="Q3" s="68">
        <v>11100</v>
      </c>
    </row>
    <row r="4" spans="1:17" x14ac:dyDescent="0.45">
      <c r="A4" s="21" t="s">
        <v>6</v>
      </c>
      <c r="B4" s="139">
        <v>98.1</v>
      </c>
      <c r="C4" s="140"/>
      <c r="E4" s="29" t="s">
        <v>89</v>
      </c>
      <c r="F4" s="26" t="s">
        <v>44</v>
      </c>
      <c r="G4" s="14">
        <v>3</v>
      </c>
      <c r="H4" s="92">
        <f>IF(B$19=0,0,G4/B$19)</f>
        <v>0.3</v>
      </c>
      <c r="I4" s="60">
        <v>2</v>
      </c>
      <c r="K4" s="7">
        <v>2</v>
      </c>
      <c r="L4" s="65">
        <v>99.6</v>
      </c>
      <c r="N4" s="78" t="s">
        <v>130</v>
      </c>
      <c r="O4" s="84">
        <f t="shared" si="0"/>
        <v>12900</v>
      </c>
      <c r="P4" s="81">
        <v>3</v>
      </c>
      <c r="Q4" s="68">
        <v>38700</v>
      </c>
    </row>
    <row r="5" spans="1:17" x14ac:dyDescent="0.45">
      <c r="A5" s="21" t="s">
        <v>7</v>
      </c>
      <c r="B5" s="127">
        <f>IF(B$2=0,0,B$4/B$2)</f>
        <v>32.699999999999996</v>
      </c>
      <c r="C5" s="128"/>
      <c r="E5" s="29" t="s">
        <v>160</v>
      </c>
      <c r="F5" s="26" t="s">
        <v>161</v>
      </c>
      <c r="G5" s="14">
        <v>3</v>
      </c>
      <c r="H5" s="92">
        <f>IF(B$19=0,0,G5/B$19)</f>
        <v>0.3</v>
      </c>
      <c r="I5" s="60">
        <v>2</v>
      </c>
      <c r="K5" s="7">
        <v>3</v>
      </c>
      <c r="L5" s="65">
        <v>98.1</v>
      </c>
      <c r="N5" s="78" t="s">
        <v>131</v>
      </c>
      <c r="O5" s="84">
        <f t="shared" si="0"/>
        <v>5000</v>
      </c>
      <c r="P5" s="81">
        <v>2</v>
      </c>
      <c r="Q5" s="68">
        <v>10000</v>
      </c>
    </row>
    <row r="6" spans="1:17" x14ac:dyDescent="0.45">
      <c r="A6" s="21" t="s">
        <v>1</v>
      </c>
      <c r="B6" s="141">
        <f>IF(B$2=0,0,(B$7*1+B$8*2+B$9*3)/B$2)</f>
        <v>1.3333333333333333</v>
      </c>
      <c r="C6" s="142"/>
      <c r="E6" s="29" t="s">
        <v>86</v>
      </c>
      <c r="F6" s="26" t="s">
        <v>41</v>
      </c>
      <c r="G6" s="14">
        <v>2</v>
      </c>
      <c r="H6" s="92">
        <f>IF(B$19=0,0,G6/B$19)</f>
        <v>0.2</v>
      </c>
      <c r="I6" s="60">
        <v>3</v>
      </c>
      <c r="N6" s="78" t="s">
        <v>132</v>
      </c>
      <c r="O6" s="84">
        <f t="shared" si="0"/>
        <v>1050</v>
      </c>
      <c r="P6" s="81">
        <v>2</v>
      </c>
      <c r="Q6" s="68">
        <v>2100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0.66666666666666663</v>
      </c>
      <c r="E7" s="29" t="s">
        <v>70</v>
      </c>
      <c r="F7" s="26" t="s">
        <v>25</v>
      </c>
      <c r="G7" s="14">
        <v>1</v>
      </c>
      <c r="H7" s="92">
        <f>IF(B$19=0,0,G7/B$19)</f>
        <v>0.1</v>
      </c>
      <c r="I7" s="60">
        <v>2</v>
      </c>
      <c r="N7" s="79" t="s">
        <v>133</v>
      </c>
      <c r="O7" s="85">
        <f t="shared" si="0"/>
        <v>-2000</v>
      </c>
      <c r="P7" s="82">
        <v>2</v>
      </c>
      <c r="Q7" s="69">
        <v>-4000</v>
      </c>
    </row>
    <row r="8" spans="1:17" x14ac:dyDescent="0.45">
      <c r="A8" s="21" t="s">
        <v>3</v>
      </c>
      <c r="B8" s="14">
        <v>1</v>
      </c>
      <c r="C8" s="8">
        <f t="shared" si="1"/>
        <v>0.33333333333333331</v>
      </c>
      <c r="E8" s="29" t="s">
        <v>71</v>
      </c>
      <c r="F8" s="26" t="s">
        <v>26</v>
      </c>
      <c r="G8" s="14">
        <v>1</v>
      </c>
      <c r="H8" s="92">
        <f>IF(B$19=0,0,G8/B$19)</f>
        <v>0.1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83</v>
      </c>
      <c r="F9" s="26" t="s">
        <v>38</v>
      </c>
      <c r="G9" s="14">
        <v>1</v>
      </c>
      <c r="H9" s="92">
        <f>IF(B$19=0,0,G9/B$19)</f>
        <v>0.1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49.8</v>
      </c>
      <c r="C10" s="114">
        <v>99.6</v>
      </c>
      <c r="E10" s="29" t="s">
        <v>95</v>
      </c>
      <c r="F10" s="26" t="s">
        <v>50</v>
      </c>
      <c r="G10" s="14">
        <v>1</v>
      </c>
      <c r="H10" s="92">
        <f>IF(B$19=0,0,G10/B$19)</f>
        <v>0.1</v>
      </c>
      <c r="I10" s="60">
        <v>1</v>
      </c>
      <c r="N10" s="77" t="s">
        <v>152</v>
      </c>
      <c r="O10" s="86">
        <f>IF(P10=0,0,Q10/P10)</f>
        <v>60.4</v>
      </c>
      <c r="P10" s="80">
        <v>1</v>
      </c>
      <c r="Q10" s="71">
        <v>60.4</v>
      </c>
    </row>
    <row r="11" spans="1:17" x14ac:dyDescent="0.45">
      <c r="A11" s="22" t="s">
        <v>186</v>
      </c>
      <c r="B11" s="113">
        <f>IF(B8=0,0,C11/B8)</f>
        <v>-1.5</v>
      </c>
      <c r="C11" s="114">
        <v>-1.5</v>
      </c>
      <c r="E11" s="29" t="s">
        <v>64</v>
      </c>
      <c r="F11" s="26" t="s">
        <v>20</v>
      </c>
      <c r="G11" s="14">
        <v>0</v>
      </c>
      <c r="H11" s="92">
        <f>IF(B$19=0,0,G11/B$19)</f>
        <v>0</v>
      </c>
      <c r="I11" s="60">
        <v>7</v>
      </c>
      <c r="N11" s="78" t="s">
        <v>153</v>
      </c>
      <c r="O11" s="87">
        <f>IF(P11=0,0,Q11/P11)</f>
        <v>-1.5</v>
      </c>
      <c r="P11" s="81">
        <v>1</v>
      </c>
      <c r="Q11" s="72">
        <v>-1.5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5</v>
      </c>
      <c r="N12" s="79" t="s">
        <v>154</v>
      </c>
      <c r="O12" s="88">
        <f>IF(P12=0,0,Q12/P12)</f>
        <v>39.200000000000003</v>
      </c>
      <c r="P12" s="82">
        <v>1</v>
      </c>
      <c r="Q12" s="73">
        <v>39.200000000000003</v>
      </c>
    </row>
    <row r="13" spans="1:17" x14ac:dyDescent="0.45">
      <c r="A13" s="22" t="s">
        <v>188</v>
      </c>
      <c r="B13" s="127">
        <f>AVERAGE(B10:B12)</f>
        <v>16.099999999999998</v>
      </c>
      <c r="C13" s="128"/>
      <c r="E13" s="29" t="s">
        <v>67</v>
      </c>
      <c r="F13" s="26" t="s">
        <v>23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68</v>
      </c>
      <c r="F14" s="26" t="s">
        <v>12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69</v>
      </c>
      <c r="F15" s="26" t="s">
        <v>24</v>
      </c>
      <c r="G15" s="14">
        <v>0</v>
      </c>
      <c r="H15" s="92">
        <f>IF(B$19=0,0,G15/B$19)</f>
        <v>0</v>
      </c>
      <c r="I15" s="60">
        <v>3</v>
      </c>
      <c r="N15" s="77" t="s">
        <v>189</v>
      </c>
      <c r="O15" s="86">
        <f>IF(P15=0,0,Q15/P15)</f>
        <v>75.5</v>
      </c>
      <c r="P15" s="80">
        <v>1</v>
      </c>
      <c r="Q15" s="71">
        <v>75.5</v>
      </c>
    </row>
    <row r="16" spans="1:17" x14ac:dyDescent="0.45">
      <c r="A16" s="21" t="s">
        <v>118</v>
      </c>
      <c r="B16" s="14">
        <v>7</v>
      </c>
      <c r="C16" s="8">
        <f>IF(B$3=0,0,B16/B$3)</f>
        <v>0.35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53.449999999999996</v>
      </c>
      <c r="P16" s="81">
        <v>2</v>
      </c>
      <c r="Q16" s="72">
        <v>106.89999999999999</v>
      </c>
    </row>
    <row r="17" spans="1:17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164</v>
      </c>
      <c r="O17" s="87">
        <f>IF(P17=0,0,Q17/P17)</f>
        <v>42.1</v>
      </c>
      <c r="P17" s="81">
        <v>1</v>
      </c>
      <c r="Q17" s="72">
        <v>42.1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  <c r="N18" s="78" t="s">
        <v>197</v>
      </c>
      <c r="O18" s="87">
        <f>IF(P18=0,0,Q18/P18)</f>
        <v>34.9</v>
      </c>
      <c r="P18" s="81">
        <v>2</v>
      </c>
      <c r="Q18" s="72">
        <v>69.8</v>
      </c>
    </row>
    <row r="19" spans="1:17" x14ac:dyDescent="0.45">
      <c r="A19" s="20" t="s">
        <v>10</v>
      </c>
      <c r="B19" s="13">
        <f>B22+B21</f>
        <v>10</v>
      </c>
      <c r="C19" s="6">
        <f>IF(B$3=0,0,B19/B$3)</f>
        <v>0.5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1</v>
      </c>
      <c r="C20" s="8">
        <f>IF(B$3=0,0,B20/B$3)</f>
        <v>0.05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4</v>
      </c>
      <c r="C21" s="8">
        <f>IF(B$19=0,0,B21/B$19)</f>
        <v>0.4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6</v>
      </c>
      <c r="C22" s="8">
        <f>IF(B$19=0,0,B22/B$19)</f>
        <v>0.6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0</v>
      </c>
      <c r="C23" s="8">
        <f>IF(B$19=0,0,B23/B$19)</f>
        <v>0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7</v>
      </c>
      <c r="C24" s="8">
        <f>IF(B$19=0,0,B24/B$19)</f>
        <v>0.7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0.3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9650</v>
      </c>
      <c r="C26" s="10">
        <v>96500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4500</v>
      </c>
      <c r="C27" s="100">
        <v>13500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11857.142857142857</v>
      </c>
      <c r="C28" s="100">
        <v>83000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-7700</v>
      </c>
      <c r="C29" s="100">
        <v>-7700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12</v>
      </c>
      <c r="C31" s="94">
        <v>7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3</v>
      </c>
      <c r="C32" s="130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85400</v>
      </c>
      <c r="C33" s="13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2</v>
      </c>
      <c r="C40" s="8">
        <f t="shared" si="2"/>
        <v>0.2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0.1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4FCD9-9BEC-4509-B94A-21874D1ECCF0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195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2</v>
      </c>
      <c r="C2" s="136"/>
      <c r="E2" s="28" t="s">
        <v>64</v>
      </c>
      <c r="F2" s="25" t="s">
        <v>20</v>
      </c>
      <c r="G2" s="13">
        <v>0</v>
      </c>
      <c r="H2" s="91">
        <f>IF(B$19=0,0,G2/B$19)</f>
        <v>0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-11350</v>
      </c>
      <c r="P2" s="80">
        <v>2</v>
      </c>
      <c r="Q2" s="67">
        <v>-22700</v>
      </c>
    </row>
    <row r="3" spans="1:17" x14ac:dyDescent="0.45">
      <c r="A3" s="21" t="s">
        <v>8</v>
      </c>
      <c r="B3" s="137">
        <v>12</v>
      </c>
      <c r="C3" s="138"/>
      <c r="E3" s="29" t="s">
        <v>65</v>
      </c>
      <c r="F3" s="26" t="s">
        <v>21</v>
      </c>
      <c r="G3" s="14">
        <v>0</v>
      </c>
      <c r="H3" s="92">
        <f>IF(B$19=0,0,G3/B$19)</f>
        <v>0</v>
      </c>
      <c r="I3" s="60">
        <v>5</v>
      </c>
      <c r="K3" s="7">
        <v>1</v>
      </c>
      <c r="L3" s="65">
        <v>-55.5</v>
      </c>
      <c r="N3" s="78" t="s">
        <v>129</v>
      </c>
      <c r="O3" s="84">
        <f t="shared" si="0"/>
        <v>-3250</v>
      </c>
      <c r="P3" s="81">
        <v>2</v>
      </c>
      <c r="Q3" s="68">
        <v>-6500</v>
      </c>
    </row>
    <row r="4" spans="1:17" x14ac:dyDescent="0.45">
      <c r="A4" s="21" t="s">
        <v>6</v>
      </c>
      <c r="B4" s="139">
        <v>-106.5</v>
      </c>
      <c r="C4" s="140"/>
      <c r="E4" s="29" t="s">
        <v>66</v>
      </c>
      <c r="F4" s="26" t="s">
        <v>22</v>
      </c>
      <c r="G4" s="14">
        <v>0</v>
      </c>
      <c r="H4" s="92">
        <f>IF(B$19=0,0,G4/B$19)</f>
        <v>0</v>
      </c>
      <c r="I4" s="60">
        <v>6</v>
      </c>
      <c r="K4" s="7">
        <v>2</v>
      </c>
      <c r="L4" s="65">
        <v>-106.5</v>
      </c>
      <c r="N4" s="78" t="s">
        <v>130</v>
      </c>
      <c r="O4" s="84">
        <f t="shared" si="0"/>
        <v>-28650</v>
      </c>
      <c r="P4" s="81">
        <v>2</v>
      </c>
      <c r="Q4" s="68">
        <v>-57300</v>
      </c>
    </row>
    <row r="5" spans="1:17" x14ac:dyDescent="0.45">
      <c r="A5" s="21" t="s">
        <v>7</v>
      </c>
      <c r="B5" s="127">
        <f>IF(B$2=0,0,B$4/B$2)</f>
        <v>-53.25</v>
      </c>
      <c r="C5" s="128"/>
      <c r="E5" s="29" t="s">
        <v>67</v>
      </c>
      <c r="F5" s="26" t="s">
        <v>23</v>
      </c>
      <c r="G5" s="14">
        <v>0</v>
      </c>
      <c r="H5" s="92">
        <f>IF(B$19=0,0,G5/B$19)</f>
        <v>0</v>
      </c>
      <c r="I5" s="60">
        <v>5</v>
      </c>
      <c r="N5" s="78" t="s">
        <v>131</v>
      </c>
      <c r="O5" s="84">
        <f t="shared" si="0"/>
        <v>0</v>
      </c>
      <c r="P5" s="81">
        <v>0</v>
      </c>
      <c r="Q5" s="68">
        <v>0</v>
      </c>
    </row>
    <row r="6" spans="1:17" x14ac:dyDescent="0.45">
      <c r="A6" s="21" t="s">
        <v>1</v>
      </c>
      <c r="B6" s="141">
        <f>IF(B$2=0,0,(B$7*1+B$8*2+B$9*3)/B$2)</f>
        <v>3</v>
      </c>
      <c r="C6" s="142"/>
      <c r="E6" s="29" t="s">
        <v>68</v>
      </c>
      <c r="F6" s="26" t="s">
        <v>12</v>
      </c>
      <c r="G6" s="14">
        <v>0</v>
      </c>
      <c r="H6" s="92">
        <f>IF(B$19=0,0,G6/B$19)</f>
        <v>0</v>
      </c>
      <c r="I6" s="60">
        <v>6</v>
      </c>
      <c r="N6" s="78" t="s">
        <v>132</v>
      </c>
      <c r="O6" s="84">
        <f t="shared" si="0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69</v>
      </c>
      <c r="F7" s="26" t="s">
        <v>24</v>
      </c>
      <c r="G7" s="14">
        <v>0</v>
      </c>
      <c r="H7" s="92">
        <f>IF(B$19=0,0,G7/B$19)</f>
        <v>0</v>
      </c>
      <c r="I7" s="60">
        <v>3</v>
      </c>
      <c r="N7" s="79" t="s">
        <v>133</v>
      </c>
      <c r="O7" s="85">
        <f t="shared" si="0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70</v>
      </c>
      <c r="F8" s="26" t="s">
        <v>25</v>
      </c>
      <c r="G8" s="14">
        <v>0</v>
      </c>
      <c r="H8" s="92">
        <f>IF(B$19=0,0,G8/B$19)</f>
        <v>0</v>
      </c>
      <c r="I8" s="60">
        <v>4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1</v>
      </c>
      <c r="E9" s="29" t="s">
        <v>71</v>
      </c>
      <c r="F9" s="26" t="s">
        <v>26</v>
      </c>
      <c r="G9" s="14">
        <v>0</v>
      </c>
      <c r="H9" s="92">
        <f>IF(B$19=0,0,G9/B$19)</f>
        <v>0</v>
      </c>
      <c r="I9" s="60">
        <v>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>IF(B$19=0,0,G10/B$19)</f>
        <v>0</v>
      </c>
      <c r="I10" s="60">
        <v>6</v>
      </c>
      <c r="N10" s="77" t="s">
        <v>152</v>
      </c>
      <c r="O10" s="86">
        <f>IF(P10=0,0,Q10/P10)</f>
        <v>-53.25</v>
      </c>
      <c r="P10" s="80">
        <v>2</v>
      </c>
      <c r="Q10" s="71">
        <v>-106.5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>IF(B$19=0,0,G11/B$19)</f>
        <v>0</v>
      </c>
      <c r="I11" s="60">
        <v>1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-53.25</v>
      </c>
      <c r="C12" s="114">
        <v>-106.5</v>
      </c>
      <c r="E12" s="29" t="s">
        <v>74</v>
      </c>
      <c r="F12" s="26" t="s">
        <v>29</v>
      </c>
      <c r="G12" s="14">
        <v>0</v>
      </c>
      <c r="H12" s="92">
        <f>IF(B$19=0,0,G12/B$19)</f>
        <v>0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-17.75</v>
      </c>
      <c r="C13" s="128"/>
      <c r="E13" s="29" t="s">
        <v>75</v>
      </c>
      <c r="F13" s="26" t="s">
        <v>30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1</v>
      </c>
      <c r="E14" s="29" t="s">
        <v>76</v>
      </c>
      <c r="F14" s="26" t="s">
        <v>31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0.33333333333333331</v>
      </c>
      <c r="E15" s="29" t="s">
        <v>77</v>
      </c>
      <c r="F15" s="26" t="s">
        <v>32</v>
      </c>
      <c r="G15" s="14">
        <v>0</v>
      </c>
      <c r="H15" s="92">
        <f>IF(B$19=0,0,G15/B$19)</f>
        <v>0</v>
      </c>
      <c r="I15" s="60">
        <v>1</v>
      </c>
      <c r="N15" s="77" t="s">
        <v>197</v>
      </c>
      <c r="O15" s="86">
        <f>IF(P15=0,0,Q15/P15)</f>
        <v>-20.5</v>
      </c>
      <c r="P15" s="80">
        <v>1</v>
      </c>
      <c r="Q15" s="71">
        <v>-20.5</v>
      </c>
    </row>
    <row r="16" spans="1:17" x14ac:dyDescent="0.45">
      <c r="A16" s="21" t="s">
        <v>118</v>
      </c>
      <c r="B16" s="14">
        <v>1</v>
      </c>
      <c r="C16" s="8">
        <f>IF(B$3=0,0,B16/B$3)</f>
        <v>8.3333333333333329E-2</v>
      </c>
      <c r="E16" s="29" t="s">
        <v>78</v>
      </c>
      <c r="F16" s="26" t="s">
        <v>33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-55</v>
      </c>
      <c r="P16" s="81">
        <v>1</v>
      </c>
      <c r="Q16" s="72">
        <v>-55</v>
      </c>
    </row>
    <row r="17" spans="1:17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>IF(B$19=0,0,G17/B$19)</f>
        <v>0</v>
      </c>
      <c r="I17" s="60">
        <v>1</v>
      </c>
      <c r="N17" s="78" t="s">
        <v>194</v>
      </c>
      <c r="O17" s="87">
        <f>IF(P17=0,0,Q17/P17)</f>
        <v>-122</v>
      </c>
      <c r="P17" s="81">
        <v>2</v>
      </c>
      <c r="Q17" s="72">
        <v>-244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4</v>
      </c>
      <c r="C20" s="8">
        <f>IF(B$3=0,0,B20/B$3)</f>
        <v>0.33333333333333331</v>
      </c>
      <c r="E20" s="29" t="s">
        <v>82</v>
      </c>
      <c r="F20" s="26" t="s">
        <v>37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>IF(B$19=0,0,G24/B$19)</f>
        <v>0</v>
      </c>
      <c r="I24" s="60">
        <v>5</v>
      </c>
    </row>
    <row r="25" spans="1:17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5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-7725</v>
      </c>
      <c r="C29" s="100">
        <v>-30900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4</v>
      </c>
      <c r="C31" s="94">
        <v>0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0</v>
      </c>
      <c r="C32" s="130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-6000</v>
      </c>
      <c r="C33" s="132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7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6339-386F-41C4-BDFE-80E8F817A815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193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</v>
      </c>
      <c r="C2" s="136"/>
      <c r="E2" s="28" t="s">
        <v>67</v>
      </c>
      <c r="F2" s="25" t="s">
        <v>23</v>
      </c>
      <c r="G2" s="13">
        <v>4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-2000</v>
      </c>
      <c r="P2" s="80">
        <v>3</v>
      </c>
      <c r="Q2" s="67">
        <v>-6000</v>
      </c>
    </row>
    <row r="3" spans="1:17" x14ac:dyDescent="0.45">
      <c r="A3" s="21" t="s">
        <v>8</v>
      </c>
      <c r="B3" s="137">
        <v>16</v>
      </c>
      <c r="C3" s="138"/>
      <c r="E3" s="29" t="s">
        <v>160</v>
      </c>
      <c r="F3" s="26" t="s">
        <v>161</v>
      </c>
      <c r="G3" s="14">
        <v>4</v>
      </c>
      <c r="H3" s="92">
        <f>IF(B$19=0,0,G3/B$19)</f>
        <v>1</v>
      </c>
      <c r="I3" s="60">
        <v>1</v>
      </c>
      <c r="K3" s="7">
        <v>1</v>
      </c>
      <c r="L3" s="65">
        <v>-0.5</v>
      </c>
      <c r="N3" s="78" t="s">
        <v>129</v>
      </c>
      <c r="O3" s="84">
        <f t="shared" si="0"/>
        <v>333.33333333333331</v>
      </c>
      <c r="P3" s="81">
        <v>3</v>
      </c>
      <c r="Q3" s="68">
        <v>1000</v>
      </c>
    </row>
    <row r="4" spans="1:17" x14ac:dyDescent="0.45">
      <c r="A4" s="21" t="s">
        <v>6</v>
      </c>
      <c r="B4" s="139">
        <v>-48.5</v>
      </c>
      <c r="C4" s="140"/>
      <c r="E4" s="29" t="s">
        <v>64</v>
      </c>
      <c r="F4" s="26" t="s">
        <v>20</v>
      </c>
      <c r="G4" s="14">
        <v>3</v>
      </c>
      <c r="H4" s="92">
        <f>IF(B$19=0,0,G4/B$19)</f>
        <v>0.75</v>
      </c>
      <c r="I4" s="60">
        <v>3</v>
      </c>
      <c r="K4" s="7">
        <v>2</v>
      </c>
      <c r="L4" s="65">
        <v>-62.8</v>
      </c>
      <c r="N4" s="78" t="s">
        <v>130</v>
      </c>
      <c r="O4" s="84">
        <f t="shared" si="0"/>
        <v>-15666.666666666666</v>
      </c>
      <c r="P4" s="81">
        <v>3</v>
      </c>
      <c r="Q4" s="68">
        <v>-47000</v>
      </c>
    </row>
    <row r="5" spans="1:17" x14ac:dyDescent="0.45">
      <c r="A5" s="21" t="s">
        <v>7</v>
      </c>
      <c r="B5" s="127">
        <f>IF(B$2=0,0,B$4/B$2)</f>
        <v>-16.166666666666668</v>
      </c>
      <c r="C5" s="128"/>
      <c r="E5" s="29" t="s">
        <v>72</v>
      </c>
      <c r="F5" s="26" t="s">
        <v>27</v>
      </c>
      <c r="G5" s="14">
        <v>3</v>
      </c>
      <c r="H5" s="92">
        <f>IF(B$19=0,0,G5/B$19)</f>
        <v>0.75</v>
      </c>
      <c r="I5" s="60">
        <v>2</v>
      </c>
      <c r="K5" s="7">
        <v>3</v>
      </c>
      <c r="L5" s="65">
        <v>-48.5</v>
      </c>
      <c r="N5" s="78" t="s">
        <v>131</v>
      </c>
      <c r="O5" s="84">
        <f t="shared" si="0"/>
        <v>-5000</v>
      </c>
      <c r="P5" s="81">
        <v>1</v>
      </c>
      <c r="Q5" s="68">
        <v>-5000</v>
      </c>
    </row>
    <row r="6" spans="1:17" x14ac:dyDescent="0.45">
      <c r="A6" s="21" t="s">
        <v>1</v>
      </c>
      <c r="B6" s="141">
        <f>IF(B$2=0,0,(B$7*1+B$8*2+B$9*3)/B$2)</f>
        <v>2</v>
      </c>
      <c r="C6" s="142"/>
      <c r="E6" s="29" t="s">
        <v>68</v>
      </c>
      <c r="F6" s="26" t="s">
        <v>12</v>
      </c>
      <c r="G6" s="14">
        <v>2</v>
      </c>
      <c r="H6" s="92">
        <f>IF(B$19=0,0,G6/B$19)</f>
        <v>0.5</v>
      </c>
      <c r="I6" s="60">
        <v>2</v>
      </c>
      <c r="N6" s="78" t="s">
        <v>132</v>
      </c>
      <c r="O6" s="84">
        <f t="shared" si="0"/>
        <v>-1500</v>
      </c>
      <c r="P6" s="81">
        <v>1</v>
      </c>
      <c r="Q6" s="68">
        <v>-1500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0.33333333333333331</v>
      </c>
      <c r="E7" s="29" t="s">
        <v>89</v>
      </c>
      <c r="F7" s="26" t="s">
        <v>44</v>
      </c>
      <c r="G7" s="14">
        <v>2</v>
      </c>
      <c r="H7" s="92">
        <f>IF(B$19=0,0,G7/B$19)</f>
        <v>0.5</v>
      </c>
      <c r="I7" s="60">
        <v>1</v>
      </c>
      <c r="N7" s="79" t="s">
        <v>133</v>
      </c>
      <c r="O7" s="85">
        <f t="shared" si="0"/>
        <v>10000</v>
      </c>
      <c r="P7" s="82">
        <v>1</v>
      </c>
      <c r="Q7" s="69">
        <v>10000</v>
      </c>
    </row>
    <row r="8" spans="1:17" x14ac:dyDescent="0.45">
      <c r="A8" s="21" t="s">
        <v>3</v>
      </c>
      <c r="B8" s="14">
        <v>1</v>
      </c>
      <c r="C8" s="8">
        <f t="shared" si="1"/>
        <v>0.33333333333333331</v>
      </c>
      <c r="E8" s="29" t="s">
        <v>66</v>
      </c>
      <c r="F8" s="26" t="s">
        <v>22</v>
      </c>
      <c r="G8" s="14">
        <v>1</v>
      </c>
      <c r="H8" s="92">
        <f>IF(B$19=0,0,G8/B$19)</f>
        <v>0.25</v>
      </c>
      <c r="I8" s="60">
        <v>4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70</v>
      </c>
      <c r="F9" s="26" t="s">
        <v>25</v>
      </c>
      <c r="G9" s="14">
        <v>1</v>
      </c>
      <c r="H9" s="92">
        <f>IF(B$19=0,0,G9/B$19)</f>
        <v>0.25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14.3</v>
      </c>
      <c r="C10" s="114">
        <v>14.3</v>
      </c>
      <c r="E10" s="29" t="s">
        <v>71</v>
      </c>
      <c r="F10" s="26" t="s">
        <v>26</v>
      </c>
      <c r="G10" s="14">
        <v>1</v>
      </c>
      <c r="H10" s="92">
        <f>IF(B$19=0,0,G10/B$19)</f>
        <v>0.25</v>
      </c>
      <c r="I10" s="60">
        <v>1</v>
      </c>
      <c r="N10" s="77" t="s">
        <v>152</v>
      </c>
      <c r="O10" s="86">
        <f>IF(P10=0,0,Q10/P10)</f>
        <v>14.3</v>
      </c>
      <c r="P10" s="80">
        <v>1</v>
      </c>
      <c r="Q10" s="71">
        <v>14.3</v>
      </c>
    </row>
    <row r="11" spans="1:17" x14ac:dyDescent="0.45">
      <c r="A11" s="22" t="s">
        <v>186</v>
      </c>
      <c r="B11" s="113">
        <f>IF(B8=0,0,C11/B8)</f>
        <v>-0.5</v>
      </c>
      <c r="C11" s="114">
        <v>-0.5</v>
      </c>
      <c r="E11" s="29" t="s">
        <v>65</v>
      </c>
      <c r="F11" s="26" t="s">
        <v>21</v>
      </c>
      <c r="G11" s="14">
        <v>0</v>
      </c>
      <c r="H11" s="92">
        <f>IF(B$19=0,0,G11/B$19)</f>
        <v>0</v>
      </c>
      <c r="I11" s="60">
        <v>5</v>
      </c>
      <c r="N11" s="78" t="s">
        <v>153</v>
      </c>
      <c r="O11" s="87">
        <f>IF(P11=0,0,Q11/P11)</f>
        <v>-31.4</v>
      </c>
      <c r="P11" s="81">
        <v>2</v>
      </c>
      <c r="Q11" s="72">
        <v>-62.8</v>
      </c>
    </row>
    <row r="12" spans="1:17" x14ac:dyDescent="0.45">
      <c r="A12" s="22" t="s">
        <v>187</v>
      </c>
      <c r="B12" s="113">
        <f>IF(B9=0,0,C12/B9)</f>
        <v>-62.3</v>
      </c>
      <c r="C12" s="114">
        <v>-62.3</v>
      </c>
      <c r="E12" s="29" t="s">
        <v>69</v>
      </c>
      <c r="F12" s="26" t="s">
        <v>24</v>
      </c>
      <c r="G12" s="14">
        <v>0</v>
      </c>
      <c r="H12" s="92">
        <f>IF(B$19=0,0,G12/B$19)</f>
        <v>0</v>
      </c>
      <c r="I12" s="60">
        <v>3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-16.166666666666668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0.33333333333333331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</v>
      </c>
      <c r="C15" s="12">
        <f>IF(B$3=0,0,B15/B$3)</f>
        <v>0.375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55</v>
      </c>
      <c r="P15" s="80">
        <v>1</v>
      </c>
      <c r="Q15" s="71">
        <v>55</v>
      </c>
    </row>
    <row r="16" spans="1:17" x14ac:dyDescent="0.45">
      <c r="A16" s="21" t="s">
        <v>118</v>
      </c>
      <c r="B16" s="14">
        <v>1</v>
      </c>
      <c r="C16" s="8">
        <f>IF(B$3=0,0,B16/B$3)</f>
        <v>6.25E-2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197</v>
      </c>
      <c r="O16" s="87">
        <f>IF(P16=0,0,Q16/P16)</f>
        <v>-18.550000000000004</v>
      </c>
      <c r="P16" s="81">
        <v>2</v>
      </c>
      <c r="Q16" s="72">
        <v>-37.100000000000009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-53.449999999999996</v>
      </c>
      <c r="P17" s="81">
        <v>2</v>
      </c>
      <c r="Q17" s="72">
        <v>-106.89999999999999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1</v>
      </c>
      <c r="N18" s="78" t="s">
        <v>194</v>
      </c>
      <c r="O18" s="87">
        <f>IF(P18=0,0,Q18/P18)</f>
        <v>-56.5</v>
      </c>
      <c r="P18" s="81">
        <v>1</v>
      </c>
      <c r="Q18" s="72">
        <v>-56.5</v>
      </c>
    </row>
    <row r="19" spans="1:17" x14ac:dyDescent="0.45">
      <c r="A19" s="20" t="s">
        <v>10</v>
      </c>
      <c r="B19" s="13">
        <f>B22+B21</f>
        <v>4</v>
      </c>
      <c r="C19" s="6">
        <f>IF(B$3=0,0,B19/B$3)</f>
        <v>0.25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4</v>
      </c>
      <c r="C20" s="8">
        <f>IF(B$3=0,0,B20/B$3)</f>
        <v>0.25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2</v>
      </c>
      <c r="C21" s="8">
        <f>IF(B$19=0,0,B21/B$19)</f>
        <v>0.5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2</v>
      </c>
      <c r="C22" s="8">
        <f>IF(B$19=0,0,B22/B$19)</f>
        <v>0.5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3</v>
      </c>
      <c r="C23" s="8">
        <f>IF(B$19=0,0,B23/B$19)</f>
        <v>0.75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12000</v>
      </c>
      <c r="C26" s="10">
        <v>48000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12000</v>
      </c>
      <c r="C27" s="100">
        <v>48000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-11775</v>
      </c>
      <c r="C29" s="100">
        <v>-47100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5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39300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0.25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2"/>
        <v>0.25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1</v>
      </c>
      <c r="C41" s="8">
        <f t="shared" si="2"/>
        <v>0.25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0.25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FA17-DA6B-4C6C-BD7F-00F00D7167A6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194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2</v>
      </c>
      <c r="C2" s="136"/>
      <c r="E2" s="28" t="s">
        <v>66</v>
      </c>
      <c r="F2" s="25" t="s">
        <v>22</v>
      </c>
      <c r="G2" s="13">
        <v>8</v>
      </c>
      <c r="H2" s="91">
        <f>IF(B$19=0,0,G2/B$19)</f>
        <v>0.88888888888888884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4350</v>
      </c>
      <c r="P2" s="80">
        <v>2</v>
      </c>
      <c r="Q2" s="67">
        <v>8700</v>
      </c>
    </row>
    <row r="3" spans="1:17" x14ac:dyDescent="0.45">
      <c r="A3" s="21" t="s">
        <v>8</v>
      </c>
      <c r="B3" s="137">
        <v>12</v>
      </c>
      <c r="C3" s="138"/>
      <c r="E3" s="29" t="s">
        <v>64</v>
      </c>
      <c r="F3" s="26" t="s">
        <v>20</v>
      </c>
      <c r="G3" s="14">
        <v>4</v>
      </c>
      <c r="H3" s="92">
        <f>IF(B$19=0,0,G3/B$19)</f>
        <v>0.44444444444444442</v>
      </c>
      <c r="I3" s="60">
        <v>5</v>
      </c>
      <c r="K3" s="7">
        <v>1</v>
      </c>
      <c r="L3" s="65">
        <v>56</v>
      </c>
      <c r="N3" s="78" t="s">
        <v>129</v>
      </c>
      <c r="O3" s="84">
        <f t="shared" si="0"/>
        <v>0</v>
      </c>
      <c r="P3" s="81">
        <v>2</v>
      </c>
      <c r="Q3" s="68">
        <v>0</v>
      </c>
    </row>
    <row r="4" spans="1:17" x14ac:dyDescent="0.45">
      <c r="A4" s="21" t="s">
        <v>6</v>
      </c>
      <c r="B4" s="139">
        <v>137.5</v>
      </c>
      <c r="C4" s="140"/>
      <c r="E4" s="29" t="s">
        <v>67</v>
      </c>
      <c r="F4" s="26" t="s">
        <v>23</v>
      </c>
      <c r="G4" s="14">
        <v>4</v>
      </c>
      <c r="H4" s="92">
        <f>IF(B$19=0,0,G4/B$19)</f>
        <v>0.44444444444444442</v>
      </c>
      <c r="I4" s="60">
        <v>2</v>
      </c>
      <c r="K4" s="7">
        <v>2</v>
      </c>
      <c r="L4" s="65">
        <v>137.5</v>
      </c>
      <c r="N4" s="78" t="s">
        <v>130</v>
      </c>
      <c r="O4" s="84">
        <f t="shared" si="0"/>
        <v>54400</v>
      </c>
      <c r="P4" s="81">
        <v>2</v>
      </c>
      <c r="Q4" s="68">
        <v>108800</v>
      </c>
    </row>
    <row r="5" spans="1:17" x14ac:dyDescent="0.45">
      <c r="A5" s="21" t="s">
        <v>7</v>
      </c>
      <c r="B5" s="127">
        <f>IF(B$2=0,0,B$4/B$2)</f>
        <v>68.75</v>
      </c>
      <c r="C5" s="128"/>
      <c r="E5" s="29" t="s">
        <v>72</v>
      </c>
      <c r="F5" s="26" t="s">
        <v>27</v>
      </c>
      <c r="G5" s="14">
        <v>4</v>
      </c>
      <c r="H5" s="92">
        <f>IF(B$19=0,0,G5/B$19)</f>
        <v>0.44444444444444442</v>
      </c>
      <c r="I5" s="60">
        <v>4</v>
      </c>
      <c r="N5" s="78" t="s">
        <v>131</v>
      </c>
      <c r="O5" s="84">
        <f t="shared" si="0"/>
        <v>0</v>
      </c>
      <c r="P5" s="81">
        <v>0</v>
      </c>
      <c r="Q5" s="68">
        <v>0</v>
      </c>
    </row>
    <row r="6" spans="1:17" x14ac:dyDescent="0.45">
      <c r="A6" s="21" t="s">
        <v>1</v>
      </c>
      <c r="B6" s="141">
        <f>IF(B$2=0,0,(B$7*1+B$8*2+B$9*3)/B$2)</f>
        <v>1</v>
      </c>
      <c r="C6" s="142"/>
      <c r="E6" s="29" t="s">
        <v>68</v>
      </c>
      <c r="F6" s="26" t="s">
        <v>12</v>
      </c>
      <c r="G6" s="14">
        <v>3</v>
      </c>
      <c r="H6" s="92">
        <f>IF(B$19=0,0,G6/B$19)</f>
        <v>0.33333333333333331</v>
      </c>
      <c r="I6" s="60">
        <v>3</v>
      </c>
      <c r="N6" s="78" t="s">
        <v>132</v>
      </c>
      <c r="O6" s="84">
        <f t="shared" si="0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1</v>
      </c>
      <c r="E7" s="29" t="s">
        <v>81</v>
      </c>
      <c r="F7" s="26" t="s">
        <v>36</v>
      </c>
      <c r="G7" s="14">
        <v>2</v>
      </c>
      <c r="H7" s="92">
        <f>IF(B$19=0,0,G7/B$19)</f>
        <v>0.22222222222222221</v>
      </c>
      <c r="I7" s="60">
        <v>1</v>
      </c>
      <c r="N7" s="79" t="s">
        <v>133</v>
      </c>
      <c r="O7" s="85">
        <f t="shared" si="0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65</v>
      </c>
      <c r="F8" s="26" t="s">
        <v>21</v>
      </c>
      <c r="G8" s="14">
        <v>1</v>
      </c>
      <c r="H8" s="92">
        <f>IF(B$19=0,0,G8/B$19)</f>
        <v>0.1111111111111111</v>
      </c>
      <c r="I8" s="60">
        <v>3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69</v>
      </c>
      <c r="F9" s="26" t="s">
        <v>24</v>
      </c>
      <c r="G9" s="14">
        <v>1</v>
      </c>
      <c r="H9" s="92">
        <f>IF(B$19=0,0,G9/B$19)</f>
        <v>0.1111111111111111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68.75</v>
      </c>
      <c r="C10" s="114">
        <v>137.5</v>
      </c>
      <c r="E10" s="29" t="s">
        <v>89</v>
      </c>
      <c r="F10" s="26" t="s">
        <v>44</v>
      </c>
      <c r="G10" s="14">
        <v>1</v>
      </c>
      <c r="H10" s="92">
        <f>IF(B$19=0,0,G10/B$19)</f>
        <v>0.1111111111111111</v>
      </c>
      <c r="I10" s="60">
        <v>4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102</v>
      </c>
      <c r="F11" s="26" t="s">
        <v>57</v>
      </c>
      <c r="G11" s="14">
        <v>1</v>
      </c>
      <c r="H11" s="92">
        <f>IF(B$19=0,0,G11/B$19)</f>
        <v>0.1111111111111111</v>
      </c>
      <c r="I11" s="60">
        <v>1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4</v>
      </c>
      <c r="N12" s="79" t="s">
        <v>154</v>
      </c>
      <c r="O12" s="88">
        <f>IF(P12=0,0,Q12/P12)</f>
        <v>68.75</v>
      </c>
      <c r="P12" s="82">
        <v>2</v>
      </c>
      <c r="Q12" s="73">
        <v>137.5</v>
      </c>
    </row>
    <row r="13" spans="1:17" x14ac:dyDescent="0.45">
      <c r="A13" s="22" t="s">
        <v>188</v>
      </c>
      <c r="B13" s="127">
        <f>AVERAGE(B10:B12)</f>
        <v>22.916666666666668</v>
      </c>
      <c r="C13" s="128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0.33333333333333331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122</v>
      </c>
      <c r="P15" s="80">
        <v>2</v>
      </c>
      <c r="Q15" s="71">
        <v>244</v>
      </c>
    </row>
    <row r="16" spans="1:17" x14ac:dyDescent="0.45">
      <c r="A16" s="21" t="s">
        <v>118</v>
      </c>
      <c r="B16" s="14">
        <v>3</v>
      </c>
      <c r="C16" s="8">
        <f>IF(B$3=0,0,B16/B$3)</f>
        <v>0.25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197</v>
      </c>
      <c r="O16" s="87">
        <f>IF(P16=0,0,Q16/P16)</f>
        <v>112</v>
      </c>
      <c r="P16" s="81">
        <v>1</v>
      </c>
      <c r="Q16" s="72">
        <v>112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1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  <c r="N17" s="78" t="s">
        <v>193</v>
      </c>
      <c r="O17" s="87">
        <f>IF(P17=0,0,Q17/P17)</f>
        <v>56.5</v>
      </c>
      <c r="P17" s="81">
        <v>1</v>
      </c>
      <c r="Q17" s="72">
        <v>56.5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0.66666666666666663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9</v>
      </c>
      <c r="C19" s="6">
        <f>IF(B$3=0,0,B19/B$3)</f>
        <v>0.75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1</v>
      </c>
      <c r="C20" s="8">
        <f>IF(B$3=0,0,B20/B$3)</f>
        <v>8.3333333333333329E-2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5</v>
      </c>
      <c r="C21" s="8">
        <f>IF(B$19=0,0,B21/B$19)</f>
        <v>0.55555555555555558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4</v>
      </c>
      <c r="C22" s="8">
        <f>IF(B$19=0,0,B22/B$19)</f>
        <v>0.44444444444444442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4</v>
      </c>
      <c r="C23" s="8">
        <f>IF(B$19=0,0,B23/B$19)</f>
        <v>0.44444444444444442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2</v>
      </c>
      <c r="C24" s="8">
        <f>IF(B$19=0,0,B24/B$19)</f>
        <v>0.22222222222222221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0.33333333333333331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12555.555555555555</v>
      </c>
      <c r="C26" s="10">
        <v>113000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14714.285714285714</v>
      </c>
      <c r="C27" s="100">
        <v>103000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5000</v>
      </c>
      <c r="C28" s="100">
        <v>10000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-12000</v>
      </c>
      <c r="C29" s="100">
        <v>-12000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7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10</v>
      </c>
      <c r="C31" s="94">
        <v>10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6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106500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2</v>
      </c>
      <c r="C38" s="8">
        <f t="shared" si="2"/>
        <v>0.22222222222222221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2</v>
      </c>
      <c r="C40" s="8">
        <f t="shared" si="2"/>
        <v>0.22222222222222221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0.1111111111111111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0.1111111111111111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7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2200A-4EAF-4DD5-86BE-275C7A49AD99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197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</v>
      </c>
      <c r="C2" s="136"/>
      <c r="E2" s="28" t="s">
        <v>64</v>
      </c>
      <c r="F2" s="25" t="s">
        <v>20</v>
      </c>
      <c r="G2" s="13">
        <v>3</v>
      </c>
      <c r="H2" s="91">
        <f>IF(B$19=0,0,G2/B$19)</f>
        <v>0.75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-333.33333333333331</v>
      </c>
      <c r="P2" s="80">
        <v>3</v>
      </c>
      <c r="Q2" s="67">
        <v>-1000</v>
      </c>
    </row>
    <row r="3" spans="1:17" x14ac:dyDescent="0.45">
      <c r="A3" s="21" t="s">
        <v>8</v>
      </c>
      <c r="B3" s="137">
        <v>20</v>
      </c>
      <c r="C3" s="138"/>
      <c r="E3" s="29" t="s">
        <v>65</v>
      </c>
      <c r="F3" s="26" t="s">
        <v>21</v>
      </c>
      <c r="G3" s="14">
        <v>1</v>
      </c>
      <c r="H3" s="92">
        <f>IF(B$19=0,0,G3/B$19)</f>
        <v>0.25</v>
      </c>
      <c r="I3" s="60">
        <v>2</v>
      </c>
      <c r="K3" s="7">
        <v>1</v>
      </c>
      <c r="L3" s="65">
        <v>-30.5</v>
      </c>
      <c r="N3" s="78" t="s">
        <v>129</v>
      </c>
      <c r="O3" s="84">
        <f t="shared" si="0"/>
        <v>800</v>
      </c>
      <c r="P3" s="81">
        <v>3</v>
      </c>
      <c r="Q3" s="68">
        <v>2400</v>
      </c>
    </row>
    <row r="4" spans="1:17" x14ac:dyDescent="0.45">
      <c r="A4" s="21" t="s">
        <v>6</v>
      </c>
      <c r="B4" s="139">
        <v>-41.400000000000006</v>
      </c>
      <c r="C4" s="140"/>
      <c r="E4" s="29" t="s">
        <v>66</v>
      </c>
      <c r="F4" s="26" t="s">
        <v>22</v>
      </c>
      <c r="G4" s="14">
        <v>1</v>
      </c>
      <c r="H4" s="92">
        <f>IF(B$19=0,0,G4/B$19)</f>
        <v>0.25</v>
      </c>
      <c r="I4" s="60">
        <v>4</v>
      </c>
      <c r="K4" s="7">
        <v>2</v>
      </c>
      <c r="L4" s="65">
        <v>-28.6</v>
      </c>
      <c r="N4" s="78" t="s">
        <v>130</v>
      </c>
      <c r="O4" s="84">
        <f t="shared" si="0"/>
        <v>-8766.6666666666661</v>
      </c>
      <c r="P4" s="81">
        <v>3</v>
      </c>
      <c r="Q4" s="68">
        <v>-26300</v>
      </c>
    </row>
    <row r="5" spans="1:17" x14ac:dyDescent="0.45">
      <c r="A5" s="21" t="s">
        <v>7</v>
      </c>
      <c r="B5" s="127">
        <f>IF(B$2=0,0,B$4/B$2)</f>
        <v>-13.800000000000002</v>
      </c>
      <c r="C5" s="128"/>
      <c r="E5" s="29" t="s">
        <v>67</v>
      </c>
      <c r="F5" s="26" t="s">
        <v>23</v>
      </c>
      <c r="G5" s="14">
        <v>1</v>
      </c>
      <c r="H5" s="92">
        <f>IF(B$19=0,0,G5/B$19)</f>
        <v>0.25</v>
      </c>
      <c r="I5" s="60">
        <v>4</v>
      </c>
      <c r="K5" s="7">
        <v>3</v>
      </c>
      <c r="L5" s="65">
        <v>-41.400000000000006</v>
      </c>
      <c r="N5" s="78" t="s">
        <v>131</v>
      </c>
      <c r="O5" s="84">
        <f t="shared" si="0"/>
        <v>-3000</v>
      </c>
      <c r="P5" s="81">
        <v>1</v>
      </c>
      <c r="Q5" s="68">
        <v>-3000</v>
      </c>
    </row>
    <row r="6" spans="1:17" x14ac:dyDescent="0.45">
      <c r="A6" s="21" t="s">
        <v>1</v>
      </c>
      <c r="B6" s="141">
        <f>IF(B$2=0,0,(B$7*1+B$8*2+B$9*3)/B$2)</f>
        <v>2.3333333333333335</v>
      </c>
      <c r="C6" s="142"/>
      <c r="E6" s="29" t="s">
        <v>68</v>
      </c>
      <c r="F6" s="26" t="s">
        <v>12</v>
      </c>
      <c r="G6" s="14">
        <v>1</v>
      </c>
      <c r="H6" s="92">
        <f>IF(B$19=0,0,G6/B$19)</f>
        <v>0.25</v>
      </c>
      <c r="I6" s="60">
        <v>4</v>
      </c>
      <c r="N6" s="78" t="s">
        <v>132</v>
      </c>
      <c r="O6" s="84">
        <f t="shared" si="0"/>
        <v>2000</v>
      </c>
      <c r="P6" s="81">
        <v>1</v>
      </c>
      <c r="Q6" s="68">
        <v>2000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72</v>
      </c>
      <c r="F7" s="26" t="s">
        <v>27</v>
      </c>
      <c r="G7" s="14">
        <v>1</v>
      </c>
      <c r="H7" s="92">
        <f>IF(B$19=0,0,G7/B$19)</f>
        <v>0.25</v>
      </c>
      <c r="I7" s="60">
        <v>5</v>
      </c>
      <c r="N7" s="79" t="s">
        <v>133</v>
      </c>
      <c r="O7" s="85">
        <f t="shared" si="0"/>
        <v>-5500</v>
      </c>
      <c r="P7" s="82">
        <v>1</v>
      </c>
      <c r="Q7" s="69">
        <v>-5500</v>
      </c>
    </row>
    <row r="8" spans="1:17" x14ac:dyDescent="0.45">
      <c r="A8" s="21" t="s">
        <v>3</v>
      </c>
      <c r="B8" s="14">
        <v>2</v>
      </c>
      <c r="C8" s="8">
        <f t="shared" si="1"/>
        <v>0.66666666666666663</v>
      </c>
      <c r="E8" s="29" t="s">
        <v>86</v>
      </c>
      <c r="F8" s="26" t="s">
        <v>41</v>
      </c>
      <c r="G8" s="14">
        <v>1</v>
      </c>
      <c r="H8" s="92">
        <f>IF(B$19=0,0,G8/B$19)</f>
        <v>0.25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160</v>
      </c>
      <c r="F9" s="26" t="s">
        <v>161</v>
      </c>
      <c r="G9" s="14">
        <v>1</v>
      </c>
      <c r="H9" s="92">
        <f>IF(B$19=0,0,G9/B$19)</f>
        <v>0.25</v>
      </c>
      <c r="I9" s="60">
        <v>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69</v>
      </c>
      <c r="F10" s="26" t="s">
        <v>24</v>
      </c>
      <c r="G10" s="14">
        <v>0</v>
      </c>
      <c r="H10" s="92">
        <f>IF(B$19=0,0,G10/B$19)</f>
        <v>0</v>
      </c>
      <c r="I10" s="60">
        <v>3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-14.3</v>
      </c>
      <c r="C11" s="114">
        <v>-28.6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4</v>
      </c>
      <c r="N11" s="78" t="s">
        <v>153</v>
      </c>
      <c r="O11" s="87">
        <f>IF(P11=0,0,Q11/P11)</f>
        <v>-30.5</v>
      </c>
      <c r="P11" s="81">
        <v>1</v>
      </c>
      <c r="Q11" s="72">
        <v>-30.5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4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7">
        <f>AVERAGE(B10:B12)</f>
        <v>-9.0333333333333332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</v>
      </c>
      <c r="C16" s="8">
        <f>IF(B$3=0,0,B16/B$3)</f>
        <v>0.05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18.550000000000004</v>
      </c>
      <c r="P16" s="81">
        <v>2</v>
      </c>
      <c r="Q16" s="72">
        <v>37.100000000000009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0.75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-34.9</v>
      </c>
      <c r="P17" s="81">
        <v>2</v>
      </c>
      <c r="Q17" s="72">
        <v>-69.8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1</v>
      </c>
      <c r="N18" s="78" t="s">
        <v>194</v>
      </c>
      <c r="O18" s="87">
        <f>IF(P18=0,0,Q18/P18)</f>
        <v>-112</v>
      </c>
      <c r="P18" s="81">
        <v>1</v>
      </c>
      <c r="Q18" s="72">
        <v>-112</v>
      </c>
    </row>
    <row r="19" spans="1:17" x14ac:dyDescent="0.45">
      <c r="A19" s="20" t="s">
        <v>10</v>
      </c>
      <c r="B19" s="13">
        <f>B22+B21</f>
        <v>4</v>
      </c>
      <c r="C19" s="6">
        <f>IF(B$3=0,0,B19/B$3)</f>
        <v>0.2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1</v>
      </c>
      <c r="C20" s="8">
        <f>IF(B$3=0,0,B20/B$3)</f>
        <v>0.05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1</v>
      </c>
      <c r="C21" s="8">
        <f>IF(B$19=0,0,B21/B$19)</f>
        <v>0.25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3</v>
      </c>
      <c r="C22" s="8">
        <f>IF(B$19=0,0,B22/B$19)</f>
        <v>0.75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3</v>
      </c>
      <c r="C23" s="8">
        <f>IF(B$19=0,0,B23/B$19)</f>
        <v>0.75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5100</v>
      </c>
      <c r="C26" s="10">
        <v>20400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5100</v>
      </c>
      <c r="C27" s="100">
        <v>20400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5</v>
      </c>
    </row>
    <row r="29" spans="1:17" x14ac:dyDescent="0.45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13</v>
      </c>
      <c r="C31" s="94">
        <v>13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2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36900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0.25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2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0.25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58F60-05AB-40C8-833D-502DBB4D5A30}">
  <sheetPr codeName="Sheet20"/>
  <dimension ref="A1:Q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197</v>
      </c>
      <c r="B1" s="36" t="s">
        <v>197</v>
      </c>
      <c r="C1" s="36" t="s">
        <v>197</v>
      </c>
      <c r="D1" s="37" t="s">
        <v>197</v>
      </c>
      <c r="E1" s="36" t="s">
        <v>197</v>
      </c>
      <c r="F1" s="36" t="s">
        <v>197</v>
      </c>
      <c r="G1" s="36" t="s">
        <v>197</v>
      </c>
      <c r="H1" s="36" t="s">
        <v>197</v>
      </c>
      <c r="I1" s="36" t="s">
        <v>197</v>
      </c>
      <c r="J1" s="36" t="s">
        <v>197</v>
      </c>
      <c r="K1" s="36" t="s">
        <v>197</v>
      </c>
      <c r="L1" s="36" t="s">
        <v>197</v>
      </c>
      <c r="M1" s="36" t="s">
        <v>197</v>
      </c>
      <c r="N1" s="36" t="s">
        <v>197</v>
      </c>
      <c r="O1" s="36" t="s">
        <v>197</v>
      </c>
      <c r="P1" s="36" t="s">
        <v>197</v>
      </c>
      <c r="Q1" s="36" t="s">
        <v>197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103BE-CF9C-4162-92F8-EB4C2310FE06}">
  <sheetPr codeName="Sheet18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B94A-90D1-4B0A-99D1-7A0F949AB243}">
  <sheetPr codeName="Sheet16"/>
  <dimension ref="A1:Q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71ED-56E6-45BF-AB12-3D0AB779E2F0}">
  <sheetPr codeName="Sheet14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79009-C168-4C61-B015-CF7E50F5F455}">
  <sheetPr codeName="Sheet12"/>
  <dimension ref="A1:Q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DE4C6-ED33-4B53-BD2B-72C7003891D2}">
  <sheetPr codeName="Sheet10"/>
  <dimension ref="A1:Q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B228-3876-434B-94FB-E16DA8EA014C}">
  <sheetPr codeName="Sheet8"/>
  <dimension ref="A1:Q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030BA-EE29-4A96-AD4A-698358C0A9E4}">
  <sheetPr codeName="Sheet6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558</vt:i4>
      </vt:variant>
    </vt:vector>
  </HeadingPairs>
  <TitlesOfParts>
    <vt:vector size="594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ともき!アガリ数</vt:lpstr>
      <vt:lpstr>のり!アガリ数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ともき!アガリ率</vt:lpstr>
      <vt:lpstr>のり!アガリ率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ともき!ダマアガリ数</vt:lpstr>
      <vt:lpstr>のり!ダマアガリ数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ともき!ダマアガリ率</vt:lpstr>
      <vt:lpstr>のり!ダマアガリ率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ともき!チョンボ数</vt:lpstr>
      <vt:lpstr>のり!チョンボ数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ともき!チョンボ率</vt:lpstr>
      <vt:lpstr>のり!チョンボ率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ともき!ツモ数</vt:lpstr>
      <vt:lpstr>のり!ツモ数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ともき!ツモ率</vt:lpstr>
      <vt:lpstr>のり!ツモ率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ともき!トップ数</vt:lpstr>
      <vt:lpstr>のり!トップ数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ともき!トップ率</vt:lpstr>
      <vt:lpstr>のり!トップ率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ともき!バランス</vt:lpstr>
      <vt:lpstr>のり!バランス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ともき!ふっとび数</vt:lpstr>
      <vt:lpstr>のり!ふっとび数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ともき!ふっとび率</vt:lpstr>
      <vt:lpstr>のり!ふっとび率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ともき!ラス数</vt:lpstr>
      <vt:lpstr>のり!ラス数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ともき!ラス率</vt:lpstr>
      <vt:lpstr>のり!ラス率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ともき!リーチアガリ数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ともき!リーチアガリ率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ともき!リーチ数</vt:lpstr>
      <vt:lpstr>のり!リーチ数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ともき!リーチ成功数</vt:lpstr>
      <vt:lpstr>のり!リーチ成功数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ともき!リーチ成功率</vt:lpstr>
      <vt:lpstr>のり!リーチ成功率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ともき!リーチ率</vt:lpstr>
      <vt:lpstr>のり!リーチ率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ともき!ロン数</vt:lpstr>
      <vt:lpstr>のり!ロン数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ともき!ロン率</vt:lpstr>
      <vt:lpstr>のり!ロン率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ともき!一位スコア</vt:lpstr>
      <vt:lpstr>のり!一位スコア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ともき!一位通算スコア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ともき!一翻数</vt:lpstr>
      <vt:lpstr>のり!一翻数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ともき!一翻率</vt:lpstr>
      <vt:lpstr>のり!一翻率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ともき!現行連続アガリ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ともき!現行連続無放銃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ともき!最高点</vt:lpstr>
      <vt:lpstr>のり!最高点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ともき!最大ドラ数</vt:lpstr>
      <vt:lpstr>のり!最大ドラ数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ともき!最大点数</vt:lpstr>
      <vt:lpstr>のり!最大点数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ともき!三位スコア</vt:lpstr>
      <vt:lpstr>のり!三位スコア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ともき!三位通算スコア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ともき!総局数</vt:lpstr>
      <vt:lpstr>のり!総局数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ともき!対戦数</vt:lpstr>
      <vt:lpstr>のり!対戦数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ともき!通算アガリ点</vt:lpstr>
      <vt:lpstr>のり!通算アガリ点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ともき!通算スコア</vt:lpstr>
      <vt:lpstr>のり!通算スコア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ともき!通算副露アガリ点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ともき!通算放銃点</vt:lpstr>
      <vt:lpstr>のり!通算放銃点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ともき!通算門前アガリ点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ともき!二位スコア</vt:lpstr>
      <vt:lpstr>のり!二位スコア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ともき!二位数</vt:lpstr>
      <vt:lpstr>のり!二位数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ともき!二位通算スコア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ともき!二位率</vt:lpstr>
      <vt:lpstr>のり!二位率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ともき!副露アガリ数</vt:lpstr>
      <vt:lpstr>のり!副露アガリ数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ともき!副露アガリ点</vt:lpstr>
      <vt:lpstr>のり!副露アガリ点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ともき!副露アガリ率</vt:lpstr>
      <vt:lpstr>のり!副露アガリ率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ともき!副露数</vt:lpstr>
      <vt:lpstr>のり!副露数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ともき!副露成功数</vt:lpstr>
      <vt:lpstr>のり!副露成功数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ともき!副露成功率</vt:lpstr>
      <vt:lpstr>のり!副露成功率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ともき!副露率</vt:lpstr>
      <vt:lpstr>のり!副露率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ともき!平均アガリ点</vt:lpstr>
      <vt:lpstr>のり!平均アガリ点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ともき!平均スコア</vt:lpstr>
      <vt:lpstr>のり!平均スコア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ともき!平均順位</vt:lpstr>
      <vt:lpstr>のり!平均順位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ともき!平均放銃点</vt:lpstr>
      <vt:lpstr>のり!平均放銃点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ともき!放銃数</vt:lpstr>
      <vt:lpstr>のり!放銃数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ともき!放銃率</vt:lpstr>
      <vt:lpstr>のり!放銃率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ともき!名前</vt:lpstr>
      <vt:lpstr>のり!名前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ともき!門前アガリ点</vt:lpstr>
      <vt:lpstr>のり!門前アガリ点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ともき!連続アガリ</vt:lpstr>
      <vt:lpstr>のり!連続アガリ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ともき!連続無放銃</vt:lpstr>
      <vt:lpstr>のり!連続無放銃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2020-04-04T15:54:32Z</dcterms:modified>
</cp:coreProperties>
</file>