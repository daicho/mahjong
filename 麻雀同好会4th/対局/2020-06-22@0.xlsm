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B106368-EE41-499E-B538-6195FD0E84B0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V12" i="19"/>
  <c r="W12" i="19"/>
  <c r="U11" i="19"/>
  <c r="V11" i="19"/>
  <c r="W11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<sst xmlns="http://schemas.openxmlformats.org/spreadsheetml/2006/main" count="606" uniqueCount="202">
  <si>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</si>
  <si>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</si>
  <si>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</si>
  <si>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</si>
  <si>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</si>
  <si>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</si>
  <si>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</si>
  <si>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</si>
  <si>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</si>
  <si>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</si>
  <si>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</si>
  <si>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</si>
  <si>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</si>
  <si>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</si>
  <si>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</si>
  <si>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</si>
  <si>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</si>
  <si>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</si>
  <si>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</si>
  <si>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</si>
  <si>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</si>
  <si>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</si>
  <si>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</si>
  <si>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</si>
  <si>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</si>
  <si>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</si>
  <si>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</si>
  <si>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</si>
  <si>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</si>
  <si>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</si>
  <si>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</si>
  <si>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</si>
  <si>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</si>
  <si>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</si>
  <si>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</si>
  <si>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</si>
  <si>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</si>
  <si>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</si>
  <si>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</si>
  <si>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</si>
  <si>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</si>
  <si>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</si>
  <si>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</si>
  <si>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</si>
  <si>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</si>
  <si>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</si>
  <si>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</si>
  <si>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</si>
  <si>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</si>
  <si>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</si>
  <si>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</si>
  <si>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</si>
  <si>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</si>
  <si>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</si>
  <si>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</si>
  <si>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</si>
  <si>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</si>
  <si>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</si>
  <si>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</si>
  <si>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</si>
  <si>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</si>
  <si>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</si>
  <si>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</si>
  <si>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</si>
  <si>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</si>
  <si>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</si>
  <si>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</si>
  <si>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</si>
  <si>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</si>
  <si>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</si>
  <si>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</si>
  <si>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</si>
  <si>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</si>
  <si>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</si>
  <si>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</si>
  <si>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</si>
  <si>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</si>
  <si>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</si>
  <si>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</si>
  <si>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</si>
  <si>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</si>
  <si>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</si>
  <si>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</si>
  <si>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</si>
  <si>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</si>
  <si>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</si>
  <si>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</si>
  <si>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</si>
  <si>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</si>
  <si>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</si>
  <si>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</si>
  <si>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</si>
  <si>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</si>
  <si>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</si>
  <si>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</si>
  <si>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</si>
  <si>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</si>
  <si>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</si>
  <si>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</si>
  <si>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</si>
  <si>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</si>
  <si>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</si>
  <si>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</si>
  <si>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</si>
  <si>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</si>
  <si>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</si>
  <si>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</si>
  <si>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</si>
  <si>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</si>
  <si>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</si>
  <si>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</si>
  <si>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</si>
  <si>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</si>
  <si>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</si>
  <si>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</si>
  <si>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</si>
  <si>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</si>
  <si>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</si>
  <si>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</si>
  <si>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</si>
  <si>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</si>
  <si>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</si>
  <si>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</si>
  <si>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</si>
  <si>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</si>
  <si>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</si>
  <si>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</si>
  <si>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</si>
  <si>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</si>
  <si>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</si>
  <si>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</si>
  <si>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</si>
  <si>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</si>
  <si>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</si>
  <si>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</si>
  <si>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</si>
  <si>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</si>
  <si>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</si>
  <si>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</si>
  <si>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</si>
  <si>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</si>
  <si>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</si>
  <si>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</si>
  <si>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</si>
  <si>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</si>
  <si>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</si>
  <si>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</si>
  <si>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</si>
  <si>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</si>
  <si>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</si>
  <si>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</si>
  <si>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</si>
  <si>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</si>
  <si>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</si>
  <si>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</si>
  <si>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</si>
  <si>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</si>
  <si>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</si>
  <si>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</si>
  <si>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</si>
  <si>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</si>
  <si>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</si>
  <si>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</si>
  <si>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</si>
  <si>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</si>
  <si>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</si>
  <si>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</si>
  <si>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</si>
  <si>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</si>
  <si>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</si>
  <si>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</si>
  <si>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</si>
  <si>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</si>
  <si>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</si>
  <si>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</si>
  <si>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</si>
  <si>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</si>
  <si>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</si>
  <si>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</si>
  <si>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</si>
  <si>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</si>
  <si>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</si>
  <si>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</si>
  <si>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</si>
  <si>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</si>
  <si>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</si>
  <si>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</si>
  <si>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</si>
  <si>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</si>
  <si>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</si>
  <si>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</si>
  <si>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</si>
  <si>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</si>
  <si>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ただ</t>
    <phoneticPr fontId="1"/>
  </si>
  <si>
    <t>ツモ</t>
  </si>
  <si>
    <t>ツモ支払</t>
  </si>
  <si>
    <t>*</t>
  </si>
  <si>
    <t>01</t>
  </si>
  <si>
    <t>02</t>
  </si>
  <si>
    <t>52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</si>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</sst>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 t="s">
        <v>195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195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29</v>
      </c>
      <c r="V4" s="54">
        <f>IF($O4="","",ROUND(($O4-$O$3)/1000,1)+(_xlfn.RANK.AVG($O4,($J4,$O4,$T4),1)-2)*10)</f>
        <v>-9</v>
      </c>
      <c r="W4" s="55">
        <f>IF($T4="","",ROUND(($T4-$T$3)/1000,1)+(_xlfn.RANK.AVG($T4,($J4,$O4,$T4),1)-2)*10)</f>
        <v>-20</v>
      </c>
      <c r="Y4" s="8"/>
      <c r="Z4" s="34"/>
      <c r="AA4" s="26">
        <v>1</v>
      </c>
      <c r="AB4" s="26"/>
      <c r="AC4" s="26">
        <v>6</v>
      </c>
      <c r="AD4" s="30" t="s">
        <v>196</v>
      </c>
      <c r="AE4" s="40" t="s">
        <v>197</v>
      </c>
      <c r="AF4" s="41" t="s">
        <v>82</v>
      </c>
      <c r="AG4" s="41" t="s">
        <v>198</v>
      </c>
      <c r="AH4" s="41" t="s">
        <v>86</v>
      </c>
      <c r="AI4" s="41" t="s">
        <v>199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195</v>
      </c>
      <c r="G5" s="9">
        <v>-7500</v>
      </c>
      <c r="H5" s="9">
        <v>-1000</v>
      </c>
      <c r="I5" s="48">
        <v>-500</v>
      </c>
      <c r="J5" s="21">
        <f t="shared" ref="J5:J30" si="2">IF(COUNTA($F5,$K5,$P5)&gt;0,J4+SUM(G5:I5),"")</f>
        <v>45000</v>
      </c>
      <c r="K5" s="8" t="s">
        <v>194</v>
      </c>
      <c r="L5" s="9">
        <v>12000</v>
      </c>
      <c r="M5" s="9">
        <v>1000</v>
      </c>
      <c r="N5" s="48">
        <v>1000</v>
      </c>
      <c r="O5" s="21">
        <f t="shared" ref="O5:O30" si="3">IF(COUNTA($F5,$K5,$P5)&gt;0,O4+SUM(L5:N5),"")</f>
        <v>40000</v>
      </c>
      <c r="P5" s="8" t="s">
        <v>195</v>
      </c>
      <c r="Q5" s="9">
        <v>-4500</v>
      </c>
      <c r="R5" s="9"/>
      <c r="S5" s="48">
        <v>-500</v>
      </c>
      <c r="T5" s="21">
        <f t="shared" ref="T5:T30" si="4">IF(COUNTA($F5,$K5,$P5)&gt;0,T4+SUM(Q5:S5),"")</f>
        <v>20000</v>
      </c>
      <c r="U5" s="53">
        <f>IF($J5="","",ROUND(($J5-$J$3)/1000,1)+(_xlfn.RANK.AVG($J5,($J5,$O5,$T5),1)-2)*10)</f>
        <v>20</v>
      </c>
      <c r="V5" s="54">
        <f>IF($O5="","",ROUND(($O5-$O$3)/1000,1)+(_xlfn.RANK.AVG($O5,($J5,$O5,$T5),1)-2)*10)</f>
        <v>5</v>
      </c>
      <c r="W5" s="55">
        <f>IF($T5="","",ROUND(($T5-$T$3)/1000,1)+(_xlfn.RANK.AVG($T5,($J5,$O5,$T5),1)-2)*10)</f>
        <v>-25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196</v>
      </c>
      <c r="AZ5" s="40" t="s">
        <v>197</v>
      </c>
      <c r="BA5" s="41" t="s">
        <v>82</v>
      </c>
      <c r="BB5" s="41" t="s">
        <v>83</v>
      </c>
      <c r="BC5" s="41" t="s">
        <v>92</v>
      </c>
      <c r="BD5" s="41" t="s">
        <v>199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200</v>
      </c>
      <c r="G6" s="9">
        <v>12000</v>
      </c>
      <c r="H6" s="9">
        <v>1000</v>
      </c>
      <c r="I6" s="48">
        <v>0</v>
      </c>
      <c r="J6" s="21">
        <f t="shared" si="2"/>
        <v>58000</v>
      </c>
      <c r="K6" s="8" t="s">
        <v>201</v>
      </c>
      <c r="L6" s="9">
        <v>-12000</v>
      </c>
      <c r="M6" s="9">
        <v>-1000</v>
      </c>
      <c r="N6" s="48">
        <v>0</v>
      </c>
      <c r="O6" s="21">
        <f t="shared" si="3"/>
        <v>27000</v>
      </c>
      <c r="P6" s="8"/>
      <c r="Q6" s="9"/>
      <c r="R6" s="9"/>
      <c r="S6" s="48"/>
      <c r="T6" s="21">
        <f t="shared" si="4"/>
        <v>20000</v>
      </c>
      <c r="U6" s="53">
        <f>IF($J6="","",ROUND(($J6-$J$3)/1000,1)+(_xlfn.RANK.AVG($J6,($J6,$O6,$T6),1)-2)*10)</f>
        <v>33</v>
      </c>
      <c r="V6" s="54">
        <f>IF($O6="","",ROUND(($O6-$O$3)/1000,1)+(_xlfn.RANK.AVG($O6,($J6,$O6,$T6),1)-2)*10)</f>
        <v>-8</v>
      </c>
      <c r="W6" s="55">
        <f>IF($T6="","",ROUND(($T6-$T$3)/1000,1)+(_xlfn.RANK.AVG($T6,($J6,$O6,$T6),1)-2)*10)</f>
        <v>-25</v>
      </c>
      <c r="Y6" s="8"/>
      <c r="Z6" s="34"/>
      <c r="AA6" s="26">
        <v>1</v>
      </c>
      <c r="AB6" s="26"/>
      <c r="AC6" s="26">
        <v>7</v>
      </c>
      <c r="AD6" s="30" t="s">
        <v>196</v>
      </c>
      <c r="AE6" s="40" t="s">
        <v>197</v>
      </c>
      <c r="AF6" s="41" t="s">
        <v>198</v>
      </c>
      <c r="AG6" s="41" t="s">
        <v>104</v>
      </c>
      <c r="AH6" s="41" t="s">
        <v>86</v>
      </c>
      <c r="AI6" s="41" t="s">
        <v>86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200</v>
      </c>
      <c r="G7" s="9">
        <v>16000</v>
      </c>
      <c r="H7" s="9"/>
      <c r="I7" s="48">
        <v>0</v>
      </c>
      <c r="J7" s="21">
        <f t="shared" si="2"/>
        <v>74000</v>
      </c>
      <c r="K7" s="8"/>
      <c r="L7" s="9"/>
      <c r="M7" s="9"/>
      <c r="N7" s="48"/>
      <c r="O7" s="21">
        <f t="shared" si="3"/>
        <v>27000</v>
      </c>
      <c r="P7" s="8" t="s">
        <v>201</v>
      </c>
      <c r="Q7" s="9">
        <v>-16000</v>
      </c>
      <c r="R7" s="9"/>
      <c r="S7" s="48">
        <v>0</v>
      </c>
      <c r="T7" s="21">
        <f t="shared" si="4"/>
        <v>4000</v>
      </c>
      <c r="U7" s="53">
        <f>IF($J7="","",ROUND(($J7-$J$3)/1000,1)+(_xlfn.RANK.AVG($J7,($J7,$O7,$T7),1)-2)*10)</f>
        <v>49</v>
      </c>
      <c r="V7" s="54">
        <f>IF($O7="","",ROUND(($O7-$O$3)/1000,1)+(_xlfn.RANK.AVG($O7,($J7,$O7,$T7),1)-2)*10)</f>
        <v>-8</v>
      </c>
      <c r="W7" s="55">
        <f>IF($T7="","",ROUND(($T7-$T$3)/1000,1)+(_xlfn.RANK.AVG($T7,($J7,$O7,$T7),1)-2)*10)</f>
        <v>-41</v>
      </c>
      <c r="Y7" s="8"/>
      <c r="Z7" s="34"/>
      <c r="AA7" s="26">
        <v>1</v>
      </c>
      <c r="AB7" s="26"/>
      <c r="AC7" s="26">
        <v>8</v>
      </c>
      <c r="AD7" s="30" t="s">
        <v>196</v>
      </c>
      <c r="AE7" s="40" t="s">
        <v>197</v>
      </c>
      <c r="AF7" s="41" t="s">
        <v>198</v>
      </c>
      <c r="AG7" s="41" t="s">
        <v>104</v>
      </c>
      <c r="AH7" s="41" t="s">
        <v>86</v>
      </c>
      <c r="AI7" s="41" t="s">
        <v>80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195</v>
      </c>
      <c r="G8" s="9">
        <v>-10000</v>
      </c>
      <c r="H8" s="9"/>
      <c r="I8" s="48">
        <v>0</v>
      </c>
      <c r="J8" s="21">
        <f t="shared" si="2"/>
        <v>64000</v>
      </c>
      <c r="K8" s="8" t="s">
        <v>195</v>
      </c>
      <c r="L8" s="9">
        <v>-6000</v>
      </c>
      <c r="M8" s="9"/>
      <c r="N8" s="48">
        <v>0</v>
      </c>
      <c r="O8" s="21">
        <f t="shared" si="3"/>
        <v>21000</v>
      </c>
      <c r="P8" s="8" t="s">
        <v>194</v>
      </c>
      <c r="Q8" s="9">
        <v>16000</v>
      </c>
      <c r="R8" s="9"/>
      <c r="S8" s="48">
        <v>0</v>
      </c>
      <c r="T8" s="21">
        <f t="shared" si="4"/>
        <v>20000</v>
      </c>
      <c r="U8" s="53">
        <f>IF($J8="","",ROUND(($J8-$J$3)/1000,1)+(_xlfn.RANK.AVG($J8,($J8,$O8,$T8),1)-2)*10)</f>
        <v>39</v>
      </c>
      <c r="V8" s="54">
        <f>IF($O8="","",ROUND(($O8-$O$3)/1000,1)+(_xlfn.RANK.AVG($O8,($J8,$O8,$T8),1)-2)*10)</f>
        <v>-14</v>
      </c>
      <c r="W8" s="55">
        <f>IF($T8="","",ROUND(($T8-$T$3)/1000,1)+(_xlfn.RANK.AVG($T8,($J8,$O8,$T8),1)-2)*10)</f>
        <v>-25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196</v>
      </c>
      <c r="BU8" s="40" t="s">
        <v>197</v>
      </c>
      <c r="BV8" s="41" t="s">
        <v>82</v>
      </c>
      <c r="BW8" s="41" t="s">
        <v>198</v>
      </c>
      <c r="BX8" s="41" t="s">
        <v>83</v>
      </c>
      <c r="BY8" s="41" t="s">
        <v>84</v>
      </c>
      <c r="BZ8" s="41" t="s">
        <v>79</v>
      </c>
      <c r="CA8" s="41" t="s">
        <v>199</v>
      </c>
      <c r="CB8" s="41" t="s">
        <v>80</v>
      </c>
      <c r="CC8" s="41" t="s">
        <v>80</v>
      </c>
      <c r="CD8" s="41" t="s">
        <v>80</v>
      </c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64000</v>
      </c>
      <c r="K9" s="8" t="s">
        <v>201</v>
      </c>
      <c r="L9" s="9">
        <v>-2600</v>
      </c>
      <c r="M9" s="9"/>
      <c r="N9" s="48">
        <v>0</v>
      </c>
      <c r="O9" s="21">
        <f t="shared" si="3"/>
        <v>18400</v>
      </c>
      <c r="P9" s="8" t="s">
        <v>200</v>
      </c>
      <c r="Q9" s="9">
        <v>2600</v>
      </c>
      <c r="R9" s="9"/>
      <c r="S9" s="48">
        <v>0</v>
      </c>
      <c r="T9" s="21">
        <f t="shared" si="4"/>
        <v>22600</v>
      </c>
      <c r="U9" s="53">
        <f>IF($J9="","",ROUND(($J9-$J$3)/1000,1)+(_xlfn.RANK.AVG($J9,($J9,$O9,$T9),1)-2)*10)</f>
        <v>39</v>
      </c>
      <c r="V9" s="54">
        <f>IF($O9="","",ROUND(($O9-$O$3)/1000,1)+(_xlfn.RANK.AVG($O9,($J9,$O9,$T9),1)-2)*10)</f>
        <v>-26.6</v>
      </c>
      <c r="W9" s="55">
        <f>IF($T9="","",ROUND(($T9-$T$3)/1000,1)+(_xlfn.RANK.AVG($T9,($J9,$O9,$T9),1)-2)*10)</f>
        <v>-12.4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197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195</v>
      </c>
      <c r="G10" s="9">
        <v>-1500</v>
      </c>
      <c r="H10" s="9">
        <v>-1000</v>
      </c>
      <c r="I10" s="48">
        <v>0</v>
      </c>
      <c r="J10" s="21">
        <f t="shared" si="2"/>
        <v>61500</v>
      </c>
      <c r="K10" s="8" t="s">
        <v>195</v>
      </c>
      <c r="L10" s="9">
        <v>-1500</v>
      </c>
      <c r="M10" s="9"/>
      <c r="N10" s="48">
        <v>0</v>
      </c>
      <c r="O10" s="21">
        <f t="shared" si="3"/>
        <v>16900</v>
      </c>
      <c r="P10" s="8" t="s">
        <v>194</v>
      </c>
      <c r="Q10" s="9">
        <v>3000</v>
      </c>
      <c r="R10" s="9">
        <v>1000</v>
      </c>
      <c r="S10" s="48">
        <v>0</v>
      </c>
      <c r="T10" s="21">
        <f t="shared" si="4"/>
        <v>26600</v>
      </c>
      <c r="U10" s="53">
        <f>IF($J10="","",ROUND(($J10-$J$3)/1000,1)+(_xlfn.RANK.AVG($J10,($J10,$O10,$T10),1)-2)*10)</f>
        <v>36.5</v>
      </c>
      <c r="V10" s="54">
        <f>IF($O10="","",ROUND(($O10-$O$3)/1000,1)+(_xlfn.RANK.AVG($O10,($J10,$O10,$T10),1)-2)*10)</f>
        <v>-28.1</v>
      </c>
      <c r="W10" s="55">
        <f>IF($T10="","",ROUND(($T10-$T$3)/1000,1)+(_xlfn.RANK.AVG($T10,($J10,$O10,$T10),1)-2)*10)</f>
        <v>-8.4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30</v>
      </c>
      <c r="BU10" s="40" t="s">
        <v>197</v>
      </c>
      <c r="BV10" s="41" t="s">
        <v>82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ただ</v>
      </c>
      <c r="F11" s="8" t="s">
        <v>201</v>
      </c>
      <c r="G11" s="9">
        <v>-2900</v>
      </c>
      <c r="H11" s="9"/>
      <c r="I11" s="48">
        <v>-1000</v>
      </c>
      <c r="J11" s="21">
        <f t="shared" si="2"/>
        <v>57600</v>
      </c>
      <c r="K11" s="8"/>
      <c r="L11" s="9"/>
      <c r="M11" s="9"/>
      <c r="N11" s="48"/>
      <c r="O11" s="21">
        <f t="shared" si="3"/>
        <v>16900</v>
      </c>
      <c r="P11" s="8" t="s">
        <v>200</v>
      </c>
      <c r="Q11" s="9">
        <v>2900</v>
      </c>
      <c r="R11" s="9"/>
      <c r="S11" s="48">
        <v>1000</v>
      </c>
      <c r="T11" s="21">
        <f t="shared" si="4"/>
        <v>30500</v>
      </c>
      <c r="U11" s="53">
        <f>IF($J11="","",ROUND(($J11-$J$3)/1000,1)+(_xlfn.RANK.AVG($J11,($J11,$O11,$T11),1)-2)*10)</f>
        <v>32.6</v>
      </c>
      <c r="V11" s="54">
        <f>IF($O11="","",ROUND(($O11-$O$3)/1000,1)+(_xlfn.RANK.AVG($O11,($J11,$O11,$T11),1)-2)*10)</f>
        <v>-28.1</v>
      </c>
      <c r="W11" s="55">
        <f>IF($T11="","",ROUND(($T11-$T$3)/1000,1)+(_xlfn.RANK.AVG($T11,($J11,$O11,$T11),1)-2)*10)</f>
        <v>-4.5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83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tr">
        <f>IF($P$1="","",$P$1)</f>
        <v>ただ</v>
      </c>
      <c r="F12" s="8" t="s">
        <v>201</v>
      </c>
      <c r="G12" s="9">
        <v>-24000</v>
      </c>
      <c r="H12" s="9"/>
      <c r="I12" s="48">
        <v>-2000</v>
      </c>
      <c r="J12" s="21">
        <f t="shared" si="2"/>
        <v>31600</v>
      </c>
      <c r="K12" s="8" t="s">
        <v>200</v>
      </c>
      <c r="L12" s="9">
        <v>24000</v>
      </c>
      <c r="M12" s="9"/>
      <c r="N12" s="48">
        <v>2000</v>
      </c>
      <c r="O12" s="21">
        <f t="shared" si="3"/>
        <v>42900</v>
      </c>
      <c r="P12" s="8"/>
      <c r="Q12" s="9"/>
      <c r="R12" s="9"/>
      <c r="S12" s="48"/>
      <c r="T12" s="21">
        <f t="shared" si="4"/>
        <v>30500</v>
      </c>
      <c r="U12" s="53">
        <f>IF($J12="","",ROUND(($J12-$J$3)/1000,1)+(_xlfn.RANK.AVG($J12,($J12,$O12,$T12),1)-2)*10)</f>
        <v>-3.4</v>
      </c>
      <c r="V12" s="54">
        <f>IF($O12="","",ROUND(($O12-$O$3)/1000,1)+(_xlfn.RANK.AVG($O12,($J12,$O12,$T12),1)-2)*10)</f>
        <v>17.899999999999999</v>
      </c>
      <c r="W12" s="55">
        <f>IF($T12="","",ROUND(($T12-$T$3)/1000,1)+(_xlfn.RANK.AVG($T12,($J12,$O12,$T12),1)-2)*10)</f>
        <v>-14.5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12</v>
      </c>
      <c r="AY12" s="30" t="s">
        <v>196</v>
      </c>
      <c r="AZ12" s="40" t="s">
        <v>197</v>
      </c>
      <c r="BA12" s="41" t="s">
        <v>104</v>
      </c>
      <c r="BB12" s="41" t="s">
        <v>86</v>
      </c>
      <c r="BC12" s="41" t="s">
        <v>199</v>
      </c>
      <c r="BD12" s="41" t="s">
        <v>79</v>
      </c>
      <c r="BE12" s="41" t="s">
        <v>80</v>
      </c>
      <c r="BF12" s="41" t="s">
        <v>80</v>
      </c>
      <c r="BG12" s="41" t="s">
        <v>80</v>
      </c>
      <c r="BH12" s="41" t="s">
        <v>80</v>
      </c>
      <c r="BI12" s="41" t="s">
        <v>80</v>
      </c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BA85938-4907-4F05-9C7C-8E9A77FE20D2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2020-06-22T03:47:42Z</dcterms:modified>
</cp:coreProperties>
</file>