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4F30E575-E4ED-4123-BC71-CF84AE904458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0" l="1"/>
  <c r="E12" i="20"/>
  <c r="D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0" i="20"/>
  <c r="C10" i="20"/>
  <c r="D7" i="20"/>
  <c r="D8" i="20" s="1"/>
  <c r="D6" i="20"/>
  <c r="O5" i="20"/>
  <c r="O6" i="20" s="1"/>
  <c r="D5" i="20"/>
  <c r="C5" i="20"/>
  <c r="T4" i="20"/>
  <c r="T5" i="20" s="1"/>
  <c r="O4" i="20"/>
  <c r="V4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J6" i="20" l="1"/>
  <c r="U5" i="20"/>
  <c r="T6" i="20"/>
  <c r="W5" i="20"/>
  <c r="C8" i="20"/>
  <c r="C9" i="20" s="1"/>
  <c r="O7" i="20"/>
  <c r="V6" i="20"/>
  <c r="B6" i="20"/>
  <c r="A6" i="20" s="1"/>
  <c r="C11" i="20"/>
  <c r="C12" i="20" s="1"/>
  <c r="U4" i="20"/>
  <c r="C6" i="20"/>
  <c r="D11" i="20"/>
  <c r="W4" i="20"/>
  <c r="B7" i="20"/>
  <c r="D9" i="20"/>
  <c r="C7" i="20"/>
  <c r="B5" i="20"/>
  <c r="A5" i="20" s="1"/>
  <c r="V5" i="20"/>
  <c r="C13" i="20"/>
  <c r="O8" i="20" l="1"/>
  <c r="J7" i="20"/>
  <c r="U6" i="20"/>
  <c r="A7" i="20"/>
  <c r="B8" i="20"/>
  <c r="T7" i="20"/>
  <c r="W6" i="20"/>
  <c r="J8" i="20" l="1"/>
  <c r="U7" i="20"/>
  <c r="V7" i="20"/>
  <c r="O9" i="20"/>
  <c r="W7" i="20"/>
  <c r="T8" i="20"/>
  <c r="B9" i="20"/>
  <c r="A8" i="20"/>
  <c r="B10" i="20" l="1"/>
  <c r="J9" i="20"/>
  <c r="U8" i="20"/>
  <c r="A9" i="20"/>
  <c r="T9" i="20"/>
  <c r="W8" i="20"/>
  <c r="O10" i="20"/>
  <c r="V8" i="20"/>
  <c r="V9" i="20" l="1"/>
  <c r="B11" i="20"/>
  <c r="A10" i="20"/>
  <c r="O11" i="20"/>
  <c r="U9" i="20"/>
  <c r="J10" i="20"/>
  <c r="T10" i="20"/>
  <c r="W9" i="20"/>
  <c r="A11" i="20" l="1"/>
  <c r="B12" i="20"/>
  <c r="T11" i="20"/>
  <c r="W10" i="20"/>
  <c r="J11" i="20"/>
  <c r="U10" i="20"/>
  <c r="V10" i="20"/>
  <c r="O12" i="20"/>
  <c r="V11" i="20" l="1"/>
  <c r="B13" i="20"/>
  <c r="A12" i="20"/>
  <c r="O13" i="20"/>
  <c r="T12" i="20"/>
  <c r="W11" i="20"/>
  <c r="J12" i="20"/>
  <c r="U11" i="20"/>
  <c r="A13" i="20" l="1"/>
  <c r="J13" i="20"/>
  <c r="U12" i="20"/>
  <c r="T13" i="20"/>
  <c r="W13" i="20" s="1"/>
  <c r="W12" i="20"/>
  <c r="V12" i="20"/>
  <c r="U13" i="20" l="1"/>
  <c r="V13" i="20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W13" i="19"/>
  <c r="V13" i="19"/>
  <c r="W12" i="19"/>
  <c r="U12" i="19"/>
  <c r="U11" i="19"/>
  <c r="V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<sst xmlns="http://schemas.openxmlformats.org/spreadsheetml/2006/main" count="690" uniqueCount="204">
  <si>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</si>
  <si>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</si>
  <si>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</si>
  <si>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</si>
  <si>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</si>
  <si>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</si>
  <si>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</si>
  <si>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</si>
  <si>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</si>
  <si>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</si>
  <si>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</si>
  <si>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</si>
  <si>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</si>
  <si>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</si>
  <si>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</si>
  <si>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</si>
  <si>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</si>
  <si>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</si>
  <si>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</si>
  <si>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</si>
  <si>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</si>
  <si>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</si>
  <si>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</si>
  <si>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</si>
  <si>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</si>
  <si>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</si>
  <si>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</si>
  <si>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</si>
  <si>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</si>
  <si>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</si>
  <si>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</si>
  <si>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</si>
  <si>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</si>
  <si>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</si>
  <si>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</si>
  <si>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</si>
  <si>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</si>
  <si>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</si>
  <si>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</si>
  <si>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</si>
  <si>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</si>
  <si>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</si>
  <si>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</si>
  <si>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</si>
  <si>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</si>
  <si>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</si>
  <si>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</si>
  <si>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</si>
  <si>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</si>
  <si>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</si>
  <si>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</si>
  <si>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</si>
  <si>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</si>
  <si>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</si>
  <si>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</si>
  <si>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</si>
  <si>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</si>
  <si>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</si>
  <si>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</si>
  <si>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</si>
  <si>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</si>
  <si>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</si>
  <si>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</si>
  <si>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</si>
  <si>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</si>
  <si>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</si>
  <si>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</si>
  <si>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</si>
  <si>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</si>
  <si>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</si>
  <si>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</si>
  <si>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</si>
  <si>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</si>
  <si>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</si>
  <si>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</si>
  <si>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</si>
  <si>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</si>
  <si>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</si>
  <si>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</si>
  <si>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</si>
  <si>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</si>
  <si>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</si>
  <si>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</si>
  <si>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</si>
  <si>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</si>
  <si>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</si>
  <si>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</si>
  <si>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</si>
  <si>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</si>
  <si>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</si>
  <si>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</si>
  <si>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</si>
  <si>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</si>
  <si>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</si>
  <si>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</si>
  <si>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</si>
  <si>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</si>
  <si>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</si>
  <si>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</si>
  <si>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</si>
  <si>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</si>
  <si>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</si>
  <si>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</si>
  <si>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</si>
  <si>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</si>
  <si>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</si>
  <si>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</si>
  <si>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</si>
  <si>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</si>
  <si>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</si>
  <si>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</si>
  <si>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</si>
  <si>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</si>
  <si>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</si>
  <si>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</si>
  <si>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</si>
  <si>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</si>
  <si>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</si>
  <si>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</si>
  <si>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</si>
  <si>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</si>
  <si>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</si>
  <si>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</si>
  <si>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</si>
  <si>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</si>
  <si>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</si>
  <si>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</si>
  <si>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</si>
  <si>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</si>
  <si>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</si>
  <si>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</si>
  <si>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</si>
  <si>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</si>
  <si>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</si>
  <si>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</si>
  <si>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</si>
  <si>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</si>
  <si>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</si>
  <si>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</si>
  <si>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</si>
  <si>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</si>
  <si>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</si>
  <si>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</si>
  <si>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</si>
  <si>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</si>
  <si>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</si>
  <si>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</si>
  <si>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</si>
  <si>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</si>
  <si>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</si>
  <si>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</si>
  <si>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</si>
  <si>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</si>
  <si>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</si>
  <si>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</si>
  <si>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</si>
  <si>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</si>
  <si>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</si>
  <si>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</si>
  <si>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</si>
  <si>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</si>
  <si>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</si>
  <si>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</si>
  <si>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</si>
  <si>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</si>
  <si>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</si>
  <si>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</si>
  <si>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</si>
  <si>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</si>
  <si>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</si>
  <si>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</si>
  <si>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</si>
  <si>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</si>
  <si>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</si>
  <si>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</si>
  <si>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</si>
  <si>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</si>
  <si>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</si>
  <si>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</si>
  <si>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</si>
  <si>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</si>
  <si>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</si>
  <si>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</si>
  <si>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</si>
  <si>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</si>
  <si>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</si>
  <si>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</si>
  <si>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</si>
  <si>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</si>
  <si>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</si>
  <si>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</si>
  <si>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</si>
  <si>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まっつん</t>
    <phoneticPr fontId="1"/>
  </si>
  <si>
    <t>りくと</t>
    <phoneticPr fontId="1"/>
  </si>
  <si>
    <t>ツモ</t>
  </si>
  <si>
    <t>ツモ支払</t>
  </si>
  <si>
    <t>*</t>
  </si>
  <si>
    <t>01</t>
  </si>
  <si>
    <t>N</t>
  </si>
  <si>
    <t>T</t>
  </si>
  <si>
    <t>流局</t>
    <phoneticPr fontId="1"/>
  </si>
  <si>
    <t>放銃</t>
  </si>
  <si>
    <t>ロン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</si>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</sst>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>
        <v>1</v>
      </c>
      <c r="AC4" s="26">
        <v>5</v>
      </c>
      <c r="AD4" s="30" t="s">
        <v>196</v>
      </c>
      <c r="AE4" s="40" t="s">
        <v>86</v>
      </c>
      <c r="AF4" s="41" t="s">
        <v>86</v>
      </c>
      <c r="AG4" s="41" t="s">
        <v>79</v>
      </c>
      <c r="AH4" s="41" t="s">
        <v>104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-7500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195</v>
      </c>
      <c r="L5" s="9">
        <v>-4500</v>
      </c>
      <c r="M5" s="9"/>
      <c r="N5" s="48">
        <v>-500</v>
      </c>
      <c r="O5" s="21">
        <f t="shared" ref="O5:O30" si="3">IF(COUNTA($F5,$K5,$P5)&gt;0,O4+SUM(L5:N5),"")</f>
        <v>24000</v>
      </c>
      <c r="P5" s="8" t="s">
        <v>194</v>
      </c>
      <c r="Q5" s="9">
        <v>12000</v>
      </c>
      <c r="R5" s="9"/>
      <c r="S5" s="48">
        <v>1000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-21</v>
      </c>
      <c r="W5" s="55">
        <f>IF($T5="","",ROUND(($T5-$T$3)/1000,1)+(_xlfn.RANK.AVG($T5,($J5,$O5,$T5),1)-2)*10)</f>
        <v>17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196</v>
      </c>
      <c r="BU5" s="40" t="s">
        <v>197</v>
      </c>
      <c r="BV5" s="41" t="s">
        <v>86</v>
      </c>
      <c r="BW5" s="41" t="s">
        <v>79</v>
      </c>
      <c r="BX5" s="41" t="s">
        <v>79</v>
      </c>
      <c r="BY5" s="41" t="s">
        <v>79</v>
      </c>
      <c r="BZ5" s="41" t="s">
        <v>84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195</v>
      </c>
      <c r="G6" s="9">
        <v>-4500</v>
      </c>
      <c r="H6" s="9"/>
      <c r="I6" s="48">
        <v>0</v>
      </c>
      <c r="J6" s="21">
        <f t="shared" si="2"/>
        <v>34500</v>
      </c>
      <c r="K6" s="8" t="s">
        <v>195</v>
      </c>
      <c r="L6" s="9">
        <v>-7500</v>
      </c>
      <c r="M6" s="9"/>
      <c r="N6" s="48">
        <v>0</v>
      </c>
      <c r="O6" s="21">
        <f t="shared" si="3"/>
        <v>16500</v>
      </c>
      <c r="P6" s="8" t="s">
        <v>194</v>
      </c>
      <c r="Q6" s="9">
        <v>12000</v>
      </c>
      <c r="R6" s="9"/>
      <c r="S6" s="48">
        <v>0</v>
      </c>
      <c r="T6" s="21">
        <f t="shared" si="4"/>
        <v>54000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-28.5</v>
      </c>
      <c r="W6" s="55">
        <f>IF($T6="","",ROUND(($T6-$T$3)/1000,1)+(_xlfn.RANK.AVG($T6,($J6,$O6,$T6),1)-2)*10)</f>
        <v>29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196</v>
      </c>
      <c r="BU6" s="40" t="s">
        <v>104</v>
      </c>
      <c r="BV6" s="41" t="s">
        <v>86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200</v>
      </c>
      <c r="G7" s="9">
        <v>-3000</v>
      </c>
      <c r="H7" s="9"/>
      <c r="I7" s="48"/>
      <c r="J7" s="21">
        <f t="shared" si="2"/>
        <v>31500</v>
      </c>
      <c r="K7" s="8" t="s">
        <v>200</v>
      </c>
      <c r="L7" s="9">
        <v>1500</v>
      </c>
      <c r="M7" s="9">
        <v>-1000</v>
      </c>
      <c r="N7" s="48"/>
      <c r="O7" s="21">
        <f t="shared" si="3"/>
        <v>17000</v>
      </c>
      <c r="P7" s="8" t="s">
        <v>200</v>
      </c>
      <c r="Q7" s="9">
        <v>1500</v>
      </c>
      <c r="R7" s="9"/>
      <c r="S7" s="48"/>
      <c r="T7" s="21">
        <f t="shared" si="4"/>
        <v>55500</v>
      </c>
      <c r="U7" s="53">
        <f>IF($J7="","",ROUND(($J7-$J$3)/1000,1)+(_xlfn.RANK.AVG($J7,($J7,$O7,$T7),1)-2)*10)</f>
        <v>-3.5</v>
      </c>
      <c r="V7" s="54">
        <f>IF($O7="","",ROUND(($O7-$O$3)/1000,1)+(_xlfn.RANK.AVG($O7,($J7,$O7,$T7),1)-2)*10)</f>
        <v>-28</v>
      </c>
      <c r="W7" s="55">
        <f>IF($T7="","",ROUND(($T7-$T$3)/1000,1)+(_xlfn.RANK.AVG($T7,($J7,$O7,$T7),1)-2)*10)</f>
        <v>30.5</v>
      </c>
      <c r="Y7" s="8" t="s">
        <v>198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tr">
        <f>IF($P$1="","",$P$1)</f>
        <v>りくと</v>
      </c>
      <c r="F8" s="8" t="s">
        <v>201</v>
      </c>
      <c r="G8" s="9">
        <v>-18000</v>
      </c>
      <c r="H8" s="9"/>
      <c r="I8" s="48">
        <v>-1000</v>
      </c>
      <c r="J8" s="21">
        <f t="shared" si="2"/>
        <v>12500</v>
      </c>
      <c r="K8" s="8"/>
      <c r="L8" s="9"/>
      <c r="M8" s="9"/>
      <c r="N8" s="48"/>
      <c r="O8" s="21">
        <f t="shared" si="3"/>
        <v>17000</v>
      </c>
      <c r="P8" s="8" t="s">
        <v>202</v>
      </c>
      <c r="Q8" s="9">
        <v>18000</v>
      </c>
      <c r="R8" s="9">
        <v>1000</v>
      </c>
      <c r="S8" s="48">
        <v>1000</v>
      </c>
      <c r="T8" s="21">
        <f t="shared" si="4"/>
        <v>75500</v>
      </c>
      <c r="U8" s="53">
        <f>IF($J8="","",ROUND(($J8-$J$3)/1000,1)+(_xlfn.RANK.AVG($J8,($J8,$O8,$T8),1)-2)*10)</f>
        <v>-32.5</v>
      </c>
      <c r="V8" s="54">
        <f>IF($O8="","",ROUND(($O8-$O$3)/1000,1)+(_xlfn.RANK.AVG($O8,($J8,$O8,$T8),1)-2)*10)</f>
        <v>-18</v>
      </c>
      <c r="W8" s="55">
        <f>IF($T8="","",ROUND(($T8-$T$3)/1000,1)+(_xlfn.RANK.AVG($T8,($J8,$O8,$T8),1)-2)*10)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196</v>
      </c>
      <c r="BU8" s="40" t="s">
        <v>197</v>
      </c>
      <c r="BV8" s="41" t="s">
        <v>84</v>
      </c>
      <c r="BW8" s="41" t="s">
        <v>79</v>
      </c>
      <c r="BX8" s="41" t="s">
        <v>79</v>
      </c>
      <c r="BY8" s="41" t="s">
        <v>203</v>
      </c>
      <c r="BZ8" s="41" t="s">
        <v>203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りくと</v>
      </c>
      <c r="F9" s="8" t="s">
        <v>202</v>
      </c>
      <c r="G9" s="9">
        <v>5200</v>
      </c>
      <c r="H9" s="9"/>
      <c r="I9" s="48">
        <v>2000</v>
      </c>
      <c r="J9" s="21">
        <f t="shared" si="2"/>
        <v>19700</v>
      </c>
      <c r="K9" s="8"/>
      <c r="L9" s="9"/>
      <c r="M9" s="9"/>
      <c r="N9" s="48"/>
      <c r="O9" s="21">
        <f t="shared" si="3"/>
        <v>17000</v>
      </c>
      <c r="P9" s="8" t="s">
        <v>201</v>
      </c>
      <c r="Q9" s="9">
        <v>-5200</v>
      </c>
      <c r="R9" s="9"/>
      <c r="S9" s="48">
        <v>-2000</v>
      </c>
      <c r="T9" s="21">
        <f t="shared" si="4"/>
        <v>68300</v>
      </c>
      <c r="U9" s="53">
        <f>IF($J9="","",ROUND(($J9-$J$3)/1000,1)+(_xlfn.RANK.AVG($J9,($J9,$O9,$T9),1)-2)*10)</f>
        <v>-15.3</v>
      </c>
      <c r="V9" s="54">
        <f>IF($O9="","",ROUND(($O9-$O$3)/1000,1)+(_xlfn.RANK.AVG($O9,($J9,$O9,$T9),1)-2)*10)</f>
        <v>-28</v>
      </c>
      <c r="W9" s="55">
        <f>IF($T9="","",ROUND(($T9-$T$3)/1000,1)+(_xlfn.RANK.AVG($T9,($J9,$O9,$T9),1)-2)*10)</f>
        <v>43.3</v>
      </c>
      <c r="Y9" s="8"/>
      <c r="Z9" s="34"/>
      <c r="AA9" s="26"/>
      <c r="AB9" s="26"/>
      <c r="AC9" s="26">
        <v>3</v>
      </c>
      <c r="AD9" s="30">
        <v>40</v>
      </c>
      <c r="AE9" s="40" t="s">
        <v>104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 t="s">
        <v>201</v>
      </c>
      <c r="G10" s="9">
        <v>-2000</v>
      </c>
      <c r="H10" s="9"/>
      <c r="I10" s="48">
        <v>0</v>
      </c>
      <c r="J10" s="21">
        <f t="shared" si="2"/>
        <v>17700</v>
      </c>
      <c r="K10" s="8" t="s">
        <v>202</v>
      </c>
      <c r="L10" s="9">
        <v>2000</v>
      </c>
      <c r="M10" s="9"/>
      <c r="N10" s="48">
        <v>0</v>
      </c>
      <c r="O10" s="21">
        <f t="shared" si="3"/>
        <v>19000</v>
      </c>
      <c r="P10" s="8"/>
      <c r="Q10" s="9"/>
      <c r="R10" s="9"/>
      <c r="S10" s="48"/>
      <c r="T10" s="21">
        <f t="shared" si="4"/>
        <v>68300</v>
      </c>
      <c r="U10" s="53">
        <f>IF($J10="","",ROUND(($J10-$J$3)/1000,1)+(_xlfn.RANK.AVG($J10,($J10,$O10,$T10),1)-2)*10)</f>
        <v>-27.3</v>
      </c>
      <c r="V10" s="54">
        <f>IF($O10="","",ROUND(($O10-$O$3)/1000,1)+(_xlfn.RANK.AVG($O10,($J10,$O10,$T10),1)-2)*10)</f>
        <v>-16</v>
      </c>
      <c r="W10" s="55">
        <f>IF($T10="","",ROUND(($T10-$T$3)/1000,1)+(_xlfn.RANK.AVG($T10,($J10,$O10,$T10),1)-2)*10)</f>
        <v>43.3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30</v>
      </c>
      <c r="AZ10" s="40" t="s">
        <v>197</v>
      </c>
      <c r="BA10" s="41" t="s">
        <v>83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まっつん</v>
      </c>
      <c r="F11" s="8" t="s">
        <v>195</v>
      </c>
      <c r="G11" s="9">
        <v>-3000</v>
      </c>
      <c r="H11" s="9"/>
      <c r="I11" s="48">
        <v>0</v>
      </c>
      <c r="J11" s="21">
        <f t="shared" si="2"/>
        <v>14700</v>
      </c>
      <c r="K11" s="8" t="s">
        <v>194</v>
      </c>
      <c r="L11" s="9">
        <v>6000</v>
      </c>
      <c r="M11" s="9"/>
      <c r="N11" s="48">
        <v>0</v>
      </c>
      <c r="O11" s="21">
        <f t="shared" si="3"/>
        <v>25000</v>
      </c>
      <c r="P11" s="8" t="s">
        <v>195</v>
      </c>
      <c r="Q11" s="9">
        <v>-3000</v>
      </c>
      <c r="R11" s="9"/>
      <c r="S11" s="48">
        <v>0</v>
      </c>
      <c r="T11" s="21">
        <f t="shared" si="4"/>
        <v>65300</v>
      </c>
      <c r="U11" s="53">
        <f>IF($J11="","",ROUND(($J11-$J$3)/1000,1)+(_xlfn.RANK.AVG($J11,($J11,$O11,$T11),1)-2)*10)</f>
        <v>-30.3</v>
      </c>
      <c r="V11" s="54">
        <f>IF($O11="","",ROUND(($O11-$O$3)/1000,1)+(_xlfn.RANK.AVG($O11,($J11,$O11,$T11),1)-2)*10)</f>
        <v>-10</v>
      </c>
      <c r="W11" s="55">
        <f>IF($T11="","",ROUND(($T11-$T$3)/1000,1)+(_xlfn.RANK.AVG($T11,($J11,$O11,$T11),1)-2)*10)</f>
        <v>40.299999999999997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まっつん</v>
      </c>
      <c r="F12" s="8" t="s">
        <v>195</v>
      </c>
      <c r="G12" s="9">
        <v>-1500</v>
      </c>
      <c r="H12" s="9"/>
      <c r="I12" s="48">
        <v>-500</v>
      </c>
      <c r="J12" s="21">
        <f t="shared" si="2"/>
        <v>12700</v>
      </c>
      <c r="K12" s="8" t="s">
        <v>195</v>
      </c>
      <c r="L12" s="9">
        <v>-2500</v>
      </c>
      <c r="M12" s="9"/>
      <c r="N12" s="48">
        <v>-500</v>
      </c>
      <c r="O12" s="21">
        <f t="shared" si="3"/>
        <v>22000</v>
      </c>
      <c r="P12" s="8" t="s">
        <v>194</v>
      </c>
      <c r="Q12" s="9">
        <v>4000</v>
      </c>
      <c r="R12" s="9"/>
      <c r="S12" s="48">
        <v>1000</v>
      </c>
      <c r="T12" s="21">
        <f t="shared" si="4"/>
        <v>70300</v>
      </c>
      <c r="U12" s="53">
        <f>IF($J12="","",ROUND(($J12-$J$3)/1000,1)+(_xlfn.RANK.AVG($J12,($J12,$O12,$T12),1)-2)*10)</f>
        <v>-32.299999999999997</v>
      </c>
      <c r="V12" s="54">
        <f>IF($O12="","",ROUND(($O12-$O$3)/1000,1)+(_xlfn.RANK.AVG($O12,($J12,$O12,$T12),1)-2)*10)</f>
        <v>-13</v>
      </c>
      <c r="W12" s="55">
        <f>IF($T12="","",ROUND(($T12-$T$3)/1000,1)+(_xlfn.RANK.AVG($T12,($J12,$O12,$T12),1)-2)*10)</f>
        <v>45.3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79</v>
      </c>
      <c r="BV12" s="41" t="s">
        <v>86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りくと</v>
      </c>
      <c r="F13" s="8"/>
      <c r="G13" s="9"/>
      <c r="H13" s="9">
        <v>-1000</v>
      </c>
      <c r="I13" s="48"/>
      <c r="J13" s="21">
        <f t="shared" si="2"/>
        <v>11700</v>
      </c>
      <c r="K13" s="8" t="s">
        <v>201</v>
      </c>
      <c r="L13" s="9">
        <v>-11600</v>
      </c>
      <c r="M13" s="9"/>
      <c r="N13" s="48">
        <v>0</v>
      </c>
      <c r="O13" s="21">
        <f t="shared" si="3"/>
        <v>10400</v>
      </c>
      <c r="P13" s="8" t="s">
        <v>202</v>
      </c>
      <c r="Q13" s="9">
        <v>11600</v>
      </c>
      <c r="R13" s="9">
        <v>1000</v>
      </c>
      <c r="S13" s="48">
        <v>0</v>
      </c>
      <c r="T13" s="21">
        <f t="shared" si="4"/>
        <v>82900</v>
      </c>
      <c r="U13" s="53">
        <f>IF($J13="","",ROUND(($J13-$J$3)/1000,1)+(_xlfn.RANK.AVG($J13,($J13,$O13,$T13),1)-2)*10)</f>
        <v>-23.3</v>
      </c>
      <c r="V13" s="54">
        <f>IF($O13="","",ROUND(($O13-$O$3)/1000,1)+(_xlfn.RANK.AVG($O13,($J13,$O13,$T13),1)-2)*10)</f>
        <v>-34.6</v>
      </c>
      <c r="W13" s="55">
        <f>IF($T13="","",ROUND(($T13-$T$3)/1000,1)+(_xlfn.RANK.AVG($T13,($J13,$O13,$T13),1)-2)*10)</f>
        <v>57.9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30</v>
      </c>
      <c r="BU13" s="40" t="s">
        <v>86</v>
      </c>
      <c r="BV13" s="41" t="s">
        <v>79</v>
      </c>
      <c r="BW13" s="41" t="s">
        <v>203</v>
      </c>
      <c r="BX13" s="41" t="s">
        <v>203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467A552-908F-4B0F-AEA0-0AEAD9023ADE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582C-E44C-4F6E-9055-B9EF0B52E90A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202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104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195</v>
      </c>
      <c r="G5" s="9">
        <v>-4500</v>
      </c>
      <c r="H5" s="9">
        <v>-1000</v>
      </c>
      <c r="I5" s="48">
        <v>0</v>
      </c>
      <c r="J5" s="21">
        <f t="shared" ref="J5:J30" si="2">IF(COUNTA($F5,$K5,$P5)&gt;0,J4+SUM(G5:I5),"")</f>
        <v>29500</v>
      </c>
      <c r="K5" s="8" t="s">
        <v>195</v>
      </c>
      <c r="L5" s="9">
        <v>-7500</v>
      </c>
      <c r="M5" s="9"/>
      <c r="N5" s="48">
        <v>0</v>
      </c>
      <c r="O5" s="21">
        <f t="shared" ref="O5:O30" si="3">IF(COUNTA($F5,$K5,$P5)&gt;0,O4+SUM(L5:N5),"")</f>
        <v>23600</v>
      </c>
      <c r="P5" s="8" t="s">
        <v>194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51900</v>
      </c>
      <c r="U5" s="53">
        <f>IF($J5="","",ROUND(($J5-$J$3)/1000,1)+(_xlfn.RANK.AVG($J5,($J5,$O5,$T5),1)-2)*10)</f>
        <v>-5.5</v>
      </c>
      <c r="V5" s="54">
        <f>IF($O5="","",ROUND(($O5-$O$3)/1000,1)+(_xlfn.RANK.AVG($O5,($J5,$O5,$T5),1)-2)*10)</f>
        <v>-21.4</v>
      </c>
      <c r="W5" s="55">
        <f>IF($T5="","",ROUND(($T5-$T$3)/1000,1)+(_xlfn.RANK.AVG($T5,($J5,$O5,$T5),1)-2)*10)</f>
        <v>26.9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196</v>
      </c>
      <c r="BU5" s="40" t="s">
        <v>82</v>
      </c>
      <c r="BV5" s="41" t="s">
        <v>79</v>
      </c>
      <c r="BW5" s="41" t="s">
        <v>79</v>
      </c>
      <c r="BX5" s="41" t="s">
        <v>84</v>
      </c>
      <c r="BY5" s="41" t="s">
        <v>203</v>
      </c>
      <c r="BZ5" s="41" t="s">
        <v>203</v>
      </c>
      <c r="CA5" s="41" t="s">
        <v>85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194</v>
      </c>
      <c r="G6" s="9">
        <v>5300</v>
      </c>
      <c r="H6" s="9"/>
      <c r="I6" s="48">
        <v>0</v>
      </c>
      <c r="J6" s="21">
        <f t="shared" si="2"/>
        <v>34800</v>
      </c>
      <c r="K6" s="8" t="s">
        <v>195</v>
      </c>
      <c r="L6" s="9">
        <v>-2000</v>
      </c>
      <c r="M6" s="9"/>
      <c r="N6" s="48">
        <v>0</v>
      </c>
      <c r="O6" s="21">
        <f t="shared" si="3"/>
        <v>21600</v>
      </c>
      <c r="P6" s="8" t="s">
        <v>195</v>
      </c>
      <c r="Q6" s="9">
        <v>-3300</v>
      </c>
      <c r="R6" s="9"/>
      <c r="S6" s="48">
        <v>0</v>
      </c>
      <c r="T6" s="21">
        <f t="shared" si="4"/>
        <v>48600</v>
      </c>
      <c r="U6" s="53">
        <f>IF($J6="","",ROUND(($J6-$J$3)/1000,1)+(_xlfn.RANK.AVG($J6,($J6,$O6,$T6),1)-2)*10)</f>
        <v>-0.2</v>
      </c>
      <c r="V6" s="54">
        <f>IF($O6="","",ROUND(($O6-$O$3)/1000,1)+(_xlfn.RANK.AVG($O6,($J6,$O6,$T6),1)-2)*10)</f>
        <v>-23.4</v>
      </c>
      <c r="W6" s="55">
        <f>IF($T6="","",ROUND(($T6-$T$3)/1000,1)+(_xlfn.RANK.AVG($T6,($J6,$O6,$T6),1)-2)*10)</f>
        <v>23.6</v>
      </c>
      <c r="Y6" s="8"/>
      <c r="Z6" s="34"/>
      <c r="AA6" s="26">
        <v>1</v>
      </c>
      <c r="AB6" s="26"/>
      <c r="AC6" s="26">
        <v>4</v>
      </c>
      <c r="AD6" s="30">
        <v>20</v>
      </c>
      <c r="AE6" s="40" t="s">
        <v>197</v>
      </c>
      <c r="AF6" s="41" t="s">
        <v>82</v>
      </c>
      <c r="AG6" s="41" t="s">
        <v>83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-1300</v>
      </c>
      <c r="H7" s="9"/>
      <c r="I7" s="48">
        <v>0</v>
      </c>
      <c r="J7" s="21">
        <f t="shared" si="2"/>
        <v>33500</v>
      </c>
      <c r="K7" s="8" t="s">
        <v>194</v>
      </c>
      <c r="L7" s="9">
        <v>2100</v>
      </c>
      <c r="M7" s="9"/>
      <c r="N7" s="48">
        <v>0</v>
      </c>
      <c r="O7" s="21">
        <f t="shared" si="3"/>
        <v>23700</v>
      </c>
      <c r="P7" s="8" t="s">
        <v>195</v>
      </c>
      <c r="Q7" s="9">
        <v>-800</v>
      </c>
      <c r="R7" s="9"/>
      <c r="S7" s="48">
        <v>0</v>
      </c>
      <c r="T7" s="21">
        <f t="shared" si="4"/>
        <v>47800</v>
      </c>
      <c r="U7" s="53">
        <f>IF($J7="","",ROUND(($J7-$J$3)/1000,1)+(_xlfn.RANK.AVG($J7,($J7,$O7,$T7),1)-2)*10)</f>
        <v>-1.5</v>
      </c>
      <c r="V7" s="54">
        <f>IF($O7="","",ROUND(($O7-$O$3)/1000,1)+(_xlfn.RANK.AVG($O7,($J7,$O7,$T7),1)-2)*10)</f>
        <v>-21.3</v>
      </c>
      <c r="W7" s="55">
        <f>IF($T7="","",ROUND(($T7-$T$3)/1000,1)+(_xlfn.RANK.AVG($T7,($J7,$O7,$T7),1)-2)*10)</f>
        <v>22.8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86</v>
      </c>
      <c r="BA7" s="41" t="s">
        <v>203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201</v>
      </c>
      <c r="G8" s="9">
        <v>-18000</v>
      </c>
      <c r="H8" s="9"/>
      <c r="I8" s="48">
        <v>0</v>
      </c>
      <c r="J8" s="21">
        <f t="shared" si="2"/>
        <v>15500</v>
      </c>
      <c r="K8" s="8" t="s">
        <v>202</v>
      </c>
      <c r="L8" s="9">
        <v>18000</v>
      </c>
      <c r="M8" s="9"/>
      <c r="N8" s="48">
        <v>0</v>
      </c>
      <c r="O8" s="21">
        <f t="shared" si="3"/>
        <v>41700</v>
      </c>
      <c r="P8" s="8"/>
      <c r="Q8" s="9"/>
      <c r="R8" s="9"/>
      <c r="S8" s="48"/>
      <c r="T8" s="21">
        <f t="shared" si="4"/>
        <v>47800</v>
      </c>
      <c r="U8" s="53">
        <f>IF($J8="","",ROUND(($J8-$J$3)/1000,1)+(_xlfn.RANK.AVG($J8,($J8,$O8,$T8),1)-2)*10)</f>
        <v>-29.5</v>
      </c>
      <c r="V8" s="54">
        <f>IF($O8="","",ROUND(($O8-$O$3)/1000,1)+(_xlfn.RANK.AVG($O8,($J8,$O8,$T8),1)-2)*10)</f>
        <v>6.7</v>
      </c>
      <c r="W8" s="55">
        <f>IF($T8="","",ROUND(($T8-$T$3)/1000,1)+(_xlfn.RANK.AVG($T8,($J8,$O8,$T8),1)-2)*10)</f>
        <v>22.8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196</v>
      </c>
      <c r="AZ8" s="40" t="s">
        <v>98</v>
      </c>
      <c r="BA8" s="41" t="s">
        <v>96</v>
      </c>
      <c r="BB8" s="41" t="s">
        <v>86</v>
      </c>
      <c r="BC8" s="41" t="s">
        <v>197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まっつん</v>
      </c>
      <c r="F9" s="8" t="s">
        <v>195</v>
      </c>
      <c r="G9" s="9">
        <v>-800</v>
      </c>
      <c r="H9" s="9">
        <v>-1000</v>
      </c>
      <c r="I9" s="48">
        <v>-500</v>
      </c>
      <c r="J9" s="21">
        <f t="shared" si="2"/>
        <v>13200</v>
      </c>
      <c r="K9" s="8" t="s">
        <v>194</v>
      </c>
      <c r="L9" s="9">
        <v>1600</v>
      </c>
      <c r="M9" s="9">
        <v>1000</v>
      </c>
      <c r="N9" s="48">
        <v>1000</v>
      </c>
      <c r="O9" s="21">
        <f t="shared" si="3"/>
        <v>45300</v>
      </c>
      <c r="P9" s="8" t="s">
        <v>195</v>
      </c>
      <c r="Q9" s="9">
        <v>-800</v>
      </c>
      <c r="R9" s="9"/>
      <c r="S9" s="48">
        <v>-500</v>
      </c>
      <c r="T9" s="21">
        <f t="shared" si="4"/>
        <v>46500</v>
      </c>
      <c r="U9" s="53">
        <f>IF($J9="","",ROUND(($J9-$J$3)/1000,1)+(_xlfn.RANK.AVG($J9,($J9,$O9,$T9),1)-2)*10)</f>
        <v>-31.8</v>
      </c>
      <c r="V9" s="54">
        <f>IF($O9="","",ROUND(($O9-$O$3)/1000,1)+(_xlfn.RANK.AVG($O9,($J9,$O9,$T9),1)-2)*10)</f>
        <v>10.3</v>
      </c>
      <c r="W9" s="55">
        <f>IF($T9="","",ROUND(($T9-$T$3)/1000,1)+(_xlfn.RANK.AVG($T9,($J9,$O9,$T9),1)-2)*10)</f>
        <v>21.5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2"/>
        <v>13200</v>
      </c>
      <c r="K10" s="8" t="s">
        <v>202</v>
      </c>
      <c r="L10" s="9">
        <v>1500</v>
      </c>
      <c r="M10" s="9"/>
      <c r="N10" s="48">
        <v>2000</v>
      </c>
      <c r="O10" s="21">
        <f t="shared" si="3"/>
        <v>48800</v>
      </c>
      <c r="P10" s="8" t="s">
        <v>201</v>
      </c>
      <c r="Q10" s="9">
        <v>-1500</v>
      </c>
      <c r="R10" s="9"/>
      <c r="S10" s="48">
        <v>-2000</v>
      </c>
      <c r="T10" s="21">
        <f t="shared" si="4"/>
        <v>43000</v>
      </c>
      <c r="U10" s="53">
        <f>IF($J10="","",ROUND(($J10-$J$3)/1000,1)+(_xlfn.RANK.AVG($J10,($J10,$O10,$T10),1)-2)*10)</f>
        <v>-31.8</v>
      </c>
      <c r="V10" s="54">
        <f>IF($O10="","",ROUND(($O10-$O$3)/1000,1)+(_xlfn.RANK.AVG($O10,($J10,$O10,$T10),1)-2)*10)</f>
        <v>23.8</v>
      </c>
      <c r="W10" s="55">
        <f>IF($T10="","",ROUND(($T10-$T$3)/1000,1)+(_xlfn.RANK.AVG($T10,($J10,$O10,$T10),1)-2)*10)</f>
        <v>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tr">
        <f>IF($K$1="","",$K$1)</f>
        <v>まっつん</v>
      </c>
      <c r="F11" s="8" t="s">
        <v>201</v>
      </c>
      <c r="G11" s="9">
        <v>-1300</v>
      </c>
      <c r="H11" s="9"/>
      <c r="I11" s="48">
        <v>-3000</v>
      </c>
      <c r="J11" s="21">
        <f t="shared" si="2"/>
        <v>8900</v>
      </c>
      <c r="K11" s="8"/>
      <c r="L11" s="9"/>
      <c r="M11" s="9"/>
      <c r="N11" s="48"/>
      <c r="O11" s="21">
        <f t="shared" si="3"/>
        <v>48800</v>
      </c>
      <c r="P11" s="8" t="s">
        <v>202</v>
      </c>
      <c r="Q11" s="9">
        <v>1300</v>
      </c>
      <c r="R11" s="9"/>
      <c r="S11" s="48">
        <v>3000</v>
      </c>
      <c r="T11" s="21">
        <f t="shared" si="4"/>
        <v>47300</v>
      </c>
      <c r="U11" s="53">
        <f>IF($J11="","",ROUND(($J11-$J$3)/1000,1)+(_xlfn.RANK.AVG($J11,($J11,$O11,$T11),1)-2)*10)</f>
        <v>-36.1</v>
      </c>
      <c r="V11" s="54">
        <f>IF($O11="","",ROUND(($O11-$O$3)/1000,1)+(_xlfn.RANK.AVG($O11,($J11,$O11,$T11),1)-2)*10)</f>
        <v>23.8</v>
      </c>
      <c r="W11" s="55">
        <f>IF($T11="","",ROUND(($T11-$T$3)/1000,1)+(_xlfn.RANK.AVG($T11,($J11,$O11,$T11),1)-2)*10)</f>
        <v>12.3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40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 t="s">
        <v>201</v>
      </c>
      <c r="G12" s="9">
        <v>-2000</v>
      </c>
      <c r="H12" s="9">
        <v>-1000</v>
      </c>
      <c r="I12" s="48">
        <v>0</v>
      </c>
      <c r="J12" s="21">
        <f t="shared" si="2"/>
        <v>5900</v>
      </c>
      <c r="K12" s="8"/>
      <c r="L12" s="9"/>
      <c r="M12" s="9"/>
      <c r="N12" s="48"/>
      <c r="O12" s="21">
        <f t="shared" si="3"/>
        <v>48800</v>
      </c>
      <c r="P12" s="8" t="s">
        <v>202</v>
      </c>
      <c r="Q12" s="9">
        <v>2000</v>
      </c>
      <c r="R12" s="9">
        <v>1000</v>
      </c>
      <c r="S12" s="48">
        <v>0</v>
      </c>
      <c r="T12" s="21">
        <f t="shared" si="4"/>
        <v>50300</v>
      </c>
      <c r="U12" s="53">
        <f>IF($J12="","",ROUND(($J12-$J$3)/1000,1)+(_xlfn.RANK.AVG($J12,($J12,$O12,$T12),1)-2)*10)</f>
        <v>-39.1</v>
      </c>
      <c r="V12" s="54">
        <f>IF($O12="","",ROUND(($O12-$O$3)/1000,1)+(_xlfn.RANK.AVG($O12,($J12,$O12,$T12),1)-2)*10)</f>
        <v>13.8</v>
      </c>
      <c r="W12" s="55">
        <f>IF($T12="","",ROUND(($T12-$T$3)/1000,1)+(_xlfn.RANK.AVG($T12,($J12,$O12,$T12),1)-2)*10)</f>
        <v>25.3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40</v>
      </c>
      <c r="BU12" s="40" t="s">
        <v>84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りくと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335FF3D-51F1-4D66-A768-6B2B82D7CCD7}">
      <formula1>"ロン,ツモ,放銃,ツモ支払,流局,チョンボ"</formula1>
    </dataValidation>
    <dataValidation type="list" allowBlank="1" showInputMessage="1" showErrorMessage="1" sqref="E4:E30" xr:uid="{584EE92C-3A58-492F-B44A-4CDD7D72EBDF}">
      <formula1>$U$2:$W$2</formula1>
    </dataValidation>
    <dataValidation type="list" allowBlank="1" showInputMessage="1" sqref="F1:T1" xr:uid="{7C480289-7E92-432D-928A-646C1267359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2020-06-16T14:59:05Z</dcterms:modified>
</cp:coreProperties>
</file>