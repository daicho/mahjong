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CB0D1FC-CB1D-4C5A-8A02-FE7D395BC8BD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0" l="1"/>
  <c r="C13" i="20" s="1"/>
  <c r="E12" i="20"/>
  <c r="E11" i="20"/>
  <c r="B11" i="20" s="1"/>
  <c r="E10" i="20"/>
  <c r="E9" i="20"/>
  <c r="C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B13" i="20"/>
  <c r="T12" i="20"/>
  <c r="O12" i="20"/>
  <c r="J12" i="20"/>
  <c r="D12" i="20"/>
  <c r="C12" i="20"/>
  <c r="B12" i="20"/>
  <c r="A12" i="20" s="1"/>
  <c r="T11" i="20"/>
  <c r="O11" i="20"/>
  <c r="J11" i="20"/>
  <c r="U11" i="20" s="1"/>
  <c r="C11" i="20"/>
  <c r="C10" i="20"/>
  <c r="C7" i="20"/>
  <c r="C8" i="20" s="1"/>
  <c r="D7" i="20"/>
  <c r="D6" i="20"/>
  <c r="J5" i="20"/>
  <c r="J6" i="20" s="1"/>
  <c r="T4" i="20"/>
  <c r="T5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A13" i="20" l="1"/>
  <c r="D13" i="20"/>
  <c r="U12" i="20"/>
  <c r="V12" i="20"/>
  <c r="W12" i="20"/>
  <c r="W11" i="20"/>
  <c r="V11" i="20"/>
  <c r="D11" i="20"/>
  <c r="A11" i="20"/>
  <c r="D9" i="20"/>
  <c r="A5" i="20"/>
  <c r="D5" i="20"/>
  <c r="B5" i="20"/>
  <c r="T6" i="20"/>
  <c r="W5" i="20"/>
  <c r="J7" i="20"/>
  <c r="O6" i="20"/>
  <c r="V5" i="20"/>
  <c r="C5" i="20"/>
  <c r="C6" i="20" s="1"/>
  <c r="D10" i="20"/>
  <c r="B6" i="20"/>
  <c r="D8" i="20"/>
  <c r="U4" i="20"/>
  <c r="V4" i="20"/>
  <c r="W4" i="20"/>
  <c r="U5" i="20"/>
  <c r="E10" i="19"/>
  <c r="E9" i="19"/>
  <c r="E8" i="19"/>
  <c r="E7" i="19"/>
  <c r="E6" i="19"/>
  <c r="E5" i="19"/>
  <c r="O7" i="20" l="1"/>
  <c r="V6" i="20"/>
  <c r="U6" i="20"/>
  <c r="J8" i="20"/>
  <c r="A6" i="20"/>
  <c r="B7" i="20"/>
  <c r="T7" i="20"/>
  <c r="W6" i="20"/>
  <c r="E4" i="19"/>
  <c r="T8" i="20" l="1"/>
  <c r="U8" i="20" s="1"/>
  <c r="W7" i="20"/>
  <c r="O8" i="20"/>
  <c r="V7" i="20"/>
  <c r="B8" i="20"/>
  <c r="J9" i="20"/>
  <c r="U7" i="20"/>
  <c r="A7" i="20"/>
  <c r="W3" i="19"/>
  <c r="V3" i="19"/>
  <c r="U3" i="19"/>
  <c r="J10" i="20" l="1"/>
  <c r="B9" i="20"/>
  <c r="A8" i="20"/>
  <c r="O9" i="20"/>
  <c r="V8" i="20"/>
  <c r="T9" i="20"/>
  <c r="W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0" l="1"/>
  <c r="W9" i="20"/>
  <c r="O10" i="20"/>
  <c r="V9" i="20"/>
  <c r="B10" i="20"/>
  <c r="A10" i="20" s="1"/>
  <c r="A9" i="20"/>
  <c r="U9" i="20"/>
  <c r="U10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0" i="20" l="1"/>
  <c r="W10" i="20"/>
  <c r="U10" i="20"/>
  <c r="W5" i="19"/>
  <c r="V5" i="19"/>
  <c r="U5" i="19"/>
</calcChain>
</file>

<file path=xl/sharedStrings.xml><?xml version="1.0" encoding="utf-8"?>
<sst xmlns="http://schemas.openxmlformats.org/spreadsheetml/2006/main" count="677" uniqueCount="206">
  <si>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</si>
  <si>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</si>
  <si>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</si>
  <si>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</si>
  <si>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</si>
  <si>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</si>
  <si>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</si>
  <si>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</si>
  <si>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</si>
  <si>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</si>
  <si>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</si>
  <si>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</si>
  <si>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</si>
  <si>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</si>
  <si>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</si>
  <si>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</si>
  <si>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</si>
  <si>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</si>
  <si>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</si>
  <si>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</si>
  <si>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</si>
  <si>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</si>
  <si>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</si>
  <si>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</si>
  <si>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</si>
  <si>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</si>
  <si>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</si>
  <si>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</si>
  <si>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</si>
  <si>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</si>
  <si>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</si>
  <si>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</si>
  <si>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</si>
  <si>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</si>
  <si>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</si>
  <si>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</si>
  <si>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</si>
  <si>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</si>
  <si>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</si>
  <si>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</si>
  <si>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</si>
  <si>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</si>
  <si>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</si>
  <si>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</si>
  <si>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</si>
  <si>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</si>
  <si>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</si>
  <si>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</si>
  <si>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</si>
  <si>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</si>
  <si>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</si>
  <si>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</si>
  <si>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</si>
  <si>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</si>
  <si>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</si>
  <si>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</si>
  <si>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</si>
  <si>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</si>
  <si>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</si>
  <si>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</si>
  <si>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</si>
  <si>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</si>
  <si>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</si>
  <si>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</si>
  <si>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</si>
  <si>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</si>
  <si>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</si>
  <si>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</si>
  <si>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</si>
  <si>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</si>
  <si>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</si>
  <si>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</si>
  <si>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</si>
  <si>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</si>
  <si>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</si>
  <si>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</si>
  <si>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</si>
  <si>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</si>
  <si>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</si>
  <si>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</si>
  <si>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</si>
  <si>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</si>
  <si>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</si>
  <si>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</si>
  <si>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</si>
  <si>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</si>
  <si>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</si>
  <si>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</si>
  <si>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</si>
  <si>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</si>
  <si>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</si>
  <si>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</si>
  <si>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</si>
  <si>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</si>
  <si>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</si>
  <si>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</si>
  <si>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</si>
  <si>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</si>
  <si>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</si>
  <si>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</si>
  <si>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</si>
  <si>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</si>
  <si>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</si>
  <si>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</si>
  <si>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</si>
  <si>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</si>
  <si>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</si>
  <si>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</si>
  <si>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</si>
  <si>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</si>
  <si>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</si>
  <si>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</si>
  <si>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</si>
  <si>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</si>
  <si>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</si>
  <si>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</si>
  <si>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</si>
  <si>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</si>
  <si>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</si>
  <si>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</si>
  <si>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</si>
  <si>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</si>
  <si>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</si>
  <si>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</si>
  <si>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</si>
  <si>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</si>
  <si>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</si>
  <si>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</si>
  <si>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</si>
  <si>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</si>
  <si>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</si>
  <si>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</si>
  <si>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</si>
  <si>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</si>
  <si>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</si>
  <si>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</si>
  <si>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</si>
  <si>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</si>
  <si>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</si>
  <si>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</si>
  <si>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</si>
  <si>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</si>
  <si>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</si>
  <si>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</si>
  <si>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</si>
  <si>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</si>
  <si>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</si>
  <si>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</si>
  <si>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</si>
  <si>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</si>
  <si>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</si>
  <si>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</si>
  <si>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</si>
  <si>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</si>
  <si>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</si>
  <si>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</si>
  <si>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</si>
  <si>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</si>
  <si>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</si>
  <si>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</si>
  <si>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</si>
  <si>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</si>
  <si>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</si>
  <si>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</si>
  <si>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</si>
  <si>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</si>
  <si>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</si>
  <si>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</si>
  <si>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</si>
  <si>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</si>
  <si>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</si>
  <si>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</si>
  <si>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</si>
  <si>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</si>
  <si>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</si>
  <si>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</si>
  <si>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</si>
  <si>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</si>
  <si>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</si>
  <si>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</si>
  <si>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</si>
  <si>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</si>
  <si>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</si>
  <si>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</si>
  <si>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</si>
  <si>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</si>
  <si>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</si>
  <si>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</si>
  <si>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</si>
  <si>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</si>
  <si>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</si>
  <si>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</si>
  <si>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</si>
  <si>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</si>
  <si>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ツモ支払</t>
  </si>
  <si>
    <t>ツモ</t>
  </si>
  <si>
    <t>*</t>
  </si>
  <si>
    <t>ロン</t>
  </si>
  <si>
    <t>放銃</t>
  </si>
  <si>
    <t>01</t>
  </si>
  <si>
    <t>02</t>
  </si>
  <si>
    <t>51</t>
  </si>
  <si>
    <t>N</t>
  </si>
  <si>
    <t>T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</si>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</sst>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196</v>
      </c>
      <c r="AZ4" s="40" t="s">
        <v>82</v>
      </c>
      <c r="BA4" s="41" t="s">
        <v>86</v>
      </c>
      <c r="BB4" s="41" t="s">
        <v>96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197</v>
      </c>
      <c r="L5" s="9">
        <v>7700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198</v>
      </c>
      <c r="Q5" s="9">
        <v>-7700</v>
      </c>
      <c r="R5" s="9"/>
      <c r="S5" s="48">
        <v>0</v>
      </c>
      <c r="T5" s="21">
        <f t="shared" ref="T5:T30" si="4">IF(COUNTA($F5,$K5,$P5)&gt;0,T4+SUM(Q5:S5),"")</f>
        <v>22800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29.7</v>
      </c>
      <c r="W5" s="55">
        <f>IF($T5="","",ROUND(($T5-$T$3)/1000,1)+(_xlfn.RANK.AVG($T5,($J5,$O5,$T5),1)-2)*10)</f>
        <v>-22.2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200</v>
      </c>
      <c r="BB5" s="41" t="s">
        <v>84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197</v>
      </c>
      <c r="G6" s="9">
        <v>8000</v>
      </c>
      <c r="H6" s="9">
        <v>1000</v>
      </c>
      <c r="I6" s="48">
        <v>1000</v>
      </c>
      <c r="J6" s="21">
        <f t="shared" si="2"/>
        <v>37500</v>
      </c>
      <c r="K6" s="8" t="s">
        <v>198</v>
      </c>
      <c r="L6" s="9">
        <v>-8000</v>
      </c>
      <c r="M6" s="9">
        <v>-1000</v>
      </c>
      <c r="N6" s="48">
        <v>-1000</v>
      </c>
      <c r="O6" s="21">
        <f t="shared" si="3"/>
        <v>44700</v>
      </c>
      <c r="P6" s="8"/>
      <c r="Q6" s="9"/>
      <c r="R6" s="9"/>
      <c r="S6" s="48"/>
      <c r="T6" s="21">
        <f t="shared" si="4"/>
        <v>22800</v>
      </c>
      <c r="U6" s="53">
        <f>IF($J6="","",ROUND(($J6-$J$3)/1000,1)+(_xlfn.RANK.AVG($J6,($J6,$O6,$T6),1)-2)*10)</f>
        <v>2.5</v>
      </c>
      <c r="V6" s="54">
        <f>IF($O6="","",ROUND(($O6-$O$3)/1000,1)+(_xlfn.RANK.AVG($O6,($J6,$O6,$T6),1)-2)*10)</f>
        <v>19.7</v>
      </c>
      <c r="W6" s="55">
        <f>IF($T6="","",ROUND(($T6-$T$3)/1000,1)+(_xlfn.RANK.AVG($T6,($J6,$O6,$T6),1)-2)*10)</f>
        <v>-22.2</v>
      </c>
      <c r="Y6" s="8"/>
      <c r="Z6" s="34"/>
      <c r="AA6" s="26">
        <v>1</v>
      </c>
      <c r="AB6" s="26"/>
      <c r="AC6" s="26">
        <v>5</v>
      </c>
      <c r="AD6" s="30" t="s">
        <v>196</v>
      </c>
      <c r="AE6" s="40" t="s">
        <v>201</v>
      </c>
      <c r="AF6" s="41" t="s">
        <v>200</v>
      </c>
      <c r="AG6" s="41" t="s">
        <v>93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204</v>
      </c>
      <c r="G7" s="9">
        <v>-1500</v>
      </c>
      <c r="H7" s="9"/>
      <c r="I7" s="48"/>
      <c r="J7" s="21">
        <f t="shared" si="2"/>
        <v>36000</v>
      </c>
      <c r="K7" s="8" t="s">
        <v>204</v>
      </c>
      <c r="L7" s="9">
        <v>3000</v>
      </c>
      <c r="M7" s="9"/>
      <c r="N7" s="48"/>
      <c r="O7" s="21">
        <f t="shared" si="3"/>
        <v>47700</v>
      </c>
      <c r="P7" s="8" t="s">
        <v>204</v>
      </c>
      <c r="Q7" s="9">
        <v>-1500</v>
      </c>
      <c r="R7" s="9"/>
      <c r="S7" s="48"/>
      <c r="T7" s="21">
        <f t="shared" si="4"/>
        <v>21300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22.7</v>
      </c>
      <c r="W7" s="55">
        <f>IF($T7="","",ROUND(($T7-$T$3)/1000,1)+(_xlfn.RANK.AVG($T7,($J7,$O7,$T7),1)-2)*10)</f>
        <v>-23.7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198</v>
      </c>
      <c r="G8" s="9">
        <v>-8000</v>
      </c>
      <c r="H8" s="9"/>
      <c r="I8" s="48">
        <v>-1000</v>
      </c>
      <c r="J8" s="21">
        <f t="shared" si="2"/>
        <v>27000</v>
      </c>
      <c r="K8" s="8" t="s">
        <v>197</v>
      </c>
      <c r="L8" s="9">
        <v>8000</v>
      </c>
      <c r="M8" s="9"/>
      <c r="N8" s="48">
        <v>1000</v>
      </c>
      <c r="O8" s="21">
        <f t="shared" si="3"/>
        <v>56700</v>
      </c>
      <c r="P8" s="8"/>
      <c r="Q8" s="9"/>
      <c r="R8" s="9"/>
      <c r="S8" s="48"/>
      <c r="T8" s="21">
        <f t="shared" si="4"/>
        <v>21300</v>
      </c>
      <c r="U8" s="53">
        <f>IF($J8="","",ROUND(($J8-$J$3)/1000,1)+(_xlfn.RANK.AVG($J8,($J8,$O8,$T8),1)-2)*10)</f>
        <v>-8</v>
      </c>
      <c r="V8" s="54">
        <f>IF($O8="","",ROUND(($O8-$O$3)/1000,1)+(_xlfn.RANK.AVG($O8,($J8,$O8,$T8),1)-2)*10)</f>
        <v>31.7</v>
      </c>
      <c r="W8" s="55">
        <f>IF($T8="","",ROUND(($T8-$T$3)/1000,1)+(_xlfn.RANK.AVG($T8,($J8,$O8,$T8),1)-2)*10)</f>
        <v>-23.7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196</v>
      </c>
      <c r="AZ8" s="40" t="s">
        <v>86</v>
      </c>
      <c r="BA8" s="41" t="s">
        <v>79</v>
      </c>
      <c r="BB8" s="41" t="s">
        <v>79</v>
      </c>
      <c r="BC8" s="41" t="s">
        <v>79</v>
      </c>
      <c r="BD8" s="41" t="s">
        <v>205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194</v>
      </c>
      <c r="G9" s="9">
        <v>-800</v>
      </c>
      <c r="H9" s="9"/>
      <c r="I9" s="48">
        <v>0</v>
      </c>
      <c r="J9" s="21">
        <f t="shared" si="2"/>
        <v>26200</v>
      </c>
      <c r="K9" s="8" t="s">
        <v>194</v>
      </c>
      <c r="L9" s="9">
        <v>-1300</v>
      </c>
      <c r="M9" s="9"/>
      <c r="N9" s="48">
        <v>0</v>
      </c>
      <c r="O9" s="21">
        <f t="shared" si="3"/>
        <v>55400</v>
      </c>
      <c r="P9" s="8" t="s">
        <v>195</v>
      </c>
      <c r="Q9" s="9">
        <v>2100</v>
      </c>
      <c r="R9" s="9"/>
      <c r="S9" s="48">
        <v>0</v>
      </c>
      <c r="T9" s="21">
        <f t="shared" si="4"/>
        <v>23400</v>
      </c>
      <c r="U9" s="53">
        <f>IF($J9="","",ROUND(($J9-$J$3)/1000,1)+(_xlfn.RANK.AVG($J9,($J9,$O9,$T9),1)-2)*10)</f>
        <v>-8.8000000000000007</v>
      </c>
      <c r="V9" s="54">
        <f>IF($O9="","",ROUND(($O9-$O$3)/1000,1)+(_xlfn.RANK.AVG($O9,($J9,$O9,$T9),1)-2)*10)</f>
        <v>30.4</v>
      </c>
      <c r="W9" s="55">
        <f>IF($T9="","",ROUND(($T9-$T$3)/1000,1)+(_xlfn.RANK.AVG($T9,($J9,$O9,$T9),1)-2)*10)</f>
        <v>-21.6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195</v>
      </c>
      <c r="G10" s="9">
        <v>32000</v>
      </c>
      <c r="H10" s="9"/>
      <c r="I10" s="48">
        <v>0</v>
      </c>
      <c r="J10" s="21">
        <f t="shared" si="2"/>
        <v>58200</v>
      </c>
      <c r="K10" s="8" t="s">
        <v>194</v>
      </c>
      <c r="L10" s="9">
        <v>-12000</v>
      </c>
      <c r="M10" s="9"/>
      <c r="N10" s="48">
        <v>0</v>
      </c>
      <c r="O10" s="21">
        <f t="shared" si="3"/>
        <v>43400</v>
      </c>
      <c r="P10" s="8" t="s">
        <v>194</v>
      </c>
      <c r="Q10" s="9">
        <v>-20000</v>
      </c>
      <c r="R10" s="9"/>
      <c r="S10" s="48">
        <v>0</v>
      </c>
      <c r="T10" s="21">
        <f t="shared" si="4"/>
        <v>3400</v>
      </c>
      <c r="U10" s="53">
        <f>IF($J10="","",ROUND(($J10-$J$3)/1000,1)+(_xlfn.RANK.AVG($J10,($J10,$O10,$T10),1)-2)*10)</f>
        <v>33.200000000000003</v>
      </c>
      <c r="V10" s="54">
        <f>IF($O10="","",ROUND(($O10-$O$3)/1000,1)+(_xlfn.RANK.AVG($O10,($J10,$O10,$T10),1)-2)*10)</f>
        <v>8.4</v>
      </c>
      <c r="W10" s="55">
        <f>IF($T10="","",ROUND(($T10-$T$3)/1000,1)+(_xlfn.RANK.AVG($T10,($J10,$O10,$T10),1)-2)*10)</f>
        <v>-41.6</v>
      </c>
      <c r="Y10" s="8"/>
      <c r="Z10" s="34"/>
      <c r="AA10" s="26"/>
      <c r="AB10" s="26"/>
      <c r="AC10" s="26">
        <v>13</v>
      </c>
      <c r="AD10" s="30" t="s">
        <v>196</v>
      </c>
      <c r="AE10" s="40" t="s">
        <v>121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86F22A9-2FFC-4501-8777-F6A4E3EF21F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5C68C-4B5E-42D8-8838-8D77904BBCE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204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203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だいち</v>
      </c>
      <c r="F5" s="8" t="s">
        <v>197</v>
      </c>
      <c r="G5" s="9">
        <v>11600</v>
      </c>
      <c r="H5" s="9">
        <v>1000</v>
      </c>
      <c r="I5" s="48">
        <v>1000</v>
      </c>
      <c r="J5" s="21">
        <f t="shared" ref="J5:J30" si="2">IF(COUNTA($F5,$K5,$P5)&gt;0,J4+SUM(G5:I5),"")</f>
        <v>49100</v>
      </c>
      <c r="K5" s="8" t="s">
        <v>198</v>
      </c>
      <c r="L5" s="9">
        <v>-11600</v>
      </c>
      <c r="M5" s="9"/>
      <c r="N5" s="48">
        <v>-1000</v>
      </c>
      <c r="O5" s="21">
        <f t="shared" ref="O5:O30" si="3">IF(COUNTA($F5,$K5,$P5)&gt;0,O4+SUM(L5:N5),"")</f>
        <v>19400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24.1</v>
      </c>
      <c r="V5" s="54">
        <f>IF($O5="","",ROUND(($O5-$O$3)/1000,1)+(_xlfn.RANK.AVG($O5,($J5,$O5,$T5),1)-2)*10)</f>
        <v>-25.6</v>
      </c>
      <c r="W5" s="55">
        <f>IF($T5="","",ROUND(($T5-$T$3)/1000,1)+(_xlfn.RANK.AVG($T5,($J5,$O5,$T5),1)-2)*10)</f>
        <v>1.5</v>
      </c>
      <c r="Y5" s="8"/>
      <c r="Z5" s="34"/>
      <c r="AA5" s="26"/>
      <c r="AB5" s="26"/>
      <c r="AC5" s="26">
        <v>4</v>
      </c>
      <c r="AD5" s="30">
        <v>30</v>
      </c>
      <c r="AE5" s="40" t="s">
        <v>199</v>
      </c>
      <c r="AF5" s="41" t="s">
        <v>83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49100</v>
      </c>
      <c r="K6" s="8" t="s">
        <v>197</v>
      </c>
      <c r="L6" s="9">
        <v>16000</v>
      </c>
      <c r="M6" s="9"/>
      <c r="N6" s="48">
        <v>2000</v>
      </c>
      <c r="O6" s="21">
        <f t="shared" si="3"/>
        <v>37400</v>
      </c>
      <c r="P6" s="8" t="s">
        <v>198</v>
      </c>
      <c r="Q6" s="9">
        <v>-16000</v>
      </c>
      <c r="R6" s="9"/>
      <c r="S6" s="48">
        <v>-2000</v>
      </c>
      <c r="T6" s="21">
        <f t="shared" si="4"/>
        <v>18500</v>
      </c>
      <c r="U6" s="53">
        <f>IF($J6="","",ROUND(($J6-$J$3)/1000,1)+(_xlfn.RANK.AVG($J6,($J6,$O6,$T6),1)-2)*10)</f>
        <v>24.1</v>
      </c>
      <c r="V6" s="54">
        <f>IF($O6="","",ROUND(($O6-$O$3)/1000,1)+(_xlfn.RANK.AVG($O6,($J6,$O6,$T6),1)-2)*10)</f>
        <v>2.4</v>
      </c>
      <c r="W6" s="55">
        <f>IF($T6="","",ROUND(($T6-$T$3)/1000,1)+(_xlfn.RANK.AVG($T6,($J6,$O6,$T6),1)-2)*10)</f>
        <v>-26.5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196</v>
      </c>
      <c r="AZ6" s="40" t="s">
        <v>199</v>
      </c>
      <c r="BA6" s="41" t="s">
        <v>101</v>
      </c>
      <c r="BB6" s="41" t="s">
        <v>104</v>
      </c>
      <c r="BC6" s="41" t="s">
        <v>79</v>
      </c>
      <c r="BD6" s="41" t="s">
        <v>79</v>
      </c>
      <c r="BE6" s="41" t="s">
        <v>205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-9000</v>
      </c>
      <c r="H7" s="9"/>
      <c r="I7" s="48">
        <v>0</v>
      </c>
      <c r="J7" s="21">
        <f t="shared" si="2"/>
        <v>40100</v>
      </c>
      <c r="K7" s="8" t="s">
        <v>195</v>
      </c>
      <c r="L7" s="9">
        <v>18000</v>
      </c>
      <c r="M7" s="9"/>
      <c r="N7" s="48">
        <v>0</v>
      </c>
      <c r="O7" s="21">
        <f t="shared" si="3"/>
        <v>55400</v>
      </c>
      <c r="P7" s="8" t="s">
        <v>194</v>
      </c>
      <c r="Q7" s="9">
        <v>-9000</v>
      </c>
      <c r="R7" s="9"/>
      <c r="S7" s="48">
        <v>0</v>
      </c>
      <c r="T7" s="21">
        <f t="shared" si="4"/>
        <v>9500</v>
      </c>
      <c r="U7" s="53">
        <f>IF($J7="","",ROUND(($J7-$J$3)/1000,1)+(_xlfn.RANK.AVG($J7,($J7,$O7,$T7),1)-2)*10)</f>
        <v>5.0999999999999996</v>
      </c>
      <c r="V7" s="54">
        <f>IF($O7="","",ROUND(($O7-$O$3)/1000,1)+(_xlfn.RANK.AVG($O7,($J7,$O7,$T7),1)-2)*10)</f>
        <v>30.4</v>
      </c>
      <c r="W7" s="55">
        <f>IF($T7="","",ROUND(($T7-$T$3)/1000,1)+(_xlfn.RANK.AVG($T7,($J7,$O7,$T7),1)-2)*10)</f>
        <v>-35.5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196</v>
      </c>
      <c r="AZ7" s="40" t="s">
        <v>199</v>
      </c>
      <c r="BA7" s="41" t="s">
        <v>82</v>
      </c>
      <c r="BB7" s="41" t="s">
        <v>200</v>
      </c>
      <c r="BC7" s="41" t="s">
        <v>86</v>
      </c>
      <c r="BD7" s="41" t="s">
        <v>86</v>
      </c>
      <c r="BE7" s="41" t="s">
        <v>205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-2600</v>
      </c>
      <c r="H8" s="9">
        <v>-1000</v>
      </c>
      <c r="I8" s="48">
        <v>-1000</v>
      </c>
      <c r="J8" s="21">
        <f t="shared" si="2"/>
        <v>35500</v>
      </c>
      <c r="K8" s="8"/>
      <c r="L8" s="9"/>
      <c r="M8" s="9"/>
      <c r="N8" s="48"/>
      <c r="O8" s="21">
        <f t="shared" si="3"/>
        <v>55400</v>
      </c>
      <c r="P8" s="8" t="s">
        <v>197</v>
      </c>
      <c r="Q8" s="9">
        <v>2600</v>
      </c>
      <c r="R8" s="9">
        <v>1000</v>
      </c>
      <c r="S8" s="48">
        <v>1000</v>
      </c>
      <c r="T8" s="21">
        <f t="shared" si="4"/>
        <v>14100</v>
      </c>
      <c r="U8" s="53">
        <f>IF($J8="","",ROUND(($J8-$J$3)/1000,1)+(_xlfn.RANK.AVG($J8,($J8,$O8,$T8),1)-2)*10)</f>
        <v>0.5</v>
      </c>
      <c r="V8" s="54">
        <f>IF($O8="","",ROUND(($O8-$O$3)/1000,1)+(_xlfn.RANK.AVG($O8,($J8,$O8,$T8),1)-2)*10)</f>
        <v>30.4</v>
      </c>
      <c r="W8" s="55">
        <f>IF($T8="","",ROUND(($T8-$T$3)/1000,1)+(_xlfn.RANK.AVG($T8,($J8,$O8,$T8),1)-2)*10)</f>
        <v>-30.9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199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195</v>
      </c>
      <c r="G9" s="9">
        <v>7700</v>
      </c>
      <c r="H9" s="9"/>
      <c r="I9" s="48">
        <v>0</v>
      </c>
      <c r="J9" s="21">
        <f t="shared" si="2"/>
        <v>43200</v>
      </c>
      <c r="K9" s="8" t="s">
        <v>194</v>
      </c>
      <c r="L9" s="9">
        <v>-2900</v>
      </c>
      <c r="M9" s="9"/>
      <c r="N9" s="48">
        <v>0</v>
      </c>
      <c r="O9" s="21">
        <f t="shared" si="3"/>
        <v>52500</v>
      </c>
      <c r="P9" s="8" t="s">
        <v>194</v>
      </c>
      <c r="Q9" s="9">
        <v>-4800</v>
      </c>
      <c r="R9" s="9"/>
      <c r="S9" s="48">
        <v>0</v>
      </c>
      <c r="T9" s="21">
        <f t="shared" si="4"/>
        <v>9300</v>
      </c>
      <c r="U9" s="53">
        <f>IF($J9="","",ROUND(($J9-$J$3)/1000,1)+(_xlfn.RANK.AVG($J9,($J9,$O9,$T9),1)-2)*10)</f>
        <v>8.1999999999999993</v>
      </c>
      <c r="V9" s="54">
        <f>IF($O9="","",ROUND(($O9-$O$3)/1000,1)+(_xlfn.RANK.AVG($O9,($J9,$O9,$T9),1)-2)*10)</f>
        <v>27.5</v>
      </c>
      <c r="W9" s="55">
        <f>IF($T9="","",ROUND(($T9-$T$3)/1000,1)+(_xlfn.RANK.AVG($T9,($J9,$O9,$T9),1)-2)*10)</f>
        <v>-35.700000000000003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199</v>
      </c>
      <c r="AF9" s="41" t="s">
        <v>82</v>
      </c>
      <c r="AG9" s="41" t="s">
        <v>84</v>
      </c>
      <c r="AH9" s="41" t="s">
        <v>205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198</v>
      </c>
      <c r="G10" s="9">
        <v>-2000</v>
      </c>
      <c r="H10" s="9">
        <v>-1000</v>
      </c>
      <c r="I10" s="48">
        <v>0</v>
      </c>
      <c r="J10" s="21">
        <f t="shared" si="2"/>
        <v>40200</v>
      </c>
      <c r="K10" s="8"/>
      <c r="L10" s="9"/>
      <c r="M10" s="9"/>
      <c r="N10" s="48"/>
      <c r="O10" s="21">
        <f t="shared" si="3"/>
        <v>52500</v>
      </c>
      <c r="P10" s="8" t="s">
        <v>197</v>
      </c>
      <c r="Q10" s="9">
        <v>2000</v>
      </c>
      <c r="R10" s="9">
        <v>1000</v>
      </c>
      <c r="S10" s="48">
        <v>0</v>
      </c>
      <c r="T10" s="21">
        <f t="shared" si="4"/>
        <v>12300</v>
      </c>
      <c r="U10" s="53">
        <f>IF($J10="","",ROUND(($J10-$J$3)/1000,1)+(_xlfn.RANK.AVG($J10,($J10,$O10,$T10),1)-2)*10)</f>
        <v>5.2</v>
      </c>
      <c r="V10" s="54">
        <f>IF($O10="","",ROUND(($O10-$O$3)/1000,1)+(_xlfn.RANK.AVG($O10,($J10,$O10,$T10),1)-2)*10)</f>
        <v>27.5</v>
      </c>
      <c r="W10" s="55">
        <f>IF($T10="","",ROUND(($T10-$T$3)/1000,1)+(_xlfn.RANK.AVG($T10,($J10,$O10,$T10),1)-2)*10)</f>
        <v>-32.700000000000003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30</v>
      </c>
      <c r="BU10" s="40" t="s">
        <v>199</v>
      </c>
      <c r="BV10" s="41" t="s">
        <v>83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197</v>
      </c>
      <c r="G11" s="9">
        <v>5200</v>
      </c>
      <c r="H11" s="9">
        <v>3000</v>
      </c>
      <c r="I11" s="48">
        <v>0</v>
      </c>
      <c r="J11" s="21">
        <f t="shared" si="2"/>
        <v>48400</v>
      </c>
      <c r="K11" s="8" t="s">
        <v>198</v>
      </c>
      <c r="L11" s="9">
        <v>-5200</v>
      </c>
      <c r="M11" s="9">
        <v>-2000</v>
      </c>
      <c r="N11" s="48">
        <v>0</v>
      </c>
      <c r="O11" s="21">
        <f t="shared" si="3"/>
        <v>45300</v>
      </c>
      <c r="P11" s="8"/>
      <c r="Q11" s="9"/>
      <c r="R11" s="9">
        <v>-1000</v>
      </c>
      <c r="S11" s="48"/>
      <c r="T11" s="21">
        <f t="shared" si="4"/>
        <v>11300</v>
      </c>
      <c r="U11" s="53">
        <f>IF($J11="","",ROUND(($J11-$J$3)/1000,1)+(_xlfn.RANK.AVG($J11,($J11,$O11,$T11),1)-2)*10)</f>
        <v>23.4</v>
      </c>
      <c r="V11" s="54">
        <f>IF($O11="","",ROUND(($O11-$O$3)/1000,1)+(_xlfn.RANK.AVG($O11,($J11,$O11,$T11),1)-2)*10)</f>
        <v>10.3</v>
      </c>
      <c r="W11" s="55">
        <f>IF($T11="","",ROUND(($T11-$T$3)/1000,1)+(_xlfn.RANK.AVG($T11,($J11,$O11,$T11),1)-2)*10)</f>
        <v>-33.700000000000003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201</v>
      </c>
      <c r="AF11" s="41" t="s">
        <v>84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-1500</v>
      </c>
      <c r="H12" s="9"/>
      <c r="I12" s="48">
        <v>0</v>
      </c>
      <c r="J12" s="21">
        <f t="shared" si="2"/>
        <v>46900</v>
      </c>
      <c r="K12" s="8" t="s">
        <v>195</v>
      </c>
      <c r="L12" s="9">
        <v>4000</v>
      </c>
      <c r="M12" s="9"/>
      <c r="N12" s="48">
        <v>0</v>
      </c>
      <c r="O12" s="21">
        <f t="shared" si="3"/>
        <v>49300</v>
      </c>
      <c r="P12" s="8" t="s">
        <v>194</v>
      </c>
      <c r="Q12" s="9">
        <v>-2500</v>
      </c>
      <c r="R12" s="9"/>
      <c r="S12" s="48">
        <v>0</v>
      </c>
      <c r="T12" s="21">
        <f t="shared" si="4"/>
        <v>8800</v>
      </c>
      <c r="U12" s="53">
        <f>IF($J12="","",ROUND(($J12-$J$3)/1000,1)+(_xlfn.RANK.AVG($J12,($J12,$O12,$T12),1)-2)*10)</f>
        <v>11.9</v>
      </c>
      <c r="V12" s="54">
        <f>IF($O12="","",ROUND(($O12-$O$3)/1000,1)+(_xlfn.RANK.AVG($O12,($J12,$O12,$T12),1)-2)*10)</f>
        <v>24.3</v>
      </c>
      <c r="W12" s="55">
        <f>IF($T12="","",ROUND(($T12-$T$3)/1000,1)+(_xlfn.RANK.AVG($T12,($J12,$O12,$T12),1)-2)*10)</f>
        <v>-36.200000000000003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30</v>
      </c>
      <c r="AZ12" s="40" t="s">
        <v>199</v>
      </c>
      <c r="BA12" s="41" t="s">
        <v>82</v>
      </c>
      <c r="BB12" s="41" t="s">
        <v>85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1A0BFDF8-1912-471F-BC2C-83322B6D78F6}">
      <formula1>"ロン,ツモ,放銃,ツモ支払,流局,チョンボ"</formula1>
    </dataValidation>
    <dataValidation type="list" allowBlank="1" showInputMessage="1" showErrorMessage="1" sqref="E4:E30" xr:uid="{2283D8D2-12F1-4CA3-B4C1-BF09CEEBC515}">
      <formula1>$U$2:$W$2</formula1>
    </dataValidation>
    <dataValidation type="list" allowBlank="1" showInputMessage="1" sqref="F1:T1" xr:uid="{986E6879-568C-4D7B-A758-789B41643F7B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2020-06-29T11:34:08Z</dcterms:modified>
</cp:coreProperties>
</file>